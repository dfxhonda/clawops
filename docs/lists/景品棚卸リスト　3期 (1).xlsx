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d.docs.live.net/178259F96168B61B/"/>
    </mc:Choice>
  </mc:AlternateContent>
  <xr:revisionPtr revIDLastSave="4211" documentId="8_{E05EAA77-30AF-4980-AB98-72FFC80AF954}" xr6:coauthVersionLast="47" xr6:coauthVersionMax="47" xr10:uidLastSave="{D6D7F2F3-1D79-4C61-BA43-6CC947C79414}"/>
  <bookViews>
    <workbookView xWindow="-105" yWindow="0" windowWidth="14610" windowHeight="17385" tabRatio="735" firstSheet="5" activeTab="3" xr2:uid="{61B75400-54E1-45CF-AE71-1B393A60016B}"/>
  </bookViews>
  <sheets>
    <sheet name="本田" sheetId="8" r:id="rId1"/>
    <sheet name="吉井" sheetId="7" r:id="rId2"/>
    <sheet name="中島" sheetId="2" r:id="rId3"/>
    <sheet name="久留米 " sheetId="11" r:id="rId4"/>
    <sheet name="久留米(ドンキ景品)" sheetId="12" r:id="rId5"/>
    <sheet name="飯塚" sheetId="5" r:id="rId6"/>
    <sheet name="堤" sheetId="14" r:id="rId7"/>
    <sheet name="鹿児島" sheetId="4" r:id="rId8"/>
    <sheet name="塩川" sheetId="15" r:id="rId9"/>
    <sheet name="坂本" sheetId="1" r:id="rId10"/>
    <sheet name="合計" sheetId="9" r:id="rId11"/>
  </sheets>
  <definedNames>
    <definedName name="_xlnm.Print_Area" localSheetId="3">'久留米 '!$S$1:$Z$219</definedName>
    <definedName name="_xlnm.Print_Area" localSheetId="4">'久留米(ドンキ景品)'!$Q$1:$W$50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0" i="11" l="1"/>
  <c r="Z42" i="11"/>
  <c r="H198" i="14"/>
  <c r="H298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303" i="14"/>
  <c r="H302" i="14"/>
  <c r="H301" i="14"/>
  <c r="H300" i="14"/>
  <c r="H299" i="14"/>
  <c r="H297" i="14"/>
  <c r="H296" i="14"/>
  <c r="H295" i="14"/>
  <c r="H294" i="14"/>
  <c r="H293" i="14"/>
  <c r="H292" i="14"/>
  <c r="H290" i="14"/>
  <c r="H289" i="14"/>
  <c r="H288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H267" i="14"/>
  <c r="H266" i="14"/>
  <c r="H265" i="14"/>
  <c r="H264" i="14"/>
  <c r="H263" i="14"/>
  <c r="H262" i="14"/>
  <c r="H261" i="14"/>
  <c r="H260" i="14"/>
  <c r="H259" i="14"/>
  <c r="H258" i="14"/>
  <c r="H256" i="14"/>
  <c r="H255" i="14"/>
  <c r="H254" i="14"/>
  <c r="H253" i="14"/>
  <c r="H252" i="14"/>
  <c r="H251" i="14"/>
  <c r="H250" i="14"/>
  <c r="H249" i="14"/>
  <c r="H248" i="14"/>
  <c r="H247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09" i="14"/>
  <c r="H208" i="14"/>
  <c r="H207" i="14"/>
  <c r="H206" i="14"/>
  <c r="H205" i="14"/>
  <c r="H204" i="14"/>
  <c r="H203" i="14"/>
  <c r="H202" i="14"/>
  <c r="H201" i="14"/>
  <c r="H200" i="14"/>
  <c r="H199" i="14"/>
  <c r="H271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Z53" i="2"/>
  <c r="O45" i="12"/>
  <c r="O46" i="12"/>
  <c r="O47" i="12"/>
  <c r="O48" i="12"/>
  <c r="O49" i="12"/>
  <c r="O50" i="12"/>
  <c r="O51" i="12"/>
  <c r="O52" i="12"/>
  <c r="G43" i="12"/>
  <c r="G44" i="12"/>
  <c r="G45" i="12"/>
  <c r="G46" i="12"/>
  <c r="G47" i="12"/>
  <c r="G48" i="12"/>
  <c r="G49" i="12"/>
  <c r="G50" i="12"/>
  <c r="G51" i="12"/>
  <c r="G52" i="12"/>
  <c r="W31" i="12"/>
  <c r="W27" i="12"/>
  <c r="W28" i="12"/>
  <c r="W29" i="12"/>
  <c r="W30" i="12"/>
  <c r="W43" i="12"/>
  <c r="W51" i="12"/>
  <c r="Z9" i="2"/>
  <c r="Z8" i="2"/>
  <c r="Z7" i="2"/>
  <c r="Z6" i="2"/>
  <c r="Z70" i="2"/>
  <c r="Z69" i="2"/>
  <c r="Z68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5" i="2"/>
  <c r="Z4" i="2"/>
  <c r="Z5" i="11"/>
  <c r="Z6" i="11"/>
  <c r="Z7" i="11"/>
  <c r="Z10" i="11"/>
  <c r="Z211" i="11"/>
  <c r="Z212" i="11"/>
  <c r="Z187" i="11"/>
  <c r="Z188" i="11"/>
  <c r="Z189" i="11"/>
  <c r="Z190" i="11"/>
  <c r="Z191" i="11"/>
  <c r="Z193" i="11"/>
  <c r="Z115" i="11"/>
  <c r="Z102" i="11"/>
  <c r="Z80" i="11"/>
  <c r="Z37" i="11"/>
  <c r="Z38" i="11"/>
  <c r="Z39" i="11"/>
  <c r="Z40" i="11"/>
  <c r="Z41" i="11"/>
  <c r="W52" i="12"/>
  <c r="W50" i="12"/>
  <c r="W49" i="12"/>
  <c r="W48" i="12"/>
  <c r="W47" i="12"/>
  <c r="W46" i="12"/>
  <c r="W45" i="12"/>
  <c r="W44" i="12"/>
  <c r="W42" i="12"/>
  <c r="W41" i="12"/>
  <c r="W40" i="12"/>
  <c r="W39" i="12"/>
  <c r="W38" i="12"/>
  <c r="W37" i="12"/>
  <c r="W36" i="12"/>
  <c r="W35" i="12"/>
  <c r="W34" i="12"/>
  <c r="W33" i="12"/>
  <c r="W32" i="12"/>
  <c r="W26" i="12"/>
  <c r="W25" i="12"/>
  <c r="W24" i="12"/>
  <c r="W23" i="12"/>
  <c r="W22" i="12"/>
  <c r="W21" i="12"/>
  <c r="W20" i="12"/>
  <c r="W19" i="12"/>
  <c r="W18" i="12"/>
  <c r="W17" i="12"/>
  <c r="W16" i="12"/>
  <c r="W15" i="12"/>
  <c r="W14" i="12"/>
  <c r="W13" i="12"/>
  <c r="W12" i="12"/>
  <c r="W11" i="12"/>
  <c r="W10" i="12"/>
  <c r="W9" i="12"/>
  <c r="W8" i="12"/>
  <c r="W7" i="12"/>
  <c r="W6" i="12"/>
  <c r="W5" i="12"/>
  <c r="W4" i="12"/>
  <c r="W3" i="12"/>
  <c r="Z86" i="11"/>
  <c r="Z107" i="11"/>
  <c r="Z36" i="11"/>
  <c r="Z35" i="11"/>
  <c r="Z34" i="11"/>
  <c r="Z33" i="11"/>
  <c r="Z32" i="11"/>
  <c r="Z31" i="11"/>
  <c r="Z30" i="11"/>
  <c r="Z29" i="11"/>
  <c r="Z28" i="11"/>
  <c r="Z27" i="11"/>
  <c r="Z83" i="11"/>
  <c r="Z210" i="11"/>
  <c r="Z209" i="11"/>
  <c r="Z208" i="11"/>
  <c r="Z207" i="11"/>
  <c r="Z186" i="11"/>
  <c r="Z206" i="11"/>
  <c r="Z205" i="11"/>
  <c r="Z204" i="11"/>
  <c r="Z203" i="11"/>
  <c r="Z202" i="11"/>
  <c r="Z93" i="11"/>
  <c r="Z92" i="11"/>
  <c r="Z201" i="11"/>
  <c r="Z200" i="11"/>
  <c r="Z199" i="11"/>
  <c r="Z198" i="11"/>
  <c r="Z197" i="11"/>
  <c r="Z185" i="11"/>
  <c r="Z184" i="11"/>
  <c r="Z183" i="11"/>
  <c r="Z182" i="11"/>
  <c r="Z181" i="11"/>
  <c r="Z180" i="11"/>
  <c r="Z179" i="11"/>
  <c r="Z178" i="11"/>
  <c r="Z177" i="11"/>
  <c r="Z176" i="11"/>
  <c r="Z26" i="11"/>
  <c r="Z175" i="11"/>
  <c r="Z174" i="11"/>
  <c r="Z50" i="11"/>
  <c r="Z173" i="11"/>
  <c r="Z172" i="11"/>
  <c r="Z171" i="11"/>
  <c r="Z170" i="11"/>
  <c r="Z169" i="11"/>
  <c r="Z168" i="11"/>
  <c r="Z167" i="11"/>
  <c r="Z166" i="11"/>
  <c r="Z165" i="11"/>
  <c r="Z164" i="11"/>
  <c r="Z163" i="11"/>
  <c r="Z162" i="11"/>
  <c r="Z161" i="11"/>
  <c r="Z51" i="11"/>
  <c r="Z160" i="11"/>
  <c r="Z159" i="11"/>
  <c r="Z158" i="11"/>
  <c r="Z157" i="11"/>
  <c r="Z156" i="11"/>
  <c r="Z25" i="11"/>
  <c r="Z155" i="11"/>
  <c r="Z154" i="11"/>
  <c r="Z153" i="11"/>
  <c r="Z152" i="11"/>
  <c r="Z151" i="11"/>
  <c r="Z150" i="11"/>
  <c r="Z149" i="11"/>
  <c r="Z148" i="11"/>
  <c r="Z147" i="11"/>
  <c r="Z146" i="11"/>
  <c r="Z145" i="11"/>
  <c r="Z130" i="11"/>
  <c r="Z144" i="11"/>
  <c r="Z143" i="11"/>
  <c r="Z24" i="11"/>
  <c r="Z142" i="11"/>
  <c r="Z141" i="11"/>
  <c r="Z140" i="11"/>
  <c r="Z139" i="11"/>
  <c r="Z48" i="11"/>
  <c r="Z138" i="11"/>
  <c r="Z137" i="11"/>
  <c r="Z136" i="11"/>
  <c r="Z135" i="11"/>
  <c r="Z134" i="11"/>
  <c r="Z133" i="11"/>
  <c r="Z132" i="11"/>
  <c r="Z131" i="11"/>
  <c r="Z23" i="11"/>
  <c r="Z22" i="11"/>
  <c r="Z21" i="11"/>
  <c r="Z20" i="11"/>
  <c r="Z19" i="11"/>
  <c r="Z18" i="11"/>
  <c r="Z17" i="11"/>
  <c r="Z16" i="11"/>
  <c r="Z15" i="11"/>
  <c r="Z14" i="11"/>
  <c r="Z13" i="11"/>
  <c r="Z12" i="11"/>
  <c r="Z11" i="11"/>
  <c r="Z9" i="11"/>
  <c r="Z8" i="11"/>
  <c r="Z79" i="11"/>
  <c r="Z78" i="11"/>
  <c r="Z77" i="11"/>
  <c r="Z76" i="11"/>
  <c r="Z75" i="11"/>
  <c r="Z74" i="11"/>
  <c r="Z125" i="11"/>
  <c r="Z124" i="11"/>
  <c r="Z73" i="11"/>
  <c r="Z100" i="11"/>
  <c r="Z67" i="11"/>
  <c r="Z71" i="11"/>
  <c r="Z70" i="11"/>
  <c r="Z53" i="11"/>
  <c r="Z52" i="11"/>
  <c r="Z128" i="11"/>
  <c r="Z66" i="11"/>
  <c r="Z55" i="11"/>
  <c r="Z99" i="11"/>
  <c r="Z98" i="11"/>
  <c r="Z97" i="11"/>
  <c r="Z96" i="11"/>
  <c r="Z95" i="11"/>
  <c r="Z94" i="11"/>
  <c r="Z72" i="11"/>
  <c r="Z123" i="11"/>
  <c r="Z69" i="11"/>
  <c r="Z68" i="11"/>
  <c r="Z122" i="11"/>
  <c r="Z101" i="11"/>
  <c r="Z105" i="11"/>
  <c r="Z106" i="11"/>
  <c r="Z119" i="11"/>
  <c r="Z118" i="11"/>
  <c r="Z117" i="11"/>
  <c r="Z116" i="11"/>
  <c r="Z114" i="11"/>
  <c r="Z113" i="11"/>
  <c r="Z112" i="11"/>
  <c r="Z111" i="11"/>
  <c r="Z65" i="11"/>
  <c r="Z64" i="11"/>
  <c r="Z63" i="11"/>
  <c r="Z62" i="11"/>
  <c r="Z61" i="11"/>
  <c r="Z60" i="11"/>
  <c r="Z59" i="11"/>
  <c r="Z58" i="11"/>
  <c r="Z57" i="11"/>
  <c r="Z56" i="11"/>
  <c r="Z129" i="11"/>
  <c r="Z54" i="11"/>
  <c r="Z49" i="11"/>
  <c r="Z127" i="11"/>
  <c r="Z47" i="11"/>
  <c r="Z46" i="11"/>
  <c r="Z45" i="11"/>
  <c r="Z44" i="11"/>
  <c r="Z43" i="11"/>
  <c r="Z121" i="11"/>
  <c r="Z87" i="11"/>
  <c r="Z85" i="11"/>
  <c r="Z84" i="11"/>
  <c r="Z82" i="11"/>
  <c r="Z81" i="11"/>
  <c r="Z126" i="11"/>
  <c r="Z90" i="11"/>
  <c r="Z89" i="11"/>
  <c r="Z120" i="11"/>
  <c r="Z88" i="11"/>
  <c r="Z194" i="11"/>
  <c r="Z103" i="11"/>
  <c r="Z109" i="11"/>
  <c r="Z108" i="11"/>
  <c r="Z91" i="11"/>
  <c r="Z196" i="11"/>
  <c r="Z104" i="11"/>
  <c r="Z195" i="11"/>
  <c r="H52" i="4"/>
  <c r="H43" i="4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Q17" i="11"/>
  <c r="Q78" i="11"/>
  <c r="Q6" i="11"/>
  <c r="Q9" i="11"/>
  <c r="Q10" i="11"/>
  <c r="Q11" i="11"/>
  <c r="Q12" i="11"/>
  <c r="Q16" i="11"/>
  <c r="Q18" i="11"/>
  <c r="Q21" i="11"/>
  <c r="Q24" i="11"/>
  <c r="Q26" i="11"/>
  <c r="Q27" i="11"/>
  <c r="Q28" i="11"/>
  <c r="Q30" i="11"/>
  <c r="Q31" i="11"/>
  <c r="Q32" i="11"/>
  <c r="Q37" i="11"/>
  <c r="Q38" i="11"/>
  <c r="Q39" i="11"/>
  <c r="Q41" i="11"/>
  <c r="Q45" i="11"/>
  <c r="Q46" i="11"/>
  <c r="Q47" i="11"/>
  <c r="Q51" i="11"/>
  <c r="Q52" i="11"/>
  <c r="Q53" i="11"/>
  <c r="Q54" i="11"/>
  <c r="Q60" i="11"/>
  <c r="Q63" i="11"/>
  <c r="Q67" i="11"/>
  <c r="Q69" i="11"/>
  <c r="Q71" i="11"/>
  <c r="Q72" i="11"/>
  <c r="Q74" i="11"/>
  <c r="Q76" i="11"/>
  <c r="Q104" i="11"/>
  <c r="Q105" i="11"/>
  <c r="Q200" i="11"/>
  <c r="Q203" i="11"/>
  <c r="Q212" i="11"/>
  <c r="Q215" i="11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3" i="12"/>
  <c r="Q5" i="11"/>
  <c r="Q7" i="11"/>
  <c r="Q8" i="11"/>
  <c r="Q13" i="11"/>
  <c r="Q14" i="11"/>
  <c r="Q15" i="11"/>
  <c r="Q19" i="11"/>
  <c r="Q20" i="11"/>
  <c r="Q22" i="11"/>
  <c r="Q23" i="11"/>
  <c r="Q25" i="11"/>
  <c r="Q29" i="11"/>
  <c r="Q33" i="11"/>
  <c r="Q34" i="11"/>
  <c r="Q35" i="11"/>
  <c r="Q36" i="11"/>
  <c r="Q40" i="11"/>
  <c r="Q42" i="11"/>
  <c r="Q43" i="11"/>
  <c r="Q44" i="11"/>
  <c r="Q49" i="11"/>
  <c r="Q50" i="11"/>
  <c r="Q55" i="11"/>
  <c r="Q56" i="11"/>
  <c r="Q57" i="11"/>
  <c r="Q58" i="11"/>
  <c r="Q59" i="11"/>
  <c r="Q61" i="11"/>
  <c r="Q62" i="11"/>
  <c r="Q64" i="11"/>
  <c r="Q65" i="11"/>
  <c r="Q66" i="11"/>
  <c r="Q68" i="11"/>
  <c r="Q70" i="11"/>
  <c r="Q73" i="11"/>
  <c r="Q75" i="11"/>
  <c r="Q77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1" i="11"/>
  <c r="Q202" i="11"/>
  <c r="Q204" i="11"/>
  <c r="Q205" i="11"/>
  <c r="Q206" i="11"/>
  <c r="Q207" i="11"/>
  <c r="Q208" i="11"/>
  <c r="Q209" i="11"/>
  <c r="Q210" i="11"/>
  <c r="Q211" i="11"/>
  <c r="Q213" i="11"/>
  <c r="Q214" i="11"/>
  <c r="H70" i="11"/>
  <c r="H158" i="4"/>
  <c r="H159" i="4"/>
  <c r="H160" i="4"/>
  <c r="H161" i="4"/>
  <c r="H162" i="4"/>
  <c r="H163" i="4"/>
  <c r="H164" i="4"/>
  <c r="H165" i="4"/>
  <c r="H96" i="8"/>
  <c r="H97" i="8"/>
  <c r="H98" i="8"/>
  <c r="H89" i="8"/>
  <c r="H90" i="8"/>
  <c r="H91" i="8"/>
  <c r="H92" i="8"/>
  <c r="H93" i="8"/>
  <c r="H94" i="8"/>
  <c r="H86" i="8"/>
  <c r="H84" i="8"/>
  <c r="H87" i="8"/>
  <c r="H85" i="8"/>
  <c r="H83" i="8"/>
  <c r="H77" i="8"/>
  <c r="H56" i="8"/>
  <c r="H55" i="8"/>
  <c r="H48" i="8"/>
  <c r="H52" i="8"/>
  <c r="H50" i="8"/>
  <c r="H125" i="4"/>
  <c r="H123" i="4"/>
  <c r="H122" i="4"/>
  <c r="H121" i="4"/>
  <c r="H120" i="4"/>
  <c r="H119" i="4"/>
  <c r="H118" i="4"/>
  <c r="H117" i="4"/>
  <c r="H115" i="4"/>
  <c r="H114" i="4"/>
  <c r="H113" i="4"/>
  <c r="H112" i="4"/>
  <c r="H111" i="4"/>
  <c r="H109" i="4"/>
  <c r="H107" i="4"/>
  <c r="H106" i="4"/>
  <c r="H105" i="4"/>
  <c r="H104" i="4"/>
  <c r="H103" i="4"/>
  <c r="H102" i="4"/>
  <c r="H101" i="4"/>
  <c r="H100" i="4"/>
  <c r="H99" i="4"/>
  <c r="H97" i="4"/>
  <c r="H95" i="4"/>
  <c r="H94" i="4"/>
  <c r="H93" i="4"/>
  <c r="H92" i="4"/>
  <c r="H91" i="4"/>
  <c r="H90" i="4"/>
  <c r="H89" i="4"/>
  <c r="H88" i="4"/>
  <c r="H86" i="4"/>
  <c r="H84" i="4"/>
  <c r="H83" i="4"/>
  <c r="H82" i="4"/>
  <c r="H81" i="4"/>
  <c r="H80" i="4"/>
  <c r="H79" i="4"/>
  <c r="H77" i="4"/>
  <c r="H75" i="4"/>
  <c r="H74" i="4"/>
  <c r="H73" i="4"/>
  <c r="H72" i="4"/>
  <c r="H71" i="4"/>
  <c r="H70" i="4"/>
  <c r="H69" i="4"/>
  <c r="H68" i="4"/>
  <c r="H66" i="4"/>
  <c r="D64" i="4"/>
  <c r="H64" i="4"/>
  <c r="H63" i="4"/>
  <c r="H62" i="4"/>
  <c r="H61" i="4"/>
  <c r="H60" i="4"/>
  <c r="H59" i="4"/>
  <c r="H58" i="4"/>
  <c r="H57" i="4"/>
  <c r="H56" i="4"/>
  <c r="H55" i="4"/>
  <c r="H54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9" i="7"/>
  <c r="H180" i="14"/>
  <c r="H179" i="14"/>
  <c r="H103" i="14"/>
  <c r="H104" i="14"/>
  <c r="H105" i="14"/>
  <c r="H106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1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3" i="14"/>
  <c r="H112" i="14"/>
  <c r="H111" i="14"/>
  <c r="H110" i="14"/>
  <c r="H109" i="14"/>
  <c r="H108" i="14"/>
  <c r="H107" i="14"/>
  <c r="H102" i="14"/>
  <c r="H148" i="5"/>
  <c r="H149" i="5"/>
  <c r="H150" i="5"/>
  <c r="H151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47" i="5"/>
  <c r="Q59" i="2"/>
  <c r="Q58" i="2"/>
  <c r="Q32" i="2"/>
  <c r="Q31" i="2"/>
  <c r="Q30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5" i="2"/>
  <c r="Q19" i="2"/>
  <c r="Q20" i="2"/>
  <c r="Q21" i="2"/>
  <c r="Q22" i="2"/>
  <c r="Q23" i="2"/>
  <c r="Q24" i="2"/>
  <c r="Q25" i="2"/>
  <c r="Q26" i="2"/>
  <c r="Q27" i="2"/>
  <c r="Q28" i="2"/>
  <c r="Q29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H5" i="11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3" i="12"/>
  <c r="H206" i="11"/>
  <c r="H207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8" i="11"/>
  <c r="H4" i="11"/>
  <c r="Z7" i="9"/>
  <c r="AA7" i="9"/>
  <c r="Z8" i="9"/>
  <c r="AA8" i="9"/>
  <c r="Z9" i="9"/>
  <c r="AA9" i="9"/>
  <c r="Z10" i="9"/>
  <c r="AA10" i="9"/>
  <c r="Z11" i="9"/>
  <c r="AA11" i="9"/>
  <c r="Z12" i="9"/>
  <c r="AA12" i="9"/>
  <c r="AD11" i="9"/>
  <c r="AD10" i="9"/>
  <c r="AD9" i="9"/>
  <c r="AD8" i="9"/>
  <c r="AD6" i="9"/>
  <c r="AD5" i="9"/>
  <c r="AD4" i="9"/>
  <c r="AD3" i="9"/>
  <c r="AF3" i="9"/>
  <c r="Q4" i="2"/>
  <c r="H152" i="1"/>
  <c r="H131" i="1"/>
  <c r="H107" i="1"/>
  <c r="H89" i="1"/>
  <c r="H349" i="1"/>
  <c r="H98" i="1"/>
  <c r="H162" i="1"/>
  <c r="H169" i="1"/>
  <c r="H93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121" i="1"/>
  <c r="H120" i="1"/>
  <c r="H142" i="1"/>
  <c r="H167" i="1"/>
  <c r="H166" i="1"/>
  <c r="H103" i="1"/>
  <c r="H176" i="1"/>
  <c r="H175" i="1"/>
  <c r="H108" i="1"/>
  <c r="H172" i="1"/>
  <c r="H158" i="1"/>
  <c r="H125" i="1"/>
  <c r="H119" i="1"/>
  <c r="H170" i="1"/>
  <c r="H137" i="1"/>
  <c r="H140" i="1"/>
  <c r="H154" i="1"/>
  <c r="H155" i="1"/>
  <c r="H144" i="1"/>
  <c r="H151" i="1"/>
  <c r="H123" i="1"/>
  <c r="H88" i="1"/>
  <c r="H126" i="1"/>
  <c r="H153" i="1"/>
  <c r="H110" i="1"/>
  <c r="H128" i="1"/>
  <c r="H139" i="1"/>
  <c r="H109" i="1"/>
  <c r="H177" i="1"/>
  <c r="H179" i="1"/>
  <c r="H124" i="1"/>
  <c r="H141" i="1"/>
  <c r="H160" i="1"/>
  <c r="H138" i="1"/>
  <c r="H105" i="1"/>
  <c r="H157" i="1"/>
  <c r="H127" i="1"/>
  <c r="H143" i="1"/>
  <c r="H174" i="1"/>
  <c r="H104" i="1"/>
  <c r="H164" i="1"/>
  <c r="H350" i="1"/>
  <c r="H135" i="1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2" i="4"/>
  <c r="H153" i="4"/>
  <c r="H154" i="4"/>
  <c r="H155" i="4"/>
  <c r="H156" i="4"/>
  <c r="H157" i="4"/>
  <c r="H166" i="4"/>
  <c r="H167" i="4"/>
  <c r="H168" i="4"/>
  <c r="H169" i="4"/>
  <c r="H171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53" i="4"/>
  <c r="H44" i="4"/>
  <c r="H45" i="4"/>
  <c r="H46" i="4"/>
  <c r="H47" i="4"/>
  <c r="H48" i="4"/>
  <c r="H49" i="4"/>
  <c r="H50" i="4"/>
  <c r="H51" i="4"/>
  <c r="H33" i="4"/>
  <c r="H34" i="4"/>
  <c r="H35" i="4"/>
  <c r="H36" i="4"/>
  <c r="H37" i="4"/>
  <c r="H38" i="4"/>
  <c r="H39" i="4"/>
  <c r="H40" i="4"/>
  <c r="H42" i="4"/>
  <c r="H25" i="4"/>
  <c r="H26" i="4"/>
  <c r="H27" i="4"/>
  <c r="H28" i="4"/>
  <c r="H29" i="4"/>
  <c r="H30" i="4"/>
  <c r="H31" i="4"/>
  <c r="H23" i="4"/>
  <c r="H15" i="4"/>
  <c r="H16" i="4"/>
  <c r="H17" i="4"/>
  <c r="H18" i="4"/>
  <c r="H20" i="4"/>
  <c r="H21" i="4"/>
  <c r="H13" i="4"/>
  <c r="H5" i="4"/>
  <c r="H6" i="4"/>
  <c r="H7" i="4"/>
  <c r="H8" i="4"/>
  <c r="H9" i="4"/>
  <c r="H10" i="4"/>
  <c r="H11" i="4"/>
  <c r="E4" i="4"/>
  <c r="F4" i="4"/>
  <c r="G4" i="4"/>
  <c r="H103" i="7"/>
  <c r="H74" i="7"/>
  <c r="H75" i="7"/>
  <c r="H64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5" i="7"/>
  <c r="H66" i="7"/>
  <c r="H67" i="7"/>
  <c r="H68" i="7"/>
  <c r="H69" i="7"/>
  <c r="H70" i="7"/>
  <c r="H71" i="7"/>
  <c r="H72" i="7"/>
  <c r="H73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9" i="14"/>
  <c r="H34" i="14"/>
  <c r="H85" i="14"/>
  <c r="H84" i="14"/>
  <c r="H86" i="14"/>
  <c r="H87" i="14"/>
  <c r="H97" i="14"/>
  <c r="H96" i="14"/>
  <c r="H95" i="14"/>
  <c r="H94" i="14"/>
  <c r="H93" i="14"/>
  <c r="H92" i="14"/>
  <c r="H91" i="14"/>
  <c r="H90" i="14"/>
  <c r="H89" i="14"/>
  <c r="H88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4" i="14"/>
  <c r="H5" i="14"/>
  <c r="H6" i="14"/>
  <c r="H7" i="14"/>
  <c r="H10" i="14"/>
  <c r="H9" i="14"/>
  <c r="H8" i="14"/>
  <c r="H3" i="14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120" i="8"/>
  <c r="H121" i="8"/>
  <c r="H122" i="8"/>
  <c r="H123" i="8"/>
  <c r="H131" i="8"/>
  <c r="H130" i="8"/>
  <c r="E4" i="8"/>
  <c r="F4" i="8"/>
  <c r="G4" i="8"/>
  <c r="H129" i="8"/>
  <c r="H128" i="8"/>
  <c r="H127" i="8"/>
  <c r="H126" i="8"/>
  <c r="H125" i="8"/>
  <c r="H124" i="8"/>
  <c r="H111" i="8"/>
  <c r="H110" i="8"/>
  <c r="H109" i="8"/>
  <c r="H108" i="8"/>
  <c r="H100" i="8"/>
  <c r="H95" i="8"/>
  <c r="H82" i="8"/>
  <c r="H81" i="8"/>
  <c r="H80" i="8"/>
  <c r="H79" i="8"/>
  <c r="H78" i="8"/>
  <c r="H76" i="8"/>
  <c r="H75" i="8"/>
  <c r="H51" i="8"/>
  <c r="H73" i="8"/>
  <c r="H72" i="8"/>
  <c r="H101" i="8"/>
  <c r="H10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4" i="8"/>
  <c r="H104" i="8"/>
  <c r="H103" i="8"/>
  <c r="H53" i="8"/>
  <c r="H105" i="8"/>
  <c r="H49" i="8"/>
  <c r="H107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7" i="8"/>
  <c r="H16" i="8"/>
  <c r="H19" i="8"/>
  <c r="H14" i="8"/>
  <c r="H13" i="8"/>
  <c r="H18" i="8"/>
  <c r="H12" i="8"/>
  <c r="H15" i="8"/>
  <c r="H10" i="8"/>
  <c r="H9" i="8"/>
  <c r="H11" i="8"/>
  <c r="H106" i="8"/>
  <c r="H8" i="8"/>
  <c r="H7" i="8"/>
  <c r="H6" i="8"/>
  <c r="H5" i="8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43" i="15"/>
  <c r="H44" i="15"/>
  <c r="H45" i="15"/>
  <c r="H46" i="15"/>
  <c r="H47" i="15"/>
  <c r="H48" i="15"/>
  <c r="H49" i="15"/>
  <c r="H50" i="15"/>
  <c r="H51" i="15"/>
  <c r="H52" i="15"/>
  <c r="H4" i="7"/>
  <c r="H4" i="5"/>
  <c r="H63" i="15"/>
  <c r="H62" i="15"/>
  <c r="H61" i="15"/>
  <c r="H60" i="15"/>
  <c r="H59" i="15"/>
  <c r="H58" i="15"/>
  <c r="H57" i="15"/>
  <c r="H56" i="15"/>
  <c r="H55" i="15"/>
  <c r="H54" i="15"/>
  <c r="H5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7" i="15"/>
  <c r="H6" i="15"/>
  <c r="G4" i="15"/>
  <c r="F4" i="15"/>
  <c r="E4" i="15"/>
  <c r="H180" i="1"/>
  <c r="H173" i="1"/>
  <c r="H171" i="1"/>
  <c r="H168" i="1"/>
  <c r="H163" i="1"/>
  <c r="H161" i="1"/>
  <c r="H159" i="1"/>
  <c r="H156" i="1"/>
  <c r="H147" i="1"/>
  <c r="H146" i="1"/>
  <c r="H145" i="1"/>
  <c r="H136" i="1"/>
  <c r="H134" i="1"/>
  <c r="H133" i="1"/>
  <c r="H132" i="1"/>
  <c r="H130" i="1"/>
  <c r="H122" i="1"/>
  <c r="H129" i="1"/>
  <c r="H118" i="1"/>
  <c r="H117" i="1"/>
  <c r="H116" i="1"/>
  <c r="H115" i="1"/>
  <c r="H114" i="1"/>
  <c r="H113" i="1"/>
  <c r="H112" i="1"/>
  <c r="H111" i="1"/>
  <c r="H106" i="1"/>
  <c r="H97" i="1"/>
  <c r="H95" i="1"/>
  <c r="H178" i="1"/>
  <c r="H94" i="1"/>
  <c r="H165" i="1"/>
  <c r="H90" i="1"/>
  <c r="H96" i="1"/>
  <c r="H99" i="1"/>
  <c r="H150" i="1"/>
  <c r="H149" i="1"/>
  <c r="H148" i="1"/>
  <c r="H91" i="1"/>
  <c r="H102" i="1"/>
  <c r="H101" i="1"/>
  <c r="H100" i="1"/>
  <c r="H92" i="1"/>
  <c r="H87" i="1"/>
  <c r="H86" i="1"/>
  <c r="H85" i="1"/>
  <c r="H84" i="1"/>
  <c r="H79" i="1"/>
  <c r="H78" i="1"/>
  <c r="H77" i="1"/>
  <c r="H76" i="1"/>
  <c r="H75" i="1"/>
  <c r="H74" i="1"/>
  <c r="H73" i="1"/>
  <c r="H72" i="1"/>
  <c r="H71" i="1"/>
  <c r="H70" i="1"/>
  <c r="H69" i="1"/>
  <c r="H68" i="1"/>
  <c r="H65" i="1"/>
  <c r="H62" i="1"/>
  <c r="H61" i="1"/>
  <c r="H60" i="1"/>
  <c r="H59" i="1"/>
  <c r="H58" i="1"/>
  <c r="H57" i="1"/>
  <c r="H56" i="1"/>
  <c r="H55" i="1"/>
  <c r="H54" i="1"/>
  <c r="H53" i="1"/>
  <c r="H51" i="1"/>
  <c r="H49" i="1"/>
  <c r="H48" i="1"/>
  <c r="H47" i="1"/>
  <c r="H45" i="1"/>
  <c r="H44" i="1"/>
  <c r="H43" i="1"/>
  <c r="H42" i="1"/>
  <c r="H41" i="1"/>
  <c r="H40" i="1"/>
  <c r="H38" i="1"/>
  <c r="H37" i="1"/>
  <c r="H36" i="1"/>
  <c r="H35" i="1"/>
  <c r="H34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1" i="1"/>
  <c r="H8" i="1"/>
  <c r="H7" i="1"/>
  <c r="H6" i="1"/>
  <c r="Q5" i="9"/>
  <c r="G5" i="9"/>
  <c r="F5" i="9"/>
  <c r="AF10" i="9"/>
  <c r="AE10" i="9"/>
  <c r="AE5" i="9"/>
  <c r="AF5" i="9"/>
  <c r="AE11" i="9"/>
  <c r="AF11" i="9"/>
  <c r="AF4" i="9"/>
  <c r="AE4" i="9"/>
  <c r="L4" i="9"/>
  <c r="P5" i="9"/>
  <c r="V5" i="9"/>
  <c r="F4" i="9"/>
  <c r="H4" i="1"/>
  <c r="Z4" i="9"/>
  <c r="Q4" i="9"/>
  <c r="V4" i="9"/>
  <c r="K6" i="9"/>
  <c r="U11" i="9"/>
  <c r="V11" i="9"/>
  <c r="Q11" i="9"/>
  <c r="P11" i="9"/>
  <c r="F11" i="9"/>
  <c r="G11" i="9"/>
  <c r="U3" i="9"/>
  <c r="K5" i="9"/>
  <c r="U5" i="9"/>
  <c r="Z5" i="9"/>
  <c r="AA5" i="9"/>
  <c r="U4" i="9"/>
  <c r="AA4" i="9"/>
  <c r="G4" i="9"/>
  <c r="P4" i="9"/>
  <c r="L11" i="9"/>
  <c r="K4" i="9"/>
  <c r="K11" i="9"/>
  <c r="L5" i="9"/>
  <c r="H4" i="15"/>
  <c r="P9" i="9"/>
  <c r="AE6" i="9"/>
  <c r="AF6" i="9"/>
  <c r="AE9" i="9"/>
  <c r="AF9" i="9"/>
  <c r="AE8" i="9"/>
  <c r="AF8" i="9"/>
  <c r="AA3" i="9"/>
  <c r="F9" i="9"/>
  <c r="G9" i="9"/>
  <c r="U8" i="9"/>
  <c r="Q8" i="9"/>
  <c r="V8" i="9"/>
  <c r="F8" i="9"/>
  <c r="P8" i="9"/>
  <c r="K8" i="9"/>
  <c r="G8" i="9"/>
  <c r="L8" i="9"/>
  <c r="Q9" i="9"/>
  <c r="U9" i="9"/>
  <c r="Z6" i="9"/>
  <c r="U6" i="9"/>
  <c r="AA6" i="9"/>
  <c r="T13" i="9"/>
  <c r="V6" i="9"/>
  <c r="P6" i="9"/>
  <c r="Q3" i="9"/>
  <c r="Z3" i="9"/>
  <c r="G3" i="9"/>
  <c r="K3" i="9"/>
  <c r="P3" i="9"/>
  <c r="F3" i="9"/>
  <c r="L3" i="9"/>
  <c r="V3" i="9"/>
  <c r="K9" i="9"/>
  <c r="L9" i="9"/>
  <c r="V9" i="9"/>
  <c r="Y13" i="9"/>
  <c r="P10" i="9"/>
  <c r="Q10" i="9"/>
  <c r="V10" i="9"/>
  <c r="U10" i="9"/>
  <c r="K10" i="9"/>
  <c r="L10" i="9"/>
  <c r="J13" i="9"/>
  <c r="G10" i="9"/>
  <c r="F10" i="9"/>
  <c r="E13" i="9"/>
  <c r="Z13" i="9"/>
  <c r="O13" i="9"/>
  <c r="U13" i="9"/>
  <c r="AA13" i="9"/>
  <c r="F13" i="9"/>
  <c r="G13" i="9"/>
  <c r="K13" i="9"/>
  <c r="L13" i="9"/>
  <c r="V13" i="9"/>
  <c r="Q13" i="9"/>
  <c r="P13" i="9"/>
  <c r="AD13" i="9"/>
  <c r="AF13" i="9"/>
  <c r="AE3" i="9"/>
  <c r="H4" i="8"/>
  <c r="H4" i="4"/>
  <c r="AE13" i="9"/>
  <c r="Z192" i="11" l="1"/>
  <c r="Q4" i="11"/>
  <c r="Z4" i="11"/>
</calcChain>
</file>

<file path=xl/sharedStrings.xml><?xml version="1.0" encoding="utf-8"?>
<sst xmlns="http://schemas.openxmlformats.org/spreadsheetml/2006/main" count="4562" uniqueCount="1391">
  <si>
    <t>店舗</t>
    <rPh sb="0" eb="2">
      <t>テンポ</t>
    </rPh>
    <phoneticPr fontId="4"/>
  </si>
  <si>
    <t>機械名</t>
  </si>
  <si>
    <t>景品名</t>
  </si>
  <si>
    <t>単価</t>
  </si>
  <si>
    <t>在庫数</t>
    <rPh sb="0" eb="2">
      <t>ザイコ</t>
    </rPh>
    <rPh sb="2" eb="3">
      <t>スウ</t>
    </rPh>
    <phoneticPr fontId="4"/>
  </si>
  <si>
    <t>金額</t>
  </si>
  <si>
    <t>倉庫①</t>
  </si>
  <si>
    <t>倉庫②</t>
  </si>
  <si>
    <t>機械内</t>
    <rPh sb="2" eb="3">
      <t>ナイ</t>
    </rPh>
    <phoneticPr fontId="4"/>
  </si>
  <si>
    <t>合志</t>
    <rPh sb="0" eb="2">
      <t>コウシ</t>
    </rPh>
    <phoneticPr fontId="4"/>
  </si>
  <si>
    <t>ガチャコロ２</t>
    <phoneticPr fontId="4"/>
  </si>
  <si>
    <t>スイッチ2本体</t>
    <rPh sb="5" eb="7">
      <t>ホンタイ</t>
    </rPh>
    <phoneticPr fontId="4"/>
  </si>
  <si>
    <t>スイッチ本体</t>
    <rPh sb="4" eb="6">
      <t>ホンタイ</t>
    </rPh>
    <phoneticPr fontId="4"/>
  </si>
  <si>
    <t>instax</t>
    <phoneticPr fontId="4"/>
  </si>
  <si>
    <t>fire11max</t>
    <phoneticPr fontId="4"/>
  </si>
  <si>
    <t>NIKEスニーカー</t>
    <phoneticPr fontId="4"/>
  </si>
  <si>
    <t>A景品</t>
  </si>
  <si>
    <t>ポケモンカードBOX</t>
    <phoneticPr fontId="4"/>
  </si>
  <si>
    <t>イーブイ</t>
    <phoneticPr fontId="4"/>
  </si>
  <si>
    <t>カプセル2000</t>
    <phoneticPr fontId="4"/>
  </si>
  <si>
    <t>カプセル2000ポケ</t>
    <phoneticPr fontId="4"/>
  </si>
  <si>
    <t>500GATCHA</t>
    <phoneticPr fontId="4"/>
  </si>
  <si>
    <t>ボンドロ</t>
    <phoneticPr fontId="4"/>
  </si>
  <si>
    <t>カプセル500</t>
    <phoneticPr fontId="4"/>
  </si>
  <si>
    <t>BUZZ</t>
    <phoneticPr fontId="4"/>
  </si>
  <si>
    <t>サンリオキーケース</t>
    <phoneticPr fontId="4"/>
  </si>
  <si>
    <t>サンリオバンズクリップ</t>
    <phoneticPr fontId="4"/>
  </si>
  <si>
    <t>ラブブMC</t>
    <phoneticPr fontId="4"/>
  </si>
  <si>
    <t>海外シール</t>
    <rPh sb="0" eb="2">
      <t>カイガイ</t>
    </rPh>
    <phoneticPr fontId="4"/>
  </si>
  <si>
    <t>モンチッチMC</t>
    <phoneticPr fontId="4"/>
  </si>
  <si>
    <t>ギャルキティMC</t>
  </si>
  <si>
    <t>しば犬たまご</t>
  </si>
  <si>
    <t>たまごっちMC</t>
  </si>
  <si>
    <t>ボンドロ</t>
  </si>
  <si>
    <t>じゃがりこ財布</t>
    <rPh sb="5" eb="7">
      <t>サイフ</t>
    </rPh>
    <phoneticPr fontId="4"/>
  </si>
  <si>
    <t>サンリオホワイト</t>
    <phoneticPr fontId="4"/>
  </si>
  <si>
    <t>ファー</t>
  </si>
  <si>
    <t>ジョージKH</t>
    <phoneticPr fontId="4"/>
  </si>
  <si>
    <t>手錠</t>
  </si>
  <si>
    <t>サンリオMC</t>
    <phoneticPr fontId="4"/>
  </si>
  <si>
    <t>ハギワギ20ｃｍ</t>
  </si>
  <si>
    <t>AIモンスターMC</t>
    <phoneticPr fontId="4"/>
  </si>
  <si>
    <t>菊陽</t>
    <rPh sb="0" eb="2">
      <t>キクヨウ</t>
    </rPh>
    <phoneticPr fontId="4"/>
  </si>
  <si>
    <t>PS5</t>
    <phoneticPr fontId="4"/>
  </si>
  <si>
    <t>シュプリームバッグ</t>
    <phoneticPr fontId="4"/>
  </si>
  <si>
    <t>ゼンハイザーHP</t>
    <phoneticPr fontId="4"/>
  </si>
  <si>
    <t>エアポッズPRO</t>
    <phoneticPr fontId="4"/>
  </si>
  <si>
    <t>ブラウンシェーバー</t>
    <phoneticPr fontId="4"/>
  </si>
  <si>
    <t>ポケカ</t>
    <phoneticPr fontId="4"/>
  </si>
  <si>
    <t>スニーカー</t>
    <phoneticPr fontId="4"/>
  </si>
  <si>
    <t>ラブブセット</t>
    <phoneticPr fontId="4"/>
  </si>
  <si>
    <t>デロリアン</t>
    <phoneticPr fontId="4"/>
  </si>
  <si>
    <t>A景品</t>
    <rPh sb="1" eb="3">
      <t>ケイヒン</t>
    </rPh>
    <phoneticPr fontId="4"/>
  </si>
  <si>
    <t>カプセル2000</t>
  </si>
  <si>
    <t>buzz</t>
    <phoneticPr fontId="4"/>
  </si>
  <si>
    <t>サンリオバンズクリップ</t>
  </si>
  <si>
    <t>忍者めし</t>
  </si>
  <si>
    <t>海外シール</t>
  </si>
  <si>
    <t>ケーキSQ</t>
  </si>
  <si>
    <t>スンスンポーチ</t>
  </si>
  <si>
    <t>下通</t>
    <rPh sb="0" eb="2">
      <t>シモドオリ</t>
    </rPh>
    <phoneticPr fontId="4"/>
  </si>
  <si>
    <t>エアポッズPRO</t>
  </si>
  <si>
    <t>applewatch</t>
    <phoneticPr fontId="4"/>
  </si>
  <si>
    <t>リファセット</t>
    <phoneticPr fontId="4"/>
  </si>
  <si>
    <t>METAQUEST</t>
    <phoneticPr fontId="4"/>
  </si>
  <si>
    <t>switchライト本体</t>
    <rPh sb="0" eb="11">
      <t>スイッチライトホンタイ</t>
    </rPh>
    <phoneticPr fontId="4"/>
  </si>
  <si>
    <t>カプセル1000</t>
  </si>
  <si>
    <t>南熊本</t>
    <rPh sb="0" eb="1">
      <t>ミナミ</t>
    </rPh>
    <rPh sb="1" eb="3">
      <t>クマモト</t>
    </rPh>
    <phoneticPr fontId="4"/>
  </si>
  <si>
    <t>ティアラ</t>
    <phoneticPr fontId="4"/>
  </si>
  <si>
    <t>FIRE10</t>
    <phoneticPr fontId="4"/>
  </si>
  <si>
    <t>エアポッズ</t>
    <phoneticPr fontId="4"/>
  </si>
  <si>
    <t>ジャグラーフラッシュボタン</t>
  </si>
  <si>
    <t>サンリオっキーケース</t>
  </si>
  <si>
    <t>ラブブMC</t>
  </si>
  <si>
    <t>NICI</t>
  </si>
  <si>
    <t>ルララ</t>
  </si>
  <si>
    <t>本田</t>
    <rPh sb="0" eb="2">
      <t>ホンダ</t>
    </rPh>
    <phoneticPr fontId="4"/>
  </si>
  <si>
    <t>車</t>
    <rPh sb="0" eb="1">
      <t>クルマ</t>
    </rPh>
    <phoneticPr fontId="4"/>
  </si>
  <si>
    <t>エルメス</t>
    <phoneticPr fontId="4"/>
  </si>
  <si>
    <t>shupreme</t>
    <phoneticPr fontId="4"/>
  </si>
  <si>
    <t>FIREMAX11</t>
    <phoneticPr fontId="4"/>
  </si>
  <si>
    <t>REONPOCKET</t>
  </si>
  <si>
    <t>JBL　CHARGE5</t>
    <phoneticPr fontId="4"/>
  </si>
  <si>
    <t>リファドライヤー</t>
    <phoneticPr fontId="4"/>
  </si>
  <si>
    <t>switchlite</t>
  </si>
  <si>
    <t>スイッチソフト</t>
  </si>
  <si>
    <t>Airpods</t>
  </si>
  <si>
    <t>鞍手</t>
  </si>
  <si>
    <t>ガチャコロ2</t>
  </si>
  <si>
    <t>1000円カプセル景品</t>
  </si>
  <si>
    <t>2000円カプセル景品</t>
  </si>
  <si>
    <t>ｐｓ5デジタル</t>
  </si>
  <si>
    <t>スイッチ本体</t>
  </si>
  <si>
    <t>リファシャワー</t>
  </si>
  <si>
    <t>エアポッツ</t>
  </si>
  <si>
    <t>ＮＩＫＥスニーカー</t>
  </si>
  <si>
    <t>PSポータルリモート</t>
  </si>
  <si>
    <t>ボンボンシール</t>
  </si>
  <si>
    <t>ポケカプレ値</t>
  </si>
  <si>
    <t>ラブブ小</t>
  </si>
  <si>
    <t>スイッチライト本体</t>
  </si>
  <si>
    <t>ラブブ</t>
  </si>
  <si>
    <t>加湿器</t>
  </si>
  <si>
    <t>宗像</t>
  </si>
  <si>
    <t>ガチャコロ</t>
  </si>
  <si>
    <t>500GATCHA</t>
  </si>
  <si>
    <t>500円カプセル景品</t>
  </si>
  <si>
    <t>長府</t>
  </si>
  <si>
    <t>1000GATCHA</t>
  </si>
  <si>
    <t>ラブブ　ミニ</t>
  </si>
  <si>
    <t>魚町</t>
  </si>
  <si>
    <t>ティアラ2000</t>
  </si>
  <si>
    <t>アップルウォッチ</t>
  </si>
  <si>
    <t>ラブブミニ</t>
  </si>
  <si>
    <t>beat ヘッドホン</t>
  </si>
  <si>
    <t>ドライヤー</t>
  </si>
  <si>
    <t>サーキュレーター</t>
  </si>
  <si>
    <t>プロジェクター</t>
  </si>
  <si>
    <t>1000GATCHA　ポケモン</t>
  </si>
  <si>
    <t>1000円ポケモンカプセル景品</t>
  </si>
  <si>
    <t>ポケカBOX　黒煙</t>
  </si>
  <si>
    <t>ポケカBOX　EX　テラスタル</t>
  </si>
  <si>
    <t>ポケカBOX　バトルパートナー　</t>
  </si>
  <si>
    <t>ポケカBOX　ステラ</t>
  </si>
  <si>
    <t>ポケカBOX　超電</t>
  </si>
  <si>
    <t>ポケカBOX　メガシンフォ</t>
  </si>
  <si>
    <t>ポケカバラパック</t>
  </si>
  <si>
    <t>ポケカBOX　古代</t>
  </si>
  <si>
    <t>ポケカBOX　白</t>
  </si>
  <si>
    <t>ポケカBOX　黒</t>
  </si>
  <si>
    <t>ポケカBOX　ロケット団</t>
  </si>
  <si>
    <t>ポケカBOX　インフェルノ</t>
  </si>
  <si>
    <t>宇部</t>
  </si>
  <si>
    <t>ティアラ1000</t>
  </si>
  <si>
    <t>スピーカー</t>
  </si>
  <si>
    <t>1000GATCHA　2000円</t>
  </si>
  <si>
    <t>ポケカBOX　ムキニス</t>
  </si>
  <si>
    <t>ポケカBOX東北</t>
  </si>
  <si>
    <t>ポケカBOXシンフォ</t>
  </si>
  <si>
    <t>ポケカBOXメガ</t>
  </si>
  <si>
    <t>ポケカBOX　大箱メガブレ</t>
  </si>
  <si>
    <t>倉庫</t>
  </si>
  <si>
    <t>車載</t>
  </si>
  <si>
    <t>ポケカBOX</t>
  </si>
  <si>
    <t>チェキミニHM1</t>
  </si>
  <si>
    <t>ダイソン　ドライヤー</t>
  </si>
  <si>
    <t>店舗</t>
  </si>
  <si>
    <t>在庫数</t>
  </si>
  <si>
    <t>手持ち</t>
  </si>
  <si>
    <t>機械内</t>
  </si>
  <si>
    <t>　</t>
  </si>
  <si>
    <t>八女店</t>
  </si>
  <si>
    <t>PS5</t>
  </si>
  <si>
    <t>ガチャコロ（2000）</t>
  </si>
  <si>
    <t>ドンキ八女店</t>
  </si>
  <si>
    <t>DWリング</t>
  </si>
  <si>
    <t>ニューモ</t>
    <phoneticPr fontId="4"/>
  </si>
  <si>
    <t>UGGブーツ</t>
  </si>
  <si>
    <t>アディダス中国限定トラックジャケット</t>
    <rPh sb="5" eb="7">
      <t>チュウゴク</t>
    </rPh>
    <rPh sb="7" eb="9">
      <t>ゲンテイ</t>
    </rPh>
    <phoneticPr fontId="4"/>
  </si>
  <si>
    <t>ラブブBOX</t>
  </si>
  <si>
    <t>サクセス</t>
    <phoneticPr fontId="4"/>
  </si>
  <si>
    <t>ポケカ（東北）</t>
  </si>
  <si>
    <t>DISM 美顔器</t>
  </si>
  <si>
    <t>リファギフトセット</t>
  </si>
  <si>
    <t>SK2</t>
  </si>
  <si>
    <t>スニーカー</t>
  </si>
  <si>
    <t>スイッチ2　ソフト</t>
  </si>
  <si>
    <t>ナイキテックセット</t>
  </si>
  <si>
    <t>ディオールマキシマイザー</t>
  </si>
  <si>
    <t>9090リング</t>
  </si>
  <si>
    <t>ラブブコーラBOX</t>
  </si>
  <si>
    <t>ガチャコロ（1000）</t>
  </si>
  <si>
    <t>ボンボンドロップシール</t>
  </si>
  <si>
    <t>adidas グランドコートミュール</t>
  </si>
  <si>
    <t>たまごっち板チョコシール</t>
  </si>
  <si>
    <t>スイッチコントローラー</t>
  </si>
  <si>
    <t>２０００円カプセル景品</t>
  </si>
  <si>
    <t>スイッチライト</t>
  </si>
  <si>
    <t>任天堂食器</t>
  </si>
  <si>
    <t>シール</t>
  </si>
  <si>
    <t>ボンボンドロップシール</t>
    <phoneticPr fontId="4"/>
  </si>
  <si>
    <t>ラブブ（イニシャル）</t>
  </si>
  <si>
    <t>メロジョイスクイーズ</t>
  </si>
  <si>
    <t>ラブブチェックメイト</t>
  </si>
  <si>
    <t>クライベイビーパワーパフ</t>
  </si>
  <si>
    <t>プロテイン</t>
  </si>
  <si>
    <t>スカルパンダ</t>
  </si>
  <si>
    <t>スポガ久留米</t>
  </si>
  <si>
    <t>1０００円カプセル景品</t>
  </si>
  <si>
    <t>1000GACHA</t>
  </si>
  <si>
    <t>マリオ特大ぬいぐるみ</t>
  </si>
  <si>
    <t>スイッチ②ソフト</t>
  </si>
  <si>
    <t>任天堂Tシャツ</t>
  </si>
  <si>
    <t>久留米</t>
  </si>
  <si>
    <t>WBC応援グッズ</t>
  </si>
  <si>
    <t>グッチキャップ</t>
  </si>
  <si>
    <t>たまごっち</t>
  </si>
  <si>
    <t>フランフランギフトセット</t>
  </si>
  <si>
    <t>CHANEL</t>
  </si>
  <si>
    <t>DIESEL財布</t>
  </si>
  <si>
    <t>DIESELアクセサリー</t>
  </si>
  <si>
    <t>リファ　シャントリ</t>
  </si>
  <si>
    <t>ヒスミニ食器セット</t>
  </si>
  <si>
    <t>リファ　ブラシ</t>
  </si>
  <si>
    <t>コーチミニバック</t>
  </si>
  <si>
    <t>パック</t>
  </si>
  <si>
    <t>500ガチャ</t>
  </si>
  <si>
    <t>プロテイン＆シェイカー</t>
  </si>
  <si>
    <t>HUF　マフラー</t>
  </si>
  <si>
    <t>メロジョイスクイーズ</t>
    <phoneticPr fontId="4"/>
  </si>
  <si>
    <t>スイッチソフト</t>
    <phoneticPr fontId="4"/>
  </si>
  <si>
    <t>必ず当たる1000ガチャ</t>
  </si>
  <si>
    <t>サンリオボアバンスクリップ</t>
  </si>
  <si>
    <t>BUZZクレ</t>
  </si>
  <si>
    <t>たまごっちおかしなぼーろっち</t>
  </si>
  <si>
    <t>キラキラキティマルチケース</t>
  </si>
  <si>
    <t>ネイルセット</t>
    <phoneticPr fontId="4"/>
  </si>
  <si>
    <t>ぷくぷくシール</t>
  </si>
  <si>
    <t>八女</t>
  </si>
  <si>
    <t>たまごっちチョコブロックシール</t>
  </si>
  <si>
    <t>サミュエル</t>
  </si>
  <si>
    <t>バタースクイーズ</t>
  </si>
  <si>
    <t>モンチッチMC　スノー</t>
  </si>
  <si>
    <t>肉球スクイーズ</t>
  </si>
  <si>
    <t>KTギャル③ポーチ</t>
  </si>
  <si>
    <t>ドーナツスクイーズ</t>
  </si>
  <si>
    <t>サンリオヒョウ柄KC</t>
  </si>
  <si>
    <t>PRO4　</t>
  </si>
  <si>
    <t>キティミニフェイスポーチ</t>
  </si>
  <si>
    <t>忍者めし鎧</t>
  </si>
  <si>
    <t>ラブブ風MC</t>
  </si>
  <si>
    <t>キティラインストーン</t>
  </si>
  <si>
    <t>ラブブ風KH</t>
  </si>
  <si>
    <t>サンリオマスコットポーチ</t>
  </si>
  <si>
    <t>クリスタルクレーン</t>
  </si>
  <si>
    <t>忍者グミ鎧</t>
  </si>
  <si>
    <t>サンリオミラー</t>
  </si>
  <si>
    <t>BUZZミニ</t>
  </si>
  <si>
    <t>キティヒョウ柄ウインドウ</t>
  </si>
  <si>
    <t>シール小分け</t>
  </si>
  <si>
    <t>サンリオレインボーポーチ</t>
  </si>
  <si>
    <t>PUKUPUKUシール</t>
  </si>
  <si>
    <t>サンリオマスコットポーチヒョウ柄</t>
  </si>
  <si>
    <t>サミュエル干支</t>
  </si>
  <si>
    <t>パステルケーキ</t>
  </si>
  <si>
    <t>サンリオヘアバンド</t>
  </si>
  <si>
    <t>ジルコスメ</t>
  </si>
  <si>
    <t>ポケカ③枚</t>
  </si>
  <si>
    <t>サンリオカラビナファン</t>
  </si>
  <si>
    <t>ギャルキティキーケース</t>
  </si>
  <si>
    <t>ヒョウ柄キティMC</t>
  </si>
  <si>
    <t>レインボーキティマスコットポーチ</t>
  </si>
  <si>
    <t>サンリオカラビナ付きぬいぐるみファスナー</t>
  </si>
  <si>
    <t>サンリオボアミニポーチ</t>
  </si>
  <si>
    <t>液晶ミニカメラ</t>
  </si>
  <si>
    <t>モンチッチレトロMC</t>
  </si>
  <si>
    <t>クレーンゲームボタン</t>
  </si>
  <si>
    <t>トッポイヤホン</t>
  </si>
  <si>
    <t>AIラバー</t>
  </si>
  <si>
    <t>ブレスレット各種</t>
  </si>
  <si>
    <t>AIマスコットKH</t>
  </si>
  <si>
    <t>AIぬいぐるみ11種</t>
  </si>
  <si>
    <t>モンチッチスノーLサイズぬいぐるみ</t>
  </si>
  <si>
    <t>デカクレα</t>
  </si>
  <si>
    <t>クレヨンしんちゃん　ふわふわクッションver7</t>
  </si>
  <si>
    <t>デカクレ③</t>
  </si>
  <si>
    <t>ポケモンキラキラサンシャイン</t>
  </si>
  <si>
    <t>100円ガチャ</t>
  </si>
  <si>
    <t>クレヨンしんちゃん　フランネルボアブランケット</t>
  </si>
  <si>
    <t>ﾎﾟｹピースミニクッションマスコット</t>
  </si>
  <si>
    <t>クマぬいぐるみ他</t>
  </si>
  <si>
    <t>クレナグラン</t>
  </si>
  <si>
    <t>パックンチョ　ディズニープリンセス</t>
  </si>
  <si>
    <t>神袋</t>
  </si>
  <si>
    <t>キューブモール③</t>
  </si>
  <si>
    <t>白くま</t>
  </si>
  <si>
    <t>サンリオころふわ寝そべりクッション</t>
  </si>
  <si>
    <t>トリプルツイン①</t>
  </si>
  <si>
    <t>サンリオフランネルボアブランケット</t>
  </si>
  <si>
    <t>カムカムレモン</t>
  </si>
  <si>
    <t>ラブブ風ぬいぐるみ　30cm</t>
  </si>
  <si>
    <t>トリプルツイン②</t>
  </si>
  <si>
    <t>雪印（乳飲料とヨーグルト）</t>
  </si>
  <si>
    <t>ベイビースリーにゃんにゃんふぇいすブラインドBOX</t>
  </si>
  <si>
    <t>ダイヤモンドクレーン①左</t>
  </si>
  <si>
    <t>サンリオぬいぐるみポシェットボアミニポーチ</t>
  </si>
  <si>
    <t>ダイヤモンドクレーン①左、BUZZミニ⑤</t>
  </si>
  <si>
    <t>ミンティアシャカシャカキーチェーン</t>
  </si>
  <si>
    <t>マスカットのなみだ</t>
  </si>
  <si>
    <t>ダイヤモンドクレーン①右</t>
  </si>
  <si>
    <t>ペヤングやきそばミニチュアチャーム</t>
  </si>
  <si>
    <t>ぬいぐるみ5種 AI MONSTERS 22㎝～37㎝</t>
  </si>
  <si>
    <t>ダイヤモンドクレーン②左</t>
  </si>
  <si>
    <t>サンリオウィンドウチャームver2</t>
  </si>
  <si>
    <t>ガチャクレ①</t>
  </si>
  <si>
    <t>オタフクソースミニチュアチャーム</t>
  </si>
  <si>
    <t>ダイヤモンドクレーン②右、BUZZミニ⑤</t>
  </si>
  <si>
    <t>YAYAブラインドBOX　BIRTHDAY</t>
  </si>
  <si>
    <t>ガチャクレ②、トライデッキ右下</t>
  </si>
  <si>
    <t>JINROチャミスルミニチャーム</t>
  </si>
  <si>
    <t>ふわにん</t>
  </si>
  <si>
    <t>クリスタル</t>
  </si>
  <si>
    <t>ポケカ（安い物）</t>
  </si>
  <si>
    <t>ガチャクレ③</t>
  </si>
  <si>
    <t>ハローキティぬいぐるみチャーム</t>
  </si>
  <si>
    <t>ポケカ（テラスタルフェス、１５１、Vユニ）</t>
  </si>
  <si>
    <t>ガチャクレ③、BUZZクレーン②-１、BUZZクレーン④-3</t>
  </si>
  <si>
    <t>ニップンオーマイBIGシリーズミニチュアチャーム</t>
  </si>
  <si>
    <t>海外製シール</t>
  </si>
  <si>
    <t>BUZZミニ①、スイートランド５、トライデッキ左上</t>
  </si>
  <si>
    <t>ペット毛キーチェーン2</t>
  </si>
  <si>
    <t>ボンボンドロップシール(正規品全種類）</t>
  </si>
  <si>
    <t>BUZZミニ②</t>
  </si>
  <si>
    <t>Niconミニチュアカメラコレクション2</t>
  </si>
  <si>
    <t>ガチャクレ③、BUZZクレーン②-１</t>
  </si>
  <si>
    <t>サミュエル干支マスコット</t>
  </si>
  <si>
    <t>BUZZミニ③</t>
  </si>
  <si>
    <t>モンチッチ475ラバー前髪クリップ</t>
  </si>
  <si>
    <t>イニシャルラブブ</t>
  </si>
  <si>
    <t>BUZZミニ①、BUZZ②-2、トライデッキ右上</t>
  </si>
  <si>
    <t>日本製シール</t>
  </si>
  <si>
    <t>BUZZミニ④</t>
  </si>
  <si>
    <t>愛猫けだまポケット</t>
  </si>
  <si>
    <t>BUZZミニ⑤、トライデッキ左下</t>
  </si>
  <si>
    <t>サンリオグッズアソート（シール入）</t>
  </si>
  <si>
    <t>ゴールドモバイルバッテリー</t>
  </si>
  <si>
    <t>BUZZミニ⑥</t>
  </si>
  <si>
    <t>スンスン前髪クリップ</t>
  </si>
  <si>
    <t>スンスンボアミラポーチ</t>
  </si>
  <si>
    <t>BUZZミニ⑦</t>
  </si>
  <si>
    <t>うちの子けだまだま</t>
  </si>
  <si>
    <t>BUZZミニ⑤</t>
  </si>
  <si>
    <t>きゅるる</t>
  </si>
  <si>
    <t>リトルブルプリズム</t>
  </si>
  <si>
    <t>サンリオミニサンダルキーホルダー</t>
  </si>
  <si>
    <t>サミュエルラッキーラビット</t>
  </si>
  <si>
    <t>忍者グミ</t>
  </si>
  <si>
    <t>BUZZクレーン①-1</t>
  </si>
  <si>
    <t>サンリオPVCマスコット</t>
  </si>
  <si>
    <t>ピュレグミイヤホン</t>
  </si>
  <si>
    <t>BUZZクレーン①-2</t>
  </si>
  <si>
    <t>AIモンスターぬいぐるみMCKH</t>
  </si>
  <si>
    <t>BUZZクレーン①-3</t>
  </si>
  <si>
    <t>トッポ</t>
  </si>
  <si>
    <t>パペットスンスンボアバンスクリップ</t>
  </si>
  <si>
    <t>しばいぬたまごスクイーズ</t>
  </si>
  <si>
    <t>BUZZクレーン①-4、クレナマルチ②-3</t>
  </si>
  <si>
    <t>雪印乳製品カマンベールチーズ</t>
  </si>
  <si>
    <t>BUZZクレーン②-2、トライデッキ右上</t>
  </si>
  <si>
    <t>花王ミニチュアチャーム</t>
  </si>
  <si>
    <t>金の玉</t>
  </si>
  <si>
    <t>BUZZクレーン②-3</t>
  </si>
  <si>
    <t>カピバラスクイーズ</t>
  </si>
  <si>
    <t>雪印ヨーグルトとデザート</t>
  </si>
  <si>
    <t>ボンボンドロップシール小分け</t>
  </si>
  <si>
    <t>BUZZクレーン②-4、BUZZクレーン⑦-2</t>
  </si>
  <si>
    <t>リプトンミニチュアチャーム</t>
  </si>
  <si>
    <t>サンリオ ラインストーンミニクッション</t>
  </si>
  <si>
    <t>BUZZクレーン④-1</t>
  </si>
  <si>
    <t>pro4コントローラーワイヤレスイヤホン</t>
  </si>
  <si>
    <t>ピクミンゆらゆらフィギュア</t>
  </si>
  <si>
    <t>サンリオスマートキーケースギャル</t>
  </si>
  <si>
    <t>BUZZクレーン④-2、クレナマルチ①-2</t>
  </si>
  <si>
    <t>BUZZクレーン④-2</t>
  </si>
  <si>
    <t>たべっこどうぶつマスコットチャーム</t>
  </si>
  <si>
    <t>モンチッチスノーマスコット</t>
  </si>
  <si>
    <t>BUZZクレーン④-3</t>
  </si>
  <si>
    <t>サンリオミニフェイスポーチギャル③</t>
  </si>
  <si>
    <t>BUZZクレーン④-4</t>
  </si>
  <si>
    <t>エバラダブルチャームスイング</t>
  </si>
  <si>
    <t>ブランドミニ香水</t>
  </si>
  <si>
    <t>BUZZクレーン⑤-1</t>
  </si>
  <si>
    <t>スプライトミニチュアチャーム</t>
  </si>
  <si>
    <t>ぶるりん</t>
  </si>
  <si>
    <t>BUZZクレーン⑤-2</t>
  </si>
  <si>
    <t>コカコーラミニチュアチャーム</t>
  </si>
  <si>
    <t>電ブルcuet</t>
  </si>
  <si>
    <t>ハリボーミニクッションマスコット</t>
  </si>
  <si>
    <t>電ブル</t>
  </si>
  <si>
    <t>にくまんスクイーズ</t>
  </si>
  <si>
    <t>BUZZクレーン⑤-3</t>
  </si>
  <si>
    <t>ノーベル製菓　シャカシャカミニチュアチャーム</t>
  </si>
  <si>
    <t>ミニフェイスポーチ　ふわふわケープ　サンリオ</t>
  </si>
  <si>
    <t>ラブブ風マスコット</t>
  </si>
  <si>
    <t>BUZZクレーン⑤-4</t>
  </si>
  <si>
    <t>NEW ERA</t>
  </si>
  <si>
    <t>サンリオフローティングダブルミラー</t>
  </si>
  <si>
    <t>BUZZクレーン⑥-1</t>
  </si>
  <si>
    <t>miniMDリアルコレクション</t>
  </si>
  <si>
    <t>Niciキーリング</t>
  </si>
  <si>
    <t>Pro4ワイヤレスイヤホンメタリックゴールド</t>
  </si>
  <si>
    <t>推しの子ライトブレス</t>
  </si>
  <si>
    <t>BUZZクレーン⑥-2</t>
  </si>
  <si>
    <t>マリオカートDXアソート</t>
  </si>
  <si>
    <t>BUZZクレーン⑥-3</t>
  </si>
  <si>
    <t>ポケモンラバーマスコット25</t>
  </si>
  <si>
    <t>高額ポケカ</t>
  </si>
  <si>
    <t>BUZZクレーン⑥-4</t>
  </si>
  <si>
    <t>スヌーピー寝そべりマスコット</t>
  </si>
  <si>
    <t>とれんだ①-1</t>
  </si>
  <si>
    <t>ちいかわまんまるシリコンポーチ</t>
  </si>
  <si>
    <t>DNぷくぷくシール</t>
  </si>
  <si>
    <t>とれんだ①-2</t>
  </si>
  <si>
    <t>どこでも無限もぐらミニゲーム</t>
  </si>
  <si>
    <t>とれんだ①-3</t>
  </si>
  <si>
    <t>BUZZクレーン②-2、トライデッキ右上、BAZZミニ</t>
  </si>
  <si>
    <t>AIモンスタースクイーズ</t>
  </si>
  <si>
    <t>どうぶつのしっぽキーホルダー</t>
  </si>
  <si>
    <t>サンリオカラビナ付きミニファン</t>
  </si>
  <si>
    <t>ポケカ　オリパ</t>
  </si>
  <si>
    <t>とれんだ①-4</t>
  </si>
  <si>
    <t>ボンボンドロップシール小分け（本物）</t>
  </si>
  <si>
    <t>放出品</t>
  </si>
  <si>
    <t>とれんだ④-1</t>
  </si>
  <si>
    <t>BUZZクレーン③-1</t>
  </si>
  <si>
    <t>すやすや海の生き物BC他</t>
  </si>
  <si>
    <t>菊池風磨</t>
  </si>
  <si>
    <t>とれんだ④-2</t>
  </si>
  <si>
    <t>キティ小銭入れ（日焼け）</t>
  </si>
  <si>
    <t>BUZZクレーン③-2</t>
  </si>
  <si>
    <t>サンリオミニマスコットホワイト</t>
  </si>
  <si>
    <t>とれんだ④-3</t>
  </si>
  <si>
    <t>ぷくっとアングリーフェイスKH</t>
  </si>
  <si>
    <t>BUZZクレーン③-3</t>
  </si>
  <si>
    <t>ピクセル風サングラス</t>
  </si>
  <si>
    <t>スティッチキーケース</t>
  </si>
  <si>
    <t>とれんだ④-4</t>
  </si>
  <si>
    <t>三小毛羊</t>
  </si>
  <si>
    <t>BUZZクレーン③-4</t>
  </si>
  <si>
    <t>忍者めし鋼　6角BOX</t>
  </si>
  <si>
    <t>トライポット左</t>
  </si>
  <si>
    <t>ポケモンスナック</t>
  </si>
  <si>
    <t>チョコビ　いちご味</t>
  </si>
  <si>
    <t>トライポット右</t>
  </si>
  <si>
    <t>たまごっちマスコットキーホルダー</t>
  </si>
  <si>
    <t>ペクチングミ</t>
  </si>
  <si>
    <t>スイート景品（種類関係なく、ジャックポットも含め）</t>
  </si>
  <si>
    <t>スイートランド５</t>
  </si>
  <si>
    <t>トッポ ワイヤレスイヤホン</t>
  </si>
  <si>
    <t>BUZZクレーン⑦-1</t>
  </si>
  <si>
    <t>ブレスレット</t>
  </si>
  <si>
    <t>BUZZクレーン⑦-3</t>
  </si>
  <si>
    <t>パペットスンスン前髪クリップ</t>
  </si>
  <si>
    <t>サンリオカラフルアイスドームキーホルダー</t>
  </si>
  <si>
    <t>ルララサーカスぬいぐるみKH</t>
  </si>
  <si>
    <t>サンリオ指輪</t>
  </si>
  <si>
    <t>るらら</t>
  </si>
  <si>
    <t>BUZZクレーン⑦-4、BUZZクレーン⑧-4</t>
  </si>
  <si>
    <t>グミッツェルプチ</t>
  </si>
  <si>
    <t>ルララカピバラぬいぐるみKH</t>
  </si>
  <si>
    <t>クレナマルチ①-1</t>
  </si>
  <si>
    <t>スイートランド５、BUZZクレーン③-4</t>
  </si>
  <si>
    <t>キティシリコンがま口</t>
  </si>
  <si>
    <t>クレナマルチ①-2</t>
  </si>
  <si>
    <t>海外小分けシール</t>
  </si>
  <si>
    <t>クレナマルチ①-3</t>
  </si>
  <si>
    <t>たまごっち小分けシール</t>
  </si>
  <si>
    <t>クレナマルチ①-4</t>
  </si>
  <si>
    <t>ラブブ風マスコット　１６ｃｍ</t>
  </si>
  <si>
    <t>クレナマルチ②-1</t>
  </si>
  <si>
    <t>北斗の拳サウンドフラッシュボタンミニ</t>
  </si>
  <si>
    <t>サンリオヘアピン</t>
  </si>
  <si>
    <t>クレナマルチ②-2</t>
  </si>
  <si>
    <t>AI MONSTERS 立体ラバー</t>
  </si>
  <si>
    <t>BUZZクレーン⑦-4、クレナマルチ②-4</t>
  </si>
  <si>
    <t>クレナマルチ②-4</t>
  </si>
  <si>
    <t>北斗の拳サウンドフラッシュボタン2種</t>
  </si>
  <si>
    <t>サンリオチャーム付きスイーツBC.Ver1</t>
  </si>
  <si>
    <t>BUZZクレーン⑦-4</t>
  </si>
  <si>
    <t>Reゼロぴんぐるみ</t>
  </si>
  <si>
    <t>モンチッチスマートマルチケース</t>
  </si>
  <si>
    <t>BUZZクレーン⑧-1</t>
  </si>
  <si>
    <t>ラブブ風キーホルダー</t>
  </si>
  <si>
    <t>ジャグラーサウンドフラッシュボタンmini5</t>
  </si>
  <si>
    <t>BUZZクレーン⑧-2</t>
  </si>
  <si>
    <t>BUZZクレーン⑧-4</t>
  </si>
  <si>
    <t>ミニマスコット　ギャル③</t>
  </si>
  <si>
    <t>BUZZツイン①</t>
  </si>
  <si>
    <t>マスコットポーチ　ギャル③</t>
  </si>
  <si>
    <t>BUZZツイン③</t>
  </si>
  <si>
    <t>液晶付きミニデジタルカメラmuse</t>
  </si>
  <si>
    <t>BUZZクレーン⑧-3</t>
  </si>
  <si>
    <t>メロクロマスコットポーチ</t>
  </si>
  <si>
    <t>トライデッキ右下</t>
  </si>
  <si>
    <t>サンリオマスコットポーチギャル</t>
  </si>
  <si>
    <t>サンリオマスコットポーチアニマル</t>
  </si>
  <si>
    <t>アンパンマンMC</t>
  </si>
  <si>
    <t>BUZZツイン②</t>
  </si>
  <si>
    <t>スティッチスカーフ付きポーチ</t>
  </si>
  <si>
    <t>BUZZツイン④</t>
  </si>
  <si>
    <t>サンリオミニフェイスポーチ　ヒョウ柄</t>
  </si>
  <si>
    <t>ターボババア招き猫がいっぱいマスコット</t>
  </si>
  <si>
    <t>スカーフ付チャームリュック（種類関係ない）</t>
  </si>
  <si>
    <t>キャリーケース詰め合わせ</t>
  </si>
  <si>
    <t>BUZZミニ①</t>
  </si>
  <si>
    <t>サンリオマスコットポーチホワイト</t>
  </si>
  <si>
    <t>ミニプリンターSugar</t>
  </si>
  <si>
    <t>スティッチスカーフ付きチャーム</t>
  </si>
  <si>
    <t>サンリオスカーフ付チャームリュックVer.2</t>
  </si>
  <si>
    <t>ハローキティクリームソーダドール</t>
  </si>
  <si>
    <t>ポケモンYummy!sweetsマスコット2</t>
  </si>
  <si>
    <t>レトロキティ</t>
  </si>
  <si>
    <t>クレナマルチ①-1、BAZZクレーン⑧-3</t>
  </si>
  <si>
    <t>まるっちーの6</t>
  </si>
  <si>
    <t>サンリオパッチン</t>
  </si>
  <si>
    <t>アンパンマンフェイスクッション</t>
  </si>
  <si>
    <t>サンリオグッズアソート</t>
  </si>
  <si>
    <t>鬼滅アクリル</t>
  </si>
  <si>
    <t>SPG　PVCフィギュアキーホルダー</t>
  </si>
  <si>
    <t>サンリオサンダル型ポーチ</t>
  </si>
  <si>
    <t>忍者めし食べ比べミニバケツ</t>
  </si>
  <si>
    <t>サンリオリボンチャーム</t>
  </si>
  <si>
    <t>マルチポーチメロクロ</t>
  </si>
  <si>
    <t>サンリオアイシャドウスタイルキーチェーン</t>
  </si>
  <si>
    <t>クリスタルボール７．５センチ</t>
  </si>
  <si>
    <t>もんちっちフルーツマスコット</t>
  </si>
  <si>
    <t>サンリオキャラクターズアクリルチャーム</t>
  </si>
  <si>
    <t>三つ折りウォレット</t>
  </si>
  <si>
    <t>スライムフィギュア</t>
  </si>
  <si>
    <t>モンチッチキーケース</t>
  </si>
  <si>
    <t>スヌーピーミニバニティショルダーバッグ</t>
  </si>
  <si>
    <t>福袋</t>
  </si>
  <si>
    <t>キティ　チャーム付オーロラビーズキーホルダ</t>
  </si>
  <si>
    <t>しっぽミニ</t>
  </si>
  <si>
    <t>サンリオマスコットポーチハロウィン</t>
  </si>
  <si>
    <t>サンリオボアミラーポーチ</t>
  </si>
  <si>
    <t>ナルトカエルガマ口</t>
  </si>
  <si>
    <t>サンリオシューズストラップ</t>
  </si>
  <si>
    <t>アニマルしっぽKH</t>
  </si>
  <si>
    <t>とれんだ⑦</t>
  </si>
  <si>
    <t>おさるのジョージファン</t>
  </si>
  <si>
    <t>AIぬいぐるみ22～23cm</t>
  </si>
  <si>
    <t>液晶付きデジタルミニカメラ</t>
  </si>
  <si>
    <t>お菓子柄三つ折りウォレット</t>
  </si>
  <si>
    <t>ポケモンシリコンミニポーチ</t>
  </si>
  <si>
    <t>ヒョウ柄サンリオMC</t>
  </si>
  <si>
    <t>こびとづかんスマートキーケース</t>
  </si>
  <si>
    <t>サンリオ型押しマルチケース</t>
  </si>
  <si>
    <t>ジャグラーサウンドフラッシュボタン６(GOLD＆SILVER)</t>
  </si>
  <si>
    <t>サンリオキーケース</t>
  </si>
  <si>
    <t>ピクミンマスコット</t>
  </si>
  <si>
    <t>ジャグラーワイヤレスイヤホン（OVAL２）</t>
  </si>
  <si>
    <t>ジャグラー 光るパネルキーホルダー</t>
  </si>
  <si>
    <t>サンリオ立体アップリケミニポシェット</t>
  </si>
  <si>
    <t>サンリオカラビナ付きぬいぐるみポーチ</t>
  </si>
  <si>
    <t>アニマルアイシャドウ</t>
  </si>
  <si>
    <t>クリスタルボール（ドラゴンボール）7.5cm</t>
  </si>
  <si>
    <t>サンリオ型押しメタリックスカーフ付きポーチ</t>
  </si>
  <si>
    <t>サンリオキャラクターズ御守りアクリルチャーム</t>
  </si>
  <si>
    <t>サンリオフェイスリールパスケース　ヒョウ柄</t>
  </si>
  <si>
    <t>三つ折りウォレット(お菓子柄）</t>
  </si>
  <si>
    <t>ジャグラーサウンドフラッシュタイマークロックmini</t>
  </si>
  <si>
    <t>マイメロクロミ　小銭入れ</t>
  </si>
  <si>
    <t>サンリオミニミニバニティポーチ　ヒョウ柄</t>
  </si>
  <si>
    <t>シール帳バインダーピンク</t>
  </si>
  <si>
    <t>ラブブ風ヘアゴム</t>
  </si>
  <si>
    <t>ピクミンオールスターコレクション</t>
  </si>
  <si>
    <t>サンリオ　マスコットポーチヒョウ柄</t>
  </si>
  <si>
    <t>サンリオスマートキーケース　ヒョウ柄</t>
  </si>
  <si>
    <t>ポテチ</t>
  </si>
  <si>
    <t>ラブブ風フィギュア</t>
  </si>
  <si>
    <t>サンリオキーケースクリスマス</t>
  </si>
  <si>
    <t>キティ　小銭入れ（千鳥格子シリーズ）</t>
  </si>
  <si>
    <t>押忍！番長ミュージックプッシュボタンマスコット</t>
  </si>
  <si>
    <t>デジタルミニカメラ</t>
  </si>
  <si>
    <t>レトロモンチッチマスコット</t>
  </si>
  <si>
    <t>ボールペンアソート</t>
  </si>
  <si>
    <t>リコーダーペン</t>
  </si>
  <si>
    <t>メタリック手錠</t>
  </si>
  <si>
    <t>なんちゃって手榴弾</t>
  </si>
  <si>
    <t>ミニクレーンゲーム　スティック＆ボタン</t>
  </si>
  <si>
    <t>ちいかわぬいふわトートミニ</t>
  </si>
  <si>
    <t>proC超ミニカメラカラフル</t>
  </si>
  <si>
    <t>Mellojoyスクイズ</t>
  </si>
  <si>
    <t>ピクミンぬいぐるみマスコットアソート</t>
  </si>
  <si>
    <t>しっぽぶんぶんポメラニアン</t>
  </si>
  <si>
    <t>サンリオハート持ちマスコット</t>
  </si>
  <si>
    <t>しなこDIYアイス</t>
  </si>
  <si>
    <t>シール帳バインダー</t>
  </si>
  <si>
    <t>シャインマスカットボンボン？</t>
  </si>
  <si>
    <t>スカーフ付チャームリュックver3（ツイン以外）</t>
  </si>
  <si>
    <t>スカーフ付きキラキラマルチケース</t>
  </si>
  <si>
    <t>スカーフ付チャームリュック（ツイン）</t>
  </si>
  <si>
    <t>ミニNEW クレーンアームキーホルダー２</t>
  </si>
  <si>
    <t>ミニ福袋</t>
  </si>
  <si>
    <t>アクアジュエル</t>
  </si>
  <si>
    <t>くねくねイカダンサー</t>
  </si>
  <si>
    <t>ルララアイスぬいぐるみKH</t>
  </si>
  <si>
    <t>サンリオパイルケット</t>
  </si>
  <si>
    <t>たまごっちアクリルキーホルダー</t>
  </si>
  <si>
    <t>サンリオキャラクターズ　ヘアブラシ　</t>
  </si>
  <si>
    <t>ムニュっともっちりカピパラ</t>
  </si>
  <si>
    <t>ミニアルバム1インチぷっくりシール用5種</t>
  </si>
  <si>
    <t>ターボババアおすわりBIG</t>
  </si>
  <si>
    <t>サンリオスカーフ付チャームポーチVer.9</t>
  </si>
  <si>
    <t>サンリオフランネルひざ掛け</t>
  </si>
  <si>
    <t>サンリオ立体ひざ掛け</t>
  </si>
  <si>
    <t>日焼けキティキラキラマルチケース</t>
  </si>
  <si>
    <t>Lovely puppy</t>
  </si>
  <si>
    <t>雪見だいふくクッションＢＩＧ</t>
  </si>
  <si>
    <t>元祖ワッペ　ミニポーチ</t>
  </si>
  <si>
    <t>HappyBirthcolor Lopear Roseboa BIG</t>
  </si>
  <si>
    <t>日焼けキティクッション</t>
  </si>
  <si>
    <t>ベイビースリーすぷりんぐちゃんブラインドBOX</t>
  </si>
  <si>
    <t>サンリオリバーシブルもちもちクッション</t>
  </si>
  <si>
    <t>寝そべりクッション　ホワイト</t>
  </si>
  <si>
    <t>ベイビースリーぴりおねあきゃっとブラインドBOX</t>
  </si>
  <si>
    <t>サンリオ寝そべりクッションミニふわふわケープ</t>
  </si>
  <si>
    <t>サンリオラバーマスコット</t>
  </si>
  <si>
    <t>モンチッチフルーツぬいぐるみ</t>
  </si>
  <si>
    <t>日焼けキティころふわ寝そべりクッションVer.2</t>
  </si>
  <si>
    <t>機械</t>
  </si>
  <si>
    <t>ほっと一息NOODLE CUP</t>
  </si>
  <si>
    <t>５秒でぽかぽかHEATING</t>
  </si>
  <si>
    <t>ジャグラーティッシュクロック</t>
  </si>
  <si>
    <t>じゃがりこ　マルチ収納ボックス</t>
  </si>
  <si>
    <t>クロミ・ポチャッコ ダストBOX</t>
  </si>
  <si>
    <t>匠のバチ</t>
  </si>
  <si>
    <t>タコ焼き器メーカー</t>
  </si>
  <si>
    <t>9L自動開閉 センサーダストボックス</t>
  </si>
  <si>
    <t>Switch2対応 ｺﾝﾄﾛｰﾗｰﾁｬｰｼﾞｽﾀﾝﾄﾞ</t>
  </si>
  <si>
    <t>ジャグラーダストボックス10</t>
  </si>
  <si>
    <t>デビルワイヤレスヘッドホン</t>
  </si>
  <si>
    <t>サンリオキャラクターぷっくりミニダストBOX</t>
  </si>
  <si>
    <t>ジャグラーキルトマット2</t>
  </si>
  <si>
    <t>ジャグラーシルエットライト</t>
  </si>
  <si>
    <t>ジャグラー超BIGボストンバッグ</t>
  </si>
  <si>
    <t>ジャグラーソーラースウィング</t>
  </si>
  <si>
    <t>底マチボア―トートバッグ（キティ）</t>
  </si>
  <si>
    <t>ジャグラーオーバルクッション</t>
  </si>
  <si>
    <t>ハローキティ保温保冷BIGマルチバッグ</t>
  </si>
  <si>
    <t>コンパクトデジタルカメラ</t>
  </si>
  <si>
    <t>スピニングゴールドスピナー</t>
  </si>
  <si>
    <t>1000円ガチャ</t>
  </si>
  <si>
    <t>ジャグラーミニグラス</t>
  </si>
  <si>
    <t>ミニ懐中電灯ライトキーホルダー</t>
  </si>
  <si>
    <t>ハローキティ・クロミラバーマスコットクロック</t>
  </si>
  <si>
    <t>押してくせになるプチ呼び鈴</t>
  </si>
  <si>
    <t>日焼けキティ保温保冷BIGクリアバッグ</t>
  </si>
  <si>
    <t>クロミジャンボパイルケット</t>
  </si>
  <si>
    <t>光る！麻雀牌～SP～</t>
  </si>
  <si>
    <t>保温保冷多機能BIGトートバッグ</t>
  </si>
  <si>
    <t>ミニピストルライトストラップ</t>
  </si>
  <si>
    <t>ミッキーリュック</t>
  </si>
  <si>
    <t>びりびりKH8種</t>
  </si>
  <si>
    <t>サンリオキャラクターズ２層式ナップサック</t>
  </si>
  <si>
    <t>びりびり⑤</t>
  </si>
  <si>
    <t>3in1取り巻き式充電ケーブル</t>
  </si>
  <si>
    <t>バラ</t>
  </si>
  <si>
    <t>ジャグラーミニミニポーチ</t>
  </si>
  <si>
    <t>2000円ガチャ</t>
  </si>
  <si>
    <t>コンパクトボイスチェンジャー</t>
  </si>
  <si>
    <t>33個アソート済み</t>
  </si>
  <si>
    <t>もぐらたたきゲーム</t>
  </si>
  <si>
    <t>早押しクイズボタン</t>
  </si>
  <si>
    <t>ミニピストルライトキーホルダー</t>
  </si>
  <si>
    <t>アソート済み</t>
  </si>
  <si>
    <t>びりびりアソート</t>
  </si>
  <si>
    <t>バラエティー中身</t>
  </si>
  <si>
    <t>バラエティー500</t>
  </si>
  <si>
    <t>空カプセル（黒、金、カラー）</t>
  </si>
  <si>
    <t>ミニチュア香水</t>
  </si>
  <si>
    <t>空カプセル（黒65ｍｍ）</t>
  </si>
  <si>
    <t>カラフルメタリックミニゲール</t>
  </si>
  <si>
    <t>4in1ケーブル</t>
  </si>
  <si>
    <t>倉庫②(棚)</t>
    <phoneticPr fontId="4"/>
  </si>
  <si>
    <t>飯塚</t>
    <rPh sb="0" eb="2">
      <t>イイヅカ</t>
    </rPh>
    <phoneticPr fontId="4"/>
  </si>
  <si>
    <t>サンリオ　MCポーチギャル２</t>
  </si>
  <si>
    <t>BUZZミニクレーン①</t>
  </si>
  <si>
    <t>BUZZミニクレーン②</t>
  </si>
  <si>
    <t>AIモンスターぬいぐるみ15種</t>
    <rPh sb="14" eb="15">
      <t>シュ</t>
    </rPh>
    <phoneticPr fontId="2"/>
  </si>
  <si>
    <t>BUZZミニクレーン③</t>
  </si>
  <si>
    <t>PIN　FOR　LOVE　ラブブ</t>
  </si>
  <si>
    <t>BUZZミニクレーン④</t>
  </si>
  <si>
    <t xml:space="preserve">BUZZミニクレーン⑤ </t>
  </si>
  <si>
    <t xml:space="preserve">BUZZミニクレーン⑥ </t>
  </si>
  <si>
    <t>液晶付きミニデジタルカメラvogue</t>
    <rPh sb="0" eb="3">
      <t>エキショウツ</t>
    </rPh>
    <phoneticPr fontId="2"/>
  </si>
  <si>
    <t>BUZZミニクレーン⑧</t>
  </si>
  <si>
    <t>AIモンスターマスコットキーホルダー（約18cm）</t>
  </si>
  <si>
    <t>BUZZミニクレーン⑨</t>
  </si>
  <si>
    <t>ルララぬいぐるみ</t>
  </si>
  <si>
    <t>BUZZミニクレーン⑩</t>
  </si>
  <si>
    <t>スティッチキラキラキーケース</t>
  </si>
  <si>
    <t>BUZZクレ4①左上</t>
    <rPh sb="8" eb="10">
      <t>ヒダリウエ</t>
    </rPh>
    <phoneticPr fontId="2"/>
  </si>
  <si>
    <t>スマートキーケースギャル　サンリオ</t>
  </si>
  <si>
    <t>BUZZクレ4①右上</t>
    <rPh sb="8" eb="10">
      <t>ミギウエ</t>
    </rPh>
    <phoneticPr fontId="2"/>
  </si>
  <si>
    <t>サンリオスマートキーケースきらきらドリームシリーズ</t>
  </si>
  <si>
    <t>アニマルツムツムラバーマスコットKH</t>
  </si>
  <si>
    <t>BUZZクレ4①左下</t>
    <rPh sb="8" eb="10">
      <t>ヒダリシタ</t>
    </rPh>
    <phoneticPr fontId="2"/>
  </si>
  <si>
    <t>デジタルミニカメラ-Petit-</t>
  </si>
  <si>
    <t>BUZZクレ4②左上</t>
    <rPh sb="7" eb="10">
      <t>2ヒダリウエ</t>
    </rPh>
    <phoneticPr fontId="2"/>
  </si>
  <si>
    <t>デジタルミニカメラ-Petit-2</t>
  </si>
  <si>
    <t>ハローキティ　ぬいぐるみチャーム</t>
  </si>
  <si>
    <t>BUZZクレ4②右上</t>
    <rPh sb="8" eb="10">
      <t>ミギウエ</t>
    </rPh>
    <phoneticPr fontId="2"/>
  </si>
  <si>
    <t>パペットスンスン前髪クリップ</t>
    <rPh sb="8" eb="10">
      <t>マエガミ</t>
    </rPh>
    <phoneticPr fontId="2"/>
  </si>
  <si>
    <t>BUZZクレ4②左下</t>
    <rPh sb="8" eb="10">
      <t>ヒダリシタ</t>
    </rPh>
    <phoneticPr fontId="2"/>
  </si>
  <si>
    <t>ラブブキーホルダー</t>
  </si>
  <si>
    <t>BUZZクレ4②右下</t>
    <rPh sb="8" eb="10">
      <t>ミギシタ</t>
    </rPh>
    <phoneticPr fontId="2"/>
  </si>
  <si>
    <t>キティヒョウ柄ボールチェーンマスコット</t>
    <rPh sb="6" eb="7">
      <t>ガラ</t>
    </rPh>
    <phoneticPr fontId="2"/>
  </si>
  <si>
    <t>BUZZクレ4⑤左上</t>
    <rPh sb="8" eb="10">
      <t>ヒダリウエ</t>
    </rPh>
    <phoneticPr fontId="2"/>
  </si>
  <si>
    <t>サンリオカラビナ付きぬいぐるみファスナー4種</t>
    <rPh sb="8" eb="9">
      <t>ツ</t>
    </rPh>
    <rPh sb="21" eb="22">
      <t>シュ</t>
    </rPh>
    <phoneticPr fontId="2"/>
  </si>
  <si>
    <t>BUZZクレ4⑤右上</t>
    <rPh sb="8" eb="10">
      <t>ミギウエ</t>
    </rPh>
    <phoneticPr fontId="2"/>
  </si>
  <si>
    <t>Calbee じゃがりこワイヤレスイヤホンvol.2</t>
  </si>
  <si>
    <t>BUZZクレ4⑤左下</t>
    <rPh sb="8" eb="10">
      <t>ヒダリシタ</t>
    </rPh>
    <phoneticPr fontId="2"/>
  </si>
  <si>
    <t>ロムアンドジューシー　ラスティングティント　15種　アソート</t>
    <rPh sb="24" eb="25">
      <t>シュ</t>
    </rPh>
    <phoneticPr fontId="2"/>
  </si>
  <si>
    <t>BUZZクレ4⑤右下</t>
    <rPh sb="8" eb="10">
      <t>ミギシタ</t>
    </rPh>
    <phoneticPr fontId="2"/>
  </si>
  <si>
    <t>ジャグラーサウンドフラッシュボタンmini3（GOLD＆SILVER）</t>
  </si>
  <si>
    <t>クレナマルチ①左上</t>
    <rPh sb="7" eb="9">
      <t>ヒダリウエ</t>
    </rPh>
    <phoneticPr fontId="2"/>
  </si>
  <si>
    <t>ジャグラーフラッシュボタンmini4（レインボー）</t>
  </si>
  <si>
    <t>ぶるぶる電ブルBC　Cute3</t>
    <rPh sb="4" eb="5">
      <t>デン</t>
    </rPh>
    <phoneticPr fontId="2"/>
  </si>
  <si>
    <t>クレナマルチ①右上</t>
    <rPh sb="7" eb="9">
      <t>ミギウエ</t>
    </rPh>
    <phoneticPr fontId="2"/>
  </si>
  <si>
    <t>モンチッチドデカパッチン4種</t>
    <rPh sb="13" eb="14">
      <t>シュ</t>
    </rPh>
    <phoneticPr fontId="2"/>
  </si>
  <si>
    <t>クレナマルチ①左下</t>
    <rPh sb="7" eb="9">
      <t>ヒダリシタ</t>
    </rPh>
    <phoneticPr fontId="2"/>
  </si>
  <si>
    <t>サンリオスカーフ付きチャームポーチver.2</t>
    <rPh sb="8" eb="9">
      <t>ツ</t>
    </rPh>
    <phoneticPr fontId="2"/>
  </si>
  <si>
    <t>クレナマルチ②左上</t>
    <rPh sb="7" eb="9">
      <t>ヒダリウエ</t>
    </rPh>
    <phoneticPr fontId="2"/>
  </si>
  <si>
    <t>サンリオプロジェクタートイカメラ</t>
  </si>
  <si>
    <t>クレナマルチ②右上</t>
    <rPh sb="7" eb="9">
      <t>ミギウエ</t>
    </rPh>
    <phoneticPr fontId="2"/>
  </si>
  <si>
    <t>AIモンスターぬいぐるみマスコットKH</t>
  </si>
  <si>
    <t>クレナマルチ②左下</t>
    <rPh sb="7" eb="9">
      <t>ヒダリシタ</t>
    </rPh>
    <phoneticPr fontId="2"/>
  </si>
  <si>
    <t>しなクママスコットぬいぐるみ</t>
  </si>
  <si>
    <t>チロルチョコ　825g</t>
  </si>
  <si>
    <t>スイート5</t>
  </si>
  <si>
    <t>ジャグラーキーリング付きコインケース</t>
    <rPh sb="10" eb="11">
      <t>ツ</t>
    </rPh>
    <phoneticPr fontId="2"/>
  </si>
  <si>
    <t>スイートJP</t>
  </si>
  <si>
    <t>ロッテスイカandメロンバー ワイヤレスイヤホン</t>
  </si>
  <si>
    <t>サンリオゆらゆらソーラースウィング</t>
  </si>
  <si>
    <t>エスターバニーマスコット</t>
  </si>
  <si>
    <t>ダイヤモンドクレーン①左</t>
    <rPh sb="11" eb="12">
      <t>ヒダリ</t>
    </rPh>
    <phoneticPr fontId="2"/>
  </si>
  <si>
    <t>ハローキティ　ミラークロック</t>
  </si>
  <si>
    <t>ダイヤモンドクレーン①右</t>
    <rPh sb="11" eb="12">
      <t>ミギ</t>
    </rPh>
    <phoneticPr fontId="2"/>
  </si>
  <si>
    <t>ターボババァのおすわりBIGぬいぐるみ</t>
  </si>
  <si>
    <t>ダイヤモンドクレーン②左</t>
    <rPh sb="11" eb="12">
      <t>ヒダリ</t>
    </rPh>
    <phoneticPr fontId="2"/>
  </si>
  <si>
    <t>一蘭　カップ麵</t>
    <rPh sb="0" eb="2">
      <t>イチラン</t>
    </rPh>
    <rPh sb="6" eb="7">
      <t>メン</t>
    </rPh>
    <phoneticPr fontId="2"/>
  </si>
  <si>
    <t>ダイヤモンドクレーン②右</t>
    <rPh sb="11" eb="12">
      <t>ミギ</t>
    </rPh>
    <phoneticPr fontId="2"/>
  </si>
  <si>
    <t>神袋mini</t>
    <rPh sb="0" eb="2">
      <t>カミフクロ</t>
    </rPh>
    <phoneticPr fontId="2"/>
  </si>
  <si>
    <t>ダイヤモンドクレーン③右</t>
    <rPh sb="11" eb="12">
      <t>ミギ</t>
    </rPh>
    <phoneticPr fontId="2"/>
  </si>
  <si>
    <t>クレヨンしんちゃん三つ折りウォレット</t>
    <rPh sb="9" eb="10">
      <t>ミ</t>
    </rPh>
    <rPh sb="11" eb="12">
      <t>オ</t>
    </rPh>
    <phoneticPr fontId="2"/>
  </si>
  <si>
    <t>とれんだ４　1－1左</t>
    <rPh sb="9" eb="10">
      <t>ヒダリ</t>
    </rPh>
    <phoneticPr fontId="2"/>
  </si>
  <si>
    <t>じゃがりこ三つ折りウォレットPKサイズ</t>
    <rPh sb="5" eb="6">
      <t>ミ</t>
    </rPh>
    <rPh sb="7" eb="8">
      <t>オ</t>
    </rPh>
    <phoneticPr fontId="2"/>
  </si>
  <si>
    <t>どでかサングラス</t>
  </si>
  <si>
    <t>とれんだ４　1－1右</t>
    <rPh sb="9" eb="10">
      <t>ミギ</t>
    </rPh>
    <phoneticPr fontId="2"/>
  </si>
  <si>
    <t>光るピカピカカラフルめがね</t>
    <rPh sb="0" eb="1">
      <t>ヒカル</t>
    </rPh>
    <phoneticPr fontId="2"/>
  </si>
  <si>
    <t>モンチッチマスコット付きゲルペン</t>
    <rPh sb="10" eb="11">
      <t>ツ</t>
    </rPh>
    <phoneticPr fontId="2"/>
  </si>
  <si>
    <t>とれんだ４　1－2左</t>
    <rPh sb="9" eb="10">
      <t>ヒダリ</t>
    </rPh>
    <phoneticPr fontId="2"/>
  </si>
  <si>
    <t>Calbee じゃがりこラバーマスコット付きボールペン</t>
    <rPh sb="20" eb="21">
      <t>ツ</t>
    </rPh>
    <phoneticPr fontId="2"/>
  </si>
  <si>
    <t>サンリオキャラクターズマスコット付きボールペン</t>
    <rPh sb="16" eb="17">
      <t>ツ</t>
    </rPh>
    <phoneticPr fontId="2"/>
  </si>
  <si>
    <t>クレヨンしんちゃんマスコット付き4色ボールペン</t>
    <rPh sb="14" eb="15">
      <t>ツ</t>
    </rPh>
    <rPh sb="17" eb="18">
      <t>ショク</t>
    </rPh>
    <phoneticPr fontId="2"/>
  </si>
  <si>
    <t>おさるのジョージマスコット付きボールペン4色ボールペン</t>
    <rPh sb="13" eb="14">
      <t>ツ</t>
    </rPh>
    <rPh sb="21" eb="22">
      <t>ショク</t>
    </rPh>
    <phoneticPr fontId="2"/>
  </si>
  <si>
    <t>お菓子アソート</t>
    <rPh sb="1" eb="3">
      <t>カシ</t>
    </rPh>
    <phoneticPr fontId="2"/>
  </si>
  <si>
    <t>とれんだ４　1－2右</t>
    <rPh sb="9" eb="10">
      <t>ミギ</t>
    </rPh>
    <phoneticPr fontId="2"/>
  </si>
  <si>
    <t>とれんだ４　2－1左</t>
    <rPh sb="9" eb="10">
      <t>ヒダリ</t>
    </rPh>
    <phoneticPr fontId="2"/>
  </si>
  <si>
    <t>注射器ペン</t>
    <rPh sb="0" eb="3">
      <t>チュウシャキ</t>
    </rPh>
    <phoneticPr fontId="2"/>
  </si>
  <si>
    <t>SPGマスコット10種 8cm</t>
    <rPh sb="10" eb="11">
      <t>シュ</t>
    </rPh>
    <phoneticPr fontId="2"/>
  </si>
  <si>
    <t>とれんだ４　2－2右</t>
    <rPh sb="9" eb="10">
      <t>ミギ</t>
    </rPh>
    <phoneticPr fontId="2"/>
  </si>
  <si>
    <t>メタリックカラー手錠</t>
    <rPh sb="8" eb="10">
      <t>テジョウ</t>
    </rPh>
    <phoneticPr fontId="2"/>
  </si>
  <si>
    <t>とれんだ４　2－2左</t>
    <rPh sb="9" eb="10">
      <t>ヒダリ</t>
    </rPh>
    <phoneticPr fontId="2"/>
  </si>
  <si>
    <t>サンリオ巻き寿司型ミニポーチ</t>
    <rPh sb="4" eb="5">
      <t>マ</t>
    </rPh>
    <rPh sb="6" eb="8">
      <t>ズシ</t>
    </rPh>
    <rPh sb="8" eb="9">
      <t>ガタ</t>
    </rPh>
    <phoneticPr fontId="2"/>
  </si>
  <si>
    <t>ジャグラーめちゃでか毛布（白）</t>
    <rPh sb="10" eb="12">
      <t>モウフ</t>
    </rPh>
    <rPh sb="13" eb="14">
      <t>シロ</t>
    </rPh>
    <phoneticPr fontId="2"/>
  </si>
  <si>
    <t>デカクレ</t>
  </si>
  <si>
    <t>ジャグラーアウトドア多機能ブランケット</t>
    <rPh sb="10" eb="13">
      <t>タキノウ</t>
    </rPh>
    <phoneticPr fontId="2"/>
  </si>
  <si>
    <t>つぶらな瞳のなまがきおめかしムラサキカラー</t>
    <rPh sb="4" eb="5">
      <t>ヒトミ</t>
    </rPh>
    <phoneticPr fontId="2"/>
  </si>
  <si>
    <t>サンリオフェイスクッション第6弾</t>
    <rPh sb="13" eb="14">
      <t>ダイ</t>
    </rPh>
    <rPh sb="15" eb="16">
      <t>ダン</t>
    </rPh>
    <phoneticPr fontId="2"/>
  </si>
  <si>
    <t>トリプルツイン左</t>
    <rPh sb="7" eb="8">
      <t>ヒダリ</t>
    </rPh>
    <phoneticPr fontId="2"/>
  </si>
  <si>
    <t>クレヨンしんちゃん寝そべりキュートBIGぬいぐるみ2</t>
    <rPh sb="9" eb="10">
      <t>ネ</t>
    </rPh>
    <phoneticPr fontId="2"/>
  </si>
  <si>
    <t>トリプルツイン右</t>
    <rPh sb="7" eb="8">
      <t>ミギ</t>
    </rPh>
    <phoneticPr fontId="2"/>
  </si>
  <si>
    <t>ハローキティ　レトロカラードールGJ</t>
  </si>
  <si>
    <t>ハローキティ　クリームソーダドールGJ</t>
  </si>
  <si>
    <t>ポケモンカードテラスタルフェスex</t>
  </si>
  <si>
    <t>リトルブル①左上</t>
    <rPh sb="6" eb="8">
      <t>ヒダリウエ</t>
    </rPh>
    <phoneticPr fontId="2"/>
  </si>
  <si>
    <t>一撃マスター</t>
    <rPh sb="0" eb="2">
      <t>イチゲキ</t>
    </rPh>
    <phoneticPr fontId="2"/>
  </si>
  <si>
    <t>摩天パーフェクト</t>
    <rPh sb="0" eb="2">
      <t>マテン</t>
    </rPh>
    <phoneticPr fontId="2"/>
  </si>
  <si>
    <t>ポケカ　メガブレイヴ　メガシンフォニア</t>
  </si>
  <si>
    <t>リトルブル①右上</t>
    <rPh sb="6" eb="8">
      <t>ミギウエ</t>
    </rPh>
    <phoneticPr fontId="2"/>
  </si>
  <si>
    <t>リトルブル①左下</t>
    <rPh sb="6" eb="8">
      <t>ヒダリシタ</t>
    </rPh>
    <phoneticPr fontId="2"/>
  </si>
  <si>
    <t>SPGラバーキーホルダー</t>
  </si>
  <si>
    <t>リトルブル①右下</t>
    <rPh sb="6" eb="8">
      <t>ミギシタ</t>
    </rPh>
    <phoneticPr fontId="2"/>
  </si>
  <si>
    <t>北斗の拳サウンドチェンジ‼ワイヤレスイヤホンvol.1</t>
    <rPh sb="0" eb="2">
      <t>ホクト</t>
    </rPh>
    <rPh sb="3" eb="4">
      <t>ケン</t>
    </rPh>
    <phoneticPr fontId="2"/>
  </si>
  <si>
    <t>リトルブル②左上</t>
    <rPh sb="6" eb="8">
      <t>ヒダリウエ</t>
    </rPh>
    <phoneticPr fontId="2"/>
  </si>
  <si>
    <t>モンスターハンターワイルズ　ワイヤレスイヤホン</t>
  </si>
  <si>
    <t>リトルブル②右上</t>
    <rPh sb="6" eb="8">
      <t>ミギウエ</t>
    </rPh>
    <phoneticPr fontId="2"/>
  </si>
  <si>
    <t>ポケットモンスターシリコンミニポーチ</t>
  </si>
  <si>
    <t>リトルブル②左下</t>
    <rPh sb="6" eb="8">
      <t>ヒダリシタ</t>
    </rPh>
    <phoneticPr fontId="2"/>
  </si>
  <si>
    <t>Cute ラブブ</t>
  </si>
  <si>
    <t>リトルブル②右下</t>
    <rPh sb="6" eb="8">
      <t>ミギシタ</t>
    </rPh>
    <phoneticPr fontId="2"/>
  </si>
  <si>
    <t>サンリオでかでかぱっちんピン</t>
  </si>
  <si>
    <t>リトルブル③左上</t>
    <rPh sb="6" eb="8">
      <t>ヒダリウエ</t>
    </rPh>
    <phoneticPr fontId="2"/>
  </si>
  <si>
    <t>サンリオシューズストラップKH　POP!POP!デザイン</t>
  </si>
  <si>
    <t>リトルブル③右上</t>
    <rPh sb="6" eb="8">
      <t>ミギウエ</t>
    </rPh>
    <phoneticPr fontId="2"/>
  </si>
  <si>
    <t>GOGOギャル　キティ　ミニサンダルキーホルダー</t>
  </si>
  <si>
    <t>リトルブル③左下</t>
    <rPh sb="6" eb="8">
      <t>ヒダリシタ</t>
    </rPh>
    <phoneticPr fontId="2"/>
  </si>
  <si>
    <t>アンパンマン　ハンカチ</t>
  </si>
  <si>
    <t>リトルブル③右下</t>
    <rPh sb="6" eb="8">
      <t>ミギシタ</t>
    </rPh>
    <phoneticPr fontId="2"/>
  </si>
  <si>
    <t>ガーナワイヤレスイヤホン</t>
  </si>
  <si>
    <t>リトルブル④左上</t>
    <rPh sb="6" eb="8">
      <t>ヒダリウエ</t>
    </rPh>
    <phoneticPr fontId="2"/>
  </si>
  <si>
    <t>トッポワイヤレスイヤホン</t>
  </si>
  <si>
    <t>ターボババァがいっぱいマスコット</t>
  </si>
  <si>
    <t>リトルブル④右上</t>
    <rPh sb="6" eb="8">
      <t>ミギウエ</t>
    </rPh>
    <phoneticPr fontId="2"/>
  </si>
  <si>
    <t>リトルブル④左下</t>
    <rPh sb="6" eb="7">
      <t>ヒダリ</t>
    </rPh>
    <rPh sb="7" eb="8">
      <t>シタ</t>
    </rPh>
    <phoneticPr fontId="2"/>
  </si>
  <si>
    <t>リトルブル④右下</t>
    <rPh sb="6" eb="7">
      <t>ミギ</t>
    </rPh>
    <rPh sb="7" eb="8">
      <t>シタ</t>
    </rPh>
    <phoneticPr fontId="2"/>
  </si>
  <si>
    <t>サンリオアイシャドウ風キーチェーン</t>
    <rPh sb="10" eb="11">
      <t>フウ</t>
    </rPh>
    <phoneticPr fontId="2"/>
  </si>
  <si>
    <t>リトルブル⑤左上</t>
    <rPh sb="6" eb="8">
      <t>ヒダリウエ</t>
    </rPh>
    <phoneticPr fontId="2"/>
  </si>
  <si>
    <t>ジャグラーワイヤレスイヤホン</t>
  </si>
  <si>
    <t>リトルブル⑤右上</t>
    <rPh sb="6" eb="8">
      <t>ミギウエ</t>
    </rPh>
    <phoneticPr fontId="2"/>
  </si>
  <si>
    <t>携帯ゲーム機GAME Arks mini4</t>
    <rPh sb="0" eb="2">
      <t>ケイタイ</t>
    </rPh>
    <rPh sb="5" eb="6">
      <t>キ</t>
    </rPh>
    <phoneticPr fontId="2"/>
  </si>
  <si>
    <t>リトルブル⑤左下</t>
    <rPh sb="6" eb="8">
      <t>ヒダリシタ</t>
    </rPh>
    <phoneticPr fontId="2"/>
  </si>
  <si>
    <t>AIモンスター立体ラバーKH</t>
    <rPh sb="7" eb="9">
      <t>リッタイ</t>
    </rPh>
    <phoneticPr fontId="2"/>
  </si>
  <si>
    <t>リトルブル⑤右下</t>
    <rPh sb="6" eb="8">
      <t>ミギシタ</t>
    </rPh>
    <phoneticPr fontId="2"/>
  </si>
  <si>
    <t>AI MONSTER HQ立体ラバーKH</t>
    <rPh sb="13" eb="15">
      <t>リッタイ</t>
    </rPh>
    <phoneticPr fontId="2"/>
  </si>
  <si>
    <t>マルちゃん正麺カップ4種アソート</t>
    <rPh sb="5" eb="7">
      <t>セイメン</t>
    </rPh>
    <rPh sb="11" eb="12">
      <t>シュ</t>
    </rPh>
    <phoneticPr fontId="2"/>
  </si>
  <si>
    <t>台湾キャッチャー①</t>
    <rPh sb="0" eb="2">
      <t>タイワン</t>
    </rPh>
    <phoneticPr fontId="2"/>
  </si>
  <si>
    <t>湖池屋ポテトチップス5個パック2種</t>
    <rPh sb="0" eb="3">
      <t>コイケヤ</t>
    </rPh>
    <rPh sb="11" eb="12">
      <t>コ</t>
    </rPh>
    <rPh sb="16" eb="17">
      <t>シュ</t>
    </rPh>
    <phoneticPr fontId="2"/>
  </si>
  <si>
    <t>台湾キャッチャー②</t>
    <rPh sb="0" eb="2">
      <t>タイワン</t>
    </rPh>
    <phoneticPr fontId="2"/>
  </si>
  <si>
    <t>ポケモンカード　ロストアビス</t>
  </si>
  <si>
    <t>ポケカ　バトルパートナーズ</t>
  </si>
  <si>
    <t>ポケモンカード</t>
  </si>
  <si>
    <t>ジャグラー　保温保冷ステンレスタンブラー</t>
    <rPh sb="6" eb="10">
      <t>ホオンホレイ</t>
    </rPh>
    <phoneticPr fontId="2"/>
  </si>
  <si>
    <t>ジャグラー　ダイカットクロック</t>
  </si>
  <si>
    <t>Bluetooth　switch対応　ゲームコントローラー　クリア８</t>
    <rPh sb="16" eb="18">
      <t>タイオウ</t>
    </rPh>
    <phoneticPr fontId="2"/>
  </si>
  <si>
    <t xml:space="preserve">ほっと一息　NOODLE CUP </t>
    <rPh sb="3" eb="5">
      <t>ヒトイキ</t>
    </rPh>
    <phoneticPr fontId="2"/>
  </si>
  <si>
    <t>スヌーピーモップクーラーボックス</t>
  </si>
  <si>
    <t>ダイナソー　ピンポンボールゲーム</t>
  </si>
  <si>
    <t>カプセルキャッチャーマシーン３</t>
  </si>
  <si>
    <t>パシャぴかミニカメラ</t>
  </si>
  <si>
    <t>パシャぴかモンスターカメラ２</t>
  </si>
  <si>
    <t>GIGA　NEWクレーンアームキーホルダー</t>
  </si>
  <si>
    <t>サンリオキャラクターズカラフルアイスクリームキーホルダー</t>
  </si>
  <si>
    <t>サンリオミモザ柄マスコット</t>
    <rPh sb="7" eb="8">
      <t>ガラ</t>
    </rPh>
    <phoneticPr fontId="2"/>
  </si>
  <si>
    <t>サンリオミニフェイスポーチコーデュロイ4種</t>
    <rPh sb="20" eb="21">
      <t>シュ</t>
    </rPh>
    <phoneticPr fontId="2"/>
  </si>
  <si>
    <t>ゆめかわサンリオキャラクターズマスコットハローキティ50周年Ver.</t>
    <rPh sb="28" eb="30">
      <t>シュウネン</t>
    </rPh>
    <phoneticPr fontId="2"/>
  </si>
  <si>
    <t>もっちりリアルドーナツスクイーズ</t>
  </si>
  <si>
    <t>サンリオスカーフ付チャームリュック</t>
    <rPh sb="8" eb="9">
      <t>ツキ</t>
    </rPh>
    <phoneticPr fontId="2"/>
  </si>
  <si>
    <t>サンリオカラビナ付きハンディファン</t>
    <rPh sb="8" eb="9">
      <t>ツ</t>
    </rPh>
    <phoneticPr fontId="2"/>
  </si>
  <si>
    <t>チュッパチャップスミニウォレット</t>
  </si>
  <si>
    <t>ガマ口カエル財布</t>
    <rPh sb="2" eb="3">
      <t>グチ</t>
    </rPh>
    <rPh sb="6" eb="8">
      <t>サイフ</t>
    </rPh>
    <phoneticPr fontId="2"/>
  </si>
  <si>
    <t>サンリオフェイスヘアバンドハローキティ４種</t>
    <rPh sb="20" eb="21">
      <t>シュ</t>
    </rPh>
    <phoneticPr fontId="2"/>
  </si>
  <si>
    <t>ジャグラーサウンドフラッシュボタンDX（PINK）</t>
  </si>
  <si>
    <t>おさるのジョージポータブルファン</t>
  </si>
  <si>
    <t>ゲーム型アラームKHにゃんこ</t>
    <rPh sb="3" eb="4">
      <t>ガタ</t>
    </rPh>
    <phoneticPr fontId="2"/>
  </si>
  <si>
    <t>ジャグラーフラッシュキーホルダー</t>
  </si>
  <si>
    <t>フェイクファーレインボーしっぽKH　38cm</t>
  </si>
  <si>
    <t>エアーベッド⑧（RED）</t>
  </si>
  <si>
    <t>サンリオフランネルひざ掛け100×140</t>
    <rPh sb="11" eb="12">
      <t>カ</t>
    </rPh>
    <phoneticPr fontId="2"/>
  </si>
  <si>
    <t>ヘリコプターペン</t>
  </si>
  <si>
    <t>ピクセル箸セット</t>
    <rPh sb="4" eb="5">
      <t>ハシ</t>
    </rPh>
    <phoneticPr fontId="2"/>
  </si>
  <si>
    <t>スヌーピーモップ</t>
  </si>
  <si>
    <t>ジャグラーボストンバッグ</t>
  </si>
  <si>
    <t>カップヌードルドーム缶2種</t>
    <rPh sb="10" eb="11">
      <t>カン</t>
    </rPh>
    <rPh sb="12" eb="13">
      <t>シュ</t>
    </rPh>
    <phoneticPr fontId="2"/>
  </si>
  <si>
    <t>キラキラマシュマロスティック</t>
  </si>
  <si>
    <t>ポケカ　ブラックボルト</t>
  </si>
  <si>
    <t>ホワイトフレア</t>
  </si>
  <si>
    <t>ポケカ　バトルパートナーズ　熱風のアリーナ</t>
    <rPh sb="14" eb="16">
      <t>ネップウ</t>
    </rPh>
    <phoneticPr fontId="2"/>
  </si>
  <si>
    <t>お菓子エコバッグランダムアソート</t>
    <rPh sb="1" eb="3">
      <t>カシ</t>
    </rPh>
    <phoneticPr fontId="2"/>
  </si>
  <si>
    <t>サンダル型マルチポーチギャル　ハローキティ</t>
    <rPh sb="4" eb="5">
      <t>ガタ</t>
    </rPh>
    <phoneticPr fontId="2"/>
  </si>
  <si>
    <t>ドラゴンクエストスライムビッグクリアフィギュア</t>
  </si>
  <si>
    <t>スイカゲームミニフィギュア</t>
  </si>
  <si>
    <t>バトルシューティングレーザーガン</t>
  </si>
  <si>
    <t>蒼空ストリーム</t>
    <rPh sb="0" eb="2">
      <t>ソウクウ</t>
    </rPh>
    <phoneticPr fontId="2"/>
  </si>
  <si>
    <t>マイジャグラーPremium　LEDランプ</t>
  </si>
  <si>
    <t>PIN FOR LOVE ラブブ（黄）</t>
  </si>
  <si>
    <t>PIN FOR LOVE ラブブ（青）</t>
  </si>
  <si>
    <t>サンリオマスコットポーチ あにまる</t>
  </si>
  <si>
    <t>サンリオミニミニバニティポーチ</t>
  </si>
  <si>
    <t>ディズニーぷくぷくシール</t>
  </si>
  <si>
    <t>BUZZミニクレーン⑤</t>
  </si>
  <si>
    <t>ビーモふわにん</t>
  </si>
  <si>
    <t>BUZZミニクレーン⑦</t>
  </si>
  <si>
    <t>Tryme パステルケーキスクイーズ</t>
  </si>
  <si>
    <t>サンリオ　型押しマルチケース</t>
  </si>
  <si>
    <t>BUZZクレ4①左上</t>
  </si>
  <si>
    <t>BUZZクレ4①右上</t>
  </si>
  <si>
    <t>サミュエルラッキーラビットブラインドボックス</t>
  </si>
  <si>
    <t>ぷくっとアングリーKH</t>
  </si>
  <si>
    <t>BUZZクレ4①左下</t>
  </si>
  <si>
    <t>たまごっちマスコットキーホルダー①</t>
  </si>
  <si>
    <t>BUZZクレ4①右下</t>
  </si>
  <si>
    <t>液晶付きミニデジタルカメラvogue</t>
  </si>
  <si>
    <t>BUZZクレ4②左上</t>
  </si>
  <si>
    <t>BUZZクレ4②右上</t>
  </si>
  <si>
    <t>ハローキティ　マスコット付4色ボールペン</t>
  </si>
  <si>
    <t>BUZZクレ4②右下</t>
  </si>
  <si>
    <t>ジャグラーminiminiスピーカー</t>
  </si>
  <si>
    <t>BUZZクレ4⑤左上</t>
  </si>
  <si>
    <t>サンリオカラビナ付きぬいぐるみファスナー4種</t>
  </si>
  <si>
    <t>BUZZクレ4⑤右上</t>
  </si>
  <si>
    <t>サンリオぬいぐるみがま口</t>
  </si>
  <si>
    <t>BUZZクレ4⑤左下</t>
  </si>
  <si>
    <t>BUZZクレ4⑤右下</t>
  </si>
  <si>
    <t>スカーフ付きチャームリュックVer.3</t>
  </si>
  <si>
    <t>BUZZクレ4⑥左上</t>
  </si>
  <si>
    <t>BUZZクレ4⑥右上</t>
  </si>
  <si>
    <t>モンチッチカラビナ付きミニミニポーチ</t>
  </si>
  <si>
    <t>BUZZクレ4⑥左下</t>
  </si>
  <si>
    <t>サンリオミニフェイスポーチふわふわケープ</t>
  </si>
  <si>
    <t>BUZZクレ4⑥右下</t>
  </si>
  <si>
    <t>サンリオフェイスヘアバンドハローキティ4種</t>
  </si>
  <si>
    <t>BUZZクレ4⑦左上</t>
  </si>
  <si>
    <t>キティドデカパッチン（ハワイアン）</t>
  </si>
  <si>
    <t>BUZZクレ4⑦右上</t>
  </si>
  <si>
    <t>ハローキティマスコット付シャーペン</t>
  </si>
  <si>
    <t>BUZZクレ4⑦右下</t>
  </si>
  <si>
    <t>ぶるぶる電ブルBC　Cute3</t>
  </si>
  <si>
    <t>クレナマルチ①右上</t>
  </si>
  <si>
    <t>モンチッチドデカパッチン4種</t>
  </si>
  <si>
    <t>クレナマルチ①左下</t>
  </si>
  <si>
    <t>サンリオシューズストラップKC POP!POP!デザイン</t>
  </si>
  <si>
    <t>クレナマルチ①右下</t>
  </si>
  <si>
    <t>キャラクタースカーフ付きチャームポーチ（スティッチ）</t>
  </si>
  <si>
    <t>クレナマルチ②左上</t>
  </si>
  <si>
    <t>クレナマルチ②右上</t>
  </si>
  <si>
    <t>クレナマルチ②左下</t>
  </si>
  <si>
    <t>ルララ　サーカス　ぬいぐるみKH</t>
  </si>
  <si>
    <t>ルララ　スウィーツ　マスコットぬいぐるみKH</t>
  </si>
  <si>
    <t>サンリオフランネルボアブランケットVer.2</t>
  </si>
  <si>
    <t>ダイヤモンドクレーン②右</t>
  </si>
  <si>
    <t>神袋mini</t>
  </si>
  <si>
    <t>ダイヤモンドクレーン③右</t>
  </si>
  <si>
    <t>クレヨンしんちゃんフランネルブランケット</t>
  </si>
  <si>
    <t>きゅるるビッグぬいぐるみ</t>
  </si>
  <si>
    <t>トリプルツイン左</t>
  </si>
  <si>
    <t>日焼けキティもちもちクッション</t>
  </si>
  <si>
    <t>リトルブル①左上</t>
  </si>
  <si>
    <t>摩天パーフェクト</t>
  </si>
  <si>
    <t>サンリオボアバンスクリップうるデコ</t>
  </si>
  <si>
    <t>リトルブル①右上</t>
  </si>
  <si>
    <t>リトルブル①左下</t>
  </si>
  <si>
    <t>サンリオウィンドウチャームケースver.2</t>
  </si>
  <si>
    <t>リトルブル①右下</t>
  </si>
  <si>
    <t>北斗の拳サウンドチェンジ‼ワイヤレスイヤホンvol.1</t>
  </si>
  <si>
    <t>リトルブル②左上</t>
  </si>
  <si>
    <t>リトルブル②右上</t>
  </si>
  <si>
    <t>ハローキティミニフェイスポーチギャル３</t>
  </si>
  <si>
    <t>リトルブル②左下</t>
  </si>
  <si>
    <t>サンリオミニマスコットギャル3</t>
  </si>
  <si>
    <t>リトルブル③左上</t>
  </si>
  <si>
    <t>サンリオラインストーンミニクッションBC</t>
  </si>
  <si>
    <t>リトルブル③右上</t>
  </si>
  <si>
    <t>マイメロディ・クロミおそろいギンガムチェックシリーズ小銭入れ</t>
  </si>
  <si>
    <t>リトルブル③左下</t>
  </si>
  <si>
    <t>キティ千鳥格子シリーズ小銭入れ</t>
  </si>
  <si>
    <t>リトルブル③右下</t>
  </si>
  <si>
    <t>サンリオボアバンスクリップ ハローキティシリーズ</t>
  </si>
  <si>
    <t>リトルブル④左上</t>
  </si>
  <si>
    <t>モンチッチちゃん＆チムたんマスコット</t>
  </si>
  <si>
    <t>リトルブル④左下</t>
  </si>
  <si>
    <t>サンリオミニヘアクリップラインストーン</t>
  </si>
  <si>
    <t>リトルブル④右下</t>
  </si>
  <si>
    <t>ポケカ　ムニキスゼロ</t>
  </si>
  <si>
    <t>リトルブル⑤左上</t>
  </si>
  <si>
    <t>Pro4コントローラーワイヤレスイヤホン</t>
  </si>
  <si>
    <t>リトルブル⑤右上</t>
  </si>
  <si>
    <t>カラフルメタリックミニゲーム</t>
  </si>
  <si>
    <t>リトルブル⑤左下</t>
  </si>
  <si>
    <t>携帯ゲーム機GAME Arks mini4</t>
  </si>
  <si>
    <t>AIモンスター立体ラバーKH</t>
  </si>
  <si>
    <t>リトルブル⑤右下</t>
  </si>
  <si>
    <t>AI MONSTER HQ立体ラバーKH</t>
  </si>
  <si>
    <t>台湾キャッチャー①</t>
  </si>
  <si>
    <t>AIモンスターぬいぐるみ15種</t>
  </si>
  <si>
    <t>忍者めし鋼ミニポッド2種</t>
  </si>
  <si>
    <t>台湾キャッチャー②</t>
  </si>
  <si>
    <t>トライデッキ左上・右下</t>
  </si>
  <si>
    <t>光るピカピカカラフルめがね</t>
  </si>
  <si>
    <t>バズツイン①</t>
  </si>
  <si>
    <t>メタリックカラー手錠</t>
  </si>
  <si>
    <t>スイカゲーム ミニフィギュア</t>
  </si>
  <si>
    <t>バズツイン②</t>
  </si>
  <si>
    <t>バズツイン③</t>
  </si>
  <si>
    <t>ピクミン箸セット</t>
  </si>
  <si>
    <t>バズツイン④</t>
  </si>
  <si>
    <t>PPT20cmマスコット9種</t>
  </si>
  <si>
    <t>ゆるかわサンリオキャラクターズマスコット ハローキティ50周年ver</t>
  </si>
  <si>
    <t>キティヒョウ柄ボールチェーンマスコット</t>
  </si>
  <si>
    <t>ジャグラーGOGOランプシルエットライト</t>
  </si>
  <si>
    <t>サミュエルキューティペットブラインドボックス</t>
  </si>
  <si>
    <t>GOGOギャルキティミニサンダルキーホルダー</t>
  </si>
  <si>
    <t>北斗の拳サウンドフラッシュボタン</t>
  </si>
  <si>
    <t>サンリオ保温保冷BIGマルチバッグVer.11</t>
  </si>
  <si>
    <t>サンリオミニフェイスポーチヒョウ柄</t>
  </si>
  <si>
    <t>サンリオフェイスリール　パスケースヒョウ柄</t>
  </si>
  <si>
    <t>クレヨンしんちゃん三つ折りウォレット</t>
  </si>
  <si>
    <t>注射器ペン</t>
  </si>
  <si>
    <t>ジャグラーダストBOX10</t>
  </si>
  <si>
    <t>スーパーマリオポケットウォッチ</t>
  </si>
  <si>
    <t>サンダル型マルチポーチギャルハローキティ</t>
  </si>
  <si>
    <t>サンリオカラビナ付きハンディファン</t>
  </si>
  <si>
    <t>GIGA　New　クレーンアームキーホルダー</t>
  </si>
  <si>
    <t>サンリオミニフェイスポーチコーデュロイ4種</t>
  </si>
  <si>
    <t>ガマ口カエル財布</t>
  </si>
  <si>
    <t>サンリオスマートキーケースウィンター</t>
  </si>
  <si>
    <t>ゲーム型アラームKHにゃんこ</t>
  </si>
  <si>
    <t>ポケカ　メガドリームEX</t>
  </si>
  <si>
    <t>ポケモンカード　インフェルノX</t>
  </si>
  <si>
    <t>ポケモンカード　ブラックボルト</t>
  </si>
  <si>
    <t>ポケカ　メガブレイブ　メガシンフォニア</t>
  </si>
  <si>
    <t>蒼空ストリーム</t>
  </si>
  <si>
    <t>BLUETOOTH　SWITCH対応　ゲームコントローラークリア8</t>
  </si>
  <si>
    <t>ほっと一息NOODLE　CUP</t>
  </si>
  <si>
    <t>スヌーピークーラーボックス</t>
  </si>
  <si>
    <t>パンケーキスクイーズ</t>
  </si>
  <si>
    <t>BT-YAYA　ベイビースリーYAYA　1周年</t>
  </si>
  <si>
    <t>ベイビースリー　にゃんにゃんふぇいす</t>
  </si>
  <si>
    <t>日焼けキティコロふわ　ねそべりクッションVer.2</t>
  </si>
  <si>
    <t>サンリオチャーム付きブレスVer.1</t>
  </si>
  <si>
    <t>サンリオチャーム付きスイーツVer.1</t>
  </si>
  <si>
    <t>キティデニムポーチ</t>
  </si>
  <si>
    <t>サンリオウィンドウチャームケースVer.2</t>
  </si>
  <si>
    <t>サンリオマスコットポーチあにまる</t>
  </si>
  <si>
    <t>ポケモンカード　ムニキスゼロ</t>
  </si>
  <si>
    <t>小倉1000円ガチャ</t>
    <rPh sb="0" eb="2">
      <t>コクラ</t>
    </rPh>
    <rPh sb="6" eb="7">
      <t>エン</t>
    </rPh>
    <phoneticPr fontId="4"/>
  </si>
  <si>
    <t>A景品</t>
    <rPh sb="1" eb="3">
      <t>ケイヒン</t>
    </rPh>
    <phoneticPr fontId="2"/>
  </si>
  <si>
    <t>1000円カプセル景品</t>
    <rPh sb="4" eb="5">
      <t>エン</t>
    </rPh>
    <rPh sb="9" eb="11">
      <t>ケイヒン</t>
    </rPh>
    <phoneticPr fontId="2"/>
  </si>
  <si>
    <t>ポケカメガブレイブ</t>
  </si>
  <si>
    <t>ラブブエナジーシリーズ</t>
  </si>
  <si>
    <t>ティアラ1000</t>
    <phoneticPr fontId="4"/>
  </si>
  <si>
    <t>ラブブマカロンシリーズ</t>
  </si>
  <si>
    <t>VRゴーグル</t>
  </si>
  <si>
    <t>ドローン</t>
  </si>
  <si>
    <t>飯塚2000円ガチャ</t>
  </si>
  <si>
    <t>デカプセル</t>
  </si>
  <si>
    <t>2000円ガチャカプセル景品</t>
    <rPh sb="4" eb="5">
      <t>エン</t>
    </rPh>
    <rPh sb="12" eb="14">
      <t>ケイヒン</t>
    </rPh>
    <phoneticPr fontId="2"/>
  </si>
  <si>
    <t>スイッチライト本体</t>
    <rPh sb="7" eb="9">
      <t>ホンタイ</t>
    </rPh>
    <phoneticPr fontId="2"/>
  </si>
  <si>
    <t>スイッチソフト大乱闘スマッシュブラザーズ</t>
    <rPh sb="7" eb="10">
      <t>ダイラントウ</t>
    </rPh>
    <phoneticPr fontId="2"/>
  </si>
  <si>
    <t>PS5ポータブル</t>
  </si>
  <si>
    <t>スイッチソフトマリオパーティ</t>
  </si>
  <si>
    <t>スイッチ本体</t>
    <rPh sb="4" eb="6">
      <t>ホンタイ</t>
    </rPh>
    <phoneticPr fontId="2"/>
  </si>
  <si>
    <t>リファシャワーヘッド</t>
  </si>
  <si>
    <t>サロニアヘアドライヤー</t>
  </si>
  <si>
    <t>アップルイヤホン</t>
  </si>
  <si>
    <t>リファストレートアイロン</t>
  </si>
  <si>
    <t>サロニアヘアアイロン</t>
  </si>
  <si>
    <t>ポケカホワイトフレア</t>
  </si>
  <si>
    <t>ポケカテラスタルフェス</t>
  </si>
  <si>
    <t>ポケカロケット団の栄光</t>
    <rPh sb="7" eb="8">
      <t>ダン</t>
    </rPh>
    <rPh sb="9" eb="11">
      <t>エイコウ</t>
    </rPh>
    <phoneticPr fontId="2"/>
  </si>
  <si>
    <t>switch2</t>
    <phoneticPr fontId="4"/>
  </si>
  <si>
    <t>飯塚1000円ガチャ</t>
  </si>
  <si>
    <t>1000円ガチャ</t>
    <rPh sb="4" eb="5">
      <t>エン</t>
    </rPh>
    <phoneticPr fontId="4"/>
  </si>
  <si>
    <t>1000円カプセル景品</t>
    <rPh sb="4" eb="5">
      <t>エン</t>
    </rPh>
    <rPh sb="9" eb="11">
      <t>ケイヒン</t>
    </rPh>
    <phoneticPr fontId="4"/>
  </si>
  <si>
    <t>ポケカメガブレイブ</t>
    <phoneticPr fontId="4"/>
  </si>
  <si>
    <t>ポケカメガシンフォニア</t>
    <phoneticPr fontId="4"/>
  </si>
  <si>
    <t>しなこマシュマロ</t>
  </si>
  <si>
    <t>しなこ水筒</t>
    <rPh sb="3" eb="5">
      <t>スイトウ</t>
    </rPh>
    <phoneticPr fontId="4"/>
  </si>
  <si>
    <t>たまごっちUNI</t>
  </si>
  <si>
    <t>スイッチライトハイラルエディション</t>
  </si>
  <si>
    <t>カメラ付きドローン</t>
    <rPh sb="3" eb="4">
      <t>ツ</t>
    </rPh>
    <phoneticPr fontId="4"/>
  </si>
  <si>
    <t>太鼓の達人ソフト＆バチセット</t>
    <rPh sb="0" eb="2">
      <t>タイコ</t>
    </rPh>
    <rPh sb="3" eb="5">
      <t>タツジン</t>
    </rPh>
    <phoneticPr fontId="4"/>
  </si>
  <si>
    <t>ラブブエナジーシリーズ</t>
    <phoneticPr fontId="4"/>
  </si>
  <si>
    <t>ラブブマカロンシリーズ</t>
    <phoneticPr fontId="4"/>
  </si>
  <si>
    <t>スーパーゴリラのひとつき</t>
  </si>
  <si>
    <t>飯塚スニーカーガチャ</t>
  </si>
  <si>
    <t>2000円カプセル</t>
    <rPh sb="4" eb="5">
      <t>エン</t>
    </rPh>
    <phoneticPr fontId="2"/>
  </si>
  <si>
    <t>スニーカーガチャ</t>
  </si>
  <si>
    <t>ディオール香水アソート</t>
    <rPh sb="5" eb="7">
      <t>コウスイ</t>
    </rPh>
    <phoneticPr fontId="2"/>
  </si>
  <si>
    <t>ミスディオールハンドクリームセット</t>
  </si>
  <si>
    <t>シャネルギフトセット</t>
  </si>
  <si>
    <t>ブルガリ香水アソート</t>
    <rPh sb="4" eb="6">
      <t>コウスイ</t>
    </rPh>
    <phoneticPr fontId="2"/>
  </si>
  <si>
    <t>ラルフローレントートバッグ</t>
  </si>
  <si>
    <t>Nikeスニーカー</t>
  </si>
  <si>
    <t>ザノースフェイストートバッグ</t>
  </si>
  <si>
    <t>ザノースフェイスバケットハット</t>
  </si>
  <si>
    <t>カルバンクラインキャップ</t>
  </si>
  <si>
    <t>ジョーダンバッグ</t>
  </si>
  <si>
    <t>シュプリーム腕時計</t>
  </si>
  <si>
    <t>Nikeハイパーダンク</t>
  </si>
  <si>
    <t>エアジョーダン</t>
  </si>
  <si>
    <t>ノースフェイスサンダル</t>
  </si>
  <si>
    <t>Nikeサンダル</t>
  </si>
  <si>
    <t>Nikeコービー9</t>
  </si>
  <si>
    <t>サボンセット</t>
  </si>
  <si>
    <t>黒崎店</t>
    <rPh sb="0" eb="2">
      <t>クロサキ</t>
    </rPh>
    <rPh sb="2" eb="3">
      <t>テン</t>
    </rPh>
    <phoneticPr fontId="4"/>
  </si>
  <si>
    <t>スイッチ旧型本体</t>
  </si>
  <si>
    <t>エアポッツ　整備済み品</t>
  </si>
  <si>
    <t>ＮＩＫＥスニーカー　八村</t>
  </si>
  <si>
    <t>ポケカBOX　EX</t>
  </si>
  <si>
    <t>ジョーダン　ハンドバッグ</t>
  </si>
  <si>
    <t>天面投影プロジェクター</t>
  </si>
  <si>
    <t>Diorトラベルセット</t>
  </si>
  <si>
    <t>シュプリームショルダー</t>
  </si>
  <si>
    <t>PS4中古</t>
  </si>
  <si>
    <t>switchプロコントローラー</t>
  </si>
  <si>
    <t>ポケカメガシンフォニア</t>
  </si>
  <si>
    <t>ティアラ1001</t>
  </si>
  <si>
    <t>コカ・コーララブブ</t>
  </si>
  <si>
    <t>ファービー</t>
  </si>
  <si>
    <t>ゴリラのひとつき</t>
  </si>
  <si>
    <t>ポケカメガドリームBOX</t>
  </si>
  <si>
    <t>ラブブハブアスイート</t>
  </si>
  <si>
    <t>ラブブチェックメイトぬいぐるみ</t>
  </si>
  <si>
    <t>ティアラ2001</t>
  </si>
  <si>
    <t>ラブブビッグイントゥエナジー</t>
  </si>
  <si>
    <t>ティアラ2002</t>
  </si>
  <si>
    <t>太鼓の達人セット</t>
  </si>
  <si>
    <t>ラブブフォンチャーム</t>
  </si>
  <si>
    <t>小倉2000円ガチャ</t>
  </si>
  <si>
    <t>APCトートバック</t>
  </si>
  <si>
    <t>APC2つ折り財布</t>
  </si>
  <si>
    <t>HUFパーカー</t>
  </si>
  <si>
    <t>HUFキャップ</t>
  </si>
  <si>
    <t>SK2スキンケアセット</t>
  </si>
  <si>
    <t>ディオールリップマキシマイザー</t>
  </si>
  <si>
    <t>リファミルクプロテイン</t>
  </si>
  <si>
    <t>BEATイヤホン</t>
  </si>
  <si>
    <t>サロニアドライヤー</t>
  </si>
  <si>
    <t>adidasスニーカー</t>
  </si>
  <si>
    <t>鹿屋</t>
  </si>
  <si>
    <t>1000GATCHA(2000)</t>
  </si>
  <si>
    <t>NIKEスニーカー</t>
  </si>
  <si>
    <t>ブランドコスメ</t>
  </si>
  <si>
    <t>シュプリームバッグ</t>
  </si>
  <si>
    <t>リファへアアイロン</t>
  </si>
  <si>
    <t>PSポータルリモートプレーヤー</t>
  </si>
  <si>
    <t>2000カプセル</t>
  </si>
  <si>
    <t>bossヘッドホン</t>
  </si>
  <si>
    <t>ポケモンカードBOX</t>
  </si>
  <si>
    <t>ブランドコスメギフトセット</t>
  </si>
  <si>
    <t>ブラウン5 シェーバー</t>
  </si>
  <si>
    <t>電動歯ブラシ</t>
  </si>
  <si>
    <t>1000カプセル</t>
  </si>
  <si>
    <t>ゲームソフト</t>
  </si>
  <si>
    <t>500カプセル</t>
  </si>
  <si>
    <t>都城</t>
  </si>
  <si>
    <t>Appleウォッチ</t>
  </si>
  <si>
    <t>1000ティアラ</t>
  </si>
  <si>
    <t>アンカーサウンドコア300</t>
  </si>
  <si>
    <t>インスタックスmini12 セット</t>
  </si>
  <si>
    <t>霧島隼人</t>
  </si>
  <si>
    <t>2000ティアラ</t>
  </si>
  <si>
    <t>シュプリームショルダーバッグ</t>
  </si>
  <si>
    <t>リバティー4プロ</t>
  </si>
  <si>
    <t>ブランドコスメセット</t>
  </si>
  <si>
    <t>refaヘアアイロン</t>
  </si>
  <si>
    <t>ロジクールキーボード</t>
  </si>
  <si>
    <t>Apple watch　ナイキ</t>
  </si>
  <si>
    <t>モーメントトゥルーワイヤレス３</t>
  </si>
  <si>
    <t>oral B 電動歯ブラシ</t>
  </si>
  <si>
    <t>JBLスピーカー</t>
  </si>
  <si>
    <t>サンリオ</t>
  </si>
  <si>
    <t>薩摩川内</t>
  </si>
  <si>
    <t>AirpodsPro</t>
  </si>
  <si>
    <t>シュプリームスニーカー</t>
  </si>
  <si>
    <t>リファヘアドライヤー</t>
  </si>
  <si>
    <t>AnkerスピーカーRaveNeo2</t>
  </si>
  <si>
    <t>UBLスピーカー</t>
  </si>
  <si>
    <t>インタックスカメラ</t>
  </si>
  <si>
    <t>宇宿</t>
  </si>
  <si>
    <t>スイッチ2本体</t>
  </si>
  <si>
    <t>シュプリームウエストバッグ</t>
  </si>
  <si>
    <t>在庫</t>
  </si>
  <si>
    <t>ガチャ</t>
    <phoneticPr fontId="4"/>
  </si>
  <si>
    <t>Ulike Air10 脱毛器</t>
  </si>
  <si>
    <t>SONY ワイヤレスイヤホン</t>
  </si>
  <si>
    <t>液タブ</t>
  </si>
  <si>
    <t>ブランドギフトセット</t>
  </si>
  <si>
    <t>AG03</t>
  </si>
  <si>
    <t>instax mini11</t>
  </si>
  <si>
    <t>AT2020GM</t>
  </si>
  <si>
    <t>シュプリーム　シャツ</t>
  </si>
  <si>
    <t>エルメス</t>
  </si>
  <si>
    <t>メガネ形ビデオカメラ</t>
  </si>
  <si>
    <t>YAMAHA AG03</t>
  </si>
  <si>
    <t>YAMAHA ダイナミックマイク</t>
  </si>
  <si>
    <t>instax mini Evo ギフトセット</t>
  </si>
  <si>
    <t>ラブブ　ばら</t>
  </si>
  <si>
    <t>Fire max11</t>
  </si>
  <si>
    <t>playstation リモートプレーヤー</t>
  </si>
  <si>
    <t>PS4</t>
  </si>
  <si>
    <t>スイッチ　太鼓の達人コントローラー</t>
  </si>
  <si>
    <t>Dyson　ドライヤー</t>
  </si>
  <si>
    <t>soundcore パーティースピーカー</t>
  </si>
  <si>
    <t>ワンピースカードBOX</t>
  </si>
  <si>
    <t>COACHバック</t>
  </si>
  <si>
    <t>Fire HD10</t>
  </si>
  <si>
    <t>コミック</t>
    <phoneticPr fontId="4"/>
  </si>
  <si>
    <t>BRAUN5シェーバー</t>
  </si>
  <si>
    <t>EMBERTON2スピーカー</t>
  </si>
  <si>
    <t>echo pop</t>
  </si>
  <si>
    <t>家</t>
  </si>
  <si>
    <t>車</t>
  </si>
  <si>
    <t>クレーン</t>
    <phoneticPr fontId="4"/>
  </si>
  <si>
    <t>サンリオボアキーケース</t>
  </si>
  <si>
    <t>鹿児島</t>
    <rPh sb="0" eb="3">
      <t>カゴシマ</t>
    </rPh>
    <phoneticPr fontId="4"/>
  </si>
  <si>
    <t>サンリオミラー付フェイスポーチ</t>
  </si>
  <si>
    <t>キティサンダルキーホルダー</t>
  </si>
  <si>
    <t>ジャグラーサウンドフラッシュボタン</t>
  </si>
  <si>
    <t>番長ボタン</t>
  </si>
  <si>
    <t>スンスンフェイスポーチ</t>
  </si>
  <si>
    <t>サンリオミニカメラ</t>
  </si>
  <si>
    <t>AIモンスターキーホルダー</t>
  </si>
  <si>
    <t>キティ　ミニマスコットギャル</t>
  </si>
  <si>
    <t>カラビナ付ファスナーマスコットキティ</t>
  </si>
  <si>
    <t>PRO4（ゲームカラー）</t>
  </si>
  <si>
    <t>PRO4</t>
  </si>
  <si>
    <t>お菓子イヤホン</t>
  </si>
  <si>
    <t>サンリオバンスクリップ</t>
  </si>
  <si>
    <t>柴犬たまご</t>
  </si>
  <si>
    <t>ミニドラゴンボール</t>
  </si>
  <si>
    <t>サンリオフェイスポーチ</t>
  </si>
  <si>
    <t>キティ　マスコットギャル</t>
  </si>
  <si>
    <t>サンリオホワイトミニマスコット</t>
  </si>
  <si>
    <t>サムエル　三小毛</t>
  </si>
  <si>
    <t>ベビースリー</t>
  </si>
  <si>
    <t>ベビースリー（大きい方）</t>
  </si>
  <si>
    <t>YAYA</t>
  </si>
  <si>
    <t>ミニフェイスポーチ　ギャルキティ</t>
  </si>
  <si>
    <t>サンリオ ミニミニバニティポーチ</t>
  </si>
  <si>
    <t>サンリオ フェイスリールパスケース</t>
  </si>
  <si>
    <t>ズーシー</t>
  </si>
  <si>
    <t>ミッフィーラバー</t>
  </si>
  <si>
    <t>ジャグラータイマークロックミニ</t>
  </si>
  <si>
    <t>サンリオがま口</t>
  </si>
  <si>
    <t>ギャルキティケース</t>
  </si>
  <si>
    <t>アンパンマンマスコット</t>
  </si>
  <si>
    <t>モンチッチAirPodsケース</t>
  </si>
  <si>
    <t>モンチッチマスコット</t>
  </si>
  <si>
    <t>たまごっちマスコット</t>
  </si>
  <si>
    <t>キティキラキラストーン</t>
  </si>
  <si>
    <t>ジャグラーイヤホン</t>
  </si>
  <si>
    <t>液晶付デジタルミニカメラ</t>
  </si>
  <si>
    <t>ゲームアーク</t>
  </si>
  <si>
    <t>スライム</t>
  </si>
  <si>
    <t>ゲームスティックボタン</t>
  </si>
  <si>
    <t>ポメラニアン</t>
  </si>
  <si>
    <t>サンリオ　チャーム付ブレス</t>
  </si>
  <si>
    <t>サンリオ　チャーム付スイーツ</t>
  </si>
  <si>
    <t>西新</t>
    <rPh sb="0" eb="2">
      <t>ニシジン</t>
    </rPh>
    <phoneticPr fontId="4"/>
  </si>
  <si>
    <t>機械内景品</t>
    <rPh sb="0" eb="2">
      <t>キカイ</t>
    </rPh>
    <rPh sb="2" eb="3">
      <t>ナイ</t>
    </rPh>
    <rPh sb="3" eb="5">
      <t>ケイヒン</t>
    </rPh>
    <phoneticPr fontId="4"/>
  </si>
  <si>
    <t>詳細は別紙</t>
    <rPh sb="0" eb="2">
      <t>ショウサイ</t>
    </rPh>
    <rPh sb="3" eb="5">
      <t>ベッシ</t>
    </rPh>
    <phoneticPr fontId="4"/>
  </si>
  <si>
    <t>浜の町</t>
    <rPh sb="0" eb="1">
      <t>ハマ</t>
    </rPh>
    <rPh sb="2" eb="3">
      <t>マチ</t>
    </rPh>
    <phoneticPr fontId="4"/>
  </si>
  <si>
    <t>1000GACHA</t>
    <phoneticPr fontId="4"/>
  </si>
  <si>
    <t>時津</t>
    <rPh sb="0" eb="2">
      <t>トギツ</t>
    </rPh>
    <phoneticPr fontId="4"/>
  </si>
  <si>
    <t>手持ち景品</t>
    <rPh sb="0" eb="2">
      <t>テモ</t>
    </rPh>
    <rPh sb="3" eb="5">
      <t>ケイヒン</t>
    </rPh>
    <phoneticPr fontId="4"/>
  </si>
  <si>
    <t>福重</t>
    <rPh sb="0" eb="2">
      <t>フクシゲ</t>
    </rPh>
    <phoneticPr fontId="4"/>
  </si>
  <si>
    <t>BUZZクレーン他</t>
    <rPh sb="8" eb="9">
      <t>ホカ</t>
    </rPh>
    <phoneticPr fontId="4"/>
  </si>
  <si>
    <t>クレーン景品</t>
    <rPh sb="4" eb="6">
      <t>ケイヒン</t>
    </rPh>
    <phoneticPr fontId="4"/>
  </si>
  <si>
    <t>詳細は別表</t>
    <rPh sb="0" eb="2">
      <t>ショウサイ</t>
    </rPh>
    <rPh sb="3" eb="5">
      <t>ベッピョウ</t>
    </rPh>
    <phoneticPr fontId="4"/>
  </si>
  <si>
    <t>500GACHA</t>
    <phoneticPr fontId="4"/>
  </si>
  <si>
    <t>カプセル景品</t>
    <rPh sb="4" eb="6">
      <t>ケイヒン</t>
    </rPh>
    <phoneticPr fontId="4"/>
  </si>
  <si>
    <t>echopop</t>
    <phoneticPr fontId="4"/>
  </si>
  <si>
    <t>BOSEヘッドホン</t>
  </si>
  <si>
    <t>シュプリームニット帽</t>
    <rPh sb="9" eb="10">
      <t>ボウ</t>
    </rPh>
    <phoneticPr fontId="4"/>
  </si>
  <si>
    <t>シュプリームウエストポーチ</t>
    <phoneticPr fontId="4"/>
  </si>
  <si>
    <t>ディオール</t>
    <phoneticPr fontId="4"/>
  </si>
  <si>
    <t>ティファニー</t>
    <phoneticPr fontId="4"/>
  </si>
  <si>
    <t>電動歯ブラシ</t>
    <rPh sb="0" eb="3">
      <t>デンドウハ</t>
    </rPh>
    <phoneticPr fontId="4"/>
  </si>
  <si>
    <t>ナイキスニーカーシュプリーム</t>
    <phoneticPr fontId="4"/>
  </si>
  <si>
    <t>ティアラ　スニーカー</t>
    <phoneticPr fontId="4"/>
  </si>
  <si>
    <t>ナイキスニーカー</t>
    <phoneticPr fontId="4"/>
  </si>
  <si>
    <t>ティアラ　ゲーム</t>
    <phoneticPr fontId="4"/>
  </si>
  <si>
    <t>switchライト</t>
    <phoneticPr fontId="4"/>
  </si>
  <si>
    <t>switch本体</t>
    <rPh sb="6" eb="8">
      <t>ホンタイ</t>
    </rPh>
    <phoneticPr fontId="4"/>
  </si>
  <si>
    <t>ジョイコン</t>
    <phoneticPr fontId="4"/>
  </si>
  <si>
    <t>プロコン</t>
    <phoneticPr fontId="4"/>
  </si>
  <si>
    <t>ティアラ　ブランド</t>
    <phoneticPr fontId="4"/>
  </si>
  <si>
    <t>GUESSバッグ</t>
    <phoneticPr fontId="4"/>
  </si>
  <si>
    <t>coach財布</t>
    <rPh sb="5" eb="7">
      <t>サイフ</t>
    </rPh>
    <phoneticPr fontId="4"/>
  </si>
  <si>
    <t>トミーヒルフィガーショルダーバッグ</t>
    <phoneticPr fontId="4"/>
  </si>
  <si>
    <t>ディーゼルカードケース</t>
    <phoneticPr fontId="4"/>
  </si>
  <si>
    <t>ティアラ　ゲームソフト</t>
    <phoneticPr fontId="4"/>
  </si>
  <si>
    <t>那珂川</t>
    <rPh sb="0" eb="3">
      <t>ナカガワ</t>
    </rPh>
    <phoneticPr fontId="4"/>
  </si>
  <si>
    <t>クレーン３台</t>
    <rPh sb="5" eb="6">
      <t>ダイ</t>
    </rPh>
    <phoneticPr fontId="4"/>
  </si>
  <si>
    <t>ティアラ2000円</t>
    <rPh sb="8" eb="9">
      <t>エン</t>
    </rPh>
    <phoneticPr fontId="4"/>
  </si>
  <si>
    <t>Diorギフト</t>
  </si>
  <si>
    <t>CHANEL</t>
    <phoneticPr fontId="4"/>
  </si>
  <si>
    <t>唐津</t>
    <rPh sb="0" eb="2">
      <t>カラツ</t>
    </rPh>
    <phoneticPr fontId="4"/>
  </si>
  <si>
    <t>クレーン４台</t>
    <rPh sb="5" eb="6">
      <t>ダイ</t>
    </rPh>
    <phoneticPr fontId="4"/>
  </si>
  <si>
    <t>1000GACHA　1000円</t>
    <rPh sb="14" eb="15">
      <t>エン</t>
    </rPh>
    <phoneticPr fontId="4"/>
  </si>
  <si>
    <t>教祖爆誕</t>
    <rPh sb="0" eb="2">
      <t>キョウソ</t>
    </rPh>
    <rPh sb="2" eb="4">
      <t>バクタン</t>
    </rPh>
    <phoneticPr fontId="4"/>
  </si>
  <si>
    <t>シュプリームウエストポーチ</t>
  </si>
  <si>
    <t>リファドライヤー</t>
  </si>
  <si>
    <t>ダイキョー</t>
    <phoneticPr fontId="4"/>
  </si>
  <si>
    <t>ベイサイド</t>
    <phoneticPr fontId="4"/>
  </si>
  <si>
    <t>自宅</t>
    <rPh sb="0" eb="2">
      <t>ジタク</t>
    </rPh>
    <phoneticPr fontId="4"/>
  </si>
  <si>
    <t>ロリータマスコットポーチ</t>
  </si>
  <si>
    <t>サンリオホワイトマスコットポーチ</t>
  </si>
  <si>
    <t>キティヘアバンド</t>
  </si>
  <si>
    <t>サンリオ豹柄ヘアバンド</t>
  </si>
  <si>
    <t>サンリオボアポーチ</t>
  </si>
  <si>
    <t>サンリオ豹柄フェイスリールパスケース</t>
  </si>
  <si>
    <t>サンリオ豹柄マスコットポーチ</t>
  </si>
  <si>
    <t>サンリオロリータフェイスポーチ</t>
  </si>
  <si>
    <t>サンリオ豹柄フェイスポーチ</t>
  </si>
  <si>
    <t>サンリオ豹柄マスコット</t>
  </si>
  <si>
    <t>キティフェイスポーチ</t>
  </si>
  <si>
    <t>キティどてかぱっちん</t>
  </si>
  <si>
    <t>サンリオ豹柄しっぽ付ポーチ</t>
  </si>
  <si>
    <t>サンリオ豹柄ウインドウケース</t>
  </si>
  <si>
    <t>焦げキティ豹柄マスコットポーチ</t>
  </si>
  <si>
    <t>サンリオビビットカラーボアポーチ</t>
  </si>
  <si>
    <t>サンリオあにまるマスコットポーチ</t>
  </si>
  <si>
    <t>サンリオ焦げマスコットポーチ</t>
  </si>
  <si>
    <t>サンリオノーマルマスコットポーチ</t>
  </si>
  <si>
    <t>サンリオスニーカーキーホルダー</t>
  </si>
  <si>
    <t>アンパンマンふわりんぬいぐるみ</t>
  </si>
  <si>
    <t>キティボールペン</t>
  </si>
  <si>
    <t>すみっこぐらしぷかぷかソープボトル</t>
  </si>
  <si>
    <t>ハンドパペットドキンちゃん</t>
  </si>
  <si>
    <t>AIモンスターぷくぷくシール</t>
  </si>
  <si>
    <t>モンチッチイヤホンケース</t>
  </si>
  <si>
    <t>ガーナトッポ雪見イヤホン</t>
  </si>
  <si>
    <t>ドラゴンボールカードブースターパック</t>
  </si>
  <si>
    <t>ドラゴンボールクリスタルボール</t>
  </si>
  <si>
    <t>押忍番サウンドボタン</t>
  </si>
  <si>
    <t>おさるのジョージぷくぷくシール</t>
  </si>
  <si>
    <t>ジャグラーサウンドボタンゴールド</t>
  </si>
  <si>
    <t>ゲーム機柄ワイヤレスイヤホン</t>
  </si>
  <si>
    <t>北斗の拳サウンドボタン</t>
  </si>
  <si>
    <t>ジャグラー液晶ハンディファン</t>
  </si>
  <si>
    <t>キティミラークロック</t>
  </si>
  <si>
    <t>すみっこ電波クロック</t>
  </si>
  <si>
    <t>メタリックミニゲーム</t>
  </si>
  <si>
    <t>しなこボンボン</t>
  </si>
  <si>
    <t>ニキマスコット</t>
  </si>
  <si>
    <t>ちいかわふわふわミニトート</t>
  </si>
  <si>
    <t>ちいかわシリコンポーチ</t>
  </si>
  <si>
    <t>ポケモンシリコンポーチ（フェイス型）</t>
  </si>
  <si>
    <t>ポケモンシリコンポーチ（丸型）</t>
  </si>
  <si>
    <t>ポケモンフェイスポーチ</t>
  </si>
  <si>
    <t>スティッチシール</t>
  </si>
  <si>
    <t>アンパンマン毛布</t>
  </si>
  <si>
    <t>ガチャご飯がススムマスコット</t>
  </si>
  <si>
    <t>ガチャキューポスケットディズニープリンセス</t>
  </si>
  <si>
    <t>ガチャぷにぷにスライム</t>
  </si>
  <si>
    <t>ガチャアンパンマンあそんでビーグル</t>
  </si>
  <si>
    <t>ガチャキン肉マンキンケシ</t>
  </si>
  <si>
    <t>ガチャモンチッチニットキーホルダー</t>
  </si>
  <si>
    <t>ガチャボンボンリアルミニマスコット</t>
  </si>
  <si>
    <t>ガチャおっきなアンパンマンマスコット</t>
  </si>
  <si>
    <t>ガチャカシャカシャみえるよ！アンパンマン</t>
  </si>
  <si>
    <t>ガチャワンピの実</t>
  </si>
  <si>
    <t>ガチャ花王シリーズミニチュアチャーム</t>
  </si>
  <si>
    <t>ガチャサンリオファッションリング</t>
  </si>
  <si>
    <t>りるくまぷくぷくシール</t>
  </si>
  <si>
    <t>リゼロマスコット</t>
  </si>
  <si>
    <t>キティギャルフェイスポーチ</t>
  </si>
  <si>
    <t>キティヒョウ柄窓付きスマートケース</t>
  </si>
  <si>
    <t>北斗サウンドすフラッシュキーホルダー</t>
  </si>
  <si>
    <t>サンリオ型押しキーケース</t>
  </si>
  <si>
    <t>しばこ</t>
  </si>
  <si>
    <t>AIマスコット</t>
  </si>
  <si>
    <t>キティギャルマスコットミニ</t>
  </si>
  <si>
    <t>ロッテイヤホン</t>
  </si>
  <si>
    <t>サンリオデニムポーチキーホルダー</t>
  </si>
  <si>
    <t>サンリオヒョウ柄マスコットポーチ</t>
  </si>
  <si>
    <t>おしりシール</t>
  </si>
  <si>
    <t>花の香りぬいぐるみ</t>
  </si>
  <si>
    <t>ルララ大</t>
  </si>
  <si>
    <t>サンリオヒョウ柄フェイスポーチ</t>
  </si>
  <si>
    <t>サンリオヒョウ柄キーケース</t>
  </si>
  <si>
    <t>ラブブマスコット</t>
  </si>
  <si>
    <t>ラブブキーホルダー小</t>
  </si>
  <si>
    <t>ラブブキーホルダー大</t>
  </si>
  <si>
    <t>アングリーキーホルダー</t>
  </si>
  <si>
    <t>サミュエルうさぎ</t>
  </si>
  <si>
    <t>シールバインダー</t>
  </si>
  <si>
    <t>キティぱっちんピン</t>
  </si>
  <si>
    <t>ジャグラークッション</t>
  </si>
  <si>
    <t>ジャグラーキルトマット</t>
  </si>
  <si>
    <t>ジャグラールームランプ</t>
  </si>
  <si>
    <t>サンリオリールパスケースヒョウ柄</t>
  </si>
  <si>
    <t>ドデカパッチン</t>
  </si>
  <si>
    <t>ジャグラーダストボックス</t>
  </si>
  <si>
    <t>ダストボックス</t>
  </si>
  <si>
    <t>ヤヤ</t>
  </si>
  <si>
    <t>高額ラブブ</t>
  </si>
  <si>
    <t>サンリオ大判ブランケット</t>
  </si>
  <si>
    <t>日焼けキティフェイスポーチ</t>
  </si>
  <si>
    <t>サンリオ千鳥柄フェイスポーチ</t>
  </si>
  <si>
    <t>キティ保冷バッグ</t>
  </si>
  <si>
    <t>デジタルカメラA景品用</t>
  </si>
  <si>
    <t>NIKEサンダル</t>
  </si>
  <si>
    <t>ジャグラーソーラー</t>
  </si>
  <si>
    <t>ゲームコントローラー</t>
  </si>
  <si>
    <t>サンリオクリスマスキーケース</t>
  </si>
  <si>
    <t>キティヒョウ柄マスコット</t>
  </si>
  <si>
    <t>サンリオクリスマスマスコットポーチ</t>
  </si>
  <si>
    <t>サンリオエコバッグ</t>
  </si>
  <si>
    <t>サンリオミニリュックポーチ</t>
  </si>
  <si>
    <t>サンリオホワイトマスコット</t>
  </si>
  <si>
    <t>サンリオラバークロック</t>
  </si>
  <si>
    <t>たまごっちボアポーチ</t>
  </si>
  <si>
    <t>サンリオダストボックス</t>
  </si>
  <si>
    <t>キティビッグポーチ</t>
  </si>
  <si>
    <t>棚卸額</t>
    <rPh sb="0" eb="2">
      <t>タナオロシ</t>
    </rPh>
    <rPh sb="2" eb="3">
      <t>ガク</t>
    </rPh>
    <phoneticPr fontId="4"/>
  </si>
  <si>
    <t>前月差</t>
    <rPh sb="0" eb="2">
      <t>ゼンゲツ</t>
    </rPh>
    <rPh sb="2" eb="3">
      <t>サ</t>
    </rPh>
    <phoneticPr fontId="4"/>
  </si>
  <si>
    <t>前月比</t>
    <rPh sb="0" eb="3">
      <t>ゼンゲツヒ</t>
    </rPh>
    <phoneticPr fontId="4"/>
  </si>
  <si>
    <t>吉井</t>
    <rPh sb="0" eb="2">
      <t>ヨシイ</t>
    </rPh>
    <phoneticPr fontId="4"/>
  </si>
  <si>
    <t>中島</t>
    <rPh sb="0" eb="2">
      <t>ナカシマ</t>
    </rPh>
    <phoneticPr fontId="4"/>
  </si>
  <si>
    <t>堤</t>
    <rPh sb="0" eb="1">
      <t>ツツミ</t>
    </rPh>
    <phoneticPr fontId="4"/>
  </si>
  <si>
    <t>塩川</t>
    <rPh sb="0" eb="2">
      <t>シオカワ</t>
    </rPh>
    <phoneticPr fontId="4"/>
  </si>
  <si>
    <t>坂本</t>
    <rPh sb="0" eb="2">
      <t>サカモト</t>
    </rPh>
    <phoneticPr fontId="4"/>
  </si>
  <si>
    <t>久留米</t>
    <rPh sb="0" eb="3">
      <t>クルメ</t>
    </rPh>
    <phoneticPr fontId="4"/>
  </si>
  <si>
    <t>久留米(ドンキ)</t>
    <rPh sb="0" eb="3">
      <t>クルメ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</si>
</sst>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6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8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</font>
    <font>
      <sz val="8"/>
      <color rgb="FF000000"/>
      <name val="ＭＳ Ｐゴシック"/>
      <family val="3"/>
    </font>
    <font>
      <sz val="11"/>
      <color rgb="FF000000"/>
      <name val="ＭＳ Ｐゴシック"/>
      <family val="3"/>
      <charset val="128"/>
    </font>
    <font>
      <sz val="14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color theme="1"/>
      <name val="游ゴシック"/>
      <family val="3"/>
      <charset val="128"/>
      <scheme val="minor"/>
    </font>
    <font>
      <sz val="9"/>
      <name val="Meiryo UI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sz val="8"/>
      <color theme="1"/>
      <name val="ＭＳ Ｐゴシック"/>
      <family val="3"/>
    </font>
    <font>
      <b/>
      <sz val="14"/>
      <name val="ＭＳ Ｐゴシック"/>
      <family val="3"/>
      <charset val="128"/>
    </font>
    <font>
      <sz val="16"/>
      <name val="ＭＳ Ｐゴシック"/>
      <family val="3"/>
    </font>
    <font>
      <sz val="9"/>
      <name val="ＭＳ Ｐゴシック"/>
      <family val="3"/>
    </font>
    <font>
      <sz val="11"/>
      <color theme="1"/>
      <name val="ＭＳ Ｐゴシック"/>
      <family val="3"/>
    </font>
    <font>
      <sz val="11"/>
      <color theme="1"/>
      <name val="Meiryo UI"/>
      <family val="3"/>
      <charset val="128"/>
    </font>
    <font>
      <sz val="16"/>
      <name val="Meiryo UI"/>
      <family val="3"/>
      <charset val="128"/>
    </font>
    <font>
      <sz val="11"/>
      <name val="Meiryo UI"/>
      <family val="3"/>
      <charset val="128"/>
    </font>
    <font>
      <sz val="8"/>
      <name val="Meiryo UI"/>
      <family val="3"/>
      <charset val="128"/>
    </font>
    <font>
      <sz val="8"/>
      <color rgb="FF000000"/>
      <name val="Meiryo UI"/>
      <family val="3"/>
      <charset val="128"/>
    </font>
    <font>
      <sz val="8"/>
      <color theme="1"/>
      <name val="游ゴシック"/>
      <family val="2"/>
      <charset val="128"/>
      <scheme val="minor"/>
    </font>
    <font>
      <sz val="11"/>
      <color rgb="FF000000"/>
      <name val="ＭＳ Ｐゴシック"/>
      <family val="3"/>
    </font>
    <font>
      <sz val="14"/>
      <name val="ＭＳ Ｐゴシック"/>
      <family val="3"/>
    </font>
    <font>
      <b/>
      <sz val="16"/>
      <name val="ＭＳ Ｐゴシック"/>
      <family val="3"/>
    </font>
    <font>
      <b/>
      <sz val="11"/>
      <color theme="1"/>
      <name val="游ゴシック"/>
      <family val="2"/>
      <charset val="128"/>
      <scheme val="minor"/>
    </font>
    <font>
      <sz val="12"/>
      <name val="ＭＳ Ｐゴシック"/>
      <family val="3"/>
    </font>
    <font>
      <sz val="12"/>
      <name val="ＭＳ Ｐゴシック"/>
      <family val="3"/>
      <charset val="128"/>
    </font>
    <font>
      <sz val="18"/>
      <name val="ＭＳ Ｐゴシック"/>
      <family val="3"/>
    </font>
    <font>
      <sz val="11"/>
      <color rgb="FF000000"/>
      <name val="游ゴシック"/>
      <family val="3"/>
      <charset val="128"/>
    </font>
    <font>
      <sz val="8"/>
      <color rgb="FF000000"/>
      <name val="游ゴシック"/>
      <family val="3"/>
      <charset val="128"/>
    </font>
    <font>
      <sz val="9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sz val="11"/>
      <color rgb="FF000000"/>
      <name val="游ゴシック"/>
      <family val="2"/>
      <charset val="128"/>
    </font>
    <font>
      <sz val="14"/>
      <color rgb="FF000000"/>
      <name val="ＭＳ Ｐゴシック"/>
      <family val="3"/>
    </font>
    <font>
      <sz val="8"/>
      <color rgb="FFFFFFFF"/>
      <name val="ＭＳ Ｐゴシック"/>
      <family val="3"/>
    </font>
    <font>
      <sz val="9"/>
      <color rgb="FF000000"/>
      <name val="ＭＳ Ｐゴシック"/>
      <family val="3"/>
      <charset val="128"/>
    </font>
    <font>
      <sz val="9"/>
      <color rgb="FF000000"/>
      <name val="ＭＳ Ｐゴシック"/>
      <family val="3"/>
    </font>
    <font>
      <sz val="16"/>
      <name val="游ゴシック"/>
      <family val="3"/>
      <charset val="128"/>
    </font>
    <font>
      <sz val="11"/>
      <color rgb="FF000000"/>
      <name val="游ゴシック"/>
      <family val="3"/>
    </font>
    <font>
      <sz val="8"/>
      <color rgb="FF000000"/>
      <name val="游ゴシック"/>
      <family val="3"/>
    </font>
    <font>
      <sz val="11"/>
      <color theme="1"/>
      <name val="游ゴシック"/>
      <family val="3"/>
    </font>
    <font>
      <sz val="9"/>
      <color rgb="FF000000"/>
      <name val="游ゴシック"/>
      <family val="3"/>
    </font>
    <font>
      <sz val="8"/>
      <color rgb="FFFF0000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8"/>
      <name val="Meiryo UI"/>
      <family val="3"/>
    </font>
    <font>
      <sz val="11"/>
      <color rgb="FF000000"/>
      <name val="游ゴシック"/>
    </font>
    <font>
      <sz val="9"/>
      <color rgb="FF000000"/>
      <name val="Meiryo Ui"/>
      <family val="3"/>
    </font>
    <font>
      <sz val="7"/>
      <color rgb="FF000000"/>
      <name val="メイリオ"/>
      <family val="3"/>
    </font>
    <font>
      <b/>
      <sz val="14"/>
      <name val="ＭＳ Ｐゴシック"/>
      <family val="3"/>
    </font>
    <font>
      <u val="double"/>
      <sz val="8"/>
      <color theme="1"/>
      <name val="ＭＳ Ｐゴシック"/>
      <family val="3"/>
      <charset val="128"/>
    </font>
    <font>
      <sz val="8"/>
      <color theme="1"/>
      <name val="游ゴシック"/>
      <family val="3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1" fillId="0" borderId="0"/>
    <xf numFmtId="0" fontId="14" fillId="0" borderId="0"/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6" fillId="0" borderId="0"/>
  </cellStyleXfs>
  <cellXfs count="582">
    <xf numFmtId="0" fontId="0" fillId="0" borderId="0" xfId="0">
      <alignment vertical="center"/>
    </xf>
    <xf numFmtId="0" fontId="2" fillId="2" borderId="1" xfId="0" applyFont="1" applyFill="1" applyBorder="1" applyAlignment="1"/>
    <xf numFmtId="0" fontId="3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0" fillId="0" borderId="1" xfId="0" applyBorder="1">
      <alignment vertic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38" fontId="0" fillId="0" borderId="0" xfId="1" applyFont="1">
      <alignment vertical="center"/>
    </xf>
    <xf numFmtId="38" fontId="2" fillId="2" borderId="1" xfId="1" applyFont="1" applyFill="1" applyBorder="1" applyAlignment="1"/>
    <xf numFmtId="38" fontId="3" fillId="2" borderId="1" xfId="1" applyFont="1" applyFill="1" applyBorder="1" applyAlignment="1"/>
    <xf numFmtId="0" fontId="9" fillId="0" borderId="1" xfId="0" applyFont="1" applyBorder="1" applyAlignment="1">
      <alignment wrapText="1"/>
    </xf>
    <xf numFmtId="0" fontId="9" fillId="2" borderId="1" xfId="0" applyFont="1" applyFill="1" applyBorder="1" applyAlignment="1"/>
    <xf numFmtId="0" fontId="10" fillId="0" borderId="1" xfId="0" applyFont="1" applyBorder="1" applyAlignment="1"/>
    <xf numFmtId="0" fontId="9" fillId="0" borderId="1" xfId="0" applyFont="1" applyBorder="1" applyAlignment="1"/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 applyAlignment="1"/>
    <xf numFmtId="0" fontId="3" fillId="5" borderId="1" xfId="0" applyFont="1" applyFill="1" applyBorder="1" applyAlignment="1"/>
    <xf numFmtId="0" fontId="0" fillId="6" borderId="1" xfId="0" applyFill="1" applyBorder="1">
      <alignment vertical="center"/>
    </xf>
    <xf numFmtId="0" fontId="2" fillId="6" borderId="1" xfId="0" applyFont="1" applyFill="1" applyBorder="1" applyAlignment="1">
      <alignment wrapText="1"/>
    </xf>
    <xf numFmtId="0" fontId="2" fillId="6" borderId="1" xfId="0" applyFont="1" applyFill="1" applyBorder="1" applyAlignment="1"/>
    <xf numFmtId="0" fontId="3" fillId="6" borderId="1" xfId="0" applyFont="1" applyFill="1" applyBorder="1" applyAlignment="1"/>
    <xf numFmtId="0" fontId="0" fillId="7" borderId="1" xfId="0" applyFill="1" applyBorder="1">
      <alignment vertical="center"/>
    </xf>
    <xf numFmtId="0" fontId="9" fillId="5" borderId="1" xfId="0" applyFont="1" applyFill="1" applyBorder="1" applyAlignment="1"/>
    <xf numFmtId="0" fontId="10" fillId="5" borderId="1" xfId="0" applyFont="1" applyFill="1" applyBorder="1" applyAlignment="1"/>
    <xf numFmtId="38" fontId="12" fillId="2" borderId="1" xfId="1" applyFont="1" applyFill="1" applyBorder="1" applyAlignment="1"/>
    <xf numFmtId="0" fontId="2" fillId="8" borderId="1" xfId="0" applyFont="1" applyFill="1" applyBorder="1" applyAlignment="1">
      <alignment wrapText="1"/>
    </xf>
    <xf numFmtId="38" fontId="3" fillId="9" borderId="1" xfId="1" applyFont="1" applyFill="1" applyBorder="1" applyAlignment="1"/>
    <xf numFmtId="0" fontId="3" fillId="8" borderId="1" xfId="0" applyFont="1" applyFill="1" applyBorder="1" applyAlignment="1"/>
    <xf numFmtId="0" fontId="2" fillId="8" borderId="1" xfId="0" applyFont="1" applyFill="1" applyBorder="1" applyAlignment="1"/>
    <xf numFmtId="0" fontId="2" fillId="9" borderId="1" xfId="0" applyFont="1" applyFill="1" applyBorder="1" applyAlignment="1"/>
    <xf numFmtId="0" fontId="2" fillId="10" borderId="1" xfId="0" applyFont="1" applyFill="1" applyBorder="1" applyAlignment="1"/>
    <xf numFmtId="38" fontId="3" fillId="10" borderId="1" xfId="1" applyFont="1" applyFill="1" applyBorder="1" applyAlignment="1"/>
    <xf numFmtId="38" fontId="2" fillId="10" borderId="1" xfId="1" applyFont="1" applyFill="1" applyBorder="1" applyAlignment="1"/>
    <xf numFmtId="38" fontId="3" fillId="11" borderId="1" xfId="1" applyFont="1" applyFill="1" applyBorder="1" applyAlignment="1"/>
    <xf numFmtId="38" fontId="2" fillId="9" borderId="1" xfId="1" applyFont="1" applyFill="1" applyBorder="1" applyAlignment="1"/>
    <xf numFmtId="38" fontId="2" fillId="11" borderId="1" xfId="1" applyFont="1" applyFill="1" applyBorder="1" applyAlignment="1"/>
    <xf numFmtId="0" fontId="0" fillId="12" borderId="1" xfId="0" applyFill="1" applyBorder="1">
      <alignment vertical="center"/>
    </xf>
    <xf numFmtId="0" fontId="13" fillId="0" borderId="1" xfId="0" applyFont="1" applyBorder="1">
      <alignment vertical="center"/>
    </xf>
    <xf numFmtId="38" fontId="13" fillId="0" borderId="1" xfId="1" applyFont="1" applyBorder="1">
      <alignment vertical="center"/>
    </xf>
    <xf numFmtId="0" fontId="15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38" fontId="10" fillId="2" borderId="1" xfId="1" applyFont="1" applyFill="1" applyBorder="1" applyAlignment="1"/>
    <xf numFmtId="56" fontId="0" fillId="0" borderId="0" xfId="0" applyNumberFormat="1">
      <alignment vertical="center"/>
    </xf>
    <xf numFmtId="0" fontId="17" fillId="12" borderId="1" xfId="0" applyFont="1" applyFill="1" applyBorder="1">
      <alignment vertical="center"/>
    </xf>
    <xf numFmtId="0" fontId="9" fillId="12" borderId="1" xfId="0" applyFont="1" applyFill="1" applyBorder="1" applyAlignment="1">
      <alignment wrapText="1"/>
    </xf>
    <xf numFmtId="0" fontId="10" fillId="12" borderId="1" xfId="0" applyFont="1" applyFill="1" applyBorder="1" applyAlignment="1"/>
    <xf numFmtId="0" fontId="9" fillId="12" borderId="1" xfId="0" applyFont="1" applyFill="1" applyBorder="1" applyAlignment="1"/>
    <xf numFmtId="38" fontId="9" fillId="2" borderId="1" xfId="1" applyFont="1" applyFill="1" applyBorder="1" applyAlignment="1"/>
    <xf numFmtId="0" fontId="9" fillId="4" borderId="1" xfId="0" applyFont="1" applyFill="1" applyBorder="1" applyAlignment="1"/>
    <xf numFmtId="0" fontId="10" fillId="4" borderId="1" xfId="0" applyFont="1" applyFill="1" applyBorder="1" applyAlignment="1"/>
    <xf numFmtId="0" fontId="9" fillId="3" borderId="1" xfId="0" applyFont="1" applyFill="1" applyBorder="1" applyAlignment="1"/>
    <xf numFmtId="0" fontId="10" fillId="3" borderId="1" xfId="0" applyFont="1" applyFill="1" applyBorder="1" applyAlignment="1"/>
    <xf numFmtId="0" fontId="9" fillId="6" borderId="1" xfId="0" applyFont="1" applyFill="1" applyBorder="1" applyAlignment="1"/>
    <xf numFmtId="0" fontId="10" fillId="6" borderId="1" xfId="0" applyFont="1" applyFill="1" applyBorder="1" applyAlignment="1"/>
    <xf numFmtId="0" fontId="2" fillId="14" borderId="1" xfId="0" applyFont="1" applyFill="1" applyBorder="1" applyAlignment="1">
      <alignment wrapText="1"/>
    </xf>
    <xf numFmtId="0" fontId="2" fillId="15" borderId="1" xfId="0" applyFont="1" applyFill="1" applyBorder="1" applyAlignment="1"/>
    <xf numFmtId="38" fontId="3" fillId="15" borderId="1" xfId="1" applyFont="1" applyFill="1" applyBorder="1" applyAlignment="1"/>
    <xf numFmtId="0" fontId="3" fillId="14" borderId="1" xfId="0" applyFont="1" applyFill="1" applyBorder="1" applyAlignment="1"/>
    <xf numFmtId="0" fontId="2" fillId="14" borderId="1" xfId="0" applyFont="1" applyFill="1" applyBorder="1" applyAlignment="1"/>
    <xf numFmtId="38" fontId="2" fillId="15" borderId="1" xfId="1" applyFont="1" applyFill="1" applyBorder="1" applyAlignment="1"/>
    <xf numFmtId="0" fontId="20" fillId="0" borderId="1" xfId="0" applyFont="1" applyBorder="1">
      <alignment vertical="center"/>
    </xf>
    <xf numFmtId="0" fontId="13" fillId="0" borderId="0" xfId="0" applyFont="1">
      <alignment vertical="center"/>
    </xf>
    <xf numFmtId="56" fontId="13" fillId="0" borderId="0" xfId="0" applyNumberFormat="1" applyFont="1">
      <alignment vertical="center"/>
    </xf>
    <xf numFmtId="38" fontId="13" fillId="0" borderId="0" xfId="1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5" borderId="1" xfId="0" applyFont="1" applyFill="1" applyBorder="1">
      <alignment vertical="center"/>
    </xf>
    <xf numFmtId="0" fontId="13" fillId="8" borderId="1" xfId="0" applyFont="1" applyFill="1" applyBorder="1">
      <alignment vertical="center"/>
    </xf>
    <xf numFmtId="0" fontId="13" fillId="6" borderId="1" xfId="0" applyFont="1" applyFill="1" applyBorder="1">
      <alignment vertical="center"/>
    </xf>
    <xf numFmtId="0" fontId="13" fillId="14" borderId="1" xfId="0" applyFont="1" applyFill="1" applyBorder="1">
      <alignment vertical="center"/>
    </xf>
    <xf numFmtId="38" fontId="21" fillId="0" borderId="3" xfId="1" applyFont="1" applyBorder="1" applyAlignment="1">
      <alignment horizontal="right" vertical="center"/>
    </xf>
    <xf numFmtId="0" fontId="20" fillId="0" borderId="0" xfId="0" applyFont="1">
      <alignment vertical="center"/>
    </xf>
    <xf numFmtId="38" fontId="13" fillId="0" borderId="1" xfId="1" applyFont="1" applyFill="1" applyBorder="1">
      <alignment vertical="center"/>
    </xf>
    <xf numFmtId="56" fontId="0" fillId="12" borderId="11" xfId="0" applyNumberFormat="1" applyFill="1" applyBorder="1">
      <alignment vertical="center"/>
    </xf>
    <xf numFmtId="0" fontId="0" fillId="12" borderId="1" xfId="0" applyFill="1" applyBorder="1" applyAlignment="1">
      <alignment horizontal="center" vertical="center"/>
    </xf>
    <xf numFmtId="38" fontId="9" fillId="12" borderId="1" xfId="1" applyFont="1" applyFill="1" applyBorder="1" applyAlignment="1"/>
    <xf numFmtId="0" fontId="0" fillId="0" borderId="8" xfId="0" applyBorder="1">
      <alignment vertical="center"/>
    </xf>
    <xf numFmtId="0" fontId="0" fillId="0" borderId="2" xfId="0" applyBorder="1">
      <alignment vertical="center"/>
    </xf>
    <xf numFmtId="38" fontId="3" fillId="0" borderId="1" xfId="1" applyFont="1" applyFill="1" applyBorder="1" applyAlignment="1"/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wrapText="1"/>
    </xf>
    <xf numFmtId="38" fontId="10" fillId="3" borderId="1" xfId="1" applyFont="1" applyFill="1" applyBorder="1" applyAlignment="1"/>
    <xf numFmtId="38" fontId="9" fillId="3" borderId="1" xfId="1" applyFont="1" applyFill="1" applyBorder="1" applyAlignment="1"/>
    <xf numFmtId="0" fontId="9" fillId="4" borderId="1" xfId="0" applyFont="1" applyFill="1" applyBorder="1" applyAlignment="1">
      <alignment wrapText="1"/>
    </xf>
    <xf numFmtId="38" fontId="10" fillId="4" borderId="1" xfId="1" applyFont="1" applyFill="1" applyBorder="1" applyAlignment="1"/>
    <xf numFmtId="38" fontId="9" fillId="4" borderId="1" xfId="1" applyFont="1" applyFill="1" applyBorder="1" applyAlignment="1"/>
    <xf numFmtId="0" fontId="9" fillId="5" borderId="1" xfId="0" applyFont="1" applyFill="1" applyBorder="1" applyAlignment="1">
      <alignment wrapText="1"/>
    </xf>
    <xf numFmtId="38" fontId="10" fillId="5" borderId="1" xfId="1" applyFont="1" applyFill="1" applyBorder="1" applyAlignment="1"/>
    <xf numFmtId="38" fontId="9" fillId="5" borderId="1" xfId="1" applyFont="1" applyFill="1" applyBorder="1" applyAlignment="1"/>
    <xf numFmtId="0" fontId="9" fillId="7" borderId="1" xfId="0" applyFont="1" applyFill="1" applyBorder="1" applyAlignment="1"/>
    <xf numFmtId="0" fontId="9" fillId="7" borderId="1" xfId="0" applyFont="1" applyFill="1" applyBorder="1" applyAlignment="1">
      <alignment wrapText="1"/>
    </xf>
    <xf numFmtId="38" fontId="10" fillId="7" borderId="1" xfId="1" applyFont="1" applyFill="1" applyBorder="1" applyAlignment="1"/>
    <xf numFmtId="0" fontId="10" fillId="7" borderId="1" xfId="0" applyFont="1" applyFill="1" applyBorder="1" applyAlignment="1"/>
    <xf numFmtId="38" fontId="9" fillId="7" borderId="1" xfId="1" applyFont="1" applyFill="1" applyBorder="1" applyAlignment="1"/>
    <xf numFmtId="0" fontId="9" fillId="6" borderId="1" xfId="0" applyFont="1" applyFill="1" applyBorder="1" applyAlignment="1">
      <alignment wrapText="1"/>
    </xf>
    <xf numFmtId="38" fontId="10" fillId="6" borderId="1" xfId="1" applyFont="1" applyFill="1" applyBorder="1" applyAlignment="1"/>
    <xf numFmtId="38" fontId="9" fillId="6" borderId="1" xfId="1" applyFont="1" applyFill="1" applyBorder="1" applyAlignment="1"/>
    <xf numFmtId="56" fontId="25" fillId="0" borderId="0" xfId="0" applyNumberFormat="1" applyFont="1">
      <alignment vertical="center"/>
    </xf>
    <xf numFmtId="0" fontId="25" fillId="0" borderId="0" xfId="0" applyFont="1">
      <alignment vertical="center"/>
    </xf>
    <xf numFmtId="38" fontId="25" fillId="0" borderId="0" xfId="1" applyFo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1" xfId="0" applyFont="1" applyBorder="1">
      <alignment vertical="center"/>
    </xf>
    <xf numFmtId="0" fontId="28" fillId="2" borderId="1" xfId="0" applyFont="1" applyFill="1" applyBorder="1" applyAlignment="1"/>
    <xf numFmtId="0" fontId="28" fillId="0" borderId="1" xfId="0" applyFont="1" applyBorder="1" applyAlignment="1">
      <alignment wrapText="1"/>
    </xf>
    <xf numFmtId="38" fontId="29" fillId="2" borderId="1" xfId="1" applyFont="1" applyFill="1" applyBorder="1" applyAlignment="1"/>
    <xf numFmtId="0" fontId="29" fillId="0" borderId="1" xfId="0" applyFont="1" applyBorder="1" applyAlignment="1"/>
    <xf numFmtId="0" fontId="28" fillId="0" borderId="1" xfId="0" applyFont="1" applyBorder="1" applyAlignment="1"/>
    <xf numFmtId="38" fontId="28" fillId="2" borderId="1" xfId="1" applyFont="1" applyFill="1" applyBorder="1" applyAlignment="1"/>
    <xf numFmtId="0" fontId="29" fillId="2" borderId="1" xfId="0" applyFont="1" applyFill="1" applyBorder="1" applyAlignment="1"/>
    <xf numFmtId="38" fontId="13" fillId="0" borderId="0" xfId="0" applyNumberFormat="1" applyFont="1">
      <alignment vertical="center"/>
    </xf>
    <xf numFmtId="0" fontId="0" fillId="18" borderId="1" xfId="0" applyFill="1" applyBorder="1">
      <alignment vertical="center"/>
    </xf>
    <xf numFmtId="56" fontId="0" fillId="18" borderId="11" xfId="0" applyNumberFormat="1" applyFill="1" applyBorder="1">
      <alignment vertical="center"/>
    </xf>
    <xf numFmtId="0" fontId="0" fillId="18" borderId="1" xfId="0" applyFill="1" applyBorder="1" applyAlignment="1">
      <alignment horizontal="center" vertical="center"/>
    </xf>
    <xf numFmtId="0" fontId="0" fillId="16" borderId="1" xfId="0" applyFill="1" applyBorder="1">
      <alignment vertical="center"/>
    </xf>
    <xf numFmtId="56" fontId="0" fillId="16" borderId="11" xfId="0" applyNumberFormat="1" applyFill="1" applyBorder="1">
      <alignment vertical="center"/>
    </xf>
    <xf numFmtId="0" fontId="0" fillId="16" borderId="1" xfId="0" applyFill="1" applyBorder="1" applyAlignment="1">
      <alignment horizontal="center" vertical="center"/>
    </xf>
    <xf numFmtId="0" fontId="30" fillId="0" borderId="8" xfId="0" applyFont="1" applyBorder="1">
      <alignment vertical="center"/>
    </xf>
    <xf numFmtId="0" fontId="30" fillId="0" borderId="8" xfId="0" applyFont="1" applyBorder="1" applyAlignment="1">
      <alignment vertical="center" wrapText="1"/>
    </xf>
    <xf numFmtId="0" fontId="0" fillId="0" borderId="9" xfId="0" applyBorder="1">
      <alignment vertical="center"/>
    </xf>
    <xf numFmtId="0" fontId="30" fillId="0" borderId="9" xfId="0" applyFont="1" applyBorder="1">
      <alignment vertical="center"/>
    </xf>
    <xf numFmtId="56" fontId="0" fillId="19" borderId="11" xfId="0" applyNumberFormat="1" applyFill="1" applyBorder="1">
      <alignment vertical="center"/>
    </xf>
    <xf numFmtId="0" fontId="0" fillId="19" borderId="1" xfId="0" applyFill="1" applyBorder="1">
      <alignment vertical="center"/>
    </xf>
    <xf numFmtId="0" fontId="0" fillId="19" borderId="1" xfId="0" applyFill="1" applyBorder="1" applyAlignment="1">
      <alignment horizontal="center" vertical="center"/>
    </xf>
    <xf numFmtId="0" fontId="30" fillId="19" borderId="1" xfId="0" applyFont="1" applyFill="1" applyBorder="1">
      <alignment vertical="center"/>
    </xf>
    <xf numFmtId="0" fontId="24" fillId="0" borderId="0" xfId="0" applyFont="1">
      <alignment vertical="center"/>
    </xf>
    <xf numFmtId="0" fontId="9" fillId="0" borderId="4" xfId="0" applyFont="1" applyBorder="1">
      <alignment vertical="center"/>
    </xf>
    <xf numFmtId="38" fontId="10" fillId="0" borderId="1" xfId="1" applyFont="1" applyBorder="1" applyAlignment="1"/>
    <xf numFmtId="0" fontId="9" fillId="0" borderId="7" xfId="0" applyFont="1" applyBorder="1">
      <alignment vertical="center"/>
    </xf>
    <xf numFmtId="0" fontId="31" fillId="0" borderId="3" xfId="0" applyFont="1" applyBorder="1">
      <alignment vertical="center"/>
    </xf>
    <xf numFmtId="38" fontId="10" fillId="12" borderId="1" xfId="1" applyFont="1" applyFill="1" applyBorder="1" applyAlignment="1"/>
    <xf numFmtId="0" fontId="9" fillId="0" borderId="7" xfId="0" applyFont="1" applyBorder="1" applyAlignment="1">
      <alignment wrapText="1"/>
    </xf>
    <xf numFmtId="38" fontId="32" fillId="2" borderId="1" xfId="1" applyFont="1" applyFill="1" applyBorder="1" applyAlignment="1"/>
    <xf numFmtId="0" fontId="23" fillId="0" borderId="5" xfId="0" applyFont="1" applyBorder="1" applyAlignment="1">
      <alignment horizontal="center" vertical="center"/>
    </xf>
    <xf numFmtId="38" fontId="9" fillId="3" borderId="3" xfId="1" applyFont="1" applyFill="1" applyBorder="1" applyAlignment="1"/>
    <xf numFmtId="56" fontId="34" fillId="20" borderId="0" xfId="0" applyNumberFormat="1" applyFont="1" applyFill="1">
      <alignment vertical="center"/>
    </xf>
    <xf numFmtId="38" fontId="33" fillId="21" borderId="14" xfId="1" applyFont="1" applyFill="1" applyBorder="1" applyAlignment="1">
      <alignment horizontal="center" vertical="center"/>
    </xf>
    <xf numFmtId="38" fontId="2" fillId="0" borderId="1" xfId="1" applyFont="1" applyFill="1" applyBorder="1" applyAlignment="1"/>
    <xf numFmtId="38" fontId="30" fillId="0" borderId="8" xfId="1" applyFont="1" applyBorder="1">
      <alignment vertical="center"/>
    </xf>
    <xf numFmtId="38" fontId="30" fillId="0" borderId="9" xfId="1" applyFont="1" applyBorder="1">
      <alignment vertical="center"/>
    </xf>
    <xf numFmtId="38" fontId="30" fillId="0" borderId="1" xfId="1" applyFont="1" applyBorder="1">
      <alignment vertical="center"/>
    </xf>
    <xf numFmtId="38" fontId="0" fillId="19" borderId="1" xfId="1" applyFont="1" applyFill="1" applyBorder="1" applyAlignment="1">
      <alignment horizontal="right" vertical="center"/>
    </xf>
    <xf numFmtId="38" fontId="0" fillId="18" borderId="1" xfId="1" applyFont="1" applyFill="1" applyBorder="1" applyAlignment="1">
      <alignment horizontal="right" vertical="center"/>
    </xf>
    <xf numFmtId="38" fontId="0" fillId="12" borderId="1" xfId="1" applyFont="1" applyFill="1" applyBorder="1" applyAlignment="1">
      <alignment horizontal="right" vertical="center"/>
    </xf>
    <xf numFmtId="38" fontId="35" fillId="19" borderId="1" xfId="1" applyFont="1" applyFill="1" applyBorder="1" applyAlignment="1"/>
    <xf numFmtId="38" fontId="36" fillId="18" borderId="1" xfId="1" applyFont="1" applyFill="1" applyBorder="1" applyAlignment="1"/>
    <xf numFmtId="38" fontId="35" fillId="18" borderId="1" xfId="1" applyFont="1" applyFill="1" applyBorder="1" applyAlignment="1"/>
    <xf numFmtId="38" fontId="35" fillId="12" borderId="1" xfId="1" applyFont="1" applyFill="1" applyBorder="1" applyAlignment="1"/>
    <xf numFmtId="38" fontId="35" fillId="16" borderId="1" xfId="1" applyFont="1" applyFill="1" applyBorder="1" applyAlignment="1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6" fontId="0" fillId="0" borderId="1" xfId="4" applyFont="1" applyBorder="1" applyAlignment="1">
      <alignment horizontal="right"/>
    </xf>
    <xf numFmtId="9" fontId="0" fillId="0" borderId="1" xfId="5" applyFont="1" applyBorder="1" applyAlignment="1"/>
    <xf numFmtId="38" fontId="0" fillId="0" borderId="1" xfId="0" applyNumberFormat="1" applyBorder="1" applyAlignment="1">
      <alignment horizontal="right"/>
    </xf>
    <xf numFmtId="6" fontId="19" fillId="0" borderId="1" xfId="4" applyFont="1" applyBorder="1" applyAlignment="1">
      <alignment horizontal="right"/>
    </xf>
    <xf numFmtId="0" fontId="30" fillId="0" borderId="4" xfId="0" applyFont="1" applyBorder="1">
      <alignment vertical="center"/>
    </xf>
    <xf numFmtId="0" fontId="38" fillId="0" borderId="11" xfId="0" applyFont="1" applyBorder="1">
      <alignment vertical="center"/>
    </xf>
    <xf numFmtId="0" fontId="38" fillId="0" borderId="4" xfId="0" applyFont="1" applyBorder="1">
      <alignment vertical="center"/>
    </xf>
    <xf numFmtId="0" fontId="38" fillId="0" borderId="18" xfId="0" applyFont="1" applyBorder="1">
      <alignment vertical="center"/>
    </xf>
    <xf numFmtId="0" fontId="38" fillId="0" borderId="7" xfId="0" applyFont="1" applyBorder="1">
      <alignment vertical="center"/>
    </xf>
    <xf numFmtId="0" fontId="38" fillId="0" borderId="13" xfId="0" applyFont="1" applyBorder="1">
      <alignment vertical="center"/>
    </xf>
    <xf numFmtId="0" fontId="38" fillId="18" borderId="11" xfId="0" applyFont="1" applyFill="1" applyBorder="1" applyAlignment="1">
      <alignment vertical="center" wrapText="1"/>
    </xf>
    <xf numFmtId="0" fontId="38" fillId="18" borderId="4" xfId="0" applyFont="1" applyFill="1" applyBorder="1">
      <alignment vertical="center"/>
    </xf>
    <xf numFmtId="0" fontId="39" fillId="18" borderId="18" xfId="0" applyFont="1" applyFill="1" applyBorder="1" applyAlignment="1">
      <alignment vertical="center" wrapText="1"/>
    </xf>
    <xf numFmtId="0" fontId="38" fillId="18" borderId="7" xfId="0" applyFont="1" applyFill="1" applyBorder="1">
      <alignment vertical="center"/>
    </xf>
    <xf numFmtId="0" fontId="38" fillId="18" borderId="18" xfId="0" applyFont="1" applyFill="1" applyBorder="1" applyAlignment="1">
      <alignment vertical="center" wrapText="1"/>
    </xf>
    <xf numFmtId="0" fontId="38" fillId="18" borderId="13" xfId="0" applyFont="1" applyFill="1" applyBorder="1">
      <alignment vertical="center"/>
    </xf>
    <xf numFmtId="0" fontId="30" fillId="16" borderId="1" xfId="0" applyFont="1" applyFill="1" applyBorder="1" applyAlignment="1">
      <alignment vertical="center" wrapText="1"/>
    </xf>
    <xf numFmtId="0" fontId="38" fillId="16" borderId="18" xfId="0" applyFont="1" applyFill="1" applyBorder="1">
      <alignment vertical="center"/>
    </xf>
    <xf numFmtId="0" fontId="38" fillId="16" borderId="7" xfId="0" applyFont="1" applyFill="1" applyBorder="1">
      <alignment vertical="center"/>
    </xf>
    <xf numFmtId="0" fontId="30" fillId="12" borderId="1" xfId="0" applyFont="1" applyFill="1" applyBorder="1">
      <alignment vertical="center"/>
    </xf>
    <xf numFmtId="0" fontId="23" fillId="0" borderId="1" xfId="0" applyFont="1" applyBorder="1" applyAlignment="1">
      <alignment vertical="center" wrapText="1"/>
    </xf>
    <xf numFmtId="0" fontId="9" fillId="0" borderId="3" xfId="0" applyFont="1" applyBorder="1" applyAlignment="1">
      <alignment wrapText="1"/>
    </xf>
    <xf numFmtId="38" fontId="9" fillId="0" borderId="1" xfId="1" applyFont="1" applyBorder="1" applyAlignment="1"/>
    <xf numFmtId="38" fontId="10" fillId="0" borderId="7" xfId="1" applyFont="1" applyBorder="1" applyAlignment="1"/>
    <xf numFmtId="0" fontId="10" fillId="0" borderId="3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9" fillId="0" borderId="10" xfId="0" applyFont="1" applyBorder="1" applyAlignment="1">
      <alignment wrapText="1"/>
    </xf>
    <xf numFmtId="0" fontId="9" fillId="0" borderId="8" xfId="0" applyFont="1" applyBorder="1" applyAlignment="1">
      <alignment wrapText="1"/>
    </xf>
    <xf numFmtId="38" fontId="9" fillId="2" borderId="8" xfId="1" applyFont="1" applyFill="1" applyBorder="1" applyAlignment="1"/>
    <xf numFmtId="0" fontId="30" fillId="0" borderId="12" xfId="0" applyFont="1" applyBorder="1">
      <alignment vertical="center"/>
    </xf>
    <xf numFmtId="38" fontId="30" fillId="0" borderId="2" xfId="1" applyFont="1" applyBorder="1">
      <alignment vertical="center"/>
    </xf>
    <xf numFmtId="38" fontId="9" fillId="2" borderId="2" xfId="1" applyFont="1" applyFill="1" applyBorder="1" applyAlignment="1"/>
    <xf numFmtId="0" fontId="38" fillId="0" borderId="11" xfId="0" applyFont="1" applyBorder="1" applyAlignment="1">
      <alignment vertical="center" wrapText="1"/>
    </xf>
    <xf numFmtId="0" fontId="38" fillId="0" borderId="18" xfId="0" applyFont="1" applyBorder="1" applyAlignment="1">
      <alignment vertical="center" wrapText="1"/>
    </xf>
    <xf numFmtId="0" fontId="30" fillId="12" borderId="1" xfId="0" applyFont="1" applyFill="1" applyBorder="1" applyAlignment="1">
      <alignment vertical="center" wrapText="1"/>
    </xf>
    <xf numFmtId="0" fontId="41" fillId="16" borderId="7" xfId="0" applyFont="1" applyFill="1" applyBorder="1">
      <alignment vertical="center"/>
    </xf>
    <xf numFmtId="0" fontId="38" fillId="22" borderId="11" xfId="0" applyFont="1" applyFill="1" applyBorder="1">
      <alignment vertical="center"/>
    </xf>
    <xf numFmtId="0" fontId="40" fillId="22" borderId="4" xfId="0" applyFont="1" applyFill="1" applyBorder="1" applyAlignment="1">
      <alignment vertical="center" wrapText="1"/>
    </xf>
    <xf numFmtId="0" fontId="38" fillId="22" borderId="4" xfId="0" applyFont="1" applyFill="1" applyBorder="1">
      <alignment vertical="center"/>
    </xf>
    <xf numFmtId="38" fontId="35" fillId="22" borderId="1" xfId="1" applyFont="1" applyFill="1" applyBorder="1" applyAlignment="1"/>
    <xf numFmtId="0" fontId="38" fillId="22" borderId="18" xfId="0" applyFont="1" applyFill="1" applyBorder="1">
      <alignment vertical="center"/>
    </xf>
    <xf numFmtId="0" fontId="38" fillId="22" borderId="7" xfId="0" applyFont="1" applyFill="1" applyBorder="1">
      <alignment vertical="center"/>
    </xf>
    <xf numFmtId="56" fontId="0" fillId="22" borderId="11" xfId="0" applyNumberFormat="1" applyFill="1" applyBorder="1">
      <alignment vertical="center"/>
    </xf>
    <xf numFmtId="0" fontId="0" fillId="22" borderId="1" xfId="0" applyFill="1" applyBorder="1">
      <alignment vertical="center"/>
    </xf>
    <xf numFmtId="38" fontId="0" fillId="22" borderId="1" xfId="1" applyFont="1" applyFill="1" applyBorder="1" applyAlignment="1">
      <alignment horizontal="right" vertical="center"/>
    </xf>
    <xf numFmtId="0" fontId="0" fillId="22" borderId="1" xfId="0" applyFill="1" applyBorder="1" applyAlignment="1">
      <alignment horizontal="center" vertical="center"/>
    </xf>
    <xf numFmtId="0" fontId="9" fillId="23" borderId="1" xfId="0" applyFont="1" applyFill="1" applyBorder="1" applyAlignment="1"/>
    <xf numFmtId="0" fontId="9" fillId="23" borderId="1" xfId="0" applyFont="1" applyFill="1" applyBorder="1" applyAlignment="1">
      <alignment wrapText="1"/>
    </xf>
    <xf numFmtId="38" fontId="10" fillId="23" borderId="1" xfId="1" applyFont="1" applyFill="1" applyBorder="1" applyAlignment="1"/>
    <xf numFmtId="0" fontId="10" fillId="23" borderId="1" xfId="0" applyFont="1" applyFill="1" applyBorder="1" applyAlignment="1"/>
    <xf numFmtId="38" fontId="9" fillId="23" borderId="1" xfId="1" applyFont="1" applyFill="1" applyBorder="1" applyAlignment="1"/>
    <xf numFmtId="0" fontId="0" fillId="23" borderId="1" xfId="0" applyFill="1" applyBorder="1">
      <alignment vertical="center"/>
    </xf>
    <xf numFmtId="3" fontId="9" fillId="0" borderId="1" xfId="0" applyNumberFormat="1" applyFont="1" applyBorder="1" applyAlignment="1">
      <alignment wrapText="1"/>
    </xf>
    <xf numFmtId="38" fontId="9" fillId="2" borderId="9" xfId="1" applyFont="1" applyFill="1" applyBorder="1" applyAlignment="1"/>
    <xf numFmtId="0" fontId="30" fillId="0" borderId="9" xfId="0" applyFont="1" applyBorder="1" applyAlignment="1">
      <alignment vertical="center" wrapText="1"/>
    </xf>
    <xf numFmtId="0" fontId="30" fillId="0" borderId="4" xfId="0" applyFont="1" applyBorder="1" applyAlignment="1">
      <alignment vertical="center" wrapText="1"/>
    </xf>
    <xf numFmtId="0" fontId="38" fillId="12" borderId="11" xfId="0" applyFont="1" applyFill="1" applyBorder="1">
      <alignment vertical="center"/>
    </xf>
    <xf numFmtId="0" fontId="40" fillId="12" borderId="4" xfId="0" applyFont="1" applyFill="1" applyBorder="1" applyAlignment="1">
      <alignment vertical="center" wrapText="1"/>
    </xf>
    <xf numFmtId="0" fontId="38" fillId="12" borderId="4" xfId="0" applyFont="1" applyFill="1" applyBorder="1">
      <alignment vertical="center"/>
    </xf>
    <xf numFmtId="0" fontId="38" fillId="23" borderId="7" xfId="0" applyFont="1" applyFill="1" applyBorder="1">
      <alignment vertical="center"/>
    </xf>
    <xf numFmtId="38" fontId="35" fillId="23" borderId="1" xfId="1" applyFont="1" applyFill="1" applyBorder="1" applyAlignment="1"/>
    <xf numFmtId="0" fontId="41" fillId="23" borderId="18" xfId="0" applyFont="1" applyFill="1" applyBorder="1" applyAlignment="1">
      <alignment vertical="center" wrapText="1"/>
    </xf>
    <xf numFmtId="0" fontId="9" fillId="0" borderId="23" xfId="0" applyFont="1" applyBorder="1" applyAlignment="1">
      <alignment wrapText="1"/>
    </xf>
    <xf numFmtId="0" fontId="42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43" fillId="0" borderId="1" xfId="0" applyFont="1" applyBorder="1">
      <alignment vertical="center"/>
    </xf>
    <xf numFmtId="0" fontId="9" fillId="0" borderId="5" xfId="0" applyFont="1" applyBorder="1" applyAlignment="1">
      <alignment wrapText="1"/>
    </xf>
    <xf numFmtId="0" fontId="28" fillId="3" borderId="1" xfId="0" applyFont="1" applyFill="1" applyBorder="1" applyAlignment="1"/>
    <xf numFmtId="0" fontId="29" fillId="3" borderId="1" xfId="0" applyFont="1" applyFill="1" applyBorder="1" applyAlignment="1"/>
    <xf numFmtId="38" fontId="28" fillId="3" borderId="1" xfId="1" applyFont="1" applyFill="1" applyBorder="1" applyAlignment="1"/>
    <xf numFmtId="0" fontId="28" fillId="12" borderId="1" xfId="0" applyFont="1" applyFill="1" applyBorder="1" applyAlignment="1"/>
    <xf numFmtId="0" fontId="29" fillId="12" borderId="1" xfId="0" applyFont="1" applyFill="1" applyBorder="1" applyAlignment="1"/>
    <xf numFmtId="38" fontId="28" fillId="12" borderId="1" xfId="1" applyFont="1" applyFill="1" applyBorder="1" applyAlignment="1"/>
    <xf numFmtId="0" fontId="28" fillId="8" borderId="1" xfId="0" applyFont="1" applyFill="1" applyBorder="1" applyAlignment="1"/>
    <xf numFmtId="0" fontId="29" fillId="8" borderId="1" xfId="0" applyFont="1" applyFill="1" applyBorder="1" applyAlignment="1"/>
    <xf numFmtId="38" fontId="28" fillId="8" borderId="1" xfId="1" applyFont="1" applyFill="1" applyBorder="1" applyAlignment="1"/>
    <xf numFmtId="0" fontId="28" fillId="6" borderId="1" xfId="0" applyFont="1" applyFill="1" applyBorder="1" applyAlignment="1"/>
    <xf numFmtId="0" fontId="29" fillId="6" borderId="1" xfId="0" applyFont="1" applyFill="1" applyBorder="1" applyAlignment="1"/>
    <xf numFmtId="38" fontId="28" fillId="6" borderId="1" xfId="1" applyFont="1" applyFill="1" applyBorder="1" applyAlignment="1"/>
    <xf numFmtId="0" fontId="28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38" fontId="28" fillId="0" borderId="3" xfId="1" applyFont="1" applyBorder="1" applyAlignment="1">
      <alignment horizontal="center" vertical="center"/>
    </xf>
    <xf numFmtId="56" fontId="44" fillId="0" borderId="0" xfId="0" applyNumberFormat="1" applyFont="1">
      <alignment vertical="center"/>
    </xf>
    <xf numFmtId="0" fontId="44" fillId="0" borderId="0" xfId="0" applyFont="1">
      <alignment vertical="center"/>
    </xf>
    <xf numFmtId="38" fontId="44" fillId="0" borderId="0" xfId="1" applyFont="1" applyAlignment="1">
      <alignment vertical="center"/>
    </xf>
    <xf numFmtId="0" fontId="44" fillId="0" borderId="1" xfId="0" applyFont="1" applyBorder="1">
      <alignment vertical="center"/>
    </xf>
    <xf numFmtId="0" fontId="44" fillId="3" borderId="1" xfId="0" applyFont="1" applyFill="1" applyBorder="1">
      <alignment vertical="center"/>
    </xf>
    <xf numFmtId="0" fontId="44" fillId="12" borderId="1" xfId="0" applyFont="1" applyFill="1" applyBorder="1">
      <alignment vertical="center"/>
    </xf>
    <xf numFmtId="0" fontId="44" fillId="8" borderId="1" xfId="0" applyFont="1" applyFill="1" applyBorder="1">
      <alignment vertical="center"/>
    </xf>
    <xf numFmtId="0" fontId="44" fillId="6" borderId="1" xfId="0" applyFont="1" applyFill="1" applyBorder="1">
      <alignment vertical="center"/>
    </xf>
    <xf numFmtId="0" fontId="6" fillId="12" borderId="19" xfId="0" applyFont="1" applyFill="1" applyBorder="1" applyAlignment="1">
      <alignment horizontal="center" vertical="center"/>
    </xf>
    <xf numFmtId="0" fontId="22" fillId="12" borderId="20" xfId="0" applyFont="1" applyFill="1" applyBorder="1" applyAlignment="1">
      <alignment horizontal="center" vertical="center"/>
    </xf>
    <xf numFmtId="38" fontId="22" fillId="12" borderId="20" xfId="1" applyFont="1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38" fontId="35" fillId="12" borderId="21" xfId="1" applyFont="1" applyFill="1" applyBorder="1" applyAlignment="1">
      <alignment horizontal="center" vertical="center"/>
    </xf>
    <xf numFmtId="0" fontId="6" fillId="12" borderId="15" xfId="0" applyFont="1" applyFill="1" applyBorder="1" applyAlignment="1">
      <alignment horizontal="center" vertical="center"/>
    </xf>
    <xf numFmtId="0" fontId="22" fillId="12" borderId="3" xfId="0" applyFont="1" applyFill="1" applyBorder="1" applyAlignment="1">
      <alignment horizontal="center" vertical="center"/>
    </xf>
    <xf numFmtId="38" fontId="22" fillId="12" borderId="3" xfId="1" applyFont="1" applyFill="1" applyBorder="1" applyAlignment="1">
      <alignment horizontal="right" vertical="center"/>
    </xf>
    <xf numFmtId="0" fontId="23" fillId="12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/>
    </xf>
    <xf numFmtId="38" fontId="37" fillId="13" borderId="1" xfId="1" applyFont="1" applyFill="1" applyBorder="1" applyAlignment="1"/>
    <xf numFmtId="0" fontId="9" fillId="22" borderId="1" xfId="0" applyFont="1" applyFill="1" applyBorder="1" applyAlignment="1"/>
    <xf numFmtId="0" fontId="9" fillId="22" borderId="1" xfId="0" applyFont="1" applyFill="1" applyBorder="1" applyAlignment="1">
      <alignment wrapText="1"/>
    </xf>
    <xf numFmtId="38" fontId="10" fillId="22" borderId="1" xfId="1" applyFont="1" applyFill="1" applyBorder="1" applyAlignment="1"/>
    <xf numFmtId="0" fontId="10" fillId="22" borderId="1" xfId="0" applyFont="1" applyFill="1" applyBorder="1" applyAlignment="1"/>
    <xf numFmtId="38" fontId="9" fillId="22" borderId="1" xfId="1" applyFont="1" applyFill="1" applyBorder="1" applyAlignment="1"/>
    <xf numFmtId="0" fontId="40" fillId="23" borderId="4" xfId="0" applyFont="1" applyFill="1" applyBorder="1" applyAlignment="1">
      <alignment vertical="center" wrapText="1"/>
    </xf>
    <xf numFmtId="0" fontId="0" fillId="23" borderId="1" xfId="0" applyFill="1" applyBorder="1" applyAlignment="1">
      <alignment horizontal="center" vertical="center"/>
    </xf>
    <xf numFmtId="38" fontId="7" fillId="0" borderId="2" xfId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38" fontId="7" fillId="0" borderId="3" xfId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31" fontId="15" fillId="0" borderId="5" xfId="0" applyNumberFormat="1" applyFont="1" applyBorder="1" applyAlignment="1"/>
    <xf numFmtId="31" fontId="15" fillId="0" borderId="4" xfId="0" applyNumberFormat="1" applyFont="1" applyBorder="1" applyAlignment="1"/>
    <xf numFmtId="56" fontId="0" fillId="0" borderId="0" xfId="0" applyNumberFormat="1" applyAlignment="1">
      <alignment horizontal="center" vertical="center"/>
    </xf>
    <xf numFmtId="56" fontId="45" fillId="0" borderId="0" xfId="0" applyNumberFormat="1" applyFont="1">
      <alignment vertical="center"/>
    </xf>
    <xf numFmtId="0" fontId="23" fillId="0" borderId="1" xfId="0" applyFont="1" applyBorder="1">
      <alignment vertical="center"/>
    </xf>
    <xf numFmtId="0" fontId="31" fillId="0" borderId="26" xfId="0" applyFont="1" applyBorder="1">
      <alignment vertical="center"/>
    </xf>
    <xf numFmtId="0" fontId="31" fillId="0" borderId="1" xfId="0" applyFont="1" applyBorder="1">
      <alignment vertical="center"/>
    </xf>
    <xf numFmtId="3" fontId="46" fillId="0" borderId="1" xfId="0" applyNumberFormat="1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3" fontId="9" fillId="0" borderId="1" xfId="0" applyNumberFormat="1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2" borderId="1" xfId="0" applyFont="1" applyFill="1" applyBorder="1">
      <alignment vertical="center"/>
    </xf>
    <xf numFmtId="3" fontId="9" fillId="2" borderId="1" xfId="0" applyNumberFormat="1" applyFont="1" applyFill="1" applyBorder="1">
      <alignment vertical="center"/>
    </xf>
    <xf numFmtId="0" fontId="10" fillId="0" borderId="1" xfId="0" applyFont="1" applyBorder="1">
      <alignment vertical="center"/>
    </xf>
    <xf numFmtId="0" fontId="31" fillId="0" borderId="7" xfId="0" applyFont="1" applyBorder="1">
      <alignment vertical="center"/>
    </xf>
    <xf numFmtId="0" fontId="10" fillId="0" borderId="7" xfId="0" applyFont="1" applyBorder="1">
      <alignment vertical="center"/>
    </xf>
    <xf numFmtId="0" fontId="10" fillId="2" borderId="1" xfId="0" applyFont="1" applyFill="1" applyBorder="1">
      <alignment vertical="center"/>
    </xf>
    <xf numFmtId="0" fontId="9" fillId="0" borderId="2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3" fontId="10" fillId="2" borderId="1" xfId="0" applyNumberFormat="1" applyFont="1" applyFill="1" applyBorder="1">
      <alignment vertical="center"/>
    </xf>
    <xf numFmtId="3" fontId="10" fillId="0" borderId="1" xfId="0" applyNumberFormat="1" applyFont="1" applyBorder="1">
      <alignment vertical="center"/>
    </xf>
    <xf numFmtId="0" fontId="9" fillId="2" borderId="25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vertical="center" wrapText="1"/>
    </xf>
    <xf numFmtId="0" fontId="10" fillId="2" borderId="7" xfId="0" applyFont="1" applyFill="1" applyBorder="1">
      <alignment vertical="center"/>
    </xf>
    <xf numFmtId="0" fontId="9" fillId="0" borderId="16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10" fillId="0" borderId="16" xfId="0" applyFont="1" applyBorder="1">
      <alignment vertical="center"/>
    </xf>
    <xf numFmtId="0" fontId="10" fillId="0" borderId="7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3" fillId="0" borderId="16" xfId="0" applyFont="1" applyBorder="1">
      <alignment vertical="center"/>
    </xf>
    <xf numFmtId="0" fontId="9" fillId="2" borderId="7" xfId="0" applyFont="1" applyFill="1" applyBorder="1">
      <alignment vertical="center"/>
    </xf>
    <xf numFmtId="0" fontId="10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31" fillId="0" borderId="24" xfId="0" applyFont="1" applyBorder="1">
      <alignment vertical="center"/>
    </xf>
    <xf numFmtId="0" fontId="9" fillId="2" borderId="27" xfId="0" applyFont="1" applyFill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2" borderId="17" xfId="0" applyFont="1" applyFill="1" applyBorder="1" applyAlignment="1">
      <alignment vertical="center" wrapText="1"/>
    </xf>
    <xf numFmtId="0" fontId="31" fillId="0" borderId="28" xfId="0" applyFont="1" applyBorder="1">
      <alignment vertical="center"/>
    </xf>
    <xf numFmtId="3" fontId="10" fillId="2" borderId="7" xfId="0" applyNumberFormat="1" applyFont="1" applyFill="1" applyBorder="1">
      <alignment vertical="center"/>
    </xf>
    <xf numFmtId="0" fontId="11" fillId="0" borderId="0" xfId="0" applyFont="1" applyAlignment="1">
      <alignment vertical="center" wrapText="1"/>
    </xf>
    <xf numFmtId="0" fontId="31" fillId="0" borderId="1" xfId="0" applyFont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2" borderId="16" xfId="0" applyFont="1" applyFill="1" applyBorder="1" applyAlignment="1">
      <alignment vertical="center" wrapText="1"/>
    </xf>
    <xf numFmtId="0" fontId="10" fillId="2" borderId="7" xfId="0" applyFont="1" applyFill="1" applyBorder="1" applyAlignment="1">
      <alignment vertical="center" wrapText="1"/>
    </xf>
    <xf numFmtId="0" fontId="9" fillId="0" borderId="0" xfId="0" applyFont="1">
      <alignment vertical="center"/>
    </xf>
    <xf numFmtId="38" fontId="9" fillId="12" borderId="0" xfId="1" applyFont="1" applyFill="1" applyBorder="1" applyAlignment="1"/>
    <xf numFmtId="0" fontId="9" fillId="0" borderId="0" xfId="0" applyFont="1" applyAlignment="1">
      <alignment wrapText="1"/>
    </xf>
    <xf numFmtId="38" fontId="10" fillId="2" borderId="0" xfId="1" applyFont="1" applyFill="1" applyBorder="1" applyAlignment="1"/>
    <xf numFmtId="38" fontId="10" fillId="0" borderId="0" xfId="1" applyFont="1" applyBorder="1" applyAlignment="1"/>
    <xf numFmtId="0" fontId="9" fillId="2" borderId="0" xfId="0" applyFont="1" applyFill="1" applyAlignment="1"/>
    <xf numFmtId="0" fontId="31" fillId="0" borderId="29" xfId="0" applyFont="1" applyBorder="1">
      <alignment vertical="center"/>
    </xf>
    <xf numFmtId="0" fontId="9" fillId="2" borderId="10" xfId="0" applyFont="1" applyFill="1" applyBorder="1" applyAlignment="1"/>
    <xf numFmtId="38" fontId="10" fillId="2" borderId="10" xfId="1" applyFont="1" applyFill="1" applyBorder="1" applyAlignment="1"/>
    <xf numFmtId="38" fontId="10" fillId="0" borderId="10" xfId="1" applyFont="1" applyBorder="1" applyAlignment="1"/>
    <xf numFmtId="0" fontId="9" fillId="0" borderId="27" xfId="0" applyFont="1" applyBorder="1">
      <alignment vertical="center"/>
    </xf>
    <xf numFmtId="0" fontId="9" fillId="0" borderId="30" xfId="0" applyFont="1" applyBorder="1">
      <alignment vertical="center"/>
    </xf>
    <xf numFmtId="0" fontId="10" fillId="0" borderId="8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3" fontId="9" fillId="12" borderId="4" xfId="0" applyNumberFormat="1" applyFont="1" applyFill="1" applyBorder="1" applyAlignment="1">
      <alignment wrapText="1"/>
    </xf>
    <xf numFmtId="0" fontId="9" fillId="12" borderId="1" xfId="0" applyFont="1" applyFill="1" applyBorder="1" applyAlignment="1">
      <alignment vertical="center" wrapText="1"/>
    </xf>
    <xf numFmtId="0" fontId="10" fillId="12" borderId="7" xfId="0" applyFont="1" applyFill="1" applyBorder="1" applyAlignment="1">
      <alignment vertical="center" wrapText="1"/>
    </xf>
    <xf numFmtId="0" fontId="10" fillId="12" borderId="16" xfId="0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56" fontId="11" fillId="0" borderId="0" xfId="0" applyNumberFormat="1" applyFont="1">
      <alignment vertical="center"/>
    </xf>
    <xf numFmtId="0" fontId="47" fillId="24" borderId="1" xfId="0" applyFont="1" applyFill="1" applyBorder="1">
      <alignment vertical="center"/>
    </xf>
    <xf numFmtId="0" fontId="47" fillId="24" borderId="1" xfId="0" applyFont="1" applyFill="1" applyBorder="1" applyAlignment="1">
      <alignment vertical="center" wrapText="1"/>
    </xf>
    <xf numFmtId="0" fontId="3" fillId="0" borderId="8" xfId="0" applyFont="1" applyBorder="1">
      <alignment vertical="center"/>
    </xf>
    <xf numFmtId="0" fontId="11" fillId="0" borderId="8" xfId="0" applyFont="1" applyBorder="1">
      <alignment vertical="center"/>
    </xf>
    <xf numFmtId="0" fontId="11" fillId="0" borderId="31" xfId="0" applyFont="1" applyBorder="1">
      <alignment vertical="center"/>
    </xf>
    <xf numFmtId="0" fontId="48" fillId="0" borderId="31" xfId="0" applyFont="1" applyBorder="1">
      <alignment vertical="center"/>
    </xf>
    <xf numFmtId="0" fontId="3" fillId="0" borderId="31" xfId="0" applyFont="1" applyBorder="1">
      <alignment vertical="center"/>
    </xf>
    <xf numFmtId="0" fontId="3" fillId="0" borderId="32" xfId="0" applyFont="1" applyBorder="1">
      <alignment vertical="center"/>
    </xf>
    <xf numFmtId="0" fontId="10" fillId="0" borderId="2" xfId="0" applyFont="1" applyBorder="1">
      <alignment vertical="center"/>
    </xf>
    <xf numFmtId="0" fontId="10" fillId="2" borderId="2" xfId="0" applyFont="1" applyFill="1" applyBorder="1">
      <alignment vertical="center"/>
    </xf>
    <xf numFmtId="0" fontId="49" fillId="0" borderId="8" xfId="0" applyFont="1" applyBorder="1">
      <alignment vertical="center"/>
    </xf>
    <xf numFmtId="0" fontId="49" fillId="2" borderId="8" xfId="0" applyFont="1" applyFill="1" applyBorder="1">
      <alignment vertical="center"/>
    </xf>
    <xf numFmtId="0" fontId="38" fillId="0" borderId="0" xfId="0" applyFont="1">
      <alignment vertical="center"/>
    </xf>
    <xf numFmtId="56" fontId="38" fillId="0" borderId="0" xfId="0" applyNumberFormat="1" applyFont="1">
      <alignment vertical="center"/>
    </xf>
    <xf numFmtId="0" fontId="39" fillId="0" borderId="0" xfId="0" applyFont="1">
      <alignment vertical="center"/>
    </xf>
    <xf numFmtId="0" fontId="8" fillId="0" borderId="7" xfId="0" applyFont="1" applyBorder="1" applyAlignment="1">
      <alignment vertical="center" wrapText="1"/>
    </xf>
    <xf numFmtId="0" fontId="8" fillId="0" borderId="7" xfId="0" applyFont="1" applyBorder="1">
      <alignment vertical="center"/>
    </xf>
    <xf numFmtId="0" fontId="38" fillId="0" borderId="3" xfId="0" applyFont="1" applyBorder="1">
      <alignment vertical="center"/>
    </xf>
    <xf numFmtId="0" fontId="2" fillId="0" borderId="7" xfId="0" applyFont="1" applyBorder="1" applyAlignment="1">
      <alignment vertical="center" wrapText="1"/>
    </xf>
    <xf numFmtId="0" fontId="2" fillId="2" borderId="7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0" borderId="7" xfId="0" applyFont="1" applyBorder="1">
      <alignment vertical="center"/>
    </xf>
    <xf numFmtId="0" fontId="2" fillId="0" borderId="7" xfId="0" applyFont="1" applyBorder="1">
      <alignment vertical="center"/>
    </xf>
    <xf numFmtId="3" fontId="12" fillId="2" borderId="7" xfId="0" applyNumberFormat="1" applyFont="1" applyFill="1" applyBorder="1">
      <alignment vertical="center"/>
    </xf>
    <xf numFmtId="3" fontId="3" fillId="2" borderId="7" xfId="0" applyNumberFormat="1" applyFont="1" applyFill="1" applyBorder="1">
      <alignment vertical="center"/>
    </xf>
    <xf numFmtId="3" fontId="2" fillId="2" borderId="7" xfId="0" applyNumberFormat="1" applyFont="1" applyFill="1" applyBorder="1">
      <alignment vertical="center"/>
    </xf>
    <xf numFmtId="0" fontId="38" fillId="0" borderId="31" xfId="0" applyFont="1" applyBorder="1">
      <alignment vertical="center"/>
    </xf>
    <xf numFmtId="0" fontId="38" fillId="0" borderId="16" xfId="0" applyFont="1" applyBorder="1">
      <alignment vertical="center"/>
    </xf>
    <xf numFmtId="0" fontId="39" fillId="0" borderId="34" xfId="0" applyFont="1" applyBorder="1" applyAlignment="1">
      <alignment vertical="center" wrapText="1"/>
    </xf>
    <xf numFmtId="0" fontId="39" fillId="0" borderId="16" xfId="0" applyFont="1" applyBorder="1">
      <alignment vertical="center"/>
    </xf>
    <xf numFmtId="0" fontId="39" fillId="0" borderId="7" xfId="0" applyFont="1" applyBorder="1">
      <alignment vertical="center"/>
    </xf>
    <xf numFmtId="0" fontId="2" fillId="0" borderId="16" xfId="0" applyFont="1" applyBorder="1" applyAlignment="1">
      <alignment vertical="center" wrapText="1"/>
    </xf>
    <xf numFmtId="3" fontId="39" fillId="0" borderId="16" xfId="0" applyNumberFormat="1" applyFont="1" applyBorder="1">
      <alignment vertical="center"/>
    </xf>
    <xf numFmtId="0" fontId="38" fillId="0" borderId="25" xfId="0" applyFont="1" applyBorder="1">
      <alignment vertical="center"/>
    </xf>
    <xf numFmtId="0" fontId="39" fillId="0" borderId="16" xfId="0" applyFont="1" applyBorder="1" applyAlignment="1">
      <alignment vertical="center" wrapText="1"/>
    </xf>
    <xf numFmtId="0" fontId="38" fillId="0" borderId="8" xfId="0" applyFont="1" applyBorder="1">
      <alignment vertical="center"/>
    </xf>
    <xf numFmtId="0" fontId="38" fillId="0" borderId="35" xfId="0" applyFont="1" applyBorder="1">
      <alignment vertical="center"/>
    </xf>
    <xf numFmtId="0" fontId="38" fillId="0" borderId="32" xfId="0" applyFont="1" applyBorder="1">
      <alignment vertical="center"/>
    </xf>
    <xf numFmtId="3" fontId="39" fillId="0" borderId="32" xfId="0" applyNumberFormat="1" applyFont="1" applyBorder="1">
      <alignment vertical="center"/>
    </xf>
    <xf numFmtId="3" fontId="2" fillId="2" borderId="32" xfId="0" applyNumberFormat="1" applyFont="1" applyFill="1" applyBorder="1">
      <alignment vertical="center"/>
    </xf>
    <xf numFmtId="0" fontId="38" fillId="0" borderId="9" xfId="0" applyFont="1" applyBorder="1">
      <alignment vertical="center"/>
    </xf>
    <xf numFmtId="0" fontId="38" fillId="0" borderId="34" xfId="0" applyFont="1" applyBorder="1">
      <alignment vertical="center"/>
    </xf>
    <xf numFmtId="0" fontId="2" fillId="2" borderId="36" xfId="0" applyFont="1" applyFill="1" applyBorder="1">
      <alignment vertical="center"/>
    </xf>
    <xf numFmtId="3" fontId="2" fillId="2" borderId="36" xfId="0" applyNumberFormat="1" applyFont="1" applyFill="1" applyBorder="1">
      <alignment vertical="center"/>
    </xf>
    <xf numFmtId="0" fontId="38" fillId="0" borderId="1" xfId="0" applyFont="1" applyBorder="1">
      <alignment vertical="center"/>
    </xf>
    <xf numFmtId="0" fontId="39" fillId="0" borderId="32" xfId="0" applyFont="1" applyBorder="1" applyAlignment="1">
      <alignment vertical="center" wrapText="1"/>
    </xf>
    <xf numFmtId="0" fontId="2" fillId="2" borderId="34" xfId="0" applyFont="1" applyFill="1" applyBorder="1">
      <alignment vertical="center"/>
    </xf>
    <xf numFmtId="0" fontId="39" fillId="0" borderId="0" xfId="0" applyFont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9" fillId="0" borderId="7" xfId="0" applyFont="1" applyBorder="1" applyAlignment="1">
      <alignment vertical="center" wrapText="1"/>
    </xf>
    <xf numFmtId="0" fontId="39" fillId="0" borderId="13" xfId="0" applyFont="1" applyBorder="1" applyAlignment="1">
      <alignment vertical="center" wrapText="1"/>
    </xf>
    <xf numFmtId="0" fontId="39" fillId="0" borderId="36" xfId="0" applyFont="1" applyBorder="1" applyAlignment="1">
      <alignment vertical="center" wrapText="1"/>
    </xf>
    <xf numFmtId="0" fontId="38" fillId="0" borderId="34" xfId="0" applyFont="1" applyBorder="1" applyAlignment="1">
      <alignment vertical="center" wrapText="1"/>
    </xf>
    <xf numFmtId="0" fontId="39" fillId="0" borderId="34" xfId="0" applyFont="1" applyBorder="1">
      <alignment vertical="center"/>
    </xf>
    <xf numFmtId="0" fontId="39" fillId="0" borderId="32" xfId="0" applyFont="1" applyBorder="1">
      <alignment vertical="center"/>
    </xf>
    <xf numFmtId="56" fontId="38" fillId="0" borderId="37" xfId="0" applyNumberFormat="1" applyFont="1" applyBorder="1" applyAlignment="1">
      <alignment horizontal="left" vertical="center" wrapText="1"/>
    </xf>
    <xf numFmtId="0" fontId="22" fillId="0" borderId="3" xfId="0" applyFont="1" applyBorder="1" applyAlignment="1">
      <alignment horizontal="center" vertical="center"/>
    </xf>
    <xf numFmtId="38" fontId="22" fillId="0" borderId="3" xfId="1" applyFont="1" applyBorder="1" applyAlignment="1">
      <alignment horizontal="center" vertical="center"/>
    </xf>
    <xf numFmtId="0" fontId="51" fillId="0" borderId="11" xfId="0" applyFont="1" applyBorder="1">
      <alignment vertical="center"/>
    </xf>
    <xf numFmtId="0" fontId="51" fillId="0" borderId="4" xfId="0" applyFont="1" applyBorder="1">
      <alignment vertical="center"/>
    </xf>
    <xf numFmtId="0" fontId="51" fillId="0" borderId="18" xfId="0" applyFont="1" applyBorder="1">
      <alignment vertical="center"/>
    </xf>
    <xf numFmtId="0" fontId="51" fillId="0" borderId="7" xfId="0" applyFont="1" applyBorder="1">
      <alignment vertical="center"/>
    </xf>
    <xf numFmtId="0" fontId="51" fillId="0" borderId="11" xfId="0" applyFont="1" applyBorder="1" applyAlignment="1">
      <alignment vertical="center" wrapText="1"/>
    </xf>
    <xf numFmtId="0" fontId="51" fillId="0" borderId="18" xfId="0" applyFont="1" applyBorder="1" applyAlignment="1">
      <alignment vertical="center" wrapText="1"/>
    </xf>
    <xf numFmtId="0" fontId="51" fillId="18" borderId="11" xfId="0" applyFont="1" applyFill="1" applyBorder="1" applyAlignment="1">
      <alignment vertical="center" wrapText="1"/>
    </xf>
    <xf numFmtId="0" fontId="51" fillId="18" borderId="4" xfId="0" applyFont="1" applyFill="1" applyBorder="1">
      <alignment vertical="center"/>
    </xf>
    <xf numFmtId="0" fontId="52" fillId="18" borderId="18" xfId="0" applyFont="1" applyFill="1" applyBorder="1" applyAlignment="1">
      <alignment vertical="center" wrapText="1"/>
    </xf>
    <xf numFmtId="0" fontId="51" fillId="18" borderId="7" xfId="0" applyFont="1" applyFill="1" applyBorder="1">
      <alignment vertical="center"/>
    </xf>
    <xf numFmtId="0" fontId="51" fillId="18" borderId="18" xfId="0" applyFont="1" applyFill="1" applyBorder="1" applyAlignment="1">
      <alignment vertical="center" wrapText="1"/>
    </xf>
    <xf numFmtId="0" fontId="51" fillId="18" borderId="13" xfId="0" applyFont="1" applyFill="1" applyBorder="1">
      <alignment vertical="center"/>
    </xf>
    <xf numFmtId="0" fontId="51" fillId="16" borderId="18" xfId="0" applyFont="1" applyFill="1" applyBorder="1">
      <alignment vertical="center"/>
    </xf>
    <xf numFmtId="0" fontId="53" fillId="16" borderId="7" xfId="0" applyFont="1" applyFill="1" applyBorder="1">
      <alignment vertical="center"/>
    </xf>
    <xf numFmtId="0" fontId="51" fillId="16" borderId="7" xfId="0" applyFont="1" applyFill="1" applyBorder="1">
      <alignment vertical="center"/>
    </xf>
    <xf numFmtId="0" fontId="51" fillId="12" borderId="11" xfId="0" applyFont="1" applyFill="1" applyBorder="1">
      <alignment vertical="center"/>
    </xf>
    <xf numFmtId="0" fontId="54" fillId="12" borderId="4" xfId="0" applyFont="1" applyFill="1" applyBorder="1" applyAlignment="1">
      <alignment vertical="center" wrapText="1"/>
    </xf>
    <xf numFmtId="0" fontId="51" fillId="12" borderId="4" xfId="0" applyFont="1" applyFill="1" applyBorder="1">
      <alignment vertical="center"/>
    </xf>
    <xf numFmtId="0" fontId="51" fillId="22" borderId="11" xfId="0" applyFont="1" applyFill="1" applyBorder="1">
      <alignment vertical="center"/>
    </xf>
    <xf numFmtId="0" fontId="54" fillId="22" borderId="4" xfId="0" applyFont="1" applyFill="1" applyBorder="1" applyAlignment="1">
      <alignment vertical="center" wrapText="1"/>
    </xf>
    <xf numFmtId="0" fontId="51" fillId="22" borderId="4" xfId="0" applyFont="1" applyFill="1" applyBorder="1">
      <alignment vertical="center"/>
    </xf>
    <xf numFmtId="0" fontId="51" fillId="22" borderId="18" xfId="0" applyFont="1" applyFill="1" applyBorder="1">
      <alignment vertical="center"/>
    </xf>
    <xf numFmtId="0" fontId="51" fillId="22" borderId="7" xfId="0" applyFont="1" applyFill="1" applyBorder="1">
      <alignment vertical="center"/>
    </xf>
    <xf numFmtId="0" fontId="54" fillId="23" borderId="4" xfId="0" applyFont="1" applyFill="1" applyBorder="1" applyAlignment="1">
      <alignment vertical="center" wrapText="1"/>
    </xf>
    <xf numFmtId="0" fontId="51" fillId="23" borderId="7" xfId="0" applyFont="1" applyFill="1" applyBorder="1">
      <alignment vertical="center"/>
    </xf>
    <xf numFmtId="0" fontId="53" fillId="23" borderId="18" xfId="0" applyFont="1" applyFill="1" applyBorder="1" applyAlignment="1">
      <alignment vertical="center" wrapText="1"/>
    </xf>
    <xf numFmtId="0" fontId="9" fillId="12" borderId="3" xfId="0" applyFont="1" applyFill="1" applyBorder="1" applyAlignment="1">
      <alignment wrapText="1"/>
    </xf>
    <xf numFmtId="0" fontId="28" fillId="17" borderId="1" xfId="0" applyFont="1" applyFill="1" applyBorder="1" applyAlignment="1">
      <alignment wrapText="1"/>
    </xf>
    <xf numFmtId="0" fontId="28" fillId="17" borderId="1" xfId="0" applyFont="1" applyFill="1" applyBorder="1" applyAlignment="1"/>
    <xf numFmtId="0" fontId="29" fillId="17" borderId="1" xfId="0" applyFont="1" applyFill="1" applyBorder="1" applyAlignment="1"/>
    <xf numFmtId="38" fontId="28" fillId="17" borderId="1" xfId="1" applyFont="1" applyFill="1" applyBorder="1" applyAlignment="1"/>
    <xf numFmtId="0" fontId="55" fillId="17" borderId="1" xfId="0" applyFont="1" applyFill="1" applyBorder="1" applyAlignment="1"/>
    <xf numFmtId="0" fontId="28" fillId="5" borderId="1" xfId="0" applyFont="1" applyFill="1" applyBorder="1" applyAlignment="1">
      <alignment wrapText="1"/>
    </xf>
    <xf numFmtId="0" fontId="28" fillId="5" borderId="1" xfId="0" applyFont="1" applyFill="1" applyBorder="1" applyAlignment="1"/>
    <xf numFmtId="0" fontId="29" fillId="5" borderId="1" xfId="0" applyFont="1" applyFill="1" applyBorder="1" applyAlignment="1"/>
    <xf numFmtId="38" fontId="28" fillId="5" borderId="1" xfId="1" applyFont="1" applyFill="1" applyBorder="1" applyAlignment="1"/>
    <xf numFmtId="0" fontId="28" fillId="0" borderId="1" xfId="0" applyFont="1" applyBorder="1" applyAlignment="1">
      <alignment horizontal="center" vertical="center" wrapText="1"/>
    </xf>
    <xf numFmtId="0" fontId="44" fillId="17" borderId="1" xfId="0" applyFont="1" applyFill="1" applyBorder="1">
      <alignment vertical="center"/>
    </xf>
    <xf numFmtId="0" fontId="44" fillId="5" borderId="1" xfId="0" applyFont="1" applyFill="1" applyBorder="1">
      <alignment vertical="center"/>
    </xf>
    <xf numFmtId="0" fontId="44" fillId="12" borderId="0" xfId="0" applyFont="1" applyFill="1">
      <alignment vertical="center"/>
    </xf>
    <xf numFmtId="0" fontId="57" fillId="5" borderId="1" xfId="0" applyFont="1" applyFill="1" applyBorder="1" applyAlignment="1"/>
    <xf numFmtId="0" fontId="9" fillId="25" borderId="7" xfId="0" applyFont="1" applyFill="1" applyBorder="1" applyAlignment="1">
      <alignment vertical="center" wrapText="1"/>
    </xf>
    <xf numFmtId="0" fontId="9" fillId="25" borderId="4" xfId="0" applyFont="1" applyFill="1" applyBorder="1">
      <alignment vertical="center"/>
    </xf>
    <xf numFmtId="56" fontId="58" fillId="0" borderId="0" xfId="0" applyNumberFormat="1" applyFont="1">
      <alignment vertical="center"/>
    </xf>
    <xf numFmtId="0" fontId="31" fillId="0" borderId="0" xfId="0" applyFont="1" applyAlignment="1">
      <alignment vertical="center" wrapText="1"/>
    </xf>
    <xf numFmtId="0" fontId="59" fillId="12" borderId="22" xfId="0" applyFont="1" applyFill="1" applyBorder="1">
      <alignment vertical="center"/>
    </xf>
    <xf numFmtId="0" fontId="60" fillId="12" borderId="22" xfId="0" applyFont="1" applyFill="1" applyBorder="1">
      <alignment vertical="center"/>
    </xf>
    <xf numFmtId="56" fontId="31" fillId="0" borderId="0" xfId="0" applyNumberFormat="1" applyFont="1">
      <alignment vertical="center"/>
    </xf>
    <xf numFmtId="0" fontId="10" fillId="0" borderId="8" xfId="0" applyFont="1" applyBorder="1">
      <alignment vertical="center"/>
    </xf>
    <xf numFmtId="0" fontId="31" fillId="0" borderId="8" xfId="0" applyFont="1" applyBorder="1">
      <alignment vertical="center"/>
    </xf>
    <xf numFmtId="0" fontId="31" fillId="0" borderId="31" xfId="0" applyFont="1" applyBorder="1">
      <alignment vertical="center"/>
    </xf>
    <xf numFmtId="0" fontId="49" fillId="0" borderId="31" xfId="0" applyFont="1" applyBorder="1">
      <alignment vertical="center"/>
    </xf>
    <xf numFmtId="0" fontId="10" fillId="0" borderId="31" xfId="0" applyFont="1" applyBorder="1">
      <alignment vertical="center"/>
    </xf>
    <xf numFmtId="0" fontId="10" fillId="0" borderId="32" xfId="0" applyFont="1" applyBorder="1">
      <alignment vertical="center"/>
    </xf>
    <xf numFmtId="3" fontId="61" fillId="2" borderId="1" xfId="0" applyNumberFormat="1" applyFont="1" applyFill="1" applyBorder="1">
      <alignment vertical="center"/>
    </xf>
    <xf numFmtId="38" fontId="20" fillId="0" borderId="1" xfId="1" applyFont="1" applyBorder="1">
      <alignment vertical="center"/>
    </xf>
    <xf numFmtId="0" fontId="20" fillId="26" borderId="1" xfId="0" applyFont="1" applyFill="1" applyBorder="1">
      <alignment vertical="center"/>
    </xf>
    <xf numFmtId="0" fontId="62" fillId="0" borderId="1" xfId="0" applyFont="1" applyBorder="1">
      <alignment vertical="center"/>
    </xf>
    <xf numFmtId="38" fontId="62" fillId="0" borderId="1" xfId="1" applyFont="1" applyBorder="1">
      <alignment vertical="center"/>
    </xf>
    <xf numFmtId="38" fontId="62" fillId="0" borderId="1" xfId="1" applyFont="1" applyFill="1" applyBorder="1">
      <alignment vertical="center"/>
    </xf>
    <xf numFmtId="0" fontId="31" fillId="0" borderId="0" xfId="0" applyFont="1">
      <alignment vertical="center"/>
    </xf>
    <xf numFmtId="0" fontId="11" fillId="0" borderId="0" xfId="0" applyFont="1">
      <alignment vertical="center"/>
    </xf>
    <xf numFmtId="0" fontId="15" fillId="0" borderId="8" xfId="0" applyFont="1" applyBorder="1">
      <alignment vertical="center"/>
    </xf>
    <xf numFmtId="0" fontId="9" fillId="0" borderId="8" xfId="0" applyFont="1" applyBorder="1">
      <alignment vertical="center"/>
    </xf>
    <xf numFmtId="3" fontId="9" fillId="2" borderId="8" xfId="0" applyNumberFormat="1" applyFont="1" applyFill="1" applyBorder="1">
      <alignment vertical="center"/>
    </xf>
    <xf numFmtId="3" fontId="9" fillId="2" borderId="2" xfId="0" applyNumberFormat="1" applyFont="1" applyFill="1" applyBorder="1">
      <alignment vertical="center"/>
    </xf>
    <xf numFmtId="0" fontId="9" fillId="12" borderId="16" xfId="0" applyFont="1" applyFill="1" applyBorder="1" applyAlignment="1">
      <alignment vertical="center" wrapText="1"/>
    </xf>
    <xf numFmtId="0" fontId="13" fillId="0" borderId="8" xfId="0" applyFont="1" applyBorder="1">
      <alignment vertical="center"/>
    </xf>
    <xf numFmtId="0" fontId="13" fillId="0" borderId="8" xfId="0" applyFont="1" applyBorder="1" applyAlignment="1">
      <alignment vertical="center" wrapText="1"/>
    </xf>
    <xf numFmtId="0" fontId="31" fillId="12" borderId="26" xfId="0" applyFont="1" applyFill="1" applyBorder="1">
      <alignment vertical="center"/>
    </xf>
    <xf numFmtId="0" fontId="15" fillId="0" borderId="26" xfId="0" applyFont="1" applyBorder="1">
      <alignment vertical="center"/>
    </xf>
    <xf numFmtId="0" fontId="60" fillId="12" borderId="26" xfId="0" applyFont="1" applyFill="1" applyBorder="1">
      <alignment vertical="center"/>
    </xf>
    <xf numFmtId="0" fontId="9" fillId="0" borderId="26" xfId="0" applyFont="1" applyBorder="1" applyAlignment="1">
      <alignment wrapText="1"/>
    </xf>
    <xf numFmtId="0" fontId="9" fillId="0" borderId="8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0" fillId="2" borderId="13" xfId="0" applyFont="1" applyFill="1" applyBorder="1" applyAlignment="1">
      <alignment vertical="center" wrapText="1"/>
    </xf>
    <xf numFmtId="0" fontId="9" fillId="2" borderId="16" xfId="0" applyFont="1" applyFill="1" applyBorder="1" applyAlignment="1">
      <alignment vertical="center" wrapText="1"/>
    </xf>
    <xf numFmtId="0" fontId="9" fillId="12" borderId="7" xfId="0" applyFont="1" applyFill="1" applyBorder="1" applyAlignment="1">
      <alignment vertical="center" wrapText="1"/>
    </xf>
    <xf numFmtId="0" fontId="10" fillId="12" borderId="1" xfId="0" applyFont="1" applyFill="1" applyBorder="1" applyAlignment="1">
      <alignment vertical="center" wrapText="1"/>
    </xf>
    <xf numFmtId="0" fontId="10" fillId="2" borderId="8" xfId="0" applyFont="1" applyFill="1" applyBorder="1" applyAlignment="1">
      <alignment vertical="center" wrapText="1"/>
    </xf>
    <xf numFmtId="38" fontId="10" fillId="12" borderId="7" xfId="1" applyFont="1" applyFill="1" applyBorder="1" applyAlignment="1"/>
    <xf numFmtId="0" fontId="13" fillId="0" borderId="7" xfId="0" applyFont="1" applyBorder="1">
      <alignment vertical="center"/>
    </xf>
    <xf numFmtId="0" fontId="9" fillId="2" borderId="8" xfId="0" applyFont="1" applyFill="1" applyBorder="1" applyAlignment="1">
      <alignment vertical="center" wrapText="1"/>
    </xf>
    <xf numFmtId="3" fontId="9" fillId="0" borderId="7" xfId="0" applyNumberFormat="1" applyFont="1" applyBorder="1" applyAlignment="1">
      <alignment vertical="center" wrapText="1"/>
    </xf>
    <xf numFmtId="3" fontId="10" fillId="0" borderId="7" xfId="0" applyNumberFormat="1" applyFont="1" applyBorder="1">
      <alignment vertical="center"/>
    </xf>
    <xf numFmtId="0" fontId="9" fillId="2" borderId="4" xfId="0" applyFont="1" applyFill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0" fillId="0" borderId="4" xfId="0" applyFont="1" applyBorder="1">
      <alignment vertical="center"/>
    </xf>
    <xf numFmtId="0" fontId="13" fillId="0" borderId="4" xfId="0" applyFont="1" applyBorder="1">
      <alignment vertical="center"/>
    </xf>
    <xf numFmtId="0" fontId="9" fillId="0" borderId="4" xfId="0" applyFont="1" applyBorder="1" applyAlignment="1">
      <alignment wrapText="1"/>
    </xf>
    <xf numFmtId="0" fontId="15" fillId="0" borderId="3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9" fillId="12" borderId="8" xfId="0" applyFont="1" applyFill="1" applyBorder="1" applyAlignment="1">
      <alignment vertical="center" wrapText="1"/>
    </xf>
    <xf numFmtId="0" fontId="13" fillId="12" borderId="7" xfId="0" applyFont="1" applyFill="1" applyBorder="1">
      <alignment vertical="center"/>
    </xf>
    <xf numFmtId="3" fontId="10" fillId="2" borderId="8" xfId="0" applyNumberFormat="1" applyFont="1" applyFill="1" applyBorder="1">
      <alignment vertical="center"/>
    </xf>
    <xf numFmtId="3" fontId="9" fillId="0" borderId="8" xfId="0" applyNumberFormat="1" applyFont="1" applyBorder="1" applyAlignment="1">
      <alignment vertical="center" wrapText="1"/>
    </xf>
    <xf numFmtId="0" fontId="13" fillId="0" borderId="3" xfId="0" applyFont="1" applyBorder="1">
      <alignment vertical="center"/>
    </xf>
    <xf numFmtId="0" fontId="31" fillId="12" borderId="3" xfId="0" applyFont="1" applyFill="1" applyBorder="1">
      <alignment vertical="center"/>
    </xf>
    <xf numFmtId="0" fontId="10" fillId="2" borderId="8" xfId="0" applyFont="1" applyFill="1" applyBorder="1">
      <alignment vertical="center"/>
    </xf>
    <xf numFmtId="0" fontId="31" fillId="12" borderId="7" xfId="0" applyFont="1" applyFill="1" applyBorder="1">
      <alignment vertical="center"/>
    </xf>
    <xf numFmtId="0" fontId="9" fillId="12" borderId="25" xfId="0" applyFont="1" applyFill="1" applyBorder="1" applyAlignment="1">
      <alignment wrapText="1"/>
    </xf>
    <xf numFmtId="0" fontId="9" fillId="12" borderId="7" xfId="0" applyFont="1" applyFill="1" applyBorder="1" applyAlignment="1"/>
    <xf numFmtId="0" fontId="10" fillId="0" borderId="5" xfId="0" applyFont="1" applyBorder="1" applyAlignment="1">
      <alignment vertical="center" wrapText="1"/>
    </xf>
    <xf numFmtId="0" fontId="9" fillId="2" borderId="8" xfId="0" applyFont="1" applyFill="1" applyBorder="1">
      <alignment vertical="center"/>
    </xf>
    <xf numFmtId="0" fontId="9" fillId="0" borderId="2" xfId="0" applyFont="1" applyBorder="1">
      <alignment vertical="center"/>
    </xf>
    <xf numFmtId="0" fontId="9" fillId="2" borderId="2" xfId="0" applyFont="1" applyFill="1" applyBorder="1">
      <alignment vertical="center"/>
    </xf>
    <xf numFmtId="0" fontId="9" fillId="0" borderId="3" xfId="0" applyFont="1" applyBorder="1">
      <alignment vertical="center"/>
    </xf>
    <xf numFmtId="3" fontId="9" fillId="2" borderId="3" xfId="0" applyNumberFormat="1" applyFont="1" applyFill="1" applyBorder="1">
      <alignment vertical="center"/>
    </xf>
    <xf numFmtId="0" fontId="9" fillId="0" borderId="2" xfId="0" applyFont="1" applyBorder="1" applyAlignment="1">
      <alignment wrapText="1"/>
    </xf>
    <xf numFmtId="0" fontId="10" fillId="0" borderId="9" xfId="0" applyFont="1" applyBorder="1">
      <alignment vertical="center"/>
    </xf>
    <xf numFmtId="3" fontId="10" fillId="2" borderId="2" xfId="0" applyNumberFormat="1" applyFont="1" applyFill="1" applyBorder="1">
      <alignment vertical="center"/>
    </xf>
    <xf numFmtId="0" fontId="31" fillId="0" borderId="35" xfId="0" applyFont="1" applyBorder="1">
      <alignment vertical="center"/>
    </xf>
    <xf numFmtId="0" fontId="31" fillId="0" borderId="38" xfId="0" applyFont="1" applyBorder="1">
      <alignment vertical="center"/>
    </xf>
    <xf numFmtId="0" fontId="31" fillId="0" borderId="39" xfId="0" applyFont="1" applyBorder="1">
      <alignment vertical="center"/>
    </xf>
    <xf numFmtId="0" fontId="49" fillId="0" borderId="9" xfId="0" applyFont="1" applyBorder="1">
      <alignment vertical="center"/>
    </xf>
    <xf numFmtId="0" fontId="49" fillId="2" borderId="9" xfId="0" applyFont="1" applyFill="1" applyBorder="1">
      <alignment vertical="center"/>
    </xf>
    <xf numFmtId="38" fontId="22" fillId="0" borderId="2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8" fontId="28" fillId="0" borderId="2" xfId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38" fontId="26" fillId="0" borderId="3" xfId="1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8" fontId="2" fillId="0" borderId="3" xfId="1" applyFont="1" applyBorder="1" applyAlignment="1">
      <alignment horizontal="center" vertical="center"/>
    </xf>
    <xf numFmtId="0" fontId="38" fillId="0" borderId="11" xfId="0" applyFont="1" applyFill="1" applyBorder="1" applyAlignment="1">
      <alignment vertical="center"/>
    </xf>
    <xf numFmtId="0" fontId="38" fillId="0" borderId="4" xfId="0" applyFont="1" applyFill="1" applyBorder="1" applyAlignment="1">
      <alignment vertical="center"/>
    </xf>
    <xf numFmtId="0" fontId="38" fillId="0" borderId="18" xfId="0" applyFont="1" applyFill="1" applyBorder="1" applyAlignment="1">
      <alignment vertical="center"/>
    </xf>
    <xf numFmtId="0" fontId="38" fillId="0" borderId="7" xfId="0" applyFont="1" applyFill="1" applyBorder="1" applyAlignment="1">
      <alignment vertical="center"/>
    </xf>
    <xf numFmtId="0" fontId="63" fillId="23" borderId="18" xfId="0" applyFont="1" applyFill="1" applyBorder="1" applyAlignment="1">
      <alignment vertical="center" wrapText="1"/>
    </xf>
    <xf numFmtId="0" fontId="52" fillId="23" borderId="7" xfId="0" applyFont="1" applyFill="1" applyBorder="1">
      <alignment vertical="center"/>
    </xf>
    <xf numFmtId="38" fontId="22" fillId="0" borderId="2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50" fillId="0" borderId="25" xfId="0" applyFont="1" applyBorder="1" applyAlignment="1">
      <alignment vertical="center"/>
    </xf>
    <xf numFmtId="0" fontId="50" fillId="0" borderId="29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38" fillId="0" borderId="6" xfId="0" applyFont="1" applyBorder="1" applyAlignment="1">
      <alignment vertical="center"/>
    </xf>
    <xf numFmtId="0" fontId="38" fillId="0" borderId="33" xfId="0" applyFont="1" applyBorder="1" applyAlignment="1">
      <alignment vertical="center"/>
    </xf>
    <xf numFmtId="0" fontId="50" fillId="0" borderId="2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2" fillId="0" borderId="25" xfId="0" applyFont="1" applyBorder="1" applyAlignment="1">
      <alignment vertical="center"/>
    </xf>
    <xf numFmtId="0" fontId="22" fillId="0" borderId="2" xfId="0" applyFont="1" applyBorder="1" applyAlignment="1">
      <alignment vertical="center" wrapText="1"/>
    </xf>
    <xf numFmtId="0" fontId="22" fillId="0" borderId="25" xfId="0" applyFont="1" applyBorder="1" applyAlignment="1">
      <alignment vertical="center" wrapText="1"/>
    </xf>
    <xf numFmtId="0" fontId="31" fillId="0" borderId="5" xfId="0" applyFont="1" applyBorder="1" applyAlignment="1">
      <alignment vertical="center"/>
    </xf>
    <xf numFmtId="0" fontId="31" fillId="0" borderId="6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38" fontId="28" fillId="0" borderId="2" xfId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38" fontId="26" fillId="0" borderId="2" xfId="1" applyFont="1" applyFill="1" applyBorder="1" applyAlignment="1">
      <alignment horizontal="center" vertical="center"/>
    </xf>
    <xf numFmtId="38" fontId="26" fillId="0" borderId="3" xfId="1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8" fontId="2" fillId="0" borderId="2" xfId="1" applyFont="1" applyBorder="1" applyAlignment="1">
      <alignment horizontal="center" vertical="center"/>
    </xf>
    <xf numFmtId="38" fontId="2" fillId="0" borderId="3" xfId="1" applyFont="1" applyBorder="1" applyAlignment="1">
      <alignment horizontal="center" vertical="center"/>
    </xf>
    <xf numFmtId="31" fontId="24" fillId="0" borderId="1" xfId="0" applyNumberFormat="1" applyFont="1" applyBorder="1" applyAlignment="1">
      <alignment horizontal="center"/>
    </xf>
    <xf numFmtId="0" fontId="31" fillId="12" borderId="22" xfId="0" applyFont="1" applyFill="1" applyBorder="1">
      <alignment vertical="center"/>
    </xf>
    <xf numFmtId="0" fontId="15" fillId="12" borderId="3" xfId="0" applyFont="1" applyFill="1" applyBorder="1">
      <alignment vertical="center"/>
    </xf>
    <xf numFmtId="0" fontId="15" fillId="12" borderId="26" xfId="0" applyFont="1" applyFill="1" applyBorder="1">
      <alignment vertical="center"/>
    </xf>
    <xf numFmtId="0" fontId="31" fillId="12" borderId="25" xfId="0" applyFont="1" applyFill="1" applyBorder="1">
      <alignment vertical="center"/>
    </xf>
    <xf numFmtId="0" fontId="13" fillId="0" borderId="16" xfId="0" applyFont="1" applyBorder="1">
      <alignment vertical="center"/>
    </xf>
    <xf numFmtId="0" fontId="9" fillId="0" borderId="21" xfId="0" applyFont="1" applyBorder="1" applyAlignment="1">
      <alignment wrapText="1"/>
    </xf>
    <xf numFmtId="0" fontId="9" fillId="12" borderId="3" xfId="0" applyFont="1" applyFill="1" applyBorder="1" applyAlignment="1">
      <alignment vertical="center" wrapText="1"/>
    </xf>
    <xf numFmtId="0" fontId="9" fillId="12" borderId="10" xfId="0" applyFont="1" applyFill="1" applyBorder="1" applyAlignment="1">
      <alignment vertical="center" wrapText="1"/>
    </xf>
    <xf numFmtId="38" fontId="10" fillId="12" borderId="2" xfId="1" applyFont="1" applyFill="1" applyBorder="1" applyAlignment="1"/>
    <xf numFmtId="3" fontId="9" fillId="12" borderId="1" xfId="0" applyNumberFormat="1" applyFont="1" applyFill="1" applyBorder="1" applyAlignment="1">
      <alignment wrapText="1"/>
    </xf>
    <xf numFmtId="38" fontId="10" fillId="0" borderId="13" xfId="1" applyFont="1" applyBorder="1" applyAlignment="1"/>
    <xf numFmtId="0" fontId="9" fillId="0" borderId="13" xfId="0" applyFont="1" applyBorder="1">
      <alignment vertical="center"/>
    </xf>
    <xf numFmtId="0" fontId="9" fillId="0" borderId="7" xfId="0" applyFont="1" applyFill="1" applyBorder="1" applyAlignment="1">
      <alignment vertical="center" wrapText="1"/>
    </xf>
  </cellXfs>
  <cellStyles count="7">
    <cellStyle name="パーセント" xfId="5" builtinId="5"/>
    <cellStyle name="桁区切り" xfId="1" builtinId="6"/>
    <cellStyle name="通貨" xfId="4" builtinId="7"/>
    <cellStyle name="標準" xfId="0" builtinId="0"/>
    <cellStyle name="標準 2 2" xfId="3" xr:uid="{E30E8639-700E-439E-B33E-60BFBAA3E7B7}"/>
    <cellStyle name="標準 2 2 2" xfId="6" xr:uid="{259E6CE6-274C-4814-B169-F9CAB4C70ACC}"/>
    <cellStyle name="標準 8" xfId="2" xr:uid="{ECFFCBD8-17ED-474F-A28E-621AB52DF91B}"/>
  </cellStyles>
  <dxfs count="0"/>
  <tableStyles count="0" defaultTableStyle="TableStyleMedium2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6C88-B706-4026-90B9-F95492A8F8F7}">
  <dimension ref="A1:T131"/>
  <sheetViews>
    <sheetView topLeftCell="A89" zoomScaleNormal="100" workbookViewId="0">
      <selection activeCell="A112" sqref="A112:XFD119"/>
    </sheetView>
  </sheetViews>
  <sheetFormatPr defaultColWidth="9" defaultRowHeight="11.25"/>
  <cols>
    <col min="1" max="1" width="6.875" style="244" bestFit="1" customWidth="1"/>
    <col min="2" max="2" width="9.5" style="244" bestFit="1" customWidth="1"/>
    <col min="3" max="3" width="19.375" style="244" bestFit="1" customWidth="1"/>
    <col min="4" max="4" width="6.375" style="244" bestFit="1" customWidth="1"/>
    <col min="5" max="7" width="5.625" style="244" bestFit="1" customWidth="1"/>
    <col min="8" max="8" width="8.625" style="244" bestFit="1" customWidth="1"/>
    <col min="9" max="16384" width="9" style="244"/>
  </cols>
  <sheetData>
    <row r="1" spans="1:20">
      <c r="A1" s="243">
        <v>46081</v>
      </c>
      <c r="D1" s="245"/>
      <c r="H1" s="245"/>
    </row>
    <row r="2" spans="1:20">
      <c r="A2" s="520" t="s">
        <v>0</v>
      </c>
      <c r="B2" s="520" t="s">
        <v>1</v>
      </c>
      <c r="C2" s="520" t="s">
        <v>2</v>
      </c>
      <c r="D2" s="519" t="s">
        <v>3</v>
      </c>
      <c r="E2" s="521" t="s">
        <v>4</v>
      </c>
      <c r="F2" s="521"/>
      <c r="G2" s="521"/>
      <c r="H2" s="519" t="s">
        <v>5</v>
      </c>
    </row>
    <row r="3" spans="1:20" s="240" customFormat="1">
      <c r="A3" s="241"/>
      <c r="B3" s="241"/>
      <c r="C3" s="241"/>
      <c r="D3" s="242"/>
      <c r="E3" s="239" t="s">
        <v>6</v>
      </c>
      <c r="F3" s="239" t="s">
        <v>7</v>
      </c>
      <c r="G3" s="239" t="s">
        <v>8</v>
      </c>
      <c r="H3" s="242"/>
      <c r="J3" s="244"/>
      <c r="K3" s="244"/>
      <c r="L3" s="244"/>
      <c r="M3" s="244"/>
      <c r="N3" s="244"/>
      <c r="P3" s="244"/>
      <c r="Q3" s="244"/>
      <c r="R3" s="244"/>
      <c r="S3" s="244"/>
      <c r="T3" s="244"/>
    </row>
    <row r="4" spans="1:20" s="240" customFormat="1">
      <c r="A4" s="241"/>
      <c r="B4" s="241"/>
      <c r="C4" s="241"/>
      <c r="D4" s="242"/>
      <c r="E4" s="242">
        <f>SUM(E5:E275)</f>
        <v>0</v>
      </c>
      <c r="F4" s="242">
        <f>SUM(F5:F275)</f>
        <v>0</v>
      </c>
      <c r="G4" s="242">
        <f>SUM(G5:G275)</f>
        <v>1846</v>
      </c>
      <c r="H4" s="242">
        <f>SUM(H5:H275)</f>
        <v>1800520</v>
      </c>
      <c r="J4" s="244"/>
      <c r="K4" s="244"/>
      <c r="L4" s="244"/>
      <c r="M4" s="244"/>
      <c r="N4" s="244"/>
      <c r="P4" s="244"/>
      <c r="Q4" s="244"/>
      <c r="R4" s="244"/>
      <c r="S4" s="244"/>
      <c r="T4" s="244"/>
    </row>
    <row r="5" spans="1:20">
      <c r="A5" s="246" t="s">
        <v>9</v>
      </c>
      <c r="B5" s="111" t="s">
        <v>10</v>
      </c>
      <c r="C5" s="115" t="s">
        <v>11</v>
      </c>
      <c r="D5" s="113">
        <v>49980</v>
      </c>
      <c r="E5" s="114"/>
      <c r="F5" s="115"/>
      <c r="G5" s="115">
        <v>1</v>
      </c>
      <c r="H5" s="116">
        <f>D5*(E5+F5+G5)</f>
        <v>49980</v>
      </c>
    </row>
    <row r="6" spans="1:20">
      <c r="A6" s="246"/>
      <c r="B6" s="111"/>
      <c r="C6" s="115" t="s">
        <v>12</v>
      </c>
      <c r="D6" s="113">
        <v>39800</v>
      </c>
      <c r="E6" s="114"/>
      <c r="F6" s="115"/>
      <c r="G6" s="115">
        <v>1</v>
      </c>
      <c r="H6" s="116">
        <f>D6*(E6+F6+G6)</f>
        <v>39800</v>
      </c>
    </row>
    <row r="7" spans="1:20">
      <c r="A7" s="246"/>
      <c r="B7" s="111"/>
      <c r="C7" s="115" t="s">
        <v>13</v>
      </c>
      <c r="D7" s="113">
        <v>19800</v>
      </c>
      <c r="E7" s="114"/>
      <c r="F7" s="115"/>
      <c r="G7" s="115">
        <v>1</v>
      </c>
      <c r="H7" s="116">
        <f>D7*(E7+F7+G7)</f>
        <v>19800</v>
      </c>
    </row>
    <row r="8" spans="1:20">
      <c r="A8" s="246"/>
      <c r="B8" s="111"/>
      <c r="C8" s="115" t="s">
        <v>14</v>
      </c>
      <c r="D8" s="117">
        <v>39800</v>
      </c>
      <c r="E8" s="114"/>
      <c r="F8" s="115"/>
      <c r="G8" s="115">
        <v>1</v>
      </c>
      <c r="H8" s="116">
        <f>D8*(E8+F8+G8)</f>
        <v>39800</v>
      </c>
    </row>
    <row r="9" spans="1:20">
      <c r="A9" s="246"/>
      <c r="B9" s="111"/>
      <c r="C9" s="115" t="s">
        <v>15</v>
      </c>
      <c r="D9" s="113">
        <v>20000</v>
      </c>
      <c r="E9" s="114"/>
      <c r="F9" s="115"/>
      <c r="G9" s="115">
        <v>1</v>
      </c>
      <c r="H9" s="116">
        <f>D9*(E9+F9+G9)</f>
        <v>20000</v>
      </c>
    </row>
    <row r="10" spans="1:20">
      <c r="A10" s="246"/>
      <c r="B10" s="111"/>
      <c r="C10" s="115" t="s">
        <v>16</v>
      </c>
      <c r="D10" s="113">
        <v>1100</v>
      </c>
      <c r="E10" s="114"/>
      <c r="F10" s="115"/>
      <c r="G10" s="115">
        <v>4</v>
      </c>
      <c r="H10" s="116">
        <f>D10*(E10+F10+G10)</f>
        <v>4400</v>
      </c>
    </row>
    <row r="11" spans="1:20">
      <c r="A11" s="246"/>
      <c r="B11" s="111"/>
      <c r="E11" s="114"/>
      <c r="F11" s="115"/>
      <c r="G11" s="115"/>
      <c r="H11" s="116">
        <f>D11*(E11+F11+G11)</f>
        <v>0</v>
      </c>
    </row>
    <row r="12" spans="1:20">
      <c r="A12" s="246"/>
      <c r="B12" s="111"/>
      <c r="C12" s="115" t="s">
        <v>12</v>
      </c>
      <c r="D12" s="113">
        <v>39800</v>
      </c>
      <c r="E12" s="114"/>
      <c r="F12" s="115"/>
      <c r="G12" s="115">
        <v>1</v>
      </c>
      <c r="H12" s="116">
        <f>D12*(E12+F12+G12)</f>
        <v>39800</v>
      </c>
    </row>
    <row r="13" spans="1:20">
      <c r="A13" s="246"/>
      <c r="B13" s="111"/>
      <c r="C13" s="115" t="s">
        <v>17</v>
      </c>
      <c r="D13" s="113">
        <v>5800</v>
      </c>
      <c r="E13" s="114"/>
      <c r="F13" s="115"/>
      <c r="G13" s="115">
        <v>6</v>
      </c>
      <c r="H13" s="116">
        <f>D13*(E13+F13+G13)</f>
        <v>34800</v>
      </c>
    </row>
    <row r="14" spans="1:20">
      <c r="A14" s="246"/>
      <c r="B14" s="111"/>
      <c r="C14" s="115" t="s">
        <v>18</v>
      </c>
      <c r="D14" s="113">
        <v>50000</v>
      </c>
      <c r="E14" s="114"/>
      <c r="F14" s="115"/>
      <c r="G14" s="115">
        <v>1</v>
      </c>
      <c r="H14" s="116">
        <f>D14*(E14+F14+G14)</f>
        <v>50000</v>
      </c>
    </row>
    <row r="15" spans="1:20">
      <c r="A15" s="246"/>
      <c r="B15" s="111"/>
      <c r="C15" s="115"/>
      <c r="D15" s="113"/>
      <c r="E15" s="114"/>
      <c r="F15" s="115"/>
      <c r="G15" s="115"/>
      <c r="H15" s="116">
        <f>D15*(E15+F15+G15)</f>
        <v>0</v>
      </c>
    </row>
    <row r="16" spans="1:20">
      <c r="A16" s="246"/>
      <c r="B16" s="111"/>
      <c r="C16" s="115" t="s">
        <v>19</v>
      </c>
      <c r="D16" s="113">
        <v>450</v>
      </c>
      <c r="E16" s="114"/>
      <c r="F16" s="115"/>
      <c r="G16" s="115">
        <v>150</v>
      </c>
      <c r="H16" s="116">
        <f>D16*(E16+F16+G16)</f>
        <v>67500</v>
      </c>
    </row>
    <row r="17" spans="1:8">
      <c r="A17" s="246"/>
      <c r="B17" s="111"/>
      <c r="C17" s="115" t="s">
        <v>20</v>
      </c>
      <c r="D17" s="113">
        <v>450</v>
      </c>
      <c r="E17" s="114"/>
      <c r="F17" s="115"/>
      <c r="G17" s="115">
        <v>150</v>
      </c>
      <c r="H17" s="116">
        <f>D17*(E17+F17+G17)</f>
        <v>67500</v>
      </c>
    </row>
    <row r="18" spans="1:8">
      <c r="A18" s="246"/>
      <c r="B18" s="111"/>
      <c r="C18" s="115"/>
      <c r="D18" s="113"/>
      <c r="E18" s="114"/>
      <c r="F18" s="115"/>
      <c r="G18" s="115"/>
      <c r="H18" s="116">
        <f>D18*(E18+F18+G18)</f>
        <v>0</v>
      </c>
    </row>
    <row r="19" spans="1:8">
      <c r="A19" s="246"/>
      <c r="B19" s="111"/>
      <c r="C19" s="115"/>
      <c r="D19" s="113"/>
      <c r="E19" s="114"/>
      <c r="F19" s="115"/>
      <c r="G19" s="115"/>
      <c r="H19" s="116">
        <f>D19*(E19+F19+G19)</f>
        <v>0</v>
      </c>
    </row>
    <row r="20" spans="1:8">
      <c r="A20" s="246"/>
      <c r="B20" s="111"/>
      <c r="C20" s="115"/>
      <c r="D20" s="113"/>
      <c r="E20" s="114"/>
      <c r="F20" s="115"/>
      <c r="G20" s="115"/>
      <c r="H20" s="116">
        <f>D20*(E20+F20+G20)</f>
        <v>0</v>
      </c>
    </row>
    <row r="21" spans="1:8">
      <c r="A21" s="246"/>
      <c r="B21" s="111" t="s">
        <v>21</v>
      </c>
      <c r="C21" s="115" t="s">
        <v>22</v>
      </c>
      <c r="D21" s="113">
        <v>1500</v>
      </c>
      <c r="E21" s="114"/>
      <c r="F21" s="115"/>
      <c r="G21" s="115">
        <v>7</v>
      </c>
      <c r="H21" s="116">
        <f>D21*(E21+F21+G21)</f>
        <v>10500</v>
      </c>
    </row>
    <row r="22" spans="1:8">
      <c r="A22" s="246"/>
      <c r="B22" s="111"/>
      <c r="C22" s="115"/>
      <c r="D22" s="113"/>
      <c r="E22" s="114"/>
      <c r="F22" s="115"/>
      <c r="G22" s="115"/>
      <c r="H22" s="116">
        <f>D22*(E22+F22+G22)</f>
        <v>0</v>
      </c>
    </row>
    <row r="23" spans="1:8">
      <c r="A23" s="246"/>
      <c r="B23" s="111"/>
      <c r="C23" s="115"/>
      <c r="D23" s="113"/>
      <c r="E23" s="114"/>
      <c r="F23" s="115"/>
      <c r="G23" s="115"/>
      <c r="H23" s="116">
        <f>D23*(E23+F23+G23)</f>
        <v>0</v>
      </c>
    </row>
    <row r="24" spans="1:8">
      <c r="A24" s="246"/>
      <c r="B24" s="111"/>
      <c r="C24" s="115" t="s">
        <v>16</v>
      </c>
      <c r="D24" s="113">
        <v>1100</v>
      </c>
      <c r="E24" s="114"/>
      <c r="F24" s="115"/>
      <c r="G24" s="115">
        <v>6</v>
      </c>
      <c r="H24" s="116">
        <f>D24*(E24+F24+G24)</f>
        <v>6600</v>
      </c>
    </row>
    <row r="25" spans="1:8">
      <c r="A25" s="246"/>
      <c r="B25" s="111"/>
      <c r="C25" s="115"/>
      <c r="D25" s="113"/>
      <c r="E25" s="114"/>
      <c r="F25" s="115"/>
      <c r="G25" s="115"/>
      <c r="H25" s="116">
        <f>D25*(E25+F25+G25)</f>
        <v>0</v>
      </c>
    </row>
    <row r="26" spans="1:8">
      <c r="A26" s="246"/>
      <c r="B26" s="111"/>
      <c r="C26" s="115" t="s">
        <v>23</v>
      </c>
      <c r="D26" s="113">
        <v>50</v>
      </c>
      <c r="E26" s="114"/>
      <c r="F26" s="115"/>
      <c r="G26" s="115">
        <v>200</v>
      </c>
      <c r="H26" s="116">
        <f>D26*(E26+F26+G26)</f>
        <v>10000</v>
      </c>
    </row>
    <row r="27" spans="1:8">
      <c r="A27" s="246"/>
      <c r="B27" s="111"/>
      <c r="C27" s="115"/>
      <c r="D27" s="113"/>
      <c r="E27" s="114"/>
      <c r="F27" s="115"/>
      <c r="G27" s="115"/>
      <c r="H27" s="116">
        <f>D27*(E27+F27+G27)</f>
        <v>0</v>
      </c>
    </row>
    <row r="28" spans="1:8">
      <c r="A28" s="246"/>
      <c r="B28" s="111" t="s">
        <v>24</v>
      </c>
      <c r="C28" s="115" t="s">
        <v>25</v>
      </c>
      <c r="D28" s="113">
        <v>750</v>
      </c>
      <c r="E28" s="114"/>
      <c r="F28" s="115"/>
      <c r="G28" s="115">
        <v>4</v>
      </c>
      <c r="H28" s="116">
        <f>D28*(E28+F28+G28)</f>
        <v>3000</v>
      </c>
    </row>
    <row r="29" spans="1:8">
      <c r="A29" s="246"/>
      <c r="B29" s="111"/>
      <c r="C29" s="115" t="s">
        <v>26</v>
      </c>
      <c r="D29" s="113">
        <v>800</v>
      </c>
      <c r="E29" s="114"/>
      <c r="F29" s="115"/>
      <c r="G29" s="115">
        <v>5</v>
      </c>
      <c r="H29" s="116">
        <f>D29*(E29+F29+G29)</f>
        <v>4000</v>
      </c>
    </row>
    <row r="30" spans="1:8">
      <c r="A30" s="246"/>
      <c r="B30" s="111"/>
      <c r="C30" s="115" t="s">
        <v>27</v>
      </c>
      <c r="D30" s="113">
        <v>400</v>
      </c>
      <c r="E30" s="114"/>
      <c r="F30" s="115"/>
      <c r="G30" s="115">
        <v>5</v>
      </c>
      <c r="H30" s="116">
        <f>D30*(E30+F30+G30)</f>
        <v>2000</v>
      </c>
    </row>
    <row r="31" spans="1:8">
      <c r="A31" s="246"/>
      <c r="B31" s="111"/>
      <c r="C31" s="115" t="s">
        <v>28</v>
      </c>
      <c r="D31" s="113">
        <v>200</v>
      </c>
      <c r="E31" s="114"/>
      <c r="F31" s="115"/>
      <c r="G31" s="115">
        <v>10</v>
      </c>
      <c r="H31" s="116">
        <f>D31*(E31+F31+G31)</f>
        <v>2000</v>
      </c>
    </row>
    <row r="32" spans="1:8">
      <c r="A32" s="246"/>
      <c r="B32" s="111"/>
      <c r="C32" s="115" t="s">
        <v>29</v>
      </c>
      <c r="D32" s="113">
        <v>800</v>
      </c>
      <c r="E32" s="114"/>
      <c r="F32" s="115"/>
      <c r="G32" s="115">
        <v>4</v>
      </c>
      <c r="H32" s="116">
        <f>D32*(E32+F32+G32)</f>
        <v>3200</v>
      </c>
    </row>
    <row r="33" spans="1:8">
      <c r="A33" s="246"/>
      <c r="B33" s="111"/>
      <c r="C33" s="115" t="s">
        <v>30</v>
      </c>
      <c r="D33" s="113">
        <v>850</v>
      </c>
      <c r="E33" s="114"/>
      <c r="F33" s="115"/>
      <c r="G33" s="115">
        <v>7</v>
      </c>
      <c r="H33" s="116">
        <f>D33*(E33+F33+G33)</f>
        <v>5950</v>
      </c>
    </row>
    <row r="34" spans="1:8">
      <c r="A34" s="246"/>
      <c r="B34" s="111"/>
      <c r="C34" s="115" t="s">
        <v>31</v>
      </c>
      <c r="D34" s="113">
        <v>60</v>
      </c>
      <c r="E34" s="114"/>
      <c r="F34" s="115"/>
      <c r="G34" s="115">
        <v>9</v>
      </c>
      <c r="H34" s="116">
        <f>D34*(E34+F34+G34)</f>
        <v>540</v>
      </c>
    </row>
    <row r="35" spans="1:8">
      <c r="A35" s="246"/>
      <c r="B35" s="111"/>
      <c r="C35" s="115" t="s">
        <v>32</v>
      </c>
      <c r="D35" s="113">
        <v>820</v>
      </c>
      <c r="E35" s="114"/>
      <c r="F35" s="115"/>
      <c r="G35" s="115">
        <v>7</v>
      </c>
      <c r="H35" s="116">
        <f>D35*(E35+F35+G35)</f>
        <v>5740</v>
      </c>
    </row>
    <row r="36" spans="1:8">
      <c r="A36" s="246"/>
      <c r="B36" s="111"/>
      <c r="C36" s="115" t="s">
        <v>33</v>
      </c>
      <c r="D36" s="113">
        <v>1500</v>
      </c>
      <c r="E36" s="114"/>
      <c r="F36" s="115"/>
      <c r="G36" s="115">
        <v>20</v>
      </c>
      <c r="H36" s="116">
        <f>D36*(E36+F36+G36)</f>
        <v>30000</v>
      </c>
    </row>
    <row r="37" spans="1:8">
      <c r="A37" s="246"/>
      <c r="B37" s="111"/>
      <c r="C37" s="115" t="s">
        <v>34</v>
      </c>
      <c r="D37" s="113">
        <v>759</v>
      </c>
      <c r="E37" s="114"/>
      <c r="F37" s="115"/>
      <c r="G37" s="115">
        <v>20</v>
      </c>
      <c r="H37" s="116">
        <f>D37*(E37+F37+G37)</f>
        <v>15180</v>
      </c>
    </row>
    <row r="38" spans="1:8">
      <c r="A38" s="246"/>
      <c r="B38" s="111"/>
      <c r="C38" s="115" t="s">
        <v>35</v>
      </c>
      <c r="D38" s="113">
        <v>450</v>
      </c>
      <c r="E38" s="114"/>
      <c r="F38" s="115"/>
      <c r="G38" s="115">
        <v>50</v>
      </c>
      <c r="H38" s="116">
        <f>D38*(E38+F38+G38)</f>
        <v>22500</v>
      </c>
    </row>
    <row r="39" spans="1:8">
      <c r="A39" s="246"/>
      <c r="B39" s="111"/>
      <c r="C39" s="115" t="s">
        <v>36</v>
      </c>
      <c r="D39" s="113">
        <v>84</v>
      </c>
      <c r="E39" s="114"/>
      <c r="F39" s="115"/>
      <c r="G39" s="115">
        <v>100</v>
      </c>
      <c r="H39" s="116">
        <f>D39*(E39+F39+G39)</f>
        <v>8400</v>
      </c>
    </row>
    <row r="40" spans="1:8">
      <c r="A40" s="246"/>
      <c r="B40" s="111"/>
      <c r="C40" s="115" t="s">
        <v>37</v>
      </c>
      <c r="D40" s="113">
        <v>319</v>
      </c>
      <c r="E40" s="114"/>
      <c r="F40" s="115"/>
      <c r="G40" s="115">
        <v>10</v>
      </c>
      <c r="H40" s="116">
        <f>D40*(E40+F40+G40)</f>
        <v>3190</v>
      </c>
    </row>
    <row r="41" spans="1:8">
      <c r="A41" s="246"/>
      <c r="B41" s="111"/>
      <c r="C41" s="115" t="s">
        <v>38</v>
      </c>
      <c r="D41" s="113">
        <v>90</v>
      </c>
      <c r="E41" s="114"/>
      <c r="F41" s="115"/>
      <c r="G41" s="115">
        <v>100</v>
      </c>
      <c r="H41" s="116">
        <f>D41*(E41+F41+G41)</f>
        <v>9000</v>
      </c>
    </row>
    <row r="42" spans="1:8">
      <c r="A42" s="246"/>
      <c r="B42" s="111"/>
      <c r="C42" s="115" t="s">
        <v>39</v>
      </c>
      <c r="D42" s="113">
        <v>600</v>
      </c>
      <c r="E42" s="114"/>
      <c r="F42" s="115"/>
      <c r="G42" s="115">
        <v>40</v>
      </c>
      <c r="H42" s="116">
        <f>D42*(E42+F42+G42)</f>
        <v>24000</v>
      </c>
    </row>
    <row r="43" spans="1:8">
      <c r="B43" s="111"/>
      <c r="C43" s="115" t="s">
        <v>40</v>
      </c>
      <c r="D43" s="113">
        <v>330</v>
      </c>
      <c r="E43" s="114"/>
      <c r="F43" s="115"/>
      <c r="G43" s="115">
        <v>5</v>
      </c>
      <c r="H43" s="116">
        <f>D43*(E43+F43+G43)</f>
        <v>1650</v>
      </c>
    </row>
    <row r="44" spans="1:8">
      <c r="A44" s="246"/>
      <c r="B44" s="111"/>
      <c r="C44" s="115" t="s">
        <v>41</v>
      </c>
      <c r="D44" s="113">
        <v>150</v>
      </c>
      <c r="E44" s="114"/>
      <c r="F44" s="115"/>
      <c r="G44" s="115">
        <v>40</v>
      </c>
      <c r="H44" s="116">
        <f>D44*(E44+F44+G44)</f>
        <v>6000</v>
      </c>
    </row>
    <row r="45" spans="1:8">
      <c r="A45" s="246"/>
      <c r="B45" s="111"/>
      <c r="C45" s="115"/>
      <c r="D45" s="113"/>
      <c r="E45" s="114"/>
      <c r="F45" s="115"/>
      <c r="G45" s="115"/>
      <c r="H45" s="116">
        <f>D45*(E45+F45+G45)</f>
        <v>0</v>
      </c>
    </row>
    <row r="46" spans="1:8">
      <c r="A46" s="246"/>
      <c r="B46" s="111"/>
      <c r="C46" s="115"/>
      <c r="D46" s="113"/>
      <c r="E46" s="114"/>
      <c r="F46" s="115"/>
      <c r="G46" s="115"/>
      <c r="H46" s="116">
        <f>D46*(E46+F46+G46)</f>
        <v>0</v>
      </c>
    </row>
    <row r="47" spans="1:8">
      <c r="A47" s="246" t="s">
        <v>42</v>
      </c>
      <c r="B47" s="111" t="s">
        <v>10</v>
      </c>
      <c r="C47" s="115" t="s">
        <v>43</v>
      </c>
      <c r="D47" s="113">
        <v>69800</v>
      </c>
      <c r="E47" s="114"/>
      <c r="F47" s="115"/>
      <c r="G47" s="115">
        <v>1</v>
      </c>
      <c r="H47" s="116">
        <f>D47*(E47+F47+G47)</f>
        <v>69800</v>
      </c>
    </row>
    <row r="48" spans="1:8">
      <c r="A48" s="246"/>
      <c r="B48" s="111"/>
      <c r="C48" s="115" t="s">
        <v>33</v>
      </c>
      <c r="D48" s="113">
        <v>1500</v>
      </c>
      <c r="E48" s="114"/>
      <c r="F48" s="115"/>
      <c r="G48" s="115">
        <v>5</v>
      </c>
      <c r="H48" s="116">
        <f>D48*(E48+F48+G48)</f>
        <v>7500</v>
      </c>
    </row>
    <row r="49" spans="1:8">
      <c r="A49" s="246"/>
      <c r="B49" s="111"/>
      <c r="C49" s="115" t="s">
        <v>44</v>
      </c>
      <c r="D49" s="113">
        <v>12500</v>
      </c>
      <c r="E49" s="114"/>
      <c r="F49" s="115"/>
      <c r="G49" s="115">
        <v>1</v>
      </c>
      <c r="H49" s="116">
        <f>D49*(E49+F49+G49)</f>
        <v>12500</v>
      </c>
    </row>
    <row r="50" spans="1:8">
      <c r="A50" s="246"/>
      <c r="B50" s="111"/>
      <c r="C50" s="115" t="s">
        <v>45</v>
      </c>
      <c r="D50" s="113">
        <v>12000</v>
      </c>
      <c r="E50" s="114"/>
      <c r="F50" s="115"/>
      <c r="G50" s="115">
        <v>1</v>
      </c>
      <c r="H50" s="116">
        <f>D50*(E50+F50+G50)</f>
        <v>12000</v>
      </c>
    </row>
    <row r="51" spans="1:8">
      <c r="A51" s="246"/>
      <c r="B51" s="111"/>
      <c r="C51" s="115" t="s">
        <v>46</v>
      </c>
      <c r="D51" s="113">
        <v>24800</v>
      </c>
      <c r="E51" s="114"/>
      <c r="F51" s="115"/>
      <c r="G51" s="115">
        <v>1</v>
      </c>
      <c r="H51" s="116">
        <f>D51*(E51+F51+G51)</f>
        <v>24800</v>
      </c>
    </row>
    <row r="52" spans="1:8">
      <c r="A52" s="246"/>
      <c r="B52" s="111"/>
      <c r="C52" s="115" t="s">
        <v>47</v>
      </c>
      <c r="D52" s="113">
        <v>19800</v>
      </c>
      <c r="E52" s="114"/>
      <c r="F52" s="115"/>
      <c r="G52" s="115">
        <v>1</v>
      </c>
      <c r="H52" s="116">
        <f>D52*(E52+F52+G52)</f>
        <v>19800</v>
      </c>
    </row>
    <row r="53" spans="1:8">
      <c r="A53" s="246"/>
      <c r="B53" s="111"/>
      <c r="C53" s="115" t="s">
        <v>48</v>
      </c>
      <c r="D53" s="113">
        <v>5500</v>
      </c>
      <c r="E53" s="114"/>
      <c r="F53" s="115"/>
      <c r="G53" s="115">
        <v>2</v>
      </c>
      <c r="H53" s="116">
        <f>D53*(E53+F53+G53)</f>
        <v>11000</v>
      </c>
    </row>
    <row r="54" spans="1:8">
      <c r="A54" s="246"/>
      <c r="B54" s="111"/>
      <c r="C54" s="115" t="s">
        <v>49</v>
      </c>
      <c r="D54" s="113">
        <v>25000</v>
      </c>
      <c r="E54" s="114"/>
      <c r="F54" s="115"/>
      <c r="G54" s="115">
        <v>3</v>
      </c>
      <c r="H54" s="116">
        <f>D54*(E54+F54+G54)</f>
        <v>75000</v>
      </c>
    </row>
    <row r="55" spans="1:8">
      <c r="A55" s="246"/>
      <c r="B55" s="111"/>
      <c r="C55" s="115" t="s">
        <v>50</v>
      </c>
      <c r="D55" s="113">
        <v>20000</v>
      </c>
      <c r="E55" s="114"/>
      <c r="F55" s="115"/>
      <c r="G55" s="115">
        <v>1</v>
      </c>
      <c r="H55" s="116">
        <f>D55*(E55+F55+G55)</f>
        <v>20000</v>
      </c>
    </row>
    <row r="56" spans="1:8">
      <c r="A56" s="246"/>
      <c r="B56" s="111"/>
      <c r="C56" s="115" t="s">
        <v>51</v>
      </c>
      <c r="D56" s="113">
        <v>12000</v>
      </c>
      <c r="E56" s="114"/>
      <c r="F56" s="115"/>
      <c r="G56" s="115">
        <v>1</v>
      </c>
      <c r="H56" s="116">
        <f>D56*(E56+F56+G56)</f>
        <v>12000</v>
      </c>
    </row>
    <row r="57" spans="1:8">
      <c r="A57" s="246"/>
      <c r="B57" s="111"/>
      <c r="C57" s="115" t="s">
        <v>52</v>
      </c>
      <c r="D57" s="113">
        <v>1100</v>
      </c>
      <c r="E57" s="114"/>
      <c r="F57" s="115"/>
      <c r="G57" s="115">
        <v>8</v>
      </c>
      <c r="H57" s="116">
        <f>D57*(E57+F57+G57)</f>
        <v>8800</v>
      </c>
    </row>
    <row r="58" spans="1:8">
      <c r="A58" s="246"/>
      <c r="B58" s="111"/>
      <c r="C58" s="115"/>
      <c r="D58" s="113"/>
      <c r="E58" s="114"/>
      <c r="F58" s="115"/>
      <c r="G58" s="115"/>
      <c r="H58" s="116">
        <f>D58*(E58+F58+G58)</f>
        <v>0</v>
      </c>
    </row>
    <row r="59" spans="1:8">
      <c r="A59" s="246"/>
      <c r="B59" s="111"/>
      <c r="C59" s="115" t="s">
        <v>53</v>
      </c>
      <c r="D59" s="113">
        <v>450</v>
      </c>
      <c r="E59" s="114"/>
      <c r="F59" s="115"/>
      <c r="G59" s="115">
        <v>170</v>
      </c>
      <c r="H59" s="116">
        <f>D59*(E59+F59+G59)</f>
        <v>76500</v>
      </c>
    </row>
    <row r="60" spans="1:8">
      <c r="A60" s="246"/>
      <c r="B60" s="111"/>
      <c r="C60" s="115" t="s">
        <v>53</v>
      </c>
      <c r="D60" s="113">
        <v>450</v>
      </c>
      <c r="E60" s="114"/>
      <c r="F60" s="115"/>
      <c r="G60" s="115">
        <v>180</v>
      </c>
      <c r="H60" s="116">
        <f>D60*(E60+F60+G60)</f>
        <v>81000</v>
      </c>
    </row>
    <row r="61" spans="1:8">
      <c r="A61" s="246"/>
      <c r="B61" s="111"/>
      <c r="C61" s="115"/>
      <c r="D61" s="113"/>
      <c r="E61" s="114"/>
      <c r="F61" s="115"/>
      <c r="G61" s="115"/>
      <c r="H61" s="116">
        <f>D61*(E61+F61+G61)</f>
        <v>0</v>
      </c>
    </row>
    <row r="62" spans="1:8">
      <c r="A62" s="246"/>
      <c r="B62" s="111" t="s">
        <v>54</v>
      </c>
      <c r="C62" s="115" t="s">
        <v>55</v>
      </c>
      <c r="D62" s="113">
        <v>750</v>
      </c>
      <c r="E62" s="114"/>
      <c r="F62" s="115"/>
      <c r="G62" s="115">
        <v>4</v>
      </c>
      <c r="H62" s="116">
        <f>D62*(E62+F62+G62)</f>
        <v>3000</v>
      </c>
    </row>
    <row r="63" spans="1:8">
      <c r="A63" s="246"/>
      <c r="B63" s="111"/>
      <c r="C63" s="115" t="s">
        <v>56</v>
      </c>
      <c r="D63" s="113">
        <v>500</v>
      </c>
      <c r="E63" s="114"/>
      <c r="F63" s="115"/>
      <c r="G63" s="115">
        <v>6</v>
      </c>
      <c r="H63" s="116">
        <f>D63*(E63+F63+G63)</f>
        <v>3000</v>
      </c>
    </row>
    <row r="64" spans="1:8">
      <c r="A64" s="246"/>
      <c r="B64" s="111"/>
      <c r="C64" s="115" t="s">
        <v>57</v>
      </c>
      <c r="D64" s="113">
        <v>500</v>
      </c>
      <c r="E64" s="114"/>
      <c r="F64" s="115"/>
      <c r="G64" s="115">
        <v>10</v>
      </c>
      <c r="H64" s="116">
        <f>D64*(E64+F64+G64)</f>
        <v>5000</v>
      </c>
    </row>
    <row r="65" spans="1:8">
      <c r="A65" s="246"/>
      <c r="B65" s="111"/>
      <c r="C65" s="115" t="s">
        <v>58</v>
      </c>
      <c r="D65" s="113">
        <v>500</v>
      </c>
      <c r="E65" s="114"/>
      <c r="F65" s="115"/>
      <c r="G65" s="115">
        <v>3</v>
      </c>
      <c r="H65" s="116">
        <f>D65*(E65+F65+G65)</f>
        <v>1500</v>
      </c>
    </row>
    <row r="66" spans="1:8">
      <c r="A66" s="246"/>
      <c r="B66" s="111"/>
      <c r="C66" s="115" t="s">
        <v>59</v>
      </c>
      <c r="D66" s="113">
        <v>800</v>
      </c>
      <c r="E66" s="114"/>
      <c r="F66" s="115"/>
      <c r="G66" s="115">
        <v>6</v>
      </c>
      <c r="H66" s="116">
        <f>D66*(E66+F66+G66)</f>
        <v>4800</v>
      </c>
    </row>
    <row r="67" spans="1:8">
      <c r="A67" s="246"/>
      <c r="B67" s="111"/>
      <c r="C67" s="115" t="s">
        <v>32</v>
      </c>
      <c r="D67" s="113">
        <v>820</v>
      </c>
      <c r="E67" s="114"/>
      <c r="F67" s="115"/>
      <c r="G67" s="115">
        <v>9</v>
      </c>
      <c r="H67" s="116">
        <f>D67*(E67+F67+G67)</f>
        <v>7380</v>
      </c>
    </row>
    <row r="68" spans="1:8">
      <c r="A68" s="246"/>
      <c r="B68" s="111"/>
      <c r="C68" s="115"/>
      <c r="D68" s="113"/>
      <c r="E68" s="114"/>
      <c r="F68" s="115"/>
      <c r="G68" s="115"/>
      <c r="H68" s="116">
        <f>D68*(E68+F68+G68)</f>
        <v>0</v>
      </c>
    </row>
    <row r="69" spans="1:8">
      <c r="A69" s="246" t="s">
        <v>60</v>
      </c>
      <c r="B69" s="111" t="s">
        <v>10</v>
      </c>
      <c r="C69" s="115" t="s">
        <v>43</v>
      </c>
      <c r="D69" s="113">
        <v>59800</v>
      </c>
      <c r="E69" s="114"/>
      <c r="F69" s="115"/>
      <c r="G69" s="115">
        <v>1</v>
      </c>
      <c r="H69" s="116">
        <f>D69*(E69+F69+G69)</f>
        <v>59800</v>
      </c>
    </row>
    <row r="70" spans="1:8">
      <c r="A70" s="246"/>
      <c r="B70" s="111"/>
      <c r="C70" s="115" t="s">
        <v>61</v>
      </c>
      <c r="D70" s="113">
        <v>39800</v>
      </c>
      <c r="E70" s="114"/>
      <c r="F70" s="115"/>
      <c r="G70" s="115">
        <v>1</v>
      </c>
      <c r="H70" s="116">
        <f>D70*(E70+F70+G70)</f>
        <v>39800</v>
      </c>
    </row>
    <row r="71" spans="1:8">
      <c r="A71" s="246"/>
      <c r="B71" s="111"/>
      <c r="C71" s="115" t="s">
        <v>62</v>
      </c>
      <c r="D71" s="113">
        <v>39800</v>
      </c>
      <c r="E71" s="114"/>
      <c r="F71" s="115"/>
      <c r="G71" s="115">
        <v>1</v>
      </c>
      <c r="H71" s="116">
        <f>D71*(E71+F71+G71)</f>
        <v>39800</v>
      </c>
    </row>
    <row r="72" spans="1:8">
      <c r="A72" s="246"/>
      <c r="B72" s="111"/>
      <c r="C72" s="115" t="s">
        <v>63</v>
      </c>
      <c r="D72" s="113">
        <v>29800</v>
      </c>
      <c r="E72" s="114"/>
      <c r="F72" s="115"/>
      <c r="G72" s="115">
        <v>1</v>
      </c>
      <c r="H72" s="116">
        <f>D72*(E72+F72+G72)</f>
        <v>29800</v>
      </c>
    </row>
    <row r="73" spans="1:8">
      <c r="A73" s="246"/>
      <c r="B73" s="111"/>
      <c r="C73" s="115" t="s">
        <v>64</v>
      </c>
      <c r="D73" s="113">
        <v>42500</v>
      </c>
      <c r="E73" s="114"/>
      <c r="F73" s="115"/>
      <c r="G73" s="115">
        <v>1</v>
      </c>
      <c r="H73" s="116">
        <f>D73*(E73+F73+G73)</f>
        <v>42500</v>
      </c>
    </row>
    <row r="75" spans="1:8">
      <c r="A75" s="246"/>
      <c r="B75" s="111"/>
      <c r="C75" s="115"/>
      <c r="D75" s="113"/>
      <c r="E75" s="114"/>
      <c r="F75" s="115"/>
      <c r="G75" s="115">
        <v>1</v>
      </c>
      <c r="H75" s="116">
        <f>D75*(E75+F75+G75)</f>
        <v>0</v>
      </c>
    </row>
    <row r="76" spans="1:8">
      <c r="A76" s="246"/>
      <c r="B76" s="111"/>
      <c r="C76" s="115" t="s">
        <v>65</v>
      </c>
      <c r="D76" s="113">
        <v>21000</v>
      </c>
      <c r="E76" s="114"/>
      <c r="F76" s="115"/>
      <c r="G76" s="115">
        <v>1</v>
      </c>
      <c r="H76" s="116">
        <f>D76*(E76+F76+G76)</f>
        <v>21000</v>
      </c>
    </row>
    <row r="77" spans="1:8">
      <c r="A77" s="246"/>
      <c r="B77" s="111"/>
      <c r="C77" s="115" t="s">
        <v>33</v>
      </c>
      <c r="D77" s="113">
        <v>1500</v>
      </c>
      <c r="E77" s="114"/>
      <c r="F77" s="115"/>
      <c r="G77" s="115">
        <v>3</v>
      </c>
      <c r="H77" s="116">
        <f>D77*(E77+F77+G77)</f>
        <v>4500</v>
      </c>
    </row>
    <row r="78" spans="1:8">
      <c r="A78" s="246"/>
      <c r="B78" s="111"/>
      <c r="C78" s="115" t="s">
        <v>52</v>
      </c>
      <c r="D78" s="113">
        <v>1050</v>
      </c>
      <c r="E78" s="114"/>
      <c r="F78" s="115"/>
      <c r="G78" s="115">
        <v>6</v>
      </c>
      <c r="H78" s="116">
        <f>D78*(E78+F78+G78)</f>
        <v>6300</v>
      </c>
    </row>
    <row r="79" spans="1:8">
      <c r="A79" s="246"/>
      <c r="B79" s="111"/>
      <c r="C79" s="115"/>
      <c r="D79" s="113"/>
      <c r="E79" s="114"/>
      <c r="F79" s="115"/>
      <c r="G79" s="115"/>
      <c r="H79" s="116">
        <f>D79*(E79+F79+G79)</f>
        <v>0</v>
      </c>
    </row>
    <row r="80" spans="1:8">
      <c r="A80" s="246"/>
      <c r="B80" s="111"/>
      <c r="C80" s="115" t="s">
        <v>53</v>
      </c>
      <c r="D80" s="113">
        <v>450</v>
      </c>
      <c r="E80" s="114"/>
      <c r="F80" s="115"/>
      <c r="G80" s="115">
        <v>180</v>
      </c>
      <c r="H80" s="116">
        <f>D80*(E80+F80+G80)</f>
        <v>81000</v>
      </c>
    </row>
    <row r="81" spans="1:8">
      <c r="A81" s="246"/>
      <c r="B81" s="111"/>
      <c r="C81" s="115" t="s">
        <v>66</v>
      </c>
      <c r="D81" s="113">
        <v>150</v>
      </c>
      <c r="E81" s="114"/>
      <c r="F81" s="115"/>
      <c r="G81" s="115">
        <v>180</v>
      </c>
      <c r="H81" s="116">
        <f>D81*(E81+F81+G81)</f>
        <v>27000</v>
      </c>
    </row>
    <row r="82" spans="1:8">
      <c r="A82" s="246" t="s">
        <v>67</v>
      </c>
      <c r="B82" s="111" t="s">
        <v>68</v>
      </c>
      <c r="C82" s="115"/>
      <c r="D82" s="113"/>
      <c r="E82" s="114"/>
      <c r="F82" s="115"/>
      <c r="G82" s="115"/>
      <c r="H82" s="116">
        <f>D82*(E82+F82+G82)</f>
        <v>0</v>
      </c>
    </row>
    <row r="83" spans="1:8">
      <c r="A83" s="246"/>
      <c r="B83" s="111"/>
      <c r="C83" s="115" t="s">
        <v>65</v>
      </c>
      <c r="D83" s="113">
        <v>21000</v>
      </c>
      <c r="E83" s="114"/>
      <c r="F83" s="115"/>
      <c r="G83" s="115">
        <v>1</v>
      </c>
      <c r="H83" s="116">
        <f>D83*(E83+F83+G83)</f>
        <v>21000</v>
      </c>
    </row>
    <row r="84" spans="1:8">
      <c r="A84" s="246"/>
      <c r="B84" s="111"/>
      <c r="C84" s="115" t="s">
        <v>69</v>
      </c>
      <c r="D84" s="113">
        <v>19800</v>
      </c>
      <c r="E84" s="114"/>
      <c r="F84" s="115"/>
      <c r="G84" s="115">
        <v>1</v>
      </c>
      <c r="H84" s="116">
        <f>D84*(E84+F84+G84)</f>
        <v>19800</v>
      </c>
    </row>
    <row r="85" spans="1:8">
      <c r="A85" s="246"/>
      <c r="B85" s="111"/>
      <c r="C85" s="115" t="s">
        <v>33</v>
      </c>
      <c r="D85" s="113">
        <v>1500</v>
      </c>
      <c r="E85" s="114"/>
      <c r="F85" s="115"/>
      <c r="G85" s="115">
        <v>3</v>
      </c>
      <c r="H85" s="116">
        <f>D85*(E85+F85+G85)</f>
        <v>4500</v>
      </c>
    </row>
    <row r="86" spans="1:8">
      <c r="A86" s="246"/>
      <c r="B86" s="111"/>
      <c r="C86" s="115" t="s">
        <v>70</v>
      </c>
      <c r="D86" s="113">
        <v>19800</v>
      </c>
      <c r="E86" s="114"/>
      <c r="F86" s="115"/>
      <c r="G86" s="115">
        <v>1</v>
      </c>
      <c r="H86" s="116">
        <f>D86*(E86+F86+G86)</f>
        <v>19800</v>
      </c>
    </row>
    <row r="87" spans="1:8">
      <c r="A87" s="246"/>
      <c r="B87" s="111"/>
      <c r="C87" s="115" t="s">
        <v>52</v>
      </c>
      <c r="D87" s="113">
        <v>1050</v>
      </c>
      <c r="E87" s="114"/>
      <c r="F87" s="115"/>
      <c r="G87" s="115">
        <v>3</v>
      </c>
      <c r="H87" s="116">
        <f>D87*(E87+F87+G87)</f>
        <v>3150</v>
      </c>
    </row>
    <row r="88" spans="1:8">
      <c r="A88" s="246"/>
      <c r="B88" s="111"/>
      <c r="C88" s="115"/>
      <c r="D88" s="113"/>
      <c r="E88" s="114"/>
      <c r="F88" s="115"/>
      <c r="G88" s="115"/>
      <c r="H88" s="116"/>
    </row>
    <row r="89" spans="1:8">
      <c r="A89" s="246"/>
      <c r="B89" s="111"/>
      <c r="C89" s="115" t="s">
        <v>71</v>
      </c>
      <c r="D89" s="113">
        <v>750</v>
      </c>
      <c r="E89" s="114"/>
      <c r="F89" s="115"/>
      <c r="G89" s="115">
        <v>5</v>
      </c>
      <c r="H89" s="116">
        <f t="shared" ref="H89:H94" si="0">D89*(E89+F89+G89)</f>
        <v>3750</v>
      </c>
    </row>
    <row r="90" spans="1:8">
      <c r="A90" s="246"/>
      <c r="B90" s="111"/>
      <c r="C90" s="115" t="s">
        <v>72</v>
      </c>
      <c r="D90" s="113">
        <v>750</v>
      </c>
      <c r="E90" s="114"/>
      <c r="F90" s="115"/>
      <c r="G90" s="115">
        <v>4</v>
      </c>
      <c r="H90" s="116">
        <f t="shared" si="0"/>
        <v>3000</v>
      </c>
    </row>
    <row r="91" spans="1:8">
      <c r="A91" s="246"/>
      <c r="B91" s="111"/>
      <c r="C91" s="115" t="s">
        <v>32</v>
      </c>
      <c r="D91" s="113">
        <v>820</v>
      </c>
      <c r="E91" s="114"/>
      <c r="F91" s="115"/>
      <c r="G91" s="115">
        <v>8</v>
      </c>
      <c r="H91" s="116">
        <f t="shared" si="0"/>
        <v>6560</v>
      </c>
    </row>
    <row r="92" spans="1:8">
      <c r="A92" s="246"/>
      <c r="B92" s="111"/>
      <c r="C92" s="115" t="s">
        <v>55</v>
      </c>
      <c r="D92" s="113">
        <v>850</v>
      </c>
      <c r="E92" s="114"/>
      <c r="F92" s="115"/>
      <c r="G92" s="115">
        <v>5</v>
      </c>
      <c r="H92" s="116">
        <f t="shared" si="0"/>
        <v>4250</v>
      </c>
    </row>
    <row r="93" spans="1:8">
      <c r="A93" s="246"/>
      <c r="B93" s="111"/>
      <c r="C93" s="115" t="s">
        <v>73</v>
      </c>
      <c r="D93" s="113">
        <v>400</v>
      </c>
      <c r="E93" s="114"/>
      <c r="F93" s="115"/>
      <c r="G93" s="115">
        <v>6</v>
      </c>
      <c r="H93" s="116">
        <f t="shared" si="0"/>
        <v>2400</v>
      </c>
    </row>
    <row r="94" spans="1:8">
      <c r="A94" s="246"/>
      <c r="B94" s="111"/>
      <c r="C94" s="115" t="s">
        <v>74</v>
      </c>
      <c r="D94" s="113">
        <v>500</v>
      </c>
      <c r="E94" s="114"/>
      <c r="F94" s="115"/>
      <c r="G94" s="115">
        <v>8</v>
      </c>
      <c r="H94" s="116">
        <f t="shared" si="0"/>
        <v>4000</v>
      </c>
    </row>
    <row r="95" spans="1:8">
      <c r="A95" s="246"/>
      <c r="B95" s="111"/>
      <c r="C95" s="115" t="s">
        <v>30</v>
      </c>
      <c r="D95" s="113">
        <v>800</v>
      </c>
      <c r="E95" s="114"/>
      <c r="F95" s="115"/>
      <c r="G95" s="115">
        <v>4</v>
      </c>
      <c r="H95" s="116">
        <f>D95*(E95+F95+G95)</f>
        <v>3200</v>
      </c>
    </row>
    <row r="96" spans="1:8">
      <c r="A96" s="246"/>
      <c r="B96" s="111"/>
      <c r="C96" s="115" t="s">
        <v>31</v>
      </c>
      <c r="D96" s="113">
        <v>60</v>
      </c>
      <c r="E96" s="114"/>
      <c r="F96" s="115"/>
      <c r="G96" s="115">
        <v>12</v>
      </c>
      <c r="H96" s="116">
        <f t="shared" ref="H96:H98" si="1">D96*(E96+F96+G96)</f>
        <v>720</v>
      </c>
    </row>
    <row r="97" spans="1:8">
      <c r="A97" s="246"/>
      <c r="B97" s="111"/>
      <c r="C97" s="115" t="s">
        <v>33</v>
      </c>
      <c r="D97" s="113">
        <v>1500</v>
      </c>
      <c r="E97" s="114"/>
      <c r="F97" s="115"/>
      <c r="G97" s="115">
        <v>8</v>
      </c>
      <c r="H97" s="116">
        <f t="shared" si="1"/>
        <v>12000</v>
      </c>
    </row>
    <row r="98" spans="1:8">
      <c r="A98" s="246"/>
      <c r="B98" s="111"/>
      <c r="C98" s="115" t="s">
        <v>75</v>
      </c>
      <c r="D98" s="113">
        <v>800</v>
      </c>
      <c r="E98" s="114"/>
      <c r="F98" s="115"/>
      <c r="G98" s="115">
        <v>8</v>
      </c>
      <c r="H98" s="116">
        <f t="shared" si="1"/>
        <v>6400</v>
      </c>
    </row>
    <row r="99" spans="1:8">
      <c r="A99" s="246"/>
      <c r="B99" s="111"/>
      <c r="C99" s="115"/>
      <c r="D99" s="113"/>
      <c r="E99" s="114"/>
      <c r="F99" s="115"/>
      <c r="G99" s="115"/>
      <c r="H99" s="116"/>
    </row>
    <row r="100" spans="1:8">
      <c r="A100" s="246" t="s">
        <v>76</v>
      </c>
      <c r="B100" s="111" t="s">
        <v>77</v>
      </c>
      <c r="C100" s="115"/>
      <c r="D100" s="113"/>
      <c r="E100" s="114"/>
      <c r="F100" s="115"/>
      <c r="G100" s="115"/>
      <c r="H100" s="116">
        <f>D100*(E100+F100+G100)</f>
        <v>0</v>
      </c>
    </row>
    <row r="101" spans="1:8">
      <c r="A101" s="246"/>
      <c r="B101" s="111"/>
      <c r="C101" s="115" t="s">
        <v>78</v>
      </c>
      <c r="D101" s="113">
        <v>5480</v>
      </c>
      <c r="E101" s="114"/>
      <c r="F101" s="115"/>
      <c r="G101" s="115">
        <v>1</v>
      </c>
      <c r="H101" s="116">
        <f>D101*(E101+F101+G101)</f>
        <v>5480</v>
      </c>
    </row>
    <row r="102" spans="1:8">
      <c r="A102" s="246"/>
      <c r="B102" s="111"/>
      <c r="C102" s="115" t="s">
        <v>79</v>
      </c>
      <c r="D102" s="113">
        <v>39800</v>
      </c>
      <c r="E102" s="114"/>
      <c r="F102" s="115"/>
      <c r="G102" s="115">
        <v>1</v>
      </c>
      <c r="H102" s="116">
        <f>D102*(E102+F102+G102)</f>
        <v>39800</v>
      </c>
    </row>
    <row r="103" spans="1:8">
      <c r="A103" s="246"/>
      <c r="B103" s="111"/>
      <c r="C103" s="115" t="s">
        <v>13</v>
      </c>
      <c r="D103" s="113">
        <v>29800</v>
      </c>
      <c r="E103" s="114"/>
      <c r="F103" s="115"/>
      <c r="G103" s="115">
        <v>1</v>
      </c>
      <c r="H103" s="116">
        <f>D103*(E103+F103+G103)</f>
        <v>29800</v>
      </c>
    </row>
    <row r="104" spans="1:8">
      <c r="A104" s="246"/>
      <c r="B104" s="111"/>
      <c r="C104" s="115" t="s">
        <v>80</v>
      </c>
      <c r="D104" s="113">
        <v>40000</v>
      </c>
      <c r="E104" s="114"/>
      <c r="F104" s="115"/>
      <c r="G104" s="115">
        <v>1</v>
      </c>
      <c r="H104" s="116">
        <f>D104*(E104+F104+G104)</f>
        <v>40000</v>
      </c>
    </row>
    <row r="105" spans="1:8">
      <c r="A105" s="246"/>
      <c r="B105" s="111"/>
      <c r="C105" s="115" t="s">
        <v>81</v>
      </c>
      <c r="D105" s="113">
        <v>19800</v>
      </c>
      <c r="E105" s="114"/>
      <c r="F105" s="115"/>
      <c r="G105" s="115">
        <v>1</v>
      </c>
      <c r="H105" s="116">
        <f>D105*(E105+F105+G105)</f>
        <v>19800</v>
      </c>
    </row>
    <row r="106" spans="1:8">
      <c r="A106" s="246"/>
      <c r="B106" s="111"/>
      <c r="C106" s="115" t="s">
        <v>82</v>
      </c>
      <c r="D106" s="113">
        <v>18000</v>
      </c>
      <c r="E106" s="114"/>
      <c r="F106" s="115"/>
      <c r="G106" s="115">
        <v>1</v>
      </c>
      <c r="H106" s="116">
        <f>D106*(E106+F106+G106)</f>
        <v>18000</v>
      </c>
    </row>
    <row r="107" spans="1:8">
      <c r="A107" s="246"/>
      <c r="B107" s="111"/>
      <c r="C107" s="115" t="s">
        <v>83</v>
      </c>
      <c r="D107" s="113">
        <v>40000</v>
      </c>
      <c r="E107" s="114"/>
      <c r="F107" s="115"/>
      <c r="G107" s="115">
        <v>1</v>
      </c>
      <c r="H107" s="116">
        <f>D107*(E107+F107+G107)</f>
        <v>40000</v>
      </c>
    </row>
    <row r="108" spans="1:8">
      <c r="A108" s="246"/>
      <c r="B108" s="111"/>
      <c r="C108" s="115" t="s">
        <v>84</v>
      </c>
      <c r="D108" s="113">
        <v>19800</v>
      </c>
      <c r="E108" s="114"/>
      <c r="F108" s="115"/>
      <c r="G108" s="115">
        <v>2</v>
      </c>
      <c r="H108" s="116">
        <f>D108*(E108+F108+G108)</f>
        <v>39600</v>
      </c>
    </row>
    <row r="109" spans="1:8">
      <c r="A109" s="246"/>
      <c r="B109" s="111"/>
      <c r="C109" s="115" t="s">
        <v>85</v>
      </c>
      <c r="D109" s="113">
        <v>5000</v>
      </c>
      <c r="E109" s="114"/>
      <c r="F109" s="115"/>
      <c r="G109" s="115">
        <v>4</v>
      </c>
      <c r="H109" s="116">
        <f>D109*(E109+F109+G109)</f>
        <v>20000</v>
      </c>
    </row>
    <row r="110" spans="1:8">
      <c r="A110" s="246"/>
      <c r="B110" s="111"/>
      <c r="C110" s="115" t="s">
        <v>86</v>
      </c>
      <c r="D110" s="113">
        <v>19800</v>
      </c>
      <c r="E110" s="114"/>
      <c r="F110" s="115"/>
      <c r="G110" s="115">
        <v>1</v>
      </c>
      <c r="H110" s="116">
        <f>D110*(E110+F110+G110)</f>
        <v>19800</v>
      </c>
    </row>
    <row r="111" spans="1:8">
      <c r="A111" s="246"/>
      <c r="B111" s="111"/>
      <c r="C111" s="115"/>
      <c r="D111" s="113"/>
      <c r="E111" s="114"/>
      <c r="F111" s="115"/>
      <c r="G111" s="115"/>
      <c r="H111" s="116">
        <f>D111*(E111+F111+G111)</f>
        <v>0</v>
      </c>
    </row>
    <row r="120" spans="1:8">
      <c r="A120" s="246"/>
      <c r="B120" s="111"/>
      <c r="C120" s="115"/>
      <c r="D120" s="113"/>
      <c r="E120" s="114"/>
      <c r="F120" s="115"/>
      <c r="G120" s="115"/>
      <c r="H120" s="116">
        <f>D120*(E120+F120+G120)</f>
        <v>0</v>
      </c>
    </row>
    <row r="121" spans="1:8">
      <c r="A121" s="246"/>
      <c r="B121" s="111" t="s">
        <v>24</v>
      </c>
      <c r="C121" s="115"/>
      <c r="D121" s="113"/>
      <c r="E121" s="114"/>
      <c r="F121" s="115"/>
      <c r="G121" s="115"/>
      <c r="H121" s="116">
        <f>D121*(E121+F121+G121)</f>
        <v>0</v>
      </c>
    </row>
    <row r="122" spans="1:8">
      <c r="A122" s="246"/>
      <c r="B122" s="111"/>
      <c r="C122" s="115"/>
      <c r="D122" s="113"/>
      <c r="E122" s="114"/>
      <c r="F122" s="115"/>
      <c r="G122" s="115"/>
      <c r="H122" s="116">
        <f>D122*(E122+F122+G122)</f>
        <v>0</v>
      </c>
    </row>
    <row r="123" spans="1:8">
      <c r="A123" s="246"/>
      <c r="B123" s="111"/>
      <c r="C123" s="115"/>
      <c r="D123" s="113"/>
      <c r="E123" s="114"/>
      <c r="F123" s="115"/>
      <c r="G123" s="115"/>
      <c r="H123" s="116">
        <f>D123*(E123+F123+G123)</f>
        <v>0</v>
      </c>
    </row>
    <row r="124" spans="1:8">
      <c r="A124" s="246"/>
      <c r="B124" s="111"/>
      <c r="C124" s="115"/>
      <c r="D124" s="113"/>
      <c r="E124" s="114"/>
      <c r="F124" s="115"/>
      <c r="G124" s="115"/>
      <c r="H124" s="116">
        <f>D124*(E124+F124+G124)</f>
        <v>0</v>
      </c>
    </row>
    <row r="125" spans="1:8">
      <c r="A125" s="246"/>
      <c r="B125" s="111"/>
      <c r="C125" s="115"/>
      <c r="D125" s="113"/>
      <c r="E125" s="114"/>
      <c r="F125" s="115"/>
      <c r="G125" s="115"/>
      <c r="H125" s="116">
        <f>D125*(E125+F125+G125)</f>
        <v>0</v>
      </c>
    </row>
    <row r="126" spans="1:8">
      <c r="A126" s="246"/>
      <c r="B126" s="111"/>
      <c r="C126" s="115"/>
      <c r="D126" s="113"/>
      <c r="E126" s="114"/>
      <c r="F126" s="115"/>
      <c r="G126" s="115"/>
      <c r="H126" s="116">
        <f>D126*(E126+F126+G126)</f>
        <v>0</v>
      </c>
    </row>
    <row r="127" spans="1:8">
      <c r="A127" s="246"/>
      <c r="B127" s="111"/>
      <c r="C127" s="115"/>
      <c r="D127" s="113"/>
      <c r="E127" s="114"/>
      <c r="F127" s="115"/>
      <c r="G127" s="115"/>
      <c r="H127" s="116">
        <f>D127*(E127+F127+G127)</f>
        <v>0</v>
      </c>
    </row>
    <row r="128" spans="1:8">
      <c r="A128" s="246"/>
      <c r="B128" s="111"/>
      <c r="C128" s="115"/>
      <c r="D128" s="113"/>
      <c r="E128" s="114"/>
      <c r="F128" s="115"/>
      <c r="G128" s="115"/>
      <c r="H128" s="116">
        <f>D128*(E128+F128+G128)</f>
        <v>0</v>
      </c>
    </row>
    <row r="129" spans="1:8">
      <c r="A129" s="246"/>
      <c r="B129" s="111"/>
      <c r="C129" s="115"/>
      <c r="D129" s="113"/>
      <c r="E129" s="114"/>
      <c r="F129" s="115"/>
      <c r="G129" s="115"/>
      <c r="H129" s="116">
        <f>D129*(E129+F129+G129)</f>
        <v>0</v>
      </c>
    </row>
    <row r="130" spans="1:8">
      <c r="A130" s="246"/>
      <c r="B130" s="111"/>
      <c r="C130" s="115"/>
      <c r="D130" s="113"/>
      <c r="E130" s="114"/>
      <c r="F130" s="115"/>
      <c r="G130" s="115"/>
      <c r="H130" s="116">
        <f>D130*(E130+F130+G130)</f>
        <v>0</v>
      </c>
    </row>
    <row r="131" spans="1:8">
      <c r="A131" s="246"/>
      <c r="B131" s="111"/>
      <c r="C131" s="115"/>
      <c r="D131" s="113"/>
      <c r="E131" s="114"/>
      <c r="F131" s="115"/>
      <c r="G131" s="115"/>
      <c r="H131" s="116">
        <f>D131*(E131+F131+G131)</f>
        <v>0</v>
      </c>
    </row>
  </sheetData>
  <sortState xmlns:xlrd2="http://schemas.microsoft.com/office/spreadsheetml/2017/richdata2" ref="P1:T62">
    <sortCondition ref="P1:P62"/>
  </sortState>
  <phoneticPr fontId="4"/>
  <pageMargins left="0.31496062992125984" right="0" top="0.74803149606299213" bottom="0" header="0.31496062992125984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36360-2233-4EE8-B396-7E75162B1328}">
  <dimension ref="A1:H470"/>
  <sheetViews>
    <sheetView zoomScale="50" zoomScaleNormal="50" workbookViewId="0">
      <selection activeCell="G110" sqref="G110"/>
    </sheetView>
  </sheetViews>
  <sheetFormatPr defaultRowHeight="14.25"/>
  <cols>
    <col min="8" max="8" width="17.875" bestFit="1" customWidth="1"/>
  </cols>
  <sheetData>
    <row r="1" spans="1:8">
      <c r="A1" s="143">
        <v>46081</v>
      </c>
      <c r="D1" s="9"/>
      <c r="H1" s="9"/>
    </row>
    <row r="2" spans="1:8">
      <c r="A2" s="533" t="s">
        <v>0</v>
      </c>
      <c r="B2" s="534" t="s">
        <v>1</v>
      </c>
      <c r="C2" s="534" t="s">
        <v>2</v>
      </c>
      <c r="D2" s="532" t="s">
        <v>3</v>
      </c>
      <c r="E2" s="535" t="s">
        <v>4</v>
      </c>
      <c r="F2" s="535"/>
      <c r="G2" s="535"/>
      <c r="H2" s="532" t="s">
        <v>5</v>
      </c>
    </row>
    <row r="3" spans="1:8" s="6" customFormat="1" ht="15" thickBot="1">
      <c r="A3" s="533"/>
      <c r="B3" s="534"/>
      <c r="C3" s="534"/>
      <c r="D3" s="532"/>
      <c r="E3" s="85" t="s">
        <v>6</v>
      </c>
      <c r="F3" s="85" t="s">
        <v>7</v>
      </c>
      <c r="G3" s="86" t="s">
        <v>8</v>
      </c>
      <c r="H3" s="532"/>
    </row>
    <row r="4" spans="1:8" ht="21.75" thickBot="1">
      <c r="A4" s="516"/>
      <c r="B4" s="517"/>
      <c r="C4" s="517"/>
      <c r="D4" s="515"/>
      <c r="E4" s="85"/>
      <c r="F4" s="85"/>
      <c r="G4" s="141"/>
      <c r="H4" s="144">
        <f>SUM(H5:H121)</f>
        <v>2713894</v>
      </c>
    </row>
    <row r="5" spans="1:8">
      <c r="A5" s="16" t="s">
        <v>87</v>
      </c>
      <c r="B5" s="55" t="s">
        <v>88</v>
      </c>
      <c r="C5" s="87" t="s">
        <v>52</v>
      </c>
      <c r="D5" s="88">
        <v>1050</v>
      </c>
      <c r="E5" s="56"/>
      <c r="F5" s="55"/>
      <c r="G5" s="55">
        <v>2</v>
      </c>
      <c r="H5" s="142">
        <f t="shared" ref="H5:H44" si="0">D5*(E5+F5+G5)</f>
        <v>2100</v>
      </c>
    </row>
    <row r="6" spans="1:8" ht="16.5">
      <c r="A6" s="16"/>
      <c r="B6" s="55" t="s">
        <v>88</v>
      </c>
      <c r="C6" s="87" t="s">
        <v>89</v>
      </c>
      <c r="D6" s="88">
        <v>150</v>
      </c>
      <c r="E6" s="56"/>
      <c r="F6" s="55"/>
      <c r="G6" s="55">
        <v>142</v>
      </c>
      <c r="H6" s="89">
        <f t="shared" si="0"/>
        <v>21300</v>
      </c>
    </row>
    <row r="7" spans="1:8" ht="16.5">
      <c r="A7" s="16"/>
      <c r="B7" s="55" t="s">
        <v>88</v>
      </c>
      <c r="C7" s="87" t="s">
        <v>90</v>
      </c>
      <c r="D7" s="88">
        <v>450</v>
      </c>
      <c r="E7" s="56"/>
      <c r="F7" s="55"/>
      <c r="G7" s="55">
        <v>132</v>
      </c>
      <c r="H7" s="89">
        <f t="shared" si="0"/>
        <v>59400</v>
      </c>
    </row>
    <row r="8" spans="1:8">
      <c r="A8" s="16"/>
      <c r="B8" s="55" t="s">
        <v>88</v>
      </c>
      <c r="C8" s="87" t="s">
        <v>91</v>
      </c>
      <c r="D8" s="88">
        <v>60000</v>
      </c>
      <c r="E8" s="56"/>
      <c r="F8" s="55"/>
      <c r="G8" s="55">
        <v>1</v>
      </c>
      <c r="H8" s="89">
        <f t="shared" si="0"/>
        <v>60000</v>
      </c>
    </row>
    <row r="9" spans="1:8">
      <c r="A9" s="16"/>
      <c r="B9" s="55" t="s">
        <v>88</v>
      </c>
      <c r="C9" s="87" t="s">
        <v>92</v>
      </c>
      <c r="D9" s="88">
        <v>38000</v>
      </c>
      <c r="E9" s="56"/>
      <c r="F9" s="55"/>
      <c r="G9" s="55">
        <v>1</v>
      </c>
      <c r="H9" s="89">
        <f t="shared" si="0"/>
        <v>38000</v>
      </c>
    </row>
    <row r="10" spans="1:8">
      <c r="A10" s="16"/>
      <c r="B10" s="55" t="s">
        <v>88</v>
      </c>
      <c r="C10" s="87" t="s">
        <v>93</v>
      </c>
      <c r="D10" s="88">
        <v>35000</v>
      </c>
      <c r="E10" s="56"/>
      <c r="F10" s="55"/>
      <c r="G10" s="55">
        <v>1</v>
      </c>
      <c r="H10" s="89">
        <f t="shared" si="0"/>
        <v>35000</v>
      </c>
    </row>
    <row r="11" spans="1:8">
      <c r="A11" s="16"/>
      <c r="B11" s="55" t="s">
        <v>88</v>
      </c>
      <c r="C11" s="87" t="s">
        <v>94</v>
      </c>
      <c r="D11" s="88">
        <v>35090</v>
      </c>
      <c r="E11" s="56"/>
      <c r="F11" s="55"/>
      <c r="G11" s="55">
        <v>1</v>
      </c>
      <c r="H11" s="89">
        <f t="shared" si="0"/>
        <v>35090</v>
      </c>
    </row>
    <row r="12" spans="1:8" ht="16.5">
      <c r="A12" s="16"/>
      <c r="B12" s="55" t="s">
        <v>88</v>
      </c>
      <c r="C12" s="87" t="s">
        <v>95</v>
      </c>
      <c r="D12" s="88">
        <v>21600</v>
      </c>
      <c r="E12" s="56"/>
      <c r="F12" s="55"/>
      <c r="G12" s="55">
        <v>1</v>
      </c>
      <c r="H12" s="89">
        <f t="shared" si="0"/>
        <v>21600</v>
      </c>
    </row>
    <row r="13" spans="1:8" ht="16.5">
      <c r="A13" s="16"/>
      <c r="B13" s="55" t="s">
        <v>88</v>
      </c>
      <c r="C13" s="87" t="s">
        <v>96</v>
      </c>
      <c r="D13" s="88">
        <v>31498</v>
      </c>
      <c r="E13" s="56"/>
      <c r="F13" s="55"/>
      <c r="G13" s="55">
        <v>1</v>
      </c>
      <c r="H13" s="89">
        <f t="shared" si="0"/>
        <v>31498</v>
      </c>
    </row>
    <row r="14" spans="1:8" ht="16.5">
      <c r="A14" s="16"/>
      <c r="B14" s="55" t="s">
        <v>88</v>
      </c>
      <c r="C14" s="87" t="s">
        <v>97</v>
      </c>
      <c r="D14" s="88">
        <v>3500</v>
      </c>
      <c r="E14" s="56"/>
      <c r="F14" s="55"/>
      <c r="G14" s="55">
        <v>4</v>
      </c>
      <c r="H14" s="89">
        <f t="shared" si="0"/>
        <v>14000</v>
      </c>
    </row>
    <row r="15" spans="1:8">
      <c r="A15" s="16"/>
      <c r="B15" s="55" t="s">
        <v>88</v>
      </c>
      <c r="C15" s="87" t="s">
        <v>98</v>
      </c>
      <c r="D15" s="88">
        <v>12000</v>
      </c>
      <c r="E15" s="56"/>
      <c r="F15" s="55"/>
      <c r="G15" s="55">
        <v>3</v>
      </c>
      <c r="H15" s="89">
        <f t="shared" si="0"/>
        <v>36000</v>
      </c>
    </row>
    <row r="16" spans="1:8">
      <c r="A16" s="16"/>
      <c r="B16" s="55" t="s">
        <v>88</v>
      </c>
      <c r="C16" s="87" t="s">
        <v>99</v>
      </c>
      <c r="D16" s="88">
        <v>2400</v>
      </c>
      <c r="E16" s="56"/>
      <c r="F16" s="55"/>
      <c r="G16" s="55">
        <v>3</v>
      </c>
      <c r="H16" s="89">
        <f t="shared" si="0"/>
        <v>7200</v>
      </c>
    </row>
    <row r="17" spans="1:8" ht="16.5">
      <c r="A17" s="16"/>
      <c r="B17" s="55" t="s">
        <v>88</v>
      </c>
      <c r="C17" s="87" t="s">
        <v>100</v>
      </c>
      <c r="D17" s="88">
        <v>21970</v>
      </c>
      <c r="E17" s="56"/>
      <c r="F17" s="55"/>
      <c r="G17" s="55">
        <v>1</v>
      </c>
      <c r="H17" s="89">
        <f t="shared" si="0"/>
        <v>21970</v>
      </c>
    </row>
    <row r="18" spans="1:8">
      <c r="A18" s="16"/>
      <c r="B18" s="55" t="s">
        <v>88</v>
      </c>
      <c r="C18" s="87" t="s">
        <v>101</v>
      </c>
      <c r="D18" s="88">
        <v>3500</v>
      </c>
      <c r="E18" s="56"/>
      <c r="F18" s="55"/>
      <c r="G18" s="55">
        <v>5</v>
      </c>
      <c r="H18" s="89">
        <f t="shared" si="0"/>
        <v>17500</v>
      </c>
    </row>
    <row r="19" spans="1:8">
      <c r="A19" s="16"/>
      <c r="B19" s="55" t="s">
        <v>88</v>
      </c>
      <c r="C19" s="87" t="s">
        <v>102</v>
      </c>
      <c r="D19" s="88">
        <v>5980</v>
      </c>
      <c r="E19" s="56"/>
      <c r="F19" s="55"/>
      <c r="G19" s="55">
        <v>1</v>
      </c>
      <c r="H19" s="89">
        <f t="shared" ref="H19" si="1">D19*(E19+F19+G19)</f>
        <v>5980</v>
      </c>
    </row>
    <row r="20" spans="1:8">
      <c r="A20" s="5"/>
      <c r="B20" s="13"/>
      <c r="C20" s="12"/>
      <c r="D20" s="46"/>
      <c r="E20" s="14"/>
      <c r="F20" s="15"/>
      <c r="G20" s="15"/>
      <c r="H20" s="52">
        <f t="shared" si="0"/>
        <v>0</v>
      </c>
    </row>
    <row r="21" spans="1:8">
      <c r="A21" s="17" t="s">
        <v>103</v>
      </c>
      <c r="B21" s="53" t="s">
        <v>104</v>
      </c>
      <c r="C21" s="90" t="s">
        <v>52</v>
      </c>
      <c r="D21" s="91">
        <v>1050</v>
      </c>
      <c r="E21" s="54"/>
      <c r="F21" s="53"/>
      <c r="G21" s="53">
        <v>10</v>
      </c>
      <c r="H21" s="92">
        <f t="shared" si="0"/>
        <v>10500</v>
      </c>
    </row>
    <row r="22" spans="1:8" ht="16.5">
      <c r="A22" s="17"/>
      <c r="B22" s="53" t="s">
        <v>104</v>
      </c>
      <c r="C22" s="90" t="s">
        <v>90</v>
      </c>
      <c r="D22" s="91">
        <v>450</v>
      </c>
      <c r="E22" s="54"/>
      <c r="F22" s="53"/>
      <c r="G22" s="53">
        <v>233</v>
      </c>
      <c r="H22" s="92">
        <f t="shared" si="0"/>
        <v>104850</v>
      </c>
    </row>
    <row r="23" spans="1:8">
      <c r="A23" s="17"/>
      <c r="B23" s="53" t="s">
        <v>104</v>
      </c>
      <c r="C23" s="90" t="s">
        <v>91</v>
      </c>
      <c r="D23" s="91">
        <v>60000</v>
      </c>
      <c r="E23" s="54"/>
      <c r="F23" s="53"/>
      <c r="G23" s="53">
        <v>1</v>
      </c>
      <c r="H23" s="92">
        <f t="shared" si="0"/>
        <v>60000</v>
      </c>
    </row>
    <row r="24" spans="1:8">
      <c r="A24" s="17"/>
      <c r="B24" s="53" t="s">
        <v>104</v>
      </c>
      <c r="C24" s="90" t="s">
        <v>92</v>
      </c>
      <c r="D24" s="91">
        <v>38000</v>
      </c>
      <c r="E24" s="54"/>
      <c r="F24" s="53"/>
      <c r="G24" s="53">
        <v>1</v>
      </c>
      <c r="H24" s="92">
        <f t="shared" si="0"/>
        <v>38000</v>
      </c>
    </row>
    <row r="25" spans="1:8" ht="16.5">
      <c r="A25" s="17"/>
      <c r="B25" s="53" t="s">
        <v>104</v>
      </c>
      <c r="C25" s="90" t="s">
        <v>96</v>
      </c>
      <c r="D25" s="91">
        <v>31498</v>
      </c>
      <c r="E25" s="54"/>
      <c r="F25" s="53"/>
      <c r="G25" s="53">
        <v>1</v>
      </c>
      <c r="H25" s="92">
        <f t="shared" si="0"/>
        <v>31498</v>
      </c>
    </row>
    <row r="26" spans="1:8">
      <c r="A26" s="17"/>
      <c r="B26" s="53" t="s">
        <v>104</v>
      </c>
      <c r="C26" s="90" t="s">
        <v>85</v>
      </c>
      <c r="D26" s="91">
        <v>5600</v>
      </c>
      <c r="E26" s="54"/>
      <c r="F26" s="53"/>
      <c r="G26" s="53">
        <v>1</v>
      </c>
      <c r="H26" s="92">
        <f t="shared" si="0"/>
        <v>5600</v>
      </c>
    </row>
    <row r="27" spans="1:8" ht="16.5">
      <c r="A27" s="17"/>
      <c r="B27" s="53" t="s">
        <v>104</v>
      </c>
      <c r="C27" s="90" t="s">
        <v>97</v>
      </c>
      <c r="D27" s="91">
        <v>3500</v>
      </c>
      <c r="E27" s="54"/>
      <c r="F27" s="53"/>
      <c r="G27" s="53">
        <v>12</v>
      </c>
      <c r="H27" s="92">
        <f t="shared" si="0"/>
        <v>42000</v>
      </c>
    </row>
    <row r="28" spans="1:8">
      <c r="A28" s="17"/>
      <c r="B28" s="53" t="s">
        <v>104</v>
      </c>
      <c r="C28" s="90" t="s">
        <v>98</v>
      </c>
      <c r="D28" s="91">
        <v>12000</v>
      </c>
      <c r="E28" s="54"/>
      <c r="F28" s="53"/>
      <c r="G28" s="53">
        <v>2</v>
      </c>
      <c r="H28" s="92">
        <f t="shared" si="0"/>
        <v>24000</v>
      </c>
    </row>
    <row r="29" spans="1:8" ht="16.5">
      <c r="A29" s="17"/>
      <c r="B29" s="53" t="s">
        <v>104</v>
      </c>
      <c r="C29" s="90" t="s">
        <v>100</v>
      </c>
      <c r="D29" s="91">
        <v>21970</v>
      </c>
      <c r="E29" s="54"/>
      <c r="F29" s="53"/>
      <c r="G29" s="53">
        <v>1</v>
      </c>
      <c r="H29" s="92">
        <f t="shared" si="0"/>
        <v>21970</v>
      </c>
    </row>
    <row r="30" spans="1:8">
      <c r="A30" s="17"/>
      <c r="B30" s="53" t="s">
        <v>104</v>
      </c>
      <c r="C30" s="90" t="s">
        <v>99</v>
      </c>
      <c r="D30" s="91">
        <v>2400</v>
      </c>
      <c r="E30" s="54"/>
      <c r="F30" s="53"/>
      <c r="G30" s="53">
        <v>4</v>
      </c>
      <c r="H30" s="92">
        <f t="shared" si="0"/>
        <v>9600</v>
      </c>
    </row>
    <row r="31" spans="1:8">
      <c r="A31" s="17"/>
      <c r="B31" s="53" t="s">
        <v>104</v>
      </c>
      <c r="C31" s="90" t="s">
        <v>101</v>
      </c>
      <c r="D31" s="91">
        <v>3500</v>
      </c>
      <c r="E31" s="54"/>
      <c r="F31" s="53"/>
      <c r="G31" s="53">
        <v>4</v>
      </c>
      <c r="H31" s="92">
        <f t="shared" si="0"/>
        <v>14000</v>
      </c>
    </row>
    <row r="32" spans="1:8" ht="16.5">
      <c r="A32" s="17"/>
      <c r="B32" s="53" t="s">
        <v>105</v>
      </c>
      <c r="C32" s="90" t="s">
        <v>106</v>
      </c>
      <c r="D32" s="91">
        <v>100</v>
      </c>
      <c r="E32" s="54"/>
      <c r="F32" s="53"/>
      <c r="G32" s="53">
        <v>168</v>
      </c>
      <c r="H32" s="92">
        <f t="shared" si="0"/>
        <v>16800</v>
      </c>
    </row>
    <row r="33" spans="1:8">
      <c r="A33" s="17"/>
      <c r="B33" s="53" t="s">
        <v>105</v>
      </c>
      <c r="C33" s="90" t="s">
        <v>85</v>
      </c>
      <c r="D33" s="91">
        <v>5600</v>
      </c>
      <c r="E33" s="54"/>
      <c r="F33" s="53"/>
      <c r="G33" s="53">
        <v>2</v>
      </c>
      <c r="H33" s="92">
        <f t="shared" si="0"/>
        <v>11200</v>
      </c>
    </row>
    <row r="34" spans="1:8">
      <c r="A34" s="17"/>
      <c r="B34" s="53" t="s">
        <v>105</v>
      </c>
      <c r="C34" s="90" t="s">
        <v>99</v>
      </c>
      <c r="D34" s="91">
        <v>2400</v>
      </c>
      <c r="E34" s="54"/>
      <c r="F34" s="53"/>
      <c r="G34" s="53">
        <v>4</v>
      </c>
      <c r="H34" s="92">
        <f t="shared" si="0"/>
        <v>9600</v>
      </c>
    </row>
    <row r="35" spans="1:8">
      <c r="A35" s="17"/>
      <c r="B35" s="53" t="s">
        <v>105</v>
      </c>
      <c r="C35" s="90" t="s">
        <v>98</v>
      </c>
      <c r="D35" s="91">
        <v>12000</v>
      </c>
      <c r="E35" s="54"/>
      <c r="F35" s="53"/>
      <c r="G35" s="53">
        <v>1</v>
      </c>
      <c r="H35" s="92">
        <f t="shared" si="0"/>
        <v>12000</v>
      </c>
    </row>
    <row r="36" spans="1:8">
      <c r="A36" s="17"/>
      <c r="B36" s="53" t="s">
        <v>105</v>
      </c>
      <c r="C36" s="90" t="s">
        <v>52</v>
      </c>
      <c r="D36" s="91">
        <v>1050</v>
      </c>
      <c r="E36" s="54"/>
      <c r="F36" s="53"/>
      <c r="G36" s="53">
        <v>10</v>
      </c>
      <c r="H36" s="92">
        <f t="shared" si="0"/>
        <v>10500</v>
      </c>
    </row>
    <row r="37" spans="1:8">
      <c r="A37" s="5"/>
      <c r="B37" s="13"/>
      <c r="C37" s="12"/>
      <c r="D37" s="46"/>
      <c r="E37" s="14"/>
      <c r="F37" s="15"/>
      <c r="G37" s="15"/>
      <c r="H37" s="52">
        <f t="shared" si="0"/>
        <v>0</v>
      </c>
    </row>
    <row r="38" spans="1:8" ht="16.5">
      <c r="A38" s="18" t="s">
        <v>107</v>
      </c>
      <c r="B38" s="27" t="s">
        <v>108</v>
      </c>
      <c r="C38" s="93" t="s">
        <v>89</v>
      </c>
      <c r="D38" s="94">
        <v>150</v>
      </c>
      <c r="E38" s="28"/>
      <c r="F38" s="27"/>
      <c r="G38" s="27">
        <v>236</v>
      </c>
      <c r="H38" s="95">
        <f t="shared" si="0"/>
        <v>35400</v>
      </c>
    </row>
    <row r="39" spans="1:8">
      <c r="A39" s="18"/>
      <c r="B39" s="27" t="s">
        <v>108</v>
      </c>
      <c r="C39" s="93" t="s">
        <v>52</v>
      </c>
      <c r="D39" s="94">
        <v>1050</v>
      </c>
      <c r="E39" s="28"/>
      <c r="F39" s="27"/>
      <c r="G39" s="27">
        <v>3</v>
      </c>
      <c r="H39" s="95">
        <f t="shared" si="0"/>
        <v>3150</v>
      </c>
    </row>
    <row r="40" spans="1:8" ht="16.5">
      <c r="A40" s="18"/>
      <c r="B40" s="27" t="s">
        <v>108</v>
      </c>
      <c r="C40" s="93" t="s">
        <v>100</v>
      </c>
      <c r="D40" s="94">
        <v>21970</v>
      </c>
      <c r="E40" s="28"/>
      <c r="F40" s="27"/>
      <c r="G40" s="27">
        <v>1</v>
      </c>
      <c r="H40" s="95">
        <f t="shared" si="0"/>
        <v>21970</v>
      </c>
    </row>
    <row r="41" spans="1:8" ht="16.5">
      <c r="A41" s="18"/>
      <c r="B41" s="27" t="s">
        <v>108</v>
      </c>
      <c r="C41" s="93" t="s">
        <v>97</v>
      </c>
      <c r="D41" s="94">
        <v>3500</v>
      </c>
      <c r="E41" s="28"/>
      <c r="F41" s="27"/>
      <c r="G41" s="27">
        <v>6</v>
      </c>
      <c r="H41" s="95">
        <f t="shared" si="0"/>
        <v>21000</v>
      </c>
    </row>
    <row r="42" spans="1:8">
      <c r="A42" s="18"/>
      <c r="B42" s="27" t="s">
        <v>108</v>
      </c>
      <c r="C42" s="93" t="s">
        <v>101</v>
      </c>
      <c r="D42" s="94">
        <v>4000</v>
      </c>
      <c r="E42" s="28"/>
      <c r="F42" s="27"/>
      <c r="G42" s="27">
        <v>2</v>
      </c>
      <c r="H42" s="95">
        <f t="shared" si="0"/>
        <v>8000</v>
      </c>
    </row>
    <row r="43" spans="1:8">
      <c r="A43" s="18"/>
      <c r="B43" s="27" t="s">
        <v>108</v>
      </c>
      <c r="C43" s="93" t="s">
        <v>85</v>
      </c>
      <c r="D43" s="94">
        <v>5600</v>
      </c>
      <c r="E43" s="28"/>
      <c r="F43" s="27"/>
      <c r="G43" s="27">
        <v>1</v>
      </c>
      <c r="H43" s="95">
        <f t="shared" si="0"/>
        <v>5600</v>
      </c>
    </row>
    <row r="44" spans="1:8">
      <c r="A44" s="18"/>
      <c r="B44" s="27" t="s">
        <v>108</v>
      </c>
      <c r="C44" s="93" t="s">
        <v>109</v>
      </c>
      <c r="D44" s="94">
        <v>2500</v>
      </c>
      <c r="E44" s="28"/>
      <c r="F44" s="27"/>
      <c r="G44" s="27">
        <v>3</v>
      </c>
      <c r="H44" s="95">
        <f t="shared" si="0"/>
        <v>7500</v>
      </c>
    </row>
    <row r="45" spans="1:8">
      <c r="A45" s="5"/>
      <c r="B45" s="15"/>
      <c r="C45" s="12"/>
      <c r="D45" s="135"/>
      <c r="E45" s="14"/>
      <c r="F45" s="15"/>
      <c r="G45" s="15"/>
      <c r="H45" s="182"/>
    </row>
    <row r="46" spans="1:8">
      <c r="A46" s="17" t="s">
        <v>110</v>
      </c>
      <c r="B46" s="53" t="s">
        <v>111</v>
      </c>
      <c r="C46" s="90" t="s">
        <v>52</v>
      </c>
      <c r="D46" s="91">
        <v>1050</v>
      </c>
      <c r="E46" s="54"/>
      <c r="F46" s="53"/>
      <c r="G46" s="53">
        <v>7</v>
      </c>
      <c r="H46" s="92">
        <f t="shared" ref="H46:H75" si="2">D46*(E46+F46+G46)</f>
        <v>7350</v>
      </c>
    </row>
    <row r="47" spans="1:8" ht="16.5">
      <c r="A47" s="17"/>
      <c r="B47" s="53" t="s">
        <v>111</v>
      </c>
      <c r="C47" s="90" t="s">
        <v>90</v>
      </c>
      <c r="D47" s="91">
        <v>450</v>
      </c>
      <c r="E47" s="54"/>
      <c r="F47" s="53"/>
      <c r="G47" s="53">
        <v>295</v>
      </c>
      <c r="H47" s="92">
        <f t="shared" si="2"/>
        <v>132750</v>
      </c>
    </row>
    <row r="48" spans="1:8">
      <c r="A48" s="17"/>
      <c r="B48" s="53" t="s">
        <v>111</v>
      </c>
      <c r="C48" s="90" t="s">
        <v>92</v>
      </c>
      <c r="D48" s="91">
        <v>38000</v>
      </c>
      <c r="E48" s="54"/>
      <c r="F48" s="53"/>
      <c r="G48" s="53">
        <v>2</v>
      </c>
      <c r="H48" s="92">
        <f t="shared" si="2"/>
        <v>76000</v>
      </c>
    </row>
    <row r="49" spans="1:8" ht="16.5">
      <c r="A49" s="17"/>
      <c r="B49" s="53" t="s">
        <v>111</v>
      </c>
      <c r="C49" s="90" t="s">
        <v>112</v>
      </c>
      <c r="D49" s="91">
        <v>34800</v>
      </c>
      <c r="E49" s="54"/>
      <c r="F49" s="53"/>
      <c r="G49" s="53">
        <v>1</v>
      </c>
      <c r="H49" s="92">
        <f t="shared" si="2"/>
        <v>34800</v>
      </c>
    </row>
    <row r="50" spans="1:8">
      <c r="A50" s="17"/>
      <c r="B50" s="53" t="s">
        <v>111</v>
      </c>
      <c r="C50" s="90" t="s">
        <v>94</v>
      </c>
      <c r="D50" s="91">
        <v>35090</v>
      </c>
      <c r="E50" s="54"/>
      <c r="F50" s="53"/>
      <c r="G50" s="53">
        <v>1</v>
      </c>
      <c r="H50" s="92">
        <f t="shared" si="2"/>
        <v>35090</v>
      </c>
    </row>
    <row r="51" spans="1:8">
      <c r="A51" s="17"/>
      <c r="B51" s="53" t="s">
        <v>111</v>
      </c>
      <c r="C51" s="90" t="s">
        <v>85</v>
      </c>
      <c r="D51" s="91">
        <v>5600</v>
      </c>
      <c r="E51" s="54"/>
      <c r="F51" s="53"/>
      <c r="G51" s="53">
        <v>2</v>
      </c>
      <c r="H51" s="92">
        <f t="shared" si="2"/>
        <v>11200</v>
      </c>
    </row>
    <row r="52" spans="1:8" ht="16.5">
      <c r="A52" s="17"/>
      <c r="B52" s="53" t="s">
        <v>111</v>
      </c>
      <c r="C52" s="90" t="s">
        <v>97</v>
      </c>
      <c r="D52" s="91">
        <v>3500</v>
      </c>
      <c r="E52" s="54"/>
      <c r="F52" s="53"/>
      <c r="G52" s="53">
        <v>8</v>
      </c>
      <c r="H52" s="92">
        <f t="shared" si="2"/>
        <v>28000</v>
      </c>
    </row>
    <row r="53" spans="1:8">
      <c r="A53" s="17"/>
      <c r="B53" s="53" t="s">
        <v>111</v>
      </c>
      <c r="C53" s="90" t="s">
        <v>101</v>
      </c>
      <c r="D53" s="91">
        <v>4000</v>
      </c>
      <c r="E53" s="54"/>
      <c r="F53" s="53"/>
      <c r="G53" s="53">
        <v>5</v>
      </c>
      <c r="H53" s="92">
        <f t="shared" si="2"/>
        <v>20000</v>
      </c>
    </row>
    <row r="54" spans="1:8">
      <c r="A54" s="17"/>
      <c r="B54" s="53" t="s">
        <v>111</v>
      </c>
      <c r="C54" s="90" t="s">
        <v>113</v>
      </c>
      <c r="D54" s="91">
        <v>2500</v>
      </c>
      <c r="E54" s="54"/>
      <c r="F54" s="53"/>
      <c r="G54" s="53">
        <v>2</v>
      </c>
      <c r="H54" s="92">
        <f t="shared" si="2"/>
        <v>5000</v>
      </c>
    </row>
    <row r="55" spans="1:8">
      <c r="A55" s="17"/>
      <c r="B55" s="53" t="s">
        <v>111</v>
      </c>
      <c r="C55" s="90" t="s">
        <v>102</v>
      </c>
      <c r="D55" s="91">
        <v>3300</v>
      </c>
      <c r="E55" s="54"/>
      <c r="F55" s="53"/>
      <c r="G55" s="53">
        <v>1</v>
      </c>
      <c r="H55" s="92">
        <f t="shared" si="2"/>
        <v>3300</v>
      </c>
    </row>
    <row r="56" spans="1:8" ht="16.5">
      <c r="A56" s="17"/>
      <c r="B56" s="53" t="s">
        <v>111</v>
      </c>
      <c r="C56" s="90" t="s">
        <v>95</v>
      </c>
      <c r="D56" s="91">
        <v>23000</v>
      </c>
      <c r="E56" s="54"/>
      <c r="F56" s="53"/>
      <c r="G56" s="53">
        <v>2</v>
      </c>
      <c r="H56" s="92">
        <f t="shared" si="2"/>
        <v>46000</v>
      </c>
    </row>
    <row r="57" spans="1:8" ht="16.5">
      <c r="A57" s="17"/>
      <c r="B57" s="53" t="s">
        <v>111</v>
      </c>
      <c r="C57" s="90" t="s">
        <v>100</v>
      </c>
      <c r="D57" s="91">
        <v>21970</v>
      </c>
      <c r="E57" s="54"/>
      <c r="F57" s="53"/>
      <c r="G57" s="53">
        <v>2</v>
      </c>
      <c r="H57" s="92">
        <f t="shared" si="2"/>
        <v>43940</v>
      </c>
    </row>
    <row r="58" spans="1:8">
      <c r="A58" s="17"/>
      <c r="B58" s="53" t="s">
        <v>111</v>
      </c>
      <c r="C58" s="90" t="s">
        <v>114</v>
      </c>
      <c r="D58" s="91">
        <v>22320</v>
      </c>
      <c r="E58" s="54"/>
      <c r="F58" s="53"/>
      <c r="G58" s="53">
        <v>1</v>
      </c>
      <c r="H58" s="92">
        <f t="shared" si="2"/>
        <v>22320</v>
      </c>
    </row>
    <row r="59" spans="1:8">
      <c r="A59" s="17"/>
      <c r="B59" s="53" t="s">
        <v>111</v>
      </c>
      <c r="C59" s="90" t="s">
        <v>115</v>
      </c>
      <c r="D59" s="91">
        <v>4500</v>
      </c>
      <c r="E59" s="54"/>
      <c r="F59" s="53"/>
      <c r="G59" s="53">
        <v>1</v>
      </c>
      <c r="H59" s="92">
        <f t="shared" si="2"/>
        <v>4500</v>
      </c>
    </row>
    <row r="60" spans="1:8" ht="16.5">
      <c r="A60" s="17"/>
      <c r="B60" s="53" t="s">
        <v>111</v>
      </c>
      <c r="C60" s="90" t="s">
        <v>116</v>
      </c>
      <c r="D60" s="91">
        <v>3980</v>
      </c>
      <c r="E60" s="54"/>
      <c r="F60" s="53"/>
      <c r="G60" s="53">
        <v>1</v>
      </c>
      <c r="H60" s="92">
        <f t="shared" si="2"/>
        <v>3980</v>
      </c>
    </row>
    <row r="61" spans="1:8">
      <c r="A61" s="17"/>
      <c r="B61" s="53" t="s">
        <v>111</v>
      </c>
      <c r="C61" s="90" t="s">
        <v>117</v>
      </c>
      <c r="D61" s="91">
        <v>9500</v>
      </c>
      <c r="E61" s="54"/>
      <c r="F61" s="53"/>
      <c r="G61" s="53">
        <v>1</v>
      </c>
      <c r="H61" s="92">
        <f t="shared" si="2"/>
        <v>9500</v>
      </c>
    </row>
    <row r="62" spans="1:8">
      <c r="A62" s="17"/>
      <c r="B62" s="53" t="s">
        <v>118</v>
      </c>
      <c r="C62" s="90" t="s">
        <v>52</v>
      </c>
      <c r="D62" s="91">
        <v>1050</v>
      </c>
      <c r="E62" s="54"/>
      <c r="F62" s="53"/>
      <c r="G62" s="53">
        <v>3</v>
      </c>
      <c r="H62" s="92">
        <f t="shared" si="2"/>
        <v>3150</v>
      </c>
    </row>
    <row r="63" spans="1:8" ht="24.75">
      <c r="A63" s="17"/>
      <c r="B63" s="53" t="s">
        <v>118</v>
      </c>
      <c r="C63" s="90" t="s">
        <v>119</v>
      </c>
      <c r="D63" s="91">
        <v>250</v>
      </c>
      <c r="E63" s="54"/>
      <c r="F63" s="53"/>
      <c r="G63" s="53">
        <v>285</v>
      </c>
      <c r="H63" s="92">
        <f t="shared" si="2"/>
        <v>71250</v>
      </c>
    </row>
    <row r="64" spans="1:8" ht="16.5">
      <c r="A64" s="17"/>
      <c r="B64" s="53" t="s">
        <v>118</v>
      </c>
      <c r="C64" s="90" t="s">
        <v>120</v>
      </c>
      <c r="D64" s="91">
        <v>8000</v>
      </c>
      <c r="E64" s="54"/>
      <c r="F64" s="53"/>
      <c r="G64" s="53">
        <v>1</v>
      </c>
      <c r="H64" s="92">
        <f t="shared" si="2"/>
        <v>8000</v>
      </c>
    </row>
    <row r="65" spans="1:8" ht="16.5">
      <c r="A65" s="17"/>
      <c r="B65" s="53" t="s">
        <v>118</v>
      </c>
      <c r="C65" s="90" t="s">
        <v>121</v>
      </c>
      <c r="D65" s="91">
        <v>13000</v>
      </c>
      <c r="E65" s="54"/>
      <c r="F65" s="53"/>
      <c r="G65" s="53">
        <v>1</v>
      </c>
      <c r="H65" s="92">
        <f t="shared" si="2"/>
        <v>13000</v>
      </c>
    </row>
    <row r="66" spans="1:8" ht="16.5">
      <c r="A66" s="17"/>
      <c r="B66" s="53" t="s">
        <v>118</v>
      </c>
      <c r="C66" s="90" t="s">
        <v>122</v>
      </c>
      <c r="D66" s="91">
        <v>8000</v>
      </c>
      <c r="E66" s="54"/>
      <c r="F66" s="53"/>
      <c r="G66" s="53">
        <v>2</v>
      </c>
      <c r="H66" s="92">
        <f t="shared" si="2"/>
        <v>16000</v>
      </c>
    </row>
    <row r="67" spans="1:8" ht="16.5">
      <c r="A67" s="17"/>
      <c r="B67" s="53" t="s">
        <v>118</v>
      </c>
      <c r="C67" s="90" t="s">
        <v>123</v>
      </c>
      <c r="D67" s="91">
        <v>8000</v>
      </c>
      <c r="E67" s="54"/>
      <c r="F67" s="53"/>
      <c r="G67" s="53">
        <v>1</v>
      </c>
      <c r="H67" s="92">
        <f t="shared" si="2"/>
        <v>8000</v>
      </c>
    </row>
    <row r="68" spans="1:8" ht="16.5">
      <c r="A68" s="17"/>
      <c r="B68" s="53" t="s">
        <v>118</v>
      </c>
      <c r="C68" s="90" t="s">
        <v>124</v>
      </c>
      <c r="D68" s="91">
        <v>12000</v>
      </c>
      <c r="E68" s="54"/>
      <c r="F68" s="53"/>
      <c r="G68" s="53">
        <v>1</v>
      </c>
      <c r="H68" s="92">
        <f t="shared" si="2"/>
        <v>12000</v>
      </c>
    </row>
    <row r="69" spans="1:8" ht="16.5">
      <c r="A69" s="17"/>
      <c r="B69" s="53" t="s">
        <v>118</v>
      </c>
      <c r="C69" s="90" t="s">
        <v>125</v>
      </c>
      <c r="D69" s="91">
        <v>10000</v>
      </c>
      <c r="E69" s="54"/>
      <c r="F69" s="53"/>
      <c r="G69" s="53">
        <v>2</v>
      </c>
      <c r="H69" s="92">
        <f t="shared" si="2"/>
        <v>20000</v>
      </c>
    </row>
    <row r="70" spans="1:8" ht="16.5">
      <c r="A70" s="17"/>
      <c r="B70" s="53" t="s">
        <v>118</v>
      </c>
      <c r="C70" s="90" t="s">
        <v>126</v>
      </c>
      <c r="D70" s="91">
        <v>170</v>
      </c>
      <c r="E70" s="54"/>
      <c r="F70" s="53"/>
      <c r="G70" s="53">
        <v>20</v>
      </c>
      <c r="H70" s="92">
        <f t="shared" si="2"/>
        <v>3400</v>
      </c>
    </row>
    <row r="71" spans="1:8" ht="16.5">
      <c r="A71" s="17"/>
      <c r="B71" s="53" t="s">
        <v>118</v>
      </c>
      <c r="C71" s="90" t="s">
        <v>127</v>
      </c>
      <c r="D71" s="91">
        <v>11000</v>
      </c>
      <c r="E71" s="54"/>
      <c r="F71" s="53"/>
      <c r="G71" s="53">
        <v>1</v>
      </c>
      <c r="H71" s="92">
        <f t="shared" si="2"/>
        <v>11000</v>
      </c>
    </row>
    <row r="72" spans="1:8">
      <c r="A72" s="17"/>
      <c r="B72" s="53" t="s">
        <v>118</v>
      </c>
      <c r="C72" s="90" t="s">
        <v>128</v>
      </c>
      <c r="D72" s="91">
        <v>14000</v>
      </c>
      <c r="E72" s="54"/>
      <c r="F72" s="53"/>
      <c r="G72" s="53">
        <v>1</v>
      </c>
      <c r="H72" s="92">
        <f t="shared" si="2"/>
        <v>14000</v>
      </c>
    </row>
    <row r="73" spans="1:8">
      <c r="A73" s="17"/>
      <c r="B73" s="53" t="s">
        <v>118</v>
      </c>
      <c r="C73" s="90" t="s">
        <v>129</v>
      </c>
      <c r="D73" s="91">
        <v>14000</v>
      </c>
      <c r="E73" s="54"/>
      <c r="F73" s="53"/>
      <c r="G73" s="53">
        <v>1</v>
      </c>
      <c r="H73" s="92">
        <f t="shared" si="2"/>
        <v>14000</v>
      </c>
    </row>
    <row r="74" spans="1:8" ht="16.5">
      <c r="A74" s="17"/>
      <c r="B74" s="53" t="s">
        <v>118</v>
      </c>
      <c r="C74" s="90" t="s">
        <v>130</v>
      </c>
      <c r="D74" s="91">
        <v>12000</v>
      </c>
      <c r="E74" s="54"/>
      <c r="F74" s="53"/>
      <c r="G74" s="53">
        <v>1</v>
      </c>
      <c r="H74" s="92">
        <f t="shared" si="2"/>
        <v>12000</v>
      </c>
    </row>
    <row r="75" spans="1:8" ht="16.5">
      <c r="A75" s="17"/>
      <c r="B75" s="53" t="s">
        <v>118</v>
      </c>
      <c r="C75" s="90" t="s">
        <v>131</v>
      </c>
      <c r="D75" s="91">
        <v>13000</v>
      </c>
      <c r="E75" s="54"/>
      <c r="F75" s="53"/>
      <c r="G75" s="53">
        <v>1</v>
      </c>
      <c r="H75" s="92">
        <f t="shared" si="2"/>
        <v>13000</v>
      </c>
    </row>
    <row r="76" spans="1:8">
      <c r="A76" s="5"/>
      <c r="B76" s="13"/>
      <c r="C76" s="12"/>
      <c r="D76" s="46"/>
      <c r="E76" s="14"/>
      <c r="F76" s="15"/>
      <c r="G76" s="15"/>
      <c r="H76" s="52">
        <f t="shared" ref="H76:H102" si="3">D76*(E76+F76+G76)</f>
        <v>0</v>
      </c>
    </row>
    <row r="77" spans="1:8">
      <c r="A77" s="22" t="s">
        <v>132</v>
      </c>
      <c r="B77" s="57" t="s">
        <v>133</v>
      </c>
      <c r="C77" s="101" t="s">
        <v>52</v>
      </c>
      <c r="D77" s="102">
        <v>1050</v>
      </c>
      <c r="E77" s="58"/>
      <c r="F77" s="57"/>
      <c r="G77" s="57">
        <v>4</v>
      </c>
      <c r="H77" s="103">
        <f t="shared" si="3"/>
        <v>4200</v>
      </c>
    </row>
    <row r="78" spans="1:8" ht="16.5">
      <c r="A78" s="22"/>
      <c r="B78" s="57" t="s">
        <v>133</v>
      </c>
      <c r="C78" s="101" t="s">
        <v>89</v>
      </c>
      <c r="D78" s="102">
        <v>150</v>
      </c>
      <c r="E78" s="58"/>
      <c r="F78" s="57"/>
      <c r="G78" s="57">
        <v>303</v>
      </c>
      <c r="H78" s="103">
        <f t="shared" si="3"/>
        <v>45450</v>
      </c>
    </row>
    <row r="79" spans="1:8" ht="16.5">
      <c r="A79" s="22"/>
      <c r="B79" s="57" t="s">
        <v>133</v>
      </c>
      <c r="C79" s="101" t="s">
        <v>100</v>
      </c>
      <c r="D79" s="102">
        <v>21970</v>
      </c>
      <c r="E79" s="58"/>
      <c r="F79" s="57"/>
      <c r="G79" s="57">
        <v>1</v>
      </c>
      <c r="H79" s="103">
        <f t="shared" si="3"/>
        <v>21970</v>
      </c>
    </row>
    <row r="80" spans="1:8">
      <c r="A80" s="22"/>
      <c r="B80" s="57" t="s">
        <v>133</v>
      </c>
      <c r="C80" s="101" t="s">
        <v>85</v>
      </c>
      <c r="D80" s="102">
        <v>5600</v>
      </c>
      <c r="E80" s="58"/>
      <c r="F80" s="57"/>
      <c r="G80" s="57">
        <v>1</v>
      </c>
      <c r="H80" s="103">
        <f t="shared" si="3"/>
        <v>5600</v>
      </c>
    </row>
    <row r="81" spans="1:8" ht="16.5">
      <c r="A81" s="22"/>
      <c r="B81" s="57" t="s">
        <v>133</v>
      </c>
      <c r="C81" s="101" t="s">
        <v>97</v>
      </c>
      <c r="D81" s="102">
        <v>3500</v>
      </c>
      <c r="E81" s="58"/>
      <c r="F81" s="57"/>
      <c r="G81" s="57">
        <v>2</v>
      </c>
      <c r="H81" s="103">
        <f t="shared" si="3"/>
        <v>7000</v>
      </c>
    </row>
    <row r="82" spans="1:8">
      <c r="A82" s="22"/>
      <c r="B82" s="57" t="s">
        <v>133</v>
      </c>
      <c r="C82" s="101" t="s">
        <v>101</v>
      </c>
      <c r="D82" s="102">
        <v>3500</v>
      </c>
      <c r="E82" s="58"/>
      <c r="F82" s="57"/>
      <c r="G82" s="57">
        <v>2</v>
      </c>
      <c r="H82" s="103">
        <f t="shared" si="3"/>
        <v>7000</v>
      </c>
    </row>
    <row r="83" spans="1:8">
      <c r="A83" s="22"/>
      <c r="B83" s="57" t="s">
        <v>133</v>
      </c>
      <c r="C83" s="101" t="s">
        <v>99</v>
      </c>
      <c r="D83" s="102">
        <v>2500</v>
      </c>
      <c r="E83" s="58"/>
      <c r="F83" s="57"/>
      <c r="G83" s="57">
        <v>2</v>
      </c>
      <c r="H83" s="103">
        <f t="shared" si="3"/>
        <v>5000</v>
      </c>
    </row>
    <row r="84" spans="1:8">
      <c r="A84" s="22"/>
      <c r="B84" s="57" t="s">
        <v>133</v>
      </c>
      <c r="C84" s="101" t="s">
        <v>134</v>
      </c>
      <c r="D84" s="102">
        <v>4980</v>
      </c>
      <c r="E84" s="58"/>
      <c r="F84" s="57"/>
      <c r="G84" s="57">
        <v>1</v>
      </c>
      <c r="H84" s="103">
        <f t="shared" si="3"/>
        <v>4980</v>
      </c>
    </row>
    <row r="85" spans="1:8">
      <c r="A85" s="22"/>
      <c r="B85" s="57" t="s">
        <v>135</v>
      </c>
      <c r="C85" s="101" t="s">
        <v>52</v>
      </c>
      <c r="D85" s="102">
        <v>1050</v>
      </c>
      <c r="E85" s="58"/>
      <c r="F85" s="57"/>
      <c r="G85" s="57">
        <v>5</v>
      </c>
      <c r="H85" s="103">
        <f t="shared" si="3"/>
        <v>5250</v>
      </c>
    </row>
    <row r="86" spans="1:8" ht="16.5">
      <c r="A86" s="22"/>
      <c r="B86" s="57" t="s">
        <v>135</v>
      </c>
      <c r="C86" s="101" t="s">
        <v>90</v>
      </c>
      <c r="D86" s="102">
        <v>450</v>
      </c>
      <c r="E86" s="58"/>
      <c r="F86" s="57"/>
      <c r="G86" s="57">
        <v>288</v>
      </c>
      <c r="H86" s="103">
        <f t="shared" si="3"/>
        <v>129600</v>
      </c>
    </row>
    <row r="87" spans="1:8">
      <c r="A87" s="22"/>
      <c r="B87" s="57" t="s">
        <v>135</v>
      </c>
      <c r="C87" s="101" t="s">
        <v>101</v>
      </c>
      <c r="D87" s="102">
        <v>4000</v>
      </c>
      <c r="E87" s="58"/>
      <c r="F87" s="57"/>
      <c r="G87" s="57">
        <v>7</v>
      </c>
      <c r="H87" s="103">
        <f t="shared" si="3"/>
        <v>28000</v>
      </c>
    </row>
    <row r="88" spans="1:8">
      <c r="A88" s="22"/>
      <c r="B88" s="57" t="s">
        <v>135</v>
      </c>
      <c r="C88" s="101" t="s">
        <v>92</v>
      </c>
      <c r="D88" s="102">
        <v>38000</v>
      </c>
      <c r="E88" s="58"/>
      <c r="F88" s="57"/>
      <c r="G88" s="57">
        <v>1</v>
      </c>
      <c r="H88" s="103">
        <f t="shared" si="3"/>
        <v>38000</v>
      </c>
    </row>
    <row r="89" spans="1:8">
      <c r="A89" s="22"/>
      <c r="B89" s="57" t="s">
        <v>135</v>
      </c>
      <c r="C89" s="101" t="s">
        <v>94</v>
      </c>
      <c r="D89" s="102">
        <v>35090</v>
      </c>
      <c r="E89" s="58"/>
      <c r="F89" s="57"/>
      <c r="G89" s="57">
        <v>1</v>
      </c>
      <c r="H89" s="103">
        <f t="shared" si="3"/>
        <v>35090</v>
      </c>
    </row>
    <row r="90" spans="1:8" ht="16.5">
      <c r="A90" s="22"/>
      <c r="B90" s="57" t="s">
        <v>135</v>
      </c>
      <c r="C90" s="101" t="s">
        <v>96</v>
      </c>
      <c r="D90" s="102">
        <v>31498</v>
      </c>
      <c r="E90" s="58"/>
      <c r="F90" s="57"/>
      <c r="G90" s="57">
        <v>1</v>
      </c>
      <c r="H90" s="103">
        <f t="shared" si="3"/>
        <v>31498</v>
      </c>
    </row>
    <row r="91" spans="1:8" ht="16.5">
      <c r="A91" s="22"/>
      <c r="B91" s="57" t="s">
        <v>135</v>
      </c>
      <c r="C91" s="101" t="s">
        <v>97</v>
      </c>
      <c r="D91" s="102">
        <v>3500</v>
      </c>
      <c r="E91" s="58"/>
      <c r="F91" s="57"/>
      <c r="G91" s="57">
        <v>4</v>
      </c>
      <c r="H91" s="103">
        <f t="shared" si="3"/>
        <v>14000</v>
      </c>
    </row>
    <row r="92" spans="1:8">
      <c r="A92" s="22"/>
      <c r="B92" s="57" t="s">
        <v>118</v>
      </c>
      <c r="C92" s="101" t="s">
        <v>52</v>
      </c>
      <c r="D92" s="102">
        <v>1050</v>
      </c>
      <c r="E92" s="58"/>
      <c r="F92" s="57"/>
      <c r="G92" s="57">
        <v>1</v>
      </c>
      <c r="H92" s="103">
        <f t="shared" si="3"/>
        <v>1050</v>
      </c>
    </row>
    <row r="93" spans="1:8" ht="16.5">
      <c r="A93" s="22"/>
      <c r="B93" s="57" t="s">
        <v>118</v>
      </c>
      <c r="C93" s="101" t="s">
        <v>90</v>
      </c>
      <c r="D93" s="102">
        <v>450</v>
      </c>
      <c r="E93" s="58"/>
      <c r="F93" s="57"/>
      <c r="G93" s="57">
        <v>294</v>
      </c>
      <c r="H93" s="103">
        <f t="shared" si="3"/>
        <v>132300</v>
      </c>
    </row>
    <row r="94" spans="1:8" ht="16.5">
      <c r="A94" s="22"/>
      <c r="B94" s="57" t="s">
        <v>118</v>
      </c>
      <c r="C94" s="101" t="s">
        <v>130</v>
      </c>
      <c r="D94" s="102">
        <v>15000</v>
      </c>
      <c r="E94" s="58"/>
      <c r="F94" s="57"/>
      <c r="G94" s="57">
        <v>3</v>
      </c>
      <c r="H94" s="103">
        <f t="shared" si="3"/>
        <v>45000</v>
      </c>
    </row>
    <row r="95" spans="1:8" ht="16.5">
      <c r="A95" s="22"/>
      <c r="B95" s="57" t="s">
        <v>118</v>
      </c>
      <c r="C95" s="101" t="s">
        <v>121</v>
      </c>
      <c r="D95" s="102">
        <v>13000</v>
      </c>
      <c r="E95" s="58"/>
      <c r="F95" s="57"/>
      <c r="G95" s="57">
        <v>2</v>
      </c>
      <c r="H95" s="103">
        <f t="shared" si="3"/>
        <v>26000</v>
      </c>
    </row>
    <row r="96" spans="1:8" ht="16.5">
      <c r="A96" s="22"/>
      <c r="B96" s="57" t="s">
        <v>118</v>
      </c>
      <c r="C96" s="101" t="s">
        <v>131</v>
      </c>
      <c r="D96" s="102">
        <v>12000</v>
      </c>
      <c r="E96" s="58"/>
      <c r="F96" s="57"/>
      <c r="G96" s="57">
        <v>2</v>
      </c>
      <c r="H96" s="103">
        <f t="shared" si="3"/>
        <v>24000</v>
      </c>
    </row>
    <row r="97" spans="1:8" ht="16.5">
      <c r="A97" s="22"/>
      <c r="B97" s="57" t="s">
        <v>118</v>
      </c>
      <c r="C97" s="101" t="s">
        <v>124</v>
      </c>
      <c r="D97" s="102">
        <v>12000</v>
      </c>
      <c r="E97" s="58"/>
      <c r="F97" s="57"/>
      <c r="G97" s="57">
        <v>1</v>
      </c>
      <c r="H97" s="103">
        <f t="shared" si="3"/>
        <v>12000</v>
      </c>
    </row>
    <row r="98" spans="1:8" ht="16.5">
      <c r="A98" s="22"/>
      <c r="B98" s="57" t="s">
        <v>118</v>
      </c>
      <c r="C98" s="101" t="s">
        <v>136</v>
      </c>
      <c r="D98" s="102">
        <v>10000</v>
      </c>
      <c r="E98" s="58"/>
      <c r="F98" s="57"/>
      <c r="G98" s="57">
        <v>2</v>
      </c>
      <c r="H98" s="103">
        <f t="shared" si="3"/>
        <v>20000</v>
      </c>
    </row>
    <row r="99" spans="1:8" ht="16.5">
      <c r="A99" s="22"/>
      <c r="B99" s="57" t="s">
        <v>118</v>
      </c>
      <c r="C99" s="101" t="s">
        <v>137</v>
      </c>
      <c r="D99" s="102">
        <v>24000</v>
      </c>
      <c r="E99" s="58"/>
      <c r="F99" s="57"/>
      <c r="G99" s="57">
        <v>1</v>
      </c>
      <c r="H99" s="103">
        <f t="shared" si="3"/>
        <v>24000</v>
      </c>
    </row>
    <row r="100" spans="1:8" ht="16.5">
      <c r="A100" s="22"/>
      <c r="B100" s="57" t="s">
        <v>118</v>
      </c>
      <c r="C100" s="101" t="s">
        <v>138</v>
      </c>
      <c r="D100" s="102">
        <v>8000</v>
      </c>
      <c r="E100" s="58"/>
      <c r="F100" s="57"/>
      <c r="G100" s="57">
        <v>1</v>
      </c>
      <c r="H100" s="103">
        <f t="shared" si="3"/>
        <v>8000</v>
      </c>
    </row>
    <row r="101" spans="1:8" ht="16.5">
      <c r="A101" s="22"/>
      <c r="B101" s="57" t="s">
        <v>118</v>
      </c>
      <c r="C101" s="101" t="s">
        <v>127</v>
      </c>
      <c r="D101" s="102">
        <v>10000</v>
      </c>
      <c r="E101" s="58"/>
      <c r="F101" s="57"/>
      <c r="G101" s="57">
        <v>1</v>
      </c>
      <c r="H101" s="103">
        <f t="shared" si="3"/>
        <v>10000</v>
      </c>
    </row>
    <row r="102" spans="1:8">
      <c r="A102" s="22"/>
      <c r="B102" s="57" t="s">
        <v>118</v>
      </c>
      <c r="C102" s="101" t="s">
        <v>139</v>
      </c>
      <c r="D102" s="102">
        <v>14000</v>
      </c>
      <c r="E102" s="58"/>
      <c r="F102" s="57"/>
      <c r="G102" s="57">
        <v>2</v>
      </c>
      <c r="H102" s="103">
        <f t="shared" si="3"/>
        <v>28000</v>
      </c>
    </row>
    <row r="103" spans="1:8" ht="16.5">
      <c r="A103" s="22"/>
      <c r="B103" s="57" t="s">
        <v>118</v>
      </c>
      <c r="C103" s="101" t="s">
        <v>140</v>
      </c>
      <c r="D103" s="102">
        <v>20000</v>
      </c>
      <c r="E103" s="58"/>
      <c r="F103" s="57"/>
      <c r="G103" s="57">
        <v>1</v>
      </c>
      <c r="H103" s="103">
        <f t="shared" ref="H103:H120" si="4">D103*(E103+F103+G103)</f>
        <v>20000</v>
      </c>
    </row>
    <row r="104" spans="1:8">
      <c r="A104" s="5"/>
      <c r="B104" s="13"/>
      <c r="C104" s="12"/>
      <c r="D104" s="46"/>
      <c r="E104" s="14"/>
      <c r="F104" s="15"/>
      <c r="G104" s="15"/>
      <c r="H104" s="52">
        <f t="shared" si="4"/>
        <v>0</v>
      </c>
    </row>
    <row r="105" spans="1:8">
      <c r="A105" s="26" t="s">
        <v>141</v>
      </c>
      <c r="B105" s="96" t="s">
        <v>142</v>
      </c>
      <c r="C105" s="97" t="s">
        <v>52</v>
      </c>
      <c r="D105" s="98">
        <v>1050</v>
      </c>
      <c r="E105" s="99"/>
      <c r="F105" s="96"/>
      <c r="G105" s="96">
        <v>9</v>
      </c>
      <c r="H105" s="100">
        <f t="shared" si="4"/>
        <v>9450</v>
      </c>
    </row>
    <row r="106" spans="1:8" ht="16.5">
      <c r="A106" s="26"/>
      <c r="B106" s="96"/>
      <c r="C106" s="97" t="s">
        <v>89</v>
      </c>
      <c r="D106" s="98">
        <v>150</v>
      </c>
      <c r="E106" s="99"/>
      <c r="F106" s="96"/>
      <c r="G106" s="96">
        <v>90</v>
      </c>
      <c r="H106" s="100">
        <f t="shared" si="4"/>
        <v>13500</v>
      </c>
    </row>
    <row r="107" spans="1:8" ht="16.5">
      <c r="A107" s="26"/>
      <c r="B107" s="96"/>
      <c r="C107" s="97" t="s">
        <v>90</v>
      </c>
      <c r="D107" s="98">
        <v>450</v>
      </c>
      <c r="E107" s="99"/>
      <c r="F107" s="96"/>
      <c r="G107" s="96">
        <v>120</v>
      </c>
      <c r="H107" s="100">
        <f t="shared" si="4"/>
        <v>54000</v>
      </c>
    </row>
    <row r="108" spans="1:8" ht="24.75">
      <c r="A108" s="26"/>
      <c r="B108" s="96"/>
      <c r="C108" s="97" t="s">
        <v>119</v>
      </c>
      <c r="D108" s="98">
        <v>450</v>
      </c>
      <c r="E108" s="99"/>
      <c r="F108" s="96"/>
      <c r="G108" s="96">
        <v>60</v>
      </c>
      <c r="H108" s="100">
        <f t="shared" si="4"/>
        <v>27000</v>
      </c>
    </row>
    <row r="109" spans="1:8">
      <c r="A109" s="26"/>
      <c r="B109" s="96"/>
      <c r="C109" s="97" t="s">
        <v>143</v>
      </c>
      <c r="D109" s="98">
        <v>12000</v>
      </c>
      <c r="E109" s="99"/>
      <c r="F109" s="96"/>
      <c r="G109" s="96">
        <v>7</v>
      </c>
      <c r="H109" s="100">
        <f t="shared" si="4"/>
        <v>84000</v>
      </c>
    </row>
    <row r="110" spans="1:8">
      <c r="A110" s="26"/>
      <c r="B110" s="96"/>
      <c r="C110" s="97" t="s">
        <v>144</v>
      </c>
      <c r="D110" s="98">
        <v>20680</v>
      </c>
      <c r="E110" s="99"/>
      <c r="F110" s="96"/>
      <c r="G110" s="96">
        <v>1</v>
      </c>
      <c r="H110" s="100">
        <f t="shared" si="4"/>
        <v>20680</v>
      </c>
    </row>
    <row r="111" spans="1:8">
      <c r="A111" s="26"/>
      <c r="B111" s="96"/>
      <c r="C111" s="97" t="s">
        <v>85</v>
      </c>
      <c r="D111" s="98">
        <v>5600</v>
      </c>
      <c r="E111" s="99"/>
      <c r="F111" s="96"/>
      <c r="G111" s="96">
        <v>1</v>
      </c>
      <c r="H111" s="100">
        <f t="shared" si="4"/>
        <v>5600</v>
      </c>
    </row>
    <row r="112" spans="1:8" ht="16.5">
      <c r="A112" s="26"/>
      <c r="B112" s="96"/>
      <c r="C112" s="97" t="s">
        <v>145</v>
      </c>
      <c r="D112" s="98">
        <v>34800</v>
      </c>
      <c r="E112" s="99"/>
      <c r="F112" s="96"/>
      <c r="G112" s="96">
        <v>1</v>
      </c>
      <c r="H112" s="100">
        <f t="shared" si="4"/>
        <v>34800</v>
      </c>
    </row>
    <row r="113" spans="1:8">
      <c r="A113" s="26"/>
      <c r="B113" s="96"/>
      <c r="C113" s="97" t="s">
        <v>92</v>
      </c>
      <c r="D113" s="98">
        <v>38000</v>
      </c>
      <c r="E113" s="99"/>
      <c r="F113" s="96"/>
      <c r="G113" s="96">
        <v>2</v>
      </c>
      <c r="H113" s="100">
        <f t="shared" si="4"/>
        <v>76000</v>
      </c>
    </row>
    <row r="114" spans="1:8" ht="16.5">
      <c r="A114" s="26"/>
      <c r="B114" s="96"/>
      <c r="C114" s="97" t="s">
        <v>100</v>
      </c>
      <c r="D114" s="98">
        <v>21970</v>
      </c>
      <c r="E114" s="99"/>
      <c r="F114" s="96"/>
      <c r="G114" s="96">
        <v>1</v>
      </c>
      <c r="H114" s="100">
        <f t="shared" si="4"/>
        <v>21970</v>
      </c>
    </row>
    <row r="115" spans="1:8">
      <c r="A115" s="26"/>
      <c r="B115" s="96"/>
      <c r="C115" s="97"/>
      <c r="D115" s="98"/>
      <c r="E115" s="99"/>
      <c r="F115" s="96"/>
      <c r="G115" s="96"/>
      <c r="H115" s="100">
        <f t="shared" si="4"/>
        <v>0</v>
      </c>
    </row>
    <row r="116" spans="1:8">
      <c r="A116" s="26"/>
      <c r="B116" s="96"/>
      <c r="C116" s="97"/>
      <c r="D116" s="98"/>
      <c r="E116" s="99"/>
      <c r="F116" s="96"/>
      <c r="G116" s="96"/>
      <c r="H116" s="100">
        <f t="shared" si="4"/>
        <v>0</v>
      </c>
    </row>
    <row r="117" spans="1:8">
      <c r="A117" s="26"/>
      <c r="B117" s="96"/>
      <c r="C117" s="97"/>
      <c r="D117" s="98"/>
      <c r="E117" s="99"/>
      <c r="F117" s="96"/>
      <c r="G117" s="96"/>
      <c r="H117" s="100">
        <f t="shared" si="4"/>
        <v>0</v>
      </c>
    </row>
    <row r="118" spans="1:8">
      <c r="A118" s="26"/>
      <c r="B118" s="96"/>
      <c r="C118" s="97"/>
      <c r="D118" s="98"/>
      <c r="E118" s="99"/>
      <c r="F118" s="96"/>
      <c r="G118" s="96"/>
      <c r="H118" s="100">
        <f t="shared" si="4"/>
        <v>0</v>
      </c>
    </row>
    <row r="119" spans="1:8">
      <c r="A119" s="26"/>
      <c r="B119" s="96"/>
      <c r="C119" s="97"/>
      <c r="D119" s="98"/>
      <c r="E119" s="99"/>
      <c r="F119" s="96"/>
      <c r="G119" s="96"/>
      <c r="H119" s="100">
        <f t="shared" si="4"/>
        <v>0</v>
      </c>
    </row>
    <row r="120" spans="1:8">
      <c r="A120" s="26"/>
      <c r="B120" s="96"/>
      <c r="C120" s="97"/>
      <c r="D120" s="98"/>
      <c r="E120" s="99"/>
      <c r="F120" s="96"/>
      <c r="G120" s="96"/>
      <c r="H120" s="100">
        <f t="shared" si="4"/>
        <v>0</v>
      </c>
    </row>
    <row r="333" ht="14.25" customHeight="1"/>
    <row r="467" ht="25.5" customHeight="1"/>
    <row r="468" ht="14.25" customHeight="1"/>
    <row r="470" ht="28.5" customHeight="1"/>
  </sheetData>
  <mergeCells count="6">
    <mergeCell ref="H2:H3"/>
    <mergeCell ref="A2:A3"/>
    <mergeCell ref="B2:B3"/>
    <mergeCell ref="C2:C3"/>
    <mergeCell ref="D2:D3"/>
    <mergeCell ref="E2:G2"/>
  </mergeCells>
  <phoneticPr fontId="4"/>
  <pageMargins left="0.31496062992125984" right="0" top="0.74803149606299213" bottom="0" header="0.31496062992125984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E957-2B99-4CC9-B31D-FB6918F61D6B}">
  <dimension ref="A1:Z108"/>
  <sheetViews>
    <sheetView topLeftCell="P1" zoomScale="90" zoomScaleNormal="90" workbookViewId="0">
      <selection activeCell="Z57" sqref="Z57"/>
    </sheetView>
  </sheetViews>
  <sheetFormatPr defaultColWidth="23.25" defaultRowHeight="14.25"/>
  <cols>
    <col min="1" max="1" width="10.375" customWidth="1"/>
    <col min="2" max="2" width="18.75" customWidth="1"/>
    <col min="3" max="3" width="14.375" customWidth="1"/>
    <col min="4" max="4" width="11.125" customWidth="1"/>
    <col min="5" max="5" width="7.625" customWidth="1"/>
    <col min="6" max="6" width="7.375" customWidth="1"/>
    <col min="7" max="7" width="8.5" customWidth="1"/>
    <col min="8" max="8" width="13.125" customWidth="1"/>
    <col min="9" max="9" width="5.125" customWidth="1"/>
    <col min="10" max="10" width="14" customWidth="1"/>
    <col min="11" max="11" width="32.625" customWidth="1"/>
    <col min="12" max="12" width="12.75" customWidth="1"/>
    <col min="13" max="13" width="10.5" customWidth="1"/>
    <col min="14" max="16" width="6.75" customWidth="1"/>
    <col min="17" max="17" width="13" customWidth="1"/>
    <col min="18" max="18" width="6.25" customWidth="1"/>
    <col min="21" max="21" width="13.625" customWidth="1"/>
    <col min="22" max="22" width="9.875" customWidth="1"/>
    <col min="23" max="25" width="7.875" customWidth="1"/>
    <col min="26" max="26" width="14" customWidth="1"/>
  </cols>
  <sheetData>
    <row r="1" spans="1:26" ht="15.75">
      <c r="A1" s="353">
        <v>46053</v>
      </c>
      <c r="B1" s="387"/>
      <c r="C1" s="352"/>
      <c r="D1" s="354"/>
      <c r="E1" s="352"/>
      <c r="F1" s="352"/>
      <c r="G1" s="352"/>
      <c r="H1" s="352"/>
      <c r="J1" s="395">
        <v>46081</v>
      </c>
      <c r="K1" s="387"/>
      <c r="L1" s="352"/>
      <c r="M1" s="354"/>
      <c r="N1" s="352"/>
      <c r="O1" s="352"/>
      <c r="P1" s="352"/>
      <c r="Q1" s="352"/>
      <c r="S1" s="395">
        <v>46112</v>
      </c>
      <c r="T1" s="387"/>
      <c r="U1" s="352"/>
      <c r="V1" s="354"/>
      <c r="W1" s="352"/>
      <c r="X1" s="352"/>
      <c r="Y1" s="352"/>
      <c r="Z1" s="352"/>
    </row>
    <row r="2" spans="1:26" ht="14.25" customHeight="1">
      <c r="A2" s="546" t="s">
        <v>146</v>
      </c>
      <c r="B2" s="540" t="s">
        <v>2</v>
      </c>
      <c r="C2" s="536" t="s">
        <v>1</v>
      </c>
      <c r="D2" s="542" t="s">
        <v>3</v>
      </c>
      <c r="E2" s="544" t="s">
        <v>147</v>
      </c>
      <c r="F2" s="544"/>
      <c r="G2" s="545"/>
      <c r="H2" s="536" t="s">
        <v>5</v>
      </c>
      <c r="J2" s="538" t="s">
        <v>146</v>
      </c>
      <c r="K2" s="540" t="s">
        <v>2</v>
      </c>
      <c r="L2" s="536" t="s">
        <v>1</v>
      </c>
      <c r="M2" s="542" t="s">
        <v>3</v>
      </c>
      <c r="N2" s="544" t="s">
        <v>147</v>
      </c>
      <c r="O2" s="544"/>
      <c r="P2" s="545"/>
      <c r="Q2" s="536" t="s">
        <v>5</v>
      </c>
      <c r="S2" s="538" t="s">
        <v>146</v>
      </c>
      <c r="T2" s="540" t="s">
        <v>2</v>
      </c>
      <c r="U2" s="536" t="s">
        <v>1</v>
      </c>
      <c r="V2" s="542" t="s">
        <v>3</v>
      </c>
      <c r="W2" s="544" t="s">
        <v>147</v>
      </c>
      <c r="X2" s="544"/>
      <c r="Y2" s="545"/>
      <c r="Z2" s="536" t="s">
        <v>5</v>
      </c>
    </row>
    <row r="3" spans="1:26" s="6" customFormat="1" ht="14.25" customHeight="1">
      <c r="A3" s="539"/>
      <c r="B3" s="541"/>
      <c r="C3" s="537"/>
      <c r="D3" s="543"/>
      <c r="E3" s="355" t="s">
        <v>148</v>
      </c>
      <c r="F3" s="355" t="s">
        <v>7</v>
      </c>
      <c r="G3" s="356" t="s">
        <v>149</v>
      </c>
      <c r="H3" s="537"/>
      <c r="J3" s="539"/>
      <c r="K3" s="541"/>
      <c r="L3" s="537"/>
      <c r="M3" s="543"/>
      <c r="N3" s="355" t="s">
        <v>148</v>
      </c>
      <c r="O3" s="355" t="s">
        <v>7</v>
      </c>
      <c r="P3" s="356" t="s">
        <v>149</v>
      </c>
      <c r="Q3" s="537"/>
      <c r="S3" s="539"/>
      <c r="T3" s="541"/>
      <c r="U3" s="537"/>
      <c r="V3" s="543"/>
      <c r="W3" s="355" t="s">
        <v>148</v>
      </c>
      <c r="X3" s="355" t="s">
        <v>7</v>
      </c>
      <c r="Y3" s="356" t="s">
        <v>149</v>
      </c>
      <c r="Z3" s="537"/>
    </row>
    <row r="4" spans="1:26" ht="17.25">
      <c r="A4" s="357" t="s">
        <v>150</v>
      </c>
      <c r="B4" s="358" t="s">
        <v>150</v>
      </c>
      <c r="C4" s="359" t="s">
        <v>150</v>
      </c>
      <c r="D4" s="360" t="s">
        <v>150</v>
      </c>
      <c r="E4" s="361" t="s">
        <v>150</v>
      </c>
      <c r="F4" s="362" t="s">
        <v>150</v>
      </c>
      <c r="G4" s="362" t="s">
        <v>150</v>
      </c>
      <c r="H4" s="363">
        <v>952171</v>
      </c>
      <c r="J4" s="357" t="s">
        <v>150</v>
      </c>
      <c r="K4" s="358" t="s">
        <v>150</v>
      </c>
      <c r="L4" s="359" t="s">
        <v>150</v>
      </c>
      <c r="M4" s="360" t="s">
        <v>150</v>
      </c>
      <c r="N4" s="361" t="s">
        <v>150</v>
      </c>
      <c r="O4" s="362" t="s">
        <v>150</v>
      </c>
      <c r="P4" s="362" t="s">
        <v>150</v>
      </c>
      <c r="Q4" s="363">
        <f>SUM(Q5:Q77)</f>
        <v>1266633</v>
      </c>
      <c r="S4" s="357" t="s">
        <v>150</v>
      </c>
      <c r="T4" s="358" t="s">
        <v>150</v>
      </c>
      <c r="U4" s="359" t="s">
        <v>150</v>
      </c>
      <c r="V4" s="360" t="s">
        <v>150</v>
      </c>
      <c r="W4" s="361" t="s">
        <v>150</v>
      </c>
      <c r="X4" s="362" t="s">
        <v>150</v>
      </c>
      <c r="Y4" s="362" t="s">
        <v>150</v>
      </c>
      <c r="Z4" s="363">
        <f>SUM(Z5:Z70)</f>
        <v>1137158</v>
      </c>
    </row>
    <row r="5" spans="1:26" ht="15.75">
      <c r="A5" s="357" t="s">
        <v>151</v>
      </c>
      <c r="B5" s="358" t="s">
        <v>152</v>
      </c>
      <c r="C5" s="359" t="s">
        <v>153</v>
      </c>
      <c r="D5" s="364">
        <v>70000</v>
      </c>
      <c r="E5" s="361" t="s">
        <v>150</v>
      </c>
      <c r="F5" s="362" t="s">
        <v>150</v>
      </c>
      <c r="G5" s="362">
        <v>1</v>
      </c>
      <c r="H5" s="365">
        <v>70000</v>
      </c>
      <c r="J5" s="357" t="s">
        <v>154</v>
      </c>
      <c r="K5" s="358" t="s">
        <v>152</v>
      </c>
      <c r="L5" s="359" t="s">
        <v>153</v>
      </c>
      <c r="M5" s="364">
        <v>70000</v>
      </c>
      <c r="N5" s="361"/>
      <c r="O5" s="362"/>
      <c r="P5" s="362">
        <v>1</v>
      </c>
      <c r="Q5" s="286">
        <f t="shared" ref="Q5:Q18" si="0">(N5+O5+P5)*M5</f>
        <v>70000</v>
      </c>
      <c r="S5" s="357" t="s">
        <v>154</v>
      </c>
      <c r="T5" s="358" t="s">
        <v>152</v>
      </c>
      <c r="U5" s="359" t="s">
        <v>153</v>
      </c>
      <c r="V5" s="364">
        <v>70000</v>
      </c>
      <c r="W5" s="361"/>
      <c r="X5" s="362"/>
      <c r="Y5" s="362">
        <v>1</v>
      </c>
      <c r="Z5" s="286">
        <f t="shared" ref="Z5:Z61" si="1">(W5+X5+Y5)*V5</f>
        <v>70000</v>
      </c>
    </row>
    <row r="6" spans="1:26" ht="15.75">
      <c r="A6" s="357" t="s">
        <v>150</v>
      </c>
      <c r="B6" s="358" t="s">
        <v>155</v>
      </c>
      <c r="C6" s="359" t="s">
        <v>153</v>
      </c>
      <c r="D6" s="364">
        <v>10000</v>
      </c>
      <c r="E6" s="361" t="s">
        <v>150</v>
      </c>
      <c r="F6" s="362" t="s">
        <v>150</v>
      </c>
      <c r="G6" s="362">
        <v>0</v>
      </c>
      <c r="H6" s="359">
        <v>0</v>
      </c>
      <c r="J6" s="357" t="s">
        <v>150</v>
      </c>
      <c r="K6" s="358" t="s">
        <v>155</v>
      </c>
      <c r="L6" s="359" t="s">
        <v>153</v>
      </c>
      <c r="M6" s="364">
        <v>10000</v>
      </c>
      <c r="N6" s="361"/>
      <c r="O6" s="362">
        <v>1</v>
      </c>
      <c r="P6" s="362"/>
      <c r="Q6" s="286">
        <f t="shared" si="0"/>
        <v>10000</v>
      </c>
      <c r="S6" s="357" t="s">
        <v>150</v>
      </c>
      <c r="T6" s="358" t="s">
        <v>156</v>
      </c>
      <c r="U6" s="359" t="s">
        <v>153</v>
      </c>
      <c r="V6" s="364">
        <v>7306</v>
      </c>
      <c r="W6" s="361"/>
      <c r="X6" s="362"/>
      <c r="Y6" s="362">
        <v>1</v>
      </c>
      <c r="Z6" s="286">
        <f t="shared" ref="Z6:Z9" si="2">(W6+X6+Y6)*V6</f>
        <v>7306</v>
      </c>
    </row>
    <row r="7" spans="1:26" ht="15.75">
      <c r="A7" s="357" t="s">
        <v>150</v>
      </c>
      <c r="B7" s="358" t="s">
        <v>157</v>
      </c>
      <c r="C7" s="359" t="s">
        <v>153</v>
      </c>
      <c r="D7" s="364">
        <v>20000</v>
      </c>
      <c r="E7" s="361" t="s">
        <v>150</v>
      </c>
      <c r="F7" s="362">
        <v>1</v>
      </c>
      <c r="G7" s="362">
        <v>0</v>
      </c>
      <c r="H7" s="365">
        <v>20000</v>
      </c>
      <c r="J7" s="357" t="s">
        <v>150</v>
      </c>
      <c r="K7" s="358" t="s">
        <v>157</v>
      </c>
      <c r="L7" s="359" t="s">
        <v>153</v>
      </c>
      <c r="M7" s="364">
        <v>20000</v>
      </c>
      <c r="N7" s="361"/>
      <c r="O7" s="362"/>
      <c r="P7" s="362"/>
      <c r="Q7" s="286">
        <f t="shared" si="0"/>
        <v>0</v>
      </c>
      <c r="S7" s="357" t="s">
        <v>150</v>
      </c>
      <c r="T7" s="358" t="s">
        <v>158</v>
      </c>
      <c r="U7" s="359" t="s">
        <v>153</v>
      </c>
      <c r="V7" s="360">
        <v>14000</v>
      </c>
      <c r="W7" s="361"/>
      <c r="X7" s="362"/>
      <c r="Y7" s="362">
        <v>1</v>
      </c>
      <c r="Z7" s="286">
        <f t="shared" si="2"/>
        <v>14000</v>
      </c>
    </row>
    <row r="8" spans="1:26" ht="15.75">
      <c r="A8" s="357" t="s">
        <v>150</v>
      </c>
      <c r="B8" s="358" t="s">
        <v>159</v>
      </c>
      <c r="C8" s="359" t="s">
        <v>153</v>
      </c>
      <c r="D8" s="364">
        <v>25000</v>
      </c>
      <c r="E8" s="361" t="s">
        <v>150</v>
      </c>
      <c r="F8" s="362" t="s">
        <v>150</v>
      </c>
      <c r="G8" s="362" t="s">
        <v>150</v>
      </c>
      <c r="H8" s="359">
        <v>0</v>
      </c>
      <c r="J8" s="357" t="s">
        <v>150</v>
      </c>
      <c r="K8" s="358" t="s">
        <v>159</v>
      </c>
      <c r="L8" s="359" t="s">
        <v>153</v>
      </c>
      <c r="M8" s="364">
        <v>25000</v>
      </c>
      <c r="N8" s="361"/>
      <c r="O8" s="362"/>
      <c r="P8" s="362">
        <v>1</v>
      </c>
      <c r="Q8" s="286">
        <f t="shared" si="0"/>
        <v>25000</v>
      </c>
      <c r="S8" s="357" t="s">
        <v>150</v>
      </c>
      <c r="T8" s="358" t="s">
        <v>160</v>
      </c>
      <c r="U8" s="359" t="s">
        <v>153</v>
      </c>
      <c r="V8" s="364">
        <v>5000</v>
      </c>
      <c r="W8" s="361"/>
      <c r="X8" s="362"/>
      <c r="Y8" s="362">
        <v>1</v>
      </c>
      <c r="Z8" s="286">
        <f t="shared" si="2"/>
        <v>5000</v>
      </c>
    </row>
    <row r="9" spans="1:26" ht="15.75">
      <c r="A9" s="357" t="s">
        <v>150</v>
      </c>
      <c r="B9" s="388" t="s">
        <v>161</v>
      </c>
      <c r="C9" s="359" t="s">
        <v>153</v>
      </c>
      <c r="D9" s="364">
        <v>25800</v>
      </c>
      <c r="E9" s="361" t="s">
        <v>150</v>
      </c>
      <c r="F9" s="362" t="s">
        <v>150</v>
      </c>
      <c r="G9" s="362">
        <v>1</v>
      </c>
      <c r="H9" s="365">
        <v>25800</v>
      </c>
      <c r="J9" s="357" t="s">
        <v>150</v>
      </c>
      <c r="K9" s="388" t="s">
        <v>161</v>
      </c>
      <c r="L9" s="359" t="s">
        <v>153</v>
      </c>
      <c r="M9" s="364">
        <v>25800</v>
      </c>
      <c r="N9" s="361"/>
      <c r="O9" s="362"/>
      <c r="P9" s="362">
        <v>1</v>
      </c>
      <c r="Q9" s="286">
        <f t="shared" si="0"/>
        <v>25800</v>
      </c>
      <c r="S9" s="357" t="s">
        <v>150</v>
      </c>
      <c r="T9" s="358" t="s">
        <v>162</v>
      </c>
      <c r="U9" s="359" t="s">
        <v>153</v>
      </c>
      <c r="V9" s="364">
        <v>30624</v>
      </c>
      <c r="W9" s="361"/>
      <c r="X9" s="362"/>
      <c r="Y9" s="362">
        <v>1</v>
      </c>
      <c r="Z9" s="286">
        <f t="shared" si="2"/>
        <v>30624</v>
      </c>
    </row>
    <row r="10" spans="1:26" ht="15.75">
      <c r="A10" s="357" t="s">
        <v>150</v>
      </c>
      <c r="B10" s="358" t="s">
        <v>92</v>
      </c>
      <c r="C10" s="359" t="s">
        <v>153</v>
      </c>
      <c r="D10" s="364">
        <v>40000</v>
      </c>
      <c r="E10" s="361" t="s">
        <v>150</v>
      </c>
      <c r="F10" s="362">
        <v>1</v>
      </c>
      <c r="G10" s="362" t="s">
        <v>150</v>
      </c>
      <c r="H10" s="365">
        <v>40000</v>
      </c>
      <c r="J10" s="357" t="s">
        <v>150</v>
      </c>
      <c r="K10" s="358" t="s">
        <v>92</v>
      </c>
      <c r="L10" s="359" t="s">
        <v>153</v>
      </c>
      <c r="M10" s="364">
        <v>40000</v>
      </c>
      <c r="N10" s="361"/>
      <c r="O10" s="362">
        <v>1</v>
      </c>
      <c r="P10" s="362"/>
      <c r="Q10" s="286">
        <f t="shared" si="0"/>
        <v>40000</v>
      </c>
      <c r="S10" s="357" t="s">
        <v>150</v>
      </c>
      <c r="T10" s="358" t="s">
        <v>163</v>
      </c>
      <c r="U10" s="359" t="s">
        <v>153</v>
      </c>
      <c r="V10" s="364">
        <v>9790</v>
      </c>
      <c r="W10" s="361"/>
      <c r="X10" s="362"/>
      <c r="Y10" s="362">
        <v>1</v>
      </c>
      <c r="Z10" s="286">
        <f t="shared" si="1"/>
        <v>9790</v>
      </c>
    </row>
    <row r="11" spans="1:26" ht="15.75">
      <c r="A11" s="357" t="s">
        <v>150</v>
      </c>
      <c r="B11" s="358" t="s">
        <v>90</v>
      </c>
      <c r="C11" s="359" t="s">
        <v>153</v>
      </c>
      <c r="D11" s="360">
        <v>450</v>
      </c>
      <c r="E11" s="361">
        <v>33</v>
      </c>
      <c r="F11" s="362" t="s">
        <v>150</v>
      </c>
      <c r="G11" s="362">
        <v>200</v>
      </c>
      <c r="H11" s="365">
        <v>104850</v>
      </c>
      <c r="J11" s="357" t="s">
        <v>150</v>
      </c>
      <c r="K11" s="358" t="s">
        <v>90</v>
      </c>
      <c r="L11" s="359" t="s">
        <v>153</v>
      </c>
      <c r="M11" s="360">
        <v>450</v>
      </c>
      <c r="N11" s="361">
        <v>33</v>
      </c>
      <c r="O11" s="362"/>
      <c r="P11" s="362">
        <v>200</v>
      </c>
      <c r="Q11" s="286">
        <f t="shared" si="0"/>
        <v>104850</v>
      </c>
      <c r="S11" s="357" t="s">
        <v>150</v>
      </c>
      <c r="T11" s="358" t="s">
        <v>164</v>
      </c>
      <c r="U11" s="359" t="s">
        <v>153</v>
      </c>
      <c r="V11" s="364">
        <v>13970</v>
      </c>
      <c r="W11" s="361"/>
      <c r="X11" s="362"/>
      <c r="Y11" s="362">
        <v>1</v>
      </c>
      <c r="Z11" s="286">
        <f t="shared" si="1"/>
        <v>13970</v>
      </c>
    </row>
    <row r="12" spans="1:26" ht="15.75">
      <c r="A12" s="357" t="s">
        <v>150</v>
      </c>
      <c r="B12" s="358" t="s">
        <v>165</v>
      </c>
      <c r="C12" s="359" t="s">
        <v>153</v>
      </c>
      <c r="D12" s="364">
        <v>20000</v>
      </c>
      <c r="E12" s="361" t="s">
        <v>150</v>
      </c>
      <c r="F12" s="362" t="s">
        <v>150</v>
      </c>
      <c r="G12" s="362">
        <v>2</v>
      </c>
      <c r="H12" s="365">
        <v>40000</v>
      </c>
      <c r="J12" s="357" t="s">
        <v>150</v>
      </c>
      <c r="K12" s="358" t="s">
        <v>165</v>
      </c>
      <c r="L12" s="359" t="s">
        <v>153</v>
      </c>
      <c r="M12" s="364">
        <v>20000</v>
      </c>
      <c r="N12" s="361"/>
      <c r="O12" s="362">
        <v>1</v>
      </c>
      <c r="P12" s="362">
        <v>1</v>
      </c>
      <c r="Q12" s="286">
        <f t="shared" si="0"/>
        <v>40000</v>
      </c>
      <c r="S12" s="357" t="s">
        <v>150</v>
      </c>
      <c r="T12" s="358" t="s">
        <v>159</v>
      </c>
      <c r="U12" s="359" t="s">
        <v>153</v>
      </c>
      <c r="V12" s="364">
        <v>25000</v>
      </c>
      <c r="W12" s="361"/>
      <c r="X12" s="362"/>
      <c r="Y12" s="362">
        <v>1</v>
      </c>
      <c r="Z12" s="286">
        <f t="shared" si="1"/>
        <v>25000</v>
      </c>
    </row>
    <row r="13" spans="1:26" ht="15.75">
      <c r="A13" s="357" t="s">
        <v>150</v>
      </c>
      <c r="B13" s="358" t="s">
        <v>143</v>
      </c>
      <c r="C13" s="359" t="s">
        <v>153</v>
      </c>
      <c r="D13" s="364">
        <v>10000</v>
      </c>
      <c r="E13" s="361" t="s">
        <v>150</v>
      </c>
      <c r="F13" s="362" t="s">
        <v>150</v>
      </c>
      <c r="G13" s="362" t="s">
        <v>150</v>
      </c>
      <c r="H13" s="359">
        <v>0</v>
      </c>
      <c r="J13" s="357" t="s">
        <v>150</v>
      </c>
      <c r="K13" s="358" t="s">
        <v>166</v>
      </c>
      <c r="L13" s="359" t="s">
        <v>153</v>
      </c>
      <c r="M13" s="364">
        <v>8000</v>
      </c>
      <c r="N13" s="361"/>
      <c r="O13" s="362"/>
      <c r="P13" s="362">
        <v>2</v>
      </c>
      <c r="Q13" s="286">
        <f t="shared" si="0"/>
        <v>16000</v>
      </c>
      <c r="S13" s="357" t="s">
        <v>150</v>
      </c>
      <c r="T13" s="388" t="s">
        <v>161</v>
      </c>
      <c r="U13" s="359" t="s">
        <v>153</v>
      </c>
      <c r="V13" s="364">
        <v>25800</v>
      </c>
      <c r="W13" s="361"/>
      <c r="X13" s="362"/>
      <c r="Y13" s="362">
        <v>1</v>
      </c>
      <c r="Z13" s="286">
        <f t="shared" si="1"/>
        <v>25800</v>
      </c>
    </row>
    <row r="14" spans="1:26" ht="15.75">
      <c r="A14" s="357" t="s">
        <v>150</v>
      </c>
      <c r="B14" s="358" t="s">
        <v>167</v>
      </c>
      <c r="C14" s="359" t="s">
        <v>153</v>
      </c>
      <c r="D14" s="364">
        <v>22000</v>
      </c>
      <c r="E14" s="361" t="s">
        <v>150</v>
      </c>
      <c r="F14" s="362" t="s">
        <v>150</v>
      </c>
      <c r="G14" s="362">
        <v>1</v>
      </c>
      <c r="H14" s="365">
        <v>22000</v>
      </c>
      <c r="J14" s="357" t="s">
        <v>150</v>
      </c>
      <c r="K14" s="358" t="s">
        <v>167</v>
      </c>
      <c r="L14" s="359" t="s">
        <v>153</v>
      </c>
      <c r="M14" s="364">
        <v>22000</v>
      </c>
      <c r="N14" s="361"/>
      <c r="O14" s="362"/>
      <c r="P14" s="362">
        <v>1</v>
      </c>
      <c r="Q14" s="286">
        <f t="shared" si="0"/>
        <v>22000</v>
      </c>
      <c r="S14" s="357" t="s">
        <v>150</v>
      </c>
      <c r="T14" s="358" t="s">
        <v>168</v>
      </c>
      <c r="U14" s="359" t="s">
        <v>153</v>
      </c>
      <c r="V14" s="364">
        <v>4000</v>
      </c>
      <c r="W14" s="361"/>
      <c r="X14" s="362"/>
      <c r="Y14" s="362">
        <v>1</v>
      </c>
      <c r="Z14" s="286">
        <f t="shared" si="1"/>
        <v>4000</v>
      </c>
    </row>
    <row r="15" spans="1:26" ht="15.75">
      <c r="A15" s="357" t="s">
        <v>150</v>
      </c>
      <c r="B15" s="358" t="s">
        <v>169</v>
      </c>
      <c r="C15" s="359" t="s">
        <v>153</v>
      </c>
      <c r="D15" s="364">
        <v>4900</v>
      </c>
      <c r="E15" s="361" t="s">
        <v>150</v>
      </c>
      <c r="F15" s="362" t="s">
        <v>150</v>
      </c>
      <c r="G15" s="362">
        <v>1</v>
      </c>
      <c r="H15" s="365">
        <v>4900</v>
      </c>
      <c r="J15" s="357" t="s">
        <v>150</v>
      </c>
      <c r="K15" s="358" t="s">
        <v>169</v>
      </c>
      <c r="L15" s="359" t="s">
        <v>153</v>
      </c>
      <c r="M15" s="364">
        <v>4900</v>
      </c>
      <c r="N15" s="361"/>
      <c r="O15" s="362"/>
      <c r="P15" s="362">
        <v>1</v>
      </c>
      <c r="Q15" s="286">
        <f t="shared" si="0"/>
        <v>4900</v>
      </c>
      <c r="S15" s="357" t="s">
        <v>150</v>
      </c>
      <c r="T15" s="358" t="s">
        <v>90</v>
      </c>
      <c r="U15" s="359" t="s">
        <v>153</v>
      </c>
      <c r="V15" s="360">
        <v>450</v>
      </c>
      <c r="W15" s="361">
        <v>33</v>
      </c>
      <c r="X15" s="362"/>
      <c r="Y15" s="362">
        <v>200</v>
      </c>
      <c r="Z15" s="286">
        <f t="shared" si="1"/>
        <v>104850</v>
      </c>
    </row>
    <row r="16" spans="1:26" ht="15.75">
      <c r="A16" s="357" t="s">
        <v>150</v>
      </c>
      <c r="B16" s="358" t="s">
        <v>170</v>
      </c>
      <c r="C16" s="359" t="s">
        <v>153</v>
      </c>
      <c r="D16" s="364">
        <v>26989</v>
      </c>
      <c r="E16" s="361" t="s">
        <v>150</v>
      </c>
      <c r="F16" s="362" t="s">
        <v>150</v>
      </c>
      <c r="G16" s="362">
        <v>1</v>
      </c>
      <c r="H16" s="365">
        <v>26989</v>
      </c>
      <c r="J16" s="357" t="s">
        <v>150</v>
      </c>
      <c r="K16" s="358" t="s">
        <v>170</v>
      </c>
      <c r="L16" s="359" t="s">
        <v>153</v>
      </c>
      <c r="M16" s="364">
        <v>26989</v>
      </c>
      <c r="N16" s="361"/>
      <c r="O16" s="362"/>
      <c r="P16" s="362">
        <v>1</v>
      </c>
      <c r="Q16" s="286">
        <f t="shared" si="0"/>
        <v>26989</v>
      </c>
      <c r="S16" s="357" t="s">
        <v>150</v>
      </c>
      <c r="T16" s="358" t="s">
        <v>165</v>
      </c>
      <c r="U16" s="359" t="s">
        <v>153</v>
      </c>
      <c r="V16" s="364">
        <v>20000</v>
      </c>
      <c r="W16" s="361"/>
      <c r="X16" s="362">
        <v>1</v>
      </c>
      <c r="Y16" s="362">
        <v>1</v>
      </c>
      <c r="Z16" s="286">
        <f t="shared" si="1"/>
        <v>40000</v>
      </c>
    </row>
    <row r="17" spans="1:26" ht="15.75">
      <c r="A17" s="357" t="s">
        <v>150</v>
      </c>
      <c r="B17" s="358" t="s">
        <v>150</v>
      </c>
      <c r="C17" s="359" t="s">
        <v>171</v>
      </c>
      <c r="D17" s="364">
        <v>11892</v>
      </c>
      <c r="E17" s="361" t="s">
        <v>150</v>
      </c>
      <c r="F17" s="362" t="s">
        <v>150</v>
      </c>
      <c r="G17" s="362" t="s">
        <v>150</v>
      </c>
      <c r="H17" s="359">
        <v>0</v>
      </c>
      <c r="J17" s="357" t="s">
        <v>150</v>
      </c>
      <c r="K17" s="358" t="s">
        <v>172</v>
      </c>
      <c r="L17" s="359" t="s">
        <v>153</v>
      </c>
      <c r="M17" s="364">
        <v>2000</v>
      </c>
      <c r="N17" s="361"/>
      <c r="O17" s="362"/>
      <c r="P17" s="362">
        <v>4</v>
      </c>
      <c r="Q17" s="286">
        <f t="shared" si="0"/>
        <v>8000</v>
      </c>
      <c r="S17" s="357" t="s">
        <v>150</v>
      </c>
      <c r="T17" s="358" t="s">
        <v>166</v>
      </c>
      <c r="U17" s="359" t="s">
        <v>153</v>
      </c>
      <c r="V17" s="364">
        <v>8000</v>
      </c>
      <c r="W17" s="361"/>
      <c r="X17" s="362"/>
      <c r="Y17" s="362">
        <v>2</v>
      </c>
      <c r="Z17" s="286">
        <f t="shared" si="1"/>
        <v>16000</v>
      </c>
    </row>
    <row r="18" spans="1:26" ht="15.75">
      <c r="A18" s="357" t="s">
        <v>150</v>
      </c>
      <c r="B18" s="358" t="s">
        <v>101</v>
      </c>
      <c r="C18" s="359" t="s">
        <v>153</v>
      </c>
      <c r="D18" s="364">
        <v>2500</v>
      </c>
      <c r="E18" s="361" t="s">
        <v>150</v>
      </c>
      <c r="F18" s="362" t="s">
        <v>150</v>
      </c>
      <c r="G18" s="362">
        <v>3</v>
      </c>
      <c r="H18" s="365">
        <v>7500</v>
      </c>
      <c r="J18" s="357" t="s">
        <v>150</v>
      </c>
      <c r="K18" s="358" t="s">
        <v>101</v>
      </c>
      <c r="L18" s="359" t="s">
        <v>153</v>
      </c>
      <c r="M18" s="364">
        <v>2500</v>
      </c>
      <c r="N18" s="361"/>
      <c r="O18" s="362"/>
      <c r="P18" s="362">
        <v>3</v>
      </c>
      <c r="Q18" s="286">
        <f t="shared" si="0"/>
        <v>7500</v>
      </c>
      <c r="S18" s="357" t="s">
        <v>150</v>
      </c>
      <c r="T18" s="358" t="s">
        <v>167</v>
      </c>
      <c r="U18" s="359" t="s">
        <v>153</v>
      </c>
      <c r="V18" s="364">
        <v>22000</v>
      </c>
      <c r="W18" s="361"/>
      <c r="X18" s="362"/>
      <c r="Y18" s="362">
        <v>1</v>
      </c>
      <c r="Z18" s="286">
        <f t="shared" si="1"/>
        <v>22000</v>
      </c>
    </row>
    <row r="19" spans="1:26" ht="15.75">
      <c r="A19" s="357" t="s">
        <v>150</v>
      </c>
      <c r="B19" s="358" t="s">
        <v>173</v>
      </c>
      <c r="C19" s="359" t="s">
        <v>153</v>
      </c>
      <c r="D19" s="364">
        <v>16900</v>
      </c>
      <c r="E19" s="361" t="s">
        <v>150</v>
      </c>
      <c r="F19" s="362" t="s">
        <v>150</v>
      </c>
      <c r="G19" s="362">
        <v>1</v>
      </c>
      <c r="H19" s="365">
        <v>16900</v>
      </c>
      <c r="J19" s="357" t="s">
        <v>150</v>
      </c>
      <c r="K19" s="358" t="s">
        <v>174</v>
      </c>
      <c r="L19" s="359" t="s">
        <v>153</v>
      </c>
      <c r="M19" s="364">
        <v>780</v>
      </c>
      <c r="N19" s="361"/>
      <c r="O19" s="362"/>
      <c r="P19" s="362">
        <v>3</v>
      </c>
      <c r="Q19" s="286">
        <f t="shared" ref="Q19:Q70" si="3">(N19+O19+P19)*M19</f>
        <v>2340</v>
      </c>
      <c r="S19" s="357" t="s">
        <v>150</v>
      </c>
      <c r="T19" s="358" t="s">
        <v>169</v>
      </c>
      <c r="U19" s="359" t="s">
        <v>153</v>
      </c>
      <c r="V19" s="364">
        <v>4900</v>
      </c>
      <c r="W19" s="361"/>
      <c r="X19" s="362"/>
      <c r="Y19" s="362">
        <v>1</v>
      </c>
      <c r="Z19" s="286">
        <f t="shared" si="1"/>
        <v>4900</v>
      </c>
    </row>
    <row r="20" spans="1:26" ht="15.75">
      <c r="A20" s="357" t="s">
        <v>150</v>
      </c>
      <c r="B20" s="358" t="s">
        <v>175</v>
      </c>
      <c r="C20" s="359" t="s">
        <v>153</v>
      </c>
      <c r="D20" s="364">
        <v>6000</v>
      </c>
      <c r="E20" s="361" t="s">
        <v>150</v>
      </c>
      <c r="F20" s="362" t="s">
        <v>150</v>
      </c>
      <c r="G20" s="362">
        <v>1</v>
      </c>
      <c r="H20" s="365">
        <v>6000</v>
      </c>
      <c r="J20" s="357" t="s">
        <v>150</v>
      </c>
      <c r="K20" s="358" t="s">
        <v>175</v>
      </c>
      <c r="L20" s="359" t="s">
        <v>153</v>
      </c>
      <c r="M20" s="364">
        <v>6000</v>
      </c>
      <c r="N20" s="361"/>
      <c r="O20" s="362"/>
      <c r="P20" s="362">
        <v>0</v>
      </c>
      <c r="Q20" s="286">
        <f t="shared" si="3"/>
        <v>0</v>
      </c>
      <c r="S20" s="357" t="s">
        <v>150</v>
      </c>
      <c r="T20" s="358" t="s">
        <v>172</v>
      </c>
      <c r="U20" s="359" t="s">
        <v>153</v>
      </c>
      <c r="V20" s="364">
        <v>2000</v>
      </c>
      <c r="W20" s="361"/>
      <c r="X20" s="362"/>
      <c r="Y20" s="362">
        <v>4</v>
      </c>
      <c r="Z20" s="286">
        <f t="shared" si="1"/>
        <v>8000</v>
      </c>
    </row>
    <row r="21" spans="1:26" ht="15.75">
      <c r="A21" s="357" t="s">
        <v>150</v>
      </c>
      <c r="B21" s="358" t="s">
        <v>85</v>
      </c>
      <c r="C21" s="359" t="s">
        <v>153</v>
      </c>
      <c r="D21" s="364">
        <v>5000</v>
      </c>
      <c r="E21" s="361" t="s">
        <v>150</v>
      </c>
      <c r="F21" s="362" t="s">
        <v>150</v>
      </c>
      <c r="G21" s="362">
        <v>3</v>
      </c>
      <c r="H21" s="365">
        <v>15000</v>
      </c>
      <c r="J21" s="357" t="s">
        <v>150</v>
      </c>
      <c r="K21" s="358" t="s">
        <v>85</v>
      </c>
      <c r="L21" s="359" t="s">
        <v>153</v>
      </c>
      <c r="M21" s="364">
        <v>5000</v>
      </c>
      <c r="N21" s="361"/>
      <c r="O21" s="362"/>
      <c r="P21" s="362">
        <v>0</v>
      </c>
      <c r="Q21" s="286">
        <f t="shared" si="3"/>
        <v>0</v>
      </c>
      <c r="S21" s="357" t="s">
        <v>150</v>
      </c>
      <c r="T21" s="358" t="s">
        <v>174</v>
      </c>
      <c r="U21" s="359" t="s">
        <v>153</v>
      </c>
      <c r="V21" s="364">
        <v>780</v>
      </c>
      <c r="W21" s="361"/>
      <c r="X21" s="362"/>
      <c r="Y21" s="362">
        <v>3</v>
      </c>
      <c r="Z21" s="286">
        <f t="shared" si="1"/>
        <v>2340</v>
      </c>
    </row>
    <row r="22" spans="1:26" ht="15.75">
      <c r="A22" s="357" t="s">
        <v>150</v>
      </c>
      <c r="B22" s="358" t="s">
        <v>16</v>
      </c>
      <c r="C22" s="359" t="s">
        <v>153</v>
      </c>
      <c r="D22" s="364">
        <v>1050</v>
      </c>
      <c r="E22" s="361" t="s">
        <v>150</v>
      </c>
      <c r="F22" s="362" t="s">
        <v>150</v>
      </c>
      <c r="G22" s="362">
        <v>9</v>
      </c>
      <c r="H22" s="365">
        <v>9450</v>
      </c>
      <c r="J22" s="357" t="s">
        <v>150</v>
      </c>
      <c r="K22" s="358" t="s">
        <v>16</v>
      </c>
      <c r="L22" s="359" t="s">
        <v>153</v>
      </c>
      <c r="M22" s="364">
        <v>1050</v>
      </c>
      <c r="N22" s="361"/>
      <c r="O22" s="362"/>
      <c r="P22" s="362">
        <v>9</v>
      </c>
      <c r="Q22" s="286">
        <f t="shared" si="3"/>
        <v>9450</v>
      </c>
      <c r="S22" s="357" t="s">
        <v>150</v>
      </c>
      <c r="T22" s="358" t="s">
        <v>16</v>
      </c>
      <c r="U22" s="359" t="s">
        <v>153</v>
      </c>
      <c r="V22" s="364">
        <v>1050</v>
      </c>
      <c r="W22" s="361"/>
      <c r="X22" s="362"/>
      <c r="Y22" s="362">
        <v>3</v>
      </c>
      <c r="Z22" s="286">
        <f t="shared" si="1"/>
        <v>3150</v>
      </c>
    </row>
    <row r="23" spans="1:26" ht="15.75">
      <c r="A23" s="357" t="s">
        <v>150</v>
      </c>
      <c r="B23" s="358" t="s">
        <v>176</v>
      </c>
      <c r="C23" s="359" t="s">
        <v>153</v>
      </c>
      <c r="D23" s="360">
        <v>450</v>
      </c>
      <c r="E23" s="361" t="s">
        <v>150</v>
      </c>
      <c r="F23" s="362" t="s">
        <v>150</v>
      </c>
      <c r="G23" s="362">
        <v>200</v>
      </c>
      <c r="H23" s="365">
        <v>90000</v>
      </c>
      <c r="J23" s="357" t="s">
        <v>150</v>
      </c>
      <c r="K23" s="358" t="s">
        <v>176</v>
      </c>
      <c r="L23" s="359" t="s">
        <v>153</v>
      </c>
      <c r="M23" s="360">
        <v>450</v>
      </c>
      <c r="N23" s="361">
        <v>33</v>
      </c>
      <c r="O23" s="362"/>
      <c r="P23" s="362">
        <v>200</v>
      </c>
      <c r="Q23" s="286">
        <f t="shared" si="3"/>
        <v>104850</v>
      </c>
      <c r="S23" s="357" t="s">
        <v>150</v>
      </c>
      <c r="T23" s="358" t="s">
        <v>176</v>
      </c>
      <c r="U23" s="359" t="s">
        <v>153</v>
      </c>
      <c r="V23" s="360">
        <v>450</v>
      </c>
      <c r="W23" s="361">
        <v>33</v>
      </c>
      <c r="X23" s="362"/>
      <c r="Y23" s="362">
        <v>200</v>
      </c>
      <c r="Z23" s="286">
        <f t="shared" si="1"/>
        <v>104850</v>
      </c>
    </row>
    <row r="24" spans="1:26" ht="15.75">
      <c r="A24" s="357" t="s">
        <v>150</v>
      </c>
      <c r="B24" s="358" t="s">
        <v>177</v>
      </c>
      <c r="C24" s="359" t="s">
        <v>171</v>
      </c>
      <c r="D24" s="364">
        <v>23000</v>
      </c>
      <c r="E24" s="361" t="s">
        <v>150</v>
      </c>
      <c r="F24" s="362" t="s">
        <v>150</v>
      </c>
      <c r="G24" s="362">
        <v>1</v>
      </c>
      <c r="H24" s="365">
        <v>23000</v>
      </c>
      <c r="J24" s="357" t="s">
        <v>150</v>
      </c>
      <c r="K24" s="358" t="s">
        <v>177</v>
      </c>
      <c r="L24" s="359" t="s">
        <v>171</v>
      </c>
      <c r="M24" s="364">
        <v>23000</v>
      </c>
      <c r="N24" s="361">
        <v>1</v>
      </c>
      <c r="O24" s="362"/>
      <c r="P24" s="362">
        <v>1</v>
      </c>
      <c r="Q24" s="286">
        <f t="shared" si="3"/>
        <v>46000</v>
      </c>
      <c r="S24" s="357" t="s">
        <v>150</v>
      </c>
      <c r="T24" s="358" t="s">
        <v>177</v>
      </c>
      <c r="U24" s="359" t="s">
        <v>171</v>
      </c>
      <c r="V24" s="364">
        <v>23000</v>
      </c>
      <c r="W24" s="361">
        <v>1</v>
      </c>
      <c r="X24" s="362"/>
      <c r="Y24" s="362">
        <v>1</v>
      </c>
      <c r="Z24" s="286">
        <f t="shared" si="1"/>
        <v>46000</v>
      </c>
    </row>
    <row r="25" spans="1:26" ht="15.75">
      <c r="A25" s="357" t="s">
        <v>150</v>
      </c>
      <c r="B25" s="358" t="s">
        <v>85</v>
      </c>
      <c r="C25" s="359" t="s">
        <v>171</v>
      </c>
      <c r="D25" s="364">
        <v>5000</v>
      </c>
      <c r="E25" s="361" t="s">
        <v>150</v>
      </c>
      <c r="F25" s="362" t="s">
        <v>150</v>
      </c>
      <c r="G25" s="362">
        <v>0</v>
      </c>
      <c r="H25" s="359">
        <v>0</v>
      </c>
      <c r="J25" s="357" t="s">
        <v>150</v>
      </c>
      <c r="K25" s="358" t="s">
        <v>85</v>
      </c>
      <c r="L25" s="359" t="s">
        <v>171</v>
      </c>
      <c r="M25" s="364">
        <v>5000</v>
      </c>
      <c r="N25" s="361"/>
      <c r="O25" s="362"/>
      <c r="P25" s="362">
        <v>0</v>
      </c>
      <c r="Q25" s="286">
        <f t="shared" si="3"/>
        <v>0</v>
      </c>
      <c r="S25" s="357" t="s">
        <v>150</v>
      </c>
      <c r="T25" s="358" t="s">
        <v>178</v>
      </c>
      <c r="U25" s="359" t="s">
        <v>171</v>
      </c>
      <c r="V25" s="364">
        <v>3500</v>
      </c>
      <c r="W25" s="361"/>
      <c r="X25" s="362"/>
      <c r="Y25" s="362">
        <v>2</v>
      </c>
      <c r="Z25" s="286">
        <f t="shared" si="1"/>
        <v>7000</v>
      </c>
    </row>
    <row r="26" spans="1:26" ht="15.75">
      <c r="A26" s="357" t="s">
        <v>150</v>
      </c>
      <c r="B26" s="358" t="s">
        <v>143</v>
      </c>
      <c r="C26" s="359" t="s">
        <v>171</v>
      </c>
      <c r="D26" s="364">
        <v>8000</v>
      </c>
      <c r="E26" s="361" t="s">
        <v>150</v>
      </c>
      <c r="F26" s="362" t="s">
        <v>150</v>
      </c>
      <c r="G26" s="362">
        <v>2</v>
      </c>
      <c r="H26" s="365">
        <v>16000</v>
      </c>
      <c r="J26" s="357" t="s">
        <v>150</v>
      </c>
      <c r="K26" s="358" t="s">
        <v>143</v>
      </c>
      <c r="L26" s="359" t="s">
        <v>171</v>
      </c>
      <c r="M26" s="364">
        <v>8000</v>
      </c>
      <c r="N26" s="361">
        <v>2</v>
      </c>
      <c r="O26" s="362"/>
      <c r="P26" s="362">
        <v>2</v>
      </c>
      <c r="Q26" s="286">
        <f t="shared" si="3"/>
        <v>32000</v>
      </c>
      <c r="S26" s="357" t="s">
        <v>150</v>
      </c>
      <c r="T26" s="358" t="s">
        <v>143</v>
      </c>
      <c r="U26" s="359" t="s">
        <v>171</v>
      </c>
      <c r="V26" s="364">
        <v>8000</v>
      </c>
      <c r="W26" s="361">
        <v>2</v>
      </c>
      <c r="X26" s="362"/>
      <c r="Y26" s="362">
        <v>2</v>
      </c>
      <c r="Z26" s="286">
        <f t="shared" si="1"/>
        <v>32000</v>
      </c>
    </row>
    <row r="27" spans="1:26" ht="15.75">
      <c r="A27" s="357" t="s">
        <v>150</v>
      </c>
      <c r="B27" s="358" t="s">
        <v>179</v>
      </c>
      <c r="C27" s="359" t="s">
        <v>171</v>
      </c>
      <c r="D27" s="364">
        <v>1500</v>
      </c>
      <c r="E27" s="361" t="s">
        <v>150</v>
      </c>
      <c r="F27" s="362" t="s">
        <v>150</v>
      </c>
      <c r="G27" s="362">
        <v>4</v>
      </c>
      <c r="H27" s="365">
        <v>6000</v>
      </c>
      <c r="J27" s="357" t="s">
        <v>150</v>
      </c>
      <c r="K27" s="358" t="s">
        <v>180</v>
      </c>
      <c r="L27" s="359" t="s">
        <v>171</v>
      </c>
      <c r="M27" s="364">
        <v>2000</v>
      </c>
      <c r="N27" s="361">
        <v>5</v>
      </c>
      <c r="O27" s="362"/>
      <c r="P27" s="362">
        <v>2</v>
      </c>
      <c r="Q27" s="286">
        <f t="shared" si="3"/>
        <v>14000</v>
      </c>
      <c r="S27" s="357" t="s">
        <v>150</v>
      </c>
      <c r="T27" s="358" t="s">
        <v>180</v>
      </c>
      <c r="U27" s="359" t="s">
        <v>171</v>
      </c>
      <c r="V27" s="364">
        <v>2000</v>
      </c>
      <c r="W27" s="361">
        <v>3</v>
      </c>
      <c r="X27" s="362"/>
      <c r="Y27" s="362">
        <v>4</v>
      </c>
      <c r="Z27" s="286">
        <f t="shared" si="1"/>
        <v>14000</v>
      </c>
    </row>
    <row r="28" spans="1:26" ht="15.75">
      <c r="A28" s="357" t="s">
        <v>150</v>
      </c>
      <c r="B28" s="358" t="s">
        <v>181</v>
      </c>
      <c r="C28" s="359" t="s">
        <v>171</v>
      </c>
      <c r="D28" s="364">
        <v>1800</v>
      </c>
      <c r="E28" s="361" t="s">
        <v>150</v>
      </c>
      <c r="F28" s="362" t="s">
        <v>150</v>
      </c>
      <c r="G28" s="362">
        <v>3</v>
      </c>
      <c r="H28" s="365">
        <v>5400</v>
      </c>
      <c r="J28" s="357" t="s">
        <v>150</v>
      </c>
      <c r="K28" s="358" t="s">
        <v>181</v>
      </c>
      <c r="L28" s="359" t="s">
        <v>171</v>
      </c>
      <c r="M28" s="364">
        <v>1800</v>
      </c>
      <c r="N28" s="361"/>
      <c r="O28" s="362"/>
      <c r="P28" s="362">
        <v>3</v>
      </c>
      <c r="Q28" s="286">
        <f t="shared" si="3"/>
        <v>5400</v>
      </c>
      <c r="S28" s="357" t="s">
        <v>150</v>
      </c>
      <c r="T28" s="358" t="s">
        <v>181</v>
      </c>
      <c r="U28" s="359" t="s">
        <v>171</v>
      </c>
      <c r="V28" s="364">
        <v>1800</v>
      </c>
      <c r="W28" s="361"/>
      <c r="X28" s="362"/>
      <c r="Y28" s="362">
        <v>3</v>
      </c>
      <c r="Z28" s="286">
        <f t="shared" si="1"/>
        <v>5400</v>
      </c>
    </row>
    <row r="29" spans="1:26" ht="15.75">
      <c r="A29" s="357" t="s">
        <v>150</v>
      </c>
      <c r="B29" s="358" t="s">
        <v>182</v>
      </c>
      <c r="C29" s="359" t="s">
        <v>171</v>
      </c>
      <c r="D29" s="364">
        <v>6000</v>
      </c>
      <c r="E29" s="361" t="s">
        <v>150</v>
      </c>
      <c r="F29" s="362" t="s">
        <v>150</v>
      </c>
      <c r="G29" s="362">
        <v>1</v>
      </c>
      <c r="H29" s="365">
        <v>6000</v>
      </c>
      <c r="J29" s="357" t="s">
        <v>150</v>
      </c>
      <c r="K29" s="358" t="s">
        <v>182</v>
      </c>
      <c r="L29" s="359" t="s">
        <v>171</v>
      </c>
      <c r="M29" s="364">
        <v>6000</v>
      </c>
      <c r="N29" s="361"/>
      <c r="O29" s="362"/>
      <c r="P29" s="362">
        <v>1</v>
      </c>
      <c r="Q29" s="286">
        <f t="shared" si="3"/>
        <v>6000</v>
      </c>
      <c r="S29" s="357" t="s">
        <v>150</v>
      </c>
      <c r="T29" s="358" t="s">
        <v>182</v>
      </c>
      <c r="U29" s="359" t="s">
        <v>171</v>
      </c>
      <c r="V29" s="364">
        <v>6000</v>
      </c>
      <c r="W29" s="361"/>
      <c r="X29" s="362"/>
      <c r="Y29" s="362">
        <v>1</v>
      </c>
      <c r="Z29" s="286">
        <f t="shared" si="1"/>
        <v>6000</v>
      </c>
    </row>
    <row r="30" spans="1:26" ht="15.75">
      <c r="A30" s="357" t="s">
        <v>150</v>
      </c>
      <c r="B30" s="358" t="s">
        <v>183</v>
      </c>
      <c r="C30" s="359" t="s">
        <v>171</v>
      </c>
      <c r="D30" s="364">
        <v>11892</v>
      </c>
      <c r="E30" s="361" t="s">
        <v>150</v>
      </c>
      <c r="F30" s="362" t="s">
        <v>150</v>
      </c>
      <c r="G30" s="362">
        <v>1</v>
      </c>
      <c r="H30" s="365">
        <v>11892</v>
      </c>
      <c r="J30" s="357" t="s">
        <v>150</v>
      </c>
      <c r="K30" s="358" t="s">
        <v>89</v>
      </c>
      <c r="L30" s="359" t="s">
        <v>171</v>
      </c>
      <c r="M30" s="360">
        <v>150</v>
      </c>
      <c r="N30" s="361">
        <v>33</v>
      </c>
      <c r="O30" s="362"/>
      <c r="P30" s="362">
        <v>200</v>
      </c>
      <c r="Q30" s="286">
        <f t="shared" ref="Q30:Q32" si="4">(N30+O30+P30)*M30</f>
        <v>34950</v>
      </c>
      <c r="S30" s="357" t="s">
        <v>150</v>
      </c>
      <c r="T30" s="358" t="s">
        <v>89</v>
      </c>
      <c r="U30" s="359" t="s">
        <v>171</v>
      </c>
      <c r="V30" s="360">
        <v>150</v>
      </c>
      <c r="W30" s="361">
        <v>33</v>
      </c>
      <c r="X30" s="362"/>
      <c r="Y30" s="362">
        <v>200</v>
      </c>
      <c r="Z30" s="286">
        <f t="shared" si="1"/>
        <v>34950</v>
      </c>
    </row>
    <row r="31" spans="1:26" ht="15.75">
      <c r="A31" s="357" t="s">
        <v>150</v>
      </c>
      <c r="B31" s="358" t="s">
        <v>184</v>
      </c>
      <c r="C31" s="359" t="s">
        <v>171</v>
      </c>
      <c r="D31" s="364">
        <v>2077</v>
      </c>
      <c r="E31" s="361" t="s">
        <v>150</v>
      </c>
      <c r="F31" s="362" t="s">
        <v>150</v>
      </c>
      <c r="G31" s="362" t="s">
        <v>150</v>
      </c>
      <c r="H31" s="359">
        <v>0</v>
      </c>
      <c r="J31" s="357" t="s">
        <v>150</v>
      </c>
      <c r="K31" s="358" t="s">
        <v>185</v>
      </c>
      <c r="L31" s="359" t="s">
        <v>171</v>
      </c>
      <c r="M31" s="364">
        <v>5000</v>
      </c>
      <c r="N31" s="361"/>
      <c r="O31" s="362"/>
      <c r="P31" s="362"/>
      <c r="Q31" s="286">
        <f t="shared" si="4"/>
        <v>0</v>
      </c>
      <c r="S31" s="357" t="s">
        <v>150</v>
      </c>
      <c r="T31" s="358" t="s">
        <v>16</v>
      </c>
      <c r="U31" s="359" t="s">
        <v>171</v>
      </c>
      <c r="V31" s="364">
        <v>1050</v>
      </c>
      <c r="W31" s="361"/>
      <c r="X31" s="362"/>
      <c r="Y31" s="362">
        <v>6</v>
      </c>
      <c r="Z31" s="286">
        <f t="shared" si="1"/>
        <v>6300</v>
      </c>
    </row>
    <row r="32" spans="1:26" ht="15.75">
      <c r="A32" s="357" t="s">
        <v>150</v>
      </c>
      <c r="B32" s="358" t="s">
        <v>186</v>
      </c>
      <c r="C32" s="359" t="s">
        <v>171</v>
      </c>
      <c r="D32" s="364">
        <v>4383</v>
      </c>
      <c r="E32" s="361" t="s">
        <v>150</v>
      </c>
      <c r="F32" s="362" t="s">
        <v>150</v>
      </c>
      <c r="G32" s="362" t="s">
        <v>150</v>
      </c>
      <c r="H32" s="359">
        <v>0</v>
      </c>
      <c r="J32" s="357" t="s">
        <v>150</v>
      </c>
      <c r="K32" s="358" t="s">
        <v>16</v>
      </c>
      <c r="L32" s="359" t="s">
        <v>171</v>
      </c>
      <c r="M32" s="364">
        <v>1050</v>
      </c>
      <c r="N32" s="361"/>
      <c r="O32" s="362"/>
      <c r="P32" s="362">
        <v>4</v>
      </c>
      <c r="Q32" s="286">
        <f t="shared" si="4"/>
        <v>4200</v>
      </c>
      <c r="S32" s="357" t="s">
        <v>187</v>
      </c>
      <c r="T32" s="358" t="s">
        <v>188</v>
      </c>
      <c r="U32" s="359" t="s">
        <v>189</v>
      </c>
      <c r="V32" s="360">
        <v>150</v>
      </c>
      <c r="W32" s="361"/>
      <c r="X32" s="362"/>
      <c r="Y32" s="362">
        <v>300</v>
      </c>
      <c r="Z32" s="286">
        <f t="shared" si="1"/>
        <v>45000</v>
      </c>
    </row>
    <row r="33" spans="1:26" ht="15.75">
      <c r="A33" s="357" t="s">
        <v>150</v>
      </c>
      <c r="B33" s="358" t="s">
        <v>150</v>
      </c>
      <c r="C33" s="359" t="s">
        <v>171</v>
      </c>
      <c r="D33" s="364">
        <v>1100</v>
      </c>
      <c r="E33" s="361" t="s">
        <v>150</v>
      </c>
      <c r="F33" s="362" t="s">
        <v>150</v>
      </c>
      <c r="G33" s="362" t="s">
        <v>150</v>
      </c>
      <c r="H33" s="359">
        <v>0</v>
      </c>
      <c r="J33" s="357" t="s">
        <v>150</v>
      </c>
      <c r="K33" s="358" t="s">
        <v>156</v>
      </c>
      <c r="L33" s="359" t="s">
        <v>171</v>
      </c>
      <c r="M33" s="364">
        <v>7306</v>
      </c>
      <c r="N33" s="361"/>
      <c r="O33" s="362">
        <v>1</v>
      </c>
      <c r="P33" s="362"/>
      <c r="Q33" s="286">
        <f t="shared" si="3"/>
        <v>7306</v>
      </c>
      <c r="S33" s="357" t="s">
        <v>150</v>
      </c>
      <c r="T33" s="358" t="s">
        <v>177</v>
      </c>
      <c r="U33" s="359" t="s">
        <v>189</v>
      </c>
      <c r="V33" s="364">
        <v>20000</v>
      </c>
      <c r="W33" s="361"/>
      <c r="X33" s="362"/>
      <c r="Y33" s="362">
        <v>2</v>
      </c>
      <c r="Z33" s="286">
        <f t="shared" si="1"/>
        <v>40000</v>
      </c>
    </row>
    <row r="34" spans="1:26" ht="15.75">
      <c r="A34" s="357" t="s">
        <v>150</v>
      </c>
      <c r="B34" s="358" t="s">
        <v>89</v>
      </c>
      <c r="C34" s="359" t="s">
        <v>171</v>
      </c>
      <c r="D34" s="360">
        <v>150</v>
      </c>
      <c r="E34" s="361">
        <v>33</v>
      </c>
      <c r="F34" s="362" t="s">
        <v>150</v>
      </c>
      <c r="G34" s="362">
        <v>200</v>
      </c>
      <c r="H34" s="365">
        <v>34950</v>
      </c>
      <c r="J34" s="357" t="s">
        <v>150</v>
      </c>
      <c r="K34" s="358" t="s">
        <v>158</v>
      </c>
      <c r="L34" s="359" t="s">
        <v>171</v>
      </c>
      <c r="M34" s="360">
        <v>14000</v>
      </c>
      <c r="N34" s="361"/>
      <c r="O34" s="362">
        <v>1</v>
      </c>
      <c r="P34" s="362"/>
      <c r="Q34" s="286">
        <f t="shared" si="3"/>
        <v>14000</v>
      </c>
      <c r="S34" s="357" t="s">
        <v>150</v>
      </c>
      <c r="T34" s="358" t="s">
        <v>190</v>
      </c>
      <c r="U34" s="359" t="s">
        <v>189</v>
      </c>
      <c r="V34" s="364">
        <v>7300</v>
      </c>
      <c r="W34" s="361"/>
      <c r="X34" s="362"/>
      <c r="Y34" s="362">
        <v>1</v>
      </c>
      <c r="Z34" s="286">
        <f t="shared" si="1"/>
        <v>7300</v>
      </c>
    </row>
    <row r="35" spans="1:26" ht="15.75">
      <c r="A35" s="357" t="s">
        <v>150</v>
      </c>
      <c r="B35" s="358" t="s">
        <v>185</v>
      </c>
      <c r="C35" s="359" t="s">
        <v>171</v>
      </c>
      <c r="D35" s="364">
        <v>5000</v>
      </c>
      <c r="E35" s="361" t="s">
        <v>150</v>
      </c>
      <c r="F35" s="362" t="s">
        <v>150</v>
      </c>
      <c r="G35" s="362" t="s">
        <v>150</v>
      </c>
      <c r="H35" s="359">
        <v>0</v>
      </c>
      <c r="J35" s="357" t="s">
        <v>150</v>
      </c>
      <c r="K35" s="358" t="s">
        <v>160</v>
      </c>
      <c r="L35" s="359" t="s">
        <v>171</v>
      </c>
      <c r="M35" s="364">
        <v>5000</v>
      </c>
      <c r="N35" s="361"/>
      <c r="O35" s="362">
        <v>1</v>
      </c>
      <c r="P35" s="362"/>
      <c r="Q35" s="286">
        <f t="shared" si="3"/>
        <v>5000</v>
      </c>
      <c r="S35" s="357" t="s">
        <v>150</v>
      </c>
      <c r="T35" s="358" t="s">
        <v>191</v>
      </c>
      <c r="U35" s="359" t="s">
        <v>189</v>
      </c>
      <c r="V35" s="364">
        <v>7300</v>
      </c>
      <c r="W35" s="361"/>
      <c r="X35" s="362"/>
      <c r="Y35" s="362">
        <v>3</v>
      </c>
      <c r="Z35" s="286">
        <f t="shared" si="1"/>
        <v>21900</v>
      </c>
    </row>
    <row r="36" spans="1:26" ht="15.75">
      <c r="A36" s="357" t="s">
        <v>150</v>
      </c>
      <c r="B36" s="358" t="s">
        <v>16</v>
      </c>
      <c r="C36" s="359" t="s">
        <v>171</v>
      </c>
      <c r="D36" s="364">
        <v>1050</v>
      </c>
      <c r="E36" s="361" t="s">
        <v>150</v>
      </c>
      <c r="F36" s="362" t="s">
        <v>150</v>
      </c>
      <c r="G36" s="362">
        <v>6</v>
      </c>
      <c r="H36" s="365">
        <v>6300</v>
      </c>
      <c r="J36" s="357" t="s">
        <v>150</v>
      </c>
      <c r="K36" s="358" t="s">
        <v>162</v>
      </c>
      <c r="L36" s="359" t="s">
        <v>171</v>
      </c>
      <c r="M36" s="364">
        <v>30624</v>
      </c>
      <c r="N36" s="361">
        <v>1</v>
      </c>
      <c r="O36" s="362"/>
      <c r="P36" s="362"/>
      <c r="Q36" s="286">
        <f t="shared" si="3"/>
        <v>30624</v>
      </c>
      <c r="S36" s="357" t="s">
        <v>150</v>
      </c>
      <c r="T36" s="358" t="s">
        <v>192</v>
      </c>
      <c r="U36" s="359" t="s">
        <v>189</v>
      </c>
      <c r="V36" s="364">
        <v>5500</v>
      </c>
      <c r="W36" s="361"/>
      <c r="X36" s="362"/>
      <c r="Y36" s="362">
        <v>1</v>
      </c>
      <c r="Z36" s="286">
        <f t="shared" si="1"/>
        <v>5500</v>
      </c>
    </row>
    <row r="37" spans="1:26" ht="15.75">
      <c r="A37" s="357" t="s">
        <v>193</v>
      </c>
      <c r="B37" s="358" t="s">
        <v>188</v>
      </c>
      <c r="C37" s="359" t="s">
        <v>189</v>
      </c>
      <c r="D37" s="360">
        <v>150</v>
      </c>
      <c r="E37" s="361" t="s">
        <v>150</v>
      </c>
      <c r="F37" s="362" t="s">
        <v>150</v>
      </c>
      <c r="G37" s="362">
        <v>300</v>
      </c>
      <c r="H37" s="365">
        <v>45000</v>
      </c>
      <c r="J37" s="357" t="s">
        <v>187</v>
      </c>
      <c r="K37" s="358" t="s">
        <v>188</v>
      </c>
      <c r="L37" s="359" t="s">
        <v>189</v>
      </c>
      <c r="M37" s="360">
        <v>150</v>
      </c>
      <c r="N37" s="361"/>
      <c r="O37" s="362"/>
      <c r="P37" s="362">
        <v>300</v>
      </c>
      <c r="Q37" s="286">
        <f t="shared" si="3"/>
        <v>45000</v>
      </c>
      <c r="S37" s="357" t="s">
        <v>150</v>
      </c>
      <c r="T37" s="358" t="s">
        <v>194</v>
      </c>
      <c r="U37" s="359" t="s">
        <v>189</v>
      </c>
      <c r="V37" s="364">
        <v>6000</v>
      </c>
      <c r="W37" s="361"/>
      <c r="X37" s="362"/>
      <c r="Y37" s="362">
        <v>1</v>
      </c>
      <c r="Z37" s="286">
        <f t="shared" si="1"/>
        <v>6000</v>
      </c>
    </row>
    <row r="38" spans="1:26" ht="15.75">
      <c r="A38" s="357" t="s">
        <v>150</v>
      </c>
      <c r="B38" s="358" t="s">
        <v>177</v>
      </c>
      <c r="C38" s="359" t="s">
        <v>189</v>
      </c>
      <c r="D38" s="364">
        <v>20000</v>
      </c>
      <c r="E38" s="361" t="s">
        <v>150</v>
      </c>
      <c r="F38" s="362" t="s">
        <v>150</v>
      </c>
      <c r="G38" s="362">
        <v>2</v>
      </c>
      <c r="H38" s="365">
        <v>40000</v>
      </c>
      <c r="J38" s="357" t="s">
        <v>150</v>
      </c>
      <c r="K38" s="358" t="s">
        <v>177</v>
      </c>
      <c r="L38" s="359" t="s">
        <v>189</v>
      </c>
      <c r="M38" s="364">
        <v>20000</v>
      </c>
      <c r="N38" s="361"/>
      <c r="O38" s="362"/>
      <c r="P38" s="362">
        <v>2</v>
      </c>
      <c r="Q38" s="286">
        <f t="shared" si="3"/>
        <v>40000</v>
      </c>
      <c r="S38" s="357" t="s">
        <v>150</v>
      </c>
      <c r="T38" s="358" t="s">
        <v>195</v>
      </c>
      <c r="U38" s="359" t="s">
        <v>189</v>
      </c>
      <c r="V38" s="364">
        <v>9000</v>
      </c>
      <c r="W38" s="361"/>
      <c r="X38" s="362"/>
      <c r="Y38" s="362">
        <v>1</v>
      </c>
      <c r="Z38" s="286">
        <f t="shared" si="1"/>
        <v>9000</v>
      </c>
    </row>
    <row r="39" spans="1:26" ht="15.75">
      <c r="A39" s="357" t="s">
        <v>150</v>
      </c>
      <c r="B39" s="358" t="s">
        <v>196</v>
      </c>
      <c r="C39" s="359" t="s">
        <v>189</v>
      </c>
      <c r="D39" s="364">
        <v>6500</v>
      </c>
      <c r="E39" s="361" t="s">
        <v>150</v>
      </c>
      <c r="F39" s="362" t="s">
        <v>150</v>
      </c>
      <c r="G39" s="362">
        <v>1</v>
      </c>
      <c r="H39" s="365">
        <v>6500</v>
      </c>
      <c r="J39" s="357" t="s">
        <v>150</v>
      </c>
      <c r="K39" s="358" t="s">
        <v>196</v>
      </c>
      <c r="L39" s="359" t="s">
        <v>189</v>
      </c>
      <c r="M39" s="364">
        <v>6500</v>
      </c>
      <c r="N39" s="361"/>
      <c r="O39" s="362"/>
      <c r="P39" s="362"/>
      <c r="Q39" s="286">
        <f t="shared" si="3"/>
        <v>0</v>
      </c>
      <c r="S39" s="357" t="s">
        <v>150</v>
      </c>
      <c r="T39" s="358" t="s">
        <v>197</v>
      </c>
      <c r="U39" s="359" t="s">
        <v>189</v>
      </c>
      <c r="V39" s="364">
        <v>4000</v>
      </c>
      <c r="W39" s="361"/>
      <c r="X39" s="362"/>
      <c r="Y39" s="362">
        <v>1</v>
      </c>
      <c r="Z39" s="286">
        <f t="shared" si="1"/>
        <v>4000</v>
      </c>
    </row>
    <row r="40" spans="1:26" ht="15.75">
      <c r="A40" s="357" t="s">
        <v>150</v>
      </c>
      <c r="B40" s="358" t="s">
        <v>198</v>
      </c>
      <c r="C40" s="359" t="s">
        <v>189</v>
      </c>
      <c r="D40" s="364">
        <v>6000</v>
      </c>
      <c r="E40" s="361" t="s">
        <v>150</v>
      </c>
      <c r="F40" s="362" t="s">
        <v>150</v>
      </c>
      <c r="G40" s="362">
        <v>1</v>
      </c>
      <c r="H40" s="365">
        <v>6000</v>
      </c>
      <c r="J40" s="357" t="s">
        <v>150</v>
      </c>
      <c r="K40" s="358" t="s">
        <v>198</v>
      </c>
      <c r="L40" s="359" t="s">
        <v>189</v>
      </c>
      <c r="M40" s="364">
        <v>6000</v>
      </c>
      <c r="N40" s="361"/>
      <c r="O40" s="362"/>
      <c r="P40" s="362"/>
      <c r="Q40" s="286">
        <f t="shared" si="3"/>
        <v>0</v>
      </c>
      <c r="S40" s="357" t="s">
        <v>150</v>
      </c>
      <c r="T40" s="358" t="s">
        <v>199</v>
      </c>
      <c r="U40" s="359" t="s">
        <v>189</v>
      </c>
      <c r="V40" s="364">
        <v>10000</v>
      </c>
      <c r="W40" s="361"/>
      <c r="X40" s="362"/>
      <c r="Y40" s="362">
        <v>1</v>
      </c>
      <c r="Z40" s="286">
        <f t="shared" si="1"/>
        <v>10000</v>
      </c>
    </row>
    <row r="41" spans="1:26" ht="15.75">
      <c r="A41" s="357" t="s">
        <v>150</v>
      </c>
      <c r="B41" s="358" t="s">
        <v>159</v>
      </c>
      <c r="C41" s="359" t="s">
        <v>189</v>
      </c>
      <c r="D41" s="364">
        <v>25000</v>
      </c>
      <c r="E41" s="361" t="s">
        <v>150</v>
      </c>
      <c r="F41" s="362" t="s">
        <v>150</v>
      </c>
      <c r="G41" s="362">
        <v>1</v>
      </c>
      <c r="H41" s="365">
        <v>25000</v>
      </c>
      <c r="J41" s="357" t="s">
        <v>150</v>
      </c>
      <c r="K41" s="358" t="s">
        <v>159</v>
      </c>
      <c r="L41" s="359" t="s">
        <v>189</v>
      </c>
      <c r="M41" s="364">
        <v>25000</v>
      </c>
      <c r="N41" s="361"/>
      <c r="O41" s="362"/>
      <c r="P41" s="362">
        <v>1</v>
      </c>
      <c r="Q41" s="286">
        <f t="shared" si="3"/>
        <v>25000</v>
      </c>
      <c r="S41" s="357" t="s">
        <v>150</v>
      </c>
      <c r="T41" s="358" t="s">
        <v>85</v>
      </c>
      <c r="U41" s="359" t="s">
        <v>189</v>
      </c>
      <c r="V41" s="364">
        <v>5000</v>
      </c>
      <c r="W41" s="361"/>
      <c r="X41" s="362"/>
      <c r="Y41" s="362">
        <v>2</v>
      </c>
      <c r="Z41" s="286">
        <f t="shared" si="1"/>
        <v>10000</v>
      </c>
    </row>
    <row r="42" spans="1:26" ht="15.75">
      <c r="A42" s="357" t="s">
        <v>150</v>
      </c>
      <c r="B42" s="358" t="s">
        <v>165</v>
      </c>
      <c r="C42" s="359" t="s">
        <v>189</v>
      </c>
      <c r="D42" s="364">
        <v>15000</v>
      </c>
      <c r="E42" s="361" t="s">
        <v>150</v>
      </c>
      <c r="F42" s="362">
        <v>3</v>
      </c>
      <c r="G42" s="362" t="s">
        <v>150</v>
      </c>
      <c r="H42" s="365">
        <v>45000</v>
      </c>
      <c r="J42" s="357" t="s">
        <v>150</v>
      </c>
      <c r="K42" s="358" t="s">
        <v>165</v>
      </c>
      <c r="L42" s="359" t="s">
        <v>189</v>
      </c>
      <c r="M42" s="364">
        <v>15000</v>
      </c>
      <c r="N42" s="361"/>
      <c r="O42" s="362"/>
      <c r="P42" s="362"/>
      <c r="Q42" s="286">
        <f t="shared" si="3"/>
        <v>0</v>
      </c>
      <c r="S42" s="357" t="s">
        <v>150</v>
      </c>
      <c r="T42" s="358" t="s">
        <v>200</v>
      </c>
      <c r="U42" s="359" t="s">
        <v>189</v>
      </c>
      <c r="V42" s="364">
        <v>7800</v>
      </c>
      <c r="W42" s="361"/>
      <c r="X42" s="362"/>
      <c r="Y42" s="362">
        <v>1</v>
      </c>
      <c r="Z42" s="286">
        <f t="shared" si="1"/>
        <v>7800</v>
      </c>
    </row>
    <row r="43" spans="1:26" ht="15.75">
      <c r="A43" s="357" t="s">
        <v>150</v>
      </c>
      <c r="B43" s="358" t="s">
        <v>101</v>
      </c>
      <c r="C43" s="359" t="s">
        <v>189</v>
      </c>
      <c r="D43" s="364">
        <v>3500</v>
      </c>
      <c r="E43" s="361" t="s">
        <v>150</v>
      </c>
      <c r="F43" s="362" t="s">
        <v>150</v>
      </c>
      <c r="G43" s="362">
        <v>3</v>
      </c>
      <c r="H43" s="365">
        <v>10500</v>
      </c>
      <c r="J43" s="357" t="s">
        <v>150</v>
      </c>
      <c r="K43" s="358" t="s">
        <v>101</v>
      </c>
      <c r="L43" s="359" t="s">
        <v>189</v>
      </c>
      <c r="M43" s="364">
        <v>3500</v>
      </c>
      <c r="N43" s="361"/>
      <c r="O43" s="362"/>
      <c r="P43" s="362">
        <v>3</v>
      </c>
      <c r="Q43" s="286">
        <f t="shared" si="3"/>
        <v>10500</v>
      </c>
      <c r="S43" s="357" t="s">
        <v>150</v>
      </c>
      <c r="T43" s="358" t="s">
        <v>180</v>
      </c>
      <c r="U43" s="359" t="s">
        <v>189</v>
      </c>
      <c r="V43" s="364">
        <v>2000</v>
      </c>
      <c r="W43" s="361"/>
      <c r="X43" s="362"/>
      <c r="Y43" s="362">
        <v>2</v>
      </c>
      <c r="Z43" s="286">
        <f t="shared" si="1"/>
        <v>4000</v>
      </c>
    </row>
    <row r="44" spans="1:26" ht="15.75">
      <c r="A44" s="357" t="s">
        <v>150</v>
      </c>
      <c r="B44" s="358" t="s">
        <v>201</v>
      </c>
      <c r="C44" s="359" t="s">
        <v>189</v>
      </c>
      <c r="D44" s="364">
        <v>5000</v>
      </c>
      <c r="E44" s="361" t="s">
        <v>150</v>
      </c>
      <c r="F44" s="362" t="s">
        <v>150</v>
      </c>
      <c r="G44" s="362">
        <v>1</v>
      </c>
      <c r="H44" s="365">
        <v>5000</v>
      </c>
      <c r="J44" s="357" t="s">
        <v>150</v>
      </c>
      <c r="K44" s="358" t="s">
        <v>201</v>
      </c>
      <c r="L44" s="359" t="s">
        <v>189</v>
      </c>
      <c r="M44" s="364">
        <v>5000</v>
      </c>
      <c r="N44" s="361"/>
      <c r="O44" s="362"/>
      <c r="P44" s="362">
        <v>1</v>
      </c>
      <c r="Q44" s="286">
        <f t="shared" si="3"/>
        <v>5000</v>
      </c>
      <c r="S44" s="366" t="s">
        <v>150</v>
      </c>
      <c r="T44" s="358" t="s">
        <v>202</v>
      </c>
      <c r="U44" s="359" t="s">
        <v>189</v>
      </c>
      <c r="V44" s="364">
        <v>9900</v>
      </c>
      <c r="W44" s="361"/>
      <c r="X44" s="362"/>
      <c r="Y44" s="362">
        <v>1</v>
      </c>
      <c r="Z44" s="286">
        <f t="shared" si="1"/>
        <v>9900</v>
      </c>
    </row>
    <row r="45" spans="1:26" ht="15.75">
      <c r="A45" s="357" t="s">
        <v>150</v>
      </c>
      <c r="B45" s="358" t="s">
        <v>203</v>
      </c>
      <c r="C45" s="359" t="s">
        <v>189</v>
      </c>
      <c r="D45" s="364">
        <v>3000</v>
      </c>
      <c r="E45" s="361" t="s">
        <v>150</v>
      </c>
      <c r="F45" s="362" t="s">
        <v>150</v>
      </c>
      <c r="G45" s="362">
        <v>1</v>
      </c>
      <c r="H45" s="365">
        <v>3000</v>
      </c>
      <c r="J45" s="357" t="s">
        <v>150</v>
      </c>
      <c r="K45" s="358" t="s">
        <v>203</v>
      </c>
      <c r="L45" s="359" t="s">
        <v>189</v>
      </c>
      <c r="M45" s="364">
        <v>3000</v>
      </c>
      <c r="N45" s="361"/>
      <c r="O45" s="362"/>
      <c r="P45" s="362">
        <v>1</v>
      </c>
      <c r="Q45" s="286">
        <f t="shared" si="3"/>
        <v>3000</v>
      </c>
      <c r="S45" s="357" t="s">
        <v>150</v>
      </c>
      <c r="T45" s="358" t="s">
        <v>173</v>
      </c>
      <c r="U45" s="359" t="s">
        <v>189</v>
      </c>
      <c r="V45" s="364">
        <v>16900</v>
      </c>
      <c r="W45" s="361"/>
      <c r="X45" s="362"/>
      <c r="Y45" s="362">
        <v>1</v>
      </c>
      <c r="Z45" s="286">
        <f t="shared" si="1"/>
        <v>16900</v>
      </c>
    </row>
    <row r="46" spans="1:26" ht="15.75">
      <c r="A46" s="357" t="s">
        <v>150</v>
      </c>
      <c r="B46" s="358" t="s">
        <v>204</v>
      </c>
      <c r="C46" s="359" t="s">
        <v>189</v>
      </c>
      <c r="D46" s="364">
        <v>14850</v>
      </c>
      <c r="E46" s="361" t="s">
        <v>150</v>
      </c>
      <c r="F46" s="362" t="s">
        <v>150</v>
      </c>
      <c r="G46" s="362">
        <v>1</v>
      </c>
      <c r="H46" s="365">
        <v>14850</v>
      </c>
      <c r="J46" s="357" t="s">
        <v>150</v>
      </c>
      <c r="K46" s="358" t="s">
        <v>204</v>
      </c>
      <c r="L46" s="359" t="s">
        <v>189</v>
      </c>
      <c r="M46" s="364">
        <v>14850</v>
      </c>
      <c r="N46" s="361"/>
      <c r="O46" s="362"/>
      <c r="P46" s="362">
        <v>1</v>
      </c>
      <c r="Q46" s="286">
        <f t="shared" si="3"/>
        <v>14850</v>
      </c>
      <c r="S46" s="366" t="s">
        <v>150</v>
      </c>
      <c r="T46" s="358" t="s">
        <v>16</v>
      </c>
      <c r="U46" s="359" t="s">
        <v>189</v>
      </c>
      <c r="V46" s="364">
        <v>1050</v>
      </c>
      <c r="W46" s="361"/>
      <c r="X46" s="362"/>
      <c r="Y46" s="362">
        <v>9</v>
      </c>
      <c r="Z46" s="286">
        <f t="shared" si="1"/>
        <v>9450</v>
      </c>
    </row>
    <row r="47" spans="1:26" ht="15.75">
      <c r="A47" s="357" t="s">
        <v>150</v>
      </c>
      <c r="B47" s="358" t="s">
        <v>199</v>
      </c>
      <c r="C47" s="359" t="s">
        <v>189</v>
      </c>
      <c r="D47" s="364">
        <v>10000</v>
      </c>
      <c r="E47" s="361" t="s">
        <v>150</v>
      </c>
      <c r="F47" s="362" t="s">
        <v>150</v>
      </c>
      <c r="G47" s="362">
        <v>1</v>
      </c>
      <c r="H47" s="365">
        <v>10000</v>
      </c>
      <c r="J47" s="357" t="s">
        <v>150</v>
      </c>
      <c r="K47" s="358" t="s">
        <v>199</v>
      </c>
      <c r="L47" s="359" t="s">
        <v>189</v>
      </c>
      <c r="M47" s="364">
        <v>10000</v>
      </c>
      <c r="N47" s="361"/>
      <c r="O47" s="362"/>
      <c r="P47" s="362">
        <v>1</v>
      </c>
      <c r="Q47" s="286">
        <f t="shared" si="3"/>
        <v>10000</v>
      </c>
      <c r="S47" s="366" t="s">
        <v>150</v>
      </c>
      <c r="T47" s="358" t="s">
        <v>205</v>
      </c>
      <c r="U47" s="359" t="s">
        <v>206</v>
      </c>
      <c r="V47" s="364">
        <v>1500</v>
      </c>
      <c r="W47" s="361"/>
      <c r="X47" s="362"/>
      <c r="Y47" s="362">
        <v>1</v>
      </c>
      <c r="Z47" s="286">
        <f t="shared" si="1"/>
        <v>1500</v>
      </c>
    </row>
    <row r="48" spans="1:26" ht="15.75">
      <c r="A48" s="357" t="s">
        <v>150</v>
      </c>
      <c r="B48" s="358" t="s">
        <v>85</v>
      </c>
      <c r="C48" s="359" t="s">
        <v>189</v>
      </c>
      <c r="D48" s="364">
        <v>5000</v>
      </c>
      <c r="E48" s="361" t="s">
        <v>150</v>
      </c>
      <c r="F48" s="362" t="s">
        <v>150</v>
      </c>
      <c r="G48" s="362">
        <v>2</v>
      </c>
      <c r="H48" s="365">
        <v>10000</v>
      </c>
      <c r="J48" s="357" t="s">
        <v>150</v>
      </c>
      <c r="K48" s="358" t="s">
        <v>85</v>
      </c>
      <c r="L48" s="359" t="s">
        <v>189</v>
      </c>
      <c r="M48" s="364">
        <v>5000</v>
      </c>
      <c r="N48" s="361"/>
      <c r="O48" s="362"/>
      <c r="P48" s="362">
        <v>2</v>
      </c>
      <c r="Q48" s="286">
        <f t="shared" si="3"/>
        <v>10000</v>
      </c>
      <c r="S48" s="366" t="s">
        <v>150</v>
      </c>
      <c r="T48" s="358" t="s">
        <v>179</v>
      </c>
      <c r="U48" s="359" t="s">
        <v>206</v>
      </c>
      <c r="V48" s="364">
        <v>2000</v>
      </c>
      <c r="W48" s="361"/>
      <c r="X48" s="362"/>
      <c r="Y48" s="362">
        <v>1</v>
      </c>
      <c r="Z48" s="286">
        <f t="shared" si="1"/>
        <v>2000</v>
      </c>
    </row>
    <row r="49" spans="1:26" ht="15.75">
      <c r="A49" s="357" t="s">
        <v>150</v>
      </c>
      <c r="B49" s="358" t="s">
        <v>200</v>
      </c>
      <c r="C49" s="359" t="s">
        <v>189</v>
      </c>
      <c r="D49" s="364">
        <v>7800</v>
      </c>
      <c r="E49" s="361" t="s">
        <v>150</v>
      </c>
      <c r="F49" s="362" t="s">
        <v>150</v>
      </c>
      <c r="G49" s="362">
        <v>1</v>
      </c>
      <c r="H49" s="365">
        <v>7800</v>
      </c>
      <c r="J49" s="357" t="s">
        <v>150</v>
      </c>
      <c r="K49" s="358" t="s">
        <v>200</v>
      </c>
      <c r="L49" s="359" t="s">
        <v>189</v>
      </c>
      <c r="M49" s="364">
        <v>7800</v>
      </c>
      <c r="N49" s="361"/>
      <c r="O49" s="362"/>
      <c r="P49" s="362">
        <v>1</v>
      </c>
      <c r="Q49" s="286">
        <f t="shared" si="3"/>
        <v>7800</v>
      </c>
      <c r="S49" s="366" t="s">
        <v>150</v>
      </c>
      <c r="T49" s="358" t="s">
        <v>101</v>
      </c>
      <c r="U49" s="359" t="s">
        <v>206</v>
      </c>
      <c r="V49" s="364">
        <v>1800</v>
      </c>
      <c r="W49" s="361"/>
      <c r="X49" s="362"/>
      <c r="Y49" s="362">
        <v>1</v>
      </c>
      <c r="Z49" s="286">
        <f t="shared" si="1"/>
        <v>1800</v>
      </c>
    </row>
    <row r="50" spans="1:26" ht="15.75">
      <c r="A50" s="357" t="s">
        <v>150</v>
      </c>
      <c r="B50" s="358" t="s">
        <v>179</v>
      </c>
      <c r="C50" s="359" t="s">
        <v>189</v>
      </c>
      <c r="D50" s="364">
        <v>1500</v>
      </c>
      <c r="E50" s="361" t="s">
        <v>150</v>
      </c>
      <c r="F50" s="362" t="s">
        <v>150</v>
      </c>
      <c r="G50" s="362">
        <v>2</v>
      </c>
      <c r="H50" s="365">
        <v>3000</v>
      </c>
      <c r="J50" s="357" t="s">
        <v>150</v>
      </c>
      <c r="K50" s="358" t="s">
        <v>180</v>
      </c>
      <c r="L50" s="359" t="s">
        <v>189</v>
      </c>
      <c r="M50" s="364">
        <v>2000</v>
      </c>
      <c r="N50" s="361"/>
      <c r="O50" s="362"/>
      <c r="P50" s="362">
        <v>4</v>
      </c>
      <c r="Q50" s="286">
        <f t="shared" si="3"/>
        <v>8000</v>
      </c>
      <c r="S50" s="366"/>
      <c r="T50" s="358" t="s">
        <v>207</v>
      </c>
      <c r="U50" s="359" t="s">
        <v>206</v>
      </c>
      <c r="V50" s="364">
        <v>5500</v>
      </c>
      <c r="W50" s="361"/>
      <c r="X50" s="362"/>
      <c r="Y50" s="362">
        <v>1</v>
      </c>
      <c r="Z50" s="286">
        <f t="shared" si="1"/>
        <v>5500</v>
      </c>
    </row>
    <row r="51" spans="1:26" ht="15.75">
      <c r="A51" s="357" t="s">
        <v>150</v>
      </c>
      <c r="B51" s="358" t="s">
        <v>208</v>
      </c>
      <c r="C51" s="359" t="s">
        <v>189</v>
      </c>
      <c r="D51" s="364">
        <v>9000</v>
      </c>
      <c r="E51" s="361" t="s">
        <v>150</v>
      </c>
      <c r="F51" s="362" t="s">
        <v>150</v>
      </c>
      <c r="G51" s="362">
        <v>1</v>
      </c>
      <c r="H51" s="365">
        <v>9000</v>
      </c>
      <c r="J51" s="357" t="s">
        <v>150</v>
      </c>
      <c r="K51" s="358" t="s">
        <v>209</v>
      </c>
      <c r="L51" s="359" t="s">
        <v>189</v>
      </c>
      <c r="M51" s="364">
        <v>5000</v>
      </c>
      <c r="N51" s="361"/>
      <c r="O51" s="362"/>
      <c r="P51" s="362">
        <v>1</v>
      </c>
      <c r="Q51" s="286">
        <f t="shared" si="3"/>
        <v>5000</v>
      </c>
      <c r="S51" s="366"/>
      <c r="T51" s="358" t="s">
        <v>210</v>
      </c>
      <c r="U51" s="359" t="s">
        <v>206</v>
      </c>
      <c r="V51" s="364">
        <v>5000</v>
      </c>
      <c r="W51" s="361"/>
      <c r="X51" s="362"/>
      <c r="Y51" s="362">
        <v>1</v>
      </c>
      <c r="Z51" s="286">
        <f t="shared" si="1"/>
        <v>5000</v>
      </c>
    </row>
    <row r="52" spans="1:26" ht="15.75">
      <c r="A52" s="366" t="s">
        <v>150</v>
      </c>
      <c r="B52" s="358" t="s">
        <v>202</v>
      </c>
      <c r="C52" s="359" t="s">
        <v>189</v>
      </c>
      <c r="D52" s="364">
        <v>9900</v>
      </c>
      <c r="E52" s="361" t="s">
        <v>150</v>
      </c>
      <c r="F52" s="362" t="s">
        <v>150</v>
      </c>
      <c r="G52" s="362">
        <v>1</v>
      </c>
      <c r="H52" s="365">
        <v>9900</v>
      </c>
      <c r="J52" s="366" t="s">
        <v>150</v>
      </c>
      <c r="K52" s="358" t="s">
        <v>202</v>
      </c>
      <c r="L52" s="359" t="s">
        <v>189</v>
      </c>
      <c r="M52" s="364">
        <v>9900</v>
      </c>
      <c r="N52" s="361"/>
      <c r="O52" s="362"/>
      <c r="P52" s="362">
        <v>1</v>
      </c>
      <c r="Q52" s="286">
        <f t="shared" si="3"/>
        <v>9900</v>
      </c>
      <c r="S52" s="366" t="s">
        <v>150</v>
      </c>
      <c r="T52" s="358" t="s">
        <v>16</v>
      </c>
      <c r="U52" s="359" t="s">
        <v>206</v>
      </c>
      <c r="V52" s="364">
        <v>1050</v>
      </c>
      <c r="W52" s="361"/>
      <c r="X52" s="362"/>
      <c r="Y52" s="362">
        <v>2</v>
      </c>
      <c r="Z52" s="286">
        <f t="shared" si="1"/>
        <v>2100</v>
      </c>
    </row>
    <row r="53" spans="1:26" ht="15.75">
      <c r="A53" s="366" t="s">
        <v>150</v>
      </c>
      <c r="B53" s="358" t="s">
        <v>16</v>
      </c>
      <c r="C53" s="359" t="s">
        <v>189</v>
      </c>
      <c r="D53" s="364">
        <v>1050</v>
      </c>
      <c r="E53" s="361" t="s">
        <v>150</v>
      </c>
      <c r="F53" s="362" t="s">
        <v>150</v>
      </c>
      <c r="G53" s="362">
        <v>6</v>
      </c>
      <c r="H53" s="365">
        <v>6300</v>
      </c>
      <c r="J53" s="357" t="s">
        <v>150</v>
      </c>
      <c r="K53" s="358" t="s">
        <v>173</v>
      </c>
      <c r="L53" s="359" t="s">
        <v>189</v>
      </c>
      <c r="M53" s="364">
        <v>16900</v>
      </c>
      <c r="N53" s="361"/>
      <c r="O53" s="362"/>
      <c r="P53" s="362">
        <v>1</v>
      </c>
      <c r="Q53" s="286">
        <f t="shared" si="3"/>
        <v>16900</v>
      </c>
      <c r="S53" s="366"/>
      <c r="T53" s="358" t="s">
        <v>106</v>
      </c>
      <c r="U53" s="359" t="s">
        <v>206</v>
      </c>
      <c r="V53" s="360">
        <v>50</v>
      </c>
      <c r="W53" s="369"/>
      <c r="X53" s="369"/>
      <c r="Y53" s="369">
        <v>250</v>
      </c>
      <c r="Z53" s="286">
        <f t="shared" ref="Z53" si="5">(W53+X53+Y53)*V53</f>
        <v>12500</v>
      </c>
    </row>
    <row r="54" spans="1:26" ht="15.75">
      <c r="A54" s="366" t="s">
        <v>150</v>
      </c>
      <c r="B54" s="358" t="s">
        <v>143</v>
      </c>
      <c r="C54" s="359" t="s">
        <v>206</v>
      </c>
      <c r="D54" s="364">
        <v>5000</v>
      </c>
      <c r="E54" s="361" t="s">
        <v>150</v>
      </c>
      <c r="F54" s="362" t="s">
        <v>150</v>
      </c>
      <c r="G54" s="362">
        <v>1</v>
      </c>
      <c r="H54" s="365">
        <v>5000</v>
      </c>
      <c r="J54" s="366" t="s">
        <v>150</v>
      </c>
      <c r="K54" s="358" t="s">
        <v>16</v>
      </c>
      <c r="L54" s="359" t="s">
        <v>189</v>
      </c>
      <c r="M54" s="364">
        <v>1050</v>
      </c>
      <c r="N54" s="361"/>
      <c r="O54" s="362"/>
      <c r="P54" s="362">
        <v>8</v>
      </c>
      <c r="Q54" s="286">
        <f t="shared" si="3"/>
        <v>8400</v>
      </c>
      <c r="S54" s="366" t="s">
        <v>150</v>
      </c>
      <c r="T54" s="358" t="s">
        <v>16</v>
      </c>
      <c r="U54" s="359" t="s">
        <v>211</v>
      </c>
      <c r="V54" s="360">
        <v>1100</v>
      </c>
      <c r="W54" s="369"/>
      <c r="X54" s="369"/>
      <c r="Y54" s="369">
        <v>40</v>
      </c>
      <c r="Z54" s="286">
        <f t="shared" si="1"/>
        <v>44000</v>
      </c>
    </row>
    <row r="55" spans="1:26" ht="15.75">
      <c r="A55" s="366" t="s">
        <v>150</v>
      </c>
      <c r="B55" s="358" t="s">
        <v>179</v>
      </c>
      <c r="C55" s="359" t="s">
        <v>206</v>
      </c>
      <c r="D55" s="364">
        <v>2000</v>
      </c>
      <c r="E55" s="361" t="s">
        <v>150</v>
      </c>
      <c r="F55" s="362" t="s">
        <v>150</v>
      </c>
      <c r="G55" s="362">
        <v>1</v>
      </c>
      <c r="H55" s="365">
        <v>2000</v>
      </c>
      <c r="J55" s="366" t="s">
        <v>150</v>
      </c>
      <c r="K55" s="358" t="s">
        <v>143</v>
      </c>
      <c r="L55" s="359" t="s">
        <v>206</v>
      </c>
      <c r="M55" s="364">
        <v>5000</v>
      </c>
      <c r="N55" s="361"/>
      <c r="O55" s="362"/>
      <c r="P55" s="362">
        <v>1</v>
      </c>
      <c r="Q55" s="286">
        <f t="shared" si="3"/>
        <v>5000</v>
      </c>
      <c r="S55" s="366" t="s">
        <v>154</v>
      </c>
      <c r="T55" s="385" t="s">
        <v>212</v>
      </c>
      <c r="U55" s="359" t="s">
        <v>213</v>
      </c>
      <c r="V55" s="364">
        <v>1100</v>
      </c>
      <c r="W55" s="369"/>
      <c r="X55" s="369"/>
      <c r="Y55" s="369">
        <v>11</v>
      </c>
      <c r="Z55" s="286">
        <f t="shared" si="1"/>
        <v>12100</v>
      </c>
    </row>
    <row r="56" spans="1:26" ht="15.75">
      <c r="A56" s="366" t="s">
        <v>150</v>
      </c>
      <c r="B56" s="358" t="s">
        <v>101</v>
      </c>
      <c r="C56" s="359" t="s">
        <v>206</v>
      </c>
      <c r="D56" s="364">
        <v>4000</v>
      </c>
      <c r="E56" s="361" t="s">
        <v>150</v>
      </c>
      <c r="F56" s="362" t="s">
        <v>150</v>
      </c>
      <c r="G56" s="362">
        <v>1</v>
      </c>
      <c r="H56" s="365">
        <v>4000</v>
      </c>
      <c r="J56" s="366" t="s">
        <v>150</v>
      </c>
      <c r="K56" s="358" t="s">
        <v>179</v>
      </c>
      <c r="L56" s="359" t="s">
        <v>206</v>
      </c>
      <c r="M56" s="364">
        <v>2000</v>
      </c>
      <c r="N56" s="361"/>
      <c r="O56" s="362"/>
      <c r="P56" s="362">
        <v>1</v>
      </c>
      <c r="Q56" s="286">
        <f t="shared" si="3"/>
        <v>2000</v>
      </c>
      <c r="S56" s="357" t="s">
        <v>150</v>
      </c>
      <c r="T56" s="368" t="s">
        <v>214</v>
      </c>
      <c r="U56" s="359" t="s">
        <v>213</v>
      </c>
      <c r="V56" s="369">
        <v>350</v>
      </c>
      <c r="W56" s="369">
        <v>8</v>
      </c>
      <c r="X56" s="369"/>
      <c r="Y56" s="369">
        <v>12</v>
      </c>
      <c r="Z56" s="286">
        <f t="shared" si="1"/>
        <v>7000</v>
      </c>
    </row>
    <row r="57" spans="1:26" ht="15.75">
      <c r="A57" s="366" t="s">
        <v>150</v>
      </c>
      <c r="B57" s="358" t="s">
        <v>16</v>
      </c>
      <c r="C57" s="359" t="s">
        <v>206</v>
      </c>
      <c r="D57" s="364">
        <v>1050</v>
      </c>
      <c r="E57" s="361" t="s">
        <v>150</v>
      </c>
      <c r="F57" s="362" t="s">
        <v>150</v>
      </c>
      <c r="G57" s="362">
        <v>6</v>
      </c>
      <c r="H57" s="365">
        <v>6300</v>
      </c>
      <c r="J57" s="366" t="s">
        <v>150</v>
      </c>
      <c r="K57" s="358" t="s">
        <v>101</v>
      </c>
      <c r="L57" s="359" t="s">
        <v>206</v>
      </c>
      <c r="M57" s="364">
        <v>1800</v>
      </c>
      <c r="N57" s="361"/>
      <c r="O57" s="362"/>
      <c r="P57" s="362">
        <v>2</v>
      </c>
      <c r="Q57" s="286">
        <f t="shared" si="3"/>
        <v>3600</v>
      </c>
      <c r="S57" s="357" t="s">
        <v>150</v>
      </c>
      <c r="T57" s="374" t="s">
        <v>215</v>
      </c>
      <c r="U57" s="359" t="s">
        <v>213</v>
      </c>
      <c r="V57" s="370">
        <v>800</v>
      </c>
      <c r="W57" s="369"/>
      <c r="X57" s="369"/>
      <c r="Y57" s="369">
        <v>11</v>
      </c>
      <c r="Z57" s="286">
        <f t="shared" si="1"/>
        <v>8800</v>
      </c>
    </row>
    <row r="58" spans="1:26" ht="15.75">
      <c r="A58" s="366" t="s">
        <v>150</v>
      </c>
      <c r="B58" s="358" t="s">
        <v>106</v>
      </c>
      <c r="C58" s="359" t="s">
        <v>206</v>
      </c>
      <c r="D58" s="360">
        <v>50</v>
      </c>
      <c r="E58" s="367" t="s">
        <v>150</v>
      </c>
      <c r="F58" s="367" t="s">
        <v>150</v>
      </c>
      <c r="G58" s="367">
        <v>250</v>
      </c>
      <c r="H58" s="365">
        <v>12500</v>
      </c>
      <c r="J58" s="366"/>
      <c r="K58" s="358" t="s">
        <v>216</v>
      </c>
      <c r="L58" s="359" t="s">
        <v>206</v>
      </c>
      <c r="M58" s="364">
        <v>1800</v>
      </c>
      <c r="N58" s="361"/>
      <c r="O58" s="362"/>
      <c r="P58" s="362">
        <v>1</v>
      </c>
      <c r="Q58" s="286">
        <f t="shared" si="3"/>
        <v>1800</v>
      </c>
      <c r="S58" s="357" t="s">
        <v>150</v>
      </c>
      <c r="T58" s="389" t="s">
        <v>217</v>
      </c>
      <c r="U58" s="359" t="s">
        <v>213</v>
      </c>
      <c r="V58" s="369">
        <v>130</v>
      </c>
      <c r="W58" s="369"/>
      <c r="X58" s="369"/>
      <c r="Y58" s="369">
        <v>29</v>
      </c>
      <c r="Z58" s="286">
        <f t="shared" si="1"/>
        <v>3770</v>
      </c>
    </row>
    <row r="59" spans="1:26" ht="15.75">
      <c r="A59" s="366" t="s">
        <v>218</v>
      </c>
      <c r="B59" s="385" t="s">
        <v>212</v>
      </c>
      <c r="C59" s="359" t="s">
        <v>150</v>
      </c>
      <c r="D59" s="364">
        <v>1100</v>
      </c>
      <c r="E59" s="367">
        <v>20</v>
      </c>
      <c r="F59" s="367" t="s">
        <v>150</v>
      </c>
      <c r="G59" s="367">
        <v>11</v>
      </c>
      <c r="H59" s="365">
        <v>34100</v>
      </c>
      <c r="J59" s="366"/>
      <c r="K59" s="358" t="s">
        <v>210</v>
      </c>
      <c r="L59" s="359" t="s">
        <v>206</v>
      </c>
      <c r="M59" s="364">
        <v>5000</v>
      </c>
      <c r="N59" s="361"/>
      <c r="O59" s="362"/>
      <c r="P59" s="362">
        <v>1</v>
      </c>
      <c r="Q59" s="286">
        <f t="shared" si="3"/>
        <v>5000</v>
      </c>
      <c r="S59" s="357" t="s">
        <v>150</v>
      </c>
      <c r="T59" s="371" t="s">
        <v>219</v>
      </c>
      <c r="U59" s="359" t="s">
        <v>213</v>
      </c>
      <c r="V59" s="372">
        <v>500</v>
      </c>
      <c r="W59" s="369">
        <v>10</v>
      </c>
      <c r="X59" s="369"/>
      <c r="Y59" s="369">
        <v>9</v>
      </c>
      <c r="Z59" s="286">
        <f t="shared" si="1"/>
        <v>9500</v>
      </c>
    </row>
    <row r="60" spans="1:26" ht="15.75">
      <c r="A60" s="357" t="s">
        <v>150</v>
      </c>
      <c r="B60" s="368" t="s">
        <v>220</v>
      </c>
      <c r="C60" s="367" t="s">
        <v>150</v>
      </c>
      <c r="D60" s="369">
        <v>780</v>
      </c>
      <c r="E60" s="367">
        <v>5</v>
      </c>
      <c r="F60" s="367" t="s">
        <v>150</v>
      </c>
      <c r="G60" s="367">
        <v>8</v>
      </c>
      <c r="H60" s="365">
        <v>10140</v>
      </c>
      <c r="J60" s="366" t="s">
        <v>150</v>
      </c>
      <c r="K60" s="358" t="s">
        <v>16</v>
      </c>
      <c r="L60" s="359" t="s">
        <v>206</v>
      </c>
      <c r="M60" s="364">
        <v>1050</v>
      </c>
      <c r="N60" s="361"/>
      <c r="O60" s="362"/>
      <c r="P60" s="362">
        <v>2</v>
      </c>
      <c r="Q60" s="286">
        <f t="shared" si="3"/>
        <v>2100</v>
      </c>
      <c r="S60" s="373" t="s">
        <v>150</v>
      </c>
      <c r="T60" s="374" t="s">
        <v>221</v>
      </c>
      <c r="U60" s="359" t="s">
        <v>213</v>
      </c>
      <c r="V60" s="369">
        <v>350</v>
      </c>
      <c r="W60" s="369">
        <v>12</v>
      </c>
      <c r="X60" s="369"/>
      <c r="Y60" s="369">
        <v>35</v>
      </c>
      <c r="Z60" s="286">
        <f t="shared" si="1"/>
        <v>16450</v>
      </c>
    </row>
    <row r="61" spans="1:26" ht="15.75">
      <c r="A61" s="357" t="s">
        <v>150</v>
      </c>
      <c r="B61" s="374" t="s">
        <v>222</v>
      </c>
      <c r="C61" s="168" t="s">
        <v>150</v>
      </c>
      <c r="D61" s="370">
        <v>650</v>
      </c>
      <c r="E61" s="367">
        <v>7</v>
      </c>
      <c r="F61" s="367" t="s">
        <v>150</v>
      </c>
      <c r="G61" s="367">
        <v>12</v>
      </c>
      <c r="H61" s="365">
        <v>12350</v>
      </c>
      <c r="J61" s="366" t="s">
        <v>150</v>
      </c>
      <c r="K61" s="358" t="s">
        <v>106</v>
      </c>
      <c r="L61" s="359" t="s">
        <v>206</v>
      </c>
      <c r="M61" s="360">
        <v>50</v>
      </c>
      <c r="N61" s="369"/>
      <c r="O61" s="369"/>
      <c r="P61" s="369">
        <v>250</v>
      </c>
      <c r="Q61" s="286">
        <f t="shared" si="3"/>
        <v>12500</v>
      </c>
      <c r="S61" s="375" t="s">
        <v>150</v>
      </c>
      <c r="T61" s="374" t="s">
        <v>223</v>
      </c>
      <c r="U61" s="359" t="s">
        <v>213</v>
      </c>
      <c r="V61" s="369">
        <v>300</v>
      </c>
      <c r="W61" s="369"/>
      <c r="X61" s="369"/>
      <c r="Y61" s="369">
        <v>7</v>
      </c>
      <c r="Z61" s="286">
        <f t="shared" si="1"/>
        <v>2100</v>
      </c>
    </row>
    <row r="62" spans="1:26" ht="15.75">
      <c r="A62" s="357" t="s">
        <v>150</v>
      </c>
      <c r="B62" s="389" t="s">
        <v>224</v>
      </c>
      <c r="C62" s="367" t="s">
        <v>150</v>
      </c>
      <c r="D62" s="369">
        <v>500</v>
      </c>
      <c r="E62" s="367">
        <v>15</v>
      </c>
      <c r="F62" s="367" t="s">
        <v>150</v>
      </c>
      <c r="G62" s="367">
        <v>10</v>
      </c>
      <c r="H62" s="365">
        <v>12500</v>
      </c>
      <c r="J62" s="366" t="s">
        <v>154</v>
      </c>
      <c r="K62" s="385" t="s">
        <v>212</v>
      </c>
      <c r="L62" s="359" t="s">
        <v>213</v>
      </c>
      <c r="M62" s="364">
        <v>1100</v>
      </c>
      <c r="N62" s="369">
        <v>5</v>
      </c>
      <c r="O62" s="369"/>
      <c r="P62" s="369">
        <v>11</v>
      </c>
      <c r="Q62" s="286">
        <f t="shared" si="3"/>
        <v>17600</v>
      </c>
      <c r="S62" s="376" t="s">
        <v>150</v>
      </c>
      <c r="T62" s="374" t="s">
        <v>225</v>
      </c>
      <c r="U62" s="359" t="s">
        <v>213</v>
      </c>
      <c r="V62" s="369">
        <v>350</v>
      </c>
      <c r="W62" s="370"/>
      <c r="X62" s="370"/>
      <c r="Y62" s="370">
        <v>4</v>
      </c>
      <c r="Z62" s="286">
        <f t="shared" ref="Z62:Z70" si="6">(W62+X62+Y62)*V62</f>
        <v>1400</v>
      </c>
    </row>
    <row r="63" spans="1:26" ht="15.75">
      <c r="A63" s="357" t="s">
        <v>150</v>
      </c>
      <c r="B63" s="371" t="s">
        <v>226</v>
      </c>
      <c r="C63" s="367" t="s">
        <v>150</v>
      </c>
      <c r="D63" s="372">
        <v>1100</v>
      </c>
      <c r="E63" s="367" t="s">
        <v>150</v>
      </c>
      <c r="F63" s="367" t="s">
        <v>150</v>
      </c>
      <c r="G63" s="367">
        <v>12</v>
      </c>
      <c r="H63" s="365">
        <v>13200</v>
      </c>
      <c r="J63" s="357" t="s">
        <v>150</v>
      </c>
      <c r="K63" s="368" t="s">
        <v>220</v>
      </c>
      <c r="L63" s="359" t="s">
        <v>213</v>
      </c>
      <c r="M63" s="369">
        <v>780</v>
      </c>
      <c r="N63" s="369">
        <v>6</v>
      </c>
      <c r="O63" s="369"/>
      <c r="P63" s="369">
        <v>5</v>
      </c>
      <c r="Q63" s="286">
        <f t="shared" si="3"/>
        <v>8580</v>
      </c>
      <c r="S63" s="375" t="s">
        <v>150</v>
      </c>
      <c r="T63" s="374" t="s">
        <v>227</v>
      </c>
      <c r="U63" s="359" t="s">
        <v>213</v>
      </c>
      <c r="V63" s="369">
        <v>770</v>
      </c>
      <c r="W63" s="370">
        <v>5</v>
      </c>
      <c r="X63" s="370"/>
      <c r="Y63" s="370">
        <v>15</v>
      </c>
      <c r="Z63" s="286">
        <f t="shared" si="6"/>
        <v>15400</v>
      </c>
    </row>
    <row r="64" spans="1:26" ht="15.75">
      <c r="A64" s="373" t="s">
        <v>150</v>
      </c>
      <c r="B64" s="374" t="s">
        <v>228</v>
      </c>
      <c r="C64" s="367" t="s">
        <v>150</v>
      </c>
      <c r="D64" s="369">
        <v>450</v>
      </c>
      <c r="E64" s="367">
        <v>15</v>
      </c>
      <c r="F64" s="367" t="s">
        <v>150</v>
      </c>
      <c r="G64" s="367">
        <v>13</v>
      </c>
      <c r="H64" s="365">
        <v>12600</v>
      </c>
      <c r="J64" s="357" t="s">
        <v>150</v>
      </c>
      <c r="K64" s="374" t="s">
        <v>222</v>
      </c>
      <c r="L64" s="359" t="s">
        <v>213</v>
      </c>
      <c r="M64" s="370">
        <v>650</v>
      </c>
      <c r="N64" s="369">
        <v>7</v>
      </c>
      <c r="O64" s="369"/>
      <c r="P64" s="369">
        <v>12</v>
      </c>
      <c r="Q64" s="286">
        <f t="shared" si="3"/>
        <v>12350</v>
      </c>
      <c r="S64" s="366" t="s">
        <v>150</v>
      </c>
      <c r="T64" s="389" t="s">
        <v>229</v>
      </c>
      <c r="U64" s="359" t="s">
        <v>213</v>
      </c>
      <c r="V64" s="370">
        <v>187</v>
      </c>
      <c r="W64" s="370"/>
      <c r="X64" s="370"/>
      <c r="Y64" s="370">
        <v>14</v>
      </c>
      <c r="Z64" s="286">
        <f t="shared" si="6"/>
        <v>2618</v>
      </c>
    </row>
    <row r="65" spans="1:26" ht="15.75">
      <c r="A65" s="375" t="s">
        <v>150</v>
      </c>
      <c r="B65" s="374" t="s">
        <v>230</v>
      </c>
      <c r="C65" s="367" t="s">
        <v>150</v>
      </c>
      <c r="D65" s="369">
        <v>400</v>
      </c>
      <c r="E65" s="367">
        <v>15</v>
      </c>
      <c r="F65" s="367" t="s">
        <v>150</v>
      </c>
      <c r="G65" s="367">
        <v>38</v>
      </c>
      <c r="H65" s="365">
        <v>21200</v>
      </c>
      <c r="J65" s="357" t="s">
        <v>150</v>
      </c>
      <c r="K65" s="389" t="s">
        <v>224</v>
      </c>
      <c r="L65" s="359" t="s">
        <v>213</v>
      </c>
      <c r="M65" s="369">
        <v>500</v>
      </c>
      <c r="N65" s="369">
        <v>6</v>
      </c>
      <c r="O65" s="369"/>
      <c r="P65" s="369">
        <v>10</v>
      </c>
      <c r="Q65" s="286">
        <f t="shared" si="3"/>
        <v>8000</v>
      </c>
      <c r="S65" s="366" t="s">
        <v>150</v>
      </c>
      <c r="T65" s="390" t="s">
        <v>231</v>
      </c>
      <c r="U65" s="359" t="s">
        <v>213</v>
      </c>
      <c r="V65" s="370">
        <v>400</v>
      </c>
      <c r="W65" s="370">
        <v>10</v>
      </c>
      <c r="X65" s="370"/>
      <c r="Y65" s="370">
        <v>31</v>
      </c>
      <c r="Z65" s="286">
        <f t="shared" si="6"/>
        <v>16400</v>
      </c>
    </row>
    <row r="66" spans="1:26" ht="15.75">
      <c r="A66" s="376" t="s">
        <v>150</v>
      </c>
      <c r="B66" s="374" t="s">
        <v>232</v>
      </c>
      <c r="C66" s="367" t="s">
        <v>150</v>
      </c>
      <c r="D66" s="369">
        <v>400</v>
      </c>
      <c r="E66" s="168" t="s">
        <v>150</v>
      </c>
      <c r="F66" s="168" t="s">
        <v>150</v>
      </c>
      <c r="G66" s="168">
        <v>35</v>
      </c>
      <c r="H66" s="365">
        <v>14000</v>
      </c>
      <c r="J66" s="357" t="s">
        <v>150</v>
      </c>
      <c r="K66" s="371" t="s">
        <v>56</v>
      </c>
      <c r="L66" s="359" t="s">
        <v>213</v>
      </c>
      <c r="M66" s="372">
        <v>300</v>
      </c>
      <c r="N66" s="369">
        <v>16</v>
      </c>
      <c r="O66" s="369"/>
      <c r="P66" s="369">
        <v>16</v>
      </c>
      <c r="Q66" s="286">
        <f t="shared" si="3"/>
        <v>9600</v>
      </c>
      <c r="S66" s="376" t="s">
        <v>150</v>
      </c>
      <c r="T66" s="391" t="s">
        <v>233</v>
      </c>
      <c r="U66" s="359" t="s">
        <v>234</v>
      </c>
      <c r="V66" s="378">
        <v>1100</v>
      </c>
      <c r="W66" s="394"/>
      <c r="X66" s="394"/>
      <c r="Y66" s="394">
        <v>29</v>
      </c>
      <c r="Z66" s="286">
        <f t="shared" si="6"/>
        <v>31900</v>
      </c>
    </row>
    <row r="67" spans="1:26" ht="18.75" customHeight="1">
      <c r="A67" s="375" t="s">
        <v>150</v>
      </c>
      <c r="B67" s="374" t="s">
        <v>235</v>
      </c>
      <c r="C67" s="367" t="s">
        <v>150</v>
      </c>
      <c r="D67" s="369">
        <v>250</v>
      </c>
      <c r="E67" s="168">
        <v>20</v>
      </c>
      <c r="F67" s="168" t="s">
        <v>150</v>
      </c>
      <c r="G67" s="168">
        <v>22</v>
      </c>
      <c r="H67" s="365">
        <v>10500</v>
      </c>
      <c r="J67" s="373" t="s">
        <v>150</v>
      </c>
      <c r="K67" s="374" t="s">
        <v>236</v>
      </c>
      <c r="L67" s="359" t="s">
        <v>213</v>
      </c>
      <c r="M67" s="369">
        <v>800</v>
      </c>
      <c r="N67" s="369">
        <v>20</v>
      </c>
      <c r="O67" s="369"/>
      <c r="P67" s="369">
        <v>21</v>
      </c>
      <c r="Q67" s="286">
        <f t="shared" si="3"/>
        <v>32800</v>
      </c>
      <c r="S67" s="380" t="s">
        <v>150</v>
      </c>
      <c r="T67" s="368" t="s">
        <v>33</v>
      </c>
      <c r="U67" s="393" t="s">
        <v>237</v>
      </c>
      <c r="V67" s="381">
        <v>1500</v>
      </c>
      <c r="W67" s="393"/>
      <c r="X67" s="393"/>
      <c r="Y67" s="393">
        <v>20</v>
      </c>
      <c r="Z67" s="286">
        <f t="shared" si="6"/>
        <v>30000</v>
      </c>
    </row>
    <row r="68" spans="1:26" ht="15.75">
      <c r="A68" s="366" t="s">
        <v>150</v>
      </c>
      <c r="B68" s="389" t="s">
        <v>238</v>
      </c>
      <c r="C68" s="168" t="s">
        <v>150</v>
      </c>
      <c r="D68" s="370">
        <v>880</v>
      </c>
      <c r="E68" s="168" t="s">
        <v>150</v>
      </c>
      <c r="F68" s="168" t="s">
        <v>150</v>
      </c>
      <c r="G68" s="168">
        <v>10</v>
      </c>
      <c r="H68" s="365">
        <v>8800</v>
      </c>
      <c r="J68" s="375" t="s">
        <v>150</v>
      </c>
      <c r="K68" s="374" t="s">
        <v>239</v>
      </c>
      <c r="L68" s="359" t="s">
        <v>213</v>
      </c>
      <c r="M68" s="369">
        <v>500</v>
      </c>
      <c r="N68" s="369">
        <v>10</v>
      </c>
      <c r="O68" s="369"/>
      <c r="P68" s="369"/>
      <c r="Q68" s="286">
        <f t="shared" si="3"/>
        <v>5000</v>
      </c>
      <c r="S68" s="384" t="s">
        <v>150</v>
      </c>
      <c r="T68" s="374" t="s">
        <v>240</v>
      </c>
      <c r="U68" s="393" t="s">
        <v>237</v>
      </c>
      <c r="V68" s="367">
        <v>750</v>
      </c>
      <c r="W68" s="369"/>
      <c r="X68" s="369"/>
      <c r="Y68" s="369">
        <v>39</v>
      </c>
      <c r="Z68" s="286">
        <f t="shared" si="6"/>
        <v>29250</v>
      </c>
    </row>
    <row r="69" spans="1:26" ht="15.75">
      <c r="A69" s="366" t="s">
        <v>150</v>
      </c>
      <c r="B69" s="390" t="s">
        <v>231</v>
      </c>
      <c r="C69" s="168" t="s">
        <v>150</v>
      </c>
      <c r="D69" s="370">
        <v>400</v>
      </c>
      <c r="E69" s="168" t="s">
        <v>150</v>
      </c>
      <c r="F69" s="168" t="s">
        <v>150</v>
      </c>
      <c r="G69" s="168">
        <v>29</v>
      </c>
      <c r="H69" s="365">
        <v>11600</v>
      </c>
      <c r="J69" s="376" t="s">
        <v>150</v>
      </c>
      <c r="K69" s="374" t="s">
        <v>32</v>
      </c>
      <c r="L69" s="359" t="s">
        <v>213</v>
      </c>
      <c r="M69" s="369">
        <v>800</v>
      </c>
      <c r="N69" s="370">
        <v>10</v>
      </c>
      <c r="O69" s="370"/>
      <c r="P69" s="370">
        <v>19</v>
      </c>
      <c r="Q69" s="286">
        <f t="shared" si="3"/>
        <v>23200</v>
      </c>
      <c r="S69" s="357" t="s">
        <v>150</v>
      </c>
      <c r="T69" s="374" t="s">
        <v>241</v>
      </c>
      <c r="U69" s="369" t="s">
        <v>213</v>
      </c>
      <c r="V69" s="367">
        <v>210</v>
      </c>
      <c r="W69" s="369"/>
      <c r="X69" s="369"/>
      <c r="Y69" s="369">
        <v>29</v>
      </c>
      <c r="Z69" s="286">
        <f t="shared" si="6"/>
        <v>6090</v>
      </c>
    </row>
    <row r="70" spans="1:26" ht="22.5">
      <c r="A70" s="376" t="s">
        <v>150</v>
      </c>
      <c r="B70" s="391" t="s">
        <v>242</v>
      </c>
      <c r="C70" s="377" t="s">
        <v>150</v>
      </c>
      <c r="D70" s="378">
        <v>1100</v>
      </c>
      <c r="E70" s="377" t="s">
        <v>150</v>
      </c>
      <c r="F70" s="377" t="s">
        <v>150</v>
      </c>
      <c r="G70" s="377">
        <v>34</v>
      </c>
      <c r="H70" s="379">
        <v>37400</v>
      </c>
      <c r="J70" s="375" t="s">
        <v>150</v>
      </c>
      <c r="K70" s="374" t="s">
        <v>227</v>
      </c>
      <c r="L70" s="359" t="s">
        <v>213</v>
      </c>
      <c r="M70" s="369">
        <v>770</v>
      </c>
      <c r="N70" s="370">
        <v>4</v>
      </c>
      <c r="O70" s="370"/>
      <c r="P70" s="370">
        <v>16</v>
      </c>
      <c r="Q70" s="286">
        <f t="shared" si="3"/>
        <v>15400</v>
      </c>
      <c r="S70" s="357" t="s">
        <v>150</v>
      </c>
      <c r="T70" s="374"/>
      <c r="U70" s="369"/>
      <c r="V70" s="367"/>
      <c r="W70" s="369"/>
      <c r="X70" s="369"/>
      <c r="Y70" s="369"/>
      <c r="Z70" s="286">
        <f t="shared" si="6"/>
        <v>0</v>
      </c>
    </row>
    <row r="71" spans="1:26" ht="15.75">
      <c r="A71" s="380" t="s">
        <v>150</v>
      </c>
      <c r="B71" s="368" t="s">
        <v>243</v>
      </c>
      <c r="C71" s="381" t="s">
        <v>150</v>
      </c>
      <c r="D71" s="381">
        <v>1100</v>
      </c>
      <c r="E71" s="381">
        <v>20</v>
      </c>
      <c r="F71" s="381" t="s">
        <v>150</v>
      </c>
      <c r="G71" s="381">
        <v>25</v>
      </c>
      <c r="H71" s="383">
        <v>49500</v>
      </c>
      <c r="J71" s="366" t="s">
        <v>150</v>
      </c>
      <c r="K71" s="389" t="s">
        <v>244</v>
      </c>
      <c r="L71" s="359" t="s">
        <v>213</v>
      </c>
      <c r="M71" s="370">
        <v>187</v>
      </c>
      <c r="N71" s="370"/>
      <c r="O71" s="370"/>
      <c r="P71" s="370">
        <v>12</v>
      </c>
      <c r="Q71" s="286">
        <f t="shared" ref="Q71:Q77" si="7">(N71+O71+P71)*M71</f>
        <v>2244</v>
      </c>
    </row>
    <row r="72" spans="1:26" ht="15.75">
      <c r="A72" s="384" t="s">
        <v>150</v>
      </c>
      <c r="B72" s="374" t="s">
        <v>245</v>
      </c>
      <c r="C72" s="367" t="s">
        <v>150</v>
      </c>
      <c r="D72" s="367">
        <v>1100</v>
      </c>
      <c r="E72" s="367" t="s">
        <v>150</v>
      </c>
      <c r="F72" s="367" t="s">
        <v>150</v>
      </c>
      <c r="G72" s="367">
        <v>31</v>
      </c>
      <c r="H72" s="383">
        <v>34100</v>
      </c>
      <c r="J72" s="366" t="s">
        <v>150</v>
      </c>
      <c r="K72" s="390" t="s">
        <v>231</v>
      </c>
      <c r="L72" s="359" t="s">
        <v>213</v>
      </c>
      <c r="M72" s="370">
        <v>400</v>
      </c>
      <c r="N72" s="370">
        <v>10</v>
      </c>
      <c r="O72" s="370"/>
      <c r="P72" s="370">
        <v>34</v>
      </c>
      <c r="Q72" s="286">
        <f t="shared" si="7"/>
        <v>17600</v>
      </c>
    </row>
    <row r="73" spans="1:26" ht="15.75">
      <c r="A73" s="357" t="s">
        <v>150</v>
      </c>
      <c r="B73" s="374" t="s">
        <v>150</v>
      </c>
      <c r="C73" s="367" t="s">
        <v>150</v>
      </c>
      <c r="D73" s="367" t="s">
        <v>150</v>
      </c>
      <c r="E73" s="367" t="s">
        <v>150</v>
      </c>
      <c r="F73" s="367" t="s">
        <v>150</v>
      </c>
      <c r="G73" s="367" t="s">
        <v>150</v>
      </c>
      <c r="H73" s="382">
        <v>0</v>
      </c>
      <c r="J73" s="376" t="s">
        <v>150</v>
      </c>
      <c r="K73" s="391" t="s">
        <v>242</v>
      </c>
      <c r="L73" s="359" t="s">
        <v>234</v>
      </c>
      <c r="M73" s="378">
        <v>1100</v>
      </c>
      <c r="N73" s="394"/>
      <c r="O73" s="394"/>
      <c r="P73" s="394">
        <v>49</v>
      </c>
      <c r="Q73" s="286">
        <f t="shared" si="7"/>
        <v>53900</v>
      </c>
    </row>
    <row r="74" spans="1:26" ht="15.75">
      <c r="A74" s="357" t="s">
        <v>150</v>
      </c>
      <c r="B74" s="374" t="s">
        <v>150</v>
      </c>
      <c r="C74" s="367" t="s">
        <v>150</v>
      </c>
      <c r="D74" s="367" t="s">
        <v>150</v>
      </c>
      <c r="E74" s="367" t="s">
        <v>150</v>
      </c>
      <c r="F74" s="367" t="s">
        <v>150</v>
      </c>
      <c r="G74" s="367" t="s">
        <v>150</v>
      </c>
      <c r="H74" s="382">
        <v>0</v>
      </c>
      <c r="J74" s="380" t="s">
        <v>150</v>
      </c>
      <c r="K74" s="368" t="s">
        <v>243</v>
      </c>
      <c r="L74" s="393" t="s">
        <v>237</v>
      </c>
      <c r="M74" s="381">
        <v>1100</v>
      </c>
      <c r="N74" s="393"/>
      <c r="O74" s="393"/>
      <c r="P74" s="393">
        <v>30</v>
      </c>
      <c r="Q74" s="286">
        <f t="shared" si="7"/>
        <v>33000</v>
      </c>
    </row>
    <row r="75" spans="1:26" ht="15.75">
      <c r="A75" s="357" t="s">
        <v>150</v>
      </c>
      <c r="B75" s="374" t="s">
        <v>150</v>
      </c>
      <c r="C75" s="367" t="s">
        <v>150</v>
      </c>
      <c r="D75" s="367" t="s">
        <v>150</v>
      </c>
      <c r="E75" s="367" t="s">
        <v>150</v>
      </c>
      <c r="F75" s="367" t="s">
        <v>150</v>
      </c>
      <c r="G75" s="367" t="s">
        <v>150</v>
      </c>
      <c r="H75" s="382">
        <v>0</v>
      </c>
      <c r="J75" s="384" t="s">
        <v>150</v>
      </c>
      <c r="K75" s="374" t="s">
        <v>240</v>
      </c>
      <c r="L75" s="393" t="s">
        <v>237</v>
      </c>
      <c r="M75" s="367">
        <v>750</v>
      </c>
      <c r="N75" s="369"/>
      <c r="O75" s="369"/>
      <c r="P75" s="369">
        <v>50</v>
      </c>
      <c r="Q75" s="286">
        <f t="shared" si="7"/>
        <v>37500</v>
      </c>
    </row>
    <row r="76" spans="1:26" ht="15.75">
      <c r="A76" s="357" t="s">
        <v>150</v>
      </c>
      <c r="B76" s="385" t="s">
        <v>150</v>
      </c>
      <c r="C76" s="377" t="s">
        <v>150</v>
      </c>
      <c r="D76" s="377" t="s">
        <v>150</v>
      </c>
      <c r="E76" s="377" t="s">
        <v>150</v>
      </c>
      <c r="F76" s="377" t="s">
        <v>150</v>
      </c>
      <c r="G76" s="377" t="s">
        <v>150</v>
      </c>
      <c r="H76" s="382">
        <v>0</v>
      </c>
      <c r="J76" s="357" t="s">
        <v>150</v>
      </c>
      <c r="K76" s="374" t="s">
        <v>221</v>
      </c>
      <c r="L76" s="369" t="s">
        <v>213</v>
      </c>
      <c r="M76" s="367">
        <v>350</v>
      </c>
      <c r="N76" s="369"/>
      <c r="O76" s="369"/>
      <c r="P76" s="369">
        <v>25</v>
      </c>
      <c r="Q76" s="286">
        <f t="shared" si="7"/>
        <v>8750</v>
      </c>
    </row>
    <row r="77" spans="1:26" ht="15.75">
      <c r="A77" s="357" t="s">
        <v>150</v>
      </c>
      <c r="B77" s="392" t="s">
        <v>150</v>
      </c>
      <c r="C77" s="381" t="s">
        <v>150</v>
      </c>
      <c r="D77" s="381" t="s">
        <v>150</v>
      </c>
      <c r="E77" s="381" t="s">
        <v>150</v>
      </c>
      <c r="F77" s="381" t="s">
        <v>150</v>
      </c>
      <c r="G77" s="381" t="s">
        <v>150</v>
      </c>
      <c r="H77" s="386">
        <v>0</v>
      </c>
      <c r="J77" s="357" t="s">
        <v>150</v>
      </c>
      <c r="K77" s="374" t="s">
        <v>241</v>
      </c>
      <c r="L77" s="369" t="s">
        <v>237</v>
      </c>
      <c r="M77" s="367">
        <v>210</v>
      </c>
      <c r="N77" s="369"/>
      <c r="O77" s="369"/>
      <c r="P77" s="369">
        <v>60</v>
      </c>
      <c r="Q77" s="286">
        <f t="shared" si="7"/>
        <v>12600</v>
      </c>
    </row>
    <row r="78" spans="1:26" ht="15.75">
      <c r="A78" s="5"/>
      <c r="B78" s="12" t="s">
        <v>202</v>
      </c>
      <c r="C78" s="13" t="s">
        <v>189</v>
      </c>
      <c r="D78" s="46">
        <v>9900</v>
      </c>
      <c r="E78" s="14">
        <v>0</v>
      </c>
      <c r="F78" s="15"/>
      <c r="G78" s="15">
        <v>1</v>
      </c>
      <c r="H78" s="52">
        <f t="shared" ref="H78:H103" si="8">D78*(E78+F78+G78)</f>
        <v>9900</v>
      </c>
    </row>
    <row r="79" spans="1:26" ht="15.75">
      <c r="A79" s="5"/>
      <c r="B79" s="12" t="s">
        <v>16</v>
      </c>
      <c r="C79" s="13" t="s">
        <v>189</v>
      </c>
      <c r="D79" s="46">
        <v>1050</v>
      </c>
      <c r="E79" s="14">
        <v>10</v>
      </c>
      <c r="F79" s="15"/>
      <c r="G79" s="15">
        <v>10</v>
      </c>
      <c r="H79" s="52">
        <f t="shared" si="8"/>
        <v>21000</v>
      </c>
    </row>
    <row r="80" spans="1:26" ht="15.75">
      <c r="A80" s="5"/>
      <c r="B80" s="12" t="s">
        <v>143</v>
      </c>
      <c r="C80" s="13" t="s">
        <v>206</v>
      </c>
      <c r="D80" s="46">
        <v>5000</v>
      </c>
      <c r="E80" s="14"/>
      <c r="F80" s="15"/>
      <c r="G80" s="15">
        <v>2</v>
      </c>
      <c r="H80" s="52">
        <f t="shared" si="8"/>
        <v>10000</v>
      </c>
    </row>
    <row r="81" spans="1:8" ht="15.75">
      <c r="A81" s="5"/>
      <c r="B81" s="12" t="s">
        <v>246</v>
      </c>
      <c r="C81" s="13" t="s">
        <v>206</v>
      </c>
      <c r="D81" s="46">
        <v>3000</v>
      </c>
      <c r="E81" s="14">
        <v>1</v>
      </c>
      <c r="F81" s="15"/>
      <c r="G81" s="15">
        <v>0</v>
      </c>
      <c r="H81" s="52">
        <f t="shared" si="8"/>
        <v>3000</v>
      </c>
    </row>
    <row r="82" spans="1:8" ht="15.75">
      <c r="A82" s="5"/>
      <c r="B82" s="12" t="s">
        <v>247</v>
      </c>
      <c r="C82" s="13" t="s">
        <v>206</v>
      </c>
      <c r="D82" s="46">
        <v>1050</v>
      </c>
      <c r="E82" s="14"/>
      <c r="F82" s="15"/>
      <c r="G82" s="15">
        <v>2</v>
      </c>
      <c r="H82" s="52">
        <f t="shared" si="8"/>
        <v>2100</v>
      </c>
    </row>
    <row r="83" spans="1:8" ht="15.75">
      <c r="A83" s="5"/>
      <c r="B83" s="12" t="s">
        <v>16</v>
      </c>
      <c r="C83" s="13" t="s">
        <v>206</v>
      </c>
      <c r="D83" s="46">
        <v>1050</v>
      </c>
      <c r="E83" s="14"/>
      <c r="F83" s="15"/>
      <c r="G83" s="15">
        <v>6</v>
      </c>
      <c r="H83" s="52">
        <f t="shared" si="8"/>
        <v>6300</v>
      </c>
    </row>
    <row r="84" spans="1:8" ht="15.75">
      <c r="A84" s="82"/>
      <c r="B84" s="12" t="s">
        <v>106</v>
      </c>
      <c r="C84" s="13" t="s">
        <v>206</v>
      </c>
      <c r="D84" s="46">
        <v>50</v>
      </c>
      <c r="E84" s="82"/>
      <c r="F84" s="82"/>
      <c r="G84" s="82">
        <v>250</v>
      </c>
      <c r="H84" s="52">
        <f t="shared" si="8"/>
        <v>12500</v>
      </c>
    </row>
    <row r="85" spans="1:8" ht="15.75">
      <c r="A85" s="82"/>
      <c r="B85" s="126" t="s">
        <v>248</v>
      </c>
      <c r="C85" s="13"/>
      <c r="D85" s="46">
        <v>1100</v>
      </c>
      <c r="E85" s="82">
        <v>10</v>
      </c>
      <c r="F85" s="82"/>
      <c r="G85" s="82">
        <v>14</v>
      </c>
      <c r="H85" s="52">
        <f t="shared" si="8"/>
        <v>26400</v>
      </c>
    </row>
    <row r="86" spans="1:8" ht="15.75">
      <c r="A86" s="82"/>
      <c r="B86" s="126" t="s">
        <v>249</v>
      </c>
      <c r="C86" s="82"/>
      <c r="D86" s="146">
        <v>605</v>
      </c>
      <c r="E86" s="82">
        <v>0</v>
      </c>
      <c r="F86" s="82"/>
      <c r="G86" s="82">
        <v>19</v>
      </c>
      <c r="H86" s="52">
        <f t="shared" si="8"/>
        <v>11495</v>
      </c>
    </row>
    <row r="87" spans="1:8" ht="15.75">
      <c r="A87" s="82"/>
      <c r="B87" s="125" t="s">
        <v>250</v>
      </c>
      <c r="C87" s="5"/>
      <c r="D87" s="148">
        <v>996</v>
      </c>
      <c r="E87" s="82">
        <v>24</v>
      </c>
      <c r="F87" s="82"/>
      <c r="G87" s="82">
        <v>22</v>
      </c>
      <c r="H87" s="52">
        <f t="shared" si="8"/>
        <v>45816</v>
      </c>
    </row>
    <row r="88" spans="1:8" ht="15.75">
      <c r="A88" s="82"/>
      <c r="B88" s="164" t="s">
        <v>251</v>
      </c>
      <c r="C88" s="82"/>
      <c r="D88" s="146">
        <v>880</v>
      </c>
      <c r="E88" s="82">
        <v>5</v>
      </c>
      <c r="F88" s="82"/>
      <c r="G88" s="82">
        <v>7</v>
      </c>
      <c r="H88" s="52">
        <f t="shared" si="8"/>
        <v>10560</v>
      </c>
    </row>
    <row r="89" spans="1:8" ht="21">
      <c r="A89" s="82"/>
      <c r="B89" s="187" t="s">
        <v>252</v>
      </c>
      <c r="C89" s="82"/>
      <c r="D89" s="146">
        <v>1100</v>
      </c>
      <c r="E89" s="82">
        <v>0</v>
      </c>
      <c r="F89" s="82"/>
      <c r="G89" s="82">
        <v>29</v>
      </c>
      <c r="H89" s="52">
        <f t="shared" si="8"/>
        <v>31900</v>
      </c>
    </row>
    <row r="90" spans="1:8" ht="15.75">
      <c r="A90" s="82"/>
      <c r="B90" s="187" t="s">
        <v>253</v>
      </c>
      <c r="C90" s="82"/>
      <c r="D90" s="146">
        <v>200</v>
      </c>
      <c r="E90" s="82">
        <v>9</v>
      </c>
      <c r="F90" s="82"/>
      <c r="G90" s="82">
        <v>0</v>
      </c>
      <c r="H90" s="52">
        <f t="shared" si="8"/>
        <v>1800</v>
      </c>
    </row>
    <row r="91" spans="1:8" ht="15.75">
      <c r="A91" s="82"/>
      <c r="B91" s="126" t="s">
        <v>230</v>
      </c>
      <c r="C91" s="82"/>
      <c r="D91" s="146">
        <v>350</v>
      </c>
      <c r="E91" s="82">
        <v>12</v>
      </c>
      <c r="F91" s="82"/>
      <c r="G91" s="82">
        <v>44</v>
      </c>
      <c r="H91" s="52">
        <f t="shared" si="8"/>
        <v>19600</v>
      </c>
    </row>
    <row r="92" spans="1:8" ht="15.75">
      <c r="A92" s="5"/>
      <c r="B92" s="126" t="s">
        <v>254</v>
      </c>
      <c r="C92" s="82"/>
      <c r="D92" s="146">
        <v>1050</v>
      </c>
      <c r="E92" s="5">
        <v>5</v>
      </c>
      <c r="F92" s="5"/>
      <c r="G92" s="5">
        <v>9</v>
      </c>
      <c r="H92" s="52">
        <f t="shared" si="8"/>
        <v>14700</v>
      </c>
    </row>
    <row r="93" spans="1:8" ht="15.75">
      <c r="A93" s="5"/>
      <c r="B93" s="125" t="s">
        <v>255</v>
      </c>
      <c r="C93" s="82"/>
      <c r="D93" s="146">
        <v>505</v>
      </c>
      <c r="E93" s="5">
        <v>0</v>
      </c>
      <c r="F93" s="5"/>
      <c r="G93" s="5">
        <v>10</v>
      </c>
      <c r="H93" s="52">
        <f t="shared" si="8"/>
        <v>5050</v>
      </c>
    </row>
    <row r="94" spans="1:8" ht="15.75">
      <c r="A94" s="5"/>
      <c r="B94" s="214" t="s">
        <v>256</v>
      </c>
      <c r="C94" s="5"/>
      <c r="D94" s="148">
        <v>710</v>
      </c>
      <c r="E94" s="5">
        <v>0</v>
      </c>
      <c r="F94" s="5"/>
      <c r="G94" s="5">
        <v>18</v>
      </c>
      <c r="H94" s="52">
        <f t="shared" si="8"/>
        <v>12780</v>
      </c>
    </row>
    <row r="95" spans="1:8" ht="15.75">
      <c r="A95" s="5"/>
      <c r="B95" s="215" t="s">
        <v>257</v>
      </c>
      <c r="C95" s="5"/>
      <c r="D95" s="148">
        <v>1050</v>
      </c>
      <c r="E95" s="5">
        <v>0</v>
      </c>
      <c r="F95" s="5"/>
      <c r="G95" s="5">
        <v>10</v>
      </c>
      <c r="H95" s="52">
        <f t="shared" si="8"/>
        <v>10500</v>
      </c>
    </row>
    <row r="96" spans="1:8" ht="15.75">
      <c r="A96" s="83"/>
      <c r="B96" s="164" t="s">
        <v>258</v>
      </c>
      <c r="C96" s="83"/>
      <c r="D96" s="190">
        <v>200</v>
      </c>
      <c r="E96" s="83">
        <v>130</v>
      </c>
      <c r="F96" s="83"/>
      <c r="G96" s="83">
        <v>185</v>
      </c>
      <c r="H96" s="191">
        <f t="shared" si="8"/>
        <v>63000</v>
      </c>
    </row>
    <row r="97" spans="1:8" ht="15.75">
      <c r="A97" s="82"/>
      <c r="B97" s="189" t="s">
        <v>259</v>
      </c>
      <c r="C97" s="82"/>
      <c r="D97" s="146">
        <v>200</v>
      </c>
      <c r="E97" s="82">
        <v>0</v>
      </c>
      <c r="F97" s="82"/>
      <c r="G97" s="82">
        <v>200</v>
      </c>
      <c r="H97" s="188">
        <f t="shared" si="8"/>
        <v>40000</v>
      </c>
    </row>
    <row r="98" spans="1:8" ht="15.75">
      <c r="A98" s="127"/>
      <c r="B98" s="128" t="s">
        <v>260</v>
      </c>
      <c r="C98" s="127"/>
      <c r="D98" s="147">
        <v>357</v>
      </c>
      <c r="E98" s="127">
        <v>0</v>
      </c>
      <c r="F98" s="127"/>
      <c r="G98" s="127">
        <v>50</v>
      </c>
      <c r="H98" s="213">
        <f t="shared" si="8"/>
        <v>17850</v>
      </c>
    </row>
    <row r="99" spans="1:8" ht="15.75">
      <c r="A99" s="82"/>
      <c r="B99" s="125" t="s">
        <v>261</v>
      </c>
      <c r="C99" s="82"/>
      <c r="D99" s="82">
        <v>500</v>
      </c>
      <c r="E99" s="82">
        <v>0</v>
      </c>
      <c r="F99" s="82"/>
      <c r="G99" s="82">
        <v>15</v>
      </c>
      <c r="H99" s="213">
        <f t="shared" si="8"/>
        <v>7500</v>
      </c>
    </row>
    <row r="100" spans="1:8" ht="15.75">
      <c r="A100" s="82"/>
      <c r="B100" s="125" t="s">
        <v>75</v>
      </c>
      <c r="C100" s="82"/>
      <c r="D100" s="82">
        <v>715</v>
      </c>
      <c r="E100" s="82">
        <v>0</v>
      </c>
      <c r="F100" s="82"/>
      <c r="G100" s="82">
        <v>12</v>
      </c>
      <c r="H100" s="213">
        <f t="shared" si="8"/>
        <v>8580</v>
      </c>
    </row>
    <row r="101" spans="1:8" ht="15.75">
      <c r="A101" s="82"/>
      <c r="B101" s="125"/>
      <c r="C101" s="82"/>
      <c r="D101" s="82"/>
      <c r="E101" s="82">
        <v>0</v>
      </c>
      <c r="F101" s="82"/>
      <c r="G101" s="82">
        <v>0</v>
      </c>
      <c r="H101" s="213">
        <f t="shared" si="8"/>
        <v>0</v>
      </c>
    </row>
    <row r="102" spans="1:8" ht="15.75">
      <c r="A102" s="127"/>
      <c r="B102" s="214"/>
      <c r="C102" s="127"/>
      <c r="D102" s="127"/>
      <c r="E102" s="127">
        <v>0</v>
      </c>
      <c r="F102" s="127"/>
      <c r="G102" s="127">
        <v>0</v>
      </c>
      <c r="H102" s="213">
        <f t="shared" si="8"/>
        <v>0</v>
      </c>
    </row>
    <row r="103" spans="1:8" ht="15.75">
      <c r="A103" s="82"/>
      <c r="B103" s="82"/>
      <c r="C103" s="82"/>
      <c r="D103" s="82"/>
      <c r="E103" s="82">
        <v>0</v>
      </c>
      <c r="F103" s="82"/>
      <c r="G103" s="82">
        <v>0</v>
      </c>
      <c r="H103" s="188">
        <f t="shared" si="8"/>
        <v>0</v>
      </c>
    </row>
    <row r="104" spans="1:8" ht="15.75"/>
    <row r="105" spans="1:8" ht="15.75"/>
    <row r="106" spans="1:8" ht="15.75"/>
    <row r="107" spans="1:8" ht="15.75"/>
    <row r="108" spans="1:8" ht="15.75"/>
  </sheetData>
  <mergeCells count="18">
    <mergeCell ref="Z2:Z3"/>
    <mergeCell ref="S2:S3"/>
    <mergeCell ref="T2:T3"/>
    <mergeCell ref="U2:U3"/>
    <mergeCell ref="V2:V3"/>
    <mergeCell ref="W2:Y2"/>
    <mergeCell ref="H2:H3"/>
    <mergeCell ref="A2:A3"/>
    <mergeCell ref="B2:B3"/>
    <mergeCell ref="C2:C3"/>
    <mergeCell ref="D2:D3"/>
    <mergeCell ref="E2:G2"/>
    <mergeCell ref="Q2:Q3"/>
    <mergeCell ref="J2:J3"/>
    <mergeCell ref="K2:K3"/>
    <mergeCell ref="L2:L3"/>
    <mergeCell ref="M2:M3"/>
    <mergeCell ref="N2:P2"/>
  </mergeCells>
  <phoneticPr fontId="4"/>
  <pageMargins left="0.31496062992125984" right="0" top="0.74803149606299213" bottom="0" header="0.31496062992125984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724A1-938A-4A57-9E56-47F36C89266F}">
  <sheetPr>
    <pageSetUpPr fitToPage="1"/>
  </sheetPr>
  <dimension ref="A1:Z462"/>
  <sheetViews>
    <sheetView tabSelected="1" topLeftCell="Q198" zoomScale="80" zoomScaleNormal="80" workbookViewId="0">
      <selection activeCell="S213" sqref="S213:S219"/>
    </sheetView>
  </sheetViews>
  <sheetFormatPr defaultColWidth="8.875" defaultRowHeight="14.25" customHeight="1"/>
  <cols>
    <col min="1" max="1" width="8.875" style="44"/>
    <col min="2" max="2" width="32.625" style="44" customWidth="1"/>
    <col min="3" max="3" width="32.875" style="44" customWidth="1"/>
    <col min="4" max="7" width="8.875" style="44"/>
    <col min="8" max="8" width="14" style="44" customWidth="1"/>
    <col min="9" max="10" width="8.875" style="44"/>
    <col min="11" max="11" width="25.125" style="44" customWidth="1"/>
    <col min="12" max="12" width="16.25" style="44" customWidth="1"/>
    <col min="13" max="16" width="8.875" style="44"/>
    <col min="17" max="17" width="12.25" style="44" customWidth="1"/>
    <col min="18" max="18" width="8.875" style="44"/>
    <col min="19" max="19" width="9" style="44"/>
    <col min="20" max="20" width="25.125" style="44" customWidth="1"/>
    <col min="21" max="21" width="16.25" style="44" customWidth="1"/>
    <col min="22" max="25" width="9" style="44"/>
    <col min="26" max="26" width="12.25" style="44" customWidth="1"/>
    <col min="27" max="16384" width="8.875" style="44"/>
  </cols>
  <sheetData>
    <row r="1" spans="1:26" ht="14.25" customHeight="1">
      <c r="A1" s="276">
        <v>46053</v>
      </c>
      <c r="B1" s="459"/>
      <c r="C1" s="314"/>
      <c r="D1" s="459"/>
      <c r="E1" s="459"/>
      <c r="F1" s="459"/>
      <c r="G1" s="459"/>
      <c r="H1" s="459"/>
      <c r="J1" s="441">
        <v>46081</v>
      </c>
      <c r="K1" s="458"/>
      <c r="L1" s="442"/>
      <c r="M1" s="458"/>
      <c r="N1" s="458"/>
      <c r="O1" s="458"/>
      <c r="P1" s="458"/>
      <c r="Q1" s="458"/>
      <c r="S1" s="441">
        <v>46112</v>
      </c>
      <c r="T1" s="458"/>
      <c r="U1" s="442"/>
      <c r="V1" s="458"/>
      <c r="W1" s="458"/>
      <c r="X1" s="458"/>
      <c r="Y1" s="458"/>
      <c r="Z1" s="458"/>
    </row>
    <row r="2" spans="1:26" ht="14.25" customHeight="1">
      <c r="A2" s="547" t="s">
        <v>146</v>
      </c>
      <c r="B2" s="547" t="s">
        <v>2</v>
      </c>
      <c r="C2" s="549" t="s">
        <v>1</v>
      </c>
      <c r="D2" s="547" t="s">
        <v>3</v>
      </c>
      <c r="E2" s="551" t="s">
        <v>147</v>
      </c>
      <c r="F2" s="551"/>
      <c r="G2" s="551"/>
      <c r="H2" s="547" t="s">
        <v>5</v>
      </c>
      <c r="J2" s="547" t="s">
        <v>146</v>
      </c>
      <c r="K2" s="547" t="s">
        <v>2</v>
      </c>
      <c r="L2" s="549" t="s">
        <v>1</v>
      </c>
      <c r="M2" s="547" t="s">
        <v>3</v>
      </c>
      <c r="N2" s="551" t="s">
        <v>147</v>
      </c>
      <c r="O2" s="552"/>
      <c r="P2" s="552"/>
      <c r="Q2" s="547" t="s">
        <v>5</v>
      </c>
      <c r="S2" s="547" t="s">
        <v>146</v>
      </c>
      <c r="T2" s="547" t="s">
        <v>2</v>
      </c>
      <c r="U2" s="549" t="s">
        <v>1</v>
      </c>
      <c r="V2" s="547" t="s">
        <v>3</v>
      </c>
      <c r="W2" s="551" t="s">
        <v>147</v>
      </c>
      <c r="X2" s="552"/>
      <c r="Y2" s="552"/>
      <c r="Z2" s="547" t="s">
        <v>5</v>
      </c>
    </row>
    <row r="3" spans="1:26" s="45" customFormat="1" ht="14.25" customHeight="1">
      <c r="A3" s="547"/>
      <c r="B3" s="547"/>
      <c r="C3" s="549"/>
      <c r="D3" s="547"/>
      <c r="E3" s="180" t="s">
        <v>6</v>
      </c>
      <c r="F3" s="180" t="s">
        <v>7</v>
      </c>
      <c r="G3" s="277" t="s">
        <v>149</v>
      </c>
      <c r="H3" s="547"/>
      <c r="J3" s="548"/>
      <c r="K3" s="548"/>
      <c r="L3" s="550"/>
      <c r="M3" s="548"/>
      <c r="N3" s="180" t="s">
        <v>6</v>
      </c>
      <c r="O3" s="180" t="s">
        <v>7</v>
      </c>
      <c r="P3" s="277" t="s">
        <v>149</v>
      </c>
      <c r="Q3" s="548"/>
      <c r="S3" s="548"/>
      <c r="T3" s="548"/>
      <c r="U3" s="550"/>
      <c r="V3" s="548"/>
      <c r="W3" s="180" t="s">
        <v>6</v>
      </c>
      <c r="X3" s="180" t="s">
        <v>7</v>
      </c>
      <c r="Y3" s="277" t="s">
        <v>149</v>
      </c>
      <c r="Z3" s="548"/>
    </row>
    <row r="4" spans="1:26" ht="27" customHeight="1">
      <c r="A4" s="278"/>
      <c r="B4" s="279"/>
      <c r="C4" s="315"/>
      <c r="D4" s="279"/>
      <c r="E4" s="279"/>
      <c r="F4" s="279"/>
      <c r="G4" s="279"/>
      <c r="H4" s="280">
        <f>SUM(H5:H208)</f>
        <v>9461050</v>
      </c>
      <c r="J4" s="278"/>
      <c r="K4" s="287"/>
      <c r="L4" s="282"/>
      <c r="M4" s="287"/>
      <c r="N4" s="288"/>
      <c r="O4" s="289"/>
      <c r="P4" s="289"/>
      <c r="Q4" s="452">
        <f>SUM(Q5:Q215)</f>
        <v>7323379</v>
      </c>
      <c r="S4" s="278"/>
      <c r="T4" s="185"/>
      <c r="U4" s="185"/>
      <c r="V4" s="287"/>
      <c r="W4" s="289"/>
      <c r="X4" s="136"/>
      <c r="Y4" s="136"/>
      <c r="Z4" s="452">
        <f>SUM(Z5:Z198)</f>
        <v>7703370</v>
      </c>
    </row>
    <row r="5" spans="1:26" ht="14.25" customHeight="1">
      <c r="A5" s="278"/>
      <c r="B5" s="281" t="s">
        <v>262</v>
      </c>
      <c r="C5" s="282" t="s">
        <v>263</v>
      </c>
      <c r="D5" s="283">
        <v>1183</v>
      </c>
      <c r="E5" s="284"/>
      <c r="F5" s="284">
        <v>10</v>
      </c>
      <c r="G5" s="284">
        <v>25</v>
      </c>
      <c r="H5" s="286">
        <f>(E5+F5+G5)*D5</f>
        <v>41405</v>
      </c>
      <c r="J5" s="278"/>
      <c r="K5" s="287" t="s">
        <v>264</v>
      </c>
      <c r="L5" s="282" t="s">
        <v>265</v>
      </c>
      <c r="M5" s="287">
        <v>1100</v>
      </c>
      <c r="N5" s="288"/>
      <c r="O5" s="289">
        <v>9</v>
      </c>
      <c r="P5" s="289"/>
      <c r="Q5" s="286">
        <f>(N5+O5+P5)*M5</f>
        <v>9900</v>
      </c>
      <c r="S5" s="278"/>
      <c r="T5" s="185" t="s">
        <v>266</v>
      </c>
      <c r="U5" s="185" t="s">
        <v>267</v>
      </c>
      <c r="V5" s="287">
        <v>120</v>
      </c>
      <c r="W5" s="289">
        <v>0</v>
      </c>
      <c r="X5" s="136">
        <v>0</v>
      </c>
      <c r="Y5" s="136">
        <v>56</v>
      </c>
      <c r="Z5" s="286">
        <f>(W5+X5+Y5)*V5</f>
        <v>6720</v>
      </c>
    </row>
    <row r="6" spans="1:26" customFormat="1" ht="14.25" customHeight="1">
      <c r="A6" s="278"/>
      <c r="B6" s="287" t="s">
        <v>264</v>
      </c>
      <c r="C6" s="282" t="s">
        <v>265</v>
      </c>
      <c r="D6" s="287">
        <v>1100</v>
      </c>
      <c r="E6" s="288"/>
      <c r="F6" s="289">
        <v>10</v>
      </c>
      <c r="G6" s="289">
        <v>6</v>
      </c>
      <c r="H6" s="286">
        <f t="shared" ref="H6:H69" si="0">(E6+F6+G6)*D6</f>
        <v>17600</v>
      </c>
      <c r="J6" s="278"/>
      <c r="K6" s="287" t="s">
        <v>268</v>
      </c>
      <c r="L6" s="282" t="s">
        <v>265</v>
      </c>
      <c r="M6" s="287">
        <v>1100</v>
      </c>
      <c r="N6" s="288"/>
      <c r="O6" s="289"/>
      <c r="P6" s="289">
        <v>4</v>
      </c>
      <c r="Q6" s="286">
        <f>(N6+O6+P6)*M6</f>
        <v>4400</v>
      </c>
      <c r="S6" s="467"/>
      <c r="T6" s="185" t="s">
        <v>269</v>
      </c>
      <c r="U6" s="185" t="s">
        <v>267</v>
      </c>
      <c r="V6" s="287">
        <v>180</v>
      </c>
      <c r="W6" s="289">
        <v>0</v>
      </c>
      <c r="X6" s="136">
        <v>7</v>
      </c>
      <c r="Y6" s="136">
        <v>0</v>
      </c>
      <c r="Z6" s="286">
        <f>(W6+X6+Y6)*V6</f>
        <v>1260</v>
      </c>
    </row>
    <row r="7" spans="1:26" customFormat="1" ht="14.25" customHeight="1">
      <c r="A7" s="278"/>
      <c r="B7" s="282" t="s">
        <v>270</v>
      </c>
      <c r="C7" s="282" t="s">
        <v>271</v>
      </c>
      <c r="D7" s="283">
        <v>1050</v>
      </c>
      <c r="E7" s="284"/>
      <c r="F7" s="284"/>
      <c r="G7" s="284">
        <v>30</v>
      </c>
      <c r="H7" s="286">
        <f t="shared" si="0"/>
        <v>31500</v>
      </c>
      <c r="J7" s="278"/>
      <c r="K7" s="282" t="s">
        <v>270</v>
      </c>
      <c r="L7" s="282" t="s">
        <v>271</v>
      </c>
      <c r="M7" s="283">
        <v>1050</v>
      </c>
      <c r="N7" s="284"/>
      <c r="O7" s="284"/>
      <c r="P7" s="284">
        <v>22</v>
      </c>
      <c r="Q7" s="286">
        <f>(N7+O7+P7)*M7</f>
        <v>23100</v>
      </c>
      <c r="S7" s="278"/>
      <c r="T7" s="185" t="s">
        <v>272</v>
      </c>
      <c r="U7" s="185" t="s">
        <v>267</v>
      </c>
      <c r="V7" s="287">
        <v>180</v>
      </c>
      <c r="W7" s="289">
        <v>0</v>
      </c>
      <c r="X7" s="136">
        <v>0</v>
      </c>
      <c r="Y7" s="136">
        <v>115</v>
      </c>
      <c r="Z7" s="286">
        <f>(W7+X7+Y7)*V7</f>
        <v>20700</v>
      </c>
    </row>
    <row r="8" spans="1:26" customFormat="1" ht="14.25" customHeight="1">
      <c r="A8" s="278"/>
      <c r="B8" s="281" t="s">
        <v>273</v>
      </c>
      <c r="C8" s="281" t="s">
        <v>274</v>
      </c>
      <c r="D8" s="290">
        <v>400</v>
      </c>
      <c r="E8" s="289">
        <v>36</v>
      </c>
      <c r="F8" s="136"/>
      <c r="G8" s="136">
        <v>107</v>
      </c>
      <c r="H8" s="286">
        <f t="shared" si="0"/>
        <v>57200</v>
      </c>
      <c r="J8" s="278"/>
      <c r="K8" s="281" t="s">
        <v>273</v>
      </c>
      <c r="L8" s="281" t="s">
        <v>274</v>
      </c>
      <c r="M8" s="290">
        <v>400</v>
      </c>
      <c r="N8" s="289">
        <v>40</v>
      </c>
      <c r="O8" s="136"/>
      <c r="P8" s="136">
        <v>99</v>
      </c>
      <c r="Q8" s="286">
        <f>(N8+O8+P8)*M8</f>
        <v>55600</v>
      </c>
      <c r="S8" s="278"/>
      <c r="T8" s="185" t="s">
        <v>275</v>
      </c>
      <c r="U8" s="185" t="s">
        <v>267</v>
      </c>
      <c r="V8" s="287">
        <v>180</v>
      </c>
      <c r="W8" s="289">
        <v>0</v>
      </c>
      <c r="X8" s="136">
        <v>0</v>
      </c>
      <c r="Y8" s="136">
        <v>12</v>
      </c>
      <c r="Z8" s="286">
        <f>(W8+X8+Y8)*V8</f>
        <v>2160</v>
      </c>
    </row>
    <row r="9" spans="1:26" customFormat="1" ht="14.25" customHeight="1">
      <c r="A9" s="278"/>
      <c r="B9" s="281" t="s">
        <v>276</v>
      </c>
      <c r="C9" s="281" t="s">
        <v>277</v>
      </c>
      <c r="D9" s="281">
        <v>858</v>
      </c>
      <c r="E9" s="284"/>
      <c r="F9" s="284">
        <v>17</v>
      </c>
      <c r="G9" s="284">
        <v>30</v>
      </c>
      <c r="H9" s="286">
        <f t="shared" si="0"/>
        <v>40326</v>
      </c>
      <c r="J9" s="278"/>
      <c r="K9" s="281" t="s">
        <v>278</v>
      </c>
      <c r="L9" s="281" t="s">
        <v>277</v>
      </c>
      <c r="M9" s="281">
        <v>1100</v>
      </c>
      <c r="N9" s="284"/>
      <c r="O9" s="284"/>
      <c r="P9" s="284">
        <v>14</v>
      </c>
      <c r="Q9" s="286">
        <f>(N9+O9+P9)*M9</f>
        <v>15400</v>
      </c>
      <c r="S9" s="467"/>
      <c r="T9" s="185" t="s">
        <v>279</v>
      </c>
      <c r="U9" s="185" t="s">
        <v>267</v>
      </c>
      <c r="V9" s="287">
        <v>240</v>
      </c>
      <c r="W9" s="289">
        <v>0</v>
      </c>
      <c r="X9" s="136">
        <v>39</v>
      </c>
      <c r="Y9" s="136">
        <v>0</v>
      </c>
      <c r="Z9" s="286">
        <f>(W9+X9+Y9)*V9</f>
        <v>9360</v>
      </c>
    </row>
    <row r="10" spans="1:26" customFormat="1" ht="14.25" customHeight="1">
      <c r="A10" s="278"/>
      <c r="B10" s="291" t="s">
        <v>280</v>
      </c>
      <c r="C10" s="281" t="s">
        <v>281</v>
      </c>
      <c r="D10" s="282">
        <v>2000</v>
      </c>
      <c r="E10" s="284"/>
      <c r="F10" s="284"/>
      <c r="G10" s="284">
        <v>11</v>
      </c>
      <c r="H10" s="286">
        <f t="shared" si="0"/>
        <v>22000</v>
      </c>
      <c r="J10" s="278"/>
      <c r="K10" s="281" t="s">
        <v>262</v>
      </c>
      <c r="L10" s="281" t="s">
        <v>281</v>
      </c>
      <c r="M10" s="283">
        <v>1183</v>
      </c>
      <c r="N10" s="284"/>
      <c r="O10" s="284"/>
      <c r="P10" s="284">
        <v>10</v>
      </c>
      <c r="Q10" s="286">
        <f>(N10+O10+P10)*M10</f>
        <v>11830</v>
      </c>
      <c r="S10" s="467"/>
      <c r="T10" s="477" t="s">
        <v>282</v>
      </c>
      <c r="U10" s="185" t="s">
        <v>267</v>
      </c>
      <c r="V10" s="287">
        <v>180</v>
      </c>
      <c r="W10" s="289">
        <v>0</v>
      </c>
      <c r="X10" s="136">
        <v>0</v>
      </c>
      <c r="Y10" s="136">
        <v>74</v>
      </c>
      <c r="Z10" s="286">
        <f>(W10+X10+Y10)*V10</f>
        <v>13320</v>
      </c>
    </row>
    <row r="11" spans="1:26" customFormat="1" ht="14.25" customHeight="1">
      <c r="A11" s="278"/>
      <c r="B11" s="281" t="s">
        <v>283</v>
      </c>
      <c r="C11" s="282" t="s">
        <v>284</v>
      </c>
      <c r="D11" s="283">
        <v>1050</v>
      </c>
      <c r="E11" s="284"/>
      <c r="F11" s="284">
        <v>276</v>
      </c>
      <c r="G11" s="284">
        <v>10</v>
      </c>
      <c r="H11" s="286">
        <f t="shared" si="0"/>
        <v>300300</v>
      </c>
      <c r="J11" s="278"/>
      <c r="K11" s="281" t="s">
        <v>285</v>
      </c>
      <c r="L11" s="282" t="s">
        <v>286</v>
      </c>
      <c r="M11" s="290">
        <v>700</v>
      </c>
      <c r="N11" s="287">
        <v>37</v>
      </c>
      <c r="O11" s="292"/>
      <c r="P11" s="292">
        <v>76</v>
      </c>
      <c r="Q11" s="286">
        <f>(N11+O11+P11)*M11</f>
        <v>79100</v>
      </c>
      <c r="S11" s="467"/>
      <c r="T11" s="185" t="s">
        <v>287</v>
      </c>
      <c r="U11" s="185" t="s">
        <v>267</v>
      </c>
      <c r="V11" s="287">
        <v>180</v>
      </c>
      <c r="W11" s="287">
        <v>0</v>
      </c>
      <c r="X11" s="292">
        <v>0</v>
      </c>
      <c r="Y11" s="292">
        <v>18</v>
      </c>
      <c r="Z11" s="286">
        <f>(W11+X11+Y11)*V11</f>
        <v>3240</v>
      </c>
    </row>
    <row r="12" spans="1:26" ht="14.25" customHeight="1">
      <c r="A12" s="278"/>
      <c r="B12" s="281" t="s">
        <v>288</v>
      </c>
      <c r="C12" s="282" t="s">
        <v>289</v>
      </c>
      <c r="D12" s="290">
        <v>352</v>
      </c>
      <c r="E12" s="287">
        <v>40</v>
      </c>
      <c r="F12" s="292"/>
      <c r="G12" s="292">
        <v>27</v>
      </c>
      <c r="H12" s="286">
        <f t="shared" si="0"/>
        <v>23584</v>
      </c>
      <c r="J12" s="278"/>
      <c r="K12" s="281" t="s">
        <v>283</v>
      </c>
      <c r="L12" s="282" t="s">
        <v>289</v>
      </c>
      <c r="M12" s="283">
        <v>1050</v>
      </c>
      <c r="N12" s="284"/>
      <c r="O12" s="284">
        <v>408</v>
      </c>
      <c r="P12" s="284">
        <v>13</v>
      </c>
      <c r="Q12" s="286">
        <f>(N12+O12+P12)*M12</f>
        <v>442050</v>
      </c>
      <c r="S12" s="467"/>
      <c r="T12" s="185" t="s">
        <v>290</v>
      </c>
      <c r="U12" s="185" t="s">
        <v>267</v>
      </c>
      <c r="V12" s="287">
        <v>180</v>
      </c>
      <c r="W12" s="289">
        <v>0</v>
      </c>
      <c r="X12" s="136">
        <v>0</v>
      </c>
      <c r="Y12" s="136">
        <v>26</v>
      </c>
      <c r="Z12" s="286">
        <f>(W12+X12+Y12)*V12</f>
        <v>4680</v>
      </c>
    </row>
    <row r="13" spans="1:26" ht="14.25" customHeight="1">
      <c r="A13" s="278"/>
      <c r="B13" s="281" t="s">
        <v>291</v>
      </c>
      <c r="C13" s="282" t="s">
        <v>292</v>
      </c>
      <c r="D13" s="290">
        <v>495</v>
      </c>
      <c r="E13" s="290">
        <v>16</v>
      </c>
      <c r="F13" s="292"/>
      <c r="G13" s="292">
        <v>57</v>
      </c>
      <c r="H13" s="286">
        <f t="shared" si="0"/>
        <v>36135</v>
      </c>
      <c r="J13" s="278"/>
      <c r="K13" s="281" t="s">
        <v>293</v>
      </c>
      <c r="L13" s="282" t="s">
        <v>294</v>
      </c>
      <c r="M13" s="281">
        <v>594</v>
      </c>
      <c r="N13" s="284">
        <v>159</v>
      </c>
      <c r="O13" s="284"/>
      <c r="P13" s="284">
        <v>63</v>
      </c>
      <c r="Q13" s="286">
        <f>(N13+O13+P13)*M13</f>
        <v>131868</v>
      </c>
      <c r="S13" s="467"/>
      <c r="T13" s="185" t="s">
        <v>295</v>
      </c>
      <c r="U13" s="185" t="s">
        <v>267</v>
      </c>
      <c r="V13" s="287">
        <v>180</v>
      </c>
      <c r="W13" s="289">
        <v>0</v>
      </c>
      <c r="X13" s="136">
        <v>0</v>
      </c>
      <c r="Y13" s="136">
        <v>101</v>
      </c>
      <c r="Z13" s="286">
        <f>(W13+X13+Y13)*V13</f>
        <v>18180</v>
      </c>
    </row>
    <row r="14" spans="1:26" ht="14.25" customHeight="1">
      <c r="A14" s="278"/>
      <c r="B14" s="281" t="s">
        <v>285</v>
      </c>
      <c r="C14" s="282" t="s">
        <v>296</v>
      </c>
      <c r="D14" s="290">
        <v>700</v>
      </c>
      <c r="E14" s="287">
        <v>76</v>
      </c>
      <c r="F14" s="292"/>
      <c r="G14" s="292">
        <v>76</v>
      </c>
      <c r="H14" s="286">
        <f t="shared" si="0"/>
        <v>106400</v>
      </c>
      <c r="J14" s="278"/>
      <c r="K14" s="281" t="s">
        <v>297</v>
      </c>
      <c r="L14" s="302" t="s">
        <v>298</v>
      </c>
      <c r="M14" s="281">
        <v>638</v>
      </c>
      <c r="N14" s="284">
        <v>57</v>
      </c>
      <c r="O14" s="284">
        <v>472</v>
      </c>
      <c r="P14" s="284"/>
      <c r="Q14" s="286">
        <f>(N14+O14+P14)*M14</f>
        <v>337502</v>
      </c>
      <c r="S14" s="467"/>
      <c r="T14" s="185" t="s">
        <v>299</v>
      </c>
      <c r="U14" s="302" t="s">
        <v>267</v>
      </c>
      <c r="V14" s="287">
        <v>180</v>
      </c>
      <c r="W14" s="289">
        <v>0</v>
      </c>
      <c r="X14" s="136">
        <v>0</v>
      </c>
      <c r="Y14" s="136">
        <v>54</v>
      </c>
      <c r="Z14" s="286">
        <f>(W14+X14+Y14)*V14</f>
        <v>9720</v>
      </c>
    </row>
    <row r="15" spans="1:26" ht="14.25" customHeight="1">
      <c r="A15" s="278"/>
      <c r="B15" s="281" t="s">
        <v>300</v>
      </c>
      <c r="C15" s="282" t="s">
        <v>301</v>
      </c>
      <c r="D15" s="281">
        <v>854</v>
      </c>
      <c r="E15" s="284"/>
      <c r="F15" s="284"/>
      <c r="G15" s="284"/>
      <c r="H15" s="286">
        <f t="shared" si="0"/>
        <v>0</v>
      </c>
      <c r="J15" s="278"/>
      <c r="K15" s="281" t="s">
        <v>302</v>
      </c>
      <c r="L15" s="282" t="s">
        <v>303</v>
      </c>
      <c r="M15" s="290">
        <v>250</v>
      </c>
      <c r="N15" s="287">
        <v>11</v>
      </c>
      <c r="O15" s="136"/>
      <c r="P15" s="134"/>
      <c r="Q15" s="286">
        <f>(N15+O15+P15)*M15</f>
        <v>2750</v>
      </c>
      <c r="S15" s="467"/>
      <c r="T15" s="281" t="s">
        <v>304</v>
      </c>
      <c r="U15" s="185" t="s">
        <v>267</v>
      </c>
      <c r="V15" s="290">
        <v>240</v>
      </c>
      <c r="W15" s="287">
        <v>0</v>
      </c>
      <c r="X15" s="289">
        <v>54</v>
      </c>
      <c r="Y15" s="486">
        <v>103</v>
      </c>
      <c r="Z15" s="286">
        <f>(W15+X15+Y15)*V15</f>
        <v>37680</v>
      </c>
    </row>
    <row r="16" spans="1:26" ht="14.25" customHeight="1">
      <c r="A16" s="278"/>
      <c r="B16" s="281" t="s">
        <v>293</v>
      </c>
      <c r="C16" s="282" t="s">
        <v>294</v>
      </c>
      <c r="D16" s="281">
        <v>594</v>
      </c>
      <c r="E16" s="284">
        <v>263</v>
      </c>
      <c r="F16" s="284"/>
      <c r="G16" s="284">
        <v>94</v>
      </c>
      <c r="H16" s="286">
        <f t="shared" si="0"/>
        <v>212058</v>
      </c>
      <c r="J16" s="278"/>
      <c r="K16" s="281" t="s">
        <v>305</v>
      </c>
      <c r="L16" s="282" t="s">
        <v>306</v>
      </c>
      <c r="M16" s="293">
        <v>1000</v>
      </c>
      <c r="N16" s="287"/>
      <c r="O16" s="136"/>
      <c r="P16" s="134">
        <v>128</v>
      </c>
      <c r="Q16" s="286">
        <f>(N16+O16+P16)*M16</f>
        <v>128000</v>
      </c>
      <c r="S16" s="467"/>
      <c r="T16" s="281" t="s">
        <v>307</v>
      </c>
      <c r="U16" s="185" t="s">
        <v>267</v>
      </c>
      <c r="V16" s="290">
        <v>180</v>
      </c>
      <c r="W16" s="287">
        <v>0</v>
      </c>
      <c r="X16" s="289">
        <v>0</v>
      </c>
      <c r="Y16" s="486">
        <v>63</v>
      </c>
      <c r="Z16" s="286">
        <f>(W16+X16+Y16)*V16</f>
        <v>11340</v>
      </c>
    </row>
    <row r="17" spans="1:26" ht="14.25" customHeight="1">
      <c r="A17" s="278"/>
      <c r="B17" s="281" t="s">
        <v>297</v>
      </c>
      <c r="C17" s="302" t="s">
        <v>298</v>
      </c>
      <c r="D17" s="281">
        <v>638</v>
      </c>
      <c r="E17" s="284"/>
      <c r="F17" s="284">
        <v>80</v>
      </c>
      <c r="G17" s="284">
        <v>63</v>
      </c>
      <c r="H17" s="286">
        <f t="shared" si="0"/>
        <v>91234</v>
      </c>
      <c r="J17" s="443"/>
      <c r="K17" s="281" t="s">
        <v>308</v>
      </c>
      <c r="L17" s="282" t="s">
        <v>309</v>
      </c>
      <c r="M17" s="293">
        <v>130</v>
      </c>
      <c r="N17" s="289">
        <v>6</v>
      </c>
      <c r="O17" s="136"/>
      <c r="P17" s="136">
        <v>52</v>
      </c>
      <c r="Q17" s="286">
        <f>(N17+O17+P17)*M17</f>
        <v>7540</v>
      </c>
      <c r="S17" s="467"/>
      <c r="T17" s="281" t="s">
        <v>310</v>
      </c>
      <c r="U17" s="185" t="s">
        <v>267</v>
      </c>
      <c r="V17" s="281">
        <v>240</v>
      </c>
      <c r="W17" s="284">
        <v>0</v>
      </c>
      <c r="X17" s="284">
        <v>0</v>
      </c>
      <c r="Y17" s="284">
        <v>0</v>
      </c>
      <c r="Z17" s="286">
        <f>(W17+X17+Y17)*V17</f>
        <v>0</v>
      </c>
    </row>
    <row r="18" spans="1:26" ht="14.25" customHeight="1">
      <c r="A18" s="278"/>
      <c r="B18" s="281" t="s">
        <v>302</v>
      </c>
      <c r="C18" s="282" t="s">
        <v>303</v>
      </c>
      <c r="D18" s="290">
        <v>250</v>
      </c>
      <c r="E18" s="287">
        <v>11</v>
      </c>
      <c r="F18" s="136"/>
      <c r="G18" s="134"/>
      <c r="H18" s="286">
        <f t="shared" si="0"/>
        <v>2750</v>
      </c>
      <c r="J18" s="278"/>
      <c r="K18" s="49" t="s">
        <v>311</v>
      </c>
      <c r="L18" s="282" t="s">
        <v>312</v>
      </c>
      <c r="M18" s="212">
        <v>2000</v>
      </c>
      <c r="N18" s="139"/>
      <c r="O18" s="139"/>
      <c r="P18" s="139">
        <v>10</v>
      </c>
      <c r="Q18" s="286">
        <f>(N18+O18+P18)*M18</f>
        <v>20000</v>
      </c>
      <c r="S18" s="467"/>
      <c r="T18" s="281" t="s">
        <v>313</v>
      </c>
      <c r="U18" s="185" t="s">
        <v>267</v>
      </c>
      <c r="V18" s="281">
        <v>300</v>
      </c>
      <c r="W18" s="284">
        <v>0</v>
      </c>
      <c r="X18" s="284">
        <v>0</v>
      </c>
      <c r="Y18" s="284">
        <v>0</v>
      </c>
      <c r="Z18" s="286">
        <f>(W18+X18+Y18)*V18</f>
        <v>0</v>
      </c>
    </row>
    <row r="19" spans="1:26" ht="14.25" customHeight="1">
      <c r="A19" s="278"/>
      <c r="B19" s="281" t="s">
        <v>305</v>
      </c>
      <c r="C19" s="282" t="s">
        <v>314</v>
      </c>
      <c r="D19" s="293">
        <v>1000</v>
      </c>
      <c r="E19" s="287">
        <v>175</v>
      </c>
      <c r="F19" s="136"/>
      <c r="G19" s="134">
        <v>47</v>
      </c>
      <c r="H19" s="286">
        <f t="shared" si="0"/>
        <v>222000</v>
      </c>
      <c r="J19" s="278"/>
      <c r="K19" s="281" t="s">
        <v>315</v>
      </c>
      <c r="L19" s="282" t="s">
        <v>316</v>
      </c>
      <c r="M19" s="282">
        <v>745</v>
      </c>
      <c r="N19" s="284">
        <v>48</v>
      </c>
      <c r="O19" s="284"/>
      <c r="P19" s="284">
        <v>28</v>
      </c>
      <c r="Q19" s="286">
        <f>(N19+O19+P19)*M19</f>
        <v>56620</v>
      </c>
      <c r="S19" s="467"/>
      <c r="T19" s="281" t="s">
        <v>317</v>
      </c>
      <c r="U19" s="185" t="s">
        <v>267</v>
      </c>
      <c r="V19" s="281">
        <v>240</v>
      </c>
      <c r="W19" s="284">
        <v>0</v>
      </c>
      <c r="X19" s="284">
        <v>0</v>
      </c>
      <c r="Y19" s="284">
        <v>8</v>
      </c>
      <c r="Z19" s="286">
        <f>(W19+X19+Y19)*V19</f>
        <v>1920</v>
      </c>
    </row>
    <row r="20" spans="1:26" ht="14.25" customHeight="1">
      <c r="A20" s="278"/>
      <c r="B20" s="281" t="s">
        <v>318</v>
      </c>
      <c r="C20" s="282" t="s">
        <v>319</v>
      </c>
      <c r="D20" s="282">
        <v>1800</v>
      </c>
      <c r="E20" s="284"/>
      <c r="F20" s="284"/>
      <c r="G20" s="284">
        <v>24</v>
      </c>
      <c r="H20" s="286">
        <f t="shared" si="0"/>
        <v>43200</v>
      </c>
      <c r="J20" s="278"/>
      <c r="K20" s="282" t="s">
        <v>320</v>
      </c>
      <c r="L20" s="282" t="s">
        <v>321</v>
      </c>
      <c r="M20" s="294">
        <v>1300</v>
      </c>
      <c r="N20" s="287"/>
      <c r="O20" s="136"/>
      <c r="P20" s="134">
        <v>10</v>
      </c>
      <c r="Q20" s="286">
        <f>(N20+O20+P20)*M20</f>
        <v>13000</v>
      </c>
      <c r="S20" s="467"/>
      <c r="T20" s="281" t="s">
        <v>322</v>
      </c>
      <c r="U20" s="185" t="s">
        <v>267</v>
      </c>
      <c r="V20" s="281">
        <v>240</v>
      </c>
      <c r="W20" s="281">
        <v>0</v>
      </c>
      <c r="X20" s="284">
        <v>24</v>
      </c>
      <c r="Y20" s="485">
        <v>0</v>
      </c>
      <c r="Z20" s="286">
        <f>(W20+X20+Y20)*V20</f>
        <v>5760</v>
      </c>
    </row>
    <row r="21" spans="1:26" ht="14.25" customHeight="1">
      <c r="A21" s="278"/>
      <c r="B21" s="282" t="s">
        <v>172</v>
      </c>
      <c r="C21" s="282" t="s">
        <v>312</v>
      </c>
      <c r="D21" s="293">
        <v>2000</v>
      </c>
      <c r="E21" s="287">
        <v>3</v>
      </c>
      <c r="F21" s="136"/>
      <c r="G21" s="134">
        <v>9</v>
      </c>
      <c r="H21" s="286">
        <f t="shared" si="0"/>
        <v>24000</v>
      </c>
      <c r="J21" s="137"/>
      <c r="K21" s="282" t="s">
        <v>101</v>
      </c>
      <c r="L21" s="282" t="s">
        <v>323</v>
      </c>
      <c r="M21" s="293">
        <v>2500</v>
      </c>
      <c r="N21" s="289"/>
      <c r="O21" s="136"/>
      <c r="P21" s="136">
        <v>19</v>
      </c>
      <c r="Q21" s="286">
        <f>(N21+O21+P21)*M21</f>
        <v>47500</v>
      </c>
      <c r="S21" s="496"/>
      <c r="T21" s="281" t="s">
        <v>324</v>
      </c>
      <c r="U21" s="185" t="s">
        <v>267</v>
      </c>
      <c r="V21" s="281">
        <v>300</v>
      </c>
      <c r="W21" s="284">
        <v>40</v>
      </c>
      <c r="X21" s="284">
        <v>0</v>
      </c>
      <c r="Y21" s="284">
        <v>31</v>
      </c>
      <c r="Z21" s="286">
        <f>(W21+X21+Y21)*V21</f>
        <v>21300</v>
      </c>
    </row>
    <row r="22" spans="1:26" ht="14.25" customHeight="1">
      <c r="A22" s="278"/>
      <c r="B22" s="281" t="s">
        <v>315</v>
      </c>
      <c r="C22" s="282" t="s">
        <v>316</v>
      </c>
      <c r="D22" s="282">
        <v>745</v>
      </c>
      <c r="E22" s="284">
        <v>123</v>
      </c>
      <c r="F22" s="284"/>
      <c r="G22" s="284">
        <v>26</v>
      </c>
      <c r="H22" s="286">
        <f t="shared" si="0"/>
        <v>111005</v>
      </c>
      <c r="J22" s="278"/>
      <c r="K22" s="12" t="s">
        <v>325</v>
      </c>
      <c r="L22" s="282" t="s">
        <v>326</v>
      </c>
      <c r="M22" s="138">
        <v>1100</v>
      </c>
      <c r="N22" s="183"/>
      <c r="O22" s="136"/>
      <c r="P22" s="136">
        <v>29</v>
      </c>
      <c r="Q22" s="286">
        <f>(N22+O22+P22)*M22</f>
        <v>31900</v>
      </c>
      <c r="S22" s="467"/>
      <c r="T22" s="281" t="s">
        <v>327</v>
      </c>
      <c r="U22" s="185" t="s">
        <v>267</v>
      </c>
      <c r="V22" s="281">
        <v>180</v>
      </c>
      <c r="W22" s="284">
        <v>0</v>
      </c>
      <c r="X22" s="284">
        <v>0</v>
      </c>
      <c r="Y22" s="284">
        <v>0</v>
      </c>
      <c r="Z22" s="286">
        <f>(W22+X22+Y22)*V22</f>
        <v>0</v>
      </c>
    </row>
    <row r="23" spans="1:26" ht="14.25" customHeight="1">
      <c r="A23" s="278"/>
      <c r="B23" s="282" t="s">
        <v>320</v>
      </c>
      <c r="C23" s="282" t="s">
        <v>321</v>
      </c>
      <c r="D23" s="294">
        <v>1300</v>
      </c>
      <c r="E23" s="287"/>
      <c r="F23" s="136"/>
      <c r="G23" s="134">
        <v>6</v>
      </c>
      <c r="H23" s="286">
        <f t="shared" si="0"/>
        <v>7800</v>
      </c>
      <c r="J23" s="278"/>
      <c r="K23" s="281" t="s">
        <v>328</v>
      </c>
      <c r="L23" s="282" t="s">
        <v>329</v>
      </c>
      <c r="M23" s="282">
        <v>1100</v>
      </c>
      <c r="N23" s="284">
        <v>10</v>
      </c>
      <c r="O23" s="284"/>
      <c r="P23" s="284">
        <v>15</v>
      </c>
      <c r="Q23" s="286">
        <f>(N23+O23+P23)*M23</f>
        <v>27500</v>
      </c>
      <c r="S23" s="467"/>
      <c r="T23" s="12" t="s">
        <v>330</v>
      </c>
      <c r="U23" s="185" t="s">
        <v>267</v>
      </c>
      <c r="V23" s="46">
        <v>240</v>
      </c>
      <c r="W23" s="183">
        <v>0</v>
      </c>
      <c r="X23" s="136">
        <v>0</v>
      </c>
      <c r="Y23" s="136">
        <v>15</v>
      </c>
      <c r="Z23" s="286">
        <f>(W23+X23+Y23)*V23</f>
        <v>3600</v>
      </c>
    </row>
    <row r="24" spans="1:26" ht="14.25" customHeight="1">
      <c r="A24" s="278"/>
      <c r="B24" s="282" t="s">
        <v>101</v>
      </c>
      <c r="C24" s="282" t="s">
        <v>331</v>
      </c>
      <c r="D24" s="293">
        <v>2500</v>
      </c>
      <c r="E24" s="289">
        <v>6</v>
      </c>
      <c r="F24" s="136"/>
      <c r="G24" s="136">
        <v>12</v>
      </c>
      <c r="H24" s="286">
        <f t="shared" si="0"/>
        <v>45000</v>
      </c>
      <c r="J24" s="278"/>
      <c r="K24" s="281" t="s">
        <v>332</v>
      </c>
      <c r="L24" s="302" t="s">
        <v>333</v>
      </c>
      <c r="M24" s="281">
        <v>687</v>
      </c>
      <c r="N24" s="284">
        <v>48</v>
      </c>
      <c r="O24" s="284"/>
      <c r="P24" s="284">
        <v>45</v>
      </c>
      <c r="Q24" s="286">
        <f>(N24+O24+P24)*M24</f>
        <v>63891</v>
      </c>
      <c r="S24" s="467"/>
      <c r="T24" s="281" t="s">
        <v>334</v>
      </c>
      <c r="U24" s="476" t="s">
        <v>267</v>
      </c>
      <c r="V24" s="290">
        <v>396</v>
      </c>
      <c r="W24" s="289">
        <v>0</v>
      </c>
      <c r="X24" s="136">
        <v>0</v>
      </c>
      <c r="Y24" s="136">
        <v>27</v>
      </c>
      <c r="Z24" s="286">
        <f>(W24+X24+Y24)*V24</f>
        <v>10692</v>
      </c>
    </row>
    <row r="25" spans="1:26" ht="14.25" customHeight="1">
      <c r="A25" s="278"/>
      <c r="B25" s="281" t="s">
        <v>335</v>
      </c>
      <c r="C25" s="282" t="s">
        <v>6</v>
      </c>
      <c r="D25" s="282">
        <v>745</v>
      </c>
      <c r="E25" s="284">
        <v>65</v>
      </c>
      <c r="F25" s="284"/>
      <c r="G25" s="284"/>
      <c r="H25" s="286">
        <f t="shared" si="0"/>
        <v>48425</v>
      </c>
      <c r="J25" s="278"/>
      <c r="K25" s="281" t="s">
        <v>336</v>
      </c>
      <c r="L25" s="282" t="s">
        <v>337</v>
      </c>
      <c r="M25" s="282">
        <v>500</v>
      </c>
      <c r="N25" s="284">
        <v>25</v>
      </c>
      <c r="O25" s="284"/>
      <c r="P25" s="284">
        <v>17</v>
      </c>
      <c r="Q25" s="286">
        <f>(N25+O25+P25)*M25</f>
        <v>21000</v>
      </c>
      <c r="S25" s="467"/>
      <c r="T25" s="282" t="s">
        <v>338</v>
      </c>
      <c r="U25" s="477" t="s">
        <v>267</v>
      </c>
      <c r="V25" s="281">
        <v>398</v>
      </c>
      <c r="W25" s="297">
        <v>0</v>
      </c>
      <c r="X25" s="284">
        <v>0</v>
      </c>
      <c r="Y25" s="284">
        <v>19</v>
      </c>
      <c r="Z25" s="286">
        <f>(W25+X25+Y25)*V25</f>
        <v>7562</v>
      </c>
    </row>
    <row r="26" spans="1:26" ht="14.25" customHeight="1">
      <c r="A26" s="278"/>
      <c r="B26" s="281" t="s">
        <v>336</v>
      </c>
      <c r="C26" s="282" t="s">
        <v>337</v>
      </c>
      <c r="D26" s="282">
        <v>500</v>
      </c>
      <c r="E26" s="284">
        <v>16</v>
      </c>
      <c r="F26" s="284"/>
      <c r="G26" s="284">
        <v>25</v>
      </c>
      <c r="H26" s="286">
        <f t="shared" si="0"/>
        <v>20500</v>
      </c>
      <c r="J26" s="278"/>
      <c r="K26" s="281" t="s">
        <v>339</v>
      </c>
      <c r="L26" s="282" t="s">
        <v>340</v>
      </c>
      <c r="M26" s="282">
        <v>1100</v>
      </c>
      <c r="N26" s="284"/>
      <c r="O26" s="284"/>
      <c r="P26" s="284">
        <v>8</v>
      </c>
      <c r="Q26" s="286">
        <f>(N26+O26+P26)*M26</f>
        <v>8800</v>
      </c>
      <c r="S26" s="467"/>
      <c r="T26" s="281" t="s">
        <v>341</v>
      </c>
      <c r="U26" s="477" t="s">
        <v>267</v>
      </c>
      <c r="V26" s="281">
        <v>286</v>
      </c>
      <c r="W26" s="284">
        <v>0</v>
      </c>
      <c r="X26" s="284">
        <v>0</v>
      </c>
      <c r="Y26" s="284">
        <v>14</v>
      </c>
      <c r="Z26" s="286">
        <f>(W26+X26+Y26)*V26</f>
        <v>4004</v>
      </c>
    </row>
    <row r="27" spans="1:26" ht="14.25" customHeight="1">
      <c r="A27" s="278"/>
      <c r="B27" s="281" t="s">
        <v>339</v>
      </c>
      <c r="C27" s="282" t="s">
        <v>340</v>
      </c>
      <c r="D27" s="282">
        <v>1100</v>
      </c>
      <c r="E27" s="284"/>
      <c r="F27" s="284"/>
      <c r="G27" s="284">
        <v>25</v>
      </c>
      <c r="H27" s="286">
        <f t="shared" si="0"/>
        <v>27500</v>
      </c>
      <c r="J27" s="278"/>
      <c r="K27" s="281" t="s">
        <v>212</v>
      </c>
      <c r="L27" s="282" t="s">
        <v>342</v>
      </c>
      <c r="M27" s="281">
        <v>700</v>
      </c>
      <c r="N27" s="284">
        <v>50</v>
      </c>
      <c r="O27" s="284"/>
      <c r="P27" s="284">
        <v>12</v>
      </c>
      <c r="Q27" s="286">
        <f>(N27+O27+P27)*M27</f>
        <v>43400</v>
      </c>
      <c r="S27" s="467"/>
      <c r="T27" s="281" t="s">
        <v>343</v>
      </c>
      <c r="U27" s="185" t="s">
        <v>267</v>
      </c>
      <c r="V27" s="281">
        <v>180</v>
      </c>
      <c r="W27" s="284">
        <v>0</v>
      </c>
      <c r="X27" s="284">
        <v>24</v>
      </c>
      <c r="Y27" s="284">
        <v>0</v>
      </c>
      <c r="Z27" s="286">
        <f>(W27+X27+Y27)*V27</f>
        <v>4320</v>
      </c>
    </row>
    <row r="28" spans="1:26" ht="14.25" customHeight="1">
      <c r="A28" s="278"/>
      <c r="B28" s="281" t="s">
        <v>344</v>
      </c>
      <c r="C28" s="282" t="s">
        <v>342</v>
      </c>
      <c r="D28" s="293">
        <v>1100</v>
      </c>
      <c r="E28" s="287"/>
      <c r="F28" s="136"/>
      <c r="G28" s="134"/>
      <c r="H28" s="286">
        <f t="shared" si="0"/>
        <v>0</v>
      </c>
      <c r="J28" s="278"/>
      <c r="K28" s="281" t="s">
        <v>345</v>
      </c>
      <c r="L28" s="316" t="s">
        <v>346</v>
      </c>
      <c r="M28" s="281">
        <v>82</v>
      </c>
      <c r="N28" s="284">
        <v>92</v>
      </c>
      <c r="O28" s="284"/>
      <c r="P28" s="284">
        <v>108</v>
      </c>
      <c r="Q28" s="286">
        <f>(N28+O28+P28)*M28</f>
        <v>16400</v>
      </c>
      <c r="S28" s="496"/>
      <c r="T28" s="281" t="s">
        <v>347</v>
      </c>
      <c r="U28" s="185" t="s">
        <v>267</v>
      </c>
      <c r="V28" s="281">
        <v>180</v>
      </c>
      <c r="W28" s="284">
        <v>0</v>
      </c>
      <c r="X28" s="284">
        <v>44</v>
      </c>
      <c r="Y28" s="284">
        <v>0</v>
      </c>
      <c r="Z28" s="286">
        <f>(W28+X28+Y28)*V28</f>
        <v>7920</v>
      </c>
    </row>
    <row r="29" spans="1:26" ht="14.25" customHeight="1">
      <c r="A29" s="278"/>
      <c r="B29" s="281" t="s">
        <v>345</v>
      </c>
      <c r="C29" s="316" t="s">
        <v>346</v>
      </c>
      <c r="D29" s="281">
        <v>82</v>
      </c>
      <c r="E29" s="284">
        <v>360</v>
      </c>
      <c r="F29" s="284"/>
      <c r="G29" s="284">
        <v>53</v>
      </c>
      <c r="H29" s="286">
        <f t="shared" si="0"/>
        <v>33866</v>
      </c>
      <c r="J29" s="137"/>
      <c r="K29" s="281" t="s">
        <v>318</v>
      </c>
      <c r="L29" s="282" t="s">
        <v>348</v>
      </c>
      <c r="M29" s="282">
        <v>1800</v>
      </c>
      <c r="N29" s="284"/>
      <c r="O29" s="284"/>
      <c r="P29" s="284">
        <v>18</v>
      </c>
      <c r="Q29" s="286">
        <f>(N29+O29+P29)*M29</f>
        <v>32400</v>
      </c>
      <c r="S29" s="467"/>
      <c r="T29" s="12" t="s">
        <v>349</v>
      </c>
      <c r="U29" s="185" t="s">
        <v>267</v>
      </c>
      <c r="V29" s="135">
        <v>180</v>
      </c>
      <c r="W29" s="183">
        <v>0</v>
      </c>
      <c r="X29" s="136">
        <v>20</v>
      </c>
      <c r="Y29" s="136">
        <v>86</v>
      </c>
      <c r="Z29" s="286">
        <f>(W29+X29+Y29)*V29</f>
        <v>19080</v>
      </c>
    </row>
    <row r="30" spans="1:26" ht="14.25" customHeight="1">
      <c r="A30" s="278"/>
      <c r="B30" s="281" t="s">
        <v>350</v>
      </c>
      <c r="C30" s="282" t="s">
        <v>351</v>
      </c>
      <c r="D30" s="281">
        <v>121</v>
      </c>
      <c r="E30" s="284">
        <v>69</v>
      </c>
      <c r="F30" s="284"/>
      <c r="G30" s="284">
        <v>154</v>
      </c>
      <c r="H30" s="286">
        <f t="shared" si="0"/>
        <v>26983</v>
      </c>
      <c r="J30" s="278"/>
      <c r="K30" s="12" t="s">
        <v>352</v>
      </c>
      <c r="L30" s="282" t="s">
        <v>351</v>
      </c>
      <c r="M30" s="138">
        <v>78</v>
      </c>
      <c r="N30" s="183">
        <v>12</v>
      </c>
      <c r="O30" s="136"/>
      <c r="P30" s="136">
        <v>44</v>
      </c>
      <c r="Q30" s="286">
        <f>(N30+O30+P30)*M30</f>
        <v>4368</v>
      </c>
      <c r="S30" s="569"/>
      <c r="T30" s="499" t="s">
        <v>353</v>
      </c>
      <c r="U30" s="185" t="s">
        <v>267</v>
      </c>
      <c r="V30" s="138">
        <v>180</v>
      </c>
      <c r="W30" s="183">
        <v>0</v>
      </c>
      <c r="X30" s="136">
        <v>29</v>
      </c>
      <c r="Y30" s="136">
        <v>0</v>
      </c>
      <c r="Z30" s="286">
        <f>(W30+X30+Y30)*V30</f>
        <v>5220</v>
      </c>
    </row>
    <row r="31" spans="1:26" ht="14.25" customHeight="1">
      <c r="A31" s="278"/>
      <c r="B31" s="295" t="s">
        <v>354</v>
      </c>
      <c r="C31" s="282" t="s">
        <v>355</v>
      </c>
      <c r="D31" s="290">
        <v>300</v>
      </c>
      <c r="E31" s="289">
        <v>9</v>
      </c>
      <c r="F31" s="136"/>
      <c r="G31" s="136">
        <v>4</v>
      </c>
      <c r="H31" s="286">
        <f t="shared" si="0"/>
        <v>3900</v>
      </c>
      <c r="J31" s="444"/>
      <c r="K31" s="295" t="s">
        <v>354</v>
      </c>
      <c r="L31" s="282" t="s">
        <v>355</v>
      </c>
      <c r="M31" s="290">
        <v>300</v>
      </c>
      <c r="N31" s="289"/>
      <c r="O31" s="136"/>
      <c r="P31" s="136">
        <v>18</v>
      </c>
      <c r="Q31" s="286">
        <f>(N31+O31+P31)*M31</f>
        <v>5400</v>
      </c>
      <c r="S31" s="467"/>
      <c r="T31" s="12" t="s">
        <v>356</v>
      </c>
      <c r="U31" s="185" t="s">
        <v>267</v>
      </c>
      <c r="V31" s="138">
        <v>180</v>
      </c>
      <c r="W31" s="183">
        <v>0</v>
      </c>
      <c r="X31" s="136">
        <v>34</v>
      </c>
      <c r="Y31" s="136">
        <v>0</v>
      </c>
      <c r="Z31" s="286">
        <f>(W31+X31+Y31)*V31</f>
        <v>6120</v>
      </c>
    </row>
    <row r="32" spans="1:26" ht="14.25" customHeight="1">
      <c r="A32" s="278"/>
      <c r="B32" s="281" t="s">
        <v>357</v>
      </c>
      <c r="C32" s="282" t="s">
        <v>358</v>
      </c>
      <c r="D32" s="281">
        <v>500</v>
      </c>
      <c r="E32" s="284">
        <v>148</v>
      </c>
      <c r="F32" s="284"/>
      <c r="G32" s="284">
        <v>44</v>
      </c>
      <c r="H32" s="286">
        <f t="shared" si="0"/>
        <v>96000</v>
      </c>
      <c r="J32" s="278"/>
      <c r="K32" s="12" t="s">
        <v>359</v>
      </c>
      <c r="L32" s="282" t="s">
        <v>358</v>
      </c>
      <c r="M32" s="12">
        <v>773</v>
      </c>
      <c r="N32" s="139"/>
      <c r="O32" s="139"/>
      <c r="P32" s="139">
        <v>5</v>
      </c>
      <c r="Q32" s="286">
        <f>(N32+O32+P32)*M32</f>
        <v>3865</v>
      </c>
      <c r="S32" s="467"/>
      <c r="T32" s="12" t="s">
        <v>360</v>
      </c>
      <c r="U32" s="51" t="s">
        <v>267</v>
      </c>
      <c r="V32" s="138">
        <v>120</v>
      </c>
      <c r="W32" s="135">
        <v>0</v>
      </c>
      <c r="X32" s="136">
        <v>0</v>
      </c>
      <c r="Y32" s="134">
        <v>0</v>
      </c>
      <c r="Z32" s="286">
        <f>(W32+X32+Y32)*V32</f>
        <v>0</v>
      </c>
    </row>
    <row r="33" spans="1:26" ht="14.25" customHeight="1">
      <c r="A33" s="278"/>
      <c r="B33" s="281" t="s">
        <v>361</v>
      </c>
      <c r="C33" s="282" t="s">
        <v>362</v>
      </c>
      <c r="D33" s="290">
        <v>726</v>
      </c>
      <c r="E33" s="287">
        <v>70</v>
      </c>
      <c r="F33" s="136"/>
      <c r="G33" s="134">
        <v>45</v>
      </c>
      <c r="H33" s="286">
        <f t="shared" si="0"/>
        <v>83490</v>
      </c>
      <c r="J33" s="278"/>
      <c r="K33" s="281" t="s">
        <v>361</v>
      </c>
      <c r="L33" s="282" t="s">
        <v>363</v>
      </c>
      <c r="M33" s="290">
        <v>726</v>
      </c>
      <c r="N33" s="287">
        <v>48</v>
      </c>
      <c r="O33" s="136"/>
      <c r="P33" s="134">
        <v>14</v>
      </c>
      <c r="Q33" s="286">
        <f>(N33+O33+P33)*M33</f>
        <v>45012</v>
      </c>
      <c r="S33" s="467"/>
      <c r="T33" s="12" t="s">
        <v>364</v>
      </c>
      <c r="U33" s="51" t="s">
        <v>267</v>
      </c>
      <c r="V33" s="138">
        <v>180</v>
      </c>
      <c r="W33" s="183">
        <v>0</v>
      </c>
      <c r="X33" s="136">
        <v>12</v>
      </c>
      <c r="Y33" s="136">
        <v>0</v>
      </c>
      <c r="Z33" s="286">
        <f>(W33+X33+Y33)*V33</f>
        <v>2160</v>
      </c>
    </row>
    <row r="34" spans="1:26" ht="14.25" customHeight="1">
      <c r="A34" s="278"/>
      <c r="B34" s="281" t="s">
        <v>365</v>
      </c>
      <c r="C34" s="282" t="s">
        <v>366</v>
      </c>
      <c r="D34" s="290">
        <v>605</v>
      </c>
      <c r="E34" s="289">
        <v>26</v>
      </c>
      <c r="F34" s="136"/>
      <c r="G34" s="136">
        <v>12</v>
      </c>
      <c r="H34" s="286">
        <f t="shared" si="0"/>
        <v>22990</v>
      </c>
      <c r="J34" s="278"/>
      <c r="K34" s="281" t="s">
        <v>367</v>
      </c>
      <c r="L34" s="282" t="s">
        <v>368</v>
      </c>
      <c r="M34" s="281">
        <v>825</v>
      </c>
      <c r="N34" s="284">
        <v>63</v>
      </c>
      <c r="O34" s="284"/>
      <c r="P34" s="284">
        <v>17</v>
      </c>
      <c r="Q34" s="286">
        <f>(N34+O34+P34)*M34</f>
        <v>66000</v>
      </c>
      <c r="S34" s="467"/>
      <c r="T34" s="12" t="s">
        <v>369</v>
      </c>
      <c r="U34" s="51" t="s">
        <v>267</v>
      </c>
      <c r="V34" s="138">
        <v>180</v>
      </c>
      <c r="W34" s="183">
        <v>0</v>
      </c>
      <c r="X34" s="136">
        <v>143</v>
      </c>
      <c r="Y34" s="136">
        <v>0</v>
      </c>
      <c r="Z34" s="286">
        <f>(W34+X34+Y34)*V34</f>
        <v>25740</v>
      </c>
    </row>
    <row r="35" spans="1:26" ht="14.25" customHeight="1">
      <c r="A35" s="278"/>
      <c r="B35" s="281" t="s">
        <v>367</v>
      </c>
      <c r="C35" s="282" t="s">
        <v>368</v>
      </c>
      <c r="D35" s="281">
        <v>825</v>
      </c>
      <c r="E35" s="284">
        <v>210</v>
      </c>
      <c r="F35" s="284"/>
      <c r="G35" s="284">
        <v>21</v>
      </c>
      <c r="H35" s="286">
        <f t="shared" si="0"/>
        <v>190575</v>
      </c>
      <c r="J35" s="278"/>
      <c r="K35" s="281" t="s">
        <v>370</v>
      </c>
      <c r="L35" s="282" t="s">
        <v>371</v>
      </c>
      <c r="M35" s="281">
        <v>1050</v>
      </c>
      <c r="N35" s="284">
        <v>16</v>
      </c>
      <c r="O35" s="284"/>
      <c r="P35" s="284">
        <v>28</v>
      </c>
      <c r="Q35" s="286">
        <f>(N35+O35+P35)*M35</f>
        <v>46200</v>
      </c>
      <c r="S35" s="467"/>
      <c r="T35" s="12" t="s">
        <v>372</v>
      </c>
      <c r="U35" s="51" t="s">
        <v>267</v>
      </c>
      <c r="V35" s="138">
        <v>180</v>
      </c>
      <c r="W35" s="135">
        <v>0</v>
      </c>
      <c r="X35" s="136">
        <v>55</v>
      </c>
      <c r="Y35" s="134">
        <v>0</v>
      </c>
      <c r="Z35" s="286">
        <f>(W35+X35+Y35)*V35</f>
        <v>9900</v>
      </c>
    </row>
    <row r="36" spans="1:26" ht="14.25" customHeight="1">
      <c r="A36" s="278"/>
      <c r="B36" s="281" t="s">
        <v>370</v>
      </c>
      <c r="C36" s="282" t="s">
        <v>371</v>
      </c>
      <c r="D36" s="281">
        <v>1050</v>
      </c>
      <c r="E36" s="284">
        <v>10</v>
      </c>
      <c r="F36" s="284"/>
      <c r="G36" s="284">
        <v>36</v>
      </c>
      <c r="H36" s="286">
        <f t="shared" si="0"/>
        <v>48300</v>
      </c>
      <c r="J36" s="278"/>
      <c r="K36" s="281" t="s">
        <v>373</v>
      </c>
      <c r="L36" s="282" t="s">
        <v>374</v>
      </c>
      <c r="M36" s="290">
        <v>180</v>
      </c>
      <c r="N36" s="287"/>
      <c r="O36" s="136"/>
      <c r="P36" s="134">
        <v>73</v>
      </c>
      <c r="Q36" s="286">
        <f>(N36+O36+P36)*M36</f>
        <v>13140</v>
      </c>
      <c r="S36" s="570"/>
      <c r="T36" s="12" t="s">
        <v>375</v>
      </c>
      <c r="U36" s="51" t="s">
        <v>267</v>
      </c>
      <c r="V36" s="138">
        <v>180</v>
      </c>
      <c r="W36" s="135">
        <v>0</v>
      </c>
      <c r="X36" s="136">
        <v>0</v>
      </c>
      <c r="Y36" s="134">
        <v>19</v>
      </c>
      <c r="Z36" s="286">
        <f>(W36+X36+Y36)*V36</f>
        <v>3420</v>
      </c>
    </row>
    <row r="37" spans="1:26" ht="14.25" customHeight="1">
      <c r="A37" s="278"/>
      <c r="B37" s="281" t="s">
        <v>373</v>
      </c>
      <c r="C37" s="282" t="s">
        <v>374</v>
      </c>
      <c r="D37" s="290">
        <v>180</v>
      </c>
      <c r="E37" s="287"/>
      <c r="F37" s="136"/>
      <c r="G37" s="134">
        <v>83</v>
      </c>
      <c r="H37" s="286">
        <f t="shared" si="0"/>
        <v>14940</v>
      </c>
      <c r="J37" s="137"/>
      <c r="K37" s="281" t="s">
        <v>376</v>
      </c>
      <c r="L37" s="282" t="s">
        <v>374</v>
      </c>
      <c r="M37" s="290">
        <v>240</v>
      </c>
      <c r="N37" s="287"/>
      <c r="O37" s="136"/>
      <c r="P37" s="134">
        <v>51</v>
      </c>
      <c r="Q37" s="286">
        <f>(N37+O37+P37)*M37</f>
        <v>12240</v>
      </c>
      <c r="S37" s="571"/>
      <c r="T37" s="42" t="s">
        <v>377</v>
      </c>
      <c r="U37" s="42" t="s">
        <v>267</v>
      </c>
      <c r="V37" s="42">
        <v>198</v>
      </c>
      <c r="W37" s="480">
        <v>0</v>
      </c>
      <c r="X37" s="480">
        <v>0</v>
      </c>
      <c r="Y37" s="480">
        <v>46</v>
      </c>
      <c r="Z37" s="286">
        <f>(W37+X37+Y37)*V37</f>
        <v>9108</v>
      </c>
    </row>
    <row r="38" spans="1:26" ht="14.25" customHeight="1">
      <c r="A38" s="278"/>
      <c r="B38" s="281" t="s">
        <v>378</v>
      </c>
      <c r="C38" s="282" t="s">
        <v>374</v>
      </c>
      <c r="D38" s="290">
        <v>240</v>
      </c>
      <c r="E38" s="287">
        <v>78</v>
      </c>
      <c r="F38" s="136"/>
      <c r="G38" s="134">
        <v>64</v>
      </c>
      <c r="H38" s="286">
        <f t="shared" si="0"/>
        <v>34080</v>
      </c>
      <c r="J38" s="278"/>
      <c r="K38" s="12" t="s">
        <v>379</v>
      </c>
      <c r="L38" s="282" t="s">
        <v>380</v>
      </c>
      <c r="M38" s="138">
        <v>100</v>
      </c>
      <c r="N38" s="183">
        <v>14</v>
      </c>
      <c r="O38" s="136"/>
      <c r="P38" s="136">
        <v>15</v>
      </c>
      <c r="Q38" s="286">
        <f>(N38+O38+P38)*M38</f>
        <v>2900</v>
      </c>
      <c r="S38" s="570"/>
      <c r="T38" s="490" t="s">
        <v>381</v>
      </c>
      <c r="U38" s="42" t="s">
        <v>267</v>
      </c>
      <c r="V38" s="42">
        <v>198</v>
      </c>
      <c r="W38" s="480">
        <v>0</v>
      </c>
      <c r="X38" s="480">
        <v>0</v>
      </c>
      <c r="Y38" s="480">
        <v>40</v>
      </c>
      <c r="Z38" s="286">
        <f>(W38+X38+Y38)*V38</f>
        <v>7920</v>
      </c>
    </row>
    <row r="39" spans="1:26" ht="14.25" customHeight="1">
      <c r="A39" s="278"/>
      <c r="B39" s="281" t="s">
        <v>382</v>
      </c>
      <c r="C39" s="282" t="s">
        <v>380</v>
      </c>
      <c r="D39" s="281">
        <v>792</v>
      </c>
      <c r="E39" s="284">
        <v>69</v>
      </c>
      <c r="F39" s="284"/>
      <c r="G39" s="284">
        <v>9</v>
      </c>
      <c r="H39" s="286">
        <f t="shared" si="0"/>
        <v>61776</v>
      </c>
      <c r="J39" s="137"/>
      <c r="K39" s="281" t="s">
        <v>383</v>
      </c>
      <c r="L39" s="282" t="s">
        <v>384</v>
      </c>
      <c r="M39" s="290">
        <v>400</v>
      </c>
      <c r="N39" s="289"/>
      <c r="O39" s="136"/>
      <c r="P39" s="136">
        <v>22</v>
      </c>
      <c r="Q39" s="286">
        <f>(N39+O39+P39)*M39</f>
        <v>8800</v>
      </c>
      <c r="S39" s="571"/>
      <c r="T39" s="42" t="s">
        <v>385</v>
      </c>
      <c r="U39" s="42" t="s">
        <v>267</v>
      </c>
      <c r="V39" s="42">
        <v>330</v>
      </c>
      <c r="W39" s="480">
        <v>0</v>
      </c>
      <c r="X39" s="480">
        <v>0</v>
      </c>
      <c r="Y39" s="480">
        <v>30</v>
      </c>
      <c r="Z39" s="286">
        <f>(W39+X39+Y39)*V39</f>
        <v>9900</v>
      </c>
    </row>
    <row r="40" spans="1:26" ht="14.25" customHeight="1">
      <c r="A40" s="278"/>
      <c r="B40" s="281" t="s">
        <v>383</v>
      </c>
      <c r="C40" s="282" t="s">
        <v>384</v>
      </c>
      <c r="D40" s="290">
        <v>400</v>
      </c>
      <c r="E40" s="289">
        <v>7</v>
      </c>
      <c r="F40" s="136"/>
      <c r="G40" s="136">
        <v>34</v>
      </c>
      <c r="H40" s="286">
        <f t="shared" si="0"/>
        <v>16400</v>
      </c>
      <c r="J40" s="278"/>
      <c r="K40" s="12" t="s">
        <v>386</v>
      </c>
      <c r="L40" s="282" t="s">
        <v>387</v>
      </c>
      <c r="M40" s="138">
        <v>600</v>
      </c>
      <c r="N40" s="183">
        <v>79</v>
      </c>
      <c r="O40" s="136"/>
      <c r="P40" s="136">
        <v>15</v>
      </c>
      <c r="Q40" s="286">
        <f>(N40+O40+P40)*M40</f>
        <v>56400</v>
      </c>
      <c r="S40" s="571"/>
      <c r="T40" s="490" t="s">
        <v>388</v>
      </c>
      <c r="U40" s="42" t="s">
        <v>267</v>
      </c>
      <c r="V40" s="42">
        <v>198</v>
      </c>
      <c r="W40" s="42">
        <v>0</v>
      </c>
      <c r="X40" s="480">
        <v>1</v>
      </c>
      <c r="Y40" s="487">
        <v>39</v>
      </c>
      <c r="Z40" s="286">
        <f>(W40+X40+Y40)*V40</f>
        <v>7920</v>
      </c>
    </row>
    <row r="41" spans="1:26" ht="14.25" customHeight="1">
      <c r="A41" s="278"/>
      <c r="B41" s="281" t="s">
        <v>389</v>
      </c>
      <c r="C41" s="282" t="s">
        <v>387</v>
      </c>
      <c r="D41" s="290">
        <v>620</v>
      </c>
      <c r="E41" s="287"/>
      <c r="F41" s="136"/>
      <c r="G41" s="134">
        <v>24</v>
      </c>
      <c r="H41" s="286">
        <f t="shared" si="0"/>
        <v>14880</v>
      </c>
      <c r="J41" s="278"/>
      <c r="K41" s="281" t="s">
        <v>390</v>
      </c>
      <c r="L41" s="282" t="s">
        <v>358</v>
      </c>
      <c r="M41" s="290">
        <v>770</v>
      </c>
      <c r="N41" s="287">
        <v>45</v>
      </c>
      <c r="O41" s="136"/>
      <c r="P41" s="134">
        <v>60</v>
      </c>
      <c r="Q41" s="286">
        <f>(N41+O41+P41)*M41</f>
        <v>80850</v>
      </c>
      <c r="S41" s="571"/>
      <c r="T41" s="490" t="s">
        <v>391</v>
      </c>
      <c r="U41" s="42" t="s">
        <v>267</v>
      </c>
      <c r="V41" s="42">
        <v>264</v>
      </c>
      <c r="W41" s="42">
        <v>0</v>
      </c>
      <c r="X41" s="480">
        <v>0</v>
      </c>
      <c r="Y41" s="487">
        <v>27</v>
      </c>
      <c r="Z41" s="286">
        <f>(W41+X41+Y41)*V41</f>
        <v>7128</v>
      </c>
    </row>
    <row r="42" spans="1:26" ht="14.25" customHeight="1">
      <c r="A42" s="278"/>
      <c r="B42" s="281" t="s">
        <v>390</v>
      </c>
      <c r="C42" s="282" t="s">
        <v>392</v>
      </c>
      <c r="D42" s="290">
        <v>770</v>
      </c>
      <c r="E42" s="287">
        <v>63</v>
      </c>
      <c r="F42" s="136"/>
      <c r="G42" s="134">
        <v>50</v>
      </c>
      <c r="H42" s="286">
        <f t="shared" si="0"/>
        <v>87010</v>
      </c>
      <c r="J42" s="278"/>
      <c r="K42" s="281" t="s">
        <v>393</v>
      </c>
      <c r="L42" s="282" t="s">
        <v>394</v>
      </c>
      <c r="M42" s="290">
        <v>352</v>
      </c>
      <c r="N42" s="287"/>
      <c r="O42" s="136"/>
      <c r="P42" s="134">
        <v>45</v>
      </c>
      <c r="Q42" s="286">
        <f>(N42+O42+P42)*M42</f>
        <v>15840</v>
      </c>
      <c r="S42" s="467"/>
      <c r="T42" s="185" t="s">
        <v>395</v>
      </c>
      <c r="U42" s="282" t="s">
        <v>267</v>
      </c>
      <c r="V42" s="287">
        <v>180</v>
      </c>
      <c r="W42" s="287">
        <v>0</v>
      </c>
      <c r="X42" s="289">
        <v>42</v>
      </c>
      <c r="Y42" s="486">
        <v>0</v>
      </c>
      <c r="Z42" s="286">
        <f>(W42+X42+Y42)*V42</f>
        <v>7560</v>
      </c>
    </row>
    <row r="43" spans="1:26" ht="14.25" customHeight="1">
      <c r="A43" s="278"/>
      <c r="B43" s="281" t="s">
        <v>393</v>
      </c>
      <c r="C43" s="282" t="s">
        <v>394</v>
      </c>
      <c r="D43" s="290">
        <v>352</v>
      </c>
      <c r="E43" s="287"/>
      <c r="F43" s="136"/>
      <c r="G43" s="134">
        <v>64</v>
      </c>
      <c r="H43" s="286">
        <f t="shared" si="0"/>
        <v>22528</v>
      </c>
      <c r="J43" s="278"/>
      <c r="K43" s="282" t="s">
        <v>396</v>
      </c>
      <c r="L43" s="282" t="s">
        <v>397</v>
      </c>
      <c r="M43" s="293">
        <v>1500</v>
      </c>
      <c r="N43" s="287">
        <v>3</v>
      </c>
      <c r="O43" s="136"/>
      <c r="P43" s="134">
        <v>12</v>
      </c>
      <c r="Q43" s="286">
        <f>(N43+O43+P43)*M43</f>
        <v>22500</v>
      </c>
      <c r="S43" s="278"/>
      <c r="T43" s="281" t="s">
        <v>336</v>
      </c>
      <c r="U43" s="282" t="s">
        <v>337</v>
      </c>
      <c r="V43" s="282">
        <v>340</v>
      </c>
      <c r="W43" s="581">
        <v>10</v>
      </c>
      <c r="X43" s="284">
        <v>0</v>
      </c>
      <c r="Y43" s="284">
        <v>16</v>
      </c>
      <c r="Z43" s="286">
        <f>(W43+X43+Y43)*V43</f>
        <v>8840</v>
      </c>
    </row>
    <row r="44" spans="1:26" ht="14.25" customHeight="1">
      <c r="A44" s="278"/>
      <c r="B44" s="282" t="s">
        <v>396</v>
      </c>
      <c r="C44" s="282" t="s">
        <v>397</v>
      </c>
      <c r="D44" s="293">
        <v>1500</v>
      </c>
      <c r="E44" s="287">
        <v>6</v>
      </c>
      <c r="F44" s="136"/>
      <c r="G44" s="134">
        <v>8</v>
      </c>
      <c r="H44" s="286">
        <f t="shared" si="0"/>
        <v>21000</v>
      </c>
      <c r="J44" s="278"/>
      <c r="K44" s="281" t="s">
        <v>398</v>
      </c>
      <c r="L44" s="281" t="s">
        <v>399</v>
      </c>
      <c r="M44" s="290">
        <v>385</v>
      </c>
      <c r="N44" s="289"/>
      <c r="O44" s="289"/>
      <c r="P44" s="289">
        <v>40</v>
      </c>
      <c r="Q44" s="286">
        <f>(N44+O44+P44)*M44</f>
        <v>15400</v>
      </c>
      <c r="S44" s="137"/>
      <c r="T44" s="281" t="s">
        <v>339</v>
      </c>
      <c r="U44" s="297" t="s">
        <v>340</v>
      </c>
      <c r="V44" s="282">
        <v>1100</v>
      </c>
      <c r="W44" s="284">
        <v>7</v>
      </c>
      <c r="X44" s="284">
        <v>0</v>
      </c>
      <c r="Y44" s="284">
        <v>28</v>
      </c>
      <c r="Z44" s="286">
        <f>(W44+X44+Y44)*V44</f>
        <v>38500</v>
      </c>
    </row>
    <row r="45" spans="1:26" ht="14.25" customHeight="1">
      <c r="A45" s="278"/>
      <c r="B45" s="281" t="s">
        <v>398</v>
      </c>
      <c r="C45" s="281" t="s">
        <v>399</v>
      </c>
      <c r="D45" s="290">
        <v>385</v>
      </c>
      <c r="E45" s="289"/>
      <c r="F45" s="289"/>
      <c r="G45" s="289">
        <v>56</v>
      </c>
      <c r="H45" s="286">
        <f t="shared" si="0"/>
        <v>21560</v>
      </c>
      <c r="J45" s="137"/>
      <c r="K45" s="281" t="s">
        <v>400</v>
      </c>
      <c r="L45" s="281" t="s">
        <v>399</v>
      </c>
      <c r="M45" s="281">
        <v>495</v>
      </c>
      <c r="N45" s="284">
        <v>23</v>
      </c>
      <c r="O45" s="284"/>
      <c r="P45" s="284">
        <v>41</v>
      </c>
      <c r="Q45" s="286">
        <f>(N45+O45+P45)*M45</f>
        <v>31680</v>
      </c>
      <c r="S45" s="278"/>
      <c r="T45" s="281" t="s">
        <v>212</v>
      </c>
      <c r="U45" s="297" t="s">
        <v>342</v>
      </c>
      <c r="V45" s="281">
        <v>700</v>
      </c>
      <c r="W45" s="284">
        <v>36</v>
      </c>
      <c r="X45" s="284">
        <v>0</v>
      </c>
      <c r="Y45" s="284">
        <v>10</v>
      </c>
      <c r="Z45" s="286">
        <f>(W45+X45+Y45)*V45</f>
        <v>32200</v>
      </c>
    </row>
    <row r="46" spans="1:26" ht="14.25" customHeight="1">
      <c r="A46" s="278"/>
      <c r="B46" s="281" t="s">
        <v>400</v>
      </c>
      <c r="C46" s="281" t="s">
        <v>399</v>
      </c>
      <c r="D46" s="281">
        <v>495</v>
      </c>
      <c r="E46" s="284">
        <v>41</v>
      </c>
      <c r="F46" s="284"/>
      <c r="G46" s="284">
        <v>34</v>
      </c>
      <c r="H46" s="286">
        <f t="shared" si="0"/>
        <v>37125</v>
      </c>
      <c r="J46" s="278"/>
      <c r="K46" s="12" t="s">
        <v>401</v>
      </c>
      <c r="L46" s="281" t="s">
        <v>402</v>
      </c>
      <c r="M46" s="138">
        <v>193</v>
      </c>
      <c r="N46" s="183">
        <v>373</v>
      </c>
      <c r="O46" s="136"/>
      <c r="P46" s="136">
        <v>32</v>
      </c>
      <c r="Q46" s="286">
        <f>(N46+O46+P46)*M46</f>
        <v>78165</v>
      </c>
      <c r="S46" s="278"/>
      <c r="T46" s="281" t="s">
        <v>345</v>
      </c>
      <c r="U46" s="316" t="s">
        <v>346</v>
      </c>
      <c r="V46" s="281">
        <v>82</v>
      </c>
      <c r="W46" s="284">
        <v>0</v>
      </c>
      <c r="X46" s="284">
        <v>0</v>
      </c>
      <c r="Y46" s="284">
        <v>28</v>
      </c>
      <c r="Z46" s="286">
        <f>(W46+X46+Y46)*V46</f>
        <v>2296</v>
      </c>
    </row>
    <row r="47" spans="1:26" ht="14.25" customHeight="1">
      <c r="A47" s="278"/>
      <c r="B47" s="281" t="s">
        <v>341</v>
      </c>
      <c r="C47" s="281" t="s">
        <v>402</v>
      </c>
      <c r="D47" s="281">
        <v>286</v>
      </c>
      <c r="E47" s="284">
        <v>21</v>
      </c>
      <c r="F47" s="284"/>
      <c r="G47" s="284">
        <v>25</v>
      </c>
      <c r="H47" s="286">
        <f t="shared" si="0"/>
        <v>13156</v>
      </c>
      <c r="J47" s="278"/>
      <c r="K47" s="281" t="s">
        <v>403</v>
      </c>
      <c r="L47" s="281" t="s">
        <v>404</v>
      </c>
      <c r="M47" s="281">
        <v>99</v>
      </c>
      <c r="N47" s="284"/>
      <c r="O47" s="284"/>
      <c r="P47" s="284">
        <v>94</v>
      </c>
      <c r="Q47" s="286">
        <f>(N47+O47+P47)*M47</f>
        <v>9306</v>
      </c>
      <c r="S47" s="278"/>
      <c r="T47" s="281" t="s">
        <v>318</v>
      </c>
      <c r="U47" s="335" t="s">
        <v>405</v>
      </c>
      <c r="V47" s="282">
        <v>1800</v>
      </c>
      <c r="W47" s="284">
        <v>0</v>
      </c>
      <c r="X47" s="284">
        <v>0</v>
      </c>
      <c r="Y47" s="284">
        <v>12</v>
      </c>
      <c r="Z47" s="286">
        <f>(W47+X47+Y47)*V47</f>
        <v>21600</v>
      </c>
    </row>
    <row r="48" spans="1:26" ht="14.25" customHeight="1">
      <c r="A48" s="278"/>
      <c r="B48" s="281" t="s">
        <v>406</v>
      </c>
      <c r="C48" s="281" t="s">
        <v>402</v>
      </c>
      <c r="D48" s="290">
        <v>165</v>
      </c>
      <c r="E48" s="287"/>
      <c r="F48" s="136"/>
      <c r="G48" s="134">
        <v>78</v>
      </c>
      <c r="H48" s="286">
        <f t="shared" si="0"/>
        <v>12870</v>
      </c>
      <c r="J48" s="278"/>
      <c r="K48" s="335" t="s">
        <v>407</v>
      </c>
      <c r="L48" s="281" t="s">
        <v>404</v>
      </c>
      <c r="M48" s="335">
        <v>99</v>
      </c>
      <c r="N48" s="284">
        <v>14</v>
      </c>
      <c r="O48" s="284"/>
      <c r="P48" s="284">
        <v>16</v>
      </c>
      <c r="Q48" s="286"/>
      <c r="S48" s="278"/>
      <c r="T48" s="281" t="s">
        <v>408</v>
      </c>
      <c r="U48" s="335" t="s">
        <v>351</v>
      </c>
      <c r="V48" s="293">
        <v>1100</v>
      </c>
      <c r="W48" s="289">
        <v>0</v>
      </c>
      <c r="X48" s="136">
        <v>0</v>
      </c>
      <c r="Y48" s="136">
        <v>10</v>
      </c>
      <c r="Z48" s="286">
        <f>(W48+X48+Y48)*V48</f>
        <v>11000</v>
      </c>
    </row>
    <row r="49" spans="1:26" ht="14.25" customHeight="1">
      <c r="A49" s="278"/>
      <c r="B49" s="281" t="s">
        <v>403</v>
      </c>
      <c r="C49" s="281" t="s">
        <v>404</v>
      </c>
      <c r="D49" s="281">
        <v>99</v>
      </c>
      <c r="E49" s="284"/>
      <c r="F49" s="284"/>
      <c r="G49" s="284">
        <v>153</v>
      </c>
      <c r="H49" s="286">
        <f t="shared" si="0"/>
        <v>15147</v>
      </c>
      <c r="J49" s="278"/>
      <c r="K49" s="281" t="s">
        <v>409</v>
      </c>
      <c r="L49" s="281" t="s">
        <v>410</v>
      </c>
      <c r="M49" s="290">
        <v>100</v>
      </c>
      <c r="N49" s="289">
        <v>121</v>
      </c>
      <c r="O49" s="136"/>
      <c r="P49" s="289">
        <v>21</v>
      </c>
      <c r="Q49" s="286">
        <f>(N49+O49+P49)*M49</f>
        <v>14200</v>
      </c>
      <c r="S49" s="469"/>
      <c r="T49" s="282" t="s">
        <v>411</v>
      </c>
      <c r="U49" s="282" t="s">
        <v>355</v>
      </c>
      <c r="V49" s="290">
        <v>300</v>
      </c>
      <c r="W49" s="289">
        <v>0</v>
      </c>
      <c r="X49" s="136">
        <v>0</v>
      </c>
      <c r="Y49" s="136">
        <v>15</v>
      </c>
      <c r="Z49" s="286">
        <f>(W49+X49+Y49)*V49</f>
        <v>4500</v>
      </c>
    </row>
    <row r="50" spans="1:26" ht="14.25" customHeight="1">
      <c r="A50" s="278"/>
      <c r="B50" s="281" t="s">
        <v>409</v>
      </c>
      <c r="C50" s="281" t="s">
        <v>410</v>
      </c>
      <c r="D50" s="290">
        <v>100</v>
      </c>
      <c r="E50" s="289">
        <v>125</v>
      </c>
      <c r="F50" s="136"/>
      <c r="G50" s="289">
        <v>82</v>
      </c>
      <c r="H50" s="286">
        <f t="shared" si="0"/>
        <v>20700</v>
      </c>
      <c r="J50" s="278"/>
      <c r="K50" s="281" t="s">
        <v>412</v>
      </c>
      <c r="L50" s="282" t="s">
        <v>413</v>
      </c>
      <c r="M50" s="290">
        <v>100</v>
      </c>
      <c r="N50" s="289"/>
      <c r="O50" s="136"/>
      <c r="P50" s="136">
        <v>131</v>
      </c>
      <c r="Q50" s="286">
        <f>(N50+O50+P50)*M50</f>
        <v>13100</v>
      </c>
      <c r="S50" s="278"/>
      <c r="T50" s="281" t="s">
        <v>365</v>
      </c>
      <c r="U50" s="477" t="s">
        <v>414</v>
      </c>
      <c r="V50" s="290">
        <v>605</v>
      </c>
      <c r="W50" s="289">
        <v>0</v>
      </c>
      <c r="X50" s="136">
        <v>0</v>
      </c>
      <c r="Y50" s="136">
        <v>4</v>
      </c>
      <c r="Z50" s="286">
        <f>(W50+X50+Y50)*V50</f>
        <v>2420</v>
      </c>
    </row>
    <row r="51" spans="1:26" ht="14.25" customHeight="1">
      <c r="A51" s="278"/>
      <c r="B51" s="281" t="s">
        <v>415</v>
      </c>
      <c r="C51" s="282" t="s">
        <v>413</v>
      </c>
      <c r="D51" s="290">
        <v>100</v>
      </c>
      <c r="E51" s="289"/>
      <c r="F51" s="136"/>
      <c r="G51" s="136">
        <v>153</v>
      </c>
      <c r="H51" s="286">
        <f t="shared" si="0"/>
        <v>15300</v>
      </c>
      <c r="J51" s="278"/>
      <c r="K51" s="281" t="s">
        <v>416</v>
      </c>
      <c r="L51" s="281" t="s">
        <v>417</v>
      </c>
      <c r="M51" s="290">
        <v>100</v>
      </c>
      <c r="N51" s="289"/>
      <c r="O51" s="136"/>
      <c r="P51" s="136">
        <v>33</v>
      </c>
      <c r="Q51" s="286">
        <f>(N51+O51+P51)*M51</f>
        <v>3300</v>
      </c>
      <c r="S51" s="278"/>
      <c r="T51" s="281" t="s">
        <v>418</v>
      </c>
      <c r="U51" s="185" t="s">
        <v>419</v>
      </c>
      <c r="V51" s="281">
        <v>861</v>
      </c>
      <c r="W51" s="284">
        <v>24</v>
      </c>
      <c r="X51" s="284">
        <v>0</v>
      </c>
      <c r="Y51" s="284">
        <v>17</v>
      </c>
      <c r="Z51" s="286">
        <f>(W51+X51+Y51)*V51</f>
        <v>35301</v>
      </c>
    </row>
    <row r="52" spans="1:26" ht="14.25" customHeight="1">
      <c r="A52" s="278"/>
      <c r="B52" s="281" t="s">
        <v>416</v>
      </c>
      <c r="C52" s="281" t="s">
        <v>417</v>
      </c>
      <c r="D52" s="290">
        <v>100</v>
      </c>
      <c r="E52" s="289"/>
      <c r="F52" s="136"/>
      <c r="G52" s="136">
        <v>39</v>
      </c>
      <c r="H52" s="286">
        <f t="shared" si="0"/>
        <v>3900</v>
      </c>
      <c r="J52" s="278"/>
      <c r="K52" s="281" t="s">
        <v>420</v>
      </c>
      <c r="L52" s="281" t="s">
        <v>421</v>
      </c>
      <c r="M52" s="281">
        <v>660</v>
      </c>
      <c r="N52" s="284">
        <v>336</v>
      </c>
      <c r="O52" s="284"/>
      <c r="P52" s="284">
        <v>65</v>
      </c>
      <c r="Q52" s="286">
        <f>(N52+O52+P52)*M52</f>
        <v>264660</v>
      </c>
      <c r="S52" s="137"/>
      <c r="T52" s="281" t="s">
        <v>422</v>
      </c>
      <c r="U52" s="185" t="s">
        <v>423</v>
      </c>
      <c r="V52" s="282">
        <v>198</v>
      </c>
      <c r="W52" s="281">
        <v>89</v>
      </c>
      <c r="X52" s="284">
        <v>0</v>
      </c>
      <c r="Y52" s="485">
        <v>144</v>
      </c>
      <c r="Z52" s="286">
        <f>(W52+X52+Y52)*V52</f>
        <v>46134</v>
      </c>
    </row>
    <row r="53" spans="1:26" ht="14.25" customHeight="1">
      <c r="A53" s="278"/>
      <c r="B53" s="281" t="s">
        <v>424</v>
      </c>
      <c r="C53" s="281" t="s">
        <v>421</v>
      </c>
      <c r="D53" s="290">
        <v>75</v>
      </c>
      <c r="E53" s="287"/>
      <c r="F53" s="134"/>
      <c r="G53" s="134">
        <v>101</v>
      </c>
      <c r="H53" s="286">
        <f t="shared" si="0"/>
        <v>7575</v>
      </c>
      <c r="J53" s="137"/>
      <c r="K53" s="281" t="s">
        <v>425</v>
      </c>
      <c r="L53" s="281" t="s">
        <v>426</v>
      </c>
      <c r="M53" s="290">
        <v>880</v>
      </c>
      <c r="N53" s="287"/>
      <c r="O53" s="136"/>
      <c r="P53" s="134">
        <v>111</v>
      </c>
      <c r="Q53" s="286">
        <f>(N53+O53+P53)*M53</f>
        <v>97680</v>
      </c>
      <c r="S53" s="278"/>
      <c r="T53" s="282" t="s">
        <v>427</v>
      </c>
      <c r="U53" s="282" t="s">
        <v>428</v>
      </c>
      <c r="V53" s="290">
        <v>745</v>
      </c>
      <c r="W53" s="287">
        <v>11</v>
      </c>
      <c r="X53" s="136">
        <v>0</v>
      </c>
      <c r="Y53" s="134">
        <v>5</v>
      </c>
      <c r="Z53" s="286">
        <f>(W53+X53+Y53)*V53</f>
        <v>11920</v>
      </c>
    </row>
    <row r="54" spans="1:26" ht="14.25" customHeight="1">
      <c r="A54" s="278"/>
      <c r="B54" s="281" t="s">
        <v>425</v>
      </c>
      <c r="C54" s="281" t="s">
        <v>426</v>
      </c>
      <c r="D54" s="290">
        <v>880</v>
      </c>
      <c r="E54" s="287">
        <v>30</v>
      </c>
      <c r="F54" s="136"/>
      <c r="G54" s="134">
        <v>108</v>
      </c>
      <c r="H54" s="286">
        <f t="shared" si="0"/>
        <v>121440</v>
      </c>
      <c r="J54" s="278"/>
      <c r="K54" s="12" t="s">
        <v>429</v>
      </c>
      <c r="L54" s="335" t="s">
        <v>430</v>
      </c>
      <c r="M54" s="46">
        <v>226</v>
      </c>
      <c r="N54" s="138"/>
      <c r="O54" s="136"/>
      <c r="P54" s="134">
        <v>115</v>
      </c>
      <c r="Q54" s="286">
        <f>(N54+O54+P54)*M54</f>
        <v>25990</v>
      </c>
      <c r="S54" s="278"/>
      <c r="T54" s="12" t="s">
        <v>359</v>
      </c>
      <c r="U54" s="282" t="s">
        <v>358</v>
      </c>
      <c r="V54" s="12">
        <v>773</v>
      </c>
      <c r="W54" s="139">
        <v>53</v>
      </c>
      <c r="X54" s="139">
        <v>0</v>
      </c>
      <c r="Y54" s="139">
        <v>13</v>
      </c>
      <c r="Z54" s="286">
        <f>(W54+X54+Y54)*V54</f>
        <v>51018</v>
      </c>
    </row>
    <row r="55" spans="1:26" ht="14.25" customHeight="1">
      <c r="A55" s="278"/>
      <c r="B55" s="296" t="s">
        <v>431</v>
      </c>
      <c r="C55" s="282" t="s">
        <v>430</v>
      </c>
      <c r="D55" s="290">
        <v>120</v>
      </c>
      <c r="E55" s="289">
        <v>27</v>
      </c>
      <c r="F55" s="136"/>
      <c r="G55" s="136"/>
      <c r="H55" s="286">
        <f t="shared" si="0"/>
        <v>3240</v>
      </c>
      <c r="J55" s="278"/>
      <c r="K55" s="281" t="s">
        <v>432</v>
      </c>
      <c r="L55" s="335" t="s">
        <v>433</v>
      </c>
      <c r="M55" s="281">
        <v>129</v>
      </c>
      <c r="N55" s="284">
        <v>108</v>
      </c>
      <c r="O55" s="284"/>
      <c r="P55" s="284">
        <v>142</v>
      </c>
      <c r="Q55" s="286">
        <f>(N55+O55+P55)*M55</f>
        <v>32250</v>
      </c>
      <c r="S55" s="470"/>
      <c r="T55" s="12" t="s">
        <v>434</v>
      </c>
      <c r="U55" s="335" t="s">
        <v>363</v>
      </c>
      <c r="V55" s="46">
        <v>902</v>
      </c>
      <c r="W55" s="135">
        <v>0</v>
      </c>
      <c r="X55" s="136">
        <v>0</v>
      </c>
      <c r="Y55" s="134">
        <v>11</v>
      </c>
      <c r="Z55" s="286">
        <f>(W55+X55+Y55)*V55</f>
        <v>9922</v>
      </c>
    </row>
    <row r="56" spans="1:26" ht="14.25" customHeight="1">
      <c r="A56" s="278"/>
      <c r="B56" s="297" t="s">
        <v>435</v>
      </c>
      <c r="C56" s="282" t="s">
        <v>430</v>
      </c>
      <c r="D56" s="298">
        <v>360</v>
      </c>
      <c r="E56" s="289">
        <v>85</v>
      </c>
      <c r="F56" s="136"/>
      <c r="G56" s="136"/>
      <c r="H56" s="286">
        <f t="shared" si="0"/>
        <v>30600</v>
      </c>
      <c r="J56" s="278"/>
      <c r="K56" s="282" t="s">
        <v>436</v>
      </c>
      <c r="L56" s="335" t="s">
        <v>437</v>
      </c>
      <c r="M56" s="290">
        <v>300</v>
      </c>
      <c r="N56" s="287"/>
      <c r="O56" s="136"/>
      <c r="P56" s="134">
        <v>176</v>
      </c>
      <c r="Q56" s="286">
        <f>(N56+O56+P56)*M56</f>
        <v>52800</v>
      </c>
      <c r="S56" s="278"/>
      <c r="T56" s="300" t="s">
        <v>367</v>
      </c>
      <c r="U56" s="475" t="s">
        <v>368</v>
      </c>
      <c r="V56" s="281">
        <v>825</v>
      </c>
      <c r="W56" s="284">
        <v>141</v>
      </c>
      <c r="X56" s="284">
        <v>0</v>
      </c>
      <c r="Y56" s="284">
        <v>14</v>
      </c>
      <c r="Z56" s="286">
        <f>(W56+X56+Y56)*V56</f>
        <v>127875</v>
      </c>
    </row>
    <row r="57" spans="1:26" ht="14.25" customHeight="1">
      <c r="A57" s="278"/>
      <c r="B57" s="281" t="s">
        <v>432</v>
      </c>
      <c r="C57" s="282" t="s">
        <v>433</v>
      </c>
      <c r="D57" s="281">
        <v>129</v>
      </c>
      <c r="E57" s="284">
        <v>138</v>
      </c>
      <c r="F57" s="284"/>
      <c r="G57" s="284">
        <v>98</v>
      </c>
      <c r="H57" s="286">
        <f t="shared" si="0"/>
        <v>30444</v>
      </c>
      <c r="J57" s="278"/>
      <c r="K57" s="300" t="s">
        <v>438</v>
      </c>
      <c r="L57" s="317" t="s">
        <v>439</v>
      </c>
      <c r="M57" s="283">
        <v>1100</v>
      </c>
      <c r="N57" s="284"/>
      <c r="O57" s="284"/>
      <c r="P57" s="284">
        <v>13</v>
      </c>
      <c r="Q57" s="286">
        <f>(N57+O57+P57)*M57</f>
        <v>14300</v>
      </c>
      <c r="S57" s="278"/>
      <c r="T57" s="284" t="s">
        <v>370</v>
      </c>
      <c r="U57" s="475" t="s">
        <v>371</v>
      </c>
      <c r="V57" s="284">
        <v>1050</v>
      </c>
      <c r="W57" s="284">
        <v>0</v>
      </c>
      <c r="X57" s="284">
        <v>0</v>
      </c>
      <c r="Y57" s="284">
        <v>24</v>
      </c>
      <c r="Z57" s="286">
        <f>(W57+X57+Y57)*V57</f>
        <v>25200</v>
      </c>
    </row>
    <row r="58" spans="1:26" ht="14.25" customHeight="1">
      <c r="A58" s="278"/>
      <c r="B58" s="282" t="s">
        <v>360</v>
      </c>
      <c r="C58" s="282" t="s">
        <v>437</v>
      </c>
      <c r="D58" s="290">
        <v>880</v>
      </c>
      <c r="E58" s="287"/>
      <c r="F58" s="136"/>
      <c r="G58" s="134">
        <v>142</v>
      </c>
      <c r="H58" s="286">
        <f t="shared" si="0"/>
        <v>124960</v>
      </c>
      <c r="J58" s="278"/>
      <c r="K58" s="284" t="s">
        <v>440</v>
      </c>
      <c r="L58" s="318" t="s">
        <v>441</v>
      </c>
      <c r="M58" s="297">
        <v>48</v>
      </c>
      <c r="N58" s="284">
        <v>820</v>
      </c>
      <c r="O58" s="284"/>
      <c r="P58" s="284">
        <v>15</v>
      </c>
      <c r="Q58" s="286">
        <f>(N58+O58+P58)*M58</f>
        <v>40080</v>
      </c>
      <c r="S58" s="278"/>
      <c r="T58" s="284" t="s">
        <v>373</v>
      </c>
      <c r="U58" s="475" t="s">
        <v>374</v>
      </c>
      <c r="V58" s="298">
        <v>180</v>
      </c>
      <c r="W58" s="289">
        <v>0</v>
      </c>
      <c r="X58" s="136">
        <v>0</v>
      </c>
      <c r="Y58" s="136">
        <v>57</v>
      </c>
      <c r="Z58" s="286">
        <f>(W58+X58+Y58)*V58</f>
        <v>10260</v>
      </c>
    </row>
    <row r="59" spans="1:26" ht="14.25" customHeight="1">
      <c r="A59" s="278"/>
      <c r="B59" s="299" t="s">
        <v>442</v>
      </c>
      <c r="C59" s="282" t="s">
        <v>437</v>
      </c>
      <c r="D59" s="284">
        <v>750</v>
      </c>
      <c r="E59" s="284"/>
      <c r="F59" s="284"/>
      <c r="G59" s="284">
        <v>16</v>
      </c>
      <c r="H59" s="286">
        <f t="shared" si="0"/>
        <v>12000</v>
      </c>
      <c r="J59" s="278"/>
      <c r="K59" s="302" t="s">
        <v>443</v>
      </c>
      <c r="L59" s="318" t="s">
        <v>441</v>
      </c>
      <c r="M59" s="297">
        <v>540</v>
      </c>
      <c r="N59" s="284"/>
      <c r="O59" s="284"/>
      <c r="P59" s="284">
        <v>54</v>
      </c>
      <c r="Q59" s="286">
        <f>(N59+O59+P59)*M59</f>
        <v>29160</v>
      </c>
      <c r="S59" s="137"/>
      <c r="T59" s="281" t="s">
        <v>376</v>
      </c>
      <c r="U59" s="475" t="s">
        <v>374</v>
      </c>
      <c r="V59" s="290">
        <v>240</v>
      </c>
      <c r="W59" s="289">
        <v>0</v>
      </c>
      <c r="X59" s="136">
        <v>0</v>
      </c>
      <c r="Y59" s="136">
        <v>5</v>
      </c>
      <c r="Z59" s="286">
        <f>(W59+X59+Y59)*V59</f>
        <v>1200</v>
      </c>
    </row>
    <row r="60" spans="1:26" ht="14.25" customHeight="1">
      <c r="A60" s="278"/>
      <c r="B60" s="281" t="s">
        <v>444</v>
      </c>
      <c r="C60" s="282" t="s">
        <v>437</v>
      </c>
      <c r="D60" s="281">
        <v>902</v>
      </c>
      <c r="E60" s="284"/>
      <c r="F60" s="284"/>
      <c r="G60" s="284"/>
      <c r="H60" s="286">
        <f t="shared" si="0"/>
        <v>0</v>
      </c>
      <c r="J60" s="137"/>
      <c r="K60" s="281" t="s">
        <v>445</v>
      </c>
      <c r="L60" s="318" t="s">
        <v>441</v>
      </c>
      <c r="M60" s="282">
        <v>100</v>
      </c>
      <c r="N60" s="284">
        <v>37</v>
      </c>
      <c r="O60" s="284"/>
      <c r="P60" s="284">
        <v>4</v>
      </c>
      <c r="Q60" s="286">
        <f>(N60+O60+P60)*M60</f>
        <v>4100</v>
      </c>
      <c r="S60" s="137"/>
      <c r="T60" s="12" t="s">
        <v>379</v>
      </c>
      <c r="U60" s="297" t="s">
        <v>380</v>
      </c>
      <c r="V60" s="138">
        <v>100</v>
      </c>
      <c r="W60" s="135">
        <v>0</v>
      </c>
      <c r="X60" s="136">
        <v>0</v>
      </c>
      <c r="Y60" s="134">
        <v>2</v>
      </c>
      <c r="Z60" s="286">
        <f>(W60+X60+Y60)*V60</f>
        <v>200</v>
      </c>
    </row>
    <row r="61" spans="1:26" ht="14.25" customHeight="1">
      <c r="A61" s="278"/>
      <c r="B61" s="281" t="s">
        <v>446</v>
      </c>
      <c r="C61" s="282" t="s">
        <v>437</v>
      </c>
      <c r="D61" s="290">
        <v>715</v>
      </c>
      <c r="E61" s="287">
        <v>10</v>
      </c>
      <c r="F61" s="136"/>
      <c r="G61" s="134">
        <v>3</v>
      </c>
      <c r="H61" s="286">
        <f t="shared" si="0"/>
        <v>9295</v>
      </c>
      <c r="J61" s="137"/>
      <c r="K61" s="12" t="s">
        <v>244</v>
      </c>
      <c r="L61" s="302" t="s">
        <v>447</v>
      </c>
      <c r="M61" s="46">
        <v>187</v>
      </c>
      <c r="N61" s="135">
        <v>21</v>
      </c>
      <c r="O61" s="136"/>
      <c r="P61" s="134">
        <v>17</v>
      </c>
      <c r="Q61" s="286">
        <f>(N61+O61+P61)*M61</f>
        <v>7106</v>
      </c>
      <c r="S61" s="498"/>
      <c r="T61" s="281" t="s">
        <v>448</v>
      </c>
      <c r="U61" s="464" t="s">
        <v>384</v>
      </c>
      <c r="V61" s="290">
        <v>400</v>
      </c>
      <c r="W61" s="289">
        <v>41</v>
      </c>
      <c r="X61" s="136">
        <v>0</v>
      </c>
      <c r="Y61" s="136">
        <v>31</v>
      </c>
      <c r="Z61" s="286">
        <f>(W61+X61+Y61)*V61</f>
        <v>28800</v>
      </c>
    </row>
    <row r="62" spans="1:26" ht="14.25" customHeight="1">
      <c r="A62" s="278"/>
      <c r="B62" s="281" t="s">
        <v>449</v>
      </c>
      <c r="C62" s="282" t="s">
        <v>437</v>
      </c>
      <c r="D62" s="281">
        <v>781</v>
      </c>
      <c r="E62" s="284">
        <v>82</v>
      </c>
      <c r="F62" s="284"/>
      <c r="G62" s="284">
        <v>1</v>
      </c>
      <c r="H62" s="286">
        <f t="shared" si="0"/>
        <v>64823</v>
      </c>
      <c r="J62" s="288"/>
      <c r="K62" s="12" t="s">
        <v>221</v>
      </c>
      <c r="L62" s="317" t="s">
        <v>450</v>
      </c>
      <c r="M62" s="138">
        <v>240</v>
      </c>
      <c r="N62" s="183"/>
      <c r="O62" s="136"/>
      <c r="P62" s="136">
        <v>12</v>
      </c>
      <c r="Q62" s="286">
        <f>(N62+O62+P62)*M62</f>
        <v>2880</v>
      </c>
      <c r="S62" s="278"/>
      <c r="T62" s="181" t="s">
        <v>386</v>
      </c>
      <c r="U62" s="475" t="s">
        <v>387</v>
      </c>
      <c r="V62" s="138">
        <v>600</v>
      </c>
      <c r="W62" s="183">
        <v>41</v>
      </c>
      <c r="X62" s="136">
        <v>0</v>
      </c>
      <c r="Y62" s="136">
        <v>17</v>
      </c>
      <c r="Z62" s="286">
        <f>(W62+X62+Y62)*V62</f>
        <v>34800</v>
      </c>
    </row>
    <row r="63" spans="1:26" ht="14.25" customHeight="1">
      <c r="A63" s="278"/>
      <c r="B63" s="282" t="s">
        <v>427</v>
      </c>
      <c r="C63" s="282" t="s">
        <v>451</v>
      </c>
      <c r="D63" s="290">
        <v>745</v>
      </c>
      <c r="E63" s="289">
        <v>48</v>
      </c>
      <c r="F63" s="136"/>
      <c r="G63" s="136">
        <v>9</v>
      </c>
      <c r="H63" s="286">
        <f t="shared" si="0"/>
        <v>42465</v>
      </c>
      <c r="J63" s="278"/>
      <c r="K63" s="424" t="s">
        <v>452</v>
      </c>
      <c r="L63" s="317" t="s">
        <v>453</v>
      </c>
      <c r="M63" s="138">
        <v>600</v>
      </c>
      <c r="N63" s="183">
        <v>11</v>
      </c>
      <c r="O63" s="136"/>
      <c r="P63" s="136">
        <v>12</v>
      </c>
      <c r="Q63" s="286">
        <f>(N63+O63+P63)*M63</f>
        <v>13800</v>
      </c>
      <c r="S63" s="278"/>
      <c r="T63" s="303" t="s">
        <v>390</v>
      </c>
      <c r="U63" s="475" t="s">
        <v>392</v>
      </c>
      <c r="V63" s="290">
        <v>770</v>
      </c>
      <c r="W63" s="289">
        <v>39</v>
      </c>
      <c r="X63" s="136">
        <v>0</v>
      </c>
      <c r="Y63" s="136">
        <v>59</v>
      </c>
      <c r="Z63" s="286">
        <f>(W63+X63+Y63)*V63</f>
        <v>75460</v>
      </c>
    </row>
    <row r="64" spans="1:26" ht="14.25" customHeight="1">
      <c r="A64" s="278"/>
      <c r="B64" s="300" t="s">
        <v>438</v>
      </c>
      <c r="C64" s="317" t="s">
        <v>439</v>
      </c>
      <c r="D64" s="283">
        <v>1100</v>
      </c>
      <c r="E64" s="284"/>
      <c r="F64" s="284"/>
      <c r="G64" s="284">
        <v>22</v>
      </c>
      <c r="H64" s="286">
        <f t="shared" si="0"/>
        <v>24200</v>
      </c>
      <c r="J64" s="278"/>
      <c r="K64" s="303" t="s">
        <v>454</v>
      </c>
      <c r="L64" s="317" t="s">
        <v>455</v>
      </c>
      <c r="M64" s="287">
        <v>100</v>
      </c>
      <c r="N64" s="289">
        <v>65</v>
      </c>
      <c r="O64" s="136"/>
      <c r="P64" s="136">
        <v>25</v>
      </c>
      <c r="Q64" s="286">
        <f>(N64+O64+P64)*M64</f>
        <v>9000</v>
      </c>
      <c r="S64" s="278"/>
      <c r="T64" s="303" t="s">
        <v>393</v>
      </c>
      <c r="U64" s="475" t="s">
        <v>394</v>
      </c>
      <c r="V64" s="290">
        <v>352</v>
      </c>
      <c r="W64" s="289">
        <v>0</v>
      </c>
      <c r="X64" s="136">
        <v>0</v>
      </c>
      <c r="Y64" s="136">
        <v>39</v>
      </c>
      <c r="Z64" s="286">
        <f>(W64+X64+Y64)*V64</f>
        <v>13728</v>
      </c>
    </row>
    <row r="65" spans="1:26" ht="14.25" customHeight="1">
      <c r="A65" s="278"/>
      <c r="B65" s="284" t="s">
        <v>440</v>
      </c>
      <c r="C65" s="318" t="s">
        <v>441</v>
      </c>
      <c r="D65" s="297">
        <v>48</v>
      </c>
      <c r="E65" s="284"/>
      <c r="F65" s="284"/>
      <c r="G65" s="284">
        <v>70</v>
      </c>
      <c r="H65" s="286">
        <f t="shared" si="0"/>
        <v>3360</v>
      </c>
      <c r="J65" s="278"/>
      <c r="K65" s="303" t="s">
        <v>456</v>
      </c>
      <c r="L65" s="317" t="s">
        <v>457</v>
      </c>
      <c r="M65" s="281">
        <v>100</v>
      </c>
      <c r="N65" s="284"/>
      <c r="O65" s="284"/>
      <c r="P65" s="284">
        <v>22</v>
      </c>
      <c r="Q65" s="286">
        <f>(N65+O65+P65)*M65</f>
        <v>2200</v>
      </c>
      <c r="S65" s="278"/>
      <c r="T65" s="282" t="s">
        <v>396</v>
      </c>
      <c r="U65" s="282" t="s">
        <v>397</v>
      </c>
      <c r="V65" s="293">
        <v>1500</v>
      </c>
      <c r="W65" s="289">
        <v>3</v>
      </c>
      <c r="X65" s="136">
        <v>0</v>
      </c>
      <c r="Y65" s="136">
        <v>7</v>
      </c>
      <c r="Z65" s="286">
        <f>(W65+X65+Y65)*V65</f>
        <v>15000</v>
      </c>
    </row>
    <row r="66" spans="1:26" ht="14.25" customHeight="1">
      <c r="A66" s="278"/>
      <c r="B66" s="302" t="s">
        <v>443</v>
      </c>
      <c r="C66" s="318" t="s">
        <v>441</v>
      </c>
      <c r="D66" s="297">
        <v>540</v>
      </c>
      <c r="E66" s="284"/>
      <c r="F66" s="284"/>
      <c r="G66" s="284">
        <v>73</v>
      </c>
      <c r="H66" s="286">
        <f t="shared" si="0"/>
        <v>39420</v>
      </c>
      <c r="J66" s="278"/>
      <c r="K66" s="281" t="s">
        <v>458</v>
      </c>
      <c r="L66" s="282" t="s">
        <v>459</v>
      </c>
      <c r="M66" s="281">
        <v>500</v>
      </c>
      <c r="N66" s="284">
        <v>54</v>
      </c>
      <c r="O66" s="284"/>
      <c r="P66" s="284">
        <v>9</v>
      </c>
      <c r="Q66" s="286">
        <f>(N66+O66+P66)*M66</f>
        <v>31500</v>
      </c>
      <c r="S66" s="181"/>
      <c r="T66" s="12" t="s">
        <v>460</v>
      </c>
      <c r="U66" s="477" t="s">
        <v>439</v>
      </c>
      <c r="V66" s="212">
        <v>880</v>
      </c>
      <c r="W66" s="139">
        <v>50</v>
      </c>
      <c r="X66" s="139">
        <v>0</v>
      </c>
      <c r="Y66" s="139">
        <v>19</v>
      </c>
      <c r="Z66" s="286">
        <f>(W66+X66+Y66)*V66</f>
        <v>60720</v>
      </c>
    </row>
    <row r="67" spans="1:26" ht="14.25" customHeight="1">
      <c r="A67" s="278"/>
      <c r="B67" s="281" t="s">
        <v>445</v>
      </c>
      <c r="C67" s="318" t="s">
        <v>441</v>
      </c>
      <c r="D67" s="282">
        <v>100</v>
      </c>
      <c r="E67" s="284"/>
      <c r="F67" s="284"/>
      <c r="G67" s="284">
        <v>7</v>
      </c>
      <c r="H67" s="286">
        <f t="shared" si="0"/>
        <v>700</v>
      </c>
      <c r="J67" s="137"/>
      <c r="K67" s="281" t="s">
        <v>461</v>
      </c>
      <c r="L67" s="282" t="s">
        <v>462</v>
      </c>
      <c r="M67" s="293">
        <v>1050</v>
      </c>
      <c r="N67" s="289"/>
      <c r="O67" s="136"/>
      <c r="P67" s="136">
        <v>48</v>
      </c>
      <c r="Q67" s="286">
        <f>(N67+O67+P67)*M67</f>
        <v>50400</v>
      </c>
      <c r="S67" s="137"/>
      <c r="T67" s="281" t="s">
        <v>357</v>
      </c>
      <c r="U67" s="477" t="s">
        <v>441</v>
      </c>
      <c r="V67" s="281">
        <v>500</v>
      </c>
      <c r="W67" s="281">
        <v>41</v>
      </c>
      <c r="X67" s="284">
        <v>0</v>
      </c>
      <c r="Y67" s="485">
        <v>10</v>
      </c>
      <c r="Z67" s="286">
        <f>(W67+X67+Y67)*V67</f>
        <v>25500</v>
      </c>
    </row>
    <row r="68" spans="1:26" ht="14.25" customHeight="1">
      <c r="A68" s="278"/>
      <c r="B68" s="284" t="s">
        <v>463</v>
      </c>
      <c r="C68" s="318" t="s">
        <v>464</v>
      </c>
      <c r="D68" s="297">
        <v>198</v>
      </c>
      <c r="E68" s="284">
        <v>331</v>
      </c>
      <c r="F68" s="284"/>
      <c r="G68" s="284">
        <v>104</v>
      </c>
      <c r="H68" s="286">
        <f t="shared" si="0"/>
        <v>86130</v>
      </c>
      <c r="J68" s="181"/>
      <c r="K68" s="12" t="s">
        <v>434</v>
      </c>
      <c r="L68" s="318" t="s">
        <v>465</v>
      </c>
      <c r="M68" s="46">
        <v>902</v>
      </c>
      <c r="N68" s="135">
        <v>8</v>
      </c>
      <c r="O68" s="136"/>
      <c r="P68" s="134">
        <v>12</v>
      </c>
      <c r="Q68" s="286">
        <f>(N68+O68+P68)*M68</f>
        <v>18040</v>
      </c>
      <c r="S68" s="288"/>
      <c r="T68" s="300" t="s">
        <v>440</v>
      </c>
      <c r="U68" s="474" t="s">
        <v>441</v>
      </c>
      <c r="V68" s="282">
        <v>48</v>
      </c>
      <c r="W68" s="284">
        <v>121</v>
      </c>
      <c r="X68" s="284">
        <v>0</v>
      </c>
      <c r="Y68" s="284">
        <v>104</v>
      </c>
      <c r="Z68" s="286">
        <f>(W68+X68+Y68)*V68</f>
        <v>10800</v>
      </c>
    </row>
    <row r="69" spans="1:26" ht="14.25" customHeight="1">
      <c r="A69" s="278"/>
      <c r="B69" s="281" t="s">
        <v>466</v>
      </c>
      <c r="C69" s="317" t="s">
        <v>450</v>
      </c>
      <c r="D69" s="283">
        <v>1100</v>
      </c>
      <c r="E69" s="284">
        <v>94</v>
      </c>
      <c r="F69" s="284"/>
      <c r="G69" s="284">
        <v>15</v>
      </c>
      <c r="H69" s="286">
        <f t="shared" si="0"/>
        <v>119900</v>
      </c>
      <c r="J69" s="139"/>
      <c r="K69" s="222" t="s">
        <v>460</v>
      </c>
      <c r="L69" s="333" t="s">
        <v>414</v>
      </c>
      <c r="M69" s="212">
        <v>880</v>
      </c>
      <c r="N69" s="139">
        <v>295</v>
      </c>
      <c r="O69" s="139"/>
      <c r="P69" s="139">
        <v>16</v>
      </c>
      <c r="Q69" s="286">
        <f>(N69+O69+P69)*M69</f>
        <v>273680</v>
      </c>
      <c r="S69" s="278"/>
      <c r="T69" s="501" t="s">
        <v>467</v>
      </c>
      <c r="U69" s="478" t="s">
        <v>468</v>
      </c>
      <c r="V69" s="484">
        <v>418</v>
      </c>
      <c r="W69" s="284">
        <v>133</v>
      </c>
      <c r="X69" s="284">
        <v>0</v>
      </c>
      <c r="Y69" s="284">
        <v>87</v>
      </c>
      <c r="Z69" s="286">
        <f>(W69+X69+Y69)*V69</f>
        <v>91960</v>
      </c>
    </row>
    <row r="70" spans="1:26" s="133" customFormat="1" ht="14.25" customHeight="1">
      <c r="A70" s="278"/>
      <c r="B70" s="303"/>
      <c r="C70" s="317" t="s">
        <v>455</v>
      </c>
      <c r="D70" s="287"/>
      <c r="E70" s="289"/>
      <c r="F70" s="136"/>
      <c r="G70" s="136">
        <v>20</v>
      </c>
      <c r="H70" s="286">
        <f>(E70+F70+G70)*D70</f>
        <v>0</v>
      </c>
      <c r="J70" s="278"/>
      <c r="K70" s="226" t="s">
        <v>469</v>
      </c>
      <c r="L70" s="332" t="s">
        <v>419</v>
      </c>
      <c r="M70" s="334">
        <v>800</v>
      </c>
      <c r="N70" s="139">
        <v>20</v>
      </c>
      <c r="O70" s="139"/>
      <c r="P70" s="139"/>
      <c r="Q70" s="286">
        <f>(N70+O70+P70)*M70</f>
        <v>16000</v>
      </c>
      <c r="S70" s="278"/>
      <c r="T70" s="281" t="s">
        <v>470</v>
      </c>
      <c r="U70" s="302" t="s">
        <v>471</v>
      </c>
      <c r="V70" s="282">
        <v>825</v>
      </c>
      <c r="W70" s="284">
        <v>54</v>
      </c>
      <c r="X70" s="284">
        <v>0</v>
      </c>
      <c r="Y70" s="284">
        <v>17</v>
      </c>
      <c r="Z70" s="286">
        <f>(W70+X70+Y70)*V70</f>
        <v>58575</v>
      </c>
    </row>
    <row r="71" spans="1:26" ht="14.25" customHeight="1">
      <c r="A71" s="278"/>
      <c r="B71" s="303" t="s">
        <v>472</v>
      </c>
      <c r="C71" s="317" t="s">
        <v>457</v>
      </c>
      <c r="D71" s="281">
        <v>880</v>
      </c>
      <c r="E71" s="284">
        <v>8</v>
      </c>
      <c r="F71" s="284"/>
      <c r="G71" s="284">
        <v>47</v>
      </c>
      <c r="H71" s="286">
        <f t="shared" ref="H71:H125" si="1">(E71+F71+G71)*D71</f>
        <v>48400</v>
      </c>
      <c r="J71" s="278"/>
      <c r="K71" s="281" t="s">
        <v>422</v>
      </c>
      <c r="L71" s="302" t="s">
        <v>423</v>
      </c>
      <c r="M71" s="282">
        <v>198</v>
      </c>
      <c r="N71" s="284">
        <v>50</v>
      </c>
      <c r="O71" s="284"/>
      <c r="P71" s="284"/>
      <c r="Q71" s="286">
        <f>(N71+O71+P71)*M71</f>
        <v>9900</v>
      </c>
      <c r="S71" s="278"/>
      <c r="T71" s="287" t="s">
        <v>473</v>
      </c>
      <c r="U71" s="185" t="s">
        <v>474</v>
      </c>
      <c r="V71" s="282">
        <v>748</v>
      </c>
      <c r="W71" s="284">
        <v>90</v>
      </c>
      <c r="X71" s="284">
        <v>0</v>
      </c>
      <c r="Y71" s="284">
        <v>64</v>
      </c>
      <c r="Z71" s="286">
        <f>(W71+X71+Y71)*V71</f>
        <v>115192</v>
      </c>
    </row>
    <row r="72" spans="1:26" ht="14.25" customHeight="1">
      <c r="A72" s="278"/>
      <c r="B72" s="281" t="s">
        <v>458</v>
      </c>
      <c r="C72" s="282" t="s">
        <v>459</v>
      </c>
      <c r="D72" s="281">
        <v>500</v>
      </c>
      <c r="E72" s="284">
        <v>34</v>
      </c>
      <c r="F72" s="284"/>
      <c r="G72" s="284">
        <v>47</v>
      </c>
      <c r="H72" s="286">
        <f t="shared" si="1"/>
        <v>40500</v>
      </c>
      <c r="J72" s="278"/>
      <c r="K72" s="282" t="s">
        <v>427</v>
      </c>
      <c r="L72" s="282" t="s">
        <v>428</v>
      </c>
      <c r="M72" s="290">
        <v>745</v>
      </c>
      <c r="N72" s="289">
        <v>18</v>
      </c>
      <c r="O72" s="136"/>
      <c r="P72" s="136">
        <v>4</v>
      </c>
      <c r="Q72" s="286">
        <f>(N72+O72+P72)*M72</f>
        <v>16390</v>
      </c>
      <c r="S72" s="278"/>
      <c r="T72" s="12" t="s">
        <v>244</v>
      </c>
      <c r="U72" s="302" t="s">
        <v>475</v>
      </c>
      <c r="V72" s="46">
        <v>187</v>
      </c>
      <c r="W72" s="183">
        <v>0</v>
      </c>
      <c r="X72" s="136">
        <v>0</v>
      </c>
      <c r="Y72" s="136">
        <v>5</v>
      </c>
      <c r="Z72" s="286">
        <f>(W72+X72+Y72)*V72</f>
        <v>935</v>
      </c>
    </row>
    <row r="73" spans="1:26" ht="14.25" customHeight="1">
      <c r="A73" s="278"/>
      <c r="B73" s="281" t="s">
        <v>461</v>
      </c>
      <c r="C73" s="282" t="s">
        <v>462</v>
      </c>
      <c r="D73" s="293">
        <v>1050</v>
      </c>
      <c r="E73" s="289">
        <v>33</v>
      </c>
      <c r="F73" s="136"/>
      <c r="G73" s="136">
        <v>55</v>
      </c>
      <c r="H73" s="286">
        <f t="shared" si="1"/>
        <v>92400</v>
      </c>
      <c r="J73" s="278"/>
      <c r="K73" s="281" t="s">
        <v>470</v>
      </c>
      <c r="L73" s="302" t="s">
        <v>471</v>
      </c>
      <c r="M73" s="282">
        <v>825</v>
      </c>
      <c r="N73" s="284">
        <v>13</v>
      </c>
      <c r="O73" s="284"/>
      <c r="P73" s="284"/>
      <c r="Q73" s="286">
        <f>(N73+O73+P73)*M73</f>
        <v>10725</v>
      </c>
      <c r="S73" s="278"/>
      <c r="T73" s="299" t="s">
        <v>476</v>
      </c>
      <c r="U73" s="284" t="s">
        <v>477</v>
      </c>
      <c r="V73" s="284">
        <v>638</v>
      </c>
      <c r="W73" s="284">
        <v>0</v>
      </c>
      <c r="X73" s="284">
        <v>0</v>
      </c>
      <c r="Y73" s="284">
        <v>81</v>
      </c>
      <c r="Z73" s="286">
        <f>(W73+X73+Y73)*V73</f>
        <v>51678</v>
      </c>
    </row>
    <row r="74" spans="1:26" ht="14.25" customHeight="1">
      <c r="A74" s="278"/>
      <c r="B74" s="281" t="s">
        <v>212</v>
      </c>
      <c r="C74" s="302" t="s">
        <v>414</v>
      </c>
      <c r="D74" s="281">
        <v>700</v>
      </c>
      <c r="E74" s="284"/>
      <c r="F74" s="284"/>
      <c r="G74" s="284">
        <v>12</v>
      </c>
      <c r="H74" s="286">
        <f t="shared" si="1"/>
        <v>8400</v>
      </c>
      <c r="J74" s="278"/>
      <c r="K74" s="301" t="s">
        <v>473</v>
      </c>
      <c r="L74" s="302" t="s">
        <v>474</v>
      </c>
      <c r="M74" s="297">
        <v>748</v>
      </c>
      <c r="N74" s="284">
        <v>102</v>
      </c>
      <c r="O74" s="284"/>
      <c r="P74" s="284"/>
      <c r="Q74" s="286">
        <f>(N74+O74+P74)*M74</f>
        <v>76296</v>
      </c>
      <c r="S74" s="137"/>
      <c r="T74" s="281" t="s">
        <v>478</v>
      </c>
      <c r="U74" s="476" t="s">
        <v>479</v>
      </c>
      <c r="V74" s="281">
        <v>935</v>
      </c>
      <c r="W74" s="284">
        <v>129</v>
      </c>
      <c r="X74" s="284">
        <v>0</v>
      </c>
      <c r="Y74" s="284">
        <v>3</v>
      </c>
      <c r="Z74" s="286">
        <f>(W74+X74+Y74)*V74</f>
        <v>123420</v>
      </c>
    </row>
    <row r="75" spans="1:26" ht="14.25" customHeight="1">
      <c r="A75" s="278"/>
      <c r="B75" s="281" t="s">
        <v>480</v>
      </c>
      <c r="C75" s="302" t="s">
        <v>419</v>
      </c>
      <c r="D75" s="283">
        <v>1082</v>
      </c>
      <c r="E75" s="284"/>
      <c r="F75" s="284"/>
      <c r="G75" s="284">
        <v>12</v>
      </c>
      <c r="H75" s="286">
        <f t="shared" si="1"/>
        <v>12984</v>
      </c>
      <c r="J75" s="137"/>
      <c r="K75" s="281" t="s">
        <v>357</v>
      </c>
      <c r="L75" s="302" t="s">
        <v>481</v>
      </c>
      <c r="M75" s="281">
        <v>500</v>
      </c>
      <c r="N75" s="284">
        <v>39</v>
      </c>
      <c r="O75" s="284"/>
      <c r="P75" s="284"/>
      <c r="Q75" s="286">
        <f>(N75+O75+P75)*M75</f>
        <v>19500</v>
      </c>
      <c r="S75" s="278"/>
      <c r="T75" s="282" t="s">
        <v>482</v>
      </c>
      <c r="U75" s="335" t="s">
        <v>479</v>
      </c>
      <c r="V75" s="293">
        <v>1050</v>
      </c>
      <c r="W75" s="289">
        <v>13</v>
      </c>
      <c r="X75" s="136">
        <v>0</v>
      </c>
      <c r="Y75" s="136">
        <v>3</v>
      </c>
      <c r="Z75" s="286">
        <f>(W75+X75+Y75)*V75</f>
        <v>16800</v>
      </c>
    </row>
    <row r="76" spans="1:26" ht="14.25" customHeight="1">
      <c r="A76" s="278"/>
      <c r="B76" s="281" t="s">
        <v>422</v>
      </c>
      <c r="C76" s="302" t="s">
        <v>423</v>
      </c>
      <c r="D76" s="282">
        <v>198</v>
      </c>
      <c r="E76" s="284">
        <v>35</v>
      </c>
      <c r="F76" s="284"/>
      <c r="G76" s="284">
        <v>137</v>
      </c>
      <c r="H76" s="286">
        <f t="shared" si="1"/>
        <v>34056</v>
      </c>
      <c r="J76" s="278"/>
      <c r="K76" s="12" t="s">
        <v>219</v>
      </c>
      <c r="L76" s="51" t="s">
        <v>483</v>
      </c>
      <c r="M76" s="138">
        <v>560</v>
      </c>
      <c r="N76" s="183"/>
      <c r="O76" s="136"/>
      <c r="P76" s="136">
        <v>25</v>
      </c>
      <c r="Q76" s="286">
        <f>(N76+O76+P76)*M76</f>
        <v>14000</v>
      </c>
      <c r="S76" s="278"/>
      <c r="T76" s="282" t="s">
        <v>484</v>
      </c>
      <c r="U76" s="335" t="s">
        <v>479</v>
      </c>
      <c r="V76" s="290">
        <v>880</v>
      </c>
      <c r="W76" s="289">
        <v>73</v>
      </c>
      <c r="X76" s="136">
        <v>0</v>
      </c>
      <c r="Y76" s="136">
        <v>11</v>
      </c>
      <c r="Z76" s="286">
        <f>(W76+X76+Y76)*V76</f>
        <v>73920</v>
      </c>
    </row>
    <row r="77" spans="1:26" ht="14.25" customHeight="1">
      <c r="A77" s="278"/>
      <c r="B77" s="281" t="s">
        <v>470</v>
      </c>
      <c r="C77" s="302" t="s">
        <v>471</v>
      </c>
      <c r="D77" s="282">
        <v>825</v>
      </c>
      <c r="E77" s="439">
        <v>288</v>
      </c>
      <c r="F77" s="284"/>
      <c r="G77" s="284">
        <v>11</v>
      </c>
      <c r="H77" s="286">
        <f t="shared" si="1"/>
        <v>246675</v>
      </c>
      <c r="J77" s="278"/>
      <c r="K77" s="281" t="s">
        <v>476</v>
      </c>
      <c r="L77" s="281" t="s">
        <v>477</v>
      </c>
      <c r="M77" s="281">
        <v>638</v>
      </c>
      <c r="N77" s="284">
        <v>19</v>
      </c>
      <c r="O77" s="284"/>
      <c r="P77" s="284"/>
      <c r="Q77" s="286">
        <f>(N77+O77+P77)*M77</f>
        <v>12122</v>
      </c>
      <c r="S77" s="278"/>
      <c r="T77" s="281" t="s">
        <v>485</v>
      </c>
      <c r="U77" s="335" t="s">
        <v>479</v>
      </c>
      <c r="V77" s="281">
        <v>1100</v>
      </c>
      <c r="W77" s="284">
        <v>179</v>
      </c>
      <c r="X77" s="284">
        <v>0</v>
      </c>
      <c r="Y77" s="284">
        <v>11</v>
      </c>
      <c r="Z77" s="286">
        <f>(W77+X77+Y77)*V77</f>
        <v>209000</v>
      </c>
    </row>
    <row r="78" spans="1:26" ht="14.25" customHeight="1">
      <c r="A78" s="278"/>
      <c r="B78" s="304" t="s">
        <v>473</v>
      </c>
      <c r="C78" s="302" t="s">
        <v>474</v>
      </c>
      <c r="D78" s="297">
        <v>748</v>
      </c>
      <c r="E78" s="284">
        <v>308</v>
      </c>
      <c r="F78" s="284"/>
      <c r="G78" s="284">
        <v>51</v>
      </c>
      <c r="H78" s="286">
        <f t="shared" si="1"/>
        <v>268532</v>
      </c>
      <c r="J78" s="278"/>
      <c r="K78" s="281" t="s">
        <v>486</v>
      </c>
      <c r="L78" s="335" t="s">
        <v>487</v>
      </c>
      <c r="M78" s="290">
        <v>682</v>
      </c>
      <c r="N78" s="289"/>
      <c r="O78" s="136"/>
      <c r="P78" s="136">
        <v>20</v>
      </c>
      <c r="Q78" s="286">
        <f>(N78+O78+P78)*M78</f>
        <v>13640</v>
      </c>
      <c r="S78" s="278"/>
      <c r="T78" s="281" t="s">
        <v>488</v>
      </c>
      <c r="U78" s="477" t="s">
        <v>489</v>
      </c>
      <c r="V78" s="281">
        <v>630</v>
      </c>
      <c r="W78" s="284">
        <v>164</v>
      </c>
      <c r="X78" s="284">
        <v>0</v>
      </c>
      <c r="Y78" s="284">
        <v>65</v>
      </c>
      <c r="Z78" s="286">
        <f>(W78+X78+Y78)*V78</f>
        <v>144270</v>
      </c>
    </row>
    <row r="79" spans="1:26" ht="14.25" customHeight="1">
      <c r="A79" s="278"/>
      <c r="B79" s="281" t="s">
        <v>490</v>
      </c>
      <c r="C79" s="302" t="s">
        <v>481</v>
      </c>
      <c r="D79" s="281">
        <v>792</v>
      </c>
      <c r="E79" s="284"/>
      <c r="F79" s="284"/>
      <c r="G79" s="284">
        <v>9</v>
      </c>
      <c r="H79" s="286">
        <f t="shared" si="1"/>
        <v>7128</v>
      </c>
      <c r="J79" s="278"/>
      <c r="K79" s="282" t="s">
        <v>491</v>
      </c>
      <c r="L79" s="335" t="s">
        <v>487</v>
      </c>
      <c r="M79" s="290">
        <v>546</v>
      </c>
      <c r="N79" s="289"/>
      <c r="O79" s="136"/>
      <c r="P79" s="136">
        <v>20</v>
      </c>
      <c r="Q79" s="286">
        <f>(N79+O79+P79)*M79</f>
        <v>10920</v>
      </c>
      <c r="S79" s="278"/>
      <c r="T79" s="281" t="s">
        <v>492</v>
      </c>
      <c r="U79" s="477" t="s">
        <v>489</v>
      </c>
      <c r="V79" s="282">
        <v>627</v>
      </c>
      <c r="W79" s="284">
        <v>69</v>
      </c>
      <c r="X79" s="284">
        <v>0</v>
      </c>
      <c r="Y79" s="284">
        <v>50</v>
      </c>
      <c r="Z79" s="286">
        <f>(W79+X79+Y79)*V79</f>
        <v>74613</v>
      </c>
    </row>
    <row r="80" spans="1:26" ht="14.25" customHeight="1">
      <c r="A80" s="278"/>
      <c r="B80" s="303" t="s">
        <v>493</v>
      </c>
      <c r="C80" s="318" t="s">
        <v>6</v>
      </c>
      <c r="D80" s="293">
        <v>1100</v>
      </c>
      <c r="E80" s="287"/>
      <c r="F80" s="136"/>
      <c r="G80" s="440">
        <v>9</v>
      </c>
      <c r="H80" s="286">
        <f t="shared" si="1"/>
        <v>9900</v>
      </c>
      <c r="J80" s="278"/>
      <c r="K80" s="281" t="s">
        <v>478</v>
      </c>
      <c r="L80" s="335" t="s">
        <v>479</v>
      </c>
      <c r="M80" s="281">
        <v>935</v>
      </c>
      <c r="N80" s="284">
        <v>106</v>
      </c>
      <c r="O80" s="284"/>
      <c r="P80" s="284">
        <v>7</v>
      </c>
      <c r="Q80" s="286">
        <f>(N80+O80+P80)*M80</f>
        <v>105655</v>
      </c>
      <c r="S80" s="468"/>
      <c r="T80" s="42" t="s">
        <v>318</v>
      </c>
      <c r="U80" s="282" t="s">
        <v>494</v>
      </c>
      <c r="V80" s="42">
        <v>1800</v>
      </c>
      <c r="W80" s="42">
        <v>0</v>
      </c>
      <c r="X80" s="480">
        <v>0</v>
      </c>
      <c r="Y80" s="487">
        <v>10</v>
      </c>
      <c r="Z80" s="286">
        <f>(W80+X80+Y80)*V80</f>
        <v>18000</v>
      </c>
    </row>
    <row r="81" spans="1:26" ht="14.25" customHeight="1">
      <c r="A81" s="278"/>
      <c r="B81" s="281" t="s">
        <v>476</v>
      </c>
      <c r="C81" s="281" t="s">
        <v>487</v>
      </c>
      <c r="D81" s="281">
        <v>638</v>
      </c>
      <c r="E81" s="284"/>
      <c r="F81" s="284"/>
      <c r="G81" s="284">
        <v>82</v>
      </c>
      <c r="H81" s="286">
        <f t="shared" si="1"/>
        <v>52316</v>
      </c>
      <c r="J81" s="278"/>
      <c r="K81" s="282" t="s">
        <v>482</v>
      </c>
      <c r="L81" s="335" t="s">
        <v>479</v>
      </c>
      <c r="M81" s="293">
        <v>1050</v>
      </c>
      <c r="N81" s="287">
        <v>20</v>
      </c>
      <c r="O81" s="136"/>
      <c r="P81" s="134">
        <v>9</v>
      </c>
      <c r="Q81" s="286">
        <f>(N81+O81+P81)*M81</f>
        <v>30450</v>
      </c>
      <c r="S81" s="278"/>
      <c r="T81" s="49" t="s">
        <v>311</v>
      </c>
      <c r="U81" s="282" t="s">
        <v>312</v>
      </c>
      <c r="V81" s="212">
        <v>2000</v>
      </c>
      <c r="W81" s="12">
        <v>6</v>
      </c>
      <c r="X81" s="139">
        <v>0</v>
      </c>
      <c r="Y81" s="488">
        <v>7</v>
      </c>
      <c r="Z81" s="286">
        <f>(W81+X81+Y81)*V81</f>
        <v>26000</v>
      </c>
    </row>
    <row r="82" spans="1:26" ht="14.25" customHeight="1">
      <c r="A82" s="278"/>
      <c r="B82" s="281" t="s">
        <v>486</v>
      </c>
      <c r="C82" s="281" t="s">
        <v>487</v>
      </c>
      <c r="D82" s="290">
        <v>682</v>
      </c>
      <c r="E82" s="289"/>
      <c r="F82" s="136"/>
      <c r="G82" s="136">
        <v>22</v>
      </c>
      <c r="H82" s="286">
        <f t="shared" si="1"/>
        <v>15004</v>
      </c>
      <c r="J82" s="278"/>
      <c r="K82" s="282" t="s">
        <v>484</v>
      </c>
      <c r="L82" s="335" t="s">
        <v>479</v>
      </c>
      <c r="M82" s="290">
        <v>880</v>
      </c>
      <c r="N82" s="287">
        <v>84</v>
      </c>
      <c r="O82" s="136"/>
      <c r="P82" s="134">
        <v>9</v>
      </c>
      <c r="Q82" s="286">
        <f>(N82+O82+P82)*M82</f>
        <v>81840</v>
      </c>
      <c r="S82" s="278"/>
      <c r="T82" s="281" t="s">
        <v>315</v>
      </c>
      <c r="U82" s="282" t="s">
        <v>316</v>
      </c>
      <c r="V82" s="282">
        <v>745</v>
      </c>
      <c r="W82" s="284">
        <v>0</v>
      </c>
      <c r="X82" s="284">
        <v>0</v>
      </c>
      <c r="Y82" s="284">
        <v>16</v>
      </c>
      <c r="Z82" s="286">
        <f>(W82+X82+Y82)*V82</f>
        <v>11920</v>
      </c>
    </row>
    <row r="83" spans="1:26" ht="14.25" customHeight="1">
      <c r="A83" s="278"/>
      <c r="B83" s="282" t="s">
        <v>491</v>
      </c>
      <c r="C83" s="281" t="s">
        <v>487</v>
      </c>
      <c r="D83" s="290">
        <v>546</v>
      </c>
      <c r="E83" s="289"/>
      <c r="F83" s="136"/>
      <c r="G83" s="136">
        <v>23</v>
      </c>
      <c r="H83" s="286">
        <f t="shared" si="1"/>
        <v>12558</v>
      </c>
      <c r="J83" s="278"/>
      <c r="K83" s="281" t="s">
        <v>485</v>
      </c>
      <c r="L83" s="335" t="s">
        <v>479</v>
      </c>
      <c r="M83" s="281">
        <v>1100</v>
      </c>
      <c r="N83" s="284">
        <v>194</v>
      </c>
      <c r="O83" s="284"/>
      <c r="P83" s="284">
        <v>10</v>
      </c>
      <c r="Q83" s="286">
        <f>(N83+O83+P83)*M83</f>
        <v>224400</v>
      </c>
      <c r="S83" s="278"/>
      <c r="T83" s="281" t="s">
        <v>335</v>
      </c>
      <c r="U83" s="476" t="s">
        <v>316</v>
      </c>
      <c r="V83" s="282">
        <v>745</v>
      </c>
      <c r="W83" s="284">
        <v>47</v>
      </c>
      <c r="X83" s="284">
        <v>0</v>
      </c>
      <c r="Y83" s="284">
        <v>20</v>
      </c>
      <c r="Z83" s="286">
        <f>(W83+X83+Y83)*V83</f>
        <v>49915</v>
      </c>
    </row>
    <row r="84" spans="1:26" ht="14.25" customHeight="1">
      <c r="A84" s="278"/>
      <c r="B84" s="281" t="s">
        <v>495</v>
      </c>
      <c r="C84" s="282" t="s">
        <v>479</v>
      </c>
      <c r="D84" s="281">
        <v>935</v>
      </c>
      <c r="E84" s="284">
        <v>399</v>
      </c>
      <c r="F84" s="284"/>
      <c r="G84" s="284"/>
      <c r="H84" s="286">
        <f t="shared" si="1"/>
        <v>373065</v>
      </c>
      <c r="J84" s="278"/>
      <c r="K84" s="281" t="s">
        <v>488</v>
      </c>
      <c r="L84" s="336" t="s">
        <v>489</v>
      </c>
      <c r="M84" s="281">
        <v>630</v>
      </c>
      <c r="N84" s="284">
        <v>68</v>
      </c>
      <c r="O84" s="284"/>
      <c r="P84" s="284">
        <v>20</v>
      </c>
      <c r="Q84" s="286">
        <f>(N84+O84+P84)*M84</f>
        <v>55440</v>
      </c>
      <c r="S84" s="278"/>
      <c r="T84" s="297" t="s">
        <v>320</v>
      </c>
      <c r="U84" s="475" t="s">
        <v>321</v>
      </c>
      <c r="V84" s="483">
        <v>1300</v>
      </c>
      <c r="W84" s="289">
        <v>0</v>
      </c>
      <c r="X84" s="136">
        <v>0</v>
      </c>
      <c r="Y84" s="136">
        <v>7</v>
      </c>
      <c r="Z84" s="286">
        <f>(W84+X84+Y84)*V84</f>
        <v>9100</v>
      </c>
    </row>
    <row r="85" spans="1:26" ht="14.25" customHeight="1">
      <c r="A85" s="278"/>
      <c r="B85" s="281" t="s">
        <v>478</v>
      </c>
      <c r="C85" s="282" t="s">
        <v>479</v>
      </c>
      <c r="D85" s="281">
        <v>935</v>
      </c>
      <c r="E85" s="284">
        <v>225</v>
      </c>
      <c r="F85" s="284"/>
      <c r="G85" s="284">
        <v>14</v>
      </c>
      <c r="H85" s="286">
        <f t="shared" si="1"/>
        <v>223465</v>
      </c>
      <c r="J85" s="278"/>
      <c r="K85" s="284" t="s">
        <v>492</v>
      </c>
      <c r="L85" s="337" t="s">
        <v>489</v>
      </c>
      <c r="M85" s="297">
        <v>627</v>
      </c>
      <c r="N85" s="284">
        <v>68</v>
      </c>
      <c r="O85" s="284"/>
      <c r="P85" s="284">
        <v>134</v>
      </c>
      <c r="Q85" s="286">
        <f>(N85+O85+P85)*M85</f>
        <v>126654</v>
      </c>
      <c r="S85" s="278"/>
      <c r="T85" s="282" t="s">
        <v>101</v>
      </c>
      <c r="U85" s="297" t="s">
        <v>323</v>
      </c>
      <c r="V85" s="313">
        <v>2500</v>
      </c>
      <c r="W85" s="289">
        <v>6</v>
      </c>
      <c r="X85" s="136">
        <v>0</v>
      </c>
      <c r="Y85" s="136">
        <v>6</v>
      </c>
      <c r="Z85" s="286">
        <f>(W85+X85+Y85)*V85</f>
        <v>30000</v>
      </c>
    </row>
    <row r="86" spans="1:26" ht="14.25" customHeight="1">
      <c r="A86" s="278"/>
      <c r="B86" s="282" t="s">
        <v>482</v>
      </c>
      <c r="C86" s="282" t="s">
        <v>479</v>
      </c>
      <c r="D86" s="293">
        <v>1050</v>
      </c>
      <c r="E86" s="287">
        <v>25</v>
      </c>
      <c r="F86" s="136"/>
      <c r="G86" s="134">
        <v>3</v>
      </c>
      <c r="H86" s="286">
        <f t="shared" si="1"/>
        <v>29400</v>
      </c>
      <c r="J86" s="278"/>
      <c r="K86" s="185" t="s">
        <v>395</v>
      </c>
      <c r="L86" s="302" t="s">
        <v>267</v>
      </c>
      <c r="M86" s="289">
        <v>180</v>
      </c>
      <c r="N86" s="289"/>
      <c r="O86" s="136"/>
      <c r="P86" s="136">
        <v>45</v>
      </c>
      <c r="Q86" s="286">
        <f>(N86+O86+P86)*M86</f>
        <v>8100</v>
      </c>
      <c r="S86" s="468"/>
      <c r="T86" s="495" t="s">
        <v>496</v>
      </c>
      <c r="U86" s="476" t="s">
        <v>326</v>
      </c>
      <c r="V86" s="480">
        <v>992</v>
      </c>
      <c r="W86" s="480">
        <v>9</v>
      </c>
      <c r="X86" s="480">
        <v>0</v>
      </c>
      <c r="Y86" s="480">
        <v>15</v>
      </c>
      <c r="Z86" s="286">
        <f>(W86+X86+Y86)*V86</f>
        <v>23808</v>
      </c>
    </row>
    <row r="87" spans="1:26" ht="14.25" customHeight="1">
      <c r="A87" s="278"/>
      <c r="B87" s="282" t="s">
        <v>484</v>
      </c>
      <c r="C87" s="282" t="s">
        <v>479</v>
      </c>
      <c r="D87" s="290">
        <v>880</v>
      </c>
      <c r="E87" s="287">
        <v>115</v>
      </c>
      <c r="F87" s="136"/>
      <c r="G87" s="134">
        <v>3</v>
      </c>
      <c r="H87" s="286">
        <f t="shared" si="1"/>
        <v>103840</v>
      </c>
      <c r="J87" s="278"/>
      <c r="K87" s="184" t="s">
        <v>266</v>
      </c>
      <c r="L87" s="302" t="s">
        <v>267</v>
      </c>
      <c r="M87" s="289">
        <v>120</v>
      </c>
      <c r="N87" s="289"/>
      <c r="O87" s="136"/>
      <c r="P87" s="136">
        <v>72</v>
      </c>
      <c r="Q87" s="286">
        <f>(N87+O87+P87)*M87</f>
        <v>8640</v>
      </c>
      <c r="S87" s="278"/>
      <c r="T87" s="303" t="s">
        <v>328</v>
      </c>
      <c r="U87" s="297" t="s">
        <v>329</v>
      </c>
      <c r="V87" s="297">
        <v>1100</v>
      </c>
      <c r="W87" s="284">
        <v>0</v>
      </c>
      <c r="X87" s="284">
        <v>0</v>
      </c>
      <c r="Y87" s="284">
        <v>14</v>
      </c>
      <c r="Z87" s="286">
        <f>(W87+X87+Y87)*V87</f>
        <v>15400</v>
      </c>
    </row>
    <row r="88" spans="1:26" ht="14.25" customHeight="1">
      <c r="A88" s="278"/>
      <c r="B88" s="281" t="s">
        <v>485</v>
      </c>
      <c r="C88" s="282" t="s">
        <v>479</v>
      </c>
      <c r="D88" s="281">
        <v>1100</v>
      </c>
      <c r="E88" s="284">
        <v>253</v>
      </c>
      <c r="F88" s="284"/>
      <c r="G88" s="284">
        <v>11</v>
      </c>
      <c r="H88" s="286">
        <f t="shared" si="1"/>
        <v>290400</v>
      </c>
      <c r="J88" s="278"/>
      <c r="K88" s="184" t="s">
        <v>269</v>
      </c>
      <c r="L88" s="302" t="s">
        <v>267</v>
      </c>
      <c r="M88" s="289">
        <v>180</v>
      </c>
      <c r="N88" s="289"/>
      <c r="O88" s="136"/>
      <c r="P88" s="136">
        <v>13</v>
      </c>
      <c r="Q88" s="286">
        <f>(N88+O88+P88)*M88</f>
        <v>2340</v>
      </c>
      <c r="S88" s="278"/>
      <c r="T88" s="303" t="s">
        <v>293</v>
      </c>
      <c r="U88" s="297" t="s">
        <v>294</v>
      </c>
      <c r="V88" s="284">
        <v>594</v>
      </c>
      <c r="W88" s="284">
        <v>120</v>
      </c>
      <c r="X88" s="284">
        <v>0</v>
      </c>
      <c r="Y88" s="284">
        <v>67</v>
      </c>
      <c r="Z88" s="286">
        <f>(W88+X88+Y88)*V88</f>
        <v>111078</v>
      </c>
    </row>
    <row r="89" spans="1:26" ht="14.25" customHeight="1">
      <c r="A89" s="278"/>
      <c r="B89" s="299" t="s">
        <v>497</v>
      </c>
      <c r="C89" s="319" t="s">
        <v>489</v>
      </c>
      <c r="D89" s="284">
        <v>630</v>
      </c>
      <c r="E89" s="284"/>
      <c r="F89" s="284"/>
      <c r="G89" s="284">
        <v>24</v>
      </c>
      <c r="H89" s="286">
        <f t="shared" si="1"/>
        <v>15120</v>
      </c>
      <c r="J89" s="278"/>
      <c r="K89" s="184" t="s">
        <v>272</v>
      </c>
      <c r="L89" s="302" t="s">
        <v>267</v>
      </c>
      <c r="M89" s="289">
        <v>180</v>
      </c>
      <c r="N89" s="289"/>
      <c r="O89" s="136"/>
      <c r="P89" s="136">
        <v>126</v>
      </c>
      <c r="Q89" s="286">
        <f>(N89+O89+P89)*M89</f>
        <v>22680</v>
      </c>
      <c r="S89" s="278"/>
      <c r="T89" s="303" t="s">
        <v>302</v>
      </c>
      <c r="U89" s="297" t="s">
        <v>303</v>
      </c>
      <c r="V89" s="298">
        <v>250</v>
      </c>
      <c r="W89" s="289">
        <v>10</v>
      </c>
      <c r="X89" s="136">
        <v>0</v>
      </c>
      <c r="Y89" s="136">
        <v>0</v>
      </c>
      <c r="Z89" s="286">
        <f>(W89+X89+Y89)*V89</f>
        <v>2500</v>
      </c>
    </row>
    <row r="90" spans="1:26" ht="14.25" customHeight="1">
      <c r="A90" s="278"/>
      <c r="B90" s="281" t="s">
        <v>488</v>
      </c>
      <c r="C90" s="319" t="s">
        <v>489</v>
      </c>
      <c r="D90" s="281">
        <v>630</v>
      </c>
      <c r="E90" s="284">
        <v>195</v>
      </c>
      <c r="F90" s="284"/>
      <c r="G90" s="284">
        <v>59</v>
      </c>
      <c r="H90" s="286">
        <f t="shared" si="1"/>
        <v>160020</v>
      </c>
      <c r="J90" s="278"/>
      <c r="K90" s="184" t="s">
        <v>275</v>
      </c>
      <c r="L90" s="302" t="s">
        <v>267</v>
      </c>
      <c r="M90" s="289">
        <v>180</v>
      </c>
      <c r="N90" s="289"/>
      <c r="O90" s="136"/>
      <c r="P90" s="136">
        <v>16</v>
      </c>
      <c r="Q90" s="286">
        <f>(N90+O90+P90)*M90</f>
        <v>2880</v>
      </c>
      <c r="S90" s="278"/>
      <c r="T90" s="303" t="s">
        <v>305</v>
      </c>
      <c r="U90" s="297" t="s">
        <v>306</v>
      </c>
      <c r="V90" s="313">
        <v>1000</v>
      </c>
      <c r="W90" s="289">
        <v>164</v>
      </c>
      <c r="X90" s="136">
        <v>0</v>
      </c>
      <c r="Y90" s="136">
        <v>114</v>
      </c>
      <c r="Z90" s="286">
        <f>(W90+X90+Y90)*V90</f>
        <v>278000</v>
      </c>
    </row>
    <row r="91" spans="1:26" ht="14.25" customHeight="1">
      <c r="A91" s="278"/>
      <c r="B91" s="284" t="s">
        <v>498</v>
      </c>
      <c r="C91" s="318" t="s">
        <v>489</v>
      </c>
      <c r="D91" s="297">
        <v>627</v>
      </c>
      <c r="E91" s="284"/>
      <c r="F91" s="284"/>
      <c r="G91" s="284">
        <v>28</v>
      </c>
      <c r="H91" s="286">
        <f t="shared" si="1"/>
        <v>17556</v>
      </c>
      <c r="J91" s="278"/>
      <c r="K91" s="184" t="s">
        <v>279</v>
      </c>
      <c r="L91" s="302" t="s">
        <v>267</v>
      </c>
      <c r="M91" s="289">
        <v>240</v>
      </c>
      <c r="N91" s="288"/>
      <c r="O91" s="136"/>
      <c r="P91" s="136">
        <v>41</v>
      </c>
      <c r="Q91" s="286">
        <f>(N91+O91+P91)*M91</f>
        <v>9840</v>
      </c>
      <c r="S91" s="278"/>
      <c r="T91" s="303" t="s">
        <v>273</v>
      </c>
      <c r="U91" s="284" t="s">
        <v>274</v>
      </c>
      <c r="V91" s="298">
        <v>400</v>
      </c>
      <c r="W91" s="289">
        <v>19</v>
      </c>
      <c r="X91" s="136">
        <v>0</v>
      </c>
      <c r="Y91" s="136">
        <v>107</v>
      </c>
      <c r="Z91" s="286">
        <f>(W91+X91+Y91)*V91</f>
        <v>50400</v>
      </c>
    </row>
    <row r="92" spans="1:26" ht="14.25" customHeight="1">
      <c r="A92" s="278"/>
      <c r="B92" s="185" t="s">
        <v>395</v>
      </c>
      <c r="C92" s="302" t="s">
        <v>267</v>
      </c>
      <c r="D92" s="289">
        <v>180</v>
      </c>
      <c r="E92" s="289"/>
      <c r="F92" s="136"/>
      <c r="G92" s="136">
        <v>55</v>
      </c>
      <c r="H92" s="286">
        <f t="shared" si="1"/>
        <v>9900</v>
      </c>
      <c r="J92" s="278"/>
      <c r="K92" s="184" t="s">
        <v>282</v>
      </c>
      <c r="L92" s="302" t="s">
        <v>267</v>
      </c>
      <c r="M92" s="289">
        <v>180</v>
      </c>
      <c r="N92" s="288"/>
      <c r="O92" s="136"/>
      <c r="P92" s="136">
        <v>83</v>
      </c>
      <c r="Q92" s="286">
        <f>(N92+O92+P92)*M92</f>
        <v>14940</v>
      </c>
      <c r="S92" s="278"/>
      <c r="T92" s="303" t="s">
        <v>499</v>
      </c>
      <c r="U92" s="297" t="s">
        <v>271</v>
      </c>
      <c r="V92" s="313">
        <v>1050</v>
      </c>
      <c r="W92" s="136">
        <v>0</v>
      </c>
      <c r="X92" s="136">
        <v>0</v>
      </c>
      <c r="Y92" s="305">
        <v>2</v>
      </c>
      <c r="Z92" s="286">
        <f>(W92+X92+Y92)*V92</f>
        <v>2100</v>
      </c>
    </row>
    <row r="93" spans="1:26" ht="14.25" customHeight="1">
      <c r="A93" s="278"/>
      <c r="B93" s="184" t="s">
        <v>500</v>
      </c>
      <c r="C93" s="302" t="s">
        <v>267</v>
      </c>
      <c r="D93" s="289">
        <v>180</v>
      </c>
      <c r="E93" s="289"/>
      <c r="F93" s="136"/>
      <c r="G93" s="136">
        <v>7</v>
      </c>
      <c r="H93" s="286">
        <f t="shared" si="1"/>
        <v>1260</v>
      </c>
      <c r="J93" s="278"/>
      <c r="K93" s="184" t="s">
        <v>287</v>
      </c>
      <c r="L93" s="302" t="s">
        <v>267</v>
      </c>
      <c r="M93" s="289">
        <v>180</v>
      </c>
      <c r="N93" s="288"/>
      <c r="O93" s="136"/>
      <c r="P93" s="136">
        <v>25</v>
      </c>
      <c r="Q93" s="286">
        <f>(N93+O93+P93)*M93</f>
        <v>4500</v>
      </c>
      <c r="S93" s="278"/>
      <c r="T93" s="303" t="s">
        <v>501</v>
      </c>
      <c r="U93" s="297" t="s">
        <v>271</v>
      </c>
      <c r="V93" s="482">
        <v>1100</v>
      </c>
      <c r="W93" s="284">
        <v>0</v>
      </c>
      <c r="X93" s="284">
        <v>5</v>
      </c>
      <c r="Y93" s="284">
        <v>3</v>
      </c>
      <c r="Z93" s="286">
        <f>(W93+X93+Y93)*V93</f>
        <v>8800</v>
      </c>
    </row>
    <row r="94" spans="1:26" ht="14.25" customHeight="1">
      <c r="A94" s="278"/>
      <c r="B94" s="184" t="s">
        <v>266</v>
      </c>
      <c r="C94" s="302" t="s">
        <v>267</v>
      </c>
      <c r="D94" s="289">
        <v>120</v>
      </c>
      <c r="E94" s="289"/>
      <c r="F94" s="136"/>
      <c r="G94" s="136">
        <v>79</v>
      </c>
      <c r="H94" s="286">
        <f t="shared" si="1"/>
        <v>9480</v>
      </c>
      <c r="J94" s="278"/>
      <c r="K94" s="184" t="s">
        <v>290</v>
      </c>
      <c r="L94" s="302" t="s">
        <v>267</v>
      </c>
      <c r="M94" s="289">
        <v>180</v>
      </c>
      <c r="N94" s="288"/>
      <c r="O94" s="136"/>
      <c r="P94" s="136">
        <v>43</v>
      </c>
      <c r="Q94" s="286">
        <f>(N94+O94+P94)*M94</f>
        <v>7740</v>
      </c>
      <c r="S94" s="278"/>
      <c r="T94" s="181" t="s">
        <v>221</v>
      </c>
      <c r="U94" s="302" t="s">
        <v>502</v>
      </c>
      <c r="V94" s="479">
        <v>240</v>
      </c>
      <c r="W94" s="183">
        <v>0</v>
      </c>
      <c r="X94" s="136">
        <v>0</v>
      </c>
      <c r="Y94" s="136">
        <v>28</v>
      </c>
      <c r="Z94" s="286">
        <f>(W94+X94+Y94)*V94</f>
        <v>6720</v>
      </c>
    </row>
    <row r="95" spans="1:26" ht="14.25" customHeight="1">
      <c r="A95" s="278"/>
      <c r="B95" s="184" t="s">
        <v>269</v>
      </c>
      <c r="C95" s="302" t="s">
        <v>267</v>
      </c>
      <c r="D95" s="289">
        <v>180</v>
      </c>
      <c r="E95" s="289"/>
      <c r="F95" s="136"/>
      <c r="G95" s="136">
        <v>17</v>
      </c>
      <c r="H95" s="286">
        <f t="shared" si="1"/>
        <v>3060</v>
      </c>
      <c r="J95" s="278"/>
      <c r="K95" s="184" t="s">
        <v>295</v>
      </c>
      <c r="L95" s="302" t="s">
        <v>267</v>
      </c>
      <c r="M95" s="289">
        <v>180</v>
      </c>
      <c r="N95" s="288"/>
      <c r="O95" s="136">
        <v>44</v>
      </c>
      <c r="P95" s="136">
        <v>102</v>
      </c>
      <c r="Q95" s="286">
        <f>(N95+O95+P95)*M95</f>
        <v>26280</v>
      </c>
      <c r="S95" s="278"/>
      <c r="T95" s="424" t="s">
        <v>452</v>
      </c>
      <c r="U95" s="302" t="s">
        <v>453</v>
      </c>
      <c r="V95" s="479">
        <v>600</v>
      </c>
      <c r="W95" s="183">
        <v>4</v>
      </c>
      <c r="X95" s="136">
        <v>0</v>
      </c>
      <c r="Y95" s="136">
        <v>11</v>
      </c>
      <c r="Z95" s="286">
        <f>(W95+X95+Y95)*V95</f>
        <v>9000</v>
      </c>
    </row>
    <row r="96" spans="1:26" ht="14.25" customHeight="1">
      <c r="A96" s="278"/>
      <c r="B96" s="184" t="s">
        <v>272</v>
      </c>
      <c r="C96" s="302" t="s">
        <v>267</v>
      </c>
      <c r="D96" s="289">
        <v>180</v>
      </c>
      <c r="E96" s="289"/>
      <c r="F96" s="136"/>
      <c r="G96" s="136">
        <v>128</v>
      </c>
      <c r="H96" s="286">
        <f t="shared" si="1"/>
        <v>23040</v>
      </c>
      <c r="J96" s="278"/>
      <c r="K96" s="184" t="s">
        <v>299</v>
      </c>
      <c r="L96" s="302" t="s">
        <v>267</v>
      </c>
      <c r="M96" s="289">
        <v>180</v>
      </c>
      <c r="N96" s="288"/>
      <c r="O96" s="136"/>
      <c r="P96" s="136">
        <v>56</v>
      </c>
      <c r="Q96" s="286">
        <f>(N96+O96+P96)*M96</f>
        <v>10080</v>
      </c>
      <c r="S96" s="278"/>
      <c r="T96" s="284" t="s">
        <v>454</v>
      </c>
      <c r="U96" s="302" t="s">
        <v>455</v>
      </c>
      <c r="V96" s="289">
        <v>100</v>
      </c>
      <c r="W96" s="289">
        <v>44</v>
      </c>
      <c r="X96" s="136">
        <v>0</v>
      </c>
      <c r="Y96" s="136">
        <v>26</v>
      </c>
      <c r="Z96" s="286">
        <f>(W96+X96+Y96)*V96</f>
        <v>7000</v>
      </c>
    </row>
    <row r="97" spans="1:26" ht="14.25" customHeight="1">
      <c r="A97" s="278"/>
      <c r="B97" s="184" t="s">
        <v>275</v>
      </c>
      <c r="C97" s="302" t="s">
        <v>267</v>
      </c>
      <c r="D97" s="289">
        <v>180</v>
      </c>
      <c r="E97" s="289"/>
      <c r="F97" s="136"/>
      <c r="G97" s="136">
        <v>20</v>
      </c>
      <c r="H97" s="286">
        <f t="shared" si="1"/>
        <v>3600</v>
      </c>
      <c r="J97" s="278"/>
      <c r="K97" s="284" t="s">
        <v>304</v>
      </c>
      <c r="L97" s="302" t="s">
        <v>267</v>
      </c>
      <c r="M97" s="298">
        <v>240</v>
      </c>
      <c r="N97" s="289"/>
      <c r="O97" s="289">
        <v>87</v>
      </c>
      <c r="P97" s="289">
        <v>96</v>
      </c>
      <c r="Q97" s="286">
        <f>(N97+O97+P97)*M97</f>
        <v>43920</v>
      </c>
      <c r="S97" s="278"/>
      <c r="T97" s="284" t="s">
        <v>456</v>
      </c>
      <c r="U97" s="302" t="s">
        <v>457</v>
      </c>
      <c r="V97" s="284">
        <v>100</v>
      </c>
      <c r="W97" s="284">
        <v>0</v>
      </c>
      <c r="X97" s="284">
        <v>0</v>
      </c>
      <c r="Y97" s="284">
        <v>11</v>
      </c>
      <c r="Z97" s="286">
        <f>(W97+X97+Y97)*V97</f>
        <v>1100</v>
      </c>
    </row>
    <row r="98" spans="1:26" ht="14.25" customHeight="1">
      <c r="A98" s="278"/>
      <c r="B98" s="184" t="s">
        <v>503</v>
      </c>
      <c r="C98" s="302" t="s">
        <v>267</v>
      </c>
      <c r="D98" s="289">
        <v>120</v>
      </c>
      <c r="E98" s="288"/>
      <c r="F98" s="136"/>
      <c r="G98" s="136">
        <v>20</v>
      </c>
      <c r="H98" s="286">
        <f t="shared" si="1"/>
        <v>2400</v>
      </c>
      <c r="J98" s="278"/>
      <c r="K98" s="284" t="s">
        <v>307</v>
      </c>
      <c r="L98" s="302" t="s">
        <v>267</v>
      </c>
      <c r="M98" s="298">
        <v>180</v>
      </c>
      <c r="N98" s="289"/>
      <c r="O98" s="289"/>
      <c r="P98" s="289">
        <v>73</v>
      </c>
      <c r="Q98" s="286">
        <f>(N98+O98+P98)*M98</f>
        <v>13140</v>
      </c>
      <c r="S98" s="278"/>
      <c r="T98" s="281" t="s">
        <v>458</v>
      </c>
      <c r="U98" s="297" t="s">
        <v>459</v>
      </c>
      <c r="V98" s="281">
        <v>500</v>
      </c>
      <c r="W98" s="284">
        <v>23</v>
      </c>
      <c r="X98" s="284">
        <v>0</v>
      </c>
      <c r="Y98" s="284">
        <v>12</v>
      </c>
      <c r="Z98" s="286">
        <f>(W98+X98+Y98)*V98</f>
        <v>17500</v>
      </c>
    </row>
    <row r="99" spans="1:26" ht="14.25" customHeight="1">
      <c r="A99" s="278"/>
      <c r="B99" s="184" t="s">
        <v>279</v>
      </c>
      <c r="C99" s="302" t="s">
        <v>267</v>
      </c>
      <c r="D99" s="289">
        <v>240</v>
      </c>
      <c r="E99" s="288"/>
      <c r="F99" s="136"/>
      <c r="G99" s="136">
        <v>42</v>
      </c>
      <c r="H99" s="286">
        <f t="shared" si="1"/>
        <v>10080</v>
      </c>
      <c r="J99" s="278"/>
      <c r="K99" s="281" t="s">
        <v>310</v>
      </c>
      <c r="L99" s="302" t="s">
        <v>267</v>
      </c>
      <c r="M99" s="281">
        <v>240</v>
      </c>
      <c r="N99" s="284"/>
      <c r="O99" s="284"/>
      <c r="P99" s="284">
        <v>30</v>
      </c>
      <c r="Q99" s="286">
        <f>(N99+O99+P99)*M99</f>
        <v>7200</v>
      </c>
      <c r="S99" s="278"/>
      <c r="T99" s="281" t="s">
        <v>504</v>
      </c>
      <c r="U99" s="297" t="s">
        <v>462</v>
      </c>
      <c r="V99" s="293">
        <v>1050</v>
      </c>
      <c r="W99" s="289">
        <v>0</v>
      </c>
      <c r="X99" s="136">
        <v>0</v>
      </c>
      <c r="Y99" s="136">
        <v>37</v>
      </c>
      <c r="Z99" s="286">
        <f>(W99+X99+Y99)*V99</f>
        <v>38850</v>
      </c>
    </row>
    <row r="100" spans="1:26" ht="14.25" customHeight="1">
      <c r="A100" s="278"/>
      <c r="B100" s="184" t="s">
        <v>282</v>
      </c>
      <c r="C100" s="302" t="s">
        <v>267</v>
      </c>
      <c r="D100" s="289">
        <v>180</v>
      </c>
      <c r="E100" s="288"/>
      <c r="F100" s="136"/>
      <c r="G100" s="136">
        <v>91</v>
      </c>
      <c r="H100" s="286">
        <f t="shared" si="1"/>
        <v>16380</v>
      </c>
      <c r="J100" s="278"/>
      <c r="K100" s="281" t="s">
        <v>313</v>
      </c>
      <c r="L100" s="302" t="s">
        <v>267</v>
      </c>
      <c r="M100" s="281">
        <v>300</v>
      </c>
      <c r="N100" s="284"/>
      <c r="O100" s="284"/>
      <c r="P100" s="284">
        <v>8</v>
      </c>
      <c r="Q100" s="286">
        <f>(N100+O100+P100)*M100</f>
        <v>2400</v>
      </c>
      <c r="S100" s="278"/>
      <c r="T100" s="139" t="s">
        <v>219</v>
      </c>
      <c r="U100" s="500" t="s">
        <v>465</v>
      </c>
      <c r="V100" s="479">
        <v>560</v>
      </c>
      <c r="W100" s="183">
        <v>0</v>
      </c>
      <c r="X100" s="136">
        <v>0</v>
      </c>
      <c r="Y100" s="136">
        <v>14</v>
      </c>
      <c r="Z100" s="286">
        <f>(W100+X100+Y100)*V100</f>
        <v>7840</v>
      </c>
    </row>
    <row r="101" spans="1:26" ht="14.25" customHeight="1">
      <c r="A101" s="278"/>
      <c r="B101" s="184" t="s">
        <v>287</v>
      </c>
      <c r="C101" s="302" t="s">
        <v>267</v>
      </c>
      <c r="D101" s="289">
        <v>180</v>
      </c>
      <c r="E101" s="288"/>
      <c r="F101" s="136"/>
      <c r="G101" s="136">
        <v>28</v>
      </c>
      <c r="H101" s="286">
        <f t="shared" si="1"/>
        <v>5040</v>
      </c>
      <c r="J101" s="278"/>
      <c r="K101" s="284" t="s">
        <v>317</v>
      </c>
      <c r="L101" s="302" t="s">
        <v>267</v>
      </c>
      <c r="M101" s="284">
        <v>240</v>
      </c>
      <c r="N101" s="284"/>
      <c r="O101" s="284"/>
      <c r="P101" s="284">
        <v>16</v>
      </c>
      <c r="Q101" s="286">
        <f>(N101+O101+P101)*M101</f>
        <v>3840</v>
      </c>
      <c r="S101" s="278"/>
      <c r="T101" s="297" t="s">
        <v>436</v>
      </c>
      <c r="U101" s="476" t="s">
        <v>437</v>
      </c>
      <c r="V101" s="298">
        <v>300</v>
      </c>
      <c r="W101" s="289">
        <v>0</v>
      </c>
      <c r="X101" s="136">
        <v>0</v>
      </c>
      <c r="Y101" s="136">
        <v>159</v>
      </c>
      <c r="Z101" s="286">
        <f>(W101+X101+Y101)*V101</f>
        <v>47700</v>
      </c>
    </row>
    <row r="102" spans="1:26" ht="14.25" customHeight="1">
      <c r="A102" s="278"/>
      <c r="B102" s="184" t="s">
        <v>290</v>
      </c>
      <c r="C102" s="302" t="s">
        <v>267</v>
      </c>
      <c r="D102" s="289">
        <v>180</v>
      </c>
      <c r="E102" s="288"/>
      <c r="F102" s="136"/>
      <c r="G102" s="136">
        <v>44</v>
      </c>
      <c r="H102" s="286">
        <f t="shared" si="1"/>
        <v>7920</v>
      </c>
      <c r="J102" s="278"/>
      <c r="K102" s="284" t="s">
        <v>322</v>
      </c>
      <c r="L102" s="302" t="s">
        <v>267</v>
      </c>
      <c r="M102" s="284">
        <v>240</v>
      </c>
      <c r="N102" s="284"/>
      <c r="O102" s="284"/>
      <c r="P102" s="284">
        <v>24</v>
      </c>
      <c r="Q102" s="286">
        <f>(N102+O102+P102)*M102</f>
        <v>5760</v>
      </c>
      <c r="S102" s="468"/>
      <c r="T102" s="480" t="s">
        <v>505</v>
      </c>
      <c r="U102" s="297" t="s">
        <v>289</v>
      </c>
      <c r="V102" s="480">
        <v>1146</v>
      </c>
      <c r="W102" s="480">
        <v>0</v>
      </c>
      <c r="X102" s="480">
        <v>22</v>
      </c>
      <c r="Y102" s="480">
        <v>10</v>
      </c>
      <c r="Z102" s="286">
        <f>(W102+X102+Y102)*V102</f>
        <v>36672</v>
      </c>
    </row>
    <row r="103" spans="1:26" ht="14.25" customHeight="1">
      <c r="A103" s="278"/>
      <c r="B103" s="184" t="s">
        <v>295</v>
      </c>
      <c r="C103" s="302" t="s">
        <v>267</v>
      </c>
      <c r="D103" s="289">
        <v>180</v>
      </c>
      <c r="E103" s="288"/>
      <c r="F103" s="136"/>
      <c r="G103" s="136">
        <v>104</v>
      </c>
      <c r="H103" s="286">
        <f t="shared" si="1"/>
        <v>18720</v>
      </c>
      <c r="J103" s="278"/>
      <c r="K103" s="284" t="s">
        <v>506</v>
      </c>
      <c r="L103" s="302" t="s">
        <v>267</v>
      </c>
      <c r="M103" s="284">
        <v>300</v>
      </c>
      <c r="N103" s="284"/>
      <c r="O103" s="284"/>
      <c r="P103" s="284">
        <v>26</v>
      </c>
      <c r="Q103" s="286">
        <f>(N103+O103+P103)*M103</f>
        <v>7800</v>
      </c>
      <c r="S103" s="137"/>
      <c r="T103" s="284" t="s">
        <v>285</v>
      </c>
      <c r="U103" s="297" t="s">
        <v>284</v>
      </c>
      <c r="V103" s="298">
        <v>700</v>
      </c>
      <c r="W103" s="289">
        <v>26</v>
      </c>
      <c r="X103" s="136">
        <v>0</v>
      </c>
      <c r="Y103" s="136">
        <v>59</v>
      </c>
      <c r="Z103" s="286">
        <f>(W103+X103+Y103)*V103</f>
        <v>59500</v>
      </c>
    </row>
    <row r="104" spans="1:26" ht="14.25" customHeight="1">
      <c r="A104" s="278"/>
      <c r="B104" s="184" t="s">
        <v>299</v>
      </c>
      <c r="C104" s="302" t="s">
        <v>267</v>
      </c>
      <c r="D104" s="289">
        <v>180</v>
      </c>
      <c r="E104" s="288"/>
      <c r="F104" s="136"/>
      <c r="G104" s="136">
        <v>59</v>
      </c>
      <c r="H104" s="286">
        <f t="shared" si="1"/>
        <v>10620</v>
      </c>
      <c r="J104" s="137"/>
      <c r="K104" s="284" t="s">
        <v>327</v>
      </c>
      <c r="L104" s="302" t="s">
        <v>267</v>
      </c>
      <c r="M104" s="284">
        <v>180</v>
      </c>
      <c r="N104" s="284"/>
      <c r="O104" s="284"/>
      <c r="P104" s="284">
        <v>3</v>
      </c>
      <c r="Q104" s="286">
        <f>(N104+O104+P104)*M104</f>
        <v>540</v>
      </c>
      <c r="S104" s="278"/>
      <c r="T104" s="287" t="s">
        <v>268</v>
      </c>
      <c r="U104" s="297" t="s">
        <v>265</v>
      </c>
      <c r="V104" s="287">
        <v>1100</v>
      </c>
      <c r="W104" s="287">
        <v>0</v>
      </c>
      <c r="X104" s="289">
        <v>5</v>
      </c>
      <c r="Y104" s="486">
        <v>16</v>
      </c>
      <c r="Z104" s="286">
        <f>(W104+X104+Y104)*V104</f>
        <v>23100</v>
      </c>
    </row>
    <row r="105" spans="1:26" ht="14.25" customHeight="1">
      <c r="A105" s="278"/>
      <c r="B105" s="284" t="s">
        <v>304</v>
      </c>
      <c r="C105" s="302" t="s">
        <v>267</v>
      </c>
      <c r="D105" s="298">
        <v>240</v>
      </c>
      <c r="E105" s="289"/>
      <c r="F105" s="289"/>
      <c r="G105" s="289">
        <v>87</v>
      </c>
      <c r="H105" s="286">
        <f t="shared" si="1"/>
        <v>20880</v>
      </c>
      <c r="J105" s="278"/>
      <c r="K105" s="12" t="s">
        <v>330</v>
      </c>
      <c r="L105" s="302" t="s">
        <v>267</v>
      </c>
      <c r="M105" s="46">
        <v>240</v>
      </c>
      <c r="N105" s="135"/>
      <c r="O105" s="136"/>
      <c r="P105" s="134">
        <v>27</v>
      </c>
      <c r="Q105" s="286">
        <f>(N105+O105+P105)*M105</f>
        <v>6480</v>
      </c>
      <c r="S105" s="278"/>
      <c r="T105" s="472" t="s">
        <v>432</v>
      </c>
      <c r="U105" s="335" t="s">
        <v>433</v>
      </c>
      <c r="V105" s="281">
        <v>129</v>
      </c>
      <c r="W105" s="284">
        <v>12</v>
      </c>
      <c r="X105" s="284">
        <v>0</v>
      </c>
      <c r="Y105" s="284">
        <v>114</v>
      </c>
      <c r="Z105" s="286">
        <f>(W105+X105+Y105)*V105</f>
        <v>16254</v>
      </c>
    </row>
    <row r="106" spans="1:26" ht="14.25" customHeight="1">
      <c r="A106" s="278"/>
      <c r="B106" s="284" t="s">
        <v>307</v>
      </c>
      <c r="C106" s="302" t="s">
        <v>267</v>
      </c>
      <c r="D106" s="298">
        <v>180</v>
      </c>
      <c r="E106" s="289"/>
      <c r="F106" s="289"/>
      <c r="G106" s="289">
        <v>74</v>
      </c>
      <c r="H106" s="286">
        <f t="shared" si="1"/>
        <v>13320</v>
      </c>
      <c r="J106" s="278"/>
      <c r="K106" s="306" t="s">
        <v>507</v>
      </c>
      <c r="L106" s="281" t="s">
        <v>6</v>
      </c>
      <c r="M106" s="281">
        <v>100</v>
      </c>
      <c r="N106" s="284">
        <v>121</v>
      </c>
      <c r="O106" s="284"/>
      <c r="P106" s="284"/>
      <c r="Q106" s="286">
        <f>(N106+O106+P106)*M106</f>
        <v>12100</v>
      </c>
      <c r="S106" s="278"/>
      <c r="T106" s="12" t="s">
        <v>429</v>
      </c>
      <c r="U106" s="335" t="s">
        <v>430</v>
      </c>
      <c r="V106" s="46">
        <v>226</v>
      </c>
      <c r="W106" s="138">
        <v>0</v>
      </c>
      <c r="X106" s="136">
        <v>0</v>
      </c>
      <c r="Y106" s="134">
        <v>27</v>
      </c>
      <c r="Z106" s="286">
        <f>(W106+X106+Y106)*V106</f>
        <v>6102</v>
      </c>
    </row>
    <row r="107" spans="1:26" ht="14.25" customHeight="1">
      <c r="A107" s="278"/>
      <c r="B107" s="284" t="s">
        <v>508</v>
      </c>
      <c r="C107" s="302" t="s">
        <v>267</v>
      </c>
      <c r="D107" s="298">
        <v>180</v>
      </c>
      <c r="E107" s="289"/>
      <c r="F107" s="289"/>
      <c r="G107" s="289">
        <v>13</v>
      </c>
      <c r="H107" s="286">
        <f t="shared" si="1"/>
        <v>2340</v>
      </c>
      <c r="J107" s="278"/>
      <c r="K107" s="281" t="s">
        <v>509</v>
      </c>
      <c r="L107" s="281" t="s">
        <v>6</v>
      </c>
      <c r="M107" s="290">
        <v>880</v>
      </c>
      <c r="N107" s="287">
        <v>38</v>
      </c>
      <c r="O107" s="136"/>
      <c r="P107" s="134"/>
      <c r="Q107" s="286">
        <f>(N107+O107+P107)*M107</f>
        <v>33440</v>
      </c>
      <c r="S107" s="468"/>
      <c r="T107" s="42" t="s">
        <v>510</v>
      </c>
      <c r="U107" s="335" t="s">
        <v>430</v>
      </c>
      <c r="V107" s="42">
        <v>583</v>
      </c>
      <c r="W107" s="42">
        <v>145</v>
      </c>
      <c r="X107" s="42">
        <v>0</v>
      </c>
      <c r="Y107" s="42">
        <v>34</v>
      </c>
      <c r="Z107" s="286">
        <f>(W107+X107+Y107)*V107</f>
        <v>104357</v>
      </c>
    </row>
    <row r="108" spans="1:26" ht="14.25" customHeight="1">
      <c r="A108" s="278"/>
      <c r="B108" s="284" t="s">
        <v>511</v>
      </c>
      <c r="C108" s="302" t="s">
        <v>267</v>
      </c>
      <c r="D108" s="298">
        <v>300</v>
      </c>
      <c r="E108" s="289"/>
      <c r="F108" s="289"/>
      <c r="G108" s="289">
        <v>5</v>
      </c>
      <c r="H108" s="286">
        <f t="shared" si="1"/>
        <v>1500</v>
      </c>
      <c r="J108" s="278"/>
      <c r="K108" s="282" t="s">
        <v>512</v>
      </c>
      <c r="L108" s="281" t="s">
        <v>6</v>
      </c>
      <c r="M108" s="293">
        <v>1050</v>
      </c>
      <c r="N108" s="287">
        <v>18</v>
      </c>
      <c r="O108" s="292"/>
      <c r="P108" s="292"/>
      <c r="Q108" s="286">
        <f>(N108+O108+P108)*M108</f>
        <v>18900</v>
      </c>
      <c r="S108" s="278"/>
      <c r="T108" s="281" t="s">
        <v>278</v>
      </c>
      <c r="U108" s="281" t="s">
        <v>277</v>
      </c>
      <c r="V108" s="281">
        <v>1100</v>
      </c>
      <c r="W108" s="284">
        <v>0</v>
      </c>
      <c r="X108" s="284">
        <v>2</v>
      </c>
      <c r="Y108" s="284">
        <v>13</v>
      </c>
      <c r="Z108" s="286">
        <f>(W108+X108+Y108)*V108</f>
        <v>16500</v>
      </c>
    </row>
    <row r="109" spans="1:26" ht="14.25" customHeight="1">
      <c r="A109" s="278"/>
      <c r="B109" s="281" t="s">
        <v>310</v>
      </c>
      <c r="C109" s="302" t="s">
        <v>267</v>
      </c>
      <c r="D109" s="281">
        <v>240</v>
      </c>
      <c r="E109" s="284"/>
      <c r="F109" s="284"/>
      <c r="G109" s="284">
        <v>19</v>
      </c>
      <c r="H109" s="286">
        <f t="shared" si="1"/>
        <v>4560</v>
      </c>
      <c r="J109" s="278"/>
      <c r="K109" s="281" t="s">
        <v>513</v>
      </c>
      <c r="L109" s="281" t="s">
        <v>6</v>
      </c>
      <c r="M109" s="281">
        <v>528</v>
      </c>
      <c r="N109" s="284">
        <v>25</v>
      </c>
      <c r="O109" s="284"/>
      <c r="P109" s="284"/>
      <c r="Q109" s="286">
        <f>(N109+O109+P109)*M109</f>
        <v>13200</v>
      </c>
      <c r="S109" s="278"/>
      <c r="T109" s="281" t="s">
        <v>262</v>
      </c>
      <c r="U109" s="281" t="s">
        <v>281</v>
      </c>
      <c r="V109" s="283">
        <v>1183</v>
      </c>
      <c r="W109" s="284">
        <v>0</v>
      </c>
      <c r="X109" s="284">
        <v>41</v>
      </c>
      <c r="Y109" s="284">
        <v>10</v>
      </c>
      <c r="Z109" s="286">
        <f>(W109+X109+Y109)*V109</f>
        <v>60333</v>
      </c>
    </row>
    <row r="110" spans="1:26" ht="14.25" customHeight="1">
      <c r="A110" s="278"/>
      <c r="B110" s="281" t="s">
        <v>313</v>
      </c>
      <c r="C110" s="302" t="s">
        <v>267</v>
      </c>
      <c r="D110" s="281">
        <v>300</v>
      </c>
      <c r="E110" s="284"/>
      <c r="F110" s="284"/>
      <c r="G110" s="284">
        <v>12</v>
      </c>
      <c r="H110" s="286">
        <f t="shared" si="1"/>
        <v>3600</v>
      </c>
      <c r="J110" s="278"/>
      <c r="K110" s="281" t="s">
        <v>514</v>
      </c>
      <c r="L110" s="281" t="s">
        <v>6</v>
      </c>
      <c r="M110" s="290">
        <v>850</v>
      </c>
      <c r="N110" s="289">
        <v>7</v>
      </c>
      <c r="O110" s="136"/>
      <c r="P110" s="136"/>
      <c r="Q110" s="286">
        <f>(N110+O110+P110)*M110</f>
        <v>5950</v>
      </c>
      <c r="S110" s="468"/>
      <c r="T110" s="573" t="s">
        <v>515</v>
      </c>
      <c r="U110" s="281" t="s">
        <v>281</v>
      </c>
      <c r="V110" s="480">
        <v>520</v>
      </c>
      <c r="W110" s="480">
        <v>85</v>
      </c>
      <c r="X110" s="480">
        <v>0</v>
      </c>
      <c r="Y110" s="480">
        <v>8</v>
      </c>
      <c r="Z110" s="286">
        <f>(W110+X110+Y110)*V110</f>
        <v>48360</v>
      </c>
    </row>
    <row r="111" spans="1:26" ht="14.25" customHeight="1">
      <c r="A111" s="278"/>
      <c r="B111" s="284" t="s">
        <v>317</v>
      </c>
      <c r="C111" s="302" t="s">
        <v>267</v>
      </c>
      <c r="D111" s="284">
        <v>240</v>
      </c>
      <c r="E111" s="284"/>
      <c r="F111" s="284"/>
      <c r="G111" s="284">
        <v>22</v>
      </c>
      <c r="H111" s="286">
        <f t="shared" si="1"/>
        <v>5280</v>
      </c>
      <c r="J111" s="278"/>
      <c r="K111" s="299" t="s">
        <v>516</v>
      </c>
      <c r="L111" s="281" t="s">
        <v>6</v>
      </c>
      <c r="M111" s="297">
        <v>434</v>
      </c>
      <c r="N111" s="284">
        <v>98</v>
      </c>
      <c r="O111" s="284"/>
      <c r="P111" s="284"/>
      <c r="Q111" s="286">
        <f>(N111+O111+P111)*M111</f>
        <v>42532</v>
      </c>
      <c r="S111" s="278"/>
      <c r="T111" s="299" t="s">
        <v>398</v>
      </c>
      <c r="U111" s="281" t="s">
        <v>399</v>
      </c>
      <c r="V111" s="298">
        <v>385</v>
      </c>
      <c r="W111" s="289">
        <v>0</v>
      </c>
      <c r="X111" s="289">
        <v>0</v>
      </c>
      <c r="Y111" s="289">
        <v>15</v>
      </c>
      <c r="Z111" s="286">
        <f>(W111+X111+Y111)*V111</f>
        <v>5775</v>
      </c>
    </row>
    <row r="112" spans="1:26" ht="14.25" customHeight="1">
      <c r="A112" s="278"/>
      <c r="B112" s="284" t="s">
        <v>322</v>
      </c>
      <c r="C112" s="302" t="s">
        <v>267</v>
      </c>
      <c r="D112" s="284">
        <v>240</v>
      </c>
      <c r="E112" s="284"/>
      <c r="F112" s="284"/>
      <c r="G112" s="284">
        <v>29</v>
      </c>
      <c r="H112" s="286">
        <f t="shared" si="1"/>
        <v>6960</v>
      </c>
      <c r="J112" s="278"/>
      <c r="K112" s="299" t="s">
        <v>517</v>
      </c>
      <c r="L112" s="281" t="s">
        <v>6</v>
      </c>
      <c r="M112" s="284">
        <v>786</v>
      </c>
      <c r="N112" s="284">
        <v>119</v>
      </c>
      <c r="O112" s="284"/>
      <c r="P112" s="284"/>
      <c r="Q112" s="286">
        <f>(N112+O112+P112)*M112</f>
        <v>93534</v>
      </c>
      <c r="S112" s="278"/>
      <c r="T112" s="281" t="s">
        <v>400</v>
      </c>
      <c r="U112" s="281" t="s">
        <v>399</v>
      </c>
      <c r="V112" s="281">
        <v>495</v>
      </c>
      <c r="W112" s="284">
        <v>0</v>
      </c>
      <c r="X112" s="284">
        <v>0</v>
      </c>
      <c r="Y112" s="284">
        <v>46</v>
      </c>
      <c r="Z112" s="286">
        <f>(W112+X112+Y112)*V112</f>
        <v>22770</v>
      </c>
    </row>
    <row r="113" spans="1:26" ht="14.25" customHeight="1">
      <c r="A113" s="278"/>
      <c r="B113" s="284" t="s">
        <v>518</v>
      </c>
      <c r="C113" s="302" t="s">
        <v>267</v>
      </c>
      <c r="D113" s="284">
        <v>180</v>
      </c>
      <c r="E113" s="284"/>
      <c r="F113" s="284"/>
      <c r="G113" s="284">
        <v>40</v>
      </c>
      <c r="H113" s="286">
        <f t="shared" si="1"/>
        <v>7200</v>
      </c>
      <c r="J113" s="278"/>
      <c r="K113" s="281" t="s">
        <v>519</v>
      </c>
      <c r="L113" s="281" t="s">
        <v>6</v>
      </c>
      <c r="M113" s="281">
        <v>605</v>
      </c>
      <c r="N113" s="284">
        <v>126</v>
      </c>
      <c r="O113" s="284"/>
      <c r="P113" s="284"/>
      <c r="Q113" s="286">
        <f>(N113+O113+P113)*M113</f>
        <v>76230</v>
      </c>
      <c r="S113" s="278"/>
      <c r="T113" s="181" t="s">
        <v>401</v>
      </c>
      <c r="U113" s="281" t="s">
        <v>402</v>
      </c>
      <c r="V113" s="138">
        <v>193</v>
      </c>
      <c r="W113" s="135">
        <v>199</v>
      </c>
      <c r="X113" s="136">
        <v>0</v>
      </c>
      <c r="Y113" s="134">
        <v>31</v>
      </c>
      <c r="Z113" s="286">
        <f>(W113+X113+Y113)*V113</f>
        <v>44390</v>
      </c>
    </row>
    <row r="114" spans="1:26" ht="14.25" customHeight="1">
      <c r="A114" s="278"/>
      <c r="B114" s="284" t="s">
        <v>506</v>
      </c>
      <c r="C114" s="302" t="s">
        <v>267</v>
      </c>
      <c r="D114" s="284">
        <v>300</v>
      </c>
      <c r="E114" s="284"/>
      <c r="F114" s="284"/>
      <c r="G114" s="284">
        <v>55</v>
      </c>
      <c r="H114" s="286">
        <f t="shared" si="1"/>
        <v>16500</v>
      </c>
      <c r="J114" s="278"/>
      <c r="K114" s="303" t="s">
        <v>408</v>
      </c>
      <c r="L114" s="281" t="s">
        <v>6</v>
      </c>
      <c r="M114" s="293">
        <v>1100</v>
      </c>
      <c r="N114" s="287">
        <v>58</v>
      </c>
      <c r="O114" s="136"/>
      <c r="P114" s="134"/>
      <c r="Q114" s="286">
        <f>(N114+O114+P114)*M114</f>
        <v>63800</v>
      </c>
      <c r="S114" s="278"/>
      <c r="T114" s="281" t="s">
        <v>403</v>
      </c>
      <c r="U114" s="281" t="s">
        <v>404</v>
      </c>
      <c r="V114" s="281">
        <v>99</v>
      </c>
      <c r="W114" s="284">
        <v>0</v>
      </c>
      <c r="X114" s="284">
        <v>0</v>
      </c>
      <c r="Y114" s="284">
        <v>82</v>
      </c>
      <c r="Z114" s="286">
        <f>(W114+X114+Y114)*V114</f>
        <v>8118</v>
      </c>
    </row>
    <row r="115" spans="1:26" ht="14.25" customHeight="1">
      <c r="A115" s="278"/>
      <c r="B115" s="284" t="s">
        <v>327</v>
      </c>
      <c r="C115" s="302" t="s">
        <v>267</v>
      </c>
      <c r="D115" s="284">
        <v>180</v>
      </c>
      <c r="E115" s="284"/>
      <c r="F115" s="284"/>
      <c r="G115" s="284">
        <v>15</v>
      </c>
      <c r="H115" s="286">
        <f t="shared" si="1"/>
        <v>2700</v>
      </c>
      <c r="J115" s="278"/>
      <c r="K115" s="281" t="s">
        <v>520</v>
      </c>
      <c r="L115" s="281" t="s">
        <v>6</v>
      </c>
      <c r="M115" s="281">
        <v>847</v>
      </c>
      <c r="N115" s="284">
        <v>62</v>
      </c>
      <c r="O115" s="284"/>
      <c r="P115" s="284"/>
      <c r="Q115" s="286">
        <f>(N115+O115+P115)*M115</f>
        <v>52514</v>
      </c>
      <c r="S115" s="278"/>
      <c r="T115" s="335" t="s">
        <v>407</v>
      </c>
      <c r="U115" s="281" t="s">
        <v>404</v>
      </c>
      <c r="V115" s="335">
        <v>99</v>
      </c>
      <c r="W115" s="281">
        <v>0</v>
      </c>
      <c r="X115" s="284">
        <v>0</v>
      </c>
      <c r="Y115" s="485">
        <v>4</v>
      </c>
      <c r="Z115" s="286">
        <f>(W115+X115+Y115)*V115</f>
        <v>396</v>
      </c>
    </row>
    <row r="116" spans="1:26" ht="14.25" customHeight="1">
      <c r="A116" s="278"/>
      <c r="B116" s="281" t="s">
        <v>521</v>
      </c>
      <c r="C116" s="297" t="s">
        <v>6</v>
      </c>
      <c r="D116" s="293">
        <v>1500</v>
      </c>
      <c r="E116" s="289"/>
      <c r="F116" s="289"/>
      <c r="G116" s="289">
        <v>6</v>
      </c>
      <c r="H116" s="286">
        <f t="shared" si="1"/>
        <v>9000</v>
      </c>
      <c r="J116" s="278"/>
      <c r="K116" s="281" t="s">
        <v>522</v>
      </c>
      <c r="L116" s="281" t="s">
        <v>6</v>
      </c>
      <c r="M116" s="290">
        <v>605</v>
      </c>
      <c r="N116" s="287">
        <v>17</v>
      </c>
      <c r="O116" s="136"/>
      <c r="P116" s="134"/>
      <c r="Q116" s="286">
        <f>(N116+O116+P116)*M116</f>
        <v>10285</v>
      </c>
      <c r="S116" s="278"/>
      <c r="T116" s="281" t="s">
        <v>409</v>
      </c>
      <c r="U116" s="281" t="s">
        <v>410</v>
      </c>
      <c r="V116" s="290">
        <v>100</v>
      </c>
      <c r="W116" s="289">
        <v>228</v>
      </c>
      <c r="X116" s="136">
        <v>0</v>
      </c>
      <c r="Y116" s="289">
        <v>67</v>
      </c>
      <c r="Z116" s="286">
        <f>(W116+X116+Y116)*V116</f>
        <v>29500</v>
      </c>
    </row>
    <row r="117" spans="1:26" ht="14.25" customHeight="1">
      <c r="A117" s="278"/>
      <c r="B117" s="281" t="s">
        <v>523</v>
      </c>
      <c r="C117" s="284" t="s">
        <v>6</v>
      </c>
      <c r="D117" s="290">
        <v>100</v>
      </c>
      <c r="E117" s="298">
        <v>200</v>
      </c>
      <c r="F117" s="289"/>
      <c r="G117" s="289"/>
      <c r="H117" s="286">
        <f t="shared" si="1"/>
        <v>20000</v>
      </c>
      <c r="J117" s="278"/>
      <c r="K117" s="281" t="s">
        <v>524</v>
      </c>
      <c r="L117" s="281" t="s">
        <v>6</v>
      </c>
      <c r="M117" s="283">
        <v>1100</v>
      </c>
      <c r="N117" s="284">
        <v>30</v>
      </c>
      <c r="O117" s="284"/>
      <c r="P117" s="284"/>
      <c r="Q117" s="286">
        <f>(N117+O117+P117)*M117</f>
        <v>33000</v>
      </c>
      <c r="S117" s="278"/>
      <c r="T117" s="281" t="s">
        <v>412</v>
      </c>
      <c r="U117" s="282" t="s">
        <v>413</v>
      </c>
      <c r="V117" s="290">
        <v>100</v>
      </c>
      <c r="W117" s="289">
        <v>0</v>
      </c>
      <c r="X117" s="136">
        <v>0</v>
      </c>
      <c r="Y117" s="136">
        <v>98</v>
      </c>
      <c r="Z117" s="286">
        <f>(W117+X117+Y117)*V117</f>
        <v>9800</v>
      </c>
    </row>
    <row r="118" spans="1:26" ht="14.25" customHeight="1">
      <c r="A118" s="278"/>
      <c r="B118" s="281" t="s">
        <v>525</v>
      </c>
      <c r="C118" s="281" t="s">
        <v>6</v>
      </c>
      <c r="D118" s="283">
        <v>1100</v>
      </c>
      <c r="E118" s="284">
        <v>32</v>
      </c>
      <c r="F118" s="284"/>
      <c r="G118" s="284"/>
      <c r="H118" s="286">
        <f t="shared" si="1"/>
        <v>35200</v>
      </c>
      <c r="J118" s="278"/>
      <c r="K118" s="281" t="s">
        <v>526</v>
      </c>
      <c r="L118" s="281" t="s">
        <v>6</v>
      </c>
      <c r="M118" s="290">
        <v>308</v>
      </c>
      <c r="N118" s="289">
        <v>412</v>
      </c>
      <c r="O118" s="136"/>
      <c r="P118" s="136"/>
      <c r="Q118" s="286">
        <f>(N118+O118+P118)*M118</f>
        <v>126896</v>
      </c>
      <c r="S118" s="278"/>
      <c r="T118" s="281" t="s">
        <v>420</v>
      </c>
      <c r="U118" s="281" t="s">
        <v>421</v>
      </c>
      <c r="V118" s="281">
        <v>660</v>
      </c>
      <c r="W118" s="281">
        <v>306</v>
      </c>
      <c r="X118" s="284">
        <v>0</v>
      </c>
      <c r="Y118" s="485">
        <v>59</v>
      </c>
      <c r="Z118" s="286">
        <f>(W118+X118+Y118)*V118</f>
        <v>240900</v>
      </c>
    </row>
    <row r="119" spans="1:26" ht="14.25" customHeight="1">
      <c r="A119" s="278"/>
      <c r="B119" s="306" t="s">
        <v>507</v>
      </c>
      <c r="C119" s="281" t="s">
        <v>6</v>
      </c>
      <c r="D119" s="281">
        <v>100</v>
      </c>
      <c r="E119" s="284">
        <v>121</v>
      </c>
      <c r="F119" s="284"/>
      <c r="G119" s="284"/>
      <c r="H119" s="286">
        <f t="shared" si="1"/>
        <v>12100</v>
      </c>
      <c r="J119" s="278"/>
      <c r="K119" s="281" t="s">
        <v>527</v>
      </c>
      <c r="L119" s="281" t="s">
        <v>6</v>
      </c>
      <c r="M119" s="290">
        <v>396</v>
      </c>
      <c r="N119" s="287">
        <v>37</v>
      </c>
      <c r="O119" s="136"/>
      <c r="P119" s="134"/>
      <c r="Q119" s="286">
        <f>(N119+O119+P119)*M119</f>
        <v>14652</v>
      </c>
      <c r="S119" s="278"/>
      <c r="T119" s="281" t="s">
        <v>425</v>
      </c>
      <c r="U119" s="281" t="s">
        <v>426</v>
      </c>
      <c r="V119" s="290">
        <v>880</v>
      </c>
      <c r="W119" s="287">
        <v>0</v>
      </c>
      <c r="X119" s="136">
        <v>0</v>
      </c>
      <c r="Y119" s="134">
        <v>94</v>
      </c>
      <c r="Z119" s="286">
        <f>(W119+X119+Y119)*V119</f>
        <v>82720</v>
      </c>
    </row>
    <row r="120" spans="1:26" ht="14.25" customHeight="1">
      <c r="A120" s="278"/>
      <c r="B120" s="281" t="s">
        <v>509</v>
      </c>
      <c r="C120" s="281" t="s">
        <v>6</v>
      </c>
      <c r="D120" s="290">
        <v>880</v>
      </c>
      <c r="E120" s="287">
        <v>21</v>
      </c>
      <c r="F120" s="136"/>
      <c r="G120" s="134"/>
      <c r="H120" s="286">
        <f t="shared" si="1"/>
        <v>18480</v>
      </c>
      <c r="J120" s="278"/>
      <c r="K120" s="281" t="s">
        <v>528</v>
      </c>
      <c r="L120" s="281" t="s">
        <v>6</v>
      </c>
      <c r="M120" s="290">
        <v>114</v>
      </c>
      <c r="N120" s="287"/>
      <c r="O120" s="136"/>
      <c r="P120" s="134"/>
      <c r="Q120" s="286">
        <f>(N120+O120+P120)*M120</f>
        <v>0</v>
      </c>
      <c r="S120" s="278"/>
      <c r="T120" s="281" t="s">
        <v>297</v>
      </c>
      <c r="U120" s="477" t="s">
        <v>529</v>
      </c>
      <c r="V120" s="281">
        <v>638</v>
      </c>
      <c r="W120" s="281">
        <v>30</v>
      </c>
      <c r="X120" s="284">
        <v>225</v>
      </c>
      <c r="Y120" s="485">
        <v>73</v>
      </c>
      <c r="Z120" s="286">
        <f>(W120+X120+Y120)*V120</f>
        <v>209264</v>
      </c>
    </row>
    <row r="121" spans="1:26" ht="14.25" customHeight="1">
      <c r="A121" s="278"/>
      <c r="B121" s="282" t="s">
        <v>512</v>
      </c>
      <c r="C121" s="281" t="s">
        <v>6</v>
      </c>
      <c r="D121" s="293">
        <v>1050</v>
      </c>
      <c r="E121" s="287">
        <v>48</v>
      </c>
      <c r="F121" s="292"/>
      <c r="G121" s="292"/>
      <c r="H121" s="286">
        <f t="shared" si="1"/>
        <v>50400</v>
      </c>
      <c r="J121" s="278"/>
      <c r="K121" s="281" t="s">
        <v>530</v>
      </c>
      <c r="L121" s="281" t="s">
        <v>6</v>
      </c>
      <c r="M121" s="293">
        <v>1045</v>
      </c>
      <c r="N121" s="287">
        <v>3</v>
      </c>
      <c r="O121" s="136"/>
      <c r="P121" s="134"/>
      <c r="Q121" s="286">
        <f>(N121+O121+P121)*M121</f>
        <v>3135</v>
      </c>
      <c r="S121" s="278"/>
      <c r="T121" s="281" t="s">
        <v>332</v>
      </c>
      <c r="U121" s="302" t="s">
        <v>333</v>
      </c>
      <c r="V121" s="281">
        <v>687</v>
      </c>
      <c r="W121" s="284">
        <v>0</v>
      </c>
      <c r="X121" s="284">
        <v>0</v>
      </c>
      <c r="Y121" s="284">
        <v>58</v>
      </c>
      <c r="Z121" s="286">
        <f>(W121+X121+Y121)*V121</f>
        <v>39846</v>
      </c>
    </row>
    <row r="122" spans="1:26" ht="14.25" customHeight="1">
      <c r="A122" s="278"/>
      <c r="B122" s="281" t="s">
        <v>513</v>
      </c>
      <c r="C122" s="281" t="s">
        <v>6</v>
      </c>
      <c r="D122" s="281">
        <v>528</v>
      </c>
      <c r="E122" s="284">
        <v>25</v>
      </c>
      <c r="F122" s="284"/>
      <c r="G122" s="284"/>
      <c r="H122" s="286">
        <f t="shared" si="1"/>
        <v>13200</v>
      </c>
      <c r="J122" s="278"/>
      <c r="K122" s="281" t="s">
        <v>531</v>
      </c>
      <c r="L122" s="302" t="s">
        <v>6</v>
      </c>
      <c r="M122" s="281">
        <v>560</v>
      </c>
      <c r="N122" s="284">
        <v>160</v>
      </c>
      <c r="O122" s="284"/>
      <c r="P122" s="284"/>
      <c r="Q122" s="286">
        <f>(N122+O122+P122)*M122</f>
        <v>89600</v>
      </c>
      <c r="S122" s="467"/>
      <c r="T122" s="281" t="s">
        <v>438</v>
      </c>
      <c r="U122" s="302" t="s">
        <v>6</v>
      </c>
      <c r="V122" s="283">
        <v>1100</v>
      </c>
      <c r="W122" s="284">
        <v>0</v>
      </c>
      <c r="X122" s="284">
        <v>0</v>
      </c>
      <c r="Y122" s="284">
        <v>0</v>
      </c>
      <c r="Z122" s="286">
        <f>(W122+X122+Y122)*V122</f>
        <v>0</v>
      </c>
    </row>
    <row r="123" spans="1:26" ht="14.25" customHeight="1">
      <c r="A123" s="278"/>
      <c r="B123" s="281" t="s">
        <v>514</v>
      </c>
      <c r="C123" s="281" t="s">
        <v>6</v>
      </c>
      <c r="D123" s="290">
        <v>850</v>
      </c>
      <c r="E123" s="289">
        <v>9</v>
      </c>
      <c r="F123" s="136"/>
      <c r="G123" s="136"/>
      <c r="H123" s="286">
        <f t="shared" si="1"/>
        <v>7650</v>
      </c>
      <c r="J123" s="278"/>
      <c r="K123" s="281" t="s">
        <v>252</v>
      </c>
      <c r="L123" s="302" t="s">
        <v>6</v>
      </c>
      <c r="M123" s="281">
        <v>957</v>
      </c>
      <c r="N123" s="284">
        <v>84</v>
      </c>
      <c r="O123" s="284"/>
      <c r="P123" s="284"/>
      <c r="Q123" s="286">
        <f>(N123+O123+P123)*M123</f>
        <v>80388</v>
      </c>
      <c r="S123" s="467"/>
      <c r="T123" s="281" t="s">
        <v>445</v>
      </c>
      <c r="U123" s="319" t="s">
        <v>6</v>
      </c>
      <c r="V123" s="282">
        <v>100</v>
      </c>
      <c r="W123" s="284">
        <v>25</v>
      </c>
      <c r="X123" s="284">
        <v>0</v>
      </c>
      <c r="Y123" s="284">
        <v>0</v>
      </c>
      <c r="Z123" s="286">
        <f>(W123+X123+Y123)*V123</f>
        <v>2500</v>
      </c>
    </row>
    <row r="124" spans="1:26" ht="14.25" customHeight="1">
      <c r="A124" s="278"/>
      <c r="B124" s="299" t="s">
        <v>516</v>
      </c>
      <c r="C124" s="281" t="s">
        <v>6</v>
      </c>
      <c r="D124" s="297">
        <v>434</v>
      </c>
      <c r="E124" s="284">
        <v>94</v>
      </c>
      <c r="F124" s="284"/>
      <c r="G124" s="284"/>
      <c r="H124" s="286">
        <f t="shared" si="1"/>
        <v>40796</v>
      </c>
      <c r="J124" s="278"/>
      <c r="K124" s="281" t="s">
        <v>532</v>
      </c>
      <c r="L124" s="302" t="s">
        <v>6</v>
      </c>
      <c r="M124" s="283">
        <v>1074</v>
      </c>
      <c r="N124" s="284">
        <v>1</v>
      </c>
      <c r="O124" s="284"/>
      <c r="P124" s="284"/>
      <c r="Q124" s="286">
        <f>(N124+O124+P124)*M124</f>
        <v>1074</v>
      </c>
      <c r="S124" s="467"/>
      <c r="T124" s="281" t="s">
        <v>486</v>
      </c>
      <c r="U124" s="476" t="s">
        <v>6</v>
      </c>
      <c r="V124" s="290">
        <v>682</v>
      </c>
      <c r="W124" s="289">
        <v>4</v>
      </c>
      <c r="X124" s="136">
        <v>0</v>
      </c>
      <c r="Y124" s="136">
        <v>0</v>
      </c>
      <c r="Z124" s="286">
        <f>(W124+X124+Y124)*V124</f>
        <v>2728</v>
      </c>
    </row>
    <row r="125" spans="1:26" ht="14.25" customHeight="1">
      <c r="A125" s="278"/>
      <c r="B125" s="299" t="s">
        <v>533</v>
      </c>
      <c r="C125" s="281" t="s">
        <v>6</v>
      </c>
      <c r="D125" s="284">
        <v>786</v>
      </c>
      <c r="E125" s="439"/>
      <c r="F125" s="284"/>
      <c r="G125" s="284"/>
      <c r="H125" s="286">
        <f t="shared" si="1"/>
        <v>0</v>
      </c>
      <c r="J125" s="278"/>
      <c r="K125" s="281" t="s">
        <v>534</v>
      </c>
      <c r="L125" s="302" t="s">
        <v>6</v>
      </c>
      <c r="M125" s="281">
        <v>924</v>
      </c>
      <c r="N125" s="284">
        <v>43</v>
      </c>
      <c r="O125" s="284"/>
      <c r="P125" s="284"/>
      <c r="Q125" s="286">
        <f>(N125+O125+P125)*M125</f>
        <v>39732</v>
      </c>
      <c r="S125" s="467"/>
      <c r="T125" s="282" t="s">
        <v>491</v>
      </c>
      <c r="U125" s="476" t="s">
        <v>6</v>
      </c>
      <c r="V125" s="290">
        <v>546</v>
      </c>
      <c r="W125" s="289">
        <v>25</v>
      </c>
      <c r="X125" s="136">
        <v>0</v>
      </c>
      <c r="Y125" s="136">
        <v>0</v>
      </c>
      <c r="Z125" s="286">
        <f>(W125+X125+Y125)*V125</f>
        <v>13650</v>
      </c>
    </row>
    <row r="126" spans="1:26" ht="14.25" customHeight="1">
      <c r="A126" s="278"/>
      <c r="B126" s="281" t="s">
        <v>519</v>
      </c>
      <c r="C126" s="281" t="s">
        <v>6</v>
      </c>
      <c r="D126" s="281">
        <v>605</v>
      </c>
      <c r="E126" s="284">
        <v>52</v>
      </c>
      <c r="F126" s="284"/>
      <c r="G126" s="284"/>
      <c r="H126" s="286">
        <f t="shared" ref="H126:H173" si="2">(E126+F126+G126)*D126</f>
        <v>31460</v>
      </c>
      <c r="J126" s="278"/>
      <c r="K126" s="282" t="s">
        <v>535</v>
      </c>
      <c r="L126" s="302" t="s">
        <v>6</v>
      </c>
      <c r="M126" s="281">
        <v>995</v>
      </c>
      <c r="N126" s="284">
        <v>115</v>
      </c>
      <c r="O126" s="284"/>
      <c r="P126" s="284"/>
      <c r="Q126" s="286">
        <f>(N126+O126+P126)*M126</f>
        <v>114425</v>
      </c>
      <c r="S126" s="467"/>
      <c r="T126" s="281" t="s">
        <v>308</v>
      </c>
      <c r="U126" s="476" t="s">
        <v>6</v>
      </c>
      <c r="V126" s="293">
        <v>130</v>
      </c>
      <c r="W126" s="289">
        <v>29</v>
      </c>
      <c r="X126" s="136">
        <v>0</v>
      </c>
      <c r="Y126" s="136">
        <v>0</v>
      </c>
      <c r="Z126" s="286">
        <f>(W126+X126+Y126)*V126</f>
        <v>3770</v>
      </c>
    </row>
    <row r="127" spans="1:26" ht="14.25" customHeight="1">
      <c r="A127" s="278"/>
      <c r="B127" s="307" t="s">
        <v>536</v>
      </c>
      <c r="C127" s="281" t="s">
        <v>6</v>
      </c>
      <c r="D127" s="282">
        <v>697</v>
      </c>
      <c r="E127" s="284"/>
      <c r="F127" s="284"/>
      <c r="G127" s="284"/>
      <c r="H127" s="286">
        <f t="shared" si="2"/>
        <v>0</v>
      </c>
      <c r="J127" s="278"/>
      <c r="K127" s="281" t="s">
        <v>537</v>
      </c>
      <c r="L127" s="302" t="s">
        <v>6</v>
      </c>
      <c r="M127" s="281">
        <v>594</v>
      </c>
      <c r="N127" s="284">
        <v>114</v>
      </c>
      <c r="O127" s="284"/>
      <c r="P127" s="284"/>
      <c r="Q127" s="286">
        <f>(N127+O127+P127)*M127</f>
        <v>67716</v>
      </c>
      <c r="S127" s="467"/>
      <c r="T127" s="139" t="s">
        <v>352</v>
      </c>
      <c r="U127" s="476" t="s">
        <v>6</v>
      </c>
      <c r="V127" s="479">
        <v>78</v>
      </c>
      <c r="W127" s="183">
        <v>12</v>
      </c>
      <c r="X127" s="136">
        <v>0</v>
      </c>
      <c r="Y127" s="136">
        <v>0</v>
      </c>
      <c r="Z127" s="286">
        <f>(W127+X127+Y127)*V127</f>
        <v>936</v>
      </c>
    </row>
    <row r="128" spans="1:26" ht="14.25" customHeight="1">
      <c r="A128" s="278"/>
      <c r="B128" s="303" t="s">
        <v>408</v>
      </c>
      <c r="C128" s="281" t="s">
        <v>6</v>
      </c>
      <c r="D128" s="293">
        <v>1100</v>
      </c>
      <c r="E128" s="287">
        <v>60</v>
      </c>
      <c r="F128" s="136"/>
      <c r="G128" s="134"/>
      <c r="H128" s="286">
        <f t="shared" si="2"/>
        <v>66000</v>
      </c>
      <c r="J128" s="278"/>
      <c r="K128" s="281" t="s">
        <v>538</v>
      </c>
      <c r="L128" s="302" t="s">
        <v>6</v>
      </c>
      <c r="M128" s="281">
        <v>935</v>
      </c>
      <c r="N128" s="284">
        <v>270</v>
      </c>
      <c r="O128" s="284"/>
      <c r="P128" s="284"/>
      <c r="Q128" s="286">
        <f>(N128+O128+P128)*M128</f>
        <v>252450</v>
      </c>
      <c r="S128" s="467"/>
      <c r="T128" s="12" t="s">
        <v>469</v>
      </c>
      <c r="U128" s="302" t="s">
        <v>6</v>
      </c>
      <c r="V128" s="578">
        <v>800</v>
      </c>
      <c r="W128" s="139">
        <v>32</v>
      </c>
      <c r="X128" s="139">
        <v>0</v>
      </c>
      <c r="Y128" s="139">
        <v>0</v>
      </c>
      <c r="Z128" s="286">
        <f>(W128+X128+Y128)*V128</f>
        <v>25600</v>
      </c>
    </row>
    <row r="129" spans="1:26" ht="14.25" customHeight="1">
      <c r="A129" s="278"/>
      <c r="B129" s="281" t="s">
        <v>520</v>
      </c>
      <c r="C129" s="281" t="s">
        <v>6</v>
      </c>
      <c r="D129" s="281">
        <v>847</v>
      </c>
      <c r="E129" s="284">
        <v>62</v>
      </c>
      <c r="F129" s="284"/>
      <c r="G129" s="284"/>
      <c r="H129" s="286">
        <f t="shared" si="2"/>
        <v>52514</v>
      </c>
      <c r="J129" s="278"/>
      <c r="K129" s="284" t="s">
        <v>539</v>
      </c>
      <c r="L129" s="302" t="s">
        <v>6</v>
      </c>
      <c r="M129" s="297">
        <v>645</v>
      </c>
      <c r="N129" s="284">
        <v>55</v>
      </c>
      <c r="O129" s="284"/>
      <c r="P129" s="284"/>
      <c r="Q129" s="286">
        <f>(N129+O129+P129)*M129</f>
        <v>35475</v>
      </c>
      <c r="S129" s="467"/>
      <c r="T129" s="281" t="s">
        <v>361</v>
      </c>
      <c r="U129" s="476" t="s">
        <v>6</v>
      </c>
      <c r="V129" s="290">
        <v>726</v>
      </c>
      <c r="W129" s="289">
        <v>34</v>
      </c>
      <c r="X129" s="136">
        <v>0</v>
      </c>
      <c r="Y129" s="136">
        <v>0</v>
      </c>
      <c r="Z129" s="286">
        <f>(W129+X129+Y129)*V129</f>
        <v>24684</v>
      </c>
    </row>
    <row r="130" spans="1:26" ht="14.25" customHeight="1">
      <c r="A130" s="278"/>
      <c r="B130" s="281" t="s">
        <v>522</v>
      </c>
      <c r="C130" s="281" t="s">
        <v>6</v>
      </c>
      <c r="D130" s="290">
        <v>605</v>
      </c>
      <c r="E130" s="287">
        <v>11</v>
      </c>
      <c r="F130" s="136"/>
      <c r="G130" s="134"/>
      <c r="H130" s="286">
        <f t="shared" si="2"/>
        <v>6655</v>
      </c>
      <c r="J130" s="278"/>
      <c r="K130" s="281" t="s">
        <v>540</v>
      </c>
      <c r="L130" s="302" t="s">
        <v>6</v>
      </c>
      <c r="M130" s="281">
        <v>1050</v>
      </c>
      <c r="N130" s="284"/>
      <c r="O130" s="284"/>
      <c r="P130" s="284"/>
      <c r="Q130" s="286">
        <f>(N130+O130+P130)*M130</f>
        <v>0</v>
      </c>
      <c r="S130" s="278"/>
      <c r="T130" s="281" t="s">
        <v>531</v>
      </c>
      <c r="U130" s="336" t="s">
        <v>6</v>
      </c>
      <c r="V130" s="281">
        <v>560</v>
      </c>
      <c r="W130" s="284">
        <v>24</v>
      </c>
      <c r="X130" s="284">
        <v>0</v>
      </c>
      <c r="Y130" s="284">
        <v>0</v>
      </c>
      <c r="Z130" s="286">
        <f>(W130+X130+Y130)*V130</f>
        <v>13440</v>
      </c>
    </row>
    <row r="131" spans="1:26" ht="14.25" customHeight="1">
      <c r="A131" s="278"/>
      <c r="B131" s="300" t="s">
        <v>541</v>
      </c>
      <c r="C131" s="281" t="s">
        <v>6</v>
      </c>
      <c r="D131" s="283">
        <v>1100</v>
      </c>
      <c r="E131" s="284"/>
      <c r="F131" s="284"/>
      <c r="G131" s="284"/>
      <c r="H131" s="286">
        <f t="shared" si="2"/>
        <v>0</v>
      </c>
      <c r="J131" s="278"/>
      <c r="K131" s="281" t="s">
        <v>542</v>
      </c>
      <c r="L131" s="302" t="s">
        <v>6</v>
      </c>
      <c r="M131" s="282">
        <v>465</v>
      </c>
      <c r="N131" s="284">
        <v>102</v>
      </c>
      <c r="O131" s="284"/>
      <c r="P131" s="284"/>
      <c r="Q131" s="286">
        <f>(N131+O131+P131)*M131</f>
        <v>47430</v>
      </c>
      <c r="S131" s="278"/>
      <c r="T131" s="287" t="s">
        <v>507</v>
      </c>
      <c r="U131" s="284" t="s">
        <v>6</v>
      </c>
      <c r="V131" s="281">
        <v>100</v>
      </c>
      <c r="W131" s="284">
        <v>121</v>
      </c>
      <c r="X131" s="284">
        <v>0</v>
      </c>
      <c r="Y131" s="284">
        <v>0</v>
      </c>
      <c r="Z131" s="286">
        <f>(W131+X131+Y131)*V131</f>
        <v>12100</v>
      </c>
    </row>
    <row r="132" spans="1:26" ht="14.25" customHeight="1">
      <c r="A132" s="278"/>
      <c r="B132" s="281" t="s">
        <v>524</v>
      </c>
      <c r="C132" s="281" t="s">
        <v>6</v>
      </c>
      <c r="D132" s="283">
        <v>1100</v>
      </c>
      <c r="E132" s="284">
        <v>30</v>
      </c>
      <c r="F132" s="284"/>
      <c r="G132" s="284"/>
      <c r="H132" s="286">
        <f t="shared" si="2"/>
        <v>33000</v>
      </c>
      <c r="J132" s="278"/>
      <c r="K132" s="281" t="s">
        <v>543</v>
      </c>
      <c r="L132" s="302" t="s">
        <v>6</v>
      </c>
      <c r="M132" s="281">
        <v>1100</v>
      </c>
      <c r="N132" s="284">
        <v>30</v>
      </c>
      <c r="O132" s="284"/>
      <c r="P132" s="284"/>
      <c r="Q132" s="286">
        <f>(N132+O132+P132)*M132</f>
        <v>33000</v>
      </c>
      <c r="S132" s="278"/>
      <c r="T132" s="281" t="s">
        <v>509</v>
      </c>
      <c r="U132" s="284" t="s">
        <v>6</v>
      </c>
      <c r="V132" s="290">
        <v>880</v>
      </c>
      <c r="W132" s="289">
        <v>24</v>
      </c>
      <c r="X132" s="136">
        <v>0</v>
      </c>
      <c r="Y132" s="136">
        <v>0</v>
      </c>
      <c r="Z132" s="286">
        <f>(W132+X132+Y132)*V132</f>
        <v>21120</v>
      </c>
    </row>
    <row r="133" spans="1:26" ht="14.25" customHeight="1">
      <c r="A133" s="278"/>
      <c r="B133" s="281" t="s">
        <v>328</v>
      </c>
      <c r="C133" s="281" t="s">
        <v>6</v>
      </c>
      <c r="D133" s="282">
        <v>1100</v>
      </c>
      <c r="E133" s="284">
        <v>45</v>
      </c>
      <c r="F133" s="284"/>
      <c r="G133" s="284"/>
      <c r="H133" s="286">
        <f t="shared" si="2"/>
        <v>49500</v>
      </c>
      <c r="J133" s="278"/>
      <c r="K133" s="281" t="s">
        <v>544</v>
      </c>
      <c r="L133" s="302" t="s">
        <v>6</v>
      </c>
      <c r="M133" s="281">
        <v>1100</v>
      </c>
      <c r="N133" s="284">
        <v>37</v>
      </c>
      <c r="O133" s="284"/>
      <c r="P133" s="284"/>
      <c r="Q133" s="286">
        <f>(N133+O133+P133)*M133</f>
        <v>40700</v>
      </c>
      <c r="S133" s="278"/>
      <c r="T133" s="282" t="s">
        <v>512</v>
      </c>
      <c r="U133" s="284" t="s">
        <v>6</v>
      </c>
      <c r="V133" s="293">
        <v>1050</v>
      </c>
      <c r="W133" s="289">
        <v>16</v>
      </c>
      <c r="X133" s="136">
        <v>0</v>
      </c>
      <c r="Y133" s="136">
        <v>0</v>
      </c>
      <c r="Z133" s="286">
        <f>(W133+X133+Y133)*V133</f>
        <v>16800</v>
      </c>
    </row>
    <row r="134" spans="1:26" ht="14.25" customHeight="1">
      <c r="A134" s="278"/>
      <c r="B134" s="281" t="s">
        <v>526</v>
      </c>
      <c r="C134" s="281" t="s">
        <v>6</v>
      </c>
      <c r="D134" s="290">
        <v>308</v>
      </c>
      <c r="E134" s="289">
        <v>430</v>
      </c>
      <c r="F134" s="136"/>
      <c r="G134" s="136"/>
      <c r="H134" s="286">
        <f t="shared" si="2"/>
        <v>132440</v>
      </c>
      <c r="J134" s="278"/>
      <c r="K134" s="282" t="s">
        <v>338</v>
      </c>
      <c r="L134" s="302" t="s">
        <v>267</v>
      </c>
      <c r="M134" s="281">
        <v>398</v>
      </c>
      <c r="N134" s="297"/>
      <c r="O134" s="284"/>
      <c r="P134" s="284">
        <v>20</v>
      </c>
      <c r="Q134" s="286">
        <f>(N134+O134+P134)*M134</f>
        <v>7960</v>
      </c>
      <c r="S134" s="278"/>
      <c r="T134" s="281" t="s">
        <v>513</v>
      </c>
      <c r="U134" s="284" t="s">
        <v>6</v>
      </c>
      <c r="V134" s="281">
        <v>528</v>
      </c>
      <c r="W134" s="284">
        <v>15</v>
      </c>
      <c r="X134" s="284">
        <v>0</v>
      </c>
      <c r="Y134" s="284">
        <v>0</v>
      </c>
      <c r="Z134" s="286">
        <f>(W134+X134+Y134)*V134</f>
        <v>7920</v>
      </c>
    </row>
    <row r="135" spans="1:26" ht="14.25" customHeight="1">
      <c r="A135" s="278"/>
      <c r="B135" s="281" t="s">
        <v>527</v>
      </c>
      <c r="C135" s="281" t="s">
        <v>6</v>
      </c>
      <c r="D135" s="290">
        <v>396</v>
      </c>
      <c r="E135" s="287">
        <v>48</v>
      </c>
      <c r="F135" s="136"/>
      <c r="G135" s="134"/>
      <c r="H135" s="286">
        <f t="shared" si="2"/>
        <v>19008</v>
      </c>
      <c r="J135" s="278"/>
      <c r="K135" s="281" t="s">
        <v>545</v>
      </c>
      <c r="L135" s="302" t="s">
        <v>6</v>
      </c>
      <c r="M135" s="281">
        <v>780</v>
      </c>
      <c r="N135" s="284">
        <v>1</v>
      </c>
      <c r="O135" s="284"/>
      <c r="P135" s="284"/>
      <c r="Q135" s="286">
        <f>(N135+O135+P135)*M135</f>
        <v>780</v>
      </c>
      <c r="S135" s="278"/>
      <c r="T135" s="335" t="s">
        <v>546</v>
      </c>
      <c r="U135" s="284" t="s">
        <v>6</v>
      </c>
      <c r="V135" s="290">
        <v>850</v>
      </c>
      <c r="W135" s="289">
        <v>4</v>
      </c>
      <c r="X135" s="136">
        <v>0</v>
      </c>
      <c r="Y135" s="136">
        <v>0</v>
      </c>
      <c r="Z135" s="286">
        <f>(W135+X135+Y135)*V135</f>
        <v>3400</v>
      </c>
    </row>
    <row r="136" spans="1:26" ht="14.25" customHeight="1">
      <c r="A136" s="278"/>
      <c r="B136" s="281" t="s">
        <v>528</v>
      </c>
      <c r="C136" s="281" t="s">
        <v>6</v>
      </c>
      <c r="D136" s="290">
        <v>114</v>
      </c>
      <c r="E136" s="287">
        <v>50</v>
      </c>
      <c r="F136" s="136"/>
      <c r="G136" s="134"/>
      <c r="H136" s="286">
        <f t="shared" si="2"/>
        <v>5700</v>
      </c>
      <c r="J136" s="278"/>
      <c r="K136" s="281" t="s">
        <v>547</v>
      </c>
      <c r="L136" s="302" t="s">
        <v>6</v>
      </c>
      <c r="M136" s="281">
        <v>880</v>
      </c>
      <c r="N136" s="284">
        <v>27</v>
      </c>
      <c r="O136" s="284"/>
      <c r="P136" s="284"/>
      <c r="Q136" s="286">
        <f>(N136+O136+P136)*M136</f>
        <v>23760</v>
      </c>
      <c r="S136" s="278"/>
      <c r="T136" s="335" t="s">
        <v>548</v>
      </c>
      <c r="U136" s="284" t="s">
        <v>6</v>
      </c>
      <c r="V136" s="282">
        <v>434</v>
      </c>
      <c r="W136" s="284">
        <v>145</v>
      </c>
      <c r="X136" s="284">
        <v>0</v>
      </c>
      <c r="Y136" s="284">
        <v>0</v>
      </c>
      <c r="Z136" s="286">
        <f>(W136+X136+Y136)*V136</f>
        <v>62930</v>
      </c>
    </row>
    <row r="137" spans="1:26" ht="14.25" customHeight="1">
      <c r="A137" s="278"/>
      <c r="B137" s="281" t="s">
        <v>240</v>
      </c>
      <c r="C137" s="281" t="s">
        <v>6</v>
      </c>
      <c r="D137" s="281">
        <v>880</v>
      </c>
      <c r="E137" s="284">
        <v>10</v>
      </c>
      <c r="F137" s="284"/>
      <c r="G137" s="284"/>
      <c r="H137" s="286">
        <f t="shared" si="2"/>
        <v>8800</v>
      </c>
      <c r="J137" s="278"/>
      <c r="K137" s="281" t="s">
        <v>549</v>
      </c>
      <c r="L137" s="302" t="s">
        <v>6</v>
      </c>
      <c r="M137" s="281">
        <v>990</v>
      </c>
      <c r="N137" s="284">
        <v>31</v>
      </c>
      <c r="O137" s="284"/>
      <c r="P137" s="284"/>
      <c r="Q137" s="286">
        <f>(N137+O137+P137)*M137</f>
        <v>30690</v>
      </c>
      <c r="S137" s="278"/>
      <c r="T137" s="335" t="s">
        <v>550</v>
      </c>
      <c r="U137" s="284" t="s">
        <v>6</v>
      </c>
      <c r="V137" s="281">
        <v>786</v>
      </c>
      <c r="W137" s="284">
        <v>144</v>
      </c>
      <c r="X137" s="284">
        <v>0</v>
      </c>
      <c r="Y137" s="284">
        <v>0</v>
      </c>
      <c r="Z137" s="286">
        <f>(W137+X137+Y137)*V137</f>
        <v>113184</v>
      </c>
    </row>
    <row r="138" spans="1:26" ht="14.25" customHeight="1">
      <c r="A138" s="278"/>
      <c r="B138" s="307" t="s">
        <v>551</v>
      </c>
      <c r="C138" s="281" t="s">
        <v>6</v>
      </c>
      <c r="D138" s="290">
        <v>748</v>
      </c>
      <c r="E138" s="287">
        <v>384</v>
      </c>
      <c r="F138" s="136"/>
      <c r="G138" s="134"/>
      <c r="H138" s="286">
        <f t="shared" si="2"/>
        <v>287232</v>
      </c>
      <c r="J138" s="278"/>
      <c r="K138" s="281" t="s">
        <v>552</v>
      </c>
      <c r="L138" s="302" t="s">
        <v>6</v>
      </c>
      <c r="M138" s="281">
        <v>995</v>
      </c>
      <c r="N138" s="284">
        <v>44</v>
      </c>
      <c r="O138" s="284"/>
      <c r="P138" s="284"/>
      <c r="Q138" s="286">
        <f>(N138+O138+P138)*M138</f>
        <v>43780</v>
      </c>
      <c r="S138" s="278"/>
      <c r="T138" s="281" t="s">
        <v>519</v>
      </c>
      <c r="U138" s="284" t="s">
        <v>6</v>
      </c>
      <c r="V138" s="281">
        <v>605</v>
      </c>
      <c r="W138" s="284">
        <v>94</v>
      </c>
      <c r="X138" s="284">
        <v>0</v>
      </c>
      <c r="Y138" s="284">
        <v>0</v>
      </c>
      <c r="Z138" s="286">
        <f>(W138+X138+Y138)*V138</f>
        <v>56870</v>
      </c>
    </row>
    <row r="139" spans="1:26" ht="14.25" customHeight="1">
      <c r="A139" s="278"/>
      <c r="B139" s="281" t="s">
        <v>530</v>
      </c>
      <c r="C139" s="281" t="s">
        <v>6</v>
      </c>
      <c r="D139" s="293">
        <v>1045</v>
      </c>
      <c r="E139" s="287">
        <v>7</v>
      </c>
      <c r="F139" s="136"/>
      <c r="G139" s="134"/>
      <c r="H139" s="286">
        <f t="shared" si="2"/>
        <v>7315</v>
      </c>
      <c r="J139" s="278"/>
      <c r="K139" s="281" t="s">
        <v>553</v>
      </c>
      <c r="L139" s="302" t="s">
        <v>6</v>
      </c>
      <c r="M139" s="283">
        <v>1056</v>
      </c>
      <c r="N139" s="284">
        <v>27</v>
      </c>
      <c r="O139" s="284"/>
      <c r="P139" s="284"/>
      <c r="Q139" s="286">
        <f>(N139+O139+P139)*M139</f>
        <v>28512</v>
      </c>
      <c r="S139" s="278"/>
      <c r="T139" s="281" t="s">
        <v>520</v>
      </c>
      <c r="U139" s="284" t="s">
        <v>6</v>
      </c>
      <c r="V139" s="281">
        <v>847</v>
      </c>
      <c r="W139" s="284">
        <v>62</v>
      </c>
      <c r="X139" s="284">
        <v>0</v>
      </c>
      <c r="Y139" s="284">
        <v>0</v>
      </c>
      <c r="Z139" s="286">
        <f>(W139+X139+Y139)*V139</f>
        <v>52514</v>
      </c>
    </row>
    <row r="140" spans="1:26" ht="14.25" customHeight="1">
      <c r="A140" s="278"/>
      <c r="B140" s="281" t="s">
        <v>531</v>
      </c>
      <c r="C140" s="302" t="s">
        <v>6</v>
      </c>
      <c r="D140" s="281">
        <v>560</v>
      </c>
      <c r="E140" s="284">
        <v>160</v>
      </c>
      <c r="F140" s="284"/>
      <c r="G140" s="284"/>
      <c r="H140" s="286">
        <f t="shared" si="2"/>
        <v>89600</v>
      </c>
      <c r="J140" s="278"/>
      <c r="K140" s="281" t="s">
        <v>554</v>
      </c>
      <c r="L140" s="302" t="s">
        <v>6</v>
      </c>
      <c r="M140" s="281">
        <v>900</v>
      </c>
      <c r="N140" s="284">
        <v>14</v>
      </c>
      <c r="O140" s="284"/>
      <c r="P140" s="284"/>
      <c r="Q140" s="286">
        <f>(N140+O140+P140)*M140</f>
        <v>12600</v>
      </c>
      <c r="S140" s="278"/>
      <c r="T140" s="575" t="s">
        <v>522</v>
      </c>
      <c r="U140" s="284" t="s">
        <v>6</v>
      </c>
      <c r="V140" s="290">
        <v>605</v>
      </c>
      <c r="W140" s="287">
        <v>17</v>
      </c>
      <c r="X140" s="292">
        <v>0</v>
      </c>
      <c r="Y140" s="292">
        <v>0</v>
      </c>
      <c r="Z140" s="286">
        <f>(W140+X140+Y140)*V140</f>
        <v>10285</v>
      </c>
    </row>
    <row r="141" spans="1:26" ht="14.25" customHeight="1">
      <c r="A141" s="278"/>
      <c r="B141" s="281" t="s">
        <v>555</v>
      </c>
      <c r="C141" s="302" t="s">
        <v>6</v>
      </c>
      <c r="D141" s="290">
        <v>400</v>
      </c>
      <c r="E141" s="287"/>
      <c r="F141" s="136"/>
      <c r="G141" s="134">
        <v>3</v>
      </c>
      <c r="H141" s="286">
        <f t="shared" si="2"/>
        <v>1200</v>
      </c>
      <c r="J141" s="278"/>
      <c r="K141" s="281" t="s">
        <v>418</v>
      </c>
      <c r="L141" s="302" t="s">
        <v>6</v>
      </c>
      <c r="M141" s="281">
        <v>861</v>
      </c>
      <c r="N141" s="284">
        <v>25</v>
      </c>
      <c r="O141" s="284"/>
      <c r="P141" s="284"/>
      <c r="Q141" s="286">
        <f>(N141+O141+P141)*M141</f>
        <v>21525</v>
      </c>
      <c r="S141" s="278"/>
      <c r="T141" s="281" t="s">
        <v>524</v>
      </c>
      <c r="U141" s="284" t="s">
        <v>6</v>
      </c>
      <c r="V141" s="283">
        <v>1100</v>
      </c>
      <c r="W141" s="281">
        <v>30</v>
      </c>
      <c r="X141" s="284">
        <v>0</v>
      </c>
      <c r="Y141" s="485">
        <v>0</v>
      </c>
      <c r="Z141" s="286">
        <f>(W141+X141+Y141)*V141</f>
        <v>33000</v>
      </c>
    </row>
    <row r="142" spans="1:26" ht="14.25" customHeight="1">
      <c r="A142" s="278"/>
      <c r="B142" s="281" t="s">
        <v>252</v>
      </c>
      <c r="C142" s="302" t="s">
        <v>6</v>
      </c>
      <c r="D142" s="281">
        <v>957</v>
      </c>
      <c r="E142" s="284">
        <v>37</v>
      </c>
      <c r="F142" s="284"/>
      <c r="G142" s="284"/>
      <c r="H142" s="286">
        <f t="shared" si="2"/>
        <v>35409</v>
      </c>
      <c r="J142" s="278"/>
      <c r="K142" s="303" t="s">
        <v>556</v>
      </c>
      <c r="L142" s="302" t="s">
        <v>6</v>
      </c>
      <c r="M142" s="282">
        <v>880</v>
      </c>
      <c r="N142" s="281"/>
      <c r="O142" s="281"/>
      <c r="P142" s="281"/>
      <c r="Q142" s="286">
        <f>(N142+O142+P142)*M142</f>
        <v>0</v>
      </c>
      <c r="S142" s="278"/>
      <c r="T142" s="281" t="s">
        <v>526</v>
      </c>
      <c r="U142" s="284" t="s">
        <v>6</v>
      </c>
      <c r="V142" s="290">
        <v>308</v>
      </c>
      <c r="W142" s="289">
        <v>370</v>
      </c>
      <c r="X142" s="136">
        <v>0</v>
      </c>
      <c r="Y142" s="136">
        <v>0</v>
      </c>
      <c r="Z142" s="286">
        <f>(W142+X142+Y142)*V142</f>
        <v>113960</v>
      </c>
    </row>
    <row r="143" spans="1:26" ht="14.25" customHeight="1">
      <c r="A143" s="278"/>
      <c r="B143" s="281" t="s">
        <v>534</v>
      </c>
      <c r="C143" s="302" t="s">
        <v>6</v>
      </c>
      <c r="D143" s="281">
        <v>924</v>
      </c>
      <c r="E143" s="284">
        <v>45</v>
      </c>
      <c r="F143" s="284"/>
      <c r="G143" s="284"/>
      <c r="H143" s="286">
        <f t="shared" si="2"/>
        <v>41580</v>
      </c>
      <c r="J143" s="278"/>
      <c r="K143" s="282" t="s">
        <v>557</v>
      </c>
      <c r="L143" s="302" t="s">
        <v>6</v>
      </c>
      <c r="M143" s="290">
        <v>995</v>
      </c>
      <c r="N143" s="287">
        <v>115</v>
      </c>
      <c r="O143" s="136"/>
      <c r="P143" s="134"/>
      <c r="Q143" s="286">
        <f>(N143+O143+P143)*M143</f>
        <v>114425</v>
      </c>
      <c r="S143" s="278"/>
      <c r="T143" s="473" t="s">
        <v>528</v>
      </c>
      <c r="U143" s="284" t="s">
        <v>6</v>
      </c>
      <c r="V143" s="290">
        <v>114</v>
      </c>
      <c r="W143" s="287">
        <v>35</v>
      </c>
      <c r="X143" s="136">
        <v>0</v>
      </c>
      <c r="Y143" s="134">
        <v>0</v>
      </c>
      <c r="Z143" s="286">
        <f>(W143+X143+Y143)*V143</f>
        <v>3990</v>
      </c>
    </row>
    <row r="144" spans="1:26" ht="14.25" customHeight="1">
      <c r="A144" s="278"/>
      <c r="B144" s="282" t="s">
        <v>535</v>
      </c>
      <c r="C144" s="302" t="s">
        <v>6</v>
      </c>
      <c r="D144" s="281">
        <v>995</v>
      </c>
      <c r="E144" s="284">
        <v>261</v>
      </c>
      <c r="F144" s="284"/>
      <c r="G144" s="284"/>
      <c r="H144" s="286">
        <f t="shared" si="2"/>
        <v>259695</v>
      </c>
      <c r="J144" s="278"/>
      <c r="K144" s="281" t="s">
        <v>558</v>
      </c>
      <c r="L144" s="302" t="s">
        <v>6</v>
      </c>
      <c r="M144" s="290">
        <v>800</v>
      </c>
      <c r="N144" s="289"/>
      <c r="O144" s="136"/>
      <c r="P144" s="136"/>
      <c r="Q144" s="286">
        <f>(N144+O144+P144)*M144</f>
        <v>0</v>
      </c>
      <c r="S144" s="278"/>
      <c r="T144" s="281" t="s">
        <v>530</v>
      </c>
      <c r="U144" s="284" t="s">
        <v>6</v>
      </c>
      <c r="V144" s="293">
        <v>1045</v>
      </c>
      <c r="W144" s="289">
        <v>2</v>
      </c>
      <c r="X144" s="136">
        <v>0</v>
      </c>
      <c r="Y144" s="136">
        <v>0</v>
      </c>
      <c r="Z144" s="286">
        <f>(W144+X144+Y144)*V144</f>
        <v>2090</v>
      </c>
    </row>
    <row r="145" spans="1:26" ht="14.25" customHeight="1">
      <c r="A145" s="278"/>
      <c r="B145" s="282" t="s">
        <v>559</v>
      </c>
      <c r="C145" s="302" t="s">
        <v>6</v>
      </c>
      <c r="D145" s="290">
        <v>360</v>
      </c>
      <c r="E145" s="287">
        <v>20</v>
      </c>
      <c r="F145" s="292"/>
      <c r="G145" s="292"/>
      <c r="H145" s="286">
        <f t="shared" si="2"/>
        <v>7200</v>
      </c>
      <c r="J145" s="278"/>
      <c r="K145" s="311" t="s">
        <v>560</v>
      </c>
      <c r="L145" s="302" t="s">
        <v>6</v>
      </c>
      <c r="M145" s="290">
        <v>400</v>
      </c>
      <c r="N145" s="287">
        <v>60</v>
      </c>
      <c r="O145" s="136"/>
      <c r="P145" s="134"/>
      <c r="Q145" s="286">
        <f>(N145+O145+P145)*M145</f>
        <v>24000</v>
      </c>
      <c r="S145" s="278"/>
      <c r="T145" s="281" t="s">
        <v>252</v>
      </c>
      <c r="U145" s="302" t="s">
        <v>6</v>
      </c>
      <c r="V145" s="281">
        <v>957</v>
      </c>
      <c r="W145" s="284">
        <v>114</v>
      </c>
      <c r="X145" s="284">
        <v>0</v>
      </c>
      <c r="Y145" s="284">
        <v>0</v>
      </c>
      <c r="Z145" s="286">
        <f>(W145+X145+Y145)*V145</f>
        <v>109098</v>
      </c>
    </row>
    <row r="146" spans="1:26" ht="14.25" customHeight="1">
      <c r="A146" s="278"/>
      <c r="B146" s="281" t="s">
        <v>537</v>
      </c>
      <c r="C146" s="302" t="s">
        <v>6</v>
      </c>
      <c r="D146" s="281">
        <v>594</v>
      </c>
      <c r="E146" s="284">
        <v>114</v>
      </c>
      <c r="F146" s="284"/>
      <c r="G146" s="284"/>
      <c r="H146" s="286">
        <f t="shared" si="2"/>
        <v>67716</v>
      </c>
      <c r="J146" s="278"/>
      <c r="K146" s="281" t="s">
        <v>561</v>
      </c>
      <c r="L146" s="302" t="s">
        <v>6</v>
      </c>
      <c r="M146" s="281">
        <v>800</v>
      </c>
      <c r="N146" s="284">
        <v>69</v>
      </c>
      <c r="O146" s="284"/>
      <c r="P146" s="284"/>
      <c r="Q146" s="286">
        <f>(N146+O146+P146)*M146</f>
        <v>55200</v>
      </c>
      <c r="S146" s="278"/>
      <c r="T146" s="281" t="s">
        <v>532</v>
      </c>
      <c r="U146" s="302" t="s">
        <v>6</v>
      </c>
      <c r="V146" s="283">
        <v>1074</v>
      </c>
      <c r="W146" s="281">
        <v>0</v>
      </c>
      <c r="X146" s="284">
        <v>0</v>
      </c>
      <c r="Y146" s="485">
        <v>0</v>
      </c>
      <c r="Z146" s="286">
        <f>(W146+X146+Y146)*V146</f>
        <v>0</v>
      </c>
    </row>
    <row r="147" spans="1:26" ht="14.25" customHeight="1">
      <c r="A147" s="278"/>
      <c r="B147" s="281" t="s">
        <v>538</v>
      </c>
      <c r="C147" s="302" t="s">
        <v>6</v>
      </c>
      <c r="D147" s="281">
        <v>935</v>
      </c>
      <c r="E147" s="284">
        <v>274</v>
      </c>
      <c r="F147" s="284"/>
      <c r="G147" s="284"/>
      <c r="H147" s="286">
        <f t="shared" si="2"/>
        <v>256190</v>
      </c>
      <c r="J147" s="278"/>
      <c r="K147" s="281" t="s">
        <v>562</v>
      </c>
      <c r="L147" s="302" t="s">
        <v>6</v>
      </c>
      <c r="M147" s="281">
        <v>861</v>
      </c>
      <c r="N147" s="284">
        <v>17</v>
      </c>
      <c r="O147" s="284"/>
      <c r="P147" s="284"/>
      <c r="Q147" s="286">
        <f>(N147+O147+P147)*M147</f>
        <v>14637</v>
      </c>
      <c r="S147" s="278"/>
      <c r="T147" s="281" t="s">
        <v>534</v>
      </c>
      <c r="U147" s="302" t="s">
        <v>6</v>
      </c>
      <c r="V147" s="281">
        <v>924</v>
      </c>
      <c r="W147" s="284">
        <v>43</v>
      </c>
      <c r="X147" s="284">
        <v>0</v>
      </c>
      <c r="Y147" s="284">
        <v>0</v>
      </c>
      <c r="Z147" s="286">
        <f>(W147+X147+Y147)*V147</f>
        <v>39732</v>
      </c>
    </row>
    <row r="148" spans="1:26" ht="14.25" customHeight="1">
      <c r="A148" s="278"/>
      <c r="B148" s="307" t="s">
        <v>563</v>
      </c>
      <c r="C148" s="302" t="s">
        <v>6</v>
      </c>
      <c r="D148" s="290">
        <v>357</v>
      </c>
      <c r="E148" s="287">
        <v>61</v>
      </c>
      <c r="F148" s="136"/>
      <c r="G148" s="134"/>
      <c r="H148" s="286">
        <f t="shared" si="2"/>
        <v>21777</v>
      </c>
      <c r="J148" s="278"/>
      <c r="K148" s="281" t="s">
        <v>564</v>
      </c>
      <c r="L148" s="302" t="s">
        <v>6</v>
      </c>
      <c r="M148" s="290">
        <v>721</v>
      </c>
      <c r="N148" s="287"/>
      <c r="O148" s="136"/>
      <c r="P148" s="134"/>
      <c r="Q148" s="286">
        <f>(N148+O148+P148)*M148</f>
        <v>0</v>
      </c>
      <c r="S148" s="278"/>
      <c r="T148" s="282" t="s">
        <v>535</v>
      </c>
      <c r="U148" s="302" t="s">
        <v>6</v>
      </c>
      <c r="V148" s="281">
        <v>995</v>
      </c>
      <c r="W148" s="284">
        <v>92</v>
      </c>
      <c r="X148" s="284">
        <v>0</v>
      </c>
      <c r="Y148" s="284">
        <v>0</v>
      </c>
      <c r="Z148" s="286">
        <f>(W148+X148+Y148)*V148</f>
        <v>91540</v>
      </c>
    </row>
    <row r="149" spans="1:26" ht="14.25" customHeight="1">
      <c r="A149" s="278"/>
      <c r="B149" s="284" t="s">
        <v>539</v>
      </c>
      <c r="C149" s="302" t="s">
        <v>6</v>
      </c>
      <c r="D149" s="297">
        <v>645</v>
      </c>
      <c r="E149" s="284">
        <v>58</v>
      </c>
      <c r="F149" s="284"/>
      <c r="G149" s="284"/>
      <c r="H149" s="286">
        <f t="shared" si="2"/>
        <v>37410</v>
      </c>
      <c r="J149" s="278"/>
      <c r="K149" s="281" t="s">
        <v>565</v>
      </c>
      <c r="L149" s="302" t="s">
        <v>6</v>
      </c>
      <c r="M149" s="281">
        <v>528</v>
      </c>
      <c r="N149" s="284"/>
      <c r="O149" s="284"/>
      <c r="P149" s="284"/>
      <c r="Q149" s="286">
        <f>(N149+O149+P149)*M149</f>
        <v>0</v>
      </c>
      <c r="S149" s="278"/>
      <c r="T149" s="281" t="s">
        <v>537</v>
      </c>
      <c r="U149" s="302" t="s">
        <v>6</v>
      </c>
      <c r="V149" s="281">
        <v>594</v>
      </c>
      <c r="W149" s="284">
        <v>124</v>
      </c>
      <c r="X149" s="284">
        <v>0</v>
      </c>
      <c r="Y149" s="284">
        <v>0</v>
      </c>
      <c r="Z149" s="286">
        <f>(W149+X149+Y149)*V149</f>
        <v>73656</v>
      </c>
    </row>
    <row r="150" spans="1:26" ht="14.25" customHeight="1">
      <c r="A150" s="278"/>
      <c r="B150" s="281" t="s">
        <v>540</v>
      </c>
      <c r="C150" s="302" t="s">
        <v>6</v>
      </c>
      <c r="D150" s="281">
        <v>1050</v>
      </c>
      <c r="E150" s="284">
        <v>8</v>
      </c>
      <c r="F150" s="284"/>
      <c r="G150" s="284"/>
      <c r="H150" s="286">
        <f t="shared" si="2"/>
        <v>8400</v>
      </c>
      <c r="J150" s="278"/>
      <c r="K150" s="281" t="s">
        <v>566</v>
      </c>
      <c r="L150" s="302" t="s">
        <v>6</v>
      </c>
      <c r="M150" s="290">
        <v>200</v>
      </c>
      <c r="N150" s="289">
        <v>234</v>
      </c>
      <c r="O150" s="289"/>
      <c r="P150" s="289"/>
      <c r="Q150" s="286">
        <f>(N150+O150+P150)*M150</f>
        <v>46800</v>
      </c>
      <c r="S150" s="312"/>
      <c r="T150" s="281" t="s">
        <v>538</v>
      </c>
      <c r="U150" s="302" t="s">
        <v>6</v>
      </c>
      <c r="V150" s="281">
        <v>935</v>
      </c>
      <c r="W150" s="284">
        <v>270</v>
      </c>
      <c r="X150" s="284">
        <v>0</v>
      </c>
      <c r="Y150" s="284">
        <v>0</v>
      </c>
      <c r="Z150" s="286">
        <f>(W150+X150+Y150)*V150</f>
        <v>252450</v>
      </c>
    </row>
    <row r="151" spans="1:26" ht="14.25" customHeight="1">
      <c r="A151" s="278"/>
      <c r="B151" s="281" t="s">
        <v>542</v>
      </c>
      <c r="C151" s="302" t="s">
        <v>6</v>
      </c>
      <c r="D151" s="282">
        <v>465</v>
      </c>
      <c r="E151" s="284">
        <v>70</v>
      </c>
      <c r="F151" s="284"/>
      <c r="G151" s="284"/>
      <c r="H151" s="286">
        <f t="shared" si="2"/>
        <v>32550</v>
      </c>
      <c r="J151" s="278"/>
      <c r="K151" s="281" t="s">
        <v>567</v>
      </c>
      <c r="L151" s="302" t="s">
        <v>6</v>
      </c>
      <c r="M151" s="290">
        <v>36</v>
      </c>
      <c r="N151" s="289">
        <v>131</v>
      </c>
      <c r="O151" s="289"/>
      <c r="P151" s="289"/>
      <c r="Q151" s="286">
        <f>(N151+O151+P151)*M151</f>
        <v>4716</v>
      </c>
      <c r="S151" s="278"/>
      <c r="T151" s="284" t="s">
        <v>539</v>
      </c>
      <c r="U151" s="302" t="s">
        <v>6</v>
      </c>
      <c r="V151" s="297">
        <v>645</v>
      </c>
      <c r="W151" s="284">
        <v>48</v>
      </c>
      <c r="X151" s="284">
        <v>0</v>
      </c>
      <c r="Y151" s="284">
        <v>0</v>
      </c>
      <c r="Z151" s="286">
        <f>(W151+X151+Y151)*V151</f>
        <v>30960</v>
      </c>
    </row>
    <row r="152" spans="1:26" ht="14.25" customHeight="1">
      <c r="A152" s="278"/>
      <c r="B152" s="281" t="s">
        <v>543</v>
      </c>
      <c r="C152" s="302" t="s">
        <v>6</v>
      </c>
      <c r="D152" s="281">
        <v>1100</v>
      </c>
      <c r="E152" s="284">
        <v>30</v>
      </c>
      <c r="F152" s="284"/>
      <c r="G152" s="284"/>
      <c r="H152" s="286">
        <f t="shared" si="2"/>
        <v>33000</v>
      </c>
      <c r="J152" s="312"/>
      <c r="K152" s="281" t="s">
        <v>568</v>
      </c>
      <c r="L152" s="302" t="s">
        <v>6</v>
      </c>
      <c r="M152" s="290">
        <v>100</v>
      </c>
      <c r="N152" s="298"/>
      <c r="O152" s="305"/>
      <c r="P152" s="305"/>
      <c r="Q152" s="286">
        <f>(N152+O152+P152)*M152</f>
        <v>0</v>
      </c>
      <c r="S152" s="278"/>
      <c r="T152" s="303" t="s">
        <v>540</v>
      </c>
      <c r="U152" s="302" t="s">
        <v>6</v>
      </c>
      <c r="V152" s="281">
        <v>1050</v>
      </c>
      <c r="W152" s="284">
        <v>9</v>
      </c>
      <c r="X152" s="284">
        <v>0</v>
      </c>
      <c r="Y152" s="284">
        <v>0</v>
      </c>
      <c r="Z152" s="286">
        <f>(W152+X152+Y152)*V152</f>
        <v>9450</v>
      </c>
    </row>
    <row r="153" spans="1:26" ht="14.25" customHeight="1">
      <c r="A153" s="278"/>
      <c r="B153" s="281" t="s">
        <v>544</v>
      </c>
      <c r="C153" s="302" t="s">
        <v>6</v>
      </c>
      <c r="D153" s="281">
        <v>1100</v>
      </c>
      <c r="E153" s="284">
        <v>37</v>
      </c>
      <c r="F153" s="284"/>
      <c r="G153" s="284"/>
      <c r="H153" s="286">
        <f t="shared" si="2"/>
        <v>40700</v>
      </c>
      <c r="J153" s="278"/>
      <c r="K153" s="284" t="s">
        <v>569</v>
      </c>
      <c r="L153" s="302" t="s">
        <v>6</v>
      </c>
      <c r="M153" s="297">
        <v>225</v>
      </c>
      <c r="N153" s="284">
        <v>4</v>
      </c>
      <c r="O153" s="284"/>
      <c r="P153" s="284"/>
      <c r="Q153" s="286">
        <f>(N153+O153+P153)*M153</f>
        <v>900</v>
      </c>
      <c r="S153" s="278"/>
      <c r="T153" s="281" t="s">
        <v>542</v>
      </c>
      <c r="U153" s="302" t="s">
        <v>6</v>
      </c>
      <c r="V153" s="282">
        <v>465</v>
      </c>
      <c r="W153" s="284">
        <v>79</v>
      </c>
      <c r="X153" s="284">
        <v>0</v>
      </c>
      <c r="Y153" s="284">
        <v>0</v>
      </c>
      <c r="Z153" s="286">
        <f>(W153+X153+Y153)*V153</f>
        <v>36735</v>
      </c>
    </row>
    <row r="154" spans="1:26" ht="14.25" customHeight="1">
      <c r="A154" s="278"/>
      <c r="B154" s="282" t="s">
        <v>338</v>
      </c>
      <c r="C154" s="302" t="s">
        <v>6</v>
      </c>
      <c r="D154" s="281">
        <v>398</v>
      </c>
      <c r="E154" s="297">
        <v>61</v>
      </c>
      <c r="F154" s="284"/>
      <c r="G154" s="284"/>
      <c r="H154" s="286">
        <f t="shared" si="2"/>
        <v>24278</v>
      </c>
      <c r="J154" s="278"/>
      <c r="K154" s="303" t="s">
        <v>570</v>
      </c>
      <c r="L154" s="302" t="s">
        <v>6</v>
      </c>
      <c r="M154" s="287">
        <v>709</v>
      </c>
      <c r="N154" s="289">
        <v>2</v>
      </c>
      <c r="O154" s="136"/>
      <c r="P154" s="136"/>
      <c r="Q154" s="286">
        <f>(N154+O154+P154)*M154</f>
        <v>1418</v>
      </c>
      <c r="S154" s="278"/>
      <c r="T154" s="281" t="s">
        <v>543</v>
      </c>
      <c r="U154" s="302" t="s">
        <v>6</v>
      </c>
      <c r="V154" s="281">
        <v>1100</v>
      </c>
      <c r="W154" s="284">
        <v>14</v>
      </c>
      <c r="X154" s="284">
        <v>0</v>
      </c>
      <c r="Y154" s="284">
        <v>0</v>
      </c>
      <c r="Z154" s="286">
        <f>(W154+X154+Y154)*V154</f>
        <v>15400</v>
      </c>
    </row>
    <row r="155" spans="1:26" ht="14.25" customHeight="1">
      <c r="A155" s="278"/>
      <c r="B155" s="281" t="s">
        <v>545</v>
      </c>
      <c r="C155" s="302" t="s">
        <v>6</v>
      </c>
      <c r="D155" s="281">
        <v>780</v>
      </c>
      <c r="E155" s="284">
        <v>1</v>
      </c>
      <c r="F155" s="284"/>
      <c r="G155" s="284"/>
      <c r="H155" s="286">
        <f t="shared" si="2"/>
        <v>780</v>
      </c>
      <c r="J155" s="278"/>
      <c r="K155" s="281" t="s">
        <v>571</v>
      </c>
      <c r="L155" s="302" t="s">
        <v>6</v>
      </c>
      <c r="M155" s="282">
        <v>495</v>
      </c>
      <c r="N155" s="284"/>
      <c r="O155" s="284"/>
      <c r="P155" s="284"/>
      <c r="Q155" s="286">
        <f>(N155+O155+P155)*M155</f>
        <v>0</v>
      </c>
      <c r="S155" s="278"/>
      <c r="T155" s="281" t="s">
        <v>544</v>
      </c>
      <c r="U155" s="302" t="s">
        <v>6</v>
      </c>
      <c r="V155" s="281">
        <v>1100</v>
      </c>
      <c r="W155" s="281">
        <v>10</v>
      </c>
      <c r="X155" s="284">
        <v>0</v>
      </c>
      <c r="Y155" s="485">
        <v>0</v>
      </c>
      <c r="Z155" s="286">
        <f>(W155+X155+Y155)*V155</f>
        <v>11000</v>
      </c>
    </row>
    <row r="156" spans="1:26" ht="14.25" customHeight="1">
      <c r="A156" s="278"/>
      <c r="B156" s="281" t="s">
        <v>572</v>
      </c>
      <c r="C156" s="302" t="s">
        <v>6</v>
      </c>
      <c r="D156" s="281">
        <v>704</v>
      </c>
      <c r="E156" s="284">
        <v>3</v>
      </c>
      <c r="F156" s="284"/>
      <c r="G156" s="284"/>
      <c r="H156" s="286">
        <f t="shared" si="2"/>
        <v>2112</v>
      </c>
      <c r="J156" s="278"/>
      <c r="K156" s="281" t="s">
        <v>573</v>
      </c>
      <c r="L156" s="302" t="s">
        <v>6</v>
      </c>
      <c r="M156" s="283">
        <v>3000</v>
      </c>
      <c r="N156" s="284"/>
      <c r="O156" s="284"/>
      <c r="P156" s="284"/>
      <c r="Q156" s="286">
        <f>(N156+O156+P156)*M156</f>
        <v>0</v>
      </c>
      <c r="S156" s="278"/>
      <c r="T156" s="281" t="s">
        <v>547</v>
      </c>
      <c r="U156" s="302" t="s">
        <v>6</v>
      </c>
      <c r="V156" s="281">
        <v>880</v>
      </c>
      <c r="W156" s="284">
        <v>20</v>
      </c>
      <c r="X156" s="284">
        <v>0</v>
      </c>
      <c r="Y156" s="284">
        <v>0</v>
      </c>
      <c r="Z156" s="286">
        <f>(W156+X156+Y156)*V156</f>
        <v>17600</v>
      </c>
    </row>
    <row r="157" spans="1:26" ht="14.25" customHeight="1">
      <c r="A157" s="278"/>
      <c r="B157" s="281" t="s">
        <v>547</v>
      </c>
      <c r="C157" s="302" t="s">
        <v>6</v>
      </c>
      <c r="D157" s="281">
        <v>880</v>
      </c>
      <c r="E157" s="284">
        <v>30</v>
      </c>
      <c r="F157" s="284"/>
      <c r="G157" s="284"/>
      <c r="H157" s="286">
        <f t="shared" si="2"/>
        <v>26400</v>
      </c>
      <c r="J157" s="278"/>
      <c r="K157" s="281" t="s">
        <v>574</v>
      </c>
      <c r="L157" s="302" t="s">
        <v>6</v>
      </c>
      <c r="M157" s="290">
        <v>660</v>
      </c>
      <c r="N157" s="287">
        <v>9</v>
      </c>
      <c r="O157" s="136"/>
      <c r="P157" s="134"/>
      <c r="Q157" s="286">
        <f>(N157+O157+P157)*M157</f>
        <v>5940</v>
      </c>
      <c r="S157" s="278"/>
      <c r="T157" s="281" t="s">
        <v>549</v>
      </c>
      <c r="U157" s="302" t="s">
        <v>6</v>
      </c>
      <c r="V157" s="281">
        <v>990</v>
      </c>
      <c r="W157" s="281">
        <v>86</v>
      </c>
      <c r="X157" s="281">
        <v>0</v>
      </c>
      <c r="Y157" s="281">
        <v>0</v>
      </c>
      <c r="Z157" s="286">
        <f>(W157+X157+Y157)*V157</f>
        <v>85140</v>
      </c>
    </row>
    <row r="158" spans="1:26" ht="14.25" customHeight="1">
      <c r="A158" s="278"/>
      <c r="B158" s="281" t="s">
        <v>549</v>
      </c>
      <c r="C158" s="302" t="s">
        <v>6</v>
      </c>
      <c r="D158" s="281">
        <v>990</v>
      </c>
      <c r="E158" s="284"/>
      <c r="F158" s="284"/>
      <c r="G158" s="284"/>
      <c r="H158" s="286">
        <f t="shared" si="2"/>
        <v>0</v>
      </c>
      <c r="J158" s="278"/>
      <c r="K158" s="281" t="s">
        <v>575</v>
      </c>
      <c r="L158" s="302" t="s">
        <v>6</v>
      </c>
      <c r="M158" s="281">
        <v>434</v>
      </c>
      <c r="N158" s="284"/>
      <c r="O158" s="284"/>
      <c r="P158" s="284"/>
      <c r="Q158" s="286">
        <f>(N158+O158+P158)*M158</f>
        <v>0</v>
      </c>
      <c r="S158" s="278"/>
      <c r="T158" s="281" t="s">
        <v>552</v>
      </c>
      <c r="U158" s="302" t="s">
        <v>6</v>
      </c>
      <c r="V158" s="281">
        <v>995</v>
      </c>
      <c r="W158" s="281">
        <v>24</v>
      </c>
      <c r="X158" s="281">
        <v>0</v>
      </c>
      <c r="Y158" s="281">
        <v>3</v>
      </c>
      <c r="Z158" s="286">
        <f>(W158+X158+Y158)*V158</f>
        <v>26865</v>
      </c>
    </row>
    <row r="159" spans="1:26" ht="14.25" customHeight="1">
      <c r="A159" s="278"/>
      <c r="B159" s="281" t="s">
        <v>552</v>
      </c>
      <c r="C159" s="302" t="s">
        <v>6</v>
      </c>
      <c r="D159" s="281">
        <v>995</v>
      </c>
      <c r="E159" s="284">
        <v>48</v>
      </c>
      <c r="F159" s="284"/>
      <c r="G159" s="284"/>
      <c r="H159" s="286">
        <f t="shared" si="2"/>
        <v>47760</v>
      </c>
      <c r="J159" s="278"/>
      <c r="K159" s="281" t="s">
        <v>576</v>
      </c>
      <c r="L159" s="302" t="s">
        <v>6</v>
      </c>
      <c r="M159" s="281">
        <v>669</v>
      </c>
      <c r="N159" s="284"/>
      <c r="O159" s="284"/>
      <c r="P159" s="284"/>
      <c r="Q159" s="286">
        <f>(N159+O159+P159)*M159</f>
        <v>0</v>
      </c>
      <c r="S159" s="278"/>
      <c r="T159" s="281" t="s">
        <v>553</v>
      </c>
      <c r="U159" s="185" t="s">
        <v>6</v>
      </c>
      <c r="V159" s="283">
        <v>1056</v>
      </c>
      <c r="W159" s="281">
        <v>6</v>
      </c>
      <c r="X159" s="284">
        <v>0</v>
      </c>
      <c r="Y159" s="485">
        <v>0</v>
      </c>
      <c r="Z159" s="286">
        <f>(W159+X159+Y159)*V159</f>
        <v>6336</v>
      </c>
    </row>
    <row r="160" spans="1:26" ht="14.25" customHeight="1">
      <c r="A160" s="278"/>
      <c r="B160" s="282" t="s">
        <v>577</v>
      </c>
      <c r="C160" s="302" t="s">
        <v>6</v>
      </c>
      <c r="D160" s="290">
        <v>825</v>
      </c>
      <c r="E160" s="290">
        <v>13</v>
      </c>
      <c r="F160" s="292"/>
      <c r="G160" s="292"/>
      <c r="H160" s="286">
        <f t="shared" si="2"/>
        <v>10725</v>
      </c>
      <c r="J160" s="278"/>
      <c r="K160" s="281" t="s">
        <v>288</v>
      </c>
      <c r="L160" s="302" t="s">
        <v>6</v>
      </c>
      <c r="M160" s="290">
        <v>352</v>
      </c>
      <c r="N160" s="287">
        <v>16</v>
      </c>
      <c r="O160" s="292"/>
      <c r="P160" s="292"/>
      <c r="Q160" s="286">
        <f>(N160+O160+P160)*M160</f>
        <v>5632</v>
      </c>
      <c r="S160" s="278"/>
      <c r="T160" s="281" t="s">
        <v>578</v>
      </c>
      <c r="U160" s="302" t="s">
        <v>6</v>
      </c>
      <c r="V160" s="281">
        <v>900</v>
      </c>
      <c r="W160" s="284">
        <v>8</v>
      </c>
      <c r="X160" s="284">
        <v>0</v>
      </c>
      <c r="Y160" s="284">
        <v>0</v>
      </c>
      <c r="Z160" s="286">
        <f>(W160+X160+Y160)*V160</f>
        <v>7200</v>
      </c>
    </row>
    <row r="161" spans="1:26" ht="14.25" customHeight="1">
      <c r="A161" s="308"/>
      <c r="B161" s="299" t="s">
        <v>579</v>
      </c>
      <c r="C161" s="302" t="s">
        <v>6</v>
      </c>
      <c r="D161" s="309">
        <v>1200</v>
      </c>
      <c r="E161" s="310">
        <v>40</v>
      </c>
      <c r="F161" s="284"/>
      <c r="G161" s="284">
        <v>27</v>
      </c>
      <c r="H161" s="286">
        <f t="shared" si="2"/>
        <v>80400</v>
      </c>
      <c r="J161" s="278"/>
      <c r="K161" s="281" t="s">
        <v>291</v>
      </c>
      <c r="L161" s="302" t="s">
        <v>6</v>
      </c>
      <c r="M161" s="290">
        <v>495</v>
      </c>
      <c r="N161" s="290"/>
      <c r="O161" s="292"/>
      <c r="P161" s="292"/>
      <c r="Q161" s="286">
        <f>(N161+O161+P161)*M161</f>
        <v>0</v>
      </c>
      <c r="S161" s="278"/>
      <c r="T161" s="281" t="s">
        <v>556</v>
      </c>
      <c r="U161" s="302" t="s">
        <v>6</v>
      </c>
      <c r="V161" s="282">
        <v>880</v>
      </c>
      <c r="W161" s="284">
        <v>0</v>
      </c>
      <c r="X161" s="284">
        <v>0</v>
      </c>
      <c r="Y161" s="284">
        <v>0</v>
      </c>
      <c r="Z161" s="286">
        <f>(W161+X161+Y161)*V161</f>
        <v>0</v>
      </c>
    </row>
    <row r="162" spans="1:26" ht="14.25" customHeight="1">
      <c r="A162" s="278"/>
      <c r="B162" s="281" t="s">
        <v>553</v>
      </c>
      <c r="C162" s="302" t="s">
        <v>6</v>
      </c>
      <c r="D162" s="283">
        <v>1056</v>
      </c>
      <c r="E162" s="284">
        <v>27</v>
      </c>
      <c r="F162" s="284"/>
      <c r="G162" s="284"/>
      <c r="H162" s="286">
        <f t="shared" si="2"/>
        <v>28512</v>
      </c>
      <c r="J162" s="278"/>
      <c r="K162" s="281" t="s">
        <v>344</v>
      </c>
      <c r="L162" s="302" t="s">
        <v>6</v>
      </c>
      <c r="M162" s="293">
        <v>1100</v>
      </c>
      <c r="N162" s="287"/>
      <c r="O162" s="136"/>
      <c r="P162" s="134"/>
      <c r="Q162" s="286">
        <f>(N162+O162+P162)*M162</f>
        <v>0</v>
      </c>
      <c r="S162" s="278"/>
      <c r="T162" s="282" t="s">
        <v>557</v>
      </c>
      <c r="U162" s="302" t="s">
        <v>6</v>
      </c>
      <c r="V162" s="290">
        <v>995</v>
      </c>
      <c r="W162" s="289">
        <v>92</v>
      </c>
      <c r="X162" s="136">
        <v>0</v>
      </c>
      <c r="Y162" s="136">
        <v>0</v>
      </c>
      <c r="Z162" s="286">
        <f>(W162+X162+Y162)*V162</f>
        <v>91540</v>
      </c>
    </row>
    <row r="163" spans="1:26" ht="14.25" customHeight="1">
      <c r="A163" s="278"/>
      <c r="B163" s="281" t="s">
        <v>554</v>
      </c>
      <c r="C163" s="302" t="s">
        <v>6</v>
      </c>
      <c r="D163" s="281">
        <v>900</v>
      </c>
      <c r="E163" s="284">
        <v>5</v>
      </c>
      <c r="F163" s="284"/>
      <c r="G163" s="284"/>
      <c r="H163" s="286">
        <f t="shared" si="2"/>
        <v>4500</v>
      </c>
      <c r="J163" s="278"/>
      <c r="K163" s="281" t="s">
        <v>350</v>
      </c>
      <c r="L163" s="302" t="s">
        <v>6</v>
      </c>
      <c r="M163" s="281">
        <v>121</v>
      </c>
      <c r="N163" s="284">
        <v>177</v>
      </c>
      <c r="O163" s="284"/>
      <c r="P163" s="284"/>
      <c r="Q163" s="286">
        <f>(N163+O163+P163)*M163</f>
        <v>21417</v>
      </c>
      <c r="S163" s="278"/>
      <c r="T163" s="281" t="s">
        <v>558</v>
      </c>
      <c r="U163" s="302" t="s">
        <v>6</v>
      </c>
      <c r="V163" s="290">
        <v>800</v>
      </c>
      <c r="W163" s="287">
        <v>6</v>
      </c>
      <c r="X163" s="136">
        <v>0</v>
      </c>
      <c r="Y163" s="134">
        <v>0</v>
      </c>
      <c r="Z163" s="286">
        <f>(W163+X163+Y163)*V163</f>
        <v>4800</v>
      </c>
    </row>
    <row r="164" spans="1:26" ht="14.25" customHeight="1">
      <c r="A164" s="278"/>
      <c r="B164" s="281" t="s">
        <v>580</v>
      </c>
      <c r="C164" s="302" t="s">
        <v>6</v>
      </c>
      <c r="D164" s="281">
        <v>800</v>
      </c>
      <c r="E164" s="284">
        <v>275</v>
      </c>
      <c r="F164" s="284"/>
      <c r="G164" s="284"/>
      <c r="H164" s="286">
        <f t="shared" si="2"/>
        <v>220000</v>
      </c>
      <c r="J164" s="278"/>
      <c r="K164" s="281" t="s">
        <v>365</v>
      </c>
      <c r="L164" s="302" t="s">
        <v>6</v>
      </c>
      <c r="M164" s="290">
        <v>605</v>
      </c>
      <c r="N164" s="289"/>
      <c r="O164" s="136"/>
      <c r="P164" s="136"/>
      <c r="Q164" s="286">
        <f>(N164+O164+P164)*M164</f>
        <v>0</v>
      </c>
      <c r="S164" s="278"/>
      <c r="T164" s="281" t="s">
        <v>561</v>
      </c>
      <c r="U164" s="302" t="s">
        <v>6</v>
      </c>
      <c r="V164" s="281">
        <v>800</v>
      </c>
      <c r="W164" s="281">
        <v>60</v>
      </c>
      <c r="X164" s="284">
        <v>0</v>
      </c>
      <c r="Y164" s="485">
        <v>0</v>
      </c>
      <c r="Z164" s="286">
        <f>(W164+X164+Y164)*V164</f>
        <v>48000</v>
      </c>
    </row>
    <row r="165" spans="1:26" ht="14.25" customHeight="1">
      <c r="A165" s="278"/>
      <c r="B165" s="281" t="s">
        <v>418</v>
      </c>
      <c r="C165" s="302" t="s">
        <v>6</v>
      </c>
      <c r="D165" s="281">
        <v>861</v>
      </c>
      <c r="E165" s="284">
        <v>19</v>
      </c>
      <c r="F165" s="284"/>
      <c r="G165" s="284"/>
      <c r="H165" s="286">
        <f t="shared" si="2"/>
        <v>16359</v>
      </c>
      <c r="J165" s="278"/>
      <c r="K165" s="281" t="s">
        <v>382</v>
      </c>
      <c r="L165" s="302" t="s">
        <v>6</v>
      </c>
      <c r="M165" s="281">
        <v>792</v>
      </c>
      <c r="N165" s="284">
        <v>43</v>
      </c>
      <c r="O165" s="284"/>
      <c r="P165" s="284"/>
      <c r="Q165" s="286">
        <f>(N165+O165+P165)*M165</f>
        <v>34056</v>
      </c>
      <c r="S165" s="278"/>
      <c r="T165" s="281" t="s">
        <v>562</v>
      </c>
      <c r="U165" s="302" t="s">
        <v>6</v>
      </c>
      <c r="V165" s="281">
        <v>861</v>
      </c>
      <c r="W165" s="284">
        <v>38</v>
      </c>
      <c r="X165" s="284">
        <v>0</v>
      </c>
      <c r="Y165" s="284">
        <v>0</v>
      </c>
      <c r="Z165" s="286">
        <f>(W165+X165+Y165)*V165</f>
        <v>32718</v>
      </c>
    </row>
    <row r="166" spans="1:26" ht="14.25" customHeight="1">
      <c r="A166" s="278"/>
      <c r="B166" s="281" t="s">
        <v>581</v>
      </c>
      <c r="C166" s="302" t="s">
        <v>6</v>
      </c>
      <c r="D166" s="281">
        <v>616</v>
      </c>
      <c r="E166" s="284">
        <v>136</v>
      </c>
      <c r="F166" s="284"/>
      <c r="G166" s="284">
        <v>9</v>
      </c>
      <c r="H166" s="286">
        <f t="shared" si="2"/>
        <v>89320</v>
      </c>
      <c r="J166" s="278"/>
      <c r="K166" s="281" t="s">
        <v>389</v>
      </c>
      <c r="L166" s="302" t="s">
        <v>6</v>
      </c>
      <c r="M166" s="290">
        <v>620</v>
      </c>
      <c r="N166" s="287"/>
      <c r="O166" s="136"/>
      <c r="P166" s="134"/>
      <c r="Q166" s="286">
        <f>(N166+O166+P166)*M166</f>
        <v>0</v>
      </c>
      <c r="S166" s="278"/>
      <c r="T166" s="281" t="s">
        <v>564</v>
      </c>
      <c r="U166" s="302" t="s">
        <v>6</v>
      </c>
      <c r="V166" s="290">
        <v>721</v>
      </c>
      <c r="W166" s="287">
        <v>1</v>
      </c>
      <c r="X166" s="136">
        <v>0</v>
      </c>
      <c r="Y166" s="134">
        <v>0</v>
      </c>
      <c r="Z166" s="286">
        <f>(W166+X166+Y166)*V166</f>
        <v>721</v>
      </c>
    </row>
    <row r="167" spans="1:26" ht="14.25" customHeight="1">
      <c r="A167" s="278"/>
      <c r="B167" s="281" t="s">
        <v>582</v>
      </c>
      <c r="C167" s="302" t="s">
        <v>6</v>
      </c>
      <c r="D167" s="281">
        <v>616</v>
      </c>
      <c r="E167" s="284">
        <v>195</v>
      </c>
      <c r="F167" s="284"/>
      <c r="G167" s="284"/>
      <c r="H167" s="286">
        <f t="shared" si="2"/>
        <v>120120</v>
      </c>
      <c r="J167" s="278"/>
      <c r="K167" s="281" t="s">
        <v>341</v>
      </c>
      <c r="L167" s="302" t="s">
        <v>6</v>
      </c>
      <c r="M167" s="281">
        <v>286</v>
      </c>
      <c r="N167" s="284"/>
      <c r="O167" s="284"/>
      <c r="P167" s="284"/>
      <c r="Q167" s="286">
        <f>(N167+O167+P167)*M167</f>
        <v>0</v>
      </c>
      <c r="S167" s="278"/>
      <c r="T167" s="281" t="s">
        <v>565</v>
      </c>
      <c r="U167" s="302" t="s">
        <v>6</v>
      </c>
      <c r="V167" s="281">
        <v>528</v>
      </c>
      <c r="W167" s="284">
        <v>0</v>
      </c>
      <c r="X167" s="284">
        <v>0</v>
      </c>
      <c r="Y167" s="284">
        <v>0</v>
      </c>
      <c r="Z167" s="286">
        <f>(W167+X167+Y167)*V167</f>
        <v>0</v>
      </c>
    </row>
    <row r="168" spans="1:26" ht="14.25" customHeight="1">
      <c r="A168" s="278"/>
      <c r="B168" s="303" t="s">
        <v>556</v>
      </c>
      <c r="C168" s="302" t="s">
        <v>6</v>
      </c>
      <c r="D168" s="282">
        <v>880</v>
      </c>
      <c r="E168" s="281">
        <v>39</v>
      </c>
      <c r="F168" s="281"/>
      <c r="G168" s="281"/>
      <c r="H168" s="286">
        <f t="shared" si="2"/>
        <v>34320</v>
      </c>
      <c r="J168" s="278"/>
      <c r="K168" s="281" t="s">
        <v>406</v>
      </c>
      <c r="L168" s="302" t="s">
        <v>6</v>
      </c>
      <c r="M168" s="290">
        <v>165</v>
      </c>
      <c r="N168" s="287">
        <v>10</v>
      </c>
      <c r="O168" s="136"/>
      <c r="P168" s="134"/>
      <c r="Q168" s="286">
        <f>(N168+O168+P168)*M168</f>
        <v>1650</v>
      </c>
      <c r="S168" s="278"/>
      <c r="T168" s="281" t="s">
        <v>566</v>
      </c>
      <c r="U168" s="302" t="s">
        <v>6</v>
      </c>
      <c r="V168" s="290">
        <v>200</v>
      </c>
      <c r="W168" s="287">
        <v>234</v>
      </c>
      <c r="X168" s="486">
        <v>0</v>
      </c>
      <c r="Y168" s="486">
        <v>0</v>
      </c>
      <c r="Z168" s="286">
        <f>(W168+X168+Y168)*V168</f>
        <v>46800</v>
      </c>
    </row>
    <row r="169" spans="1:26" ht="14.25" customHeight="1">
      <c r="A169" s="278"/>
      <c r="B169" s="282" t="s">
        <v>557</v>
      </c>
      <c r="C169" s="302" t="s">
        <v>6</v>
      </c>
      <c r="D169" s="290">
        <v>995</v>
      </c>
      <c r="E169" s="287">
        <v>162</v>
      </c>
      <c r="F169" s="136"/>
      <c r="G169" s="134"/>
      <c r="H169" s="286">
        <f t="shared" si="2"/>
        <v>161190</v>
      </c>
      <c r="J169" s="278"/>
      <c r="K169" s="281" t="s">
        <v>490</v>
      </c>
      <c r="L169" s="302" t="s">
        <v>6</v>
      </c>
      <c r="M169" s="281">
        <v>792</v>
      </c>
      <c r="N169" s="284"/>
      <c r="O169" s="284"/>
      <c r="P169" s="284"/>
      <c r="Q169" s="286">
        <f>(N169+O169+P169)*M169</f>
        <v>0</v>
      </c>
      <c r="S169" s="278"/>
      <c r="T169" s="281" t="s">
        <v>567</v>
      </c>
      <c r="U169" s="302" t="s">
        <v>6</v>
      </c>
      <c r="V169" s="290">
        <v>36</v>
      </c>
      <c r="W169" s="289">
        <v>131</v>
      </c>
      <c r="X169" s="289">
        <v>0</v>
      </c>
      <c r="Y169" s="289">
        <v>0</v>
      </c>
      <c r="Z169" s="286">
        <f>(W169+X169+Y169)*V169</f>
        <v>4716</v>
      </c>
    </row>
    <row r="170" spans="1:26" ht="14.25" customHeight="1">
      <c r="A170" s="278"/>
      <c r="B170" s="281" t="s">
        <v>558</v>
      </c>
      <c r="C170" s="302" t="s">
        <v>6</v>
      </c>
      <c r="D170" s="290">
        <v>800</v>
      </c>
      <c r="E170" s="289">
        <v>70</v>
      </c>
      <c r="F170" s="136"/>
      <c r="G170" s="136">
        <v>15</v>
      </c>
      <c r="H170" s="286">
        <f t="shared" si="2"/>
        <v>68000</v>
      </c>
      <c r="J170" s="278"/>
      <c r="K170" s="281" t="s">
        <v>583</v>
      </c>
      <c r="L170" s="302" t="s">
        <v>6</v>
      </c>
      <c r="M170" s="290">
        <v>300</v>
      </c>
      <c r="N170" s="287"/>
      <c r="O170" s="136"/>
      <c r="P170" s="134"/>
      <c r="Q170" s="286">
        <f>(N170+O170+P170)*M170</f>
        <v>0</v>
      </c>
      <c r="S170" s="278"/>
      <c r="T170" s="303" t="s">
        <v>568</v>
      </c>
      <c r="U170" s="302" t="s">
        <v>6</v>
      </c>
      <c r="V170" s="290">
        <v>100</v>
      </c>
      <c r="W170" s="298">
        <v>0</v>
      </c>
      <c r="X170" s="305">
        <v>0</v>
      </c>
      <c r="Y170" s="305">
        <v>0</v>
      </c>
      <c r="Z170" s="286">
        <f>(W170+X170+Y170)*V170</f>
        <v>0</v>
      </c>
    </row>
    <row r="171" spans="1:26" ht="14.25" customHeight="1">
      <c r="A171" s="278"/>
      <c r="B171" s="281" t="s">
        <v>420</v>
      </c>
      <c r="C171" s="302" t="s">
        <v>6</v>
      </c>
      <c r="D171" s="281">
        <v>660</v>
      </c>
      <c r="E171" s="284">
        <v>390</v>
      </c>
      <c r="F171" s="284"/>
      <c r="G171" s="284"/>
      <c r="H171" s="286">
        <f t="shared" si="2"/>
        <v>257400</v>
      </c>
      <c r="J171" s="278"/>
      <c r="K171" s="281" t="s">
        <v>480</v>
      </c>
      <c r="L171" s="302" t="s">
        <v>6</v>
      </c>
      <c r="M171" s="283">
        <v>1082</v>
      </c>
      <c r="N171" s="284"/>
      <c r="O171" s="284"/>
      <c r="P171" s="284"/>
      <c r="Q171" s="286">
        <f>(N171+O171+P171)*M171</f>
        <v>0</v>
      </c>
      <c r="S171" s="278"/>
      <c r="T171" s="284" t="s">
        <v>569</v>
      </c>
      <c r="U171" s="302" t="s">
        <v>6</v>
      </c>
      <c r="V171" s="297">
        <v>225</v>
      </c>
      <c r="W171" s="284">
        <v>2</v>
      </c>
      <c r="X171" s="284">
        <v>0</v>
      </c>
      <c r="Y171" s="284">
        <v>0</v>
      </c>
      <c r="Z171" s="286">
        <f>(W171+X171+Y171)*V171</f>
        <v>450</v>
      </c>
    </row>
    <row r="172" spans="1:26" ht="14.25" customHeight="1">
      <c r="A172" s="278"/>
      <c r="B172" s="281" t="s">
        <v>561</v>
      </c>
      <c r="C172" s="302" t="s">
        <v>6</v>
      </c>
      <c r="D172" s="281">
        <v>800</v>
      </c>
      <c r="E172" s="284">
        <v>69</v>
      </c>
      <c r="F172" s="284"/>
      <c r="G172" s="284"/>
      <c r="H172" s="286">
        <f t="shared" si="2"/>
        <v>55200</v>
      </c>
      <c r="J172" s="278"/>
      <c r="K172" s="281" t="s">
        <v>424</v>
      </c>
      <c r="L172" s="302" t="s">
        <v>6</v>
      </c>
      <c r="M172" s="290">
        <v>75</v>
      </c>
      <c r="N172" s="287">
        <v>54</v>
      </c>
      <c r="O172" s="134"/>
      <c r="P172" s="134"/>
      <c r="Q172" s="286">
        <f>(N172+O172+P172)*M172</f>
        <v>4050</v>
      </c>
      <c r="S172" s="278"/>
      <c r="T172" s="281" t="s">
        <v>291</v>
      </c>
      <c r="U172" s="302" t="s">
        <v>6</v>
      </c>
      <c r="V172" s="290">
        <v>495</v>
      </c>
      <c r="W172" s="298">
        <v>122</v>
      </c>
      <c r="X172" s="136">
        <v>0</v>
      </c>
      <c r="Y172" s="136">
        <v>0</v>
      </c>
      <c r="Z172" s="286">
        <f>(W172+X172+Y172)*V172</f>
        <v>60390</v>
      </c>
    </row>
    <row r="173" spans="1:26" ht="14.25" customHeight="1">
      <c r="A173" s="278"/>
      <c r="B173" s="281" t="s">
        <v>562</v>
      </c>
      <c r="C173" s="302" t="s">
        <v>6</v>
      </c>
      <c r="D173" s="281">
        <v>861</v>
      </c>
      <c r="E173" s="284"/>
      <c r="F173" s="284"/>
      <c r="G173" s="284"/>
      <c r="H173" s="286">
        <f t="shared" si="2"/>
        <v>0</v>
      </c>
      <c r="J173" s="278"/>
      <c r="K173" s="281" t="s">
        <v>466</v>
      </c>
      <c r="L173" s="302" t="s">
        <v>6</v>
      </c>
      <c r="M173" s="283">
        <v>1100</v>
      </c>
      <c r="N173" s="284">
        <v>295</v>
      </c>
      <c r="O173" s="284"/>
      <c r="P173" s="284"/>
      <c r="Q173" s="286">
        <f>(N173+O173+P173)*M173</f>
        <v>324500</v>
      </c>
      <c r="S173" s="278"/>
      <c r="T173" s="281" t="s">
        <v>350</v>
      </c>
      <c r="U173" s="302" t="s">
        <v>6</v>
      </c>
      <c r="V173" s="281">
        <v>121</v>
      </c>
      <c r="W173" s="284">
        <v>0</v>
      </c>
      <c r="X173" s="284">
        <v>115</v>
      </c>
      <c r="Y173" s="284">
        <v>0</v>
      </c>
      <c r="Z173" s="286">
        <f>(W173+X173+Y173)*V173</f>
        <v>13915</v>
      </c>
    </row>
    <row r="174" spans="1:26" ht="14.25" customHeight="1">
      <c r="A174" s="278"/>
      <c r="B174" s="281" t="s">
        <v>564</v>
      </c>
      <c r="C174" s="302" t="s">
        <v>6</v>
      </c>
      <c r="D174" s="290">
        <v>721</v>
      </c>
      <c r="E174" s="287">
        <v>8</v>
      </c>
      <c r="F174" s="136"/>
      <c r="G174" s="134"/>
      <c r="H174" s="286">
        <f t="shared" ref="H174:H208" si="3">(E174+F174+G174)*D174</f>
        <v>5768</v>
      </c>
      <c r="J174" s="278"/>
      <c r="K174" s="303" t="s">
        <v>472</v>
      </c>
      <c r="L174" s="302" t="s">
        <v>6</v>
      </c>
      <c r="M174" s="281">
        <v>880</v>
      </c>
      <c r="N174" s="284"/>
      <c r="O174" s="284"/>
      <c r="P174" s="284"/>
      <c r="Q174" s="286">
        <f>(N174+O174+P174)*M174</f>
        <v>0</v>
      </c>
      <c r="S174" s="278"/>
      <c r="T174" s="299" t="s">
        <v>382</v>
      </c>
      <c r="U174" s="302" t="s">
        <v>6</v>
      </c>
      <c r="V174" s="284">
        <v>792</v>
      </c>
      <c r="W174" s="284">
        <v>7</v>
      </c>
      <c r="X174" s="284">
        <v>0</v>
      </c>
      <c r="Y174" s="284">
        <v>0</v>
      </c>
      <c r="Z174" s="286">
        <f>(W174+X174+Y174)*V174</f>
        <v>5544</v>
      </c>
    </row>
    <row r="175" spans="1:26" ht="14.25" customHeight="1">
      <c r="A175" s="278"/>
      <c r="B175" s="281" t="s">
        <v>565</v>
      </c>
      <c r="C175" s="302" t="s">
        <v>6</v>
      </c>
      <c r="D175" s="281">
        <v>528</v>
      </c>
      <c r="E175" s="284"/>
      <c r="F175" s="284"/>
      <c r="G175" s="284"/>
      <c r="H175" s="286">
        <f t="shared" si="3"/>
        <v>0</v>
      </c>
      <c r="J175" s="278"/>
      <c r="K175" s="284" t="s">
        <v>463</v>
      </c>
      <c r="L175" s="302" t="s">
        <v>6</v>
      </c>
      <c r="M175" s="297">
        <v>198</v>
      </c>
      <c r="N175" s="284">
        <v>86</v>
      </c>
      <c r="O175" s="284"/>
      <c r="P175" s="284"/>
      <c r="Q175" s="286">
        <f>(N175+O175+P175)*M175</f>
        <v>17028</v>
      </c>
      <c r="S175" s="137"/>
      <c r="T175" s="281" t="s">
        <v>389</v>
      </c>
      <c r="U175" s="302" t="s">
        <v>6</v>
      </c>
      <c r="V175" s="290">
        <v>620</v>
      </c>
      <c r="W175" s="289">
        <v>0</v>
      </c>
      <c r="X175" s="136">
        <v>0</v>
      </c>
      <c r="Y175" s="136">
        <v>0</v>
      </c>
      <c r="Z175" s="286">
        <f>(W175+X175+Y175)*V175</f>
        <v>0</v>
      </c>
    </row>
    <row r="176" spans="1:26" ht="14.25" customHeight="1">
      <c r="A176" s="278"/>
      <c r="B176" s="281" t="s">
        <v>566</v>
      </c>
      <c r="C176" s="302" t="s">
        <v>6</v>
      </c>
      <c r="D176" s="290">
        <v>200</v>
      </c>
      <c r="E176" s="289">
        <v>229</v>
      </c>
      <c r="F176" s="289"/>
      <c r="G176" s="289"/>
      <c r="H176" s="286">
        <f t="shared" si="3"/>
        <v>45800</v>
      </c>
      <c r="J176" s="278"/>
      <c r="K176" s="296" t="s">
        <v>431</v>
      </c>
      <c r="L176" s="302" t="s">
        <v>6</v>
      </c>
      <c r="M176" s="290">
        <v>120</v>
      </c>
      <c r="N176" s="289">
        <v>27</v>
      </c>
      <c r="O176" s="136"/>
      <c r="P176" s="136"/>
      <c r="Q176" s="286">
        <f>(N176+O176+P176)*M176</f>
        <v>3240</v>
      </c>
      <c r="S176" s="278"/>
      <c r="T176" s="281" t="s">
        <v>490</v>
      </c>
      <c r="U176" s="302" t="s">
        <v>6</v>
      </c>
      <c r="V176" s="281">
        <v>792</v>
      </c>
      <c r="W176" s="284">
        <v>181</v>
      </c>
      <c r="X176" s="284">
        <v>0</v>
      </c>
      <c r="Y176" s="284">
        <v>0</v>
      </c>
      <c r="Z176" s="286">
        <f>(W176+X176+Y176)*V176</f>
        <v>143352</v>
      </c>
    </row>
    <row r="177" spans="1:26" ht="14.25" customHeight="1">
      <c r="A177" s="278"/>
      <c r="B177" s="281" t="s">
        <v>567</v>
      </c>
      <c r="C177" s="302" t="s">
        <v>6</v>
      </c>
      <c r="D177" s="290">
        <v>36</v>
      </c>
      <c r="E177" s="289">
        <v>130</v>
      </c>
      <c r="F177" s="289"/>
      <c r="G177" s="289"/>
      <c r="H177" s="286">
        <f t="shared" si="3"/>
        <v>4680</v>
      </c>
      <c r="J177" s="278"/>
      <c r="K177" s="297" t="s">
        <v>435</v>
      </c>
      <c r="L177" s="302" t="s">
        <v>6</v>
      </c>
      <c r="M177" s="298">
        <v>360</v>
      </c>
      <c r="N177" s="289">
        <v>23</v>
      </c>
      <c r="O177" s="136"/>
      <c r="P177" s="136"/>
      <c r="Q177" s="286">
        <f>(N177+O177+P177)*M177</f>
        <v>8280</v>
      </c>
      <c r="S177" s="278"/>
      <c r="T177" s="281" t="s">
        <v>583</v>
      </c>
      <c r="U177" s="302" t="s">
        <v>6</v>
      </c>
      <c r="V177" s="290">
        <v>300</v>
      </c>
      <c r="W177" s="287">
        <v>0</v>
      </c>
      <c r="X177" s="292">
        <v>0</v>
      </c>
      <c r="Y177" s="292">
        <v>0</v>
      </c>
      <c r="Z177" s="286">
        <f>(W177+X177+Y177)*V177</f>
        <v>0</v>
      </c>
    </row>
    <row r="178" spans="1:26" ht="14.25" customHeight="1">
      <c r="A178" s="278"/>
      <c r="B178" s="281" t="s">
        <v>568</v>
      </c>
      <c r="C178" s="302" t="s">
        <v>6</v>
      </c>
      <c r="D178" s="290">
        <v>100</v>
      </c>
      <c r="E178" s="298"/>
      <c r="F178" s="305"/>
      <c r="G178" s="305"/>
      <c r="H178" s="286">
        <f t="shared" si="3"/>
        <v>0</v>
      </c>
      <c r="J178" s="278"/>
      <c r="K178" s="282" t="s">
        <v>584</v>
      </c>
      <c r="L178" s="302" t="s">
        <v>6</v>
      </c>
      <c r="M178" s="293">
        <v>1000</v>
      </c>
      <c r="N178" s="289"/>
      <c r="O178" s="136"/>
      <c r="P178" s="136"/>
      <c r="Q178" s="286">
        <f>(N178+O178+P178)*M178</f>
        <v>0</v>
      </c>
      <c r="S178" s="278"/>
      <c r="T178" s="281" t="s">
        <v>480</v>
      </c>
      <c r="U178" s="302" t="s">
        <v>6</v>
      </c>
      <c r="V178" s="283">
        <v>1082</v>
      </c>
      <c r="W178" s="284">
        <v>0</v>
      </c>
      <c r="X178" s="284">
        <v>0</v>
      </c>
      <c r="Y178" s="284">
        <v>0</v>
      </c>
      <c r="Z178" s="286">
        <f>(W178+X178+Y178)*V178</f>
        <v>0</v>
      </c>
    </row>
    <row r="179" spans="1:26" ht="14.25" customHeight="1">
      <c r="A179" s="312"/>
      <c r="B179" s="284" t="s">
        <v>569</v>
      </c>
      <c r="C179" s="302" t="s">
        <v>6</v>
      </c>
      <c r="D179" s="297">
        <v>225</v>
      </c>
      <c r="E179" s="284">
        <v>4</v>
      </c>
      <c r="F179" s="284"/>
      <c r="G179" s="284"/>
      <c r="H179" s="286">
        <f t="shared" si="3"/>
        <v>900</v>
      </c>
      <c r="J179" s="278"/>
      <c r="K179" s="303" t="s">
        <v>493</v>
      </c>
      <c r="L179" s="302" t="s">
        <v>6</v>
      </c>
      <c r="M179" s="293">
        <v>1100</v>
      </c>
      <c r="N179" s="287">
        <v>28</v>
      </c>
      <c r="O179" s="136"/>
      <c r="P179" s="134"/>
      <c r="Q179" s="286">
        <f>(N179+O179+P179)*M179</f>
        <v>30800</v>
      </c>
      <c r="S179" s="278"/>
      <c r="T179" s="291" t="s">
        <v>424</v>
      </c>
      <c r="U179" s="302" t="s">
        <v>6</v>
      </c>
      <c r="V179" s="290">
        <v>75</v>
      </c>
      <c r="W179" s="289">
        <v>54</v>
      </c>
      <c r="X179" s="136">
        <v>0</v>
      </c>
      <c r="Y179" s="136">
        <v>0</v>
      </c>
      <c r="Z179" s="286">
        <f>(W179+X179+Y179)*V179</f>
        <v>4050</v>
      </c>
    </row>
    <row r="180" spans="1:26" ht="14.25" customHeight="1">
      <c r="A180" s="278"/>
      <c r="B180" s="303" t="s">
        <v>570</v>
      </c>
      <c r="C180" s="302" t="s">
        <v>6</v>
      </c>
      <c r="D180" s="287">
        <v>709</v>
      </c>
      <c r="E180" s="289"/>
      <c r="F180" s="136"/>
      <c r="G180" s="136"/>
      <c r="H180" s="286">
        <f t="shared" si="3"/>
        <v>0</v>
      </c>
      <c r="J180" s="137"/>
      <c r="K180" s="281" t="s">
        <v>495</v>
      </c>
      <c r="L180" s="302" t="s">
        <v>6</v>
      </c>
      <c r="M180" s="281">
        <v>935</v>
      </c>
      <c r="N180" s="284">
        <v>20</v>
      </c>
      <c r="O180" s="284"/>
      <c r="P180" s="284"/>
      <c r="Q180" s="286">
        <f>(N180+O180+P180)*M180</f>
        <v>18700</v>
      </c>
      <c r="S180" s="278"/>
      <c r="T180" s="281" t="s">
        <v>466</v>
      </c>
      <c r="U180" s="302" t="s">
        <v>6</v>
      </c>
      <c r="V180" s="283">
        <v>1100</v>
      </c>
      <c r="W180" s="284">
        <v>305</v>
      </c>
      <c r="X180" s="284">
        <v>0</v>
      </c>
      <c r="Y180" s="284">
        <v>0</v>
      </c>
      <c r="Z180" s="286">
        <f>(W180+X180+Y180)*V180</f>
        <v>335500</v>
      </c>
    </row>
    <row r="181" spans="1:26" ht="14.25" customHeight="1">
      <c r="A181" s="278"/>
      <c r="B181" s="281" t="s">
        <v>571</v>
      </c>
      <c r="C181" s="302" t="s">
        <v>6</v>
      </c>
      <c r="D181" s="282">
        <v>495</v>
      </c>
      <c r="E181" s="284"/>
      <c r="F181" s="284"/>
      <c r="G181" s="284"/>
      <c r="H181" s="286">
        <f t="shared" si="3"/>
        <v>0</v>
      </c>
      <c r="J181" s="278"/>
      <c r="K181" s="12" t="s">
        <v>585</v>
      </c>
      <c r="L181" s="302" t="s">
        <v>6</v>
      </c>
      <c r="M181" s="46">
        <v>340</v>
      </c>
      <c r="N181" s="135">
        <v>13</v>
      </c>
      <c r="O181" s="136"/>
      <c r="P181" s="134"/>
      <c r="Q181" s="286">
        <f>(N181+O181+P181)*M181</f>
        <v>4420</v>
      </c>
      <c r="S181" s="278"/>
      <c r="T181" s="282" t="s">
        <v>584</v>
      </c>
      <c r="U181" s="302" t="s">
        <v>6</v>
      </c>
      <c r="V181" s="293">
        <v>1000</v>
      </c>
      <c r="W181" s="289">
        <v>3</v>
      </c>
      <c r="X181" s="136">
        <v>0</v>
      </c>
      <c r="Y181" s="136">
        <v>0</v>
      </c>
      <c r="Z181" s="286">
        <f>(W181+X181+Y181)*V181</f>
        <v>3000</v>
      </c>
    </row>
    <row r="182" spans="1:26" ht="14.25" customHeight="1">
      <c r="A182" s="278"/>
      <c r="B182" s="281" t="s">
        <v>332</v>
      </c>
      <c r="C182" s="302" t="s">
        <v>6</v>
      </c>
      <c r="D182" s="281">
        <v>687</v>
      </c>
      <c r="E182" s="284">
        <v>166</v>
      </c>
      <c r="F182" s="284"/>
      <c r="G182" s="284"/>
      <c r="H182" s="286">
        <f t="shared" si="3"/>
        <v>114042</v>
      </c>
      <c r="J182" s="278"/>
      <c r="K182" s="299" t="s">
        <v>442</v>
      </c>
      <c r="L182" s="302" t="s">
        <v>6</v>
      </c>
      <c r="M182" s="284">
        <v>750</v>
      </c>
      <c r="N182" s="284"/>
      <c r="O182" s="284"/>
      <c r="P182" s="284"/>
      <c r="Q182" s="286">
        <f>(N182+O182+P182)*M182</f>
        <v>0</v>
      </c>
      <c r="S182" s="278"/>
      <c r="T182" s="281" t="s">
        <v>493</v>
      </c>
      <c r="U182" s="302" t="s">
        <v>6</v>
      </c>
      <c r="V182" s="293">
        <v>1100</v>
      </c>
      <c r="W182" s="289">
        <v>26</v>
      </c>
      <c r="X182" s="136">
        <v>0</v>
      </c>
      <c r="Y182" s="136">
        <v>0</v>
      </c>
      <c r="Z182" s="286">
        <f>(W182+X182+Y182)*V182</f>
        <v>28600</v>
      </c>
    </row>
    <row r="183" spans="1:26" ht="14.25" customHeight="1">
      <c r="A183" s="278"/>
      <c r="B183" s="281" t="s">
        <v>573</v>
      </c>
      <c r="C183" s="302" t="s">
        <v>6</v>
      </c>
      <c r="D183" s="283">
        <v>3000</v>
      </c>
      <c r="E183" s="284"/>
      <c r="F183" s="284"/>
      <c r="G183" s="284"/>
      <c r="H183" s="286">
        <f t="shared" si="3"/>
        <v>0</v>
      </c>
      <c r="J183" s="278"/>
      <c r="K183" s="281" t="s">
        <v>444</v>
      </c>
      <c r="L183" s="302" t="s">
        <v>7</v>
      </c>
      <c r="M183" s="281">
        <v>902</v>
      </c>
      <c r="N183" s="284"/>
      <c r="O183" s="284">
        <v>30</v>
      </c>
      <c r="P183" s="284"/>
      <c r="Q183" s="286">
        <f>(N183+O183+P183)*M183</f>
        <v>27060</v>
      </c>
      <c r="S183" s="278"/>
      <c r="T183" s="281" t="s">
        <v>495</v>
      </c>
      <c r="U183" s="302" t="s">
        <v>6</v>
      </c>
      <c r="V183" s="281">
        <v>935</v>
      </c>
      <c r="W183" s="284">
        <v>170</v>
      </c>
      <c r="X183" s="284">
        <v>0</v>
      </c>
      <c r="Y183" s="284">
        <v>0</v>
      </c>
      <c r="Z183" s="286">
        <f>(W183+X183+Y183)*V183</f>
        <v>158950</v>
      </c>
    </row>
    <row r="184" spans="1:26" ht="14.25" customHeight="1">
      <c r="A184" s="278"/>
      <c r="B184" s="281" t="s">
        <v>574</v>
      </c>
      <c r="C184" s="302" t="s">
        <v>6</v>
      </c>
      <c r="D184" s="290">
        <v>660</v>
      </c>
      <c r="E184" s="287">
        <v>19</v>
      </c>
      <c r="F184" s="136"/>
      <c r="G184" s="134"/>
      <c r="H184" s="286">
        <f t="shared" si="3"/>
        <v>12540</v>
      </c>
      <c r="J184" s="278"/>
      <c r="K184" s="281" t="s">
        <v>446</v>
      </c>
      <c r="L184" s="302" t="s">
        <v>7</v>
      </c>
      <c r="M184" s="290">
        <v>715</v>
      </c>
      <c r="N184" s="287">
        <v>10</v>
      </c>
      <c r="O184" s="136">
        <v>1</v>
      </c>
      <c r="P184" s="134"/>
      <c r="Q184" s="286">
        <f>(N184+O184+P184)*M184</f>
        <v>7865</v>
      </c>
      <c r="S184" s="278"/>
      <c r="T184" s="574" t="s">
        <v>585</v>
      </c>
      <c r="U184" s="302" t="s">
        <v>6</v>
      </c>
      <c r="V184" s="46">
        <v>340</v>
      </c>
      <c r="W184" s="183">
        <v>12</v>
      </c>
      <c r="X184" s="136">
        <v>0</v>
      </c>
      <c r="Y184" s="136">
        <v>0</v>
      </c>
      <c r="Z184" s="286">
        <f>(W184+X184+Y184)*V184</f>
        <v>4080</v>
      </c>
    </row>
    <row r="185" spans="1:26" ht="14.25" customHeight="1">
      <c r="A185" s="278"/>
      <c r="B185" s="281" t="s">
        <v>575</v>
      </c>
      <c r="C185" s="302" t="s">
        <v>6</v>
      </c>
      <c r="D185" s="281">
        <v>434</v>
      </c>
      <c r="E185" s="284">
        <v>18</v>
      </c>
      <c r="F185" s="284"/>
      <c r="G185" s="284"/>
      <c r="H185" s="286">
        <f t="shared" si="3"/>
        <v>7812</v>
      </c>
      <c r="J185" s="278"/>
      <c r="K185" s="281" t="s">
        <v>449</v>
      </c>
      <c r="L185" s="302" t="s">
        <v>7</v>
      </c>
      <c r="M185" s="281">
        <v>781</v>
      </c>
      <c r="N185" s="284">
        <v>20</v>
      </c>
      <c r="O185" s="284"/>
      <c r="P185" s="284"/>
      <c r="Q185" s="286">
        <f>(N185+O185+P185)*M185</f>
        <v>15620</v>
      </c>
      <c r="S185" s="278"/>
      <c r="T185" s="281" t="s">
        <v>444</v>
      </c>
      <c r="U185" s="302" t="s">
        <v>6</v>
      </c>
      <c r="V185" s="281">
        <v>902</v>
      </c>
      <c r="W185" s="284">
        <v>21</v>
      </c>
      <c r="X185" s="284">
        <v>0</v>
      </c>
      <c r="Y185" s="284">
        <v>0</v>
      </c>
      <c r="Z185" s="286">
        <f>(W185+X185+Y185)*V185</f>
        <v>18942</v>
      </c>
    </row>
    <row r="186" spans="1:26" ht="14.25" customHeight="1">
      <c r="A186" s="278"/>
      <c r="B186" s="281" t="s">
        <v>576</v>
      </c>
      <c r="C186" s="302" t="s">
        <v>6</v>
      </c>
      <c r="D186" s="281">
        <v>669</v>
      </c>
      <c r="E186" s="284">
        <v>20</v>
      </c>
      <c r="F186" s="284"/>
      <c r="G186" s="284"/>
      <c r="H186" s="286">
        <f t="shared" si="3"/>
        <v>13380</v>
      </c>
      <c r="J186" s="278"/>
      <c r="K186" s="301" t="s">
        <v>586</v>
      </c>
      <c r="L186" s="302" t="s">
        <v>7</v>
      </c>
      <c r="M186" s="313">
        <v>1050</v>
      </c>
      <c r="N186" s="289"/>
      <c r="O186" s="136">
        <v>87</v>
      </c>
      <c r="P186" s="136"/>
      <c r="Q186" s="286">
        <f>(N186+O186+P186)*M186</f>
        <v>91350</v>
      </c>
      <c r="S186" s="278"/>
      <c r="T186" s="281" t="s">
        <v>587</v>
      </c>
      <c r="U186" s="336" t="s">
        <v>6</v>
      </c>
      <c r="V186" s="281">
        <v>902</v>
      </c>
      <c r="W186" s="284">
        <v>45</v>
      </c>
      <c r="X186" s="284">
        <v>0</v>
      </c>
      <c r="Y186" s="284">
        <v>0</v>
      </c>
      <c r="Z186" s="286">
        <f>(W186+X186+Y186)*V186</f>
        <v>40590</v>
      </c>
    </row>
    <row r="187" spans="1:26" ht="14.25" customHeight="1">
      <c r="A187" s="278"/>
      <c r="B187" s="301" t="s">
        <v>586</v>
      </c>
      <c r="C187" s="302" t="s">
        <v>7</v>
      </c>
      <c r="D187" s="313">
        <v>1050</v>
      </c>
      <c r="E187" s="289"/>
      <c r="F187" s="136">
        <v>96</v>
      </c>
      <c r="G187" s="136"/>
      <c r="H187" s="286">
        <f t="shared" si="3"/>
        <v>100800</v>
      </c>
      <c r="J187" s="278"/>
      <c r="K187" s="281" t="s">
        <v>588</v>
      </c>
      <c r="L187" s="302" t="s">
        <v>7</v>
      </c>
      <c r="M187" s="283">
        <v>1100</v>
      </c>
      <c r="N187" s="284"/>
      <c r="O187" s="284">
        <v>1</v>
      </c>
      <c r="P187" s="284"/>
      <c r="Q187" s="286">
        <f>(N187+O187+P187)*M187</f>
        <v>1100</v>
      </c>
      <c r="S187" s="278"/>
      <c r="T187" s="490" t="s">
        <v>589</v>
      </c>
      <c r="U187" s="480" t="s">
        <v>6</v>
      </c>
      <c r="V187" s="42">
        <v>500</v>
      </c>
      <c r="W187" s="42">
        <v>0</v>
      </c>
      <c r="X187" s="480">
        <v>0</v>
      </c>
      <c r="Y187" s="487">
        <v>0</v>
      </c>
      <c r="Z187" s="286">
        <f>(W187+X187+Y187)*V187</f>
        <v>0</v>
      </c>
    </row>
    <row r="188" spans="1:26" ht="14.25" customHeight="1">
      <c r="A188" s="278"/>
      <c r="B188" s="281" t="s">
        <v>590</v>
      </c>
      <c r="C188" s="302" t="s">
        <v>7</v>
      </c>
      <c r="D188" s="281">
        <v>668</v>
      </c>
      <c r="E188" s="284"/>
      <c r="F188" s="284">
        <v>14</v>
      </c>
      <c r="G188" s="284"/>
      <c r="H188" s="286">
        <f t="shared" si="3"/>
        <v>9352</v>
      </c>
      <c r="J188" s="278"/>
      <c r="K188" s="281" t="s">
        <v>590</v>
      </c>
      <c r="L188" s="302" t="s">
        <v>7</v>
      </c>
      <c r="M188" s="281">
        <v>668</v>
      </c>
      <c r="N188" s="284"/>
      <c r="O188" s="284">
        <v>12</v>
      </c>
      <c r="P188" s="284"/>
      <c r="Q188" s="286">
        <f>(N188+O188+P188)*M188</f>
        <v>8016</v>
      </c>
      <c r="S188" s="278"/>
      <c r="T188" s="42" t="s">
        <v>591</v>
      </c>
      <c r="U188" s="492" t="s">
        <v>6</v>
      </c>
      <c r="V188" s="42">
        <v>100</v>
      </c>
      <c r="W188" s="42">
        <v>90</v>
      </c>
      <c r="X188" s="480">
        <v>0</v>
      </c>
      <c r="Y188" s="487">
        <v>47</v>
      </c>
      <c r="Z188" s="286">
        <f>(W188+X188+Y188)*V188</f>
        <v>13700</v>
      </c>
    </row>
    <row r="189" spans="1:26" ht="14.25" customHeight="1">
      <c r="A189" s="278"/>
      <c r="B189" s="281" t="s">
        <v>499</v>
      </c>
      <c r="C189" s="302" t="s">
        <v>7</v>
      </c>
      <c r="D189" s="293">
        <v>1050</v>
      </c>
      <c r="E189" s="292"/>
      <c r="F189" s="292">
        <v>5</v>
      </c>
      <c r="G189" s="285"/>
      <c r="H189" s="286">
        <f t="shared" si="3"/>
        <v>5250</v>
      </c>
      <c r="J189" s="278"/>
      <c r="K189" s="281" t="s">
        <v>499</v>
      </c>
      <c r="L189" s="302" t="s">
        <v>7</v>
      </c>
      <c r="M189" s="293">
        <v>1050</v>
      </c>
      <c r="N189" s="292"/>
      <c r="O189" s="292">
        <v>13</v>
      </c>
      <c r="P189" s="285"/>
      <c r="Q189" s="286">
        <f>(N189+O189+P189)*M189</f>
        <v>13650</v>
      </c>
      <c r="S189" s="278"/>
      <c r="T189" s="490" t="s">
        <v>592</v>
      </c>
      <c r="U189" s="480" t="s">
        <v>6</v>
      </c>
      <c r="V189" s="42">
        <v>104</v>
      </c>
      <c r="W189" s="480">
        <v>300</v>
      </c>
      <c r="X189" s="480">
        <v>0</v>
      </c>
      <c r="Y189" s="480">
        <v>0</v>
      </c>
      <c r="Z189" s="286">
        <f>(W189+X189+Y189)*V189</f>
        <v>31200</v>
      </c>
    </row>
    <row r="190" spans="1:26" ht="14.25" customHeight="1">
      <c r="A190" s="278"/>
      <c r="B190" s="281" t="s">
        <v>593</v>
      </c>
      <c r="C190" s="302" t="s">
        <v>7</v>
      </c>
      <c r="D190" s="293">
        <v>1050</v>
      </c>
      <c r="E190" s="289"/>
      <c r="F190" s="136">
        <v>21</v>
      </c>
      <c r="G190" s="136"/>
      <c r="H190" s="286">
        <f t="shared" si="3"/>
        <v>22050</v>
      </c>
      <c r="J190" s="278"/>
      <c r="K190" s="281" t="s">
        <v>501</v>
      </c>
      <c r="L190" s="302" t="s">
        <v>7</v>
      </c>
      <c r="M190" s="283">
        <v>1100</v>
      </c>
      <c r="N190" s="284"/>
      <c r="O190" s="284">
        <v>6</v>
      </c>
      <c r="P190" s="284"/>
      <c r="Q190" s="286">
        <f>(N190+O190+P190)*M190</f>
        <v>6600</v>
      </c>
      <c r="S190" s="278"/>
      <c r="T190" s="490" t="s">
        <v>594</v>
      </c>
      <c r="U190" s="42" t="s">
        <v>6</v>
      </c>
      <c r="V190" s="42">
        <v>800</v>
      </c>
      <c r="W190" s="480">
        <v>96</v>
      </c>
      <c r="X190" s="480">
        <v>0</v>
      </c>
      <c r="Y190" s="480">
        <v>0</v>
      </c>
      <c r="Z190" s="286">
        <f>(W190+X190+Y190)*V190</f>
        <v>76800</v>
      </c>
    </row>
    <row r="191" spans="1:26" ht="14.25" customHeight="1">
      <c r="A191" s="278"/>
      <c r="B191" s="303" t="s">
        <v>595</v>
      </c>
      <c r="C191" s="302" t="s">
        <v>7</v>
      </c>
      <c r="D191" s="281">
        <v>902</v>
      </c>
      <c r="E191" s="281"/>
      <c r="F191" s="281">
        <v>105</v>
      </c>
      <c r="G191" s="281"/>
      <c r="H191" s="286">
        <f t="shared" si="3"/>
        <v>94710</v>
      </c>
      <c r="J191" s="278"/>
      <c r="K191" s="291" t="s">
        <v>596</v>
      </c>
      <c r="L191" s="302" t="s">
        <v>7</v>
      </c>
      <c r="M191" s="282">
        <v>1100</v>
      </c>
      <c r="N191" s="284"/>
      <c r="O191" s="284">
        <v>18</v>
      </c>
      <c r="P191" s="284"/>
      <c r="Q191" s="286">
        <f>(N191+O191+P191)*M191</f>
        <v>19800</v>
      </c>
      <c r="S191" s="278"/>
      <c r="T191" s="42" t="s">
        <v>597</v>
      </c>
      <c r="U191" s="42" t="s">
        <v>6</v>
      </c>
      <c r="V191" s="42">
        <v>530</v>
      </c>
      <c r="W191" s="480">
        <v>74</v>
      </c>
      <c r="X191" s="480">
        <v>0</v>
      </c>
      <c r="Y191" s="480">
        <v>11</v>
      </c>
      <c r="Z191" s="286">
        <f>(W191+X191+Y191)*V191</f>
        <v>45050</v>
      </c>
    </row>
    <row r="192" spans="1:26" ht="14.25" customHeight="1">
      <c r="A192" s="278"/>
      <c r="B192" s="287" t="s">
        <v>598</v>
      </c>
      <c r="C192" s="302" t="s">
        <v>7</v>
      </c>
      <c r="D192" s="287">
        <v>969</v>
      </c>
      <c r="E192" s="288"/>
      <c r="F192" s="289">
        <v>6</v>
      </c>
      <c r="G192" s="289"/>
      <c r="H192" s="286">
        <f t="shared" si="3"/>
        <v>5814</v>
      </c>
      <c r="J192" s="278"/>
      <c r="K192" s="281" t="s">
        <v>599</v>
      </c>
      <c r="L192" s="302" t="s">
        <v>7</v>
      </c>
      <c r="M192" s="293">
        <v>1050</v>
      </c>
      <c r="N192" s="289"/>
      <c r="O192" s="136">
        <v>23</v>
      </c>
      <c r="P192" s="136"/>
      <c r="Q192" s="286">
        <f>(N192+O192+P192)*M192</f>
        <v>24150</v>
      </c>
      <c r="S192" s="278"/>
      <c r="T192" s="42" t="s">
        <v>600</v>
      </c>
      <c r="U192" s="42" t="s">
        <v>6</v>
      </c>
      <c r="V192" s="42">
        <v>390</v>
      </c>
      <c r="W192" s="480">
        <v>74</v>
      </c>
      <c r="X192" s="480">
        <v>0</v>
      </c>
      <c r="Y192" s="480">
        <v>16</v>
      </c>
      <c r="Z192" s="286">
        <f>SUM(Z193:Z385)</f>
        <v>820812</v>
      </c>
    </row>
    <row r="193" spans="1:26" ht="14.25" customHeight="1">
      <c r="A193" s="278"/>
      <c r="B193" s="289" t="s">
        <v>601</v>
      </c>
      <c r="C193" s="302" t="s">
        <v>7</v>
      </c>
      <c r="D193" s="289">
        <v>979</v>
      </c>
      <c r="E193" s="288"/>
      <c r="F193" s="289">
        <v>1</v>
      </c>
      <c r="G193" s="289"/>
      <c r="H193" s="286">
        <f t="shared" si="3"/>
        <v>979</v>
      </c>
      <c r="J193" s="278"/>
      <c r="K193" s="281" t="s">
        <v>268</v>
      </c>
      <c r="L193" s="302" t="s">
        <v>7</v>
      </c>
      <c r="M193" s="281">
        <v>1100</v>
      </c>
      <c r="N193" s="284"/>
      <c r="O193" s="284">
        <v>24</v>
      </c>
      <c r="P193" s="284"/>
      <c r="Q193" s="286">
        <f>(N193+O193+P193)*M193</f>
        <v>26400</v>
      </c>
      <c r="S193" s="137"/>
      <c r="T193" s="507" t="s">
        <v>325</v>
      </c>
      <c r="U193" s="576" t="s">
        <v>7</v>
      </c>
      <c r="V193" s="577">
        <v>1100</v>
      </c>
      <c r="W193" s="579">
        <v>0</v>
      </c>
      <c r="X193" s="580">
        <v>22</v>
      </c>
      <c r="Y193" s="580">
        <v>0</v>
      </c>
      <c r="Z193" s="463">
        <f>(W193+X193+Y193)*V193</f>
        <v>24200</v>
      </c>
    </row>
    <row r="194" spans="1:26" ht="14.25" customHeight="1">
      <c r="A194" s="278"/>
      <c r="B194" s="281" t="s">
        <v>501</v>
      </c>
      <c r="C194" s="302" t="s">
        <v>7</v>
      </c>
      <c r="D194" s="283">
        <v>1100</v>
      </c>
      <c r="E194" s="284"/>
      <c r="F194" s="284">
        <v>14</v>
      </c>
      <c r="G194" s="284"/>
      <c r="H194" s="286">
        <f t="shared" si="3"/>
        <v>15400</v>
      </c>
      <c r="J194" s="278"/>
      <c r="K194" s="281" t="s">
        <v>602</v>
      </c>
      <c r="L194" s="302" t="s">
        <v>7</v>
      </c>
      <c r="M194" s="281">
        <v>1050</v>
      </c>
      <c r="N194" s="284"/>
      <c r="O194" s="284">
        <v>1</v>
      </c>
      <c r="P194" s="284"/>
      <c r="Q194" s="286">
        <f>(N194+O194+P194)*M194</f>
        <v>1050</v>
      </c>
      <c r="S194" s="489"/>
      <c r="T194" s="471" t="s">
        <v>283</v>
      </c>
      <c r="U194" s="297" t="s">
        <v>7</v>
      </c>
      <c r="V194" s="494">
        <v>1050</v>
      </c>
      <c r="W194" s="471">
        <v>0</v>
      </c>
      <c r="X194" s="471">
        <v>364</v>
      </c>
      <c r="Y194" s="471">
        <v>0</v>
      </c>
      <c r="Z194" s="462">
        <f>(W194+X194+Y194)*V194</f>
        <v>382200</v>
      </c>
    </row>
    <row r="195" spans="1:26" ht="14.25" customHeight="1">
      <c r="A195" s="278"/>
      <c r="B195" s="291" t="s">
        <v>596</v>
      </c>
      <c r="C195" s="302" t="s">
        <v>7</v>
      </c>
      <c r="D195" s="282">
        <v>1100</v>
      </c>
      <c r="E195" s="284"/>
      <c r="F195" s="284">
        <v>63</v>
      </c>
      <c r="G195" s="284"/>
      <c r="H195" s="286">
        <f t="shared" si="3"/>
        <v>69300</v>
      </c>
      <c r="J195" s="278"/>
      <c r="K195" s="281" t="s">
        <v>603</v>
      </c>
      <c r="L195" s="302" t="s">
        <v>7</v>
      </c>
      <c r="M195" s="283">
        <v>1023</v>
      </c>
      <c r="N195" s="284"/>
      <c r="O195" s="284">
        <v>282</v>
      </c>
      <c r="P195" s="284"/>
      <c r="Q195" s="286">
        <f>(N195+O195+P195)*M195</f>
        <v>288486</v>
      </c>
      <c r="S195" s="489"/>
      <c r="T195" s="446" t="s">
        <v>264</v>
      </c>
      <c r="U195" s="297" t="s">
        <v>7</v>
      </c>
      <c r="V195" s="446">
        <v>1100</v>
      </c>
      <c r="W195" s="446">
        <v>0</v>
      </c>
      <c r="X195" s="446">
        <v>2</v>
      </c>
      <c r="Y195" s="446">
        <v>0</v>
      </c>
      <c r="Z195" s="462">
        <f>(W195+X195+Y195)*V195</f>
        <v>2200</v>
      </c>
    </row>
    <row r="196" spans="1:26" ht="14.25" customHeight="1">
      <c r="A196" s="278"/>
      <c r="B196" s="281" t="s">
        <v>599</v>
      </c>
      <c r="C196" s="302" t="s">
        <v>7</v>
      </c>
      <c r="D196" s="293">
        <v>1050</v>
      </c>
      <c r="E196" s="289"/>
      <c r="F196" s="136">
        <v>25</v>
      </c>
      <c r="G196" s="136"/>
      <c r="H196" s="286">
        <f t="shared" si="3"/>
        <v>26250</v>
      </c>
      <c r="J196" s="278"/>
      <c r="K196" s="281" t="s">
        <v>604</v>
      </c>
      <c r="L196" s="302" t="s">
        <v>7</v>
      </c>
      <c r="M196" s="283">
        <v>1135</v>
      </c>
      <c r="N196" s="284"/>
      <c r="O196" s="284">
        <v>31</v>
      </c>
      <c r="P196" s="284"/>
      <c r="Q196" s="286">
        <f>(N196+O196+P196)*M196</f>
        <v>35185</v>
      </c>
      <c r="S196" s="489"/>
      <c r="T196" s="481" t="s">
        <v>270</v>
      </c>
      <c r="U196" s="282" t="s">
        <v>7</v>
      </c>
      <c r="V196" s="494">
        <v>1050</v>
      </c>
      <c r="W196" s="471">
        <v>0</v>
      </c>
      <c r="X196" s="471">
        <v>6</v>
      </c>
      <c r="Y196" s="471">
        <v>0</v>
      </c>
      <c r="Z196" s="462">
        <f>(W196+X196+Y196)*V196</f>
        <v>6300</v>
      </c>
    </row>
    <row r="197" spans="1:26" ht="14.25" customHeight="1">
      <c r="A197" s="278"/>
      <c r="B197" s="281" t="s">
        <v>268</v>
      </c>
      <c r="C197" s="302" t="s">
        <v>7</v>
      </c>
      <c r="D197" s="281">
        <v>1100</v>
      </c>
      <c r="E197" s="284"/>
      <c r="F197" s="284">
        <v>42</v>
      </c>
      <c r="G197" s="284"/>
      <c r="H197" s="286">
        <f t="shared" si="3"/>
        <v>46200</v>
      </c>
      <c r="J197" s="278"/>
      <c r="K197" s="281" t="s">
        <v>587</v>
      </c>
      <c r="L197" s="302" t="s">
        <v>7</v>
      </c>
      <c r="M197" s="281">
        <v>902</v>
      </c>
      <c r="N197" s="284"/>
      <c r="O197" s="284">
        <v>15</v>
      </c>
      <c r="P197" s="284"/>
      <c r="Q197" s="286">
        <f>(N197+O197+P197)*M197</f>
        <v>13530</v>
      </c>
      <c r="S197" s="489"/>
      <c r="T197" s="471" t="s">
        <v>446</v>
      </c>
      <c r="U197" s="332" t="s">
        <v>7</v>
      </c>
      <c r="V197" s="497">
        <v>715</v>
      </c>
      <c r="W197" s="446">
        <v>0</v>
      </c>
      <c r="X197" s="461">
        <v>0</v>
      </c>
      <c r="Y197" s="461">
        <v>0</v>
      </c>
      <c r="Z197" s="462">
        <f>(W197+X197+Y197)*V197</f>
        <v>0</v>
      </c>
    </row>
    <row r="198" spans="1:26" ht="14.25" customHeight="1">
      <c r="A198" s="278"/>
      <c r="B198" s="281" t="s">
        <v>602</v>
      </c>
      <c r="C198" s="302" t="s">
        <v>7</v>
      </c>
      <c r="D198" s="281">
        <v>1050</v>
      </c>
      <c r="E198" s="284"/>
      <c r="F198" s="284">
        <v>42</v>
      </c>
      <c r="G198" s="284"/>
      <c r="H198" s="286">
        <f t="shared" si="3"/>
        <v>44100</v>
      </c>
      <c r="J198" s="278"/>
      <c r="K198" s="281" t="s">
        <v>605</v>
      </c>
      <c r="L198" s="302" t="s">
        <v>7</v>
      </c>
      <c r="M198" s="281">
        <v>1100</v>
      </c>
      <c r="N198" s="284"/>
      <c r="O198" s="284">
        <v>24</v>
      </c>
      <c r="P198" s="284"/>
      <c r="Q198" s="286">
        <f>(N198+O198+P198)*M198</f>
        <v>26400</v>
      </c>
      <c r="S198" s="489"/>
      <c r="T198" s="471" t="s">
        <v>449</v>
      </c>
      <c r="U198" s="332" t="s">
        <v>7</v>
      </c>
      <c r="V198" s="471">
        <v>781</v>
      </c>
      <c r="W198" s="471">
        <v>18</v>
      </c>
      <c r="X198" s="471">
        <v>0</v>
      </c>
      <c r="Y198" s="471">
        <v>0</v>
      </c>
      <c r="Z198" s="462">
        <f>(W198+X198+Y198)*V198</f>
        <v>14058</v>
      </c>
    </row>
    <row r="199" spans="1:26" ht="14.25" customHeight="1">
      <c r="A199" s="278"/>
      <c r="B199" s="281" t="s">
        <v>606</v>
      </c>
      <c r="C199" s="302" t="s">
        <v>7</v>
      </c>
      <c r="D199" s="283">
        <v>1050</v>
      </c>
      <c r="E199" s="284"/>
      <c r="F199" s="284">
        <v>24</v>
      </c>
      <c r="G199" s="284"/>
      <c r="H199" s="286">
        <f t="shared" si="3"/>
        <v>25200</v>
      </c>
      <c r="J199" s="278"/>
      <c r="K199" s="281" t="s">
        <v>607</v>
      </c>
      <c r="L199" s="302" t="s">
        <v>7</v>
      </c>
      <c r="M199" s="282">
        <v>1100</v>
      </c>
      <c r="N199" s="284"/>
      <c r="O199" s="284">
        <v>9</v>
      </c>
      <c r="P199" s="284"/>
      <c r="Q199" s="286">
        <f>(N199+O199+P199)*M199</f>
        <v>9900</v>
      </c>
      <c r="S199" s="489"/>
      <c r="T199" s="446" t="s">
        <v>586</v>
      </c>
      <c r="U199" s="332" t="s">
        <v>7</v>
      </c>
      <c r="V199" s="493">
        <v>1050</v>
      </c>
      <c r="W199" s="446">
        <v>0</v>
      </c>
      <c r="X199" s="461">
        <v>50</v>
      </c>
      <c r="Y199" s="461">
        <v>0</v>
      </c>
      <c r="Z199" s="462">
        <f>(W199+X199+Y199)*V199</f>
        <v>52500</v>
      </c>
    </row>
    <row r="200" spans="1:26" ht="14.25" customHeight="1">
      <c r="A200" s="278"/>
      <c r="B200" s="281" t="s">
        <v>603</v>
      </c>
      <c r="C200" s="302" t="s">
        <v>7</v>
      </c>
      <c r="D200" s="283">
        <v>1023</v>
      </c>
      <c r="E200" s="284"/>
      <c r="F200" s="284">
        <v>143</v>
      </c>
      <c r="G200" s="284"/>
      <c r="H200" s="286">
        <f t="shared" si="3"/>
        <v>146289</v>
      </c>
      <c r="J200" s="278"/>
      <c r="K200" s="281" t="s">
        <v>276</v>
      </c>
      <c r="L200" s="302" t="s">
        <v>7</v>
      </c>
      <c r="M200" s="282">
        <v>858</v>
      </c>
      <c r="N200" s="284"/>
      <c r="O200" s="284">
        <v>26</v>
      </c>
      <c r="P200" s="284"/>
      <c r="Q200" s="286">
        <f>(N200+O200+P200)*M200</f>
        <v>22308</v>
      </c>
      <c r="S200" s="572"/>
      <c r="T200" s="471" t="s">
        <v>588</v>
      </c>
      <c r="U200" s="332" t="s">
        <v>7</v>
      </c>
      <c r="V200" s="494">
        <v>1100</v>
      </c>
      <c r="W200" s="471">
        <v>0</v>
      </c>
      <c r="X200" s="471">
        <v>1</v>
      </c>
      <c r="Y200" s="471">
        <v>0</v>
      </c>
      <c r="Z200" s="462">
        <f>(W200+X200+Y200)*V200</f>
        <v>1100</v>
      </c>
    </row>
    <row r="201" spans="1:26" ht="14.25" customHeight="1">
      <c r="A201" s="278"/>
      <c r="B201" s="281" t="s">
        <v>604</v>
      </c>
      <c r="C201" s="302" t="s">
        <v>7</v>
      </c>
      <c r="D201" s="283">
        <v>1135</v>
      </c>
      <c r="E201" s="284"/>
      <c r="F201" s="284">
        <v>32</v>
      </c>
      <c r="G201" s="284"/>
      <c r="H201" s="286">
        <f t="shared" si="3"/>
        <v>36320</v>
      </c>
      <c r="J201" s="278"/>
      <c r="K201" s="291" t="s">
        <v>280</v>
      </c>
      <c r="L201" s="302" t="s">
        <v>7</v>
      </c>
      <c r="M201" s="282">
        <v>2000</v>
      </c>
      <c r="N201" s="284"/>
      <c r="O201" s="284">
        <v>6</v>
      </c>
      <c r="P201" s="284"/>
      <c r="Q201" s="286">
        <f>(N201+O201+P201)*M201</f>
        <v>12000</v>
      </c>
      <c r="S201" s="447"/>
      <c r="T201" s="471" t="s">
        <v>590</v>
      </c>
      <c r="U201" s="332" t="s">
        <v>7</v>
      </c>
      <c r="V201" s="471">
        <v>668</v>
      </c>
      <c r="W201" s="471">
        <v>0</v>
      </c>
      <c r="X201" s="471">
        <v>3</v>
      </c>
      <c r="Y201" s="471">
        <v>0</v>
      </c>
      <c r="Z201" s="462">
        <f>(W201+X201+Y201)*V201</f>
        <v>2004</v>
      </c>
    </row>
    <row r="202" spans="1:26" ht="14.25" customHeight="1">
      <c r="A202" s="278"/>
      <c r="B202" s="281" t="s">
        <v>587</v>
      </c>
      <c r="C202" s="302" t="s">
        <v>7</v>
      </c>
      <c r="D202" s="281">
        <v>902</v>
      </c>
      <c r="E202" s="284"/>
      <c r="F202" s="284">
        <v>33</v>
      </c>
      <c r="G202" s="284"/>
      <c r="H202" s="286">
        <f t="shared" si="3"/>
        <v>29766</v>
      </c>
      <c r="J202" s="278"/>
      <c r="K202" s="281" t="s">
        <v>276</v>
      </c>
      <c r="L202" s="302" t="s">
        <v>7</v>
      </c>
      <c r="M202" s="281">
        <v>858</v>
      </c>
      <c r="N202" s="284"/>
      <c r="O202" s="284"/>
      <c r="P202" s="284"/>
      <c r="Q202" s="286">
        <f>(N202+O202+P202)*M202</f>
        <v>0</v>
      </c>
      <c r="S202" s="447"/>
      <c r="T202" s="471" t="s">
        <v>596</v>
      </c>
      <c r="U202" s="332" t="s">
        <v>7</v>
      </c>
      <c r="V202" s="481">
        <v>1100</v>
      </c>
      <c r="W202" s="471">
        <v>0</v>
      </c>
      <c r="X202" s="471">
        <v>10</v>
      </c>
      <c r="Y202" s="471">
        <v>0</v>
      </c>
      <c r="Z202" s="462">
        <f>(W202+X202+Y202)*V202</f>
        <v>11000</v>
      </c>
    </row>
    <row r="203" spans="1:26" ht="14.25" customHeight="1">
      <c r="A203" s="278"/>
      <c r="B203" s="281" t="s">
        <v>605</v>
      </c>
      <c r="C203" s="302" t="s">
        <v>7</v>
      </c>
      <c r="D203" s="281">
        <v>1100</v>
      </c>
      <c r="E203" s="284"/>
      <c r="F203" s="284">
        <v>25</v>
      </c>
      <c r="G203" s="284"/>
      <c r="H203" s="286">
        <f t="shared" si="3"/>
        <v>27500</v>
      </c>
      <c r="J203" s="278"/>
      <c r="K203" s="281" t="s">
        <v>335</v>
      </c>
      <c r="L203" s="302" t="s">
        <v>7</v>
      </c>
      <c r="M203" s="282">
        <v>745</v>
      </c>
      <c r="N203" s="284">
        <v>112</v>
      </c>
      <c r="O203" s="284"/>
      <c r="P203" s="284"/>
      <c r="Q203" s="286">
        <f>(N203+O203+P203)*M203</f>
        <v>83440</v>
      </c>
      <c r="S203" s="447"/>
      <c r="T203" s="471" t="s">
        <v>599</v>
      </c>
      <c r="U203" s="332" t="s">
        <v>7</v>
      </c>
      <c r="V203" s="493">
        <v>1050</v>
      </c>
      <c r="W203" s="446">
        <v>0</v>
      </c>
      <c r="X203" s="461">
        <v>15</v>
      </c>
      <c r="Y203" s="461">
        <v>0</v>
      </c>
      <c r="Z203" s="462">
        <f>(W203+X203+Y203)*V203</f>
        <v>15750</v>
      </c>
    </row>
    <row r="204" spans="1:26" ht="14.25" customHeight="1">
      <c r="A204" s="278"/>
      <c r="B204" s="281" t="s">
        <v>607</v>
      </c>
      <c r="C204" s="302" t="s">
        <v>7</v>
      </c>
      <c r="D204" s="282">
        <v>1100</v>
      </c>
      <c r="E204" s="284"/>
      <c r="F204" s="284">
        <v>10</v>
      </c>
      <c r="G204" s="284"/>
      <c r="H204" s="286">
        <f t="shared" si="3"/>
        <v>11000</v>
      </c>
      <c r="J204" s="278"/>
      <c r="K204" s="281" t="s">
        <v>343</v>
      </c>
      <c r="L204" s="302" t="s">
        <v>267</v>
      </c>
      <c r="M204" s="281">
        <v>180</v>
      </c>
      <c r="N204" s="284"/>
      <c r="O204" s="284">
        <v>24</v>
      </c>
      <c r="P204" s="284"/>
      <c r="Q204" s="286">
        <f>(N204+O204+P204)*M204</f>
        <v>4320</v>
      </c>
      <c r="S204" s="447"/>
      <c r="T204" s="471" t="s">
        <v>602</v>
      </c>
      <c r="U204" s="332" t="s">
        <v>7</v>
      </c>
      <c r="V204" s="471">
        <v>1050</v>
      </c>
      <c r="W204" s="471">
        <v>0</v>
      </c>
      <c r="X204" s="471">
        <v>42</v>
      </c>
      <c r="Y204" s="471">
        <v>0</v>
      </c>
      <c r="Z204" s="462">
        <f>(W204+X204+Y204)*V204</f>
        <v>44100</v>
      </c>
    </row>
    <row r="205" spans="1:26" ht="14.25" customHeight="1">
      <c r="A205" s="278"/>
      <c r="B205" s="281" t="s">
        <v>276</v>
      </c>
      <c r="C205" s="302" t="s">
        <v>7</v>
      </c>
      <c r="D205" s="282">
        <v>858</v>
      </c>
      <c r="E205" s="284"/>
      <c r="F205" s="284">
        <v>17</v>
      </c>
      <c r="G205" s="284"/>
      <c r="H205" s="286">
        <f t="shared" si="3"/>
        <v>14586</v>
      </c>
      <c r="J205" s="137"/>
      <c r="K205" s="281" t="s">
        <v>347</v>
      </c>
      <c r="L205" s="302" t="s">
        <v>267</v>
      </c>
      <c r="M205" s="281">
        <v>180</v>
      </c>
      <c r="N205" s="284"/>
      <c r="O205" s="284">
        <v>40</v>
      </c>
      <c r="P205" s="284"/>
      <c r="Q205" s="286">
        <f>(N205+O205+P205)*M205</f>
        <v>7200</v>
      </c>
      <c r="S205" s="447"/>
      <c r="T205" s="471" t="s">
        <v>603</v>
      </c>
      <c r="U205" s="332" t="s">
        <v>7</v>
      </c>
      <c r="V205" s="494">
        <v>1023</v>
      </c>
      <c r="W205" s="471">
        <v>0</v>
      </c>
      <c r="X205" s="471">
        <v>114</v>
      </c>
      <c r="Y205" s="471">
        <v>0</v>
      </c>
      <c r="Z205" s="462">
        <f>(W205+X205+Y205)*V205</f>
        <v>116622</v>
      </c>
    </row>
    <row r="206" spans="1:26" ht="14.25" customHeight="1">
      <c r="A206" s="278"/>
      <c r="B206" s="281"/>
      <c r="C206" s="302"/>
      <c r="D206" s="281"/>
      <c r="E206" s="284"/>
      <c r="F206" s="284"/>
      <c r="G206" s="284"/>
      <c r="H206" s="286">
        <f t="shared" si="3"/>
        <v>0</v>
      </c>
      <c r="J206" s="137"/>
      <c r="K206" s="12" t="s">
        <v>349</v>
      </c>
      <c r="L206" s="302" t="s">
        <v>267</v>
      </c>
      <c r="M206" s="135">
        <v>180</v>
      </c>
      <c r="N206" s="135"/>
      <c r="O206" s="136">
        <v>119</v>
      </c>
      <c r="P206" s="134"/>
      <c r="Q206" s="286">
        <f>(N206+O206+P206)*M206</f>
        <v>21420</v>
      </c>
      <c r="S206" s="447"/>
      <c r="T206" s="471" t="s">
        <v>604</v>
      </c>
      <c r="U206" s="332" t="s">
        <v>7</v>
      </c>
      <c r="V206" s="494">
        <v>1135</v>
      </c>
      <c r="W206" s="471">
        <v>0</v>
      </c>
      <c r="X206" s="471">
        <v>30</v>
      </c>
      <c r="Y206" s="471">
        <v>0</v>
      </c>
      <c r="Z206" s="462">
        <f>(W206+X206+Y206)*V206</f>
        <v>34050</v>
      </c>
    </row>
    <row r="207" spans="1:26" ht="14.25" customHeight="1">
      <c r="A207" s="278"/>
      <c r="B207" s="281"/>
      <c r="C207" s="302"/>
      <c r="D207" s="281"/>
      <c r="E207" s="284"/>
      <c r="F207" s="284"/>
      <c r="G207" s="284"/>
      <c r="H207" s="286">
        <f t="shared" si="3"/>
        <v>0</v>
      </c>
      <c r="J207" s="137"/>
      <c r="K207" s="49" t="s">
        <v>353</v>
      </c>
      <c r="L207" s="302" t="s">
        <v>267</v>
      </c>
      <c r="M207" s="138">
        <v>180</v>
      </c>
      <c r="N207" s="135"/>
      <c r="O207" s="136">
        <v>28</v>
      </c>
      <c r="P207" s="134"/>
      <c r="Q207" s="286">
        <f>(N207+O207+P207)*M207</f>
        <v>5040</v>
      </c>
      <c r="S207" s="447"/>
      <c r="T207" s="491" t="s">
        <v>605</v>
      </c>
      <c r="U207" s="185" t="s">
        <v>7</v>
      </c>
      <c r="V207" s="471">
        <v>1100</v>
      </c>
      <c r="W207" s="471">
        <v>0</v>
      </c>
      <c r="X207" s="471">
        <v>18</v>
      </c>
      <c r="Y207" s="471">
        <v>0</v>
      </c>
      <c r="Z207" s="462">
        <f>(W207+X207+Y207)*V207</f>
        <v>19800</v>
      </c>
    </row>
    <row r="208" spans="1:26" ht="14.25" customHeight="1">
      <c r="A208" s="326"/>
      <c r="B208" s="186"/>
      <c r="C208" s="327"/>
      <c r="D208" s="328"/>
      <c r="E208" s="329"/>
      <c r="F208" s="330"/>
      <c r="G208" s="331"/>
      <c r="H208" s="286">
        <f t="shared" si="3"/>
        <v>0</v>
      </c>
      <c r="J208" s="137"/>
      <c r="K208" s="12" t="s">
        <v>356</v>
      </c>
      <c r="L208" s="302" t="s">
        <v>267</v>
      </c>
      <c r="M208" s="138">
        <v>180</v>
      </c>
      <c r="N208" s="183"/>
      <c r="O208" s="136">
        <v>34</v>
      </c>
      <c r="P208" s="136"/>
      <c r="Q208" s="286">
        <f>(N208+O208+P208)*M208</f>
        <v>6120</v>
      </c>
      <c r="S208" s="447"/>
      <c r="T208" s="471" t="s">
        <v>607</v>
      </c>
      <c r="U208" s="332" t="s">
        <v>7</v>
      </c>
      <c r="V208" s="481">
        <v>1100</v>
      </c>
      <c r="W208" s="471">
        <v>0</v>
      </c>
      <c r="X208" s="471">
        <v>7</v>
      </c>
      <c r="Y208" s="471">
        <v>0</v>
      </c>
      <c r="Z208" s="462">
        <f>(W208+X208+Y208)*V208</f>
        <v>7700</v>
      </c>
    </row>
    <row r="209" spans="1:26" ht="14.25" customHeight="1">
      <c r="A209" s="458"/>
      <c r="B209" s="322"/>
      <c r="C209" s="325"/>
      <c r="D209" s="323"/>
      <c r="E209" s="324"/>
      <c r="F209" s="320"/>
      <c r="G209" s="320"/>
      <c r="H209" s="321"/>
      <c r="J209" s="137"/>
      <c r="K209" s="12" t="s">
        <v>608</v>
      </c>
      <c r="L209" s="51" t="s">
        <v>267</v>
      </c>
      <c r="M209" s="138">
        <v>180</v>
      </c>
      <c r="N209" s="183"/>
      <c r="O209" s="136"/>
      <c r="P209" s="136">
        <v>29</v>
      </c>
      <c r="Q209" s="286">
        <f>(N209+O209+P209)*M209</f>
        <v>5220</v>
      </c>
      <c r="S209" s="447"/>
      <c r="T209" s="471" t="s">
        <v>276</v>
      </c>
      <c r="U209" s="332" t="s">
        <v>7</v>
      </c>
      <c r="V209" s="481">
        <v>858</v>
      </c>
      <c r="W209" s="471">
        <v>0</v>
      </c>
      <c r="X209" s="471">
        <v>16</v>
      </c>
      <c r="Y209" s="471">
        <v>18</v>
      </c>
      <c r="Z209" s="462">
        <f>(W209+X209+Y209)*V209</f>
        <v>29172</v>
      </c>
    </row>
    <row r="210" spans="1:26" ht="14.25" customHeight="1">
      <c r="A210" s="458"/>
      <c r="B210" s="322"/>
      <c r="C210" s="325"/>
      <c r="D210" s="323"/>
      <c r="E210" s="324"/>
      <c r="F210" s="320"/>
      <c r="G210" s="320"/>
      <c r="H210" s="321"/>
      <c r="J210" s="137"/>
      <c r="K210" s="12" t="s">
        <v>360</v>
      </c>
      <c r="L210" s="51" t="s">
        <v>267</v>
      </c>
      <c r="M210" s="138">
        <v>120</v>
      </c>
      <c r="N210" s="183"/>
      <c r="O210" s="136"/>
      <c r="P210" s="136">
        <v>23</v>
      </c>
      <c r="Q210" s="286">
        <f>(N210+O210+P210)*M210</f>
        <v>2760</v>
      </c>
      <c r="S210" s="447"/>
      <c r="T210" s="281" t="s">
        <v>280</v>
      </c>
      <c r="U210" s="302" t="s">
        <v>7</v>
      </c>
      <c r="V210" s="481">
        <v>2000</v>
      </c>
      <c r="W210" s="471">
        <v>0</v>
      </c>
      <c r="X210" s="471">
        <v>0</v>
      </c>
      <c r="Y210" s="471">
        <v>1</v>
      </c>
      <c r="Z210" s="462">
        <f>(W210+X210+Y210)*V210</f>
        <v>2000</v>
      </c>
    </row>
    <row r="211" spans="1:26" ht="14.25" customHeight="1">
      <c r="A211" s="458"/>
      <c r="B211" s="322"/>
      <c r="C211" s="325"/>
      <c r="D211" s="323"/>
      <c r="E211" s="324"/>
      <c r="F211" s="320"/>
      <c r="G211" s="320"/>
      <c r="H211" s="321"/>
      <c r="J211" s="137"/>
      <c r="K211" s="12" t="s">
        <v>364</v>
      </c>
      <c r="L211" s="51" t="s">
        <v>267</v>
      </c>
      <c r="M211" s="138">
        <v>180</v>
      </c>
      <c r="N211" s="183"/>
      <c r="O211" s="136"/>
      <c r="P211" s="136">
        <v>19</v>
      </c>
      <c r="Q211" s="286">
        <f>(N211+O211+P211)*M211</f>
        <v>3420</v>
      </c>
      <c r="S211" s="447"/>
      <c r="T211" s="465" t="s">
        <v>609</v>
      </c>
      <c r="U211" s="465" t="s">
        <v>7</v>
      </c>
      <c r="V211" s="465">
        <v>572</v>
      </c>
      <c r="W211" s="465">
        <v>0</v>
      </c>
      <c r="X211" s="465">
        <v>18</v>
      </c>
      <c r="Y211" s="465">
        <v>5</v>
      </c>
      <c r="Z211" s="462">
        <f>(W211+X211+Y211)*V211</f>
        <v>13156</v>
      </c>
    </row>
    <row r="212" spans="1:26" ht="14.25" customHeight="1">
      <c r="A212" s="458"/>
      <c r="B212" s="322"/>
      <c r="C212" s="325"/>
      <c r="D212" s="323"/>
      <c r="E212" s="324"/>
      <c r="F212" s="320"/>
      <c r="G212" s="320"/>
      <c r="H212" s="321"/>
      <c r="J212" s="137"/>
      <c r="K212" s="12" t="s">
        <v>406</v>
      </c>
      <c r="L212" s="51" t="s">
        <v>267</v>
      </c>
      <c r="M212" s="138">
        <v>120</v>
      </c>
      <c r="N212" s="183"/>
      <c r="O212" s="136">
        <v>19</v>
      </c>
      <c r="P212" s="136">
        <v>14</v>
      </c>
      <c r="Q212" s="286">
        <f>(N212+O212+P212)*M212</f>
        <v>3960</v>
      </c>
      <c r="S212" s="447"/>
      <c r="T212" s="466" t="s">
        <v>610</v>
      </c>
      <c r="U212" s="42" t="s">
        <v>7</v>
      </c>
      <c r="V212" s="465">
        <v>1100</v>
      </c>
      <c r="W212" s="465">
        <v>0</v>
      </c>
      <c r="X212" s="465">
        <v>39</v>
      </c>
      <c r="Y212" s="465">
        <v>0</v>
      </c>
      <c r="Z212" s="462">
        <f>(W212+X212+Y212)*V212</f>
        <v>42900</v>
      </c>
    </row>
    <row r="213" spans="1:26" ht="14.25" customHeight="1">
      <c r="A213" s="458"/>
      <c r="B213" s="322"/>
      <c r="C213" s="325"/>
      <c r="D213" s="323"/>
      <c r="E213" s="324"/>
      <c r="F213" s="320"/>
      <c r="G213" s="320"/>
      <c r="H213" s="321"/>
      <c r="J213" s="137"/>
      <c r="K213" s="12" t="s">
        <v>369</v>
      </c>
      <c r="L213" s="51" t="s">
        <v>267</v>
      </c>
      <c r="M213" s="138">
        <v>180</v>
      </c>
      <c r="N213" s="183"/>
      <c r="O213" s="136">
        <v>143</v>
      </c>
      <c r="P213" s="136"/>
      <c r="Q213" s="286">
        <f>(N213+O213+P213)*M213</f>
        <v>25740</v>
      </c>
    </row>
    <row r="214" spans="1:26" ht="14.25" customHeight="1">
      <c r="A214" s="458"/>
      <c r="B214" s="322"/>
      <c r="C214" s="325"/>
      <c r="D214" s="323"/>
      <c r="E214" s="324"/>
      <c r="F214" s="320"/>
      <c r="G214" s="320"/>
      <c r="H214" s="321"/>
      <c r="J214" s="137"/>
      <c r="K214" s="12" t="s">
        <v>372</v>
      </c>
      <c r="L214" s="51" t="s">
        <v>267</v>
      </c>
      <c r="M214" s="138">
        <v>180</v>
      </c>
      <c r="N214" s="183"/>
      <c r="O214" s="136">
        <v>13</v>
      </c>
      <c r="P214" s="136"/>
      <c r="Q214" s="286">
        <f>(N214+O214+P214)*M214</f>
        <v>2340</v>
      </c>
    </row>
    <row r="215" spans="1:26" ht="14.25" customHeight="1">
      <c r="K215" s="12" t="s">
        <v>375</v>
      </c>
      <c r="L215" s="51" t="s">
        <v>267</v>
      </c>
      <c r="M215" s="138">
        <v>180</v>
      </c>
      <c r="N215" s="183"/>
      <c r="O215" s="136">
        <v>31</v>
      </c>
      <c r="P215" s="136"/>
      <c r="Q215" s="286">
        <f>(N215+O215+P215)*M215</f>
        <v>5580</v>
      </c>
    </row>
    <row r="380" ht="15.75" customHeight="1"/>
    <row r="462" ht="13.5"/>
  </sheetData>
  <sortState xmlns:xlrd2="http://schemas.microsoft.com/office/spreadsheetml/2017/richdata2" ref="S5:Z219">
    <sortCondition ref="U5:U219"/>
  </sortState>
  <mergeCells count="18">
    <mergeCell ref="Z2:Z3"/>
    <mergeCell ref="S2:S3"/>
    <mergeCell ref="T2:T3"/>
    <mergeCell ref="U2:U3"/>
    <mergeCell ref="V2:V3"/>
    <mergeCell ref="W2:Y2"/>
    <mergeCell ref="H2:H3"/>
    <mergeCell ref="A2:A3"/>
    <mergeCell ref="B2:B3"/>
    <mergeCell ref="C2:C3"/>
    <mergeCell ref="D2:D3"/>
    <mergeCell ref="E2:G2"/>
    <mergeCell ref="Q2:Q3"/>
    <mergeCell ref="J2:J3"/>
    <mergeCell ref="K2:K3"/>
    <mergeCell ref="L2:L3"/>
    <mergeCell ref="M2:M3"/>
    <mergeCell ref="N2:P2"/>
  </mergeCells>
  <phoneticPr fontId="2"/>
  <pageMargins left="0.25" right="0.25" top="0.75" bottom="0.75" header="0.3" footer="0.3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2261D-723F-43A2-95D3-FC303EE39795}">
  <sheetPr>
    <pageSetUpPr fitToPage="1"/>
  </sheetPr>
  <dimension ref="A1:W52"/>
  <sheetViews>
    <sheetView topLeftCell="O1" zoomScale="80" zoomScaleNormal="80" workbookViewId="0">
      <selection activeCell="S41" sqref="S41"/>
    </sheetView>
  </sheetViews>
  <sheetFormatPr defaultColWidth="25.25" defaultRowHeight="13.5"/>
  <cols>
    <col min="1" max="1" width="33.375" style="44" bestFit="1" customWidth="1"/>
    <col min="2" max="2" width="11.5" style="44" bestFit="1" customWidth="1"/>
    <col min="3" max="3" width="5.25" style="44" bestFit="1" customWidth="1"/>
    <col min="4" max="5" width="6.125" style="44" bestFit="1" customWidth="1"/>
    <col min="6" max="6" width="4.625" style="44" bestFit="1" customWidth="1"/>
    <col min="7" max="7" width="10.5" style="44" customWidth="1"/>
    <col min="8" max="8" width="4.5" style="44" customWidth="1"/>
    <col min="9" max="9" width="25.25" style="44"/>
    <col min="10" max="10" width="12.5" style="44" customWidth="1"/>
    <col min="11" max="11" width="6.625" style="44" customWidth="1"/>
    <col min="12" max="12" width="6.875" style="44" customWidth="1"/>
    <col min="13" max="13" width="6.5" style="44" customWidth="1"/>
    <col min="14" max="14" width="7.125" style="44" customWidth="1"/>
    <col min="15" max="15" width="10.875" style="44" customWidth="1"/>
    <col min="16" max="16" width="25.25" style="44"/>
    <col min="17" max="17" width="26.5" style="44" customWidth="1"/>
    <col min="18" max="18" width="12" style="44" customWidth="1"/>
    <col min="19" max="19" width="9.125" style="44" customWidth="1"/>
    <col min="20" max="20" width="6.5" style="44" customWidth="1"/>
    <col min="21" max="21" width="7.125" style="44" customWidth="1"/>
    <col min="22" max="22" width="6.375" style="44" customWidth="1"/>
    <col min="23" max="23" width="13.875" style="44" customWidth="1"/>
    <col min="24" max="16384" width="25.25" style="44"/>
  </cols>
  <sheetData>
    <row r="1" spans="1:23" ht="13.5" customHeight="1">
      <c r="A1" s="339">
        <v>46053</v>
      </c>
      <c r="B1" s="459"/>
      <c r="C1" s="554"/>
      <c r="D1" s="554"/>
      <c r="E1" s="459"/>
      <c r="F1" s="554"/>
      <c r="G1" s="554"/>
      <c r="I1" s="445">
        <v>46081</v>
      </c>
      <c r="J1" s="458"/>
      <c r="K1" s="553"/>
      <c r="L1" s="553"/>
      <c r="M1" s="458"/>
      <c r="N1" s="553"/>
      <c r="O1" s="553"/>
      <c r="Q1" s="445">
        <v>46112</v>
      </c>
      <c r="R1" s="458"/>
      <c r="S1" s="553"/>
      <c r="T1" s="553"/>
      <c r="U1" s="458"/>
      <c r="V1" s="553"/>
      <c r="W1" s="553"/>
    </row>
    <row r="2" spans="1:23">
      <c r="A2" s="340" t="s">
        <v>2</v>
      </c>
      <c r="B2" s="340" t="s">
        <v>1</v>
      </c>
      <c r="C2" s="340" t="s">
        <v>3</v>
      </c>
      <c r="D2" s="341" t="s">
        <v>6</v>
      </c>
      <c r="E2" s="341" t="s">
        <v>7</v>
      </c>
      <c r="F2" s="340" t="s">
        <v>611</v>
      </c>
      <c r="G2" s="340" t="s">
        <v>5</v>
      </c>
      <c r="I2" s="340" t="s">
        <v>2</v>
      </c>
      <c r="J2" s="340" t="s">
        <v>1</v>
      </c>
      <c r="K2" s="340" t="s">
        <v>3</v>
      </c>
      <c r="L2" s="341" t="s">
        <v>6</v>
      </c>
      <c r="M2" s="341" t="s">
        <v>7</v>
      </c>
      <c r="N2" s="340" t="s">
        <v>611</v>
      </c>
      <c r="O2" s="340" t="s">
        <v>5</v>
      </c>
      <c r="Q2" s="340" t="s">
        <v>2</v>
      </c>
      <c r="R2" s="340" t="s">
        <v>1</v>
      </c>
      <c r="S2" s="340" t="s">
        <v>3</v>
      </c>
      <c r="T2" s="341" t="s">
        <v>6</v>
      </c>
      <c r="U2" s="341" t="s">
        <v>7</v>
      </c>
      <c r="V2" s="340" t="s">
        <v>611</v>
      </c>
      <c r="W2" s="340" t="s">
        <v>5</v>
      </c>
    </row>
    <row r="3" spans="1:23" ht="17.25">
      <c r="A3" s="279"/>
      <c r="B3" s="279"/>
      <c r="C3" s="279"/>
      <c r="D3" s="279"/>
      <c r="E3" s="279"/>
      <c r="F3" s="279"/>
      <c r="G3" s="280">
        <f>SUM(G4:G52)</f>
        <v>1410626</v>
      </c>
      <c r="I3" s="279"/>
      <c r="J3" s="279"/>
      <c r="K3" s="279"/>
      <c r="L3" s="279"/>
      <c r="M3" s="279"/>
      <c r="N3" s="279"/>
      <c r="O3" s="280">
        <f>SUM(O4:O52)</f>
        <v>874222</v>
      </c>
      <c r="Q3" s="279"/>
      <c r="S3" s="279"/>
      <c r="T3" s="279"/>
      <c r="U3" s="279"/>
      <c r="V3" s="279"/>
      <c r="W3" s="280">
        <f>SUM(W4:W52)</f>
        <v>1117156</v>
      </c>
    </row>
    <row r="4" spans="1:23">
      <c r="A4" s="292" t="s">
        <v>612</v>
      </c>
      <c r="B4" s="292" t="s">
        <v>7</v>
      </c>
      <c r="C4" s="293">
        <v>1050</v>
      </c>
      <c r="D4" s="287"/>
      <c r="E4" s="292">
        <v>30</v>
      </c>
      <c r="F4" s="292"/>
      <c r="G4" s="286">
        <f>(D4+E4+F4)*C4</f>
        <v>31500</v>
      </c>
      <c r="I4" s="292" t="s">
        <v>612</v>
      </c>
      <c r="J4" s="292" t="s">
        <v>7</v>
      </c>
      <c r="K4" s="293">
        <v>1050</v>
      </c>
      <c r="L4" s="287"/>
      <c r="M4" s="292">
        <v>31</v>
      </c>
      <c r="N4" s="292"/>
      <c r="O4" s="286">
        <f>(L4+M4+N4)*K4</f>
        <v>32550</v>
      </c>
      <c r="Q4" s="292" t="s">
        <v>612</v>
      </c>
      <c r="R4" s="292" t="s">
        <v>7</v>
      </c>
      <c r="S4" s="293">
        <v>1050</v>
      </c>
      <c r="T4" s="287"/>
      <c r="U4" s="292">
        <v>25</v>
      </c>
      <c r="V4" s="292"/>
      <c r="W4" s="286">
        <f>(T4+U4+V4)*S4</f>
        <v>26250</v>
      </c>
    </row>
    <row r="5" spans="1:23">
      <c r="A5" s="292" t="s">
        <v>613</v>
      </c>
      <c r="B5" s="292" t="s">
        <v>7</v>
      </c>
      <c r="C5" s="290">
        <v>110</v>
      </c>
      <c r="D5" s="287"/>
      <c r="E5" s="292">
        <v>16</v>
      </c>
      <c r="F5" s="292"/>
      <c r="G5" s="286">
        <f t="shared" ref="G5:G52" si="0">(D5+E5+F5)*C5</f>
        <v>1760</v>
      </c>
      <c r="I5" s="292" t="s">
        <v>613</v>
      </c>
      <c r="J5" s="292" t="s">
        <v>7</v>
      </c>
      <c r="K5" s="293">
        <v>1050</v>
      </c>
      <c r="L5" s="287"/>
      <c r="M5" s="292">
        <v>11</v>
      </c>
      <c r="N5" s="292"/>
      <c r="O5" s="286">
        <f>(L5+M5+N5)*K5</f>
        <v>11550</v>
      </c>
      <c r="Q5" s="292" t="s">
        <v>613</v>
      </c>
      <c r="R5" s="292" t="s">
        <v>7</v>
      </c>
      <c r="S5" s="293">
        <v>1050</v>
      </c>
      <c r="T5" s="287"/>
      <c r="U5" s="292">
        <v>5</v>
      </c>
      <c r="V5" s="292"/>
      <c r="W5" s="286">
        <f>(T5+U5+V5)*S5</f>
        <v>5250</v>
      </c>
    </row>
    <row r="6" spans="1:23">
      <c r="A6" s="281" t="s">
        <v>614</v>
      </c>
      <c r="B6" s="289" t="s">
        <v>7</v>
      </c>
      <c r="C6" s="283">
        <v>1133</v>
      </c>
      <c r="D6" s="287"/>
      <c r="E6" s="285"/>
      <c r="F6" s="292"/>
      <c r="G6" s="286">
        <f t="shared" si="0"/>
        <v>0</v>
      </c>
      <c r="I6" s="281" t="s">
        <v>614</v>
      </c>
      <c r="J6" s="289" t="s">
        <v>7</v>
      </c>
      <c r="K6" s="293">
        <v>1050</v>
      </c>
      <c r="L6" s="287"/>
      <c r="M6" s="285"/>
      <c r="N6" s="292"/>
      <c r="O6" s="286">
        <f>(L6+M6+N6)*K6</f>
        <v>0</v>
      </c>
      <c r="Q6" s="281" t="s">
        <v>614</v>
      </c>
      <c r="R6" s="289" t="s">
        <v>7</v>
      </c>
      <c r="S6" s="293">
        <v>1050</v>
      </c>
      <c r="T6" s="287"/>
      <c r="U6" s="285">
        <v>0</v>
      </c>
      <c r="V6" s="292"/>
      <c r="W6" s="286">
        <f>(T6+U6+V6)*S6</f>
        <v>0</v>
      </c>
    </row>
    <row r="7" spans="1:23">
      <c r="A7" s="281" t="s">
        <v>615</v>
      </c>
      <c r="B7" s="289" t="s">
        <v>7</v>
      </c>
      <c r="C7" s="283">
        <v>1100</v>
      </c>
      <c r="D7" s="287"/>
      <c r="E7" s="285">
        <v>10</v>
      </c>
      <c r="F7" s="292"/>
      <c r="G7" s="286">
        <f t="shared" si="0"/>
        <v>11000</v>
      </c>
      <c r="I7" s="281" t="s">
        <v>615</v>
      </c>
      <c r="J7" s="289" t="s">
        <v>7</v>
      </c>
      <c r="K7" s="293">
        <v>1050</v>
      </c>
      <c r="L7" s="287"/>
      <c r="M7" s="285">
        <v>10</v>
      </c>
      <c r="N7" s="292"/>
      <c r="O7" s="286">
        <f>(L7+M7+N7)*K7</f>
        <v>10500</v>
      </c>
      <c r="Q7" s="281" t="s">
        <v>615</v>
      </c>
      <c r="R7" s="289" t="s">
        <v>7</v>
      </c>
      <c r="S7" s="293">
        <v>1050</v>
      </c>
      <c r="T7" s="287"/>
      <c r="U7" s="285">
        <v>4</v>
      </c>
      <c r="V7" s="292"/>
      <c r="W7" s="286">
        <f>(T7+U7+V7)*S7</f>
        <v>4200</v>
      </c>
    </row>
    <row r="8" spans="1:23">
      <c r="A8" s="281" t="s">
        <v>616</v>
      </c>
      <c r="B8" s="289" t="s">
        <v>7</v>
      </c>
      <c r="C8" s="283">
        <v>1100</v>
      </c>
      <c r="D8" s="287"/>
      <c r="E8" s="285">
        <v>5</v>
      </c>
      <c r="F8" s="292"/>
      <c r="G8" s="286">
        <f t="shared" si="0"/>
        <v>5500</v>
      </c>
      <c r="I8" s="281" t="s">
        <v>616</v>
      </c>
      <c r="J8" s="289" t="s">
        <v>7</v>
      </c>
      <c r="K8" s="293">
        <v>1050</v>
      </c>
      <c r="L8" s="287"/>
      <c r="M8" s="285"/>
      <c r="N8" s="292"/>
      <c r="O8" s="286">
        <f>(L8+M8+N8)*K8</f>
        <v>0</v>
      </c>
      <c r="Q8" s="281" t="s">
        <v>616</v>
      </c>
      <c r="R8" s="289" t="s">
        <v>7</v>
      </c>
      <c r="S8" s="293">
        <v>1050</v>
      </c>
      <c r="T8" s="287"/>
      <c r="U8" s="285">
        <v>0</v>
      </c>
      <c r="V8" s="292"/>
      <c r="W8" s="286">
        <f>(T8+U8+V8)*S8</f>
        <v>0</v>
      </c>
    </row>
    <row r="9" spans="1:23">
      <c r="A9" s="342" t="s">
        <v>617</v>
      </c>
      <c r="B9" s="342" t="s">
        <v>7</v>
      </c>
      <c r="C9" s="342">
        <v>1050</v>
      </c>
      <c r="D9" s="342"/>
      <c r="E9" s="342">
        <v>5</v>
      </c>
      <c r="F9" s="343"/>
      <c r="G9" s="286">
        <f t="shared" si="0"/>
        <v>5250</v>
      </c>
      <c r="I9" s="446" t="s">
        <v>617</v>
      </c>
      <c r="J9" s="446" t="s">
        <v>7</v>
      </c>
      <c r="K9" s="293">
        <v>1050</v>
      </c>
      <c r="L9" s="446"/>
      <c r="M9" s="446">
        <v>4</v>
      </c>
      <c r="N9" s="447"/>
      <c r="O9" s="286">
        <f>(L9+M9+N9)*K9</f>
        <v>4200</v>
      </c>
      <c r="Q9" s="446" t="s">
        <v>617</v>
      </c>
      <c r="R9" s="446" t="s">
        <v>7</v>
      </c>
      <c r="S9" s="293">
        <v>1050</v>
      </c>
      <c r="T9" s="446"/>
      <c r="U9" s="446">
        <v>1</v>
      </c>
      <c r="V9" s="447"/>
      <c r="W9" s="286">
        <f>(T9+U9+V9)*S9</f>
        <v>1050</v>
      </c>
    </row>
    <row r="10" spans="1:23">
      <c r="A10" s="281" t="s">
        <v>618</v>
      </c>
      <c r="B10" s="342" t="s">
        <v>7</v>
      </c>
      <c r="C10" s="342">
        <v>1050</v>
      </c>
      <c r="D10" s="344"/>
      <c r="E10" s="345">
        <v>7</v>
      </c>
      <c r="F10" s="345"/>
      <c r="G10" s="286">
        <f t="shared" si="0"/>
        <v>7350</v>
      </c>
      <c r="I10" s="281" t="s">
        <v>618</v>
      </c>
      <c r="J10" s="446" t="s">
        <v>7</v>
      </c>
      <c r="K10" s="293">
        <v>1050</v>
      </c>
      <c r="L10" s="448"/>
      <c r="M10" s="449">
        <v>2</v>
      </c>
      <c r="N10" s="449"/>
      <c r="O10" s="286">
        <f>(L10+M10+N10)*K10</f>
        <v>2100</v>
      </c>
      <c r="Q10" s="281" t="s">
        <v>618</v>
      </c>
      <c r="R10" s="446" t="s">
        <v>7</v>
      </c>
      <c r="S10" s="293">
        <v>1050</v>
      </c>
      <c r="T10" s="448"/>
      <c r="U10" s="449">
        <v>0</v>
      </c>
      <c r="V10" s="449"/>
      <c r="W10" s="286">
        <f>(T10+U10+V10)*S10</f>
        <v>0</v>
      </c>
    </row>
    <row r="11" spans="1:23">
      <c r="A11" s="281" t="s">
        <v>619</v>
      </c>
      <c r="B11" s="342" t="s">
        <v>7</v>
      </c>
      <c r="C11" s="342">
        <v>1050</v>
      </c>
      <c r="D11" s="344"/>
      <c r="E11" s="345">
        <v>9</v>
      </c>
      <c r="F11" s="345"/>
      <c r="G11" s="286">
        <f t="shared" si="0"/>
        <v>9450</v>
      </c>
      <c r="I11" s="281" t="s">
        <v>619</v>
      </c>
      <c r="J11" s="446" t="s">
        <v>7</v>
      </c>
      <c r="K11" s="293">
        <v>1050</v>
      </c>
      <c r="L11" s="448"/>
      <c r="M11" s="449">
        <v>5</v>
      </c>
      <c r="N11" s="449"/>
      <c r="O11" s="286">
        <f>(L11+M11+N11)*K11</f>
        <v>5250</v>
      </c>
      <c r="Q11" s="281" t="s">
        <v>619</v>
      </c>
      <c r="R11" s="446" t="s">
        <v>7</v>
      </c>
      <c r="S11" s="293">
        <v>1050</v>
      </c>
      <c r="T11" s="448"/>
      <c r="U11" s="449">
        <v>2</v>
      </c>
      <c r="V11" s="449"/>
      <c r="W11" s="286">
        <f>(T11+U11+V11)*S11</f>
        <v>2100</v>
      </c>
    </row>
    <row r="12" spans="1:23">
      <c r="A12" s="281" t="s">
        <v>620</v>
      </c>
      <c r="B12" s="342" t="s">
        <v>7</v>
      </c>
      <c r="C12" s="342">
        <v>1050</v>
      </c>
      <c r="D12" s="344"/>
      <c r="E12" s="345">
        <v>8</v>
      </c>
      <c r="F12" s="345"/>
      <c r="G12" s="286">
        <f t="shared" si="0"/>
        <v>8400</v>
      </c>
      <c r="I12" s="281" t="s">
        <v>620</v>
      </c>
      <c r="J12" s="446" t="s">
        <v>7</v>
      </c>
      <c r="K12" s="293">
        <v>1050</v>
      </c>
      <c r="L12" s="448"/>
      <c r="M12" s="449">
        <v>1</v>
      </c>
      <c r="N12" s="449"/>
      <c r="O12" s="286">
        <f>(L12+M12+N12)*K12</f>
        <v>1050</v>
      </c>
      <c r="Q12" s="281" t="s">
        <v>620</v>
      </c>
      <c r="R12" s="446" t="s">
        <v>7</v>
      </c>
      <c r="S12" s="293">
        <v>1050</v>
      </c>
      <c r="T12" s="448"/>
      <c r="U12" s="449">
        <v>14</v>
      </c>
      <c r="V12" s="449"/>
      <c r="W12" s="286">
        <f>(T12+U12+V12)*S12</f>
        <v>14700</v>
      </c>
    </row>
    <row r="13" spans="1:23">
      <c r="A13" s="281" t="s">
        <v>621</v>
      </c>
      <c r="B13" s="342" t="s">
        <v>7</v>
      </c>
      <c r="C13" s="342">
        <v>1050</v>
      </c>
      <c r="D13" s="344"/>
      <c r="E13" s="345">
        <v>11</v>
      </c>
      <c r="F13" s="345"/>
      <c r="G13" s="286">
        <f t="shared" si="0"/>
        <v>11550</v>
      </c>
      <c r="I13" s="281" t="s">
        <v>621</v>
      </c>
      <c r="J13" s="446" t="s">
        <v>7</v>
      </c>
      <c r="K13" s="293">
        <v>1050</v>
      </c>
      <c r="L13" s="448"/>
      <c r="M13" s="449">
        <v>6</v>
      </c>
      <c r="N13" s="449"/>
      <c r="O13" s="286">
        <f>(L13+M13+N13)*K13</f>
        <v>6300</v>
      </c>
      <c r="Q13" s="281" t="s">
        <v>621</v>
      </c>
      <c r="R13" s="446" t="s">
        <v>7</v>
      </c>
      <c r="S13" s="293">
        <v>1050</v>
      </c>
      <c r="T13" s="448"/>
      <c r="U13" s="449">
        <v>2</v>
      </c>
      <c r="V13" s="449"/>
      <c r="W13" s="286">
        <f>(T13+U13+V13)*S13</f>
        <v>2100</v>
      </c>
    </row>
    <row r="14" spans="1:23">
      <c r="A14" s="281" t="s">
        <v>622</v>
      </c>
      <c r="B14" s="342" t="s">
        <v>7</v>
      </c>
      <c r="C14" s="342">
        <v>1050</v>
      </c>
      <c r="D14" s="344"/>
      <c r="E14" s="345">
        <v>1</v>
      </c>
      <c r="F14" s="345"/>
      <c r="G14" s="286">
        <f t="shared" si="0"/>
        <v>1050</v>
      </c>
      <c r="I14" s="281" t="s">
        <v>622</v>
      </c>
      <c r="J14" s="446" t="s">
        <v>7</v>
      </c>
      <c r="K14" s="293">
        <v>1050</v>
      </c>
      <c r="L14" s="448"/>
      <c r="M14" s="449"/>
      <c r="N14" s="449"/>
      <c r="O14" s="286">
        <f>(L14+M14+N14)*K14</f>
        <v>0</v>
      </c>
      <c r="Q14" s="281" t="s">
        <v>622</v>
      </c>
      <c r="R14" s="446" t="s">
        <v>7</v>
      </c>
      <c r="S14" s="293">
        <v>1050</v>
      </c>
      <c r="T14" s="448"/>
      <c r="U14" s="449">
        <v>0</v>
      </c>
      <c r="V14" s="449"/>
      <c r="W14" s="286">
        <f>(T14+U14+V14)*S14</f>
        <v>0</v>
      </c>
    </row>
    <row r="15" spans="1:23">
      <c r="A15" s="345" t="s">
        <v>134</v>
      </c>
      <c r="B15" s="342" t="s">
        <v>7</v>
      </c>
      <c r="C15" s="342">
        <v>1050</v>
      </c>
      <c r="D15" s="344"/>
      <c r="E15" s="345">
        <v>3</v>
      </c>
      <c r="F15" s="345"/>
      <c r="G15" s="286">
        <f t="shared" si="0"/>
        <v>3150</v>
      </c>
      <c r="I15" s="449" t="s">
        <v>134</v>
      </c>
      <c r="J15" s="446" t="s">
        <v>7</v>
      </c>
      <c r="K15" s="293">
        <v>1050</v>
      </c>
      <c r="L15" s="448"/>
      <c r="M15" s="449"/>
      <c r="N15" s="449"/>
      <c r="O15" s="286">
        <f>(L15+M15+N15)*K15</f>
        <v>0</v>
      </c>
      <c r="Q15" s="449" t="s">
        <v>134</v>
      </c>
      <c r="R15" s="446" t="s">
        <v>7</v>
      </c>
      <c r="S15" s="293">
        <v>1050</v>
      </c>
      <c r="T15" s="448"/>
      <c r="U15" s="449">
        <v>0</v>
      </c>
      <c r="V15" s="449"/>
      <c r="W15" s="286">
        <f>(T15+U15+V15)*S15</f>
        <v>0</v>
      </c>
    </row>
    <row r="16" spans="1:23">
      <c r="A16" s="281" t="s">
        <v>623</v>
      </c>
      <c r="B16" s="342" t="s">
        <v>7</v>
      </c>
      <c r="C16" s="342">
        <v>1050</v>
      </c>
      <c r="D16" s="344"/>
      <c r="E16" s="344">
        <v>96</v>
      </c>
      <c r="F16" s="344"/>
      <c r="G16" s="286">
        <f t="shared" si="0"/>
        <v>100800</v>
      </c>
      <c r="I16" s="281" t="s">
        <v>623</v>
      </c>
      <c r="J16" s="446" t="s">
        <v>7</v>
      </c>
      <c r="K16" s="293">
        <v>1050</v>
      </c>
      <c r="L16" s="448"/>
      <c r="M16" s="448">
        <v>91</v>
      </c>
      <c r="N16" s="448"/>
      <c r="O16" s="286">
        <f>(L16+M16+N16)*K16</f>
        <v>95550</v>
      </c>
      <c r="Q16" s="281" t="s">
        <v>623</v>
      </c>
      <c r="R16" s="446" t="s">
        <v>7</v>
      </c>
      <c r="S16" s="293">
        <v>1050</v>
      </c>
      <c r="T16" s="448"/>
      <c r="U16" s="448">
        <v>75</v>
      </c>
      <c r="V16" s="448"/>
      <c r="W16" s="286">
        <f>(T16+U16+V16)*S16</f>
        <v>78750</v>
      </c>
    </row>
    <row r="17" spans="1:23">
      <c r="A17" s="281" t="s">
        <v>624</v>
      </c>
      <c r="B17" s="342" t="s">
        <v>7</v>
      </c>
      <c r="C17" s="342">
        <v>1050</v>
      </c>
      <c r="D17" s="344"/>
      <c r="E17" s="344">
        <v>24</v>
      </c>
      <c r="F17" s="344"/>
      <c r="G17" s="286">
        <f t="shared" si="0"/>
        <v>25200</v>
      </c>
      <c r="I17" s="281" t="s">
        <v>624</v>
      </c>
      <c r="J17" s="446" t="s">
        <v>7</v>
      </c>
      <c r="K17" s="293">
        <v>1050</v>
      </c>
      <c r="L17" s="448"/>
      <c r="M17" s="448">
        <v>13</v>
      </c>
      <c r="N17" s="448"/>
      <c r="O17" s="286">
        <f>(L17+M17+N17)*K17</f>
        <v>13650</v>
      </c>
      <c r="Q17" s="281" t="s">
        <v>624</v>
      </c>
      <c r="R17" s="446" t="s">
        <v>7</v>
      </c>
      <c r="S17" s="293">
        <v>1050</v>
      </c>
      <c r="T17" s="448"/>
      <c r="U17" s="448">
        <v>0</v>
      </c>
      <c r="V17" s="448"/>
      <c r="W17" s="286">
        <f>(T17+U17+V17)*S17</f>
        <v>0</v>
      </c>
    </row>
    <row r="18" spans="1:23">
      <c r="A18" s="281" t="s">
        <v>625</v>
      </c>
      <c r="B18" s="342" t="s">
        <v>7</v>
      </c>
      <c r="C18" s="342">
        <v>1050</v>
      </c>
      <c r="D18" s="344"/>
      <c r="E18" s="346">
        <v>34</v>
      </c>
      <c r="F18" s="344"/>
      <c r="G18" s="286">
        <f t="shared" si="0"/>
        <v>35700</v>
      </c>
      <c r="I18" s="281" t="s">
        <v>625</v>
      </c>
      <c r="J18" s="446" t="s">
        <v>7</v>
      </c>
      <c r="K18" s="293">
        <v>1050</v>
      </c>
      <c r="L18" s="448"/>
      <c r="M18" s="450">
        <v>27</v>
      </c>
      <c r="N18" s="448"/>
      <c r="O18" s="286">
        <f>(L18+M18+N18)*K18</f>
        <v>28350</v>
      </c>
      <c r="Q18" s="281" t="s">
        <v>625</v>
      </c>
      <c r="R18" s="446" t="s">
        <v>7</v>
      </c>
      <c r="S18" s="293">
        <v>1050</v>
      </c>
      <c r="T18" s="448"/>
      <c r="U18" s="450">
        <v>16</v>
      </c>
      <c r="V18" s="448"/>
      <c r="W18" s="286">
        <f>(T18+U18+V18)*S18</f>
        <v>16800</v>
      </c>
    </row>
    <row r="19" spans="1:23">
      <c r="A19" s="281" t="s">
        <v>626</v>
      </c>
      <c r="B19" s="342" t="s">
        <v>7</v>
      </c>
      <c r="C19" s="342">
        <v>1050</v>
      </c>
      <c r="D19" s="344"/>
      <c r="E19" s="284">
        <v>1</v>
      </c>
      <c r="F19" s="344"/>
      <c r="G19" s="286">
        <f t="shared" si="0"/>
        <v>1050</v>
      </c>
      <c r="I19" s="281" t="s">
        <v>626</v>
      </c>
      <c r="J19" s="446" t="s">
        <v>7</v>
      </c>
      <c r="K19" s="293">
        <v>1050</v>
      </c>
      <c r="L19" s="448"/>
      <c r="M19" s="284">
        <v>1</v>
      </c>
      <c r="N19" s="448"/>
      <c r="O19" s="286">
        <f>(L19+M19+N19)*K19</f>
        <v>1050</v>
      </c>
      <c r="Q19" s="281" t="s">
        <v>626</v>
      </c>
      <c r="R19" s="446" t="s">
        <v>7</v>
      </c>
      <c r="S19" s="293">
        <v>1050</v>
      </c>
      <c r="T19" s="448"/>
      <c r="U19" s="284">
        <v>1</v>
      </c>
      <c r="V19" s="448"/>
      <c r="W19" s="286">
        <f>(T19+U19+V19)*S19</f>
        <v>1050</v>
      </c>
    </row>
    <row r="20" spans="1:23">
      <c r="A20" s="281" t="s">
        <v>627</v>
      </c>
      <c r="B20" s="342" t="s">
        <v>7</v>
      </c>
      <c r="C20" s="342">
        <v>1050</v>
      </c>
      <c r="D20" s="344"/>
      <c r="E20" s="284">
        <v>35</v>
      </c>
      <c r="F20" s="344"/>
      <c r="G20" s="286">
        <f t="shared" si="0"/>
        <v>36750</v>
      </c>
      <c r="I20" s="281" t="s">
        <v>627</v>
      </c>
      <c r="J20" s="446" t="s">
        <v>7</v>
      </c>
      <c r="K20" s="293">
        <v>1050</v>
      </c>
      <c r="L20" s="448"/>
      <c r="M20" s="284">
        <v>42</v>
      </c>
      <c r="N20" s="448"/>
      <c r="O20" s="286">
        <f>(L20+M20+N20)*K20</f>
        <v>44100</v>
      </c>
      <c r="Q20" s="281" t="s">
        <v>627</v>
      </c>
      <c r="R20" s="446" t="s">
        <v>7</v>
      </c>
      <c r="S20" s="293">
        <v>1050</v>
      </c>
      <c r="T20" s="448"/>
      <c r="U20" s="284">
        <v>31</v>
      </c>
      <c r="V20" s="448"/>
      <c r="W20" s="286">
        <f>(T20+U20+V20)*S20</f>
        <v>32550</v>
      </c>
    </row>
    <row r="21" spans="1:23">
      <c r="A21" s="281" t="s">
        <v>628</v>
      </c>
      <c r="B21" s="342" t="s">
        <v>7</v>
      </c>
      <c r="C21" s="342">
        <v>1050</v>
      </c>
      <c r="D21" s="344"/>
      <c r="E21" s="284">
        <v>20</v>
      </c>
      <c r="F21" s="344"/>
      <c r="G21" s="286">
        <f t="shared" si="0"/>
        <v>21000</v>
      </c>
      <c r="I21" s="281" t="s">
        <v>628</v>
      </c>
      <c r="J21" s="446" t="s">
        <v>7</v>
      </c>
      <c r="K21" s="293">
        <v>1050</v>
      </c>
      <c r="L21" s="448"/>
      <c r="M21" s="284">
        <v>13</v>
      </c>
      <c r="N21" s="448"/>
      <c r="O21" s="286">
        <f>(L21+M21+N21)*K21</f>
        <v>13650</v>
      </c>
      <c r="Q21" s="281" t="s">
        <v>628</v>
      </c>
      <c r="R21" s="446" t="s">
        <v>7</v>
      </c>
      <c r="S21" s="293">
        <v>1050</v>
      </c>
      <c r="T21" s="448"/>
      <c r="U21" s="284">
        <v>7</v>
      </c>
      <c r="V21" s="448"/>
      <c r="W21" s="286">
        <f>(T21+U21+V21)*S21</f>
        <v>7350</v>
      </c>
    </row>
    <row r="22" spans="1:23">
      <c r="A22" s="281" t="s">
        <v>629</v>
      </c>
      <c r="B22" s="342" t="s">
        <v>7</v>
      </c>
      <c r="C22" s="342">
        <v>1050</v>
      </c>
      <c r="D22" s="344"/>
      <c r="E22" s="284">
        <v>12</v>
      </c>
      <c r="F22" s="344"/>
      <c r="G22" s="286">
        <f t="shared" si="0"/>
        <v>12600</v>
      </c>
      <c r="I22" s="281" t="s">
        <v>629</v>
      </c>
      <c r="J22" s="446" t="s">
        <v>7</v>
      </c>
      <c r="K22" s="293">
        <v>1050</v>
      </c>
      <c r="L22" s="448"/>
      <c r="M22" s="284"/>
      <c r="N22" s="448"/>
      <c r="O22" s="286">
        <f>(L22+M22+N22)*K22</f>
        <v>0</v>
      </c>
      <c r="Q22" s="281" t="s">
        <v>629</v>
      </c>
      <c r="R22" s="446" t="s">
        <v>7</v>
      </c>
      <c r="S22" s="293">
        <v>1050</v>
      </c>
      <c r="T22" s="448"/>
      <c r="U22" s="284">
        <v>0</v>
      </c>
      <c r="V22" s="448"/>
      <c r="W22" s="286">
        <f>(T22+U22+V22)*S22</f>
        <v>0</v>
      </c>
    </row>
    <row r="23" spans="1:23">
      <c r="A23" s="342" t="s">
        <v>630</v>
      </c>
      <c r="B23" s="342" t="s">
        <v>7</v>
      </c>
      <c r="C23" s="342">
        <v>1050</v>
      </c>
      <c r="D23" s="342"/>
      <c r="E23" s="342">
        <v>17</v>
      </c>
      <c r="F23" s="344"/>
      <c r="G23" s="286">
        <f t="shared" si="0"/>
        <v>17850</v>
      </c>
      <c r="I23" s="446" t="s">
        <v>630</v>
      </c>
      <c r="J23" s="446" t="s">
        <v>7</v>
      </c>
      <c r="K23" s="293">
        <v>1050</v>
      </c>
      <c r="L23" s="446"/>
      <c r="M23" s="446">
        <v>10</v>
      </c>
      <c r="N23" s="448"/>
      <c r="O23" s="286">
        <f>(L23+M23+N23)*K23</f>
        <v>10500</v>
      </c>
      <c r="Q23" s="446" t="s">
        <v>630</v>
      </c>
      <c r="R23" s="446" t="s">
        <v>7</v>
      </c>
      <c r="S23" s="293">
        <v>1050</v>
      </c>
      <c r="T23" s="446"/>
      <c r="U23" s="446">
        <v>6</v>
      </c>
      <c r="V23" s="448"/>
      <c r="W23" s="286">
        <f>(T23+U23+V23)*S23</f>
        <v>6300</v>
      </c>
    </row>
    <row r="24" spans="1:23">
      <c r="A24" s="342" t="s">
        <v>631</v>
      </c>
      <c r="B24" s="342" t="s">
        <v>7</v>
      </c>
      <c r="C24" s="342">
        <v>1050</v>
      </c>
      <c r="D24" s="342"/>
      <c r="E24" s="342">
        <v>171</v>
      </c>
      <c r="F24" s="344"/>
      <c r="G24" s="286">
        <f t="shared" si="0"/>
        <v>179550</v>
      </c>
      <c r="I24" s="446" t="s">
        <v>631</v>
      </c>
      <c r="J24" s="446" t="s">
        <v>7</v>
      </c>
      <c r="K24" s="293">
        <v>1050</v>
      </c>
      <c r="L24" s="446"/>
      <c r="M24" s="446">
        <v>135</v>
      </c>
      <c r="N24" s="448"/>
      <c r="O24" s="286">
        <f>(L24+M24+N24)*K24</f>
        <v>141750</v>
      </c>
      <c r="Q24" s="446" t="s">
        <v>631</v>
      </c>
      <c r="R24" s="446" t="s">
        <v>7</v>
      </c>
      <c r="S24" s="293">
        <v>1050</v>
      </c>
      <c r="T24" s="446"/>
      <c r="U24" s="446">
        <v>144</v>
      </c>
      <c r="V24" s="448"/>
      <c r="W24" s="286">
        <f>(T24+U24+V24)*S24</f>
        <v>151200</v>
      </c>
    </row>
    <row r="25" spans="1:23">
      <c r="A25" s="342" t="s">
        <v>632</v>
      </c>
      <c r="B25" s="292" t="s">
        <v>633</v>
      </c>
      <c r="C25" s="342">
        <v>154</v>
      </c>
      <c r="D25" s="342"/>
      <c r="E25" s="342">
        <v>75</v>
      </c>
      <c r="F25" s="343"/>
      <c r="G25" s="286">
        <f t="shared" si="0"/>
        <v>11550</v>
      </c>
      <c r="I25" s="49" t="s">
        <v>634</v>
      </c>
      <c r="J25" s="446" t="s">
        <v>7</v>
      </c>
      <c r="K25" s="293">
        <v>1050</v>
      </c>
      <c r="L25" s="446"/>
      <c r="M25" s="446">
        <v>33</v>
      </c>
      <c r="N25" s="448"/>
      <c r="O25" s="286">
        <f>(L25+M25+N25)*K25</f>
        <v>34650</v>
      </c>
      <c r="Q25" s="49" t="s">
        <v>634</v>
      </c>
      <c r="R25" s="446" t="s">
        <v>7</v>
      </c>
      <c r="S25" s="293">
        <v>1050</v>
      </c>
      <c r="T25" s="446"/>
      <c r="U25" s="446">
        <v>13</v>
      </c>
      <c r="V25" s="448"/>
      <c r="W25" s="286">
        <f>(T25+U25+V25)*S25</f>
        <v>13650</v>
      </c>
    </row>
    <row r="26" spans="1:23" ht="21">
      <c r="A26" s="281" t="s">
        <v>635</v>
      </c>
      <c r="B26" s="292" t="s">
        <v>633</v>
      </c>
      <c r="C26" s="281">
        <v>42</v>
      </c>
      <c r="D26" s="304"/>
      <c r="E26" s="304">
        <v>471</v>
      </c>
      <c r="F26" s="304"/>
      <c r="G26" s="286">
        <f t="shared" si="0"/>
        <v>19782</v>
      </c>
      <c r="I26" s="507" t="s">
        <v>636</v>
      </c>
      <c r="J26" s="508" t="s">
        <v>7</v>
      </c>
      <c r="K26" s="509">
        <v>1050</v>
      </c>
      <c r="L26" s="446"/>
      <c r="M26" s="446"/>
      <c r="N26" s="448"/>
      <c r="O26" s="286">
        <f>(L26+M26+N26)*K26</f>
        <v>0</v>
      </c>
      <c r="Q26" s="507" t="s">
        <v>636</v>
      </c>
      <c r="R26" s="508" t="s">
        <v>7</v>
      </c>
      <c r="S26" s="509">
        <v>1050</v>
      </c>
      <c r="T26" s="508"/>
      <c r="U26" s="508">
        <v>54</v>
      </c>
      <c r="V26" s="510"/>
      <c r="W26" s="463">
        <f>(T26+U26+V26)*S26</f>
        <v>56700</v>
      </c>
    </row>
    <row r="27" spans="1:23">
      <c r="A27" s="281" t="s">
        <v>637</v>
      </c>
      <c r="B27" s="292" t="s">
        <v>633</v>
      </c>
      <c r="C27" s="281">
        <v>77</v>
      </c>
      <c r="D27" s="304"/>
      <c r="E27" s="304">
        <v>240</v>
      </c>
      <c r="F27" s="304"/>
      <c r="G27" s="286">
        <f>(D27+E27+F27)*C27</f>
        <v>18480</v>
      </c>
      <c r="I27" s="450" t="s">
        <v>632</v>
      </c>
      <c r="J27" s="505" t="s">
        <v>633</v>
      </c>
      <c r="K27" s="450">
        <v>154</v>
      </c>
      <c r="L27" s="446"/>
      <c r="M27" s="446"/>
      <c r="N27" s="447"/>
      <c r="O27" s="286">
        <f>(L27+M27+N27)*K27</f>
        <v>0</v>
      </c>
      <c r="Q27" s="187" t="s">
        <v>638</v>
      </c>
      <c r="R27" s="446" t="s">
        <v>7</v>
      </c>
      <c r="S27" s="293">
        <v>1050</v>
      </c>
      <c r="T27" s="446"/>
      <c r="U27" s="446">
        <v>30</v>
      </c>
      <c r="V27" s="447"/>
      <c r="W27" s="463">
        <f t="shared" ref="W27:X31" si="1">(T27+U27+V27)*S27</f>
        <v>31500</v>
      </c>
    </row>
    <row r="28" spans="1:23">
      <c r="A28" s="281" t="s">
        <v>407</v>
      </c>
      <c r="B28" s="292" t="s">
        <v>633</v>
      </c>
      <c r="C28" s="281">
        <v>99</v>
      </c>
      <c r="D28" s="304"/>
      <c r="E28" s="304">
        <v>132</v>
      </c>
      <c r="F28" s="304"/>
      <c r="G28" s="286">
        <f>(D28+E28+F28)*C28</f>
        <v>13068</v>
      </c>
      <c r="I28" s="281" t="s">
        <v>635</v>
      </c>
      <c r="J28" s="292" t="s">
        <v>633</v>
      </c>
      <c r="K28" s="281">
        <v>42</v>
      </c>
      <c r="L28" s="301"/>
      <c r="M28" s="301">
        <v>408</v>
      </c>
      <c r="N28" s="301"/>
      <c r="O28" s="286">
        <f>(L28+M28+N28)*K28</f>
        <v>17136</v>
      </c>
      <c r="Q28" s="187" t="s">
        <v>639</v>
      </c>
      <c r="R28" s="508" t="s">
        <v>7</v>
      </c>
      <c r="S28" s="293">
        <v>1050</v>
      </c>
      <c r="T28" s="446"/>
      <c r="U28" s="446">
        <v>2</v>
      </c>
      <c r="V28" s="447"/>
      <c r="W28" s="463">
        <f t="shared" si="1"/>
        <v>2100</v>
      </c>
    </row>
    <row r="29" spans="1:23">
      <c r="A29" s="281" t="s">
        <v>640</v>
      </c>
      <c r="B29" s="292" t="s">
        <v>633</v>
      </c>
      <c r="C29" s="281">
        <v>106</v>
      </c>
      <c r="D29" s="304"/>
      <c r="E29" s="304">
        <v>336</v>
      </c>
      <c r="F29" s="304"/>
      <c r="G29" s="286">
        <f>(D29+E29+F29)*C29</f>
        <v>35616</v>
      </c>
      <c r="I29" s="281" t="s">
        <v>637</v>
      </c>
      <c r="J29" s="292" t="s">
        <v>633</v>
      </c>
      <c r="K29" s="281">
        <v>77</v>
      </c>
      <c r="L29" s="301"/>
      <c r="M29" s="301">
        <v>240</v>
      </c>
      <c r="N29" s="301"/>
      <c r="O29" s="286">
        <f>(L29+M29+N29)*K29</f>
        <v>18480</v>
      </c>
      <c r="Q29" s="187" t="s">
        <v>641</v>
      </c>
      <c r="R29" s="446" t="s">
        <v>7</v>
      </c>
      <c r="S29" s="293">
        <v>1050</v>
      </c>
      <c r="T29" s="446"/>
      <c r="U29" s="446">
        <v>3</v>
      </c>
      <c r="V29" s="447"/>
      <c r="W29" s="463">
        <f t="shared" si="1"/>
        <v>3150</v>
      </c>
    </row>
    <row r="30" spans="1:23">
      <c r="A30" s="281" t="s">
        <v>642</v>
      </c>
      <c r="B30" s="292" t="s">
        <v>633</v>
      </c>
      <c r="C30" s="281">
        <v>32</v>
      </c>
      <c r="D30" s="304"/>
      <c r="E30" s="304">
        <v>1080</v>
      </c>
      <c r="F30" s="304"/>
      <c r="G30" s="286">
        <f>(D30+E30+F30)*C30</f>
        <v>34560</v>
      </c>
      <c r="I30" s="281" t="s">
        <v>407</v>
      </c>
      <c r="J30" s="292" t="s">
        <v>633</v>
      </c>
      <c r="K30" s="281">
        <v>99</v>
      </c>
      <c r="L30" s="301"/>
      <c r="M30" s="301"/>
      <c r="N30" s="301"/>
      <c r="O30" s="286">
        <f>(L30+M30+N30)*K30</f>
        <v>0</v>
      </c>
      <c r="Q30" s="187" t="s">
        <v>643</v>
      </c>
      <c r="R30" s="508" t="s">
        <v>7</v>
      </c>
      <c r="S30" s="293">
        <v>1050</v>
      </c>
      <c r="T30" s="446"/>
      <c r="U30" s="446">
        <v>5</v>
      </c>
      <c r="V30" s="447"/>
      <c r="W30" s="463">
        <f t="shared" si="1"/>
        <v>5250</v>
      </c>
    </row>
    <row r="31" spans="1:23">
      <c r="A31" s="281" t="s">
        <v>644</v>
      </c>
      <c r="B31" s="292" t="s">
        <v>633</v>
      </c>
      <c r="C31" s="281">
        <v>150</v>
      </c>
      <c r="D31" s="304"/>
      <c r="E31" s="304">
        <v>300</v>
      </c>
      <c r="F31" s="304"/>
      <c r="G31" s="286">
        <f>(D31+E31+F31)*C31</f>
        <v>45000</v>
      </c>
      <c r="I31" s="281" t="s">
        <v>640</v>
      </c>
      <c r="J31" s="292" t="s">
        <v>633</v>
      </c>
      <c r="K31" s="281">
        <v>106</v>
      </c>
      <c r="L31" s="301"/>
      <c r="M31" s="301"/>
      <c r="N31" s="301"/>
      <c r="O31" s="286">
        <f>(L31+M31+N31)*K31</f>
        <v>0</v>
      </c>
      <c r="Q31" s="187" t="s">
        <v>645</v>
      </c>
      <c r="R31" s="446" t="s">
        <v>7</v>
      </c>
      <c r="S31" s="293">
        <v>1050</v>
      </c>
      <c r="T31" s="446"/>
      <c r="U31" s="446">
        <v>33</v>
      </c>
      <c r="V31" s="511"/>
      <c r="W31" s="462">
        <f t="shared" si="1"/>
        <v>34650</v>
      </c>
    </row>
    <row r="32" spans="1:23">
      <c r="A32" s="281" t="s">
        <v>646</v>
      </c>
      <c r="B32" s="292" t="s">
        <v>633</v>
      </c>
      <c r="C32" s="281">
        <v>150</v>
      </c>
      <c r="D32" s="304"/>
      <c r="E32" s="304">
        <v>240</v>
      </c>
      <c r="F32" s="304"/>
      <c r="G32" s="286">
        <f>(D32+E32+F32)*C32</f>
        <v>36000</v>
      </c>
      <c r="I32" s="281" t="s">
        <v>642</v>
      </c>
      <c r="J32" s="292" t="s">
        <v>633</v>
      </c>
      <c r="K32" s="281">
        <v>32</v>
      </c>
      <c r="L32" s="301"/>
      <c r="M32" s="301">
        <v>288</v>
      </c>
      <c r="N32" s="301"/>
      <c r="O32" s="286">
        <f>(L32+M32+N32)*K32</f>
        <v>9216</v>
      </c>
      <c r="Q32" s="450" t="s">
        <v>647</v>
      </c>
      <c r="R32" s="505" t="s">
        <v>633</v>
      </c>
      <c r="S32" s="450">
        <v>250</v>
      </c>
      <c r="T32" s="450"/>
      <c r="U32" s="450">
        <v>240</v>
      </c>
      <c r="V32" s="512"/>
      <c r="W32" s="462">
        <f>(T32+U32+V32)*S32</f>
        <v>60000</v>
      </c>
    </row>
    <row r="33" spans="1:23">
      <c r="A33" s="292" t="s">
        <v>648</v>
      </c>
      <c r="B33" s="292" t="s">
        <v>633</v>
      </c>
      <c r="C33" s="287">
        <v>200</v>
      </c>
      <c r="D33" s="287"/>
      <c r="E33" s="285">
        <v>700</v>
      </c>
      <c r="F33" s="292"/>
      <c r="G33" s="286">
        <f>(D33+E33+F33)*C33</f>
        <v>140000</v>
      </c>
      <c r="I33" s="281" t="s">
        <v>644</v>
      </c>
      <c r="J33" s="292" t="s">
        <v>633</v>
      </c>
      <c r="K33" s="281">
        <v>150</v>
      </c>
      <c r="L33" s="301"/>
      <c r="M33" s="301">
        <v>240</v>
      </c>
      <c r="N33" s="301"/>
      <c r="O33" s="286">
        <f>(L33+M33+N33)*K33</f>
        <v>36000</v>
      </c>
      <c r="Q33" s="281" t="s">
        <v>635</v>
      </c>
      <c r="R33" s="292" t="s">
        <v>633</v>
      </c>
      <c r="S33" s="281">
        <v>42</v>
      </c>
      <c r="T33" s="301"/>
      <c r="U33" s="301">
        <v>322</v>
      </c>
      <c r="V33" s="301"/>
      <c r="W33" s="506">
        <f>(T33+U33+V33)*S33</f>
        <v>13524</v>
      </c>
    </row>
    <row r="34" spans="1:23">
      <c r="A34" s="292" t="s">
        <v>649</v>
      </c>
      <c r="B34" s="292" t="s">
        <v>650</v>
      </c>
      <c r="C34" s="287">
        <v>280</v>
      </c>
      <c r="D34" s="287"/>
      <c r="E34" s="285">
        <v>120</v>
      </c>
      <c r="F34" s="292"/>
      <c r="G34" s="286">
        <f>(D34+E34+F34)*C34</f>
        <v>33600</v>
      </c>
      <c r="I34" s="292" t="s">
        <v>648</v>
      </c>
      <c r="J34" s="292" t="s">
        <v>633</v>
      </c>
      <c r="K34" s="287">
        <v>200</v>
      </c>
      <c r="L34" s="287"/>
      <c r="M34" s="285">
        <v>100</v>
      </c>
      <c r="N34" s="292"/>
      <c r="O34" s="286">
        <f>(L34+M34+N34)*K34</f>
        <v>20000</v>
      </c>
      <c r="Q34" s="281" t="s">
        <v>637</v>
      </c>
      <c r="R34" s="292" t="s">
        <v>633</v>
      </c>
      <c r="S34" s="281">
        <v>77</v>
      </c>
      <c r="T34" s="301"/>
      <c r="U34" s="301">
        <v>120</v>
      </c>
      <c r="V34" s="301"/>
      <c r="W34" s="286">
        <f>(T34+U34+V34)*S34</f>
        <v>9240</v>
      </c>
    </row>
    <row r="35" spans="1:23">
      <c r="A35" s="292" t="s">
        <v>651</v>
      </c>
      <c r="B35" s="292" t="s">
        <v>650</v>
      </c>
      <c r="C35" s="287">
        <v>220</v>
      </c>
      <c r="D35" s="287"/>
      <c r="E35" s="285">
        <v>288</v>
      </c>
      <c r="F35" s="292"/>
      <c r="G35" s="286">
        <f>(D35+E35+F35)*C35</f>
        <v>63360</v>
      </c>
      <c r="I35" s="292" t="s">
        <v>652</v>
      </c>
      <c r="J35" s="292" t="s">
        <v>633</v>
      </c>
      <c r="K35" s="287">
        <v>150</v>
      </c>
      <c r="L35" s="287"/>
      <c r="M35" s="285">
        <v>23</v>
      </c>
      <c r="N35" s="292"/>
      <c r="O35" s="286">
        <f>(L35+M35+N35)*K35</f>
        <v>3450</v>
      </c>
      <c r="Q35" s="281" t="s">
        <v>653</v>
      </c>
      <c r="R35" s="292" t="s">
        <v>633</v>
      </c>
      <c r="S35" s="281">
        <v>90</v>
      </c>
      <c r="T35" s="301"/>
      <c r="U35" s="301">
        <v>140</v>
      </c>
      <c r="V35" s="301"/>
      <c r="W35" s="286">
        <f>(T35+U35+V35)*S35</f>
        <v>12600</v>
      </c>
    </row>
    <row r="36" spans="1:23">
      <c r="A36" s="281" t="s">
        <v>654</v>
      </c>
      <c r="B36" s="292" t="s">
        <v>650</v>
      </c>
      <c r="C36" s="347">
        <v>256</v>
      </c>
      <c r="D36" s="347"/>
      <c r="E36" s="347">
        <v>600</v>
      </c>
      <c r="F36" s="459"/>
      <c r="G36" s="286">
        <f>(D36+E36+F36)*C36</f>
        <v>153600</v>
      </c>
      <c r="I36" s="292" t="s">
        <v>649</v>
      </c>
      <c r="J36" s="292" t="s">
        <v>650</v>
      </c>
      <c r="K36" s="287">
        <v>280</v>
      </c>
      <c r="L36" s="287"/>
      <c r="M36" s="285"/>
      <c r="N36" s="292"/>
      <c r="O36" s="286">
        <f>(L36+M36+N36)*K36</f>
        <v>0</v>
      </c>
      <c r="Q36" s="281" t="s">
        <v>655</v>
      </c>
      <c r="R36" s="292" t="s">
        <v>633</v>
      </c>
      <c r="S36" s="281">
        <v>32</v>
      </c>
      <c r="T36" s="301"/>
      <c r="U36" s="301">
        <v>240</v>
      </c>
      <c r="V36" s="301"/>
      <c r="W36" s="286">
        <f>(T36+U36+V36)*S36</f>
        <v>7680</v>
      </c>
    </row>
    <row r="37" spans="1:23">
      <c r="A37" s="342" t="s">
        <v>648</v>
      </c>
      <c r="B37" s="292" t="s">
        <v>650</v>
      </c>
      <c r="C37" s="342">
        <v>200</v>
      </c>
      <c r="D37" s="342"/>
      <c r="E37" s="342">
        <v>50</v>
      </c>
      <c r="F37" s="343"/>
      <c r="G37" s="286">
        <f>(D37+E37+F37)*C37</f>
        <v>10000</v>
      </c>
      <c r="I37" s="292" t="s">
        <v>651</v>
      </c>
      <c r="J37" s="292" t="s">
        <v>650</v>
      </c>
      <c r="K37" s="287">
        <v>220</v>
      </c>
      <c r="L37" s="287"/>
      <c r="M37" s="285"/>
      <c r="N37" s="292"/>
      <c r="O37" s="286">
        <f>(L37+M37+N37)*K37</f>
        <v>0</v>
      </c>
      <c r="Q37" s="281" t="s">
        <v>642</v>
      </c>
      <c r="R37" s="292" t="s">
        <v>633</v>
      </c>
      <c r="S37" s="281">
        <v>32</v>
      </c>
      <c r="T37" s="301"/>
      <c r="U37" s="301">
        <v>400</v>
      </c>
      <c r="V37" s="301"/>
      <c r="W37" s="286">
        <f>(T37+U37+V37)*S37</f>
        <v>12800</v>
      </c>
    </row>
    <row r="38" spans="1:23">
      <c r="A38" s="287" t="s">
        <v>656</v>
      </c>
      <c r="B38" s="292" t="s">
        <v>650</v>
      </c>
      <c r="C38" s="287">
        <v>450</v>
      </c>
      <c r="D38" s="287"/>
      <c r="E38" s="290">
        <v>10</v>
      </c>
      <c r="F38" s="287"/>
      <c r="G38" s="286">
        <f>(D38+E38+F38)*C38</f>
        <v>4500</v>
      </c>
      <c r="I38" s="281" t="s">
        <v>654</v>
      </c>
      <c r="J38" s="292" t="s">
        <v>650</v>
      </c>
      <c r="K38" s="451">
        <v>256</v>
      </c>
      <c r="L38" s="451"/>
      <c r="M38" s="451">
        <v>240</v>
      </c>
      <c r="N38" s="458"/>
      <c r="O38" s="286">
        <f>(L38+M38+N38)*K38</f>
        <v>61440</v>
      </c>
      <c r="Q38" s="281" t="s">
        <v>657</v>
      </c>
      <c r="R38" s="292" t="s">
        <v>633</v>
      </c>
      <c r="S38" s="281">
        <v>150</v>
      </c>
      <c r="T38" s="301"/>
      <c r="U38" s="301">
        <v>440</v>
      </c>
      <c r="V38" s="301"/>
      <c r="W38" s="286">
        <f>(T38+U38+V38)*S38</f>
        <v>66000</v>
      </c>
    </row>
    <row r="39" spans="1:23">
      <c r="A39" s="287" t="s">
        <v>658</v>
      </c>
      <c r="B39" s="287" t="s">
        <v>659</v>
      </c>
      <c r="C39" s="287">
        <v>50</v>
      </c>
      <c r="D39" s="287"/>
      <c r="E39" s="290">
        <v>3500</v>
      </c>
      <c r="F39" s="287"/>
      <c r="G39" s="286">
        <f>(D39+E39+F39)*C39</f>
        <v>175000</v>
      </c>
      <c r="I39" s="446" t="s">
        <v>648</v>
      </c>
      <c r="J39" s="292" t="s">
        <v>650</v>
      </c>
      <c r="K39" s="446">
        <v>200</v>
      </c>
      <c r="L39" s="446"/>
      <c r="M39" s="446">
        <v>50</v>
      </c>
      <c r="N39" s="447"/>
      <c r="O39" s="286">
        <f>(L39+M39+N39)*K39</f>
        <v>10000</v>
      </c>
      <c r="Q39" s="292" t="s">
        <v>648</v>
      </c>
      <c r="R39" s="292" t="s">
        <v>633</v>
      </c>
      <c r="S39" s="287">
        <v>200</v>
      </c>
      <c r="T39" s="287"/>
      <c r="U39" s="285">
        <v>30</v>
      </c>
      <c r="V39" s="292"/>
      <c r="W39" s="286">
        <f>(T39+U39+V39)*S39</f>
        <v>6000</v>
      </c>
    </row>
    <row r="40" spans="1:23">
      <c r="A40" s="287" t="s">
        <v>656</v>
      </c>
      <c r="B40" s="287" t="s">
        <v>659</v>
      </c>
      <c r="C40" s="287">
        <v>50</v>
      </c>
      <c r="D40" s="287"/>
      <c r="E40" s="290">
        <v>1</v>
      </c>
      <c r="F40" s="287"/>
      <c r="G40" s="286">
        <f>(D40+E40+F40)*C40</f>
        <v>50</v>
      </c>
      <c r="I40" s="287" t="s">
        <v>656</v>
      </c>
      <c r="J40" s="292" t="s">
        <v>650</v>
      </c>
      <c r="K40" s="287">
        <v>450</v>
      </c>
      <c r="L40" s="287"/>
      <c r="M40" s="290">
        <v>6</v>
      </c>
      <c r="N40" s="287"/>
      <c r="O40" s="286">
        <f>(L40+M40+N40)*K40</f>
        <v>2700</v>
      </c>
      <c r="Q40" s="292" t="s">
        <v>652</v>
      </c>
      <c r="R40" s="292" t="s">
        <v>633</v>
      </c>
      <c r="S40" s="287">
        <v>150</v>
      </c>
      <c r="T40" s="287"/>
      <c r="U40" s="285">
        <v>43</v>
      </c>
      <c r="V40" s="292"/>
      <c r="W40" s="286">
        <f>(T40+U40+V40)*S40</f>
        <v>6450</v>
      </c>
    </row>
    <row r="41" spans="1:23">
      <c r="A41" s="348" t="s">
        <v>660</v>
      </c>
      <c r="B41" s="348"/>
      <c r="C41" s="348">
        <v>25</v>
      </c>
      <c r="D41" s="348"/>
      <c r="E41" s="349">
        <v>3500</v>
      </c>
      <c r="F41" s="348"/>
      <c r="G41" s="286">
        <f>(D41+E41+F41)*C41</f>
        <v>87500</v>
      </c>
      <c r="I41" s="287" t="s">
        <v>658</v>
      </c>
      <c r="J41" s="287" t="s">
        <v>659</v>
      </c>
      <c r="K41" s="287">
        <v>50</v>
      </c>
      <c r="L41" s="287"/>
      <c r="M41" s="290">
        <v>950</v>
      </c>
      <c r="N41" s="287"/>
      <c r="O41" s="286">
        <f>(L41+M41+N41)*K41</f>
        <v>47500</v>
      </c>
      <c r="Q41" s="292" t="s">
        <v>661</v>
      </c>
      <c r="R41" s="292" t="s">
        <v>650</v>
      </c>
      <c r="S41" s="287">
        <v>370</v>
      </c>
      <c r="T41" s="287"/>
      <c r="U41" s="285">
        <v>240</v>
      </c>
      <c r="V41" s="292"/>
      <c r="W41" s="286">
        <f>(T41+U41+V41)*S41</f>
        <v>88800</v>
      </c>
    </row>
    <row r="42" spans="1:23">
      <c r="A42" s="513" t="s">
        <v>662</v>
      </c>
      <c r="B42" s="513"/>
      <c r="C42" s="513">
        <v>25</v>
      </c>
      <c r="D42" s="513"/>
      <c r="E42" s="514">
        <v>100</v>
      </c>
      <c r="F42" s="513"/>
      <c r="G42" s="463">
        <f>(D42+E42+F42)*C42</f>
        <v>2500</v>
      </c>
      <c r="I42" s="287" t="s">
        <v>656</v>
      </c>
      <c r="J42" s="287" t="s">
        <v>659</v>
      </c>
      <c r="K42" s="287">
        <v>50</v>
      </c>
      <c r="L42" s="287"/>
      <c r="M42" s="290">
        <v>6</v>
      </c>
      <c r="N42" s="287"/>
      <c r="O42" s="286">
        <f>(L42+M42+N42)*K42</f>
        <v>300</v>
      </c>
      <c r="Q42" s="503" t="s">
        <v>651</v>
      </c>
      <c r="R42" s="503" t="s">
        <v>650</v>
      </c>
      <c r="S42" s="348">
        <v>220</v>
      </c>
      <c r="T42" s="348"/>
      <c r="U42" s="504">
        <v>240</v>
      </c>
      <c r="V42" s="503"/>
      <c r="W42" s="463">
        <f>(T42+U42+V42)*S42</f>
        <v>52800</v>
      </c>
    </row>
    <row r="43" spans="1:23">
      <c r="A43" s="460"/>
      <c r="B43" s="460"/>
      <c r="C43" s="460"/>
      <c r="D43" s="460"/>
      <c r="E43" s="460"/>
      <c r="F43" s="460"/>
      <c r="G43" s="463">
        <f t="shared" ref="G43:G52" si="2">(D43+E43+F43)*C43</f>
        <v>0</v>
      </c>
      <c r="I43" s="348" t="s">
        <v>660</v>
      </c>
      <c r="J43" s="348"/>
      <c r="K43" s="348">
        <v>25</v>
      </c>
      <c r="L43" s="348"/>
      <c r="M43" s="349">
        <v>7500</v>
      </c>
      <c r="N43" s="348"/>
      <c r="O43" s="286">
        <f>(L43+M43+N43)*K43</f>
        <v>187500</v>
      </c>
      <c r="Q43" s="461" t="s">
        <v>663</v>
      </c>
      <c r="R43" s="461" t="s">
        <v>650</v>
      </c>
      <c r="S43" s="446">
        <v>211</v>
      </c>
      <c r="T43" s="446"/>
      <c r="U43" s="502">
        <v>192</v>
      </c>
      <c r="V43" s="461"/>
      <c r="W43" s="462">
        <f>(T43+U43+V43)*S43</f>
        <v>40512</v>
      </c>
    </row>
    <row r="44" spans="1:23">
      <c r="A44" s="460"/>
      <c r="B44" s="460"/>
      <c r="C44" s="460"/>
      <c r="D44" s="460"/>
      <c r="E44" s="460"/>
      <c r="F44" s="460"/>
      <c r="G44" s="463">
        <f t="shared" si="2"/>
        <v>0</v>
      </c>
      <c r="I44" s="513" t="s">
        <v>662</v>
      </c>
      <c r="J44" s="513"/>
      <c r="K44" s="513">
        <v>25</v>
      </c>
      <c r="L44" s="513"/>
      <c r="M44" s="514">
        <v>150</v>
      </c>
      <c r="N44" s="513"/>
      <c r="O44" s="463">
        <f>(L44+M44+N44)*K44</f>
        <v>3750</v>
      </c>
      <c r="Q44" s="303" t="s">
        <v>664</v>
      </c>
      <c r="R44" s="505" t="s">
        <v>650</v>
      </c>
      <c r="S44" s="451">
        <v>250</v>
      </c>
      <c r="T44" s="451"/>
      <c r="U44" s="451">
        <v>30</v>
      </c>
      <c r="V44" s="458"/>
      <c r="W44" s="506">
        <f>(T44+U44+V44)*S44</f>
        <v>7500</v>
      </c>
    </row>
    <row r="45" spans="1:23">
      <c r="A45" s="460"/>
      <c r="B45" s="460"/>
      <c r="C45" s="460"/>
      <c r="D45" s="460"/>
      <c r="E45" s="460"/>
      <c r="F45" s="460"/>
      <c r="G45" s="463">
        <f t="shared" si="2"/>
        <v>0</v>
      </c>
      <c r="I45" s="460"/>
      <c r="J45" s="460"/>
      <c r="K45" s="460"/>
      <c r="L45" s="460"/>
      <c r="M45" s="460"/>
      <c r="N45" s="460"/>
      <c r="O45" s="463">
        <f t="shared" ref="O45:O52" si="3">(L45+M45+N45)*K45</f>
        <v>0</v>
      </c>
      <c r="Q45" s="446" t="s">
        <v>648</v>
      </c>
      <c r="R45" s="292" t="s">
        <v>650</v>
      </c>
      <c r="S45" s="446">
        <v>200</v>
      </c>
      <c r="T45" s="446"/>
      <c r="U45" s="446">
        <v>60</v>
      </c>
      <c r="V45" s="447"/>
      <c r="W45" s="286">
        <f>(T45+U45+V45)*S45</f>
        <v>12000</v>
      </c>
    </row>
    <row r="46" spans="1:23">
      <c r="A46" s="460"/>
      <c r="B46" s="460"/>
      <c r="C46" s="460"/>
      <c r="D46" s="460"/>
      <c r="E46" s="460"/>
      <c r="F46" s="460"/>
      <c r="G46" s="463">
        <f t="shared" si="2"/>
        <v>0</v>
      </c>
      <c r="I46" s="460"/>
      <c r="J46" s="460"/>
      <c r="K46" s="460"/>
      <c r="L46" s="460"/>
      <c r="M46" s="460"/>
      <c r="N46" s="460"/>
      <c r="O46" s="463">
        <f t="shared" si="3"/>
        <v>0</v>
      </c>
      <c r="Q46" s="287" t="s">
        <v>656</v>
      </c>
      <c r="R46" s="292" t="s">
        <v>650</v>
      </c>
      <c r="S46" s="287">
        <v>450</v>
      </c>
      <c r="T46" s="287"/>
      <c r="U46" s="290">
        <v>28</v>
      </c>
      <c r="V46" s="287"/>
      <c r="W46" s="286">
        <f>(T46+U46+V46)*S46</f>
        <v>12600</v>
      </c>
    </row>
    <row r="47" spans="1:23">
      <c r="A47" s="460"/>
      <c r="B47" s="460"/>
      <c r="C47" s="460"/>
      <c r="D47" s="460"/>
      <c r="E47" s="460"/>
      <c r="F47" s="460"/>
      <c r="G47" s="463">
        <f t="shared" si="2"/>
        <v>0</v>
      </c>
      <c r="I47" s="460"/>
      <c r="J47" s="460"/>
      <c r="K47" s="460"/>
      <c r="L47" s="460"/>
      <c r="M47" s="460"/>
      <c r="N47" s="460"/>
      <c r="O47" s="463">
        <f t="shared" si="3"/>
        <v>0</v>
      </c>
      <c r="Q47" s="287" t="s">
        <v>658</v>
      </c>
      <c r="R47" s="287" t="s">
        <v>659</v>
      </c>
      <c r="S47" s="287">
        <v>50</v>
      </c>
      <c r="T47" s="287"/>
      <c r="U47" s="290">
        <v>2300</v>
      </c>
      <c r="V47" s="287"/>
      <c r="W47" s="286">
        <f>(T47+U47+V47)*S47</f>
        <v>115000</v>
      </c>
    </row>
    <row r="48" spans="1:23">
      <c r="A48" s="343"/>
      <c r="B48" s="343"/>
      <c r="C48" s="343"/>
      <c r="D48" s="343"/>
      <c r="E48" s="343"/>
      <c r="F48" s="343"/>
      <c r="G48" s="463">
        <f t="shared" si="2"/>
        <v>0</v>
      </c>
      <c r="I48" s="460"/>
      <c r="J48" s="460"/>
      <c r="K48" s="460"/>
      <c r="L48" s="460"/>
      <c r="M48" s="460"/>
      <c r="N48" s="460"/>
      <c r="O48" s="463">
        <f t="shared" si="3"/>
        <v>0</v>
      </c>
      <c r="Q48" s="287" t="s">
        <v>656</v>
      </c>
      <c r="R48" s="287" t="s">
        <v>659</v>
      </c>
      <c r="S48" s="287">
        <v>50</v>
      </c>
      <c r="T48" s="287"/>
      <c r="U48" s="290">
        <v>5</v>
      </c>
      <c r="V48" s="287"/>
      <c r="W48" s="286">
        <f>(T48+U48+V48)*S48</f>
        <v>250</v>
      </c>
    </row>
    <row r="49" spans="1:23">
      <c r="A49" s="460"/>
      <c r="B49" s="460"/>
      <c r="C49" s="460"/>
      <c r="D49" s="460"/>
      <c r="E49" s="460"/>
      <c r="F49" s="460"/>
      <c r="G49" s="463">
        <f t="shared" si="2"/>
        <v>0</v>
      </c>
      <c r="I49" s="460"/>
      <c r="J49" s="460"/>
      <c r="K49" s="460"/>
      <c r="L49" s="460"/>
      <c r="M49" s="460"/>
      <c r="N49" s="460"/>
      <c r="O49" s="463">
        <f t="shared" si="3"/>
        <v>0</v>
      </c>
      <c r="Q49" s="348" t="s">
        <v>660</v>
      </c>
      <c r="R49" s="348"/>
      <c r="S49" s="348">
        <v>25</v>
      </c>
      <c r="T49" s="348"/>
      <c r="U49" s="349">
        <v>2670</v>
      </c>
      <c r="V49" s="348"/>
      <c r="W49" s="286">
        <f>(T49+U49+V49)*S49</f>
        <v>66750</v>
      </c>
    </row>
    <row r="50" spans="1:23">
      <c r="A50" s="343"/>
      <c r="B50" s="343"/>
      <c r="C50" s="343"/>
      <c r="D50" s="343"/>
      <c r="E50" s="343"/>
      <c r="F50" s="343"/>
      <c r="G50" s="463">
        <f t="shared" si="2"/>
        <v>0</v>
      </c>
      <c r="I50" s="460"/>
      <c r="J50" s="460"/>
      <c r="K50" s="460"/>
      <c r="L50" s="460"/>
      <c r="M50" s="460"/>
      <c r="N50" s="460"/>
      <c r="O50" s="463">
        <f t="shared" si="3"/>
        <v>0</v>
      </c>
      <c r="Q50" s="350" t="s">
        <v>662</v>
      </c>
      <c r="R50" s="350"/>
      <c r="S50" s="350">
        <v>25</v>
      </c>
      <c r="T50" s="350"/>
      <c r="U50" s="351">
        <v>1200</v>
      </c>
      <c r="V50" s="350"/>
      <c r="W50" s="286">
        <f>(T50+U50+V50)*S50</f>
        <v>30000</v>
      </c>
    </row>
    <row r="51" spans="1:23">
      <c r="A51" s="343"/>
      <c r="B51" s="343"/>
      <c r="C51" s="343"/>
      <c r="D51" s="343"/>
      <c r="E51" s="343"/>
      <c r="F51" s="343"/>
      <c r="G51" s="463">
        <f t="shared" si="2"/>
        <v>0</v>
      </c>
      <c r="I51" s="447"/>
      <c r="J51" s="447"/>
      <c r="K51" s="447"/>
      <c r="L51" s="447"/>
      <c r="M51" s="447"/>
      <c r="N51" s="447"/>
      <c r="O51" s="463">
        <f t="shared" si="3"/>
        <v>0</v>
      </c>
      <c r="Q51" s="448"/>
      <c r="R51" s="448"/>
      <c r="S51" s="448"/>
      <c r="T51" s="448"/>
      <c r="U51" s="448"/>
      <c r="V51" s="448"/>
      <c r="W51" s="286">
        <f>(T51+U51+V51)*S51</f>
        <v>0</v>
      </c>
    </row>
    <row r="52" spans="1:23">
      <c r="A52" s="343"/>
      <c r="B52" s="343"/>
      <c r="C52" s="343"/>
      <c r="D52" s="343"/>
      <c r="E52" s="343"/>
      <c r="F52" s="343"/>
      <c r="G52" s="463">
        <f t="shared" si="2"/>
        <v>0</v>
      </c>
      <c r="I52" s="447"/>
      <c r="J52" s="447"/>
      <c r="K52" s="447"/>
      <c r="L52" s="447"/>
      <c r="M52" s="447"/>
      <c r="N52" s="447"/>
      <c r="O52" s="463">
        <f t="shared" si="3"/>
        <v>0</v>
      </c>
      <c r="Q52" s="448"/>
      <c r="R52" s="448"/>
      <c r="S52" s="448"/>
      <c r="T52" s="448"/>
      <c r="U52" s="448"/>
      <c r="V52" s="448"/>
      <c r="W52" s="286">
        <f>(T52+U52+V52)*S52</f>
        <v>0</v>
      </c>
    </row>
  </sheetData>
  <mergeCells count="6">
    <mergeCell ref="V1:W1"/>
    <mergeCell ref="N1:O1"/>
    <mergeCell ref="C1:D1"/>
    <mergeCell ref="F1:G1"/>
    <mergeCell ref="K1:L1"/>
    <mergeCell ref="S1:T1"/>
  </mergeCells>
  <phoneticPr fontId="2"/>
  <pageMargins left="0.7" right="0.7" top="0.75" bottom="0.75" header="0.3" footer="0.3"/>
  <pageSetup paperSize="9" fitToHeight="0" orientation="portrait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572D-0EBF-4541-9235-EBCD90348606}">
  <dimension ref="A1:H473"/>
  <sheetViews>
    <sheetView topLeftCell="A247" zoomScale="70" zoomScaleNormal="70" workbookViewId="0">
      <selection activeCell="H272" sqref="H272"/>
    </sheetView>
  </sheetViews>
  <sheetFormatPr defaultRowHeight="14.25"/>
  <cols>
    <col min="2" max="2" width="54.375" customWidth="1"/>
    <col min="3" max="3" width="36.125" customWidth="1"/>
    <col min="8" max="8" width="17.25" customWidth="1"/>
  </cols>
  <sheetData>
    <row r="1" spans="1:8">
      <c r="A1" s="47">
        <v>46053</v>
      </c>
    </row>
    <row r="2" spans="1:8" ht="21">
      <c r="A2" s="516"/>
      <c r="B2" s="270" t="s">
        <v>2</v>
      </c>
      <c r="C2" s="270" t="s">
        <v>1</v>
      </c>
      <c r="D2" s="270" t="s">
        <v>3</v>
      </c>
      <c r="E2" s="518" t="s">
        <v>4</v>
      </c>
      <c r="F2" s="518"/>
      <c r="G2" s="518"/>
      <c r="H2" s="269" t="s">
        <v>5</v>
      </c>
    </row>
    <row r="3" spans="1:8" s="6" customFormat="1" ht="21">
      <c r="A3" s="338"/>
      <c r="B3" s="272"/>
      <c r="C3" s="272"/>
      <c r="D3" s="272"/>
      <c r="E3" s="7" t="s">
        <v>6</v>
      </c>
      <c r="F3" s="7" t="s">
        <v>665</v>
      </c>
      <c r="G3" s="8" t="s">
        <v>8</v>
      </c>
      <c r="H3" s="271"/>
    </row>
    <row r="4" spans="1:8" ht="17.25">
      <c r="A4" s="5" t="s">
        <v>666</v>
      </c>
      <c r="B4" s="165"/>
      <c r="C4" s="166"/>
      <c r="D4" s="166"/>
      <c r="E4" s="166"/>
      <c r="F4" s="166"/>
      <c r="G4" s="166"/>
      <c r="H4" s="29">
        <f>SUM(H5:H141)</f>
        <v>3437686</v>
      </c>
    </row>
    <row r="5" spans="1:8">
      <c r="A5" s="5"/>
      <c r="B5" s="165" t="s">
        <v>667</v>
      </c>
      <c r="C5" s="166" t="s">
        <v>668</v>
      </c>
      <c r="D5" s="166">
        <v>1009</v>
      </c>
      <c r="E5" s="166">
        <v>0</v>
      </c>
      <c r="F5" s="166">
        <v>10</v>
      </c>
      <c r="G5" s="166">
        <v>20</v>
      </c>
      <c r="H5" s="10">
        <f>D5*(E5+F5+G5)</f>
        <v>30270</v>
      </c>
    </row>
    <row r="6" spans="1:8">
      <c r="A6" s="5"/>
      <c r="B6" s="167" t="s">
        <v>525</v>
      </c>
      <c r="C6" s="168" t="s">
        <v>669</v>
      </c>
      <c r="D6" s="168">
        <v>1000</v>
      </c>
      <c r="E6" s="168">
        <v>0</v>
      </c>
      <c r="F6" s="168">
        <v>40</v>
      </c>
      <c r="G6" s="168">
        <v>7</v>
      </c>
      <c r="H6" s="10">
        <f>D6*(E6+F6+G6)</f>
        <v>47000</v>
      </c>
    </row>
    <row r="7" spans="1:8">
      <c r="A7" s="5"/>
      <c r="B7" s="167" t="s">
        <v>670</v>
      </c>
      <c r="C7" s="168" t="s">
        <v>671</v>
      </c>
      <c r="D7" s="168">
        <v>500</v>
      </c>
      <c r="E7" s="168">
        <v>0</v>
      </c>
      <c r="F7" s="168">
        <v>128</v>
      </c>
      <c r="G7" s="168">
        <v>18</v>
      </c>
      <c r="H7" s="10">
        <f t="shared" ref="H7:H70" si="0">D7*(E7+F7+G7)</f>
        <v>73000</v>
      </c>
    </row>
    <row r="8" spans="1:8">
      <c r="A8" s="5"/>
      <c r="B8" s="167" t="s">
        <v>672</v>
      </c>
      <c r="C8" s="168" t="s">
        <v>673</v>
      </c>
      <c r="D8" s="168">
        <v>2622</v>
      </c>
      <c r="E8" s="168">
        <v>0</v>
      </c>
      <c r="F8" s="168">
        <v>0</v>
      </c>
      <c r="G8" s="168">
        <v>14</v>
      </c>
      <c r="H8" s="10">
        <f t="shared" si="0"/>
        <v>36708</v>
      </c>
    </row>
    <row r="9" spans="1:8">
      <c r="A9" s="5"/>
      <c r="B9" s="167" t="s">
        <v>285</v>
      </c>
      <c r="C9" s="168" t="s">
        <v>674</v>
      </c>
      <c r="D9" s="168">
        <v>920</v>
      </c>
      <c r="E9" s="168">
        <v>0</v>
      </c>
      <c r="F9" s="168">
        <v>12</v>
      </c>
      <c r="G9" s="168">
        <v>16</v>
      </c>
      <c r="H9" s="10">
        <f t="shared" si="0"/>
        <v>25760</v>
      </c>
    </row>
    <row r="10" spans="1:8">
      <c r="A10" s="5"/>
      <c r="B10" s="167" t="s">
        <v>670</v>
      </c>
      <c r="C10" s="168" t="s">
        <v>675</v>
      </c>
      <c r="D10" s="168">
        <v>500</v>
      </c>
      <c r="E10" s="168">
        <v>0</v>
      </c>
      <c r="F10" s="168">
        <v>128</v>
      </c>
      <c r="G10" s="168">
        <v>18</v>
      </c>
      <c r="H10" s="10">
        <f t="shared" si="0"/>
        <v>73000</v>
      </c>
    </row>
    <row r="11" spans="1:8">
      <c r="A11" s="5"/>
      <c r="B11" s="167" t="s">
        <v>676</v>
      </c>
      <c r="C11" s="168" t="s">
        <v>677</v>
      </c>
      <c r="D11" s="168">
        <v>977</v>
      </c>
      <c r="E11" s="168">
        <v>0</v>
      </c>
      <c r="F11" s="168">
        <v>0</v>
      </c>
      <c r="G11" s="168">
        <v>64</v>
      </c>
      <c r="H11" s="10">
        <f t="shared" si="0"/>
        <v>62528</v>
      </c>
    </row>
    <row r="12" spans="1:8">
      <c r="A12" s="5"/>
      <c r="B12" s="167" t="s">
        <v>678</v>
      </c>
      <c r="C12" s="168" t="s">
        <v>679</v>
      </c>
      <c r="D12" s="168">
        <v>358</v>
      </c>
      <c r="E12" s="168">
        <v>0</v>
      </c>
      <c r="F12" s="168">
        <v>140</v>
      </c>
      <c r="G12" s="168">
        <v>52</v>
      </c>
      <c r="H12" s="10">
        <f t="shared" si="0"/>
        <v>68736</v>
      </c>
    </row>
    <row r="13" spans="1:8">
      <c r="A13" s="5"/>
      <c r="B13" s="167" t="s">
        <v>680</v>
      </c>
      <c r="C13" s="168" t="s">
        <v>681</v>
      </c>
      <c r="D13" s="168">
        <v>650</v>
      </c>
      <c r="E13" s="168">
        <v>0</v>
      </c>
      <c r="F13" s="168">
        <v>54</v>
      </c>
      <c r="G13" s="168">
        <v>18</v>
      </c>
      <c r="H13" s="10">
        <f t="shared" si="0"/>
        <v>46800</v>
      </c>
    </row>
    <row r="14" spans="1:8">
      <c r="A14" s="5"/>
      <c r="B14" s="167" t="s">
        <v>682</v>
      </c>
      <c r="C14" s="168" t="s">
        <v>683</v>
      </c>
      <c r="D14" s="168">
        <v>650</v>
      </c>
      <c r="E14" s="168">
        <v>48</v>
      </c>
      <c r="F14" s="168">
        <v>0</v>
      </c>
      <c r="G14" s="168">
        <v>30</v>
      </c>
      <c r="H14" s="10">
        <f t="shared" si="0"/>
        <v>50700</v>
      </c>
    </row>
    <row r="15" spans="1:8">
      <c r="A15" s="5"/>
      <c r="B15" s="167" t="s">
        <v>684</v>
      </c>
      <c r="C15" s="168" t="s">
        <v>685</v>
      </c>
      <c r="D15" s="168">
        <v>726</v>
      </c>
      <c r="E15" s="168">
        <v>0</v>
      </c>
      <c r="F15" s="168">
        <v>19</v>
      </c>
      <c r="G15" s="168">
        <v>16</v>
      </c>
      <c r="H15" s="10">
        <f t="shared" si="0"/>
        <v>25410</v>
      </c>
    </row>
    <row r="16" spans="1:8">
      <c r="A16" s="5"/>
      <c r="B16" s="167" t="s">
        <v>686</v>
      </c>
      <c r="C16" s="168" t="s">
        <v>685</v>
      </c>
      <c r="D16" s="168">
        <v>710</v>
      </c>
      <c r="E16" s="168">
        <v>0</v>
      </c>
      <c r="F16" s="168">
        <v>0</v>
      </c>
      <c r="G16" s="168">
        <v>10</v>
      </c>
      <c r="H16" s="10">
        <f t="shared" si="0"/>
        <v>7100</v>
      </c>
    </row>
    <row r="17" spans="1:8">
      <c r="A17" s="5"/>
      <c r="B17" s="167" t="s">
        <v>687</v>
      </c>
      <c r="C17" s="168" t="s">
        <v>688</v>
      </c>
      <c r="D17" s="168">
        <v>198</v>
      </c>
      <c r="E17" s="168">
        <v>0</v>
      </c>
      <c r="F17" s="168">
        <v>0</v>
      </c>
      <c r="G17" s="168">
        <v>37</v>
      </c>
      <c r="H17" s="10">
        <f t="shared" si="0"/>
        <v>7326</v>
      </c>
    </row>
    <row r="18" spans="1:8">
      <c r="A18" s="5"/>
      <c r="B18" s="167" t="s">
        <v>689</v>
      </c>
      <c r="C18" s="168" t="s">
        <v>690</v>
      </c>
      <c r="D18" s="168">
        <v>722</v>
      </c>
      <c r="E18" s="168">
        <v>0</v>
      </c>
      <c r="F18" s="168">
        <v>0</v>
      </c>
      <c r="G18" s="168">
        <v>4</v>
      </c>
      <c r="H18" s="10">
        <f t="shared" si="0"/>
        <v>2888</v>
      </c>
    </row>
    <row r="19" spans="1:8">
      <c r="A19" s="5"/>
      <c r="B19" s="167" t="s">
        <v>691</v>
      </c>
      <c r="C19" s="168" t="s">
        <v>690</v>
      </c>
      <c r="D19" s="168">
        <v>754</v>
      </c>
      <c r="E19" s="168">
        <v>0</v>
      </c>
      <c r="F19" s="168">
        <v>14</v>
      </c>
      <c r="G19" s="168">
        <v>7</v>
      </c>
      <c r="H19" s="10">
        <f t="shared" si="0"/>
        <v>15834</v>
      </c>
    </row>
    <row r="20" spans="1:8">
      <c r="A20" s="5"/>
      <c r="B20" s="167" t="s">
        <v>692</v>
      </c>
      <c r="C20" s="168" t="s">
        <v>693</v>
      </c>
      <c r="D20" s="168">
        <v>264</v>
      </c>
      <c r="E20" s="168">
        <v>0</v>
      </c>
      <c r="F20" s="168">
        <v>89</v>
      </c>
      <c r="G20" s="168">
        <v>34</v>
      </c>
      <c r="H20" s="10">
        <f t="shared" si="0"/>
        <v>32472</v>
      </c>
    </row>
    <row r="21" spans="1:8">
      <c r="A21" s="5"/>
      <c r="B21" s="167" t="s">
        <v>694</v>
      </c>
      <c r="C21" s="168" t="s">
        <v>695</v>
      </c>
      <c r="D21" s="168">
        <v>360</v>
      </c>
      <c r="E21" s="168">
        <v>0</v>
      </c>
      <c r="F21" s="168">
        <v>62</v>
      </c>
      <c r="G21" s="168">
        <v>10</v>
      </c>
      <c r="H21" s="10">
        <f t="shared" si="0"/>
        <v>25920</v>
      </c>
    </row>
    <row r="22" spans="1:8">
      <c r="A22" s="5"/>
      <c r="B22" s="167" t="s">
        <v>696</v>
      </c>
      <c r="C22" s="168" t="s">
        <v>697</v>
      </c>
      <c r="D22" s="168">
        <v>400</v>
      </c>
      <c r="E22" s="168">
        <v>0</v>
      </c>
      <c r="F22" s="168">
        <v>0</v>
      </c>
      <c r="G22" s="168">
        <v>9</v>
      </c>
      <c r="H22" s="10">
        <f t="shared" si="0"/>
        <v>3600</v>
      </c>
    </row>
    <row r="23" spans="1:8">
      <c r="A23" s="5"/>
      <c r="B23" s="167" t="s">
        <v>698</v>
      </c>
      <c r="C23" s="168" t="s">
        <v>699</v>
      </c>
      <c r="D23" s="168">
        <v>996</v>
      </c>
      <c r="E23" s="168">
        <v>0</v>
      </c>
      <c r="F23" s="168">
        <v>46</v>
      </c>
      <c r="G23" s="168">
        <v>8</v>
      </c>
      <c r="H23" s="10">
        <f t="shared" si="0"/>
        <v>53784</v>
      </c>
    </row>
    <row r="24" spans="1:8">
      <c r="A24" s="5"/>
      <c r="B24" s="167" t="s">
        <v>700</v>
      </c>
      <c r="C24" s="168" t="s">
        <v>701</v>
      </c>
      <c r="D24" s="168">
        <v>999</v>
      </c>
      <c r="E24" s="168">
        <v>0</v>
      </c>
      <c r="F24" s="168">
        <v>27</v>
      </c>
      <c r="G24" s="168">
        <v>9</v>
      </c>
      <c r="H24" s="10">
        <f t="shared" si="0"/>
        <v>35964</v>
      </c>
    </row>
    <row r="25" spans="1:8">
      <c r="A25" s="5"/>
      <c r="B25" s="167" t="s">
        <v>702</v>
      </c>
      <c r="C25" s="168" t="s">
        <v>703</v>
      </c>
      <c r="D25" s="168">
        <v>1100</v>
      </c>
      <c r="E25" s="168">
        <v>0</v>
      </c>
      <c r="F25" s="168">
        <v>75</v>
      </c>
      <c r="G25" s="168">
        <v>35</v>
      </c>
      <c r="H25" s="10">
        <f t="shared" si="0"/>
        <v>121000</v>
      </c>
    </row>
    <row r="26" spans="1:8">
      <c r="A26" s="5"/>
      <c r="B26" s="167" t="s">
        <v>704</v>
      </c>
      <c r="C26" s="168" t="s">
        <v>705</v>
      </c>
      <c r="D26" s="168">
        <v>1112</v>
      </c>
      <c r="E26" s="168">
        <v>0</v>
      </c>
      <c r="F26" s="168">
        <v>0</v>
      </c>
      <c r="G26" s="168">
        <v>19</v>
      </c>
      <c r="H26" s="10">
        <f t="shared" si="0"/>
        <v>21128</v>
      </c>
    </row>
    <row r="27" spans="1:8">
      <c r="A27" s="5"/>
      <c r="B27" s="167" t="s">
        <v>706</v>
      </c>
      <c r="C27" s="168" t="s">
        <v>707</v>
      </c>
      <c r="D27" s="168">
        <v>748</v>
      </c>
      <c r="E27" s="168">
        <v>0</v>
      </c>
      <c r="F27" s="168">
        <v>3</v>
      </c>
      <c r="G27" s="168">
        <v>1</v>
      </c>
      <c r="H27" s="10">
        <f t="shared" si="0"/>
        <v>2992</v>
      </c>
    </row>
    <row r="28" spans="1:8">
      <c r="A28" s="5"/>
      <c r="B28" s="167" t="s">
        <v>708</v>
      </c>
      <c r="C28" s="168" t="s">
        <v>707</v>
      </c>
      <c r="D28" s="168">
        <v>748</v>
      </c>
      <c r="E28" s="168">
        <v>0</v>
      </c>
      <c r="F28" s="168">
        <v>16</v>
      </c>
      <c r="G28" s="168">
        <v>11</v>
      </c>
      <c r="H28" s="10">
        <f t="shared" si="0"/>
        <v>20196</v>
      </c>
    </row>
    <row r="29" spans="1:8">
      <c r="A29" s="5"/>
      <c r="B29" s="167" t="s">
        <v>709</v>
      </c>
      <c r="C29" s="168" t="s">
        <v>710</v>
      </c>
      <c r="D29" s="168">
        <v>245</v>
      </c>
      <c r="E29" s="168">
        <v>0</v>
      </c>
      <c r="F29" s="168">
        <v>53</v>
      </c>
      <c r="G29" s="168">
        <v>64</v>
      </c>
      <c r="H29" s="10">
        <f t="shared" si="0"/>
        <v>28665</v>
      </c>
    </row>
    <row r="30" spans="1:8">
      <c r="A30" s="5"/>
      <c r="B30" s="167" t="s">
        <v>711</v>
      </c>
      <c r="C30" s="168" t="s">
        <v>712</v>
      </c>
      <c r="D30" s="168">
        <v>501</v>
      </c>
      <c r="E30" s="168">
        <v>0</v>
      </c>
      <c r="F30" s="168">
        <v>38</v>
      </c>
      <c r="G30" s="168">
        <v>23</v>
      </c>
      <c r="H30" s="10">
        <f t="shared" si="0"/>
        <v>30561</v>
      </c>
    </row>
    <row r="31" spans="1:8">
      <c r="A31" s="5"/>
      <c r="B31" s="167" t="s">
        <v>713</v>
      </c>
      <c r="C31" s="168" t="s">
        <v>714</v>
      </c>
      <c r="D31" s="168">
        <v>545</v>
      </c>
      <c r="E31" s="168">
        <v>0</v>
      </c>
      <c r="F31" s="168">
        <v>31</v>
      </c>
      <c r="G31" s="168">
        <v>15</v>
      </c>
      <c r="H31" s="10">
        <f t="shared" si="0"/>
        <v>25070</v>
      </c>
    </row>
    <row r="32" spans="1:8">
      <c r="A32" s="5"/>
      <c r="B32" s="167" t="s">
        <v>715</v>
      </c>
      <c r="C32" s="168" t="s">
        <v>716</v>
      </c>
      <c r="D32" s="168">
        <v>605</v>
      </c>
      <c r="E32" s="168">
        <v>0</v>
      </c>
      <c r="F32" s="168">
        <v>9</v>
      </c>
      <c r="G32" s="168">
        <v>60</v>
      </c>
      <c r="H32" s="10">
        <f t="shared" si="0"/>
        <v>41745</v>
      </c>
    </row>
    <row r="33" spans="1:8">
      <c r="A33" s="5"/>
      <c r="B33" s="167" t="s">
        <v>717</v>
      </c>
      <c r="C33" s="168" t="s">
        <v>718</v>
      </c>
      <c r="D33" s="168">
        <v>260</v>
      </c>
      <c r="E33" s="168">
        <v>0</v>
      </c>
      <c r="F33" s="168">
        <v>166</v>
      </c>
      <c r="G33" s="168">
        <v>13</v>
      </c>
      <c r="H33" s="10">
        <f t="shared" si="0"/>
        <v>46540</v>
      </c>
    </row>
    <row r="34" spans="1:8">
      <c r="A34" s="5"/>
      <c r="B34" s="167" t="s">
        <v>719</v>
      </c>
      <c r="C34" s="168" t="s">
        <v>718</v>
      </c>
      <c r="D34" s="168">
        <v>528</v>
      </c>
      <c r="E34" s="168">
        <v>60</v>
      </c>
      <c r="F34" s="168">
        <v>14</v>
      </c>
      <c r="G34" s="168">
        <v>9</v>
      </c>
      <c r="H34" s="10">
        <f t="shared" si="0"/>
        <v>43824</v>
      </c>
    </row>
    <row r="35" spans="1:8">
      <c r="A35" s="5"/>
      <c r="B35" s="167" t="s">
        <v>720</v>
      </c>
      <c r="C35" s="168" t="s">
        <v>721</v>
      </c>
      <c r="D35" s="168">
        <v>15</v>
      </c>
      <c r="E35" s="168">
        <v>0</v>
      </c>
      <c r="F35" s="168">
        <v>0</v>
      </c>
      <c r="G35" s="168">
        <v>300</v>
      </c>
      <c r="H35" s="10">
        <f t="shared" si="0"/>
        <v>4500</v>
      </c>
    </row>
    <row r="36" spans="1:8">
      <c r="A36" s="5"/>
      <c r="B36" s="167" t="s">
        <v>722</v>
      </c>
      <c r="C36" s="168" t="s">
        <v>723</v>
      </c>
      <c r="D36" s="168">
        <v>739</v>
      </c>
      <c r="E36" s="168">
        <v>0</v>
      </c>
      <c r="F36" s="168">
        <v>11</v>
      </c>
      <c r="G36" s="168">
        <v>0</v>
      </c>
      <c r="H36" s="10">
        <f t="shared" si="0"/>
        <v>8129</v>
      </c>
    </row>
    <row r="37" spans="1:8">
      <c r="A37" s="5"/>
      <c r="B37" s="167" t="s">
        <v>724</v>
      </c>
      <c r="C37" s="168" t="s">
        <v>723</v>
      </c>
      <c r="D37" s="168">
        <v>1100</v>
      </c>
      <c r="E37" s="168">
        <v>40</v>
      </c>
      <c r="F37" s="168">
        <v>5</v>
      </c>
      <c r="G37" s="168">
        <v>1</v>
      </c>
      <c r="H37" s="10">
        <f t="shared" si="0"/>
        <v>50600</v>
      </c>
    </row>
    <row r="38" spans="1:8">
      <c r="A38" s="5"/>
      <c r="B38" s="167" t="s">
        <v>725</v>
      </c>
      <c r="C38" s="168" t="s">
        <v>723</v>
      </c>
      <c r="D38" s="168">
        <v>962</v>
      </c>
      <c r="E38" s="168">
        <v>0</v>
      </c>
      <c r="F38" s="168">
        <v>1</v>
      </c>
      <c r="G38" s="168">
        <v>1</v>
      </c>
      <c r="H38" s="10">
        <f t="shared" si="0"/>
        <v>1924</v>
      </c>
    </row>
    <row r="39" spans="1:8">
      <c r="A39" s="5"/>
      <c r="B39" s="167" t="s">
        <v>726</v>
      </c>
      <c r="C39" s="168" t="s">
        <v>723</v>
      </c>
      <c r="D39" s="168">
        <v>620</v>
      </c>
      <c r="E39" s="168">
        <v>0</v>
      </c>
      <c r="F39" s="168">
        <v>4</v>
      </c>
      <c r="G39" s="168">
        <v>1</v>
      </c>
      <c r="H39" s="10">
        <f t="shared" si="0"/>
        <v>3100</v>
      </c>
    </row>
    <row r="40" spans="1:8">
      <c r="A40" s="5"/>
      <c r="B40" s="167" t="s">
        <v>586</v>
      </c>
      <c r="C40" s="168" t="s">
        <v>727</v>
      </c>
      <c r="D40" s="168">
        <v>1000</v>
      </c>
      <c r="E40" s="168">
        <v>0</v>
      </c>
      <c r="F40" s="168">
        <v>4</v>
      </c>
      <c r="G40" s="168">
        <v>12</v>
      </c>
      <c r="H40" s="10">
        <f t="shared" si="0"/>
        <v>16000</v>
      </c>
    </row>
    <row r="41" spans="1:8">
      <c r="A41" s="5"/>
      <c r="B41" s="167" t="s">
        <v>728</v>
      </c>
      <c r="C41" s="168" t="s">
        <v>729</v>
      </c>
      <c r="D41" s="168">
        <v>1100</v>
      </c>
      <c r="E41" s="168">
        <v>0</v>
      </c>
      <c r="F41" s="168">
        <v>18</v>
      </c>
      <c r="G41" s="168">
        <v>12</v>
      </c>
      <c r="H41" s="10">
        <f t="shared" si="0"/>
        <v>33000</v>
      </c>
    </row>
    <row r="42" spans="1:8">
      <c r="A42" s="5"/>
      <c r="B42" s="167" t="s">
        <v>730</v>
      </c>
      <c r="C42" s="168" t="s">
        <v>731</v>
      </c>
      <c r="D42" s="168">
        <v>1047</v>
      </c>
      <c r="E42" s="168">
        <v>0</v>
      </c>
      <c r="F42" s="168">
        <v>12</v>
      </c>
      <c r="G42" s="168">
        <v>7</v>
      </c>
      <c r="H42" s="10">
        <f t="shared" si="0"/>
        <v>19893</v>
      </c>
    </row>
    <row r="43" spans="1:8">
      <c r="A43" s="5"/>
      <c r="B43" s="167" t="s">
        <v>732</v>
      </c>
      <c r="C43" s="168" t="s">
        <v>733</v>
      </c>
      <c r="D43" s="168">
        <v>538</v>
      </c>
      <c r="E43" s="168">
        <v>0</v>
      </c>
      <c r="F43" s="168">
        <v>0</v>
      </c>
      <c r="G43" s="168">
        <v>28</v>
      </c>
      <c r="H43" s="10">
        <f t="shared" si="0"/>
        <v>15064</v>
      </c>
    </row>
    <row r="44" spans="1:8">
      <c r="A44" s="5"/>
      <c r="B44" s="167" t="s">
        <v>734</v>
      </c>
      <c r="C44" s="168" t="s">
        <v>735</v>
      </c>
      <c r="D44" s="168">
        <v>400</v>
      </c>
      <c r="E44" s="168">
        <v>0</v>
      </c>
      <c r="F44" s="168">
        <v>46</v>
      </c>
      <c r="G44" s="168">
        <v>60</v>
      </c>
      <c r="H44" s="10">
        <f t="shared" si="0"/>
        <v>42400</v>
      </c>
    </row>
    <row r="45" spans="1:8">
      <c r="A45" s="5"/>
      <c r="B45" s="167" t="s">
        <v>736</v>
      </c>
      <c r="C45" s="168" t="s">
        <v>737</v>
      </c>
      <c r="D45" s="168">
        <v>759</v>
      </c>
      <c r="E45" s="168">
        <v>0</v>
      </c>
      <c r="F45" s="168">
        <v>19</v>
      </c>
      <c r="G45" s="168">
        <v>18</v>
      </c>
      <c r="H45" s="10">
        <f t="shared" si="0"/>
        <v>28083</v>
      </c>
    </row>
    <row r="46" spans="1:8">
      <c r="A46" s="5"/>
      <c r="B46" s="167" t="s">
        <v>738</v>
      </c>
      <c r="C46" s="168" t="s">
        <v>737</v>
      </c>
      <c r="D46" s="168">
        <v>759</v>
      </c>
      <c r="E46" s="168">
        <v>0</v>
      </c>
      <c r="F46" s="168">
        <v>7</v>
      </c>
      <c r="G46" s="168">
        <v>18</v>
      </c>
      <c r="H46" s="10">
        <f t="shared" si="0"/>
        <v>18975</v>
      </c>
    </row>
    <row r="47" spans="1:8">
      <c r="A47" s="5"/>
      <c r="B47" s="167" t="s">
        <v>739</v>
      </c>
      <c r="C47" s="168" t="s">
        <v>740</v>
      </c>
      <c r="D47" s="168">
        <v>149</v>
      </c>
      <c r="E47" s="168">
        <v>0</v>
      </c>
      <c r="F47" s="168">
        <v>36</v>
      </c>
      <c r="G47" s="168">
        <v>39</v>
      </c>
      <c r="H47" s="10">
        <f t="shared" si="0"/>
        <v>11175</v>
      </c>
    </row>
    <row r="48" spans="1:8">
      <c r="A48" s="5"/>
      <c r="B48" s="167" t="s">
        <v>741</v>
      </c>
      <c r="C48" s="168" t="s">
        <v>740</v>
      </c>
      <c r="D48" s="168">
        <v>88</v>
      </c>
      <c r="E48" s="168">
        <v>192</v>
      </c>
      <c r="F48" s="168">
        <v>77</v>
      </c>
      <c r="G48" s="168">
        <v>34</v>
      </c>
      <c r="H48" s="10">
        <f t="shared" si="0"/>
        <v>26664</v>
      </c>
    </row>
    <row r="49" spans="1:8">
      <c r="A49" s="5"/>
      <c r="B49" s="167" t="s">
        <v>742</v>
      </c>
      <c r="C49" s="168" t="s">
        <v>743</v>
      </c>
      <c r="D49" s="168">
        <v>186</v>
      </c>
      <c r="E49" s="168">
        <v>0</v>
      </c>
      <c r="F49" s="168">
        <v>0</v>
      </c>
      <c r="G49" s="168">
        <v>1</v>
      </c>
      <c r="H49" s="10">
        <f t="shared" si="0"/>
        <v>186</v>
      </c>
    </row>
    <row r="50" spans="1:8">
      <c r="A50" s="5"/>
      <c r="B50" s="167" t="s">
        <v>744</v>
      </c>
      <c r="C50" s="168" t="s">
        <v>743</v>
      </c>
      <c r="D50" s="168">
        <v>205</v>
      </c>
      <c r="E50" s="168">
        <v>0</v>
      </c>
      <c r="F50" s="168">
        <v>0</v>
      </c>
      <c r="G50" s="168">
        <v>20</v>
      </c>
      <c r="H50" s="10">
        <f t="shared" si="0"/>
        <v>4100</v>
      </c>
    </row>
    <row r="51" spans="1:8">
      <c r="A51" s="5"/>
      <c r="B51" s="167" t="s">
        <v>745</v>
      </c>
      <c r="C51" s="168" t="s">
        <v>743</v>
      </c>
      <c r="D51" s="168">
        <v>283</v>
      </c>
      <c r="E51" s="168">
        <v>0</v>
      </c>
      <c r="F51" s="168">
        <v>75</v>
      </c>
      <c r="G51" s="168">
        <v>72</v>
      </c>
      <c r="H51" s="10">
        <f t="shared" si="0"/>
        <v>41601</v>
      </c>
    </row>
    <row r="52" spans="1:8">
      <c r="A52" s="5"/>
      <c r="B52" s="167" t="s">
        <v>746</v>
      </c>
      <c r="C52" s="168" t="s">
        <v>743</v>
      </c>
      <c r="D52" s="168">
        <v>220</v>
      </c>
      <c r="E52" s="168">
        <v>0</v>
      </c>
      <c r="F52" s="168">
        <v>0</v>
      </c>
      <c r="G52" s="168">
        <v>88</v>
      </c>
      <c r="H52" s="10">
        <f t="shared" si="0"/>
        <v>19360</v>
      </c>
    </row>
    <row r="53" spans="1:8">
      <c r="A53" s="5"/>
      <c r="B53" s="167" t="s">
        <v>747</v>
      </c>
      <c r="C53" s="168" t="s">
        <v>743</v>
      </c>
      <c r="D53" s="168">
        <v>220</v>
      </c>
      <c r="E53" s="168">
        <v>0</v>
      </c>
      <c r="F53" s="168">
        <v>0</v>
      </c>
      <c r="G53" s="168">
        <v>7</v>
      </c>
      <c r="H53" s="10">
        <f t="shared" si="0"/>
        <v>1540</v>
      </c>
    </row>
    <row r="54" spans="1:8">
      <c r="A54" s="5"/>
      <c r="B54" s="167" t="s">
        <v>748</v>
      </c>
      <c r="C54" s="168" t="s">
        <v>749</v>
      </c>
      <c r="D54" s="168">
        <v>40</v>
      </c>
      <c r="E54" s="168">
        <v>0</v>
      </c>
      <c r="F54" s="168"/>
      <c r="G54" s="168">
        <v>55</v>
      </c>
      <c r="H54" s="10">
        <f t="shared" si="0"/>
        <v>2200</v>
      </c>
    </row>
    <row r="55" spans="1:8">
      <c r="A55" s="5"/>
      <c r="B55" s="167" t="s">
        <v>567</v>
      </c>
      <c r="C55" s="168" t="s">
        <v>750</v>
      </c>
      <c r="D55" s="168">
        <v>35</v>
      </c>
      <c r="E55" s="168">
        <v>0</v>
      </c>
      <c r="F55" s="168">
        <v>0</v>
      </c>
      <c r="G55" s="168">
        <v>134</v>
      </c>
      <c r="H55" s="10">
        <f t="shared" si="0"/>
        <v>4690</v>
      </c>
    </row>
    <row r="56" spans="1:8">
      <c r="A56" s="5"/>
      <c r="B56" s="167" t="s">
        <v>751</v>
      </c>
      <c r="C56" s="168" t="s">
        <v>750</v>
      </c>
      <c r="D56" s="168">
        <v>108</v>
      </c>
      <c r="E56" s="168">
        <v>0</v>
      </c>
      <c r="F56" s="168">
        <v>0</v>
      </c>
      <c r="G56" s="168">
        <v>247</v>
      </c>
      <c r="H56" s="10">
        <f t="shared" si="0"/>
        <v>26676</v>
      </c>
    </row>
    <row r="57" spans="1:8">
      <c r="A57" s="5"/>
      <c r="B57" s="167" t="s">
        <v>752</v>
      </c>
      <c r="C57" s="168" t="s">
        <v>753</v>
      </c>
      <c r="D57" s="168">
        <v>165</v>
      </c>
      <c r="E57" s="168">
        <v>0</v>
      </c>
      <c r="F57" s="168">
        <v>0</v>
      </c>
      <c r="G57" s="168">
        <v>112</v>
      </c>
      <c r="H57" s="10">
        <f t="shared" si="0"/>
        <v>18480</v>
      </c>
    </row>
    <row r="58" spans="1:8">
      <c r="A58" s="5"/>
      <c r="B58" s="167" t="s">
        <v>754</v>
      </c>
      <c r="C58" s="168" t="s">
        <v>755</v>
      </c>
      <c r="D58" s="168">
        <v>104</v>
      </c>
      <c r="E58" s="168">
        <v>0</v>
      </c>
      <c r="F58" s="168">
        <v>0</v>
      </c>
      <c r="G58" s="168">
        <v>46</v>
      </c>
      <c r="H58" s="10">
        <f t="shared" si="0"/>
        <v>4784</v>
      </c>
    </row>
    <row r="59" spans="1:8">
      <c r="A59" s="5"/>
      <c r="B59" s="167" t="s">
        <v>756</v>
      </c>
      <c r="C59" s="168" t="s">
        <v>753</v>
      </c>
      <c r="D59" s="168">
        <v>726</v>
      </c>
      <c r="E59" s="168">
        <v>0</v>
      </c>
      <c r="F59" s="168">
        <v>42</v>
      </c>
      <c r="G59" s="168">
        <v>27</v>
      </c>
      <c r="H59" s="10">
        <f t="shared" si="0"/>
        <v>50094</v>
      </c>
    </row>
    <row r="60" spans="1:8">
      <c r="A60" s="5"/>
      <c r="B60" s="167" t="s">
        <v>757</v>
      </c>
      <c r="C60" s="168" t="s">
        <v>758</v>
      </c>
      <c r="D60" s="168">
        <v>1094</v>
      </c>
      <c r="E60" s="168">
        <v>9</v>
      </c>
      <c r="F60" s="168">
        <v>0</v>
      </c>
      <c r="G60" s="168">
        <v>3</v>
      </c>
      <c r="H60" s="10">
        <f t="shared" si="0"/>
        <v>13128</v>
      </c>
    </row>
    <row r="61" spans="1:8">
      <c r="A61" s="5"/>
      <c r="B61" s="167" t="s">
        <v>759</v>
      </c>
      <c r="C61" s="169" t="s">
        <v>758</v>
      </c>
      <c r="D61" s="168">
        <v>1073</v>
      </c>
      <c r="E61" s="168">
        <v>9</v>
      </c>
      <c r="F61" s="168">
        <v>0</v>
      </c>
      <c r="G61" s="168">
        <v>7</v>
      </c>
      <c r="H61" s="10">
        <f t="shared" si="0"/>
        <v>17168</v>
      </c>
    </row>
    <row r="62" spans="1:8">
      <c r="A62" s="5"/>
      <c r="B62" s="167" t="s">
        <v>760</v>
      </c>
      <c r="C62" s="166" t="s">
        <v>758</v>
      </c>
      <c r="D62" s="168">
        <v>1114</v>
      </c>
      <c r="E62" s="168">
        <v>0</v>
      </c>
      <c r="F62" s="168">
        <v>0</v>
      </c>
      <c r="G62" s="168">
        <v>10</v>
      </c>
      <c r="H62" s="10">
        <f t="shared" si="0"/>
        <v>11140</v>
      </c>
    </row>
    <row r="63" spans="1:8">
      <c r="A63" s="5"/>
      <c r="B63" s="167" t="s">
        <v>761</v>
      </c>
      <c r="C63" s="168" t="s">
        <v>762</v>
      </c>
      <c r="D63" s="168">
        <v>968</v>
      </c>
      <c r="E63" s="168">
        <v>0</v>
      </c>
      <c r="F63" s="168">
        <v>2</v>
      </c>
      <c r="G63" s="168">
        <v>3</v>
      </c>
      <c r="H63" s="10">
        <f t="shared" si="0"/>
        <v>4840</v>
      </c>
    </row>
    <row r="64" spans="1:8">
      <c r="A64" s="5"/>
      <c r="B64" s="167" t="s">
        <v>763</v>
      </c>
      <c r="C64" s="168" t="s">
        <v>764</v>
      </c>
      <c r="D64" s="168">
        <v>924</v>
      </c>
      <c r="E64" s="168">
        <v>0</v>
      </c>
      <c r="F64" s="168">
        <v>4</v>
      </c>
      <c r="G64" s="168">
        <v>5</v>
      </c>
      <c r="H64" s="10">
        <f t="shared" si="0"/>
        <v>8316</v>
      </c>
    </row>
    <row r="65" spans="1:8">
      <c r="A65" s="5"/>
      <c r="B65" s="167" t="s">
        <v>765</v>
      </c>
      <c r="C65" s="168" t="s">
        <v>271</v>
      </c>
      <c r="D65" s="168">
        <v>1100</v>
      </c>
      <c r="E65" s="168">
        <v>0</v>
      </c>
      <c r="F65" s="168">
        <v>1</v>
      </c>
      <c r="G65" s="168">
        <v>6</v>
      </c>
      <c r="H65" s="10">
        <f t="shared" si="0"/>
        <v>7700</v>
      </c>
    </row>
    <row r="66" spans="1:8">
      <c r="A66" s="5"/>
      <c r="B66" s="167" t="s">
        <v>766</v>
      </c>
      <c r="C66" s="168" t="s">
        <v>271</v>
      </c>
      <c r="D66" s="168">
        <v>1100</v>
      </c>
      <c r="E66" s="168">
        <v>0</v>
      </c>
      <c r="F66" s="168">
        <v>0</v>
      </c>
      <c r="G66" s="168">
        <v>1</v>
      </c>
      <c r="H66" s="10">
        <f t="shared" si="0"/>
        <v>1100</v>
      </c>
    </row>
    <row r="67" spans="1:8">
      <c r="A67" s="5"/>
      <c r="B67" s="167" t="s">
        <v>767</v>
      </c>
      <c r="C67" s="168" t="s">
        <v>768</v>
      </c>
      <c r="D67" s="168">
        <v>949</v>
      </c>
      <c r="E67" s="168">
        <v>0</v>
      </c>
      <c r="F67" s="168">
        <v>3</v>
      </c>
      <c r="G67" s="168">
        <v>4</v>
      </c>
      <c r="H67" s="10">
        <f t="shared" si="0"/>
        <v>6643</v>
      </c>
    </row>
    <row r="68" spans="1:8">
      <c r="A68" s="5"/>
      <c r="B68" s="167" t="s">
        <v>769</v>
      </c>
      <c r="C68" s="168" t="s">
        <v>768</v>
      </c>
      <c r="D68" s="168">
        <v>850</v>
      </c>
      <c r="E68" s="168">
        <v>0</v>
      </c>
      <c r="F68" s="168">
        <v>1</v>
      </c>
      <c r="G68" s="168">
        <v>0</v>
      </c>
      <c r="H68" s="10">
        <f t="shared" si="0"/>
        <v>850</v>
      </c>
    </row>
    <row r="69" spans="1:8">
      <c r="A69" s="5"/>
      <c r="B69" s="167" t="s">
        <v>770</v>
      </c>
      <c r="C69" s="168" t="s">
        <v>768</v>
      </c>
      <c r="D69" s="168">
        <v>650</v>
      </c>
      <c r="E69" s="168">
        <v>0</v>
      </c>
      <c r="F69" s="168">
        <v>6</v>
      </c>
      <c r="G69" s="168">
        <v>2</v>
      </c>
      <c r="H69" s="10">
        <f t="shared" si="0"/>
        <v>5200</v>
      </c>
    </row>
    <row r="70" spans="1:8">
      <c r="A70" s="5"/>
      <c r="B70" s="167" t="s">
        <v>771</v>
      </c>
      <c r="C70" s="168" t="s">
        <v>772</v>
      </c>
      <c r="D70" s="168">
        <v>210</v>
      </c>
      <c r="E70" s="168">
        <v>0</v>
      </c>
      <c r="F70" s="168">
        <v>9</v>
      </c>
      <c r="G70" s="168">
        <v>4</v>
      </c>
      <c r="H70" s="10">
        <f t="shared" si="0"/>
        <v>2730</v>
      </c>
    </row>
    <row r="71" spans="1:8">
      <c r="A71" s="5"/>
      <c r="B71" s="167" t="s">
        <v>565</v>
      </c>
      <c r="C71" s="168" t="s">
        <v>773</v>
      </c>
      <c r="D71" s="168">
        <v>528</v>
      </c>
      <c r="E71" s="168">
        <v>0</v>
      </c>
      <c r="F71" s="168">
        <v>11</v>
      </c>
      <c r="G71" s="168">
        <v>4</v>
      </c>
      <c r="H71" s="10">
        <f t="shared" ref="H71:H134" si="1">D71*(E71+F71+G71)</f>
        <v>7920</v>
      </c>
    </row>
    <row r="72" spans="1:8">
      <c r="A72" s="5"/>
      <c r="B72" s="167" t="s">
        <v>774</v>
      </c>
      <c r="C72" s="168" t="s">
        <v>775</v>
      </c>
      <c r="D72" s="168">
        <v>187</v>
      </c>
      <c r="E72" s="168">
        <v>0</v>
      </c>
      <c r="F72" s="168">
        <v>153</v>
      </c>
      <c r="G72" s="168">
        <v>191</v>
      </c>
      <c r="H72" s="10">
        <f t="shared" si="1"/>
        <v>64328</v>
      </c>
    </row>
    <row r="73" spans="1:8">
      <c r="A73" s="5"/>
      <c r="B73" s="167" t="s">
        <v>776</v>
      </c>
      <c r="C73" s="168" t="s">
        <v>777</v>
      </c>
      <c r="D73" s="168">
        <v>1100</v>
      </c>
      <c r="E73" s="168">
        <v>0</v>
      </c>
      <c r="F73" s="168">
        <v>20</v>
      </c>
      <c r="G73" s="168">
        <v>28</v>
      </c>
      <c r="H73" s="10">
        <f t="shared" si="1"/>
        <v>52800</v>
      </c>
    </row>
    <row r="74" spans="1:8">
      <c r="A74" s="5"/>
      <c r="B74" s="167" t="s">
        <v>778</v>
      </c>
      <c r="C74" s="168" t="s">
        <v>779</v>
      </c>
      <c r="D74" s="168">
        <v>1100</v>
      </c>
      <c r="E74" s="168">
        <v>0</v>
      </c>
      <c r="F74" s="168">
        <v>18</v>
      </c>
      <c r="G74" s="168">
        <v>30</v>
      </c>
      <c r="H74" s="10">
        <f t="shared" si="1"/>
        <v>52800</v>
      </c>
    </row>
    <row r="75" spans="1:8">
      <c r="A75" s="5"/>
      <c r="B75" s="167" t="s">
        <v>780</v>
      </c>
      <c r="C75" s="168" t="s">
        <v>781</v>
      </c>
      <c r="D75" s="168">
        <v>991</v>
      </c>
      <c r="E75" s="168">
        <v>0</v>
      </c>
      <c r="F75" s="168">
        <v>0</v>
      </c>
      <c r="G75" s="168">
        <v>10</v>
      </c>
      <c r="H75" s="10">
        <f t="shared" si="1"/>
        <v>9910</v>
      </c>
    </row>
    <row r="76" spans="1:8">
      <c r="A76" s="5"/>
      <c r="B76" s="167" t="s">
        <v>782</v>
      </c>
      <c r="C76" s="168" t="s">
        <v>783</v>
      </c>
      <c r="D76" s="168">
        <v>540</v>
      </c>
      <c r="E76" s="168">
        <v>0</v>
      </c>
      <c r="F76" s="168">
        <v>0</v>
      </c>
      <c r="G76" s="168">
        <v>4</v>
      </c>
      <c r="H76" s="10">
        <f t="shared" si="1"/>
        <v>2160</v>
      </c>
    </row>
    <row r="77" spans="1:8">
      <c r="A77" s="5"/>
      <c r="B77" s="167" t="s">
        <v>784</v>
      </c>
      <c r="C77" s="168" t="s">
        <v>785</v>
      </c>
      <c r="D77" s="168">
        <v>600</v>
      </c>
      <c r="E77" s="168">
        <v>0</v>
      </c>
      <c r="F77" s="168">
        <v>33</v>
      </c>
      <c r="G77" s="168">
        <v>40</v>
      </c>
      <c r="H77" s="10">
        <f t="shared" si="1"/>
        <v>43800</v>
      </c>
    </row>
    <row r="78" spans="1:8">
      <c r="A78" s="5"/>
      <c r="B78" s="167" t="s">
        <v>786</v>
      </c>
      <c r="C78" s="168" t="s">
        <v>787</v>
      </c>
      <c r="D78" s="168">
        <v>369</v>
      </c>
      <c r="E78" s="168">
        <v>0</v>
      </c>
      <c r="F78" s="168">
        <v>12</v>
      </c>
      <c r="G78" s="168">
        <v>131</v>
      </c>
      <c r="H78" s="10">
        <f t="shared" si="1"/>
        <v>52767</v>
      </c>
    </row>
    <row r="79" spans="1:8">
      <c r="A79" s="5"/>
      <c r="B79" s="167" t="s">
        <v>788</v>
      </c>
      <c r="C79" s="168" t="s">
        <v>789</v>
      </c>
      <c r="D79" s="168">
        <v>605</v>
      </c>
      <c r="E79" s="168">
        <v>0</v>
      </c>
      <c r="F79" s="168">
        <v>0</v>
      </c>
      <c r="G79" s="168">
        <v>123</v>
      </c>
      <c r="H79" s="10">
        <f t="shared" si="1"/>
        <v>74415</v>
      </c>
    </row>
    <row r="80" spans="1:8">
      <c r="A80" s="5"/>
      <c r="B80" s="167" t="s">
        <v>790</v>
      </c>
      <c r="C80" s="168" t="s">
        <v>791</v>
      </c>
      <c r="D80" s="168">
        <v>880</v>
      </c>
      <c r="E80" s="168">
        <v>0</v>
      </c>
      <c r="F80" s="168">
        <v>7</v>
      </c>
      <c r="G80" s="168">
        <v>6</v>
      </c>
      <c r="H80" s="10">
        <f t="shared" si="1"/>
        <v>11440</v>
      </c>
    </row>
    <row r="81" spans="1:8">
      <c r="A81" s="5"/>
      <c r="B81" s="167" t="s">
        <v>792</v>
      </c>
      <c r="C81" s="168" t="s">
        <v>793</v>
      </c>
      <c r="D81" s="168">
        <v>1100</v>
      </c>
      <c r="E81" s="168">
        <v>0</v>
      </c>
      <c r="F81" s="168">
        <v>14</v>
      </c>
      <c r="G81" s="168">
        <v>19</v>
      </c>
      <c r="H81" s="10">
        <f t="shared" si="1"/>
        <v>36300</v>
      </c>
    </row>
    <row r="82" spans="1:8">
      <c r="A82" s="5"/>
      <c r="B82" s="167" t="s">
        <v>794</v>
      </c>
      <c r="C82" s="168" t="s">
        <v>793</v>
      </c>
      <c r="D82" s="168">
        <v>1100</v>
      </c>
      <c r="E82" s="168">
        <v>0</v>
      </c>
      <c r="F82" s="168">
        <v>48</v>
      </c>
      <c r="G82" s="168">
        <v>12</v>
      </c>
      <c r="H82" s="10">
        <f t="shared" si="1"/>
        <v>66000</v>
      </c>
    </row>
    <row r="83" spans="1:8">
      <c r="A83" s="5"/>
      <c r="B83" s="167" t="s">
        <v>795</v>
      </c>
      <c r="C83" s="168" t="s">
        <v>796</v>
      </c>
      <c r="D83" s="168">
        <v>550</v>
      </c>
      <c r="E83" s="168">
        <v>0</v>
      </c>
      <c r="F83" s="168">
        <v>11</v>
      </c>
      <c r="G83" s="168">
        <v>35</v>
      </c>
      <c r="H83" s="10">
        <f t="shared" si="1"/>
        <v>25300</v>
      </c>
    </row>
    <row r="84" spans="1:8">
      <c r="A84" s="5"/>
      <c r="B84" s="167" t="s">
        <v>698</v>
      </c>
      <c r="C84" s="168" t="s">
        <v>797</v>
      </c>
      <c r="D84" s="168">
        <v>996</v>
      </c>
      <c r="E84" s="168">
        <v>0</v>
      </c>
      <c r="F84" s="168">
        <v>43</v>
      </c>
      <c r="G84" s="168">
        <v>10</v>
      </c>
      <c r="H84" s="10">
        <f t="shared" si="1"/>
        <v>52788</v>
      </c>
    </row>
    <row r="85" spans="1:8">
      <c r="A85" s="5"/>
      <c r="B85" s="167" t="s">
        <v>406</v>
      </c>
      <c r="C85" s="168" t="s">
        <v>798</v>
      </c>
      <c r="D85" s="168">
        <v>165</v>
      </c>
      <c r="E85" s="168">
        <v>0</v>
      </c>
      <c r="F85" s="168">
        <v>49</v>
      </c>
      <c r="G85" s="168">
        <v>111</v>
      </c>
      <c r="H85" s="10">
        <f t="shared" si="1"/>
        <v>26400</v>
      </c>
    </row>
    <row r="86" spans="1:8">
      <c r="A86" s="5"/>
      <c r="B86" s="167" t="s">
        <v>799</v>
      </c>
      <c r="C86" s="168" t="s">
        <v>800</v>
      </c>
      <c r="D86" s="168">
        <v>750</v>
      </c>
      <c r="E86" s="168">
        <v>0</v>
      </c>
      <c r="F86" s="168">
        <v>16</v>
      </c>
      <c r="G86" s="168">
        <v>19</v>
      </c>
      <c r="H86" s="10">
        <f t="shared" si="1"/>
        <v>26250</v>
      </c>
    </row>
    <row r="87" spans="1:8">
      <c r="A87" s="5"/>
      <c r="B87" s="167" t="s">
        <v>801</v>
      </c>
      <c r="C87" s="168" t="s">
        <v>802</v>
      </c>
      <c r="D87" s="168">
        <v>1100</v>
      </c>
      <c r="E87" s="168">
        <v>0</v>
      </c>
      <c r="F87" s="168">
        <v>52</v>
      </c>
      <c r="G87" s="168">
        <v>8</v>
      </c>
      <c r="H87" s="10">
        <f t="shared" si="1"/>
        <v>66000</v>
      </c>
    </row>
    <row r="88" spans="1:8">
      <c r="A88" s="5"/>
      <c r="B88" s="167" t="s">
        <v>803</v>
      </c>
      <c r="C88" s="168" t="s">
        <v>804</v>
      </c>
      <c r="D88" s="168">
        <v>703</v>
      </c>
      <c r="E88" s="168">
        <v>0</v>
      </c>
      <c r="F88" s="168">
        <v>19</v>
      </c>
      <c r="G88" s="168">
        <v>20</v>
      </c>
      <c r="H88" s="10">
        <f t="shared" si="1"/>
        <v>27417</v>
      </c>
    </row>
    <row r="89" spans="1:8">
      <c r="A89" s="5"/>
      <c r="B89" s="167" t="s">
        <v>805</v>
      </c>
      <c r="C89" s="168" t="s">
        <v>806</v>
      </c>
      <c r="D89" s="168">
        <v>110</v>
      </c>
      <c r="E89" s="168">
        <v>0</v>
      </c>
      <c r="F89" s="168">
        <v>0</v>
      </c>
      <c r="G89" s="168">
        <v>86</v>
      </c>
      <c r="H89" s="10">
        <f t="shared" si="1"/>
        <v>9460</v>
      </c>
    </row>
    <row r="90" spans="1:8">
      <c r="A90" s="5"/>
      <c r="B90" s="167" t="s">
        <v>807</v>
      </c>
      <c r="C90" s="168" t="s">
        <v>806</v>
      </c>
      <c r="D90" s="168">
        <v>198</v>
      </c>
      <c r="E90" s="168">
        <v>0</v>
      </c>
      <c r="F90" s="168">
        <v>309</v>
      </c>
      <c r="G90" s="168">
        <v>131</v>
      </c>
      <c r="H90" s="10">
        <f t="shared" si="1"/>
        <v>87120</v>
      </c>
    </row>
    <row r="91" spans="1:8">
      <c r="A91" s="5"/>
      <c r="B91" s="167" t="s">
        <v>808</v>
      </c>
      <c r="C91" s="168" t="s">
        <v>809</v>
      </c>
      <c r="D91" s="168">
        <v>297</v>
      </c>
      <c r="E91" s="168">
        <v>0</v>
      </c>
      <c r="F91" s="168">
        <v>12</v>
      </c>
      <c r="G91" s="168">
        <v>76</v>
      </c>
      <c r="H91" s="10">
        <f t="shared" si="1"/>
        <v>26136</v>
      </c>
    </row>
    <row r="92" spans="1:8">
      <c r="A92" s="5"/>
      <c r="B92" s="167" t="s">
        <v>810</v>
      </c>
      <c r="C92" s="168" t="s">
        <v>811</v>
      </c>
      <c r="D92" s="168">
        <v>389</v>
      </c>
      <c r="E92" s="168">
        <v>0</v>
      </c>
      <c r="F92" s="168">
        <v>32</v>
      </c>
      <c r="G92" s="168">
        <v>24</v>
      </c>
      <c r="H92" s="10">
        <f t="shared" si="1"/>
        <v>21784</v>
      </c>
    </row>
    <row r="93" spans="1:8">
      <c r="A93" s="5"/>
      <c r="B93" s="167" t="s">
        <v>812</v>
      </c>
      <c r="C93" s="168"/>
      <c r="D93" s="168">
        <v>170</v>
      </c>
      <c r="E93" s="168">
        <v>0</v>
      </c>
      <c r="F93" s="168">
        <v>1</v>
      </c>
      <c r="G93" s="168">
        <v>0</v>
      </c>
      <c r="H93" s="10">
        <f t="shared" si="1"/>
        <v>170</v>
      </c>
    </row>
    <row r="94" spans="1:8">
      <c r="A94" s="5"/>
      <c r="B94" s="167" t="s">
        <v>813</v>
      </c>
      <c r="C94" s="168"/>
      <c r="D94" s="168">
        <v>300</v>
      </c>
      <c r="E94" s="168">
        <v>0</v>
      </c>
      <c r="F94" s="168">
        <v>17</v>
      </c>
      <c r="G94" s="168">
        <v>0</v>
      </c>
      <c r="H94" s="10">
        <f t="shared" si="1"/>
        <v>5100</v>
      </c>
    </row>
    <row r="95" spans="1:8">
      <c r="A95" s="5"/>
      <c r="B95" s="167" t="s">
        <v>814</v>
      </c>
      <c r="C95" s="168"/>
      <c r="D95" s="168">
        <v>200</v>
      </c>
      <c r="E95" s="168">
        <v>0</v>
      </c>
      <c r="F95" s="168">
        <v>20</v>
      </c>
      <c r="G95" s="168">
        <v>0</v>
      </c>
      <c r="H95" s="10">
        <f t="shared" si="1"/>
        <v>4000</v>
      </c>
    </row>
    <row r="96" spans="1:8">
      <c r="A96" s="5"/>
      <c r="B96" s="167" t="s">
        <v>815</v>
      </c>
      <c r="C96" s="168"/>
      <c r="D96" s="168">
        <v>1134</v>
      </c>
      <c r="E96" s="168">
        <v>0</v>
      </c>
      <c r="F96" s="168">
        <v>1</v>
      </c>
      <c r="G96" s="168">
        <v>0</v>
      </c>
      <c r="H96" s="10">
        <f t="shared" si="1"/>
        <v>1134</v>
      </c>
    </row>
    <row r="97" spans="1:8">
      <c r="A97" s="5"/>
      <c r="B97" s="167" t="s">
        <v>816</v>
      </c>
      <c r="C97" s="168"/>
      <c r="D97" s="168">
        <v>1044</v>
      </c>
      <c r="E97" s="168">
        <v>0</v>
      </c>
      <c r="F97" s="168">
        <v>6</v>
      </c>
      <c r="G97" s="168">
        <v>0</v>
      </c>
      <c r="H97" s="10">
        <f t="shared" si="1"/>
        <v>6264</v>
      </c>
    </row>
    <row r="98" spans="1:8">
      <c r="A98" s="5"/>
      <c r="B98" s="167" t="s">
        <v>817</v>
      </c>
      <c r="C98" s="168"/>
      <c r="D98" s="168">
        <v>1200</v>
      </c>
      <c r="E98" s="168">
        <v>15</v>
      </c>
      <c r="F98" s="168">
        <v>1</v>
      </c>
      <c r="G98" s="168">
        <v>0</v>
      </c>
      <c r="H98" s="10">
        <f t="shared" si="1"/>
        <v>19200</v>
      </c>
    </row>
    <row r="99" spans="1:8">
      <c r="A99" s="5"/>
      <c r="B99" s="167" t="s">
        <v>818</v>
      </c>
      <c r="C99" s="168"/>
      <c r="D99" s="168">
        <v>1100</v>
      </c>
      <c r="E99" s="168">
        <v>24</v>
      </c>
      <c r="F99" s="168">
        <v>8</v>
      </c>
      <c r="G99" s="168">
        <v>0</v>
      </c>
      <c r="H99" s="10">
        <f t="shared" si="1"/>
        <v>35200</v>
      </c>
    </row>
    <row r="100" spans="1:8">
      <c r="A100" s="5"/>
      <c r="B100" s="167" t="s">
        <v>819</v>
      </c>
      <c r="C100" s="168"/>
      <c r="D100" s="168">
        <v>1100</v>
      </c>
      <c r="E100" s="168">
        <v>5</v>
      </c>
      <c r="F100" s="168">
        <v>6</v>
      </c>
      <c r="G100" s="168">
        <v>0</v>
      </c>
      <c r="H100" s="10">
        <f t="shared" si="1"/>
        <v>12100</v>
      </c>
    </row>
    <row r="101" spans="1:8">
      <c r="A101" s="5"/>
      <c r="B101" s="167" t="s">
        <v>820</v>
      </c>
      <c r="C101" s="168"/>
      <c r="D101" s="168">
        <v>1194</v>
      </c>
      <c r="E101" s="168">
        <v>16</v>
      </c>
      <c r="F101" s="168">
        <v>0</v>
      </c>
      <c r="G101" s="168">
        <v>0</v>
      </c>
      <c r="H101" s="10">
        <f t="shared" si="1"/>
        <v>19104</v>
      </c>
    </row>
    <row r="102" spans="1:8">
      <c r="A102" s="5"/>
      <c r="B102" s="167" t="s">
        <v>821</v>
      </c>
      <c r="C102" s="168"/>
      <c r="D102" s="168">
        <v>1334</v>
      </c>
      <c r="E102" s="168">
        <v>3</v>
      </c>
      <c r="F102" s="168">
        <v>0</v>
      </c>
      <c r="G102" s="168">
        <v>0</v>
      </c>
      <c r="H102" s="10">
        <f t="shared" si="1"/>
        <v>4002</v>
      </c>
    </row>
    <row r="103" spans="1:8">
      <c r="A103" s="5"/>
      <c r="B103" s="167" t="s">
        <v>822</v>
      </c>
      <c r="C103" s="168"/>
      <c r="D103" s="168">
        <v>242</v>
      </c>
      <c r="E103" s="168">
        <v>0</v>
      </c>
      <c r="F103" s="168">
        <v>2</v>
      </c>
      <c r="G103" s="168">
        <v>0</v>
      </c>
      <c r="H103" s="10">
        <f t="shared" si="1"/>
        <v>484</v>
      </c>
    </row>
    <row r="104" spans="1:8">
      <c r="A104" s="5"/>
      <c r="B104" s="167" t="s">
        <v>823</v>
      </c>
      <c r="C104" s="168"/>
      <c r="D104" s="168">
        <v>352</v>
      </c>
      <c r="E104" s="168">
        <v>0</v>
      </c>
      <c r="F104" s="168">
        <v>63</v>
      </c>
      <c r="G104" s="168">
        <v>0</v>
      </c>
      <c r="H104" s="10">
        <f t="shared" si="1"/>
        <v>22176</v>
      </c>
    </row>
    <row r="105" spans="1:8">
      <c r="A105" s="5"/>
      <c r="B105" s="167" t="s">
        <v>824</v>
      </c>
      <c r="C105" s="168"/>
      <c r="D105" s="168">
        <v>977</v>
      </c>
      <c r="E105" s="168">
        <v>8</v>
      </c>
      <c r="F105" s="168">
        <v>0</v>
      </c>
      <c r="G105" s="168">
        <v>0</v>
      </c>
      <c r="H105" s="10">
        <f t="shared" si="1"/>
        <v>7816</v>
      </c>
    </row>
    <row r="106" spans="1:8">
      <c r="A106" s="5"/>
      <c r="B106" s="167" t="s">
        <v>825</v>
      </c>
      <c r="C106" s="168"/>
      <c r="D106" s="168">
        <v>594</v>
      </c>
      <c r="E106" s="168">
        <v>0</v>
      </c>
      <c r="F106" s="168">
        <v>77</v>
      </c>
      <c r="G106" s="168">
        <v>0</v>
      </c>
      <c r="H106" s="10">
        <f t="shared" si="1"/>
        <v>45738</v>
      </c>
    </row>
    <row r="107" spans="1:8">
      <c r="A107" s="5"/>
      <c r="B107" s="167" t="s">
        <v>826</v>
      </c>
      <c r="C107" s="168"/>
      <c r="D107" s="168">
        <v>660</v>
      </c>
      <c r="E107" s="168">
        <v>0</v>
      </c>
      <c r="F107" s="168">
        <v>25</v>
      </c>
      <c r="G107" s="168">
        <v>0</v>
      </c>
      <c r="H107" s="10">
        <f t="shared" si="1"/>
        <v>16500</v>
      </c>
    </row>
    <row r="108" spans="1:8">
      <c r="A108" s="5"/>
      <c r="B108" s="167" t="s">
        <v>827</v>
      </c>
      <c r="C108" s="168"/>
      <c r="D108" s="168">
        <v>688</v>
      </c>
      <c r="E108" s="168">
        <v>0</v>
      </c>
      <c r="F108" s="168">
        <v>4</v>
      </c>
      <c r="G108" s="168">
        <v>0</v>
      </c>
      <c r="H108" s="10">
        <f t="shared" si="1"/>
        <v>2752</v>
      </c>
    </row>
    <row r="109" spans="1:8">
      <c r="A109" s="5"/>
      <c r="B109" s="167" t="s">
        <v>828</v>
      </c>
      <c r="C109" s="168"/>
      <c r="D109" s="168">
        <v>660</v>
      </c>
      <c r="E109" s="168">
        <v>0</v>
      </c>
      <c r="F109" s="168">
        <v>17</v>
      </c>
      <c r="G109" s="168">
        <v>14</v>
      </c>
      <c r="H109" s="10">
        <f t="shared" si="1"/>
        <v>20460</v>
      </c>
    </row>
    <row r="110" spans="1:8">
      <c r="A110" s="5"/>
      <c r="B110" s="167" t="s">
        <v>829</v>
      </c>
      <c r="C110" s="168"/>
      <c r="D110" s="168">
        <v>100</v>
      </c>
      <c r="E110" s="168">
        <v>0</v>
      </c>
      <c r="F110" s="168">
        <v>91</v>
      </c>
      <c r="G110" s="168">
        <v>0</v>
      </c>
      <c r="H110" s="10">
        <f t="shared" si="1"/>
        <v>9100</v>
      </c>
    </row>
    <row r="111" spans="1:8">
      <c r="A111" s="5"/>
      <c r="B111" s="167" t="s">
        <v>830</v>
      </c>
      <c r="C111" s="168"/>
      <c r="D111" s="168">
        <v>580</v>
      </c>
      <c r="E111" s="168">
        <v>0</v>
      </c>
      <c r="F111" s="168">
        <v>1</v>
      </c>
      <c r="G111" s="168">
        <v>0</v>
      </c>
      <c r="H111" s="10">
        <f t="shared" si="1"/>
        <v>580</v>
      </c>
    </row>
    <row r="112" spans="1:8">
      <c r="A112" s="5"/>
      <c r="B112" s="167" t="s">
        <v>831</v>
      </c>
      <c r="C112" s="168"/>
      <c r="D112" s="168">
        <v>1000</v>
      </c>
      <c r="E112" s="168">
        <v>0</v>
      </c>
      <c r="F112" s="168">
        <v>60</v>
      </c>
      <c r="G112" s="168">
        <v>0</v>
      </c>
      <c r="H112" s="10">
        <f t="shared" si="1"/>
        <v>60000</v>
      </c>
    </row>
    <row r="113" spans="1:8">
      <c r="A113" s="5"/>
      <c r="B113" s="167" t="s">
        <v>832</v>
      </c>
      <c r="C113" s="168"/>
      <c r="D113" s="168">
        <v>792</v>
      </c>
      <c r="E113" s="168">
        <v>0</v>
      </c>
      <c r="F113" s="168">
        <v>57</v>
      </c>
      <c r="G113" s="168">
        <v>0</v>
      </c>
      <c r="H113" s="10">
        <f t="shared" si="1"/>
        <v>45144</v>
      </c>
    </row>
    <row r="114" spans="1:8">
      <c r="A114" s="5"/>
      <c r="B114" s="167" t="s">
        <v>833</v>
      </c>
      <c r="C114" s="168"/>
      <c r="D114" s="168">
        <v>280</v>
      </c>
      <c r="E114" s="168">
        <v>40</v>
      </c>
      <c r="F114" s="168">
        <v>34</v>
      </c>
      <c r="G114" s="168">
        <v>0</v>
      </c>
      <c r="H114" s="10">
        <f t="shared" si="1"/>
        <v>20720</v>
      </c>
    </row>
    <row r="115" spans="1:8">
      <c r="A115" s="5"/>
      <c r="B115" s="167" t="s">
        <v>834</v>
      </c>
      <c r="C115" s="168"/>
      <c r="D115" s="168">
        <v>1029</v>
      </c>
      <c r="E115" s="168">
        <v>0</v>
      </c>
      <c r="F115" s="168">
        <v>10</v>
      </c>
      <c r="G115" s="168">
        <v>0</v>
      </c>
      <c r="H115" s="10">
        <f t="shared" si="1"/>
        <v>10290</v>
      </c>
    </row>
    <row r="116" spans="1:8" ht="15">
      <c r="A116" s="5"/>
      <c r="B116" s="192" t="s">
        <v>835</v>
      </c>
      <c r="C116" s="166"/>
      <c r="D116" s="166">
        <v>1100</v>
      </c>
      <c r="E116" s="166">
        <v>0</v>
      </c>
      <c r="F116" s="166">
        <v>7</v>
      </c>
      <c r="G116" s="166">
        <v>0</v>
      </c>
      <c r="H116" s="10">
        <f t="shared" si="1"/>
        <v>7700</v>
      </c>
    </row>
    <row r="117" spans="1:8" ht="15">
      <c r="A117" s="5"/>
      <c r="B117" s="193" t="s">
        <v>836</v>
      </c>
      <c r="C117" s="168"/>
      <c r="D117" s="168">
        <v>950</v>
      </c>
      <c r="E117" s="168">
        <v>0</v>
      </c>
      <c r="F117" s="168">
        <v>5</v>
      </c>
      <c r="G117" s="168">
        <v>0</v>
      </c>
      <c r="H117" s="10">
        <f t="shared" si="1"/>
        <v>4750</v>
      </c>
    </row>
    <row r="118" spans="1:8" ht="15">
      <c r="A118" s="5"/>
      <c r="B118" s="193" t="s">
        <v>360</v>
      </c>
      <c r="C118" s="168"/>
      <c r="D118" s="168">
        <v>550</v>
      </c>
      <c r="E118" s="168">
        <v>100</v>
      </c>
      <c r="F118" s="168">
        <v>94</v>
      </c>
      <c r="G118" s="168">
        <v>0</v>
      </c>
      <c r="H118" s="10">
        <f t="shared" si="1"/>
        <v>106700</v>
      </c>
    </row>
    <row r="119" spans="1:8" ht="15">
      <c r="A119" s="5"/>
      <c r="B119" s="193" t="s">
        <v>837</v>
      </c>
      <c r="C119" s="168"/>
      <c r="D119" s="168">
        <v>275</v>
      </c>
      <c r="E119" s="168">
        <v>100</v>
      </c>
      <c r="F119" s="168">
        <v>93</v>
      </c>
      <c r="G119" s="168">
        <v>0</v>
      </c>
      <c r="H119" s="10">
        <f t="shared" si="1"/>
        <v>53075</v>
      </c>
    </row>
    <row r="120" spans="1:8" ht="15">
      <c r="A120" s="5"/>
      <c r="B120" s="193" t="s">
        <v>838</v>
      </c>
      <c r="C120" s="168"/>
      <c r="D120" s="168">
        <v>528</v>
      </c>
      <c r="E120" s="168">
        <v>0</v>
      </c>
      <c r="F120" s="168">
        <v>16</v>
      </c>
      <c r="G120" s="168">
        <v>0</v>
      </c>
      <c r="H120" s="10">
        <f t="shared" si="1"/>
        <v>8448</v>
      </c>
    </row>
    <row r="121" spans="1:8" ht="15">
      <c r="A121" s="5"/>
      <c r="B121" s="193" t="s">
        <v>528</v>
      </c>
      <c r="C121" s="168"/>
      <c r="D121" s="168">
        <v>418</v>
      </c>
      <c r="E121" s="168">
        <v>132</v>
      </c>
      <c r="F121" s="168">
        <v>0</v>
      </c>
      <c r="G121" s="168">
        <v>0</v>
      </c>
      <c r="H121" s="10">
        <f t="shared" si="1"/>
        <v>55176</v>
      </c>
    </row>
    <row r="122" spans="1:8" ht="15">
      <c r="A122" s="5"/>
      <c r="B122" s="193" t="s">
        <v>839</v>
      </c>
      <c r="C122" s="168"/>
      <c r="D122" s="168">
        <v>275</v>
      </c>
      <c r="E122" s="168">
        <v>77</v>
      </c>
      <c r="F122" s="168">
        <v>0</v>
      </c>
      <c r="G122" s="168">
        <v>0</v>
      </c>
      <c r="H122" s="10">
        <f t="shared" si="1"/>
        <v>21175</v>
      </c>
    </row>
    <row r="123" spans="1:8" ht="15">
      <c r="A123" s="5"/>
      <c r="B123" s="193" t="s">
        <v>840</v>
      </c>
      <c r="C123" s="168"/>
      <c r="D123" s="168">
        <v>1050</v>
      </c>
      <c r="E123" s="168">
        <v>0</v>
      </c>
      <c r="F123" s="168">
        <v>1</v>
      </c>
      <c r="G123" s="168">
        <v>0</v>
      </c>
      <c r="H123" s="10">
        <f t="shared" si="1"/>
        <v>1050</v>
      </c>
    </row>
    <row r="124" spans="1:8" ht="15">
      <c r="A124" s="5"/>
      <c r="B124" s="193" t="s">
        <v>841</v>
      </c>
      <c r="C124" s="168"/>
      <c r="D124" s="168">
        <v>1045</v>
      </c>
      <c r="E124" s="168">
        <v>25</v>
      </c>
      <c r="F124" s="168">
        <v>0</v>
      </c>
      <c r="G124" s="168">
        <v>0</v>
      </c>
      <c r="H124" s="10">
        <f t="shared" si="1"/>
        <v>26125</v>
      </c>
    </row>
    <row r="125" spans="1:8" ht="15">
      <c r="A125" s="5"/>
      <c r="B125" s="193" t="s">
        <v>842</v>
      </c>
      <c r="C125" s="168"/>
      <c r="D125" s="168">
        <v>200</v>
      </c>
      <c r="E125" s="168">
        <v>0</v>
      </c>
      <c r="F125" s="168">
        <v>61</v>
      </c>
      <c r="G125" s="168">
        <v>0</v>
      </c>
      <c r="H125" s="10">
        <f t="shared" si="1"/>
        <v>12200</v>
      </c>
    </row>
    <row r="126" spans="1:8" ht="15">
      <c r="A126" s="5"/>
      <c r="B126" s="193" t="s">
        <v>843</v>
      </c>
      <c r="C126" s="168"/>
      <c r="D126" s="168">
        <v>512</v>
      </c>
      <c r="E126" s="168">
        <v>90</v>
      </c>
      <c r="F126" s="168">
        <v>0</v>
      </c>
      <c r="G126" s="168">
        <v>0</v>
      </c>
      <c r="H126" s="10">
        <f t="shared" si="1"/>
        <v>46080</v>
      </c>
    </row>
    <row r="127" spans="1:8" ht="15">
      <c r="A127" s="5"/>
      <c r="B127" s="193" t="s">
        <v>844</v>
      </c>
      <c r="C127" s="168"/>
      <c r="D127" s="168">
        <v>1100</v>
      </c>
      <c r="E127" s="168">
        <v>6</v>
      </c>
      <c r="F127" s="168">
        <v>0</v>
      </c>
      <c r="G127" s="168">
        <v>0</v>
      </c>
      <c r="H127" s="10">
        <f t="shared" si="1"/>
        <v>6600</v>
      </c>
    </row>
    <row r="128" spans="1:8" ht="14.25" customHeight="1">
      <c r="A128" s="5"/>
      <c r="B128" s="193" t="s">
        <v>845</v>
      </c>
      <c r="C128" s="168"/>
      <c r="D128" s="168">
        <v>1017</v>
      </c>
      <c r="E128" s="168">
        <v>2</v>
      </c>
      <c r="F128" s="168">
        <v>1</v>
      </c>
      <c r="G128" s="168">
        <v>0</v>
      </c>
      <c r="H128" s="10">
        <f t="shared" si="1"/>
        <v>3051</v>
      </c>
    </row>
    <row r="129" spans="1:8" ht="15">
      <c r="A129" s="5"/>
      <c r="B129" s="193" t="s">
        <v>846</v>
      </c>
      <c r="C129" s="168"/>
      <c r="D129" s="168">
        <v>810</v>
      </c>
      <c r="E129" s="168">
        <v>0</v>
      </c>
      <c r="F129" s="168">
        <v>14</v>
      </c>
      <c r="G129" s="168">
        <v>0</v>
      </c>
      <c r="H129" s="10">
        <f t="shared" si="1"/>
        <v>11340</v>
      </c>
    </row>
    <row r="130" spans="1:8" ht="15">
      <c r="A130" s="5"/>
      <c r="B130" s="193" t="s">
        <v>847</v>
      </c>
      <c r="C130" s="168"/>
      <c r="D130" s="168">
        <v>421</v>
      </c>
      <c r="E130" s="168">
        <v>0</v>
      </c>
      <c r="F130" s="168">
        <v>4</v>
      </c>
      <c r="G130" s="168">
        <v>0</v>
      </c>
      <c r="H130" s="10">
        <f t="shared" si="1"/>
        <v>1684</v>
      </c>
    </row>
    <row r="131" spans="1:8" ht="15">
      <c r="A131" s="5"/>
      <c r="B131" s="193" t="s">
        <v>848</v>
      </c>
      <c r="C131" s="168"/>
      <c r="D131" s="168">
        <v>514</v>
      </c>
      <c r="E131" s="168">
        <v>0</v>
      </c>
      <c r="F131" s="168">
        <v>11</v>
      </c>
      <c r="G131" s="168">
        <v>0</v>
      </c>
      <c r="H131" s="10">
        <f t="shared" si="1"/>
        <v>5654</v>
      </c>
    </row>
    <row r="132" spans="1:8" ht="15">
      <c r="A132" s="5"/>
      <c r="B132" s="193" t="s">
        <v>849</v>
      </c>
      <c r="C132" s="168"/>
      <c r="D132" s="168">
        <v>514</v>
      </c>
      <c r="E132" s="168">
        <v>0</v>
      </c>
      <c r="F132" s="168">
        <v>9</v>
      </c>
      <c r="G132" s="168">
        <v>0</v>
      </c>
      <c r="H132" s="10">
        <f t="shared" si="1"/>
        <v>4626</v>
      </c>
    </row>
    <row r="133" spans="1:8" ht="15">
      <c r="A133" s="5"/>
      <c r="B133" s="193" t="s">
        <v>813</v>
      </c>
      <c r="C133" s="168"/>
      <c r="D133" s="168">
        <v>170</v>
      </c>
      <c r="E133" s="168">
        <v>0</v>
      </c>
      <c r="F133" s="168">
        <v>16</v>
      </c>
      <c r="G133" s="168">
        <v>0</v>
      </c>
      <c r="H133" s="10">
        <f t="shared" si="1"/>
        <v>2720</v>
      </c>
    </row>
    <row r="134" spans="1:8" ht="15">
      <c r="A134" s="5"/>
      <c r="B134" s="193" t="s">
        <v>850</v>
      </c>
      <c r="C134" s="168"/>
      <c r="D134" s="168">
        <v>400</v>
      </c>
      <c r="E134" s="168">
        <v>0</v>
      </c>
      <c r="F134" s="168">
        <v>8</v>
      </c>
      <c r="G134" s="168">
        <v>0</v>
      </c>
      <c r="H134" s="10">
        <f t="shared" si="1"/>
        <v>3200</v>
      </c>
    </row>
    <row r="135" spans="1:8" ht="15">
      <c r="A135" s="5"/>
      <c r="B135" s="193" t="s">
        <v>851</v>
      </c>
      <c r="C135" s="168"/>
      <c r="D135" s="168">
        <v>495</v>
      </c>
      <c r="E135" s="168">
        <v>0</v>
      </c>
      <c r="F135" s="168">
        <v>37</v>
      </c>
      <c r="G135" s="168">
        <v>0</v>
      </c>
      <c r="H135" s="10">
        <f t="shared" ref="H135:H141" si="2">D135*(E135+F135+G135)</f>
        <v>18315</v>
      </c>
    </row>
    <row r="136" spans="1:8" ht="15">
      <c r="A136" s="5"/>
      <c r="B136" s="193" t="s">
        <v>852</v>
      </c>
      <c r="C136" s="168"/>
      <c r="D136" s="168">
        <v>1100</v>
      </c>
      <c r="E136" s="168">
        <v>120</v>
      </c>
      <c r="F136" s="168">
        <v>14</v>
      </c>
      <c r="G136" s="168">
        <v>0</v>
      </c>
      <c r="H136" s="10">
        <f t="shared" si="2"/>
        <v>147400</v>
      </c>
    </row>
    <row r="137" spans="1:8" ht="15">
      <c r="A137" s="5"/>
      <c r="B137" s="193" t="s">
        <v>853</v>
      </c>
      <c r="C137" s="168"/>
      <c r="D137" s="168">
        <v>344</v>
      </c>
      <c r="E137" s="168">
        <v>0</v>
      </c>
      <c r="F137" s="168">
        <v>10</v>
      </c>
      <c r="G137" s="168">
        <v>0</v>
      </c>
      <c r="H137" s="10">
        <f t="shared" si="2"/>
        <v>3440</v>
      </c>
    </row>
    <row r="138" spans="1:8" ht="15">
      <c r="A138" s="5"/>
      <c r="B138" s="193" t="s">
        <v>854</v>
      </c>
      <c r="C138" s="168"/>
      <c r="D138" s="168">
        <v>160</v>
      </c>
      <c r="E138" s="168">
        <v>182</v>
      </c>
      <c r="F138" s="168">
        <v>0</v>
      </c>
      <c r="G138" s="168">
        <v>0</v>
      </c>
      <c r="H138" s="10">
        <f t="shared" si="2"/>
        <v>29120</v>
      </c>
    </row>
    <row r="139" spans="1:8" ht="15">
      <c r="A139" s="5"/>
      <c r="B139" s="193" t="s">
        <v>855</v>
      </c>
      <c r="C139" s="168"/>
      <c r="D139" s="168">
        <v>1005</v>
      </c>
      <c r="E139" s="168">
        <v>6</v>
      </c>
      <c r="F139" s="168">
        <v>0</v>
      </c>
      <c r="G139" s="168">
        <v>0</v>
      </c>
      <c r="H139" s="10">
        <f t="shared" si="2"/>
        <v>6030</v>
      </c>
    </row>
    <row r="140" spans="1:8" ht="15">
      <c r="A140" s="5"/>
      <c r="B140" s="193" t="s">
        <v>856</v>
      </c>
      <c r="C140" s="168"/>
      <c r="D140" s="168">
        <v>1150</v>
      </c>
      <c r="E140" s="168">
        <v>0</v>
      </c>
      <c r="F140" s="168">
        <v>1</v>
      </c>
      <c r="G140" s="168">
        <v>0</v>
      </c>
      <c r="H140" s="10">
        <f t="shared" si="2"/>
        <v>1150</v>
      </c>
    </row>
    <row r="141" spans="1:8" ht="15">
      <c r="A141" s="5"/>
      <c r="B141" s="193" t="s">
        <v>857</v>
      </c>
      <c r="C141" s="168"/>
      <c r="D141" s="168">
        <v>994</v>
      </c>
      <c r="E141" s="168">
        <v>0</v>
      </c>
      <c r="F141" s="168">
        <v>1</v>
      </c>
      <c r="G141" s="168">
        <v>0</v>
      </c>
      <c r="H141" s="10">
        <f t="shared" si="2"/>
        <v>994</v>
      </c>
    </row>
    <row r="144" spans="1:8">
      <c r="A144" s="47">
        <v>46081</v>
      </c>
    </row>
    <row r="145" spans="1:8" ht="21">
      <c r="A145" s="516"/>
      <c r="B145" s="517" t="s">
        <v>2</v>
      </c>
      <c r="C145" s="517" t="s">
        <v>1</v>
      </c>
      <c r="D145" s="517" t="s">
        <v>3</v>
      </c>
      <c r="E145" s="518" t="s">
        <v>4</v>
      </c>
      <c r="F145" s="518"/>
      <c r="G145" s="518"/>
      <c r="H145" s="515" t="s">
        <v>5</v>
      </c>
    </row>
    <row r="146" spans="1:8" ht="21">
      <c r="A146" s="338"/>
      <c r="B146" s="396"/>
      <c r="C146" s="396"/>
      <c r="D146" s="396"/>
      <c r="E146" s="85" t="s">
        <v>6</v>
      </c>
      <c r="F146" s="85" t="s">
        <v>665</v>
      </c>
      <c r="G146" s="86" t="s">
        <v>8</v>
      </c>
      <c r="H146" s="397"/>
    </row>
    <row r="147" spans="1:8" ht="17.25">
      <c r="A147" s="5" t="s">
        <v>666</v>
      </c>
      <c r="B147" s="398"/>
      <c r="C147" s="399"/>
      <c r="D147" s="399"/>
      <c r="E147" s="399"/>
      <c r="F147" s="399"/>
      <c r="G147" s="399"/>
      <c r="H147" s="140">
        <f>SUM(H148:H266)</f>
        <v>4231102</v>
      </c>
    </row>
    <row r="148" spans="1:8">
      <c r="A148" s="5"/>
      <c r="B148" s="398" t="s">
        <v>858</v>
      </c>
      <c r="C148" s="399" t="s">
        <v>668</v>
      </c>
      <c r="D148" s="399">
        <v>2622</v>
      </c>
      <c r="E148" s="399">
        <v>0</v>
      </c>
      <c r="F148" s="399">
        <v>7</v>
      </c>
      <c r="G148" s="399">
        <v>7</v>
      </c>
      <c r="H148" s="52">
        <f t="shared" ref="H148:H179" si="3">D148*(E148+F148+G148)</f>
        <v>36708</v>
      </c>
    </row>
    <row r="149" spans="1:8">
      <c r="A149" s="5"/>
      <c r="B149" s="400" t="s">
        <v>859</v>
      </c>
      <c r="C149" s="401" t="s">
        <v>668</v>
      </c>
      <c r="D149" s="401">
        <v>2277</v>
      </c>
      <c r="E149" s="401">
        <v>0</v>
      </c>
      <c r="F149" s="401">
        <v>12</v>
      </c>
      <c r="G149" s="401">
        <v>6</v>
      </c>
      <c r="H149" s="52">
        <f t="shared" si="3"/>
        <v>40986</v>
      </c>
    </row>
    <row r="150" spans="1:8">
      <c r="A150" s="5"/>
      <c r="B150" s="400" t="s">
        <v>860</v>
      </c>
      <c r="C150" s="401" t="s">
        <v>671</v>
      </c>
      <c r="D150" s="401">
        <v>800</v>
      </c>
      <c r="E150" s="401">
        <v>30</v>
      </c>
      <c r="F150" s="401">
        <v>36</v>
      </c>
      <c r="G150" s="401">
        <v>36</v>
      </c>
      <c r="H150" s="52">
        <f t="shared" si="3"/>
        <v>81600</v>
      </c>
    </row>
    <row r="151" spans="1:8">
      <c r="A151" s="5"/>
      <c r="B151" s="400" t="s">
        <v>861</v>
      </c>
      <c r="C151" s="401" t="s">
        <v>673</v>
      </c>
      <c r="D151" s="401">
        <v>1056</v>
      </c>
      <c r="E151" s="401">
        <v>0</v>
      </c>
      <c r="F151" s="401">
        <v>54</v>
      </c>
      <c r="G151" s="401">
        <v>12</v>
      </c>
      <c r="H151" s="52">
        <f t="shared" si="3"/>
        <v>69696</v>
      </c>
    </row>
    <row r="152" spans="1:8">
      <c r="A152" s="5"/>
      <c r="B152" s="400" t="s">
        <v>862</v>
      </c>
      <c r="C152" s="401" t="s">
        <v>863</v>
      </c>
      <c r="D152" s="401">
        <v>180</v>
      </c>
      <c r="E152" s="401">
        <v>240</v>
      </c>
      <c r="F152" s="401">
        <v>222</v>
      </c>
      <c r="G152" s="401">
        <v>18</v>
      </c>
      <c r="H152" s="52">
        <f t="shared" si="3"/>
        <v>86400</v>
      </c>
    </row>
    <row r="153" spans="1:8">
      <c r="A153" s="5"/>
      <c r="B153" s="400" t="s">
        <v>556</v>
      </c>
      <c r="C153" s="401" t="s">
        <v>675</v>
      </c>
      <c r="D153" s="401">
        <v>1100</v>
      </c>
      <c r="E153" s="401">
        <v>0</v>
      </c>
      <c r="F153" s="401">
        <v>0</v>
      </c>
      <c r="G153" s="401">
        <v>18</v>
      </c>
      <c r="H153" s="52">
        <f t="shared" si="3"/>
        <v>19800</v>
      </c>
    </row>
    <row r="154" spans="1:8">
      <c r="A154" s="5"/>
      <c r="B154" s="400" t="s">
        <v>864</v>
      </c>
      <c r="C154" s="401" t="s">
        <v>865</v>
      </c>
      <c r="D154" s="401">
        <v>854</v>
      </c>
      <c r="E154" s="401">
        <v>0</v>
      </c>
      <c r="F154" s="401">
        <v>0</v>
      </c>
      <c r="G154" s="401">
        <v>22</v>
      </c>
      <c r="H154" s="52">
        <f t="shared" si="3"/>
        <v>18788</v>
      </c>
    </row>
    <row r="155" spans="1:8">
      <c r="A155" s="5"/>
      <c r="B155" s="400" t="s">
        <v>242</v>
      </c>
      <c r="C155" s="401" t="s">
        <v>677</v>
      </c>
      <c r="D155" s="401">
        <v>935</v>
      </c>
      <c r="E155" s="401">
        <v>100</v>
      </c>
      <c r="F155" s="401">
        <v>3</v>
      </c>
      <c r="G155" s="401">
        <v>35</v>
      </c>
      <c r="H155" s="52">
        <f t="shared" si="3"/>
        <v>129030</v>
      </c>
    </row>
    <row r="156" spans="1:8">
      <c r="A156" s="5"/>
      <c r="B156" s="400" t="s">
        <v>866</v>
      </c>
      <c r="C156" s="401" t="s">
        <v>679</v>
      </c>
      <c r="D156" s="401">
        <v>187</v>
      </c>
      <c r="E156" s="401">
        <v>0</v>
      </c>
      <c r="F156" s="401">
        <v>174</v>
      </c>
      <c r="G156" s="401">
        <v>12</v>
      </c>
      <c r="H156" s="52">
        <f t="shared" si="3"/>
        <v>34782</v>
      </c>
    </row>
    <row r="157" spans="1:8">
      <c r="A157" s="5"/>
      <c r="B157" s="400" t="s">
        <v>680</v>
      </c>
      <c r="C157" s="401" t="s">
        <v>681</v>
      </c>
      <c r="D157" s="401">
        <v>650</v>
      </c>
      <c r="E157" s="401">
        <v>0</v>
      </c>
      <c r="F157" s="401">
        <v>22</v>
      </c>
      <c r="G157" s="401">
        <v>12</v>
      </c>
      <c r="H157" s="52">
        <f t="shared" si="3"/>
        <v>22100</v>
      </c>
    </row>
    <row r="158" spans="1:8">
      <c r="A158" s="5"/>
      <c r="B158" s="400" t="s">
        <v>867</v>
      </c>
      <c r="C158" s="401" t="s">
        <v>868</v>
      </c>
      <c r="D158" s="401">
        <v>765</v>
      </c>
      <c r="E158" s="401">
        <v>0</v>
      </c>
      <c r="F158" s="401">
        <v>194</v>
      </c>
      <c r="G158" s="401">
        <v>20</v>
      </c>
      <c r="H158" s="52">
        <f t="shared" si="3"/>
        <v>163710</v>
      </c>
    </row>
    <row r="159" spans="1:8">
      <c r="A159" s="5"/>
      <c r="B159" s="400" t="s">
        <v>684</v>
      </c>
      <c r="C159" s="401" t="s">
        <v>869</v>
      </c>
      <c r="D159" s="401">
        <v>726</v>
      </c>
      <c r="E159" s="401">
        <v>0</v>
      </c>
      <c r="F159" s="401">
        <v>0</v>
      </c>
      <c r="G159" s="401">
        <v>15</v>
      </c>
      <c r="H159" s="52">
        <f t="shared" si="3"/>
        <v>10890</v>
      </c>
    </row>
    <row r="160" spans="1:8">
      <c r="A160" s="5"/>
      <c r="B160" s="400" t="s">
        <v>870</v>
      </c>
      <c r="C160" s="401" t="s">
        <v>869</v>
      </c>
      <c r="D160" s="401">
        <v>950</v>
      </c>
      <c r="E160" s="401">
        <v>36</v>
      </c>
      <c r="F160" s="401">
        <v>4</v>
      </c>
      <c r="G160" s="401">
        <v>2</v>
      </c>
      <c r="H160" s="52">
        <f t="shared" si="3"/>
        <v>39900</v>
      </c>
    </row>
    <row r="161" spans="1:8">
      <c r="A161" s="5"/>
      <c r="B161" s="400" t="s">
        <v>871</v>
      </c>
      <c r="C161" s="401" t="s">
        <v>872</v>
      </c>
      <c r="D161" s="401">
        <v>198</v>
      </c>
      <c r="E161" s="401">
        <v>0</v>
      </c>
      <c r="F161" s="401">
        <v>0</v>
      </c>
      <c r="G161" s="401">
        <v>63</v>
      </c>
      <c r="H161" s="52">
        <f t="shared" si="3"/>
        <v>12474</v>
      </c>
    </row>
    <row r="162" spans="1:8">
      <c r="A162" s="5"/>
      <c r="B162" s="400" t="s">
        <v>873</v>
      </c>
      <c r="C162" s="401" t="s">
        <v>874</v>
      </c>
      <c r="D162" s="401">
        <v>1430</v>
      </c>
      <c r="E162" s="401">
        <v>0</v>
      </c>
      <c r="F162" s="401">
        <v>171</v>
      </c>
      <c r="G162" s="401">
        <v>9</v>
      </c>
      <c r="H162" s="52">
        <f t="shared" si="3"/>
        <v>257400</v>
      </c>
    </row>
    <row r="163" spans="1:8">
      <c r="A163" s="5"/>
      <c r="B163" s="400" t="s">
        <v>875</v>
      </c>
      <c r="C163" s="401" t="s">
        <v>876</v>
      </c>
      <c r="D163" s="401">
        <v>977</v>
      </c>
      <c r="E163" s="401">
        <v>0</v>
      </c>
      <c r="F163" s="401">
        <v>13</v>
      </c>
      <c r="G163" s="401">
        <v>4</v>
      </c>
      <c r="H163" s="52">
        <f t="shared" si="3"/>
        <v>16609</v>
      </c>
    </row>
    <row r="164" spans="1:8">
      <c r="A164" s="5"/>
      <c r="B164" s="400" t="s">
        <v>692</v>
      </c>
      <c r="C164" s="401" t="s">
        <v>877</v>
      </c>
      <c r="D164" s="401">
        <v>264</v>
      </c>
      <c r="E164" s="401">
        <v>0</v>
      </c>
      <c r="F164" s="401">
        <v>0</v>
      </c>
      <c r="G164" s="401">
        <v>90</v>
      </c>
      <c r="H164" s="52">
        <f t="shared" si="3"/>
        <v>23760</v>
      </c>
    </row>
    <row r="165" spans="1:8">
      <c r="A165" s="5"/>
      <c r="B165" s="400" t="s">
        <v>878</v>
      </c>
      <c r="C165" s="401" t="s">
        <v>879</v>
      </c>
      <c r="D165" s="401">
        <v>283</v>
      </c>
      <c r="E165" s="401">
        <v>0</v>
      </c>
      <c r="F165" s="401">
        <v>0</v>
      </c>
      <c r="G165" s="401">
        <v>57</v>
      </c>
      <c r="H165" s="52">
        <f t="shared" si="3"/>
        <v>16131</v>
      </c>
    </row>
    <row r="166" spans="1:8">
      <c r="A166" s="5"/>
      <c r="B166" s="400" t="s">
        <v>880</v>
      </c>
      <c r="C166" s="401" t="s">
        <v>881</v>
      </c>
      <c r="D166" s="401">
        <v>1100</v>
      </c>
      <c r="E166" s="401">
        <v>0</v>
      </c>
      <c r="F166" s="401">
        <v>18</v>
      </c>
      <c r="G166" s="401">
        <v>4</v>
      </c>
      <c r="H166" s="52">
        <f t="shared" si="3"/>
        <v>24200</v>
      </c>
    </row>
    <row r="167" spans="1:8">
      <c r="A167" s="5"/>
      <c r="B167" s="400" t="s">
        <v>882</v>
      </c>
      <c r="C167" s="401" t="s">
        <v>883</v>
      </c>
      <c r="D167" s="401">
        <v>999</v>
      </c>
      <c r="E167" s="401">
        <v>0</v>
      </c>
      <c r="F167" s="401">
        <v>58</v>
      </c>
      <c r="G167" s="401">
        <v>6</v>
      </c>
      <c r="H167" s="52">
        <f t="shared" si="3"/>
        <v>63936</v>
      </c>
    </row>
    <row r="168" spans="1:8">
      <c r="A168" s="5"/>
      <c r="B168" s="400" t="s">
        <v>884</v>
      </c>
      <c r="C168" s="401" t="s">
        <v>885</v>
      </c>
      <c r="D168" s="401">
        <v>880</v>
      </c>
      <c r="E168" s="401">
        <v>0</v>
      </c>
      <c r="F168" s="401">
        <v>0</v>
      </c>
      <c r="G168" s="401">
        <v>6</v>
      </c>
      <c r="H168" s="52">
        <f t="shared" si="3"/>
        <v>5280</v>
      </c>
    </row>
    <row r="169" spans="1:8">
      <c r="A169" s="5"/>
      <c r="B169" s="400" t="s">
        <v>365</v>
      </c>
      <c r="C169" s="401" t="s">
        <v>886</v>
      </c>
      <c r="D169" s="401">
        <v>605</v>
      </c>
      <c r="E169" s="401">
        <v>0</v>
      </c>
      <c r="F169" s="401">
        <v>71</v>
      </c>
      <c r="G169" s="401">
        <v>4</v>
      </c>
      <c r="H169" s="52">
        <f t="shared" si="3"/>
        <v>45375</v>
      </c>
    </row>
    <row r="170" spans="1:8">
      <c r="A170" s="5"/>
      <c r="B170" s="400" t="s">
        <v>887</v>
      </c>
      <c r="C170" s="401" t="s">
        <v>888</v>
      </c>
      <c r="D170" s="401">
        <v>638</v>
      </c>
      <c r="E170" s="401">
        <v>0</v>
      </c>
      <c r="F170" s="401">
        <v>48</v>
      </c>
      <c r="G170" s="401">
        <v>13</v>
      </c>
      <c r="H170" s="52">
        <f t="shared" si="3"/>
        <v>38918</v>
      </c>
    </row>
    <row r="171" spans="1:8">
      <c r="A171" s="5"/>
      <c r="B171" s="400" t="s">
        <v>470</v>
      </c>
      <c r="C171" s="401" t="s">
        <v>889</v>
      </c>
      <c r="D171" s="401">
        <v>825</v>
      </c>
      <c r="E171" s="401">
        <v>0</v>
      </c>
      <c r="F171" s="401">
        <v>17</v>
      </c>
      <c r="G171" s="401">
        <v>5</v>
      </c>
      <c r="H171" s="52">
        <f t="shared" si="3"/>
        <v>18150</v>
      </c>
    </row>
    <row r="172" spans="1:8">
      <c r="A172" s="5"/>
      <c r="B172" s="400" t="s">
        <v>890</v>
      </c>
      <c r="C172" s="401" t="s">
        <v>891</v>
      </c>
      <c r="D172" s="401">
        <v>660</v>
      </c>
      <c r="E172" s="401">
        <v>0</v>
      </c>
      <c r="F172" s="401">
        <v>55</v>
      </c>
      <c r="G172" s="401">
        <v>8</v>
      </c>
      <c r="H172" s="52">
        <f t="shared" si="3"/>
        <v>41580</v>
      </c>
    </row>
    <row r="173" spans="1:8">
      <c r="A173" s="5"/>
      <c r="B173" s="400" t="s">
        <v>892</v>
      </c>
      <c r="C173" s="401" t="s">
        <v>893</v>
      </c>
      <c r="D173" s="401">
        <v>720</v>
      </c>
      <c r="E173" s="401">
        <v>83</v>
      </c>
      <c r="F173" s="401">
        <v>1</v>
      </c>
      <c r="G173" s="401">
        <v>6</v>
      </c>
      <c r="H173" s="52">
        <f t="shared" si="3"/>
        <v>64800</v>
      </c>
    </row>
    <row r="174" spans="1:8">
      <c r="A174" s="5"/>
      <c r="B174" s="400" t="s">
        <v>894</v>
      </c>
      <c r="C174" s="401" t="s">
        <v>895</v>
      </c>
      <c r="D174" s="401">
        <v>1029</v>
      </c>
      <c r="E174" s="401">
        <v>0</v>
      </c>
      <c r="F174" s="401">
        <v>27</v>
      </c>
      <c r="G174" s="401">
        <v>7</v>
      </c>
      <c r="H174" s="52">
        <f t="shared" si="3"/>
        <v>34986</v>
      </c>
    </row>
    <row r="175" spans="1:8">
      <c r="A175" s="5"/>
      <c r="B175" s="400" t="s">
        <v>896</v>
      </c>
      <c r="C175" s="401" t="s">
        <v>897</v>
      </c>
      <c r="D175" s="401">
        <v>538</v>
      </c>
      <c r="E175" s="401">
        <v>0</v>
      </c>
      <c r="F175" s="401">
        <v>70</v>
      </c>
      <c r="G175" s="401">
        <v>11</v>
      </c>
      <c r="H175" s="52">
        <f t="shared" si="3"/>
        <v>43578</v>
      </c>
    </row>
    <row r="176" spans="1:8">
      <c r="A176" s="5"/>
      <c r="B176" s="400" t="s">
        <v>898</v>
      </c>
      <c r="C176" s="401" t="s">
        <v>899</v>
      </c>
      <c r="D176" s="401">
        <v>224</v>
      </c>
      <c r="E176" s="401">
        <v>0</v>
      </c>
      <c r="F176" s="401">
        <v>116</v>
      </c>
      <c r="G176" s="401">
        <v>71</v>
      </c>
      <c r="H176" s="52">
        <f t="shared" si="3"/>
        <v>41888</v>
      </c>
    </row>
    <row r="177" spans="1:8">
      <c r="A177" s="5"/>
      <c r="B177" s="400" t="s">
        <v>900</v>
      </c>
      <c r="C177" s="401" t="s">
        <v>901</v>
      </c>
      <c r="D177" s="401">
        <v>245</v>
      </c>
      <c r="E177" s="401">
        <v>0</v>
      </c>
      <c r="F177" s="401">
        <v>0</v>
      </c>
      <c r="G177" s="401">
        <v>40</v>
      </c>
      <c r="H177" s="52">
        <f t="shared" si="3"/>
        <v>9800</v>
      </c>
    </row>
    <row r="178" spans="1:8">
      <c r="A178" s="5"/>
      <c r="B178" s="400" t="s">
        <v>902</v>
      </c>
      <c r="C178" s="401" t="s">
        <v>903</v>
      </c>
      <c r="D178" s="401">
        <v>501</v>
      </c>
      <c r="E178" s="401">
        <v>0</v>
      </c>
      <c r="F178" s="401">
        <v>0</v>
      </c>
      <c r="G178" s="401">
        <v>17</v>
      </c>
      <c r="H178" s="52">
        <f t="shared" si="3"/>
        <v>8517</v>
      </c>
    </row>
    <row r="179" spans="1:8">
      <c r="A179" s="5"/>
      <c r="B179" s="400" t="s">
        <v>904</v>
      </c>
      <c r="C179" s="401" t="s">
        <v>905</v>
      </c>
      <c r="D179" s="401">
        <v>369</v>
      </c>
      <c r="E179" s="401">
        <v>0</v>
      </c>
      <c r="F179" s="401">
        <v>0</v>
      </c>
      <c r="G179" s="401">
        <v>74</v>
      </c>
      <c r="H179" s="52">
        <f t="shared" si="3"/>
        <v>27306</v>
      </c>
    </row>
    <row r="180" spans="1:8">
      <c r="A180" s="5"/>
      <c r="B180" s="400" t="s">
        <v>906</v>
      </c>
      <c r="C180" s="401" t="s">
        <v>907</v>
      </c>
      <c r="D180" s="401">
        <v>470</v>
      </c>
      <c r="E180" s="401">
        <v>0</v>
      </c>
      <c r="F180" s="401">
        <v>0</v>
      </c>
      <c r="G180" s="401">
        <v>70</v>
      </c>
      <c r="H180" s="52">
        <f t="shared" ref="H180:H211" si="4">D180*(E180+F180+G180)</f>
        <v>32900</v>
      </c>
    </row>
    <row r="181" spans="1:8">
      <c r="A181" s="5"/>
      <c r="B181" s="400" t="s">
        <v>651</v>
      </c>
      <c r="C181" s="401" t="s">
        <v>908</v>
      </c>
      <c r="D181" s="401">
        <v>328</v>
      </c>
      <c r="E181" s="401">
        <v>0</v>
      </c>
      <c r="F181" s="401">
        <v>27</v>
      </c>
      <c r="G181" s="401">
        <v>89</v>
      </c>
      <c r="H181" s="52">
        <f t="shared" si="4"/>
        <v>38048</v>
      </c>
    </row>
    <row r="182" spans="1:8">
      <c r="A182" s="5"/>
      <c r="B182" s="400" t="s">
        <v>717</v>
      </c>
      <c r="C182" s="401" t="s">
        <v>909</v>
      </c>
      <c r="D182" s="401">
        <v>260</v>
      </c>
      <c r="E182" s="401">
        <v>0</v>
      </c>
      <c r="F182" s="401">
        <v>11</v>
      </c>
      <c r="G182" s="401">
        <v>40</v>
      </c>
      <c r="H182" s="52">
        <f t="shared" si="4"/>
        <v>13260</v>
      </c>
    </row>
    <row r="183" spans="1:8">
      <c r="A183" s="5"/>
      <c r="B183" s="400" t="s">
        <v>719</v>
      </c>
      <c r="C183" s="401" t="s">
        <v>909</v>
      </c>
      <c r="D183" s="401">
        <v>528</v>
      </c>
      <c r="E183" s="401">
        <v>0</v>
      </c>
      <c r="F183" s="401">
        <v>0</v>
      </c>
      <c r="G183" s="401">
        <v>22</v>
      </c>
      <c r="H183" s="52">
        <f t="shared" si="4"/>
        <v>11616</v>
      </c>
    </row>
    <row r="184" spans="1:8">
      <c r="A184" s="5"/>
      <c r="B184" s="400" t="s">
        <v>720</v>
      </c>
      <c r="C184" s="401" t="s">
        <v>721</v>
      </c>
      <c r="D184" s="401">
        <v>15</v>
      </c>
      <c r="E184" s="401">
        <v>0</v>
      </c>
      <c r="F184" s="401">
        <v>725</v>
      </c>
      <c r="G184" s="401">
        <v>400</v>
      </c>
      <c r="H184" s="52">
        <f t="shared" si="4"/>
        <v>16875</v>
      </c>
    </row>
    <row r="185" spans="1:8">
      <c r="A185" s="5"/>
      <c r="B185" s="400" t="s">
        <v>910</v>
      </c>
      <c r="C185" s="401" t="s">
        <v>284</v>
      </c>
      <c r="D185" s="401">
        <v>820</v>
      </c>
      <c r="E185" s="401">
        <v>36</v>
      </c>
      <c r="F185" s="401">
        <v>5</v>
      </c>
      <c r="G185" s="401">
        <v>5</v>
      </c>
      <c r="H185" s="52">
        <f t="shared" si="4"/>
        <v>37720</v>
      </c>
    </row>
    <row r="186" spans="1:8">
      <c r="A186" s="5"/>
      <c r="B186" s="400" t="s">
        <v>911</v>
      </c>
      <c r="C186" s="401" t="s">
        <v>284</v>
      </c>
      <c r="D186" s="401">
        <v>820</v>
      </c>
      <c r="E186" s="401">
        <v>30</v>
      </c>
      <c r="F186" s="401">
        <v>7</v>
      </c>
      <c r="G186" s="401">
        <v>7</v>
      </c>
      <c r="H186" s="52">
        <f t="shared" si="4"/>
        <v>36080</v>
      </c>
    </row>
    <row r="187" spans="1:8">
      <c r="A187" s="5"/>
      <c r="B187" s="400" t="s">
        <v>912</v>
      </c>
      <c r="C187" s="401" t="s">
        <v>289</v>
      </c>
      <c r="D187" s="401">
        <v>1100</v>
      </c>
      <c r="E187" s="401">
        <v>48</v>
      </c>
      <c r="F187" s="401">
        <v>11</v>
      </c>
      <c r="G187" s="401">
        <v>7</v>
      </c>
      <c r="H187" s="52">
        <f t="shared" si="4"/>
        <v>72600</v>
      </c>
    </row>
    <row r="188" spans="1:8">
      <c r="A188" s="5"/>
      <c r="B188" s="400" t="s">
        <v>624</v>
      </c>
      <c r="C188" s="401" t="s">
        <v>292</v>
      </c>
      <c r="D188" s="401">
        <v>1100</v>
      </c>
      <c r="E188" s="401">
        <v>0</v>
      </c>
      <c r="F188" s="401">
        <v>7</v>
      </c>
      <c r="G188" s="401">
        <v>5</v>
      </c>
      <c r="H188" s="52">
        <f t="shared" si="4"/>
        <v>13200</v>
      </c>
    </row>
    <row r="189" spans="1:8">
      <c r="A189" s="5"/>
      <c r="B189" s="400" t="s">
        <v>262</v>
      </c>
      <c r="C189" s="401" t="s">
        <v>913</v>
      </c>
      <c r="D189" s="401">
        <v>1184</v>
      </c>
      <c r="E189" s="401">
        <v>68</v>
      </c>
      <c r="F189" s="401">
        <v>2</v>
      </c>
      <c r="G189" s="401">
        <v>4</v>
      </c>
      <c r="H189" s="52">
        <f t="shared" si="4"/>
        <v>87616</v>
      </c>
    </row>
    <row r="190" spans="1:8">
      <c r="A190" s="5"/>
      <c r="B190" s="400" t="s">
        <v>914</v>
      </c>
      <c r="C190" s="401" t="s">
        <v>915</v>
      </c>
      <c r="D190" s="401">
        <v>400</v>
      </c>
      <c r="E190" s="401">
        <v>0</v>
      </c>
      <c r="F190" s="401">
        <v>25</v>
      </c>
      <c r="G190" s="401">
        <v>93</v>
      </c>
      <c r="H190" s="52">
        <f t="shared" si="4"/>
        <v>47200</v>
      </c>
    </row>
    <row r="191" spans="1:8">
      <c r="A191" s="5"/>
      <c r="B191" s="400" t="s">
        <v>916</v>
      </c>
      <c r="C191" s="401" t="s">
        <v>758</v>
      </c>
      <c r="D191" s="401">
        <v>1121</v>
      </c>
      <c r="E191" s="401">
        <v>2</v>
      </c>
      <c r="F191" s="401">
        <v>2</v>
      </c>
      <c r="G191" s="401">
        <v>12</v>
      </c>
      <c r="H191" s="52">
        <f t="shared" si="4"/>
        <v>17936</v>
      </c>
    </row>
    <row r="192" spans="1:8">
      <c r="A192" s="5"/>
      <c r="B192" s="400" t="s">
        <v>917</v>
      </c>
      <c r="C192" s="401" t="s">
        <v>918</v>
      </c>
      <c r="D192" s="401">
        <v>1175</v>
      </c>
      <c r="E192" s="401">
        <v>0</v>
      </c>
      <c r="F192" s="401">
        <v>33</v>
      </c>
      <c r="G192" s="401">
        <v>2</v>
      </c>
      <c r="H192" s="52">
        <f t="shared" si="4"/>
        <v>41125</v>
      </c>
    </row>
    <row r="193" spans="1:8">
      <c r="A193" s="5"/>
      <c r="B193" s="400" t="s">
        <v>919</v>
      </c>
      <c r="C193" s="401" t="s">
        <v>271</v>
      </c>
      <c r="D193" s="401">
        <v>1100</v>
      </c>
      <c r="E193" s="401">
        <v>20</v>
      </c>
      <c r="F193" s="401">
        <v>2</v>
      </c>
      <c r="G193" s="401">
        <v>4</v>
      </c>
      <c r="H193" s="52">
        <f t="shared" si="4"/>
        <v>28600</v>
      </c>
    </row>
    <row r="194" spans="1:8">
      <c r="A194" s="5"/>
      <c r="B194" s="400" t="s">
        <v>767</v>
      </c>
      <c r="C194" s="401" t="s">
        <v>920</v>
      </c>
      <c r="D194" s="401">
        <v>949</v>
      </c>
      <c r="E194" s="401">
        <v>0</v>
      </c>
      <c r="F194" s="401">
        <v>0</v>
      </c>
      <c r="G194" s="401">
        <v>2</v>
      </c>
      <c r="H194" s="52">
        <f t="shared" si="4"/>
        <v>1898</v>
      </c>
    </row>
    <row r="195" spans="1:8">
      <c r="A195" s="5"/>
      <c r="B195" s="400" t="s">
        <v>921</v>
      </c>
      <c r="C195" s="401" t="s">
        <v>920</v>
      </c>
      <c r="D195" s="401">
        <v>650</v>
      </c>
      <c r="E195" s="401">
        <v>0</v>
      </c>
      <c r="F195" s="401">
        <v>2</v>
      </c>
      <c r="G195" s="401">
        <v>1</v>
      </c>
      <c r="H195" s="52">
        <f t="shared" si="4"/>
        <v>1950</v>
      </c>
    </row>
    <row r="196" spans="1:8">
      <c r="A196" s="5"/>
      <c r="B196" s="400" t="s">
        <v>922</v>
      </c>
      <c r="C196" s="401" t="s">
        <v>923</v>
      </c>
      <c r="D196" s="401">
        <v>1100</v>
      </c>
      <c r="E196" s="401">
        <v>72</v>
      </c>
      <c r="F196" s="401">
        <v>9</v>
      </c>
      <c r="G196" s="401">
        <v>7</v>
      </c>
      <c r="H196" s="52">
        <f t="shared" si="4"/>
        <v>96800</v>
      </c>
    </row>
    <row r="197" spans="1:8">
      <c r="A197" s="5"/>
      <c r="B197" s="400" t="s">
        <v>558</v>
      </c>
      <c r="C197" s="401" t="s">
        <v>924</v>
      </c>
      <c r="D197" s="401">
        <v>924</v>
      </c>
      <c r="E197" s="401">
        <v>0</v>
      </c>
      <c r="F197" s="401">
        <v>38</v>
      </c>
      <c r="G197" s="401">
        <v>21</v>
      </c>
      <c r="H197" s="52">
        <f t="shared" si="4"/>
        <v>54516</v>
      </c>
    </row>
    <row r="198" spans="1:8">
      <c r="A198" s="5"/>
      <c r="B198" s="400" t="s">
        <v>925</v>
      </c>
      <c r="C198" s="401" t="s">
        <v>926</v>
      </c>
      <c r="D198" s="401">
        <v>638</v>
      </c>
      <c r="E198" s="401">
        <v>96</v>
      </c>
      <c r="F198" s="401">
        <v>12</v>
      </c>
      <c r="G198" s="401">
        <v>15</v>
      </c>
      <c r="H198" s="52">
        <f t="shared" si="4"/>
        <v>78474</v>
      </c>
    </row>
    <row r="199" spans="1:8">
      <c r="A199" s="5"/>
      <c r="B199" s="400" t="s">
        <v>927</v>
      </c>
      <c r="C199" s="401" t="s">
        <v>928</v>
      </c>
      <c r="D199" s="401">
        <v>1100</v>
      </c>
      <c r="E199" s="401">
        <v>0</v>
      </c>
      <c r="F199" s="401">
        <v>0</v>
      </c>
      <c r="G199" s="401">
        <v>38</v>
      </c>
      <c r="H199" s="52">
        <f t="shared" si="4"/>
        <v>41800</v>
      </c>
    </row>
    <row r="200" spans="1:8">
      <c r="A200" s="5"/>
      <c r="B200" s="400" t="s">
        <v>563</v>
      </c>
      <c r="C200" s="401" t="s">
        <v>929</v>
      </c>
      <c r="D200" s="401">
        <v>358</v>
      </c>
      <c r="E200" s="401">
        <v>0</v>
      </c>
      <c r="F200" s="401">
        <v>0</v>
      </c>
      <c r="G200" s="401">
        <v>110</v>
      </c>
      <c r="H200" s="52">
        <f t="shared" si="4"/>
        <v>39380</v>
      </c>
    </row>
    <row r="201" spans="1:8">
      <c r="A201" s="5"/>
      <c r="B201" s="400" t="s">
        <v>930</v>
      </c>
      <c r="C201" s="401" t="s">
        <v>931</v>
      </c>
      <c r="D201" s="401">
        <v>825</v>
      </c>
      <c r="E201" s="401">
        <v>80</v>
      </c>
      <c r="F201" s="401">
        <v>7</v>
      </c>
      <c r="G201" s="401">
        <v>8</v>
      </c>
      <c r="H201" s="52">
        <f t="shared" si="4"/>
        <v>78375</v>
      </c>
    </row>
    <row r="202" spans="1:8">
      <c r="A202" s="5"/>
      <c r="B202" s="400" t="s">
        <v>932</v>
      </c>
      <c r="C202" s="401" t="s">
        <v>933</v>
      </c>
      <c r="D202" s="401">
        <v>638</v>
      </c>
      <c r="E202" s="401">
        <v>0</v>
      </c>
      <c r="F202" s="401">
        <v>41</v>
      </c>
      <c r="G202" s="401">
        <v>9</v>
      </c>
      <c r="H202" s="52">
        <f t="shared" si="4"/>
        <v>31900</v>
      </c>
    </row>
    <row r="203" spans="1:8">
      <c r="A203" s="5"/>
      <c r="B203" s="400" t="s">
        <v>934</v>
      </c>
      <c r="C203" s="401" t="s">
        <v>935</v>
      </c>
      <c r="D203" s="401">
        <v>528</v>
      </c>
      <c r="E203" s="401">
        <v>0</v>
      </c>
      <c r="F203" s="401">
        <v>23</v>
      </c>
      <c r="G203" s="401">
        <v>70</v>
      </c>
      <c r="H203" s="52">
        <f t="shared" si="4"/>
        <v>49104</v>
      </c>
    </row>
    <row r="204" spans="1:8">
      <c r="A204" s="5"/>
      <c r="B204" s="400" t="s">
        <v>936</v>
      </c>
      <c r="C204" s="401" t="s">
        <v>937</v>
      </c>
      <c r="D204" s="401">
        <v>660</v>
      </c>
      <c r="E204" s="401">
        <v>0</v>
      </c>
      <c r="F204" s="401">
        <v>34</v>
      </c>
      <c r="G204" s="401">
        <v>9</v>
      </c>
      <c r="H204" s="52">
        <f t="shared" si="4"/>
        <v>28380</v>
      </c>
    </row>
    <row r="205" spans="1:8">
      <c r="A205" s="5"/>
      <c r="B205" s="400" t="s">
        <v>938</v>
      </c>
      <c r="C205" s="401" t="s">
        <v>939</v>
      </c>
      <c r="D205" s="401">
        <v>862</v>
      </c>
      <c r="E205" s="401">
        <v>0</v>
      </c>
      <c r="F205" s="401">
        <v>23</v>
      </c>
      <c r="G205" s="401">
        <v>20</v>
      </c>
      <c r="H205" s="52">
        <f t="shared" si="4"/>
        <v>37066</v>
      </c>
    </row>
    <row r="206" spans="1:8">
      <c r="A206" s="5"/>
      <c r="B206" s="400" t="s">
        <v>940</v>
      </c>
      <c r="C206" s="401" t="s">
        <v>941</v>
      </c>
      <c r="D206" s="401">
        <v>1100</v>
      </c>
      <c r="E206" s="401">
        <v>0</v>
      </c>
      <c r="F206" s="401">
        <v>79</v>
      </c>
      <c r="G206" s="401">
        <v>13</v>
      </c>
      <c r="H206" s="52">
        <f t="shared" si="4"/>
        <v>101200</v>
      </c>
    </row>
    <row r="207" spans="1:8">
      <c r="A207" s="5"/>
      <c r="B207" s="400" t="s">
        <v>942</v>
      </c>
      <c r="C207" s="401" t="s">
        <v>943</v>
      </c>
      <c r="D207" s="401">
        <v>539</v>
      </c>
      <c r="E207" s="401">
        <v>0</v>
      </c>
      <c r="F207" s="401">
        <v>5</v>
      </c>
      <c r="G207" s="401">
        <v>12</v>
      </c>
      <c r="H207" s="52">
        <f t="shared" si="4"/>
        <v>9163</v>
      </c>
    </row>
    <row r="208" spans="1:8">
      <c r="A208" s="5"/>
      <c r="B208" s="400" t="s">
        <v>944</v>
      </c>
      <c r="C208" s="401" t="s">
        <v>945</v>
      </c>
      <c r="D208" s="401">
        <v>400</v>
      </c>
      <c r="E208" s="401">
        <v>0</v>
      </c>
      <c r="F208" s="401">
        <v>0</v>
      </c>
      <c r="G208" s="401">
        <v>92</v>
      </c>
      <c r="H208" s="52">
        <f t="shared" si="4"/>
        <v>36800</v>
      </c>
    </row>
    <row r="209" spans="1:8">
      <c r="A209" s="5"/>
      <c r="B209" s="400" t="s">
        <v>946</v>
      </c>
      <c r="C209" s="401" t="s">
        <v>947</v>
      </c>
      <c r="D209" s="401">
        <v>200</v>
      </c>
      <c r="E209" s="401">
        <v>0</v>
      </c>
      <c r="F209" s="401">
        <v>17</v>
      </c>
      <c r="G209" s="401">
        <v>11</v>
      </c>
      <c r="H209" s="52">
        <f t="shared" si="4"/>
        <v>5600</v>
      </c>
    </row>
    <row r="210" spans="1:8">
      <c r="A210" s="5"/>
      <c r="B210" s="400" t="s">
        <v>948</v>
      </c>
      <c r="C210" s="401" t="s">
        <v>949</v>
      </c>
      <c r="D210" s="401">
        <v>773</v>
      </c>
      <c r="E210" s="401">
        <v>0</v>
      </c>
      <c r="F210" s="401">
        <v>33</v>
      </c>
      <c r="G210" s="401">
        <v>11</v>
      </c>
      <c r="H210" s="52">
        <f t="shared" si="4"/>
        <v>34012</v>
      </c>
    </row>
    <row r="211" spans="1:8">
      <c r="A211" s="5"/>
      <c r="B211" s="400" t="s">
        <v>950</v>
      </c>
      <c r="C211" s="401" t="s">
        <v>951</v>
      </c>
      <c r="D211" s="401">
        <v>275</v>
      </c>
      <c r="E211" s="401">
        <v>0</v>
      </c>
      <c r="F211" s="401">
        <v>0</v>
      </c>
      <c r="G211" s="401">
        <v>66</v>
      </c>
      <c r="H211" s="52">
        <f t="shared" si="4"/>
        <v>18150</v>
      </c>
    </row>
    <row r="212" spans="1:8">
      <c r="A212" s="5"/>
      <c r="B212" s="400" t="s">
        <v>952</v>
      </c>
      <c r="C212" s="401" t="s">
        <v>951</v>
      </c>
      <c r="D212" s="401">
        <v>703</v>
      </c>
      <c r="E212" s="401">
        <v>0</v>
      </c>
      <c r="F212" s="401">
        <v>0</v>
      </c>
      <c r="G212" s="401">
        <v>34</v>
      </c>
      <c r="H212" s="52">
        <f t="shared" ref="H212:H243" si="5">D212*(E212+F212+G212)</f>
        <v>23902</v>
      </c>
    </row>
    <row r="213" spans="1:8">
      <c r="A213" s="5"/>
      <c r="B213" s="400" t="s">
        <v>953</v>
      </c>
      <c r="C213" s="401" t="s">
        <v>954</v>
      </c>
      <c r="D213" s="401">
        <v>110</v>
      </c>
      <c r="E213" s="401">
        <v>0</v>
      </c>
      <c r="F213" s="401">
        <v>0</v>
      </c>
      <c r="G213" s="401">
        <v>48</v>
      </c>
      <c r="H213" s="52">
        <f t="shared" si="5"/>
        <v>5280</v>
      </c>
    </row>
    <row r="214" spans="1:8">
      <c r="A214" s="5"/>
      <c r="B214" s="400" t="s">
        <v>955</v>
      </c>
      <c r="C214" s="401" t="s">
        <v>954</v>
      </c>
      <c r="D214" s="401">
        <v>198</v>
      </c>
      <c r="E214" s="401">
        <v>0</v>
      </c>
      <c r="F214" s="401">
        <v>104</v>
      </c>
      <c r="G214" s="401">
        <v>164</v>
      </c>
      <c r="H214" s="52">
        <f t="shared" si="5"/>
        <v>53064</v>
      </c>
    </row>
    <row r="215" spans="1:8">
      <c r="A215" s="5"/>
      <c r="B215" s="400" t="s">
        <v>678</v>
      </c>
      <c r="C215" s="401" t="s">
        <v>956</v>
      </c>
      <c r="D215" s="401">
        <v>358</v>
      </c>
      <c r="E215" s="401">
        <v>0</v>
      </c>
      <c r="F215" s="401">
        <v>0</v>
      </c>
      <c r="G215" s="401">
        <v>1</v>
      </c>
      <c r="H215" s="52">
        <f t="shared" si="5"/>
        <v>358</v>
      </c>
    </row>
    <row r="216" spans="1:8">
      <c r="A216" s="5"/>
      <c r="B216" s="400" t="s">
        <v>957</v>
      </c>
      <c r="C216" s="401" t="s">
        <v>956</v>
      </c>
      <c r="D216" s="401">
        <v>500</v>
      </c>
      <c r="E216" s="401">
        <v>0</v>
      </c>
      <c r="F216" s="401">
        <v>0</v>
      </c>
      <c r="G216" s="401">
        <v>11</v>
      </c>
      <c r="H216" s="52">
        <f t="shared" si="5"/>
        <v>5500</v>
      </c>
    </row>
    <row r="217" spans="1:8">
      <c r="A217" s="5"/>
      <c r="B217" s="400" t="s">
        <v>958</v>
      </c>
      <c r="C217" s="401" t="s">
        <v>959</v>
      </c>
      <c r="D217" s="401">
        <v>396</v>
      </c>
      <c r="E217" s="401">
        <v>0</v>
      </c>
      <c r="F217" s="401">
        <v>0</v>
      </c>
      <c r="G217" s="401">
        <v>11</v>
      </c>
      <c r="H217" s="52">
        <f t="shared" si="5"/>
        <v>4356</v>
      </c>
    </row>
    <row r="218" spans="1:8">
      <c r="A218" s="5"/>
      <c r="B218" s="400" t="s">
        <v>172</v>
      </c>
      <c r="C218" s="401" t="s">
        <v>960</v>
      </c>
      <c r="D218" s="401">
        <v>4000</v>
      </c>
      <c r="E218" s="401">
        <v>0</v>
      </c>
      <c r="F218" s="401">
        <v>0</v>
      </c>
      <c r="G218" s="401">
        <v>16</v>
      </c>
      <c r="H218" s="52">
        <f t="shared" si="5"/>
        <v>64000</v>
      </c>
    </row>
    <row r="219" spans="1:8">
      <c r="A219" s="5"/>
      <c r="B219" s="400" t="s">
        <v>961</v>
      </c>
      <c r="C219" s="401" t="s">
        <v>962</v>
      </c>
      <c r="D219" s="401">
        <v>88</v>
      </c>
      <c r="E219" s="401">
        <v>0</v>
      </c>
      <c r="F219" s="401">
        <v>0</v>
      </c>
      <c r="G219" s="401">
        <v>5</v>
      </c>
      <c r="H219" s="52">
        <f t="shared" si="5"/>
        <v>440</v>
      </c>
    </row>
    <row r="220" spans="1:8">
      <c r="A220" s="5"/>
      <c r="B220" s="400" t="s">
        <v>963</v>
      </c>
      <c r="C220" s="401" t="s">
        <v>962</v>
      </c>
      <c r="D220" s="401">
        <v>104</v>
      </c>
      <c r="E220" s="401">
        <v>0</v>
      </c>
      <c r="F220" s="401">
        <v>0</v>
      </c>
      <c r="G220" s="401">
        <v>97</v>
      </c>
      <c r="H220" s="52">
        <f t="shared" si="5"/>
        <v>10088</v>
      </c>
    </row>
    <row r="221" spans="1:8">
      <c r="A221" s="5"/>
      <c r="B221" s="400" t="s">
        <v>964</v>
      </c>
      <c r="C221" s="401" t="s">
        <v>965</v>
      </c>
      <c r="D221" s="401">
        <v>160</v>
      </c>
      <c r="E221" s="401">
        <v>0</v>
      </c>
      <c r="F221" s="401">
        <v>0</v>
      </c>
      <c r="G221" s="401">
        <v>159</v>
      </c>
      <c r="H221" s="52">
        <f t="shared" si="5"/>
        <v>25440</v>
      </c>
    </row>
    <row r="222" spans="1:8">
      <c r="A222" s="5"/>
      <c r="B222" s="400" t="s">
        <v>345</v>
      </c>
      <c r="C222" s="401" t="s">
        <v>966</v>
      </c>
      <c r="D222" s="401">
        <v>83</v>
      </c>
      <c r="E222" s="401">
        <v>0</v>
      </c>
      <c r="F222" s="401">
        <v>385</v>
      </c>
      <c r="G222" s="401">
        <v>140</v>
      </c>
      <c r="H222" s="52">
        <f t="shared" si="5"/>
        <v>43575</v>
      </c>
    </row>
    <row r="223" spans="1:8">
      <c r="A223" s="5"/>
      <c r="B223" s="400" t="s">
        <v>967</v>
      </c>
      <c r="C223" s="401" t="s">
        <v>968</v>
      </c>
      <c r="D223" s="401">
        <v>512</v>
      </c>
      <c r="E223" s="401">
        <v>0</v>
      </c>
      <c r="F223" s="401">
        <v>0</v>
      </c>
      <c r="G223" s="401">
        <v>81</v>
      </c>
      <c r="H223" s="52">
        <f t="shared" si="5"/>
        <v>41472</v>
      </c>
    </row>
    <row r="224" spans="1:8" ht="15">
      <c r="A224" s="5"/>
      <c r="B224" s="402" t="s">
        <v>449</v>
      </c>
      <c r="C224" s="399" t="s">
        <v>150</v>
      </c>
      <c r="D224" s="399">
        <v>710</v>
      </c>
      <c r="E224" s="399">
        <v>12</v>
      </c>
      <c r="F224" s="399">
        <v>17</v>
      </c>
      <c r="G224" s="399">
        <v>0</v>
      </c>
      <c r="H224" s="52">
        <f t="shared" si="5"/>
        <v>20590</v>
      </c>
    </row>
    <row r="225" spans="1:8" ht="15">
      <c r="A225" s="5"/>
      <c r="B225" s="403" t="s">
        <v>969</v>
      </c>
      <c r="C225" s="401" t="s">
        <v>150</v>
      </c>
      <c r="D225" s="401">
        <v>330</v>
      </c>
      <c r="E225" s="401">
        <v>0</v>
      </c>
      <c r="F225" s="401">
        <v>3</v>
      </c>
      <c r="G225" s="401">
        <v>0</v>
      </c>
      <c r="H225" s="52">
        <f t="shared" si="5"/>
        <v>990</v>
      </c>
    </row>
    <row r="226" spans="1:8" ht="29.25">
      <c r="A226" s="5"/>
      <c r="B226" s="403" t="s">
        <v>970</v>
      </c>
      <c r="C226" s="401" t="s">
        <v>150</v>
      </c>
      <c r="D226" s="401">
        <v>660</v>
      </c>
      <c r="E226" s="401">
        <v>0</v>
      </c>
      <c r="F226" s="401">
        <v>8</v>
      </c>
      <c r="G226" s="401">
        <v>0</v>
      </c>
      <c r="H226" s="52">
        <f t="shared" si="5"/>
        <v>5280</v>
      </c>
    </row>
    <row r="227" spans="1:8" ht="15">
      <c r="A227" s="5"/>
      <c r="B227" s="403" t="s">
        <v>971</v>
      </c>
      <c r="C227" s="401" t="s">
        <v>150</v>
      </c>
      <c r="D227" s="401">
        <v>996</v>
      </c>
      <c r="E227" s="401">
        <v>0</v>
      </c>
      <c r="F227" s="401">
        <v>21</v>
      </c>
      <c r="G227" s="401">
        <v>0</v>
      </c>
      <c r="H227" s="52">
        <f t="shared" si="5"/>
        <v>20916</v>
      </c>
    </row>
    <row r="228" spans="1:8" ht="15">
      <c r="A228" s="5"/>
      <c r="B228" s="403" t="s">
        <v>420</v>
      </c>
      <c r="C228" s="401" t="s">
        <v>150</v>
      </c>
      <c r="D228" s="401">
        <v>660</v>
      </c>
      <c r="E228" s="401">
        <v>0</v>
      </c>
      <c r="F228" s="401">
        <v>116</v>
      </c>
      <c r="G228" s="401">
        <v>0</v>
      </c>
      <c r="H228" s="52">
        <f t="shared" si="5"/>
        <v>76560</v>
      </c>
    </row>
    <row r="229" spans="1:8" ht="15">
      <c r="A229" s="5"/>
      <c r="B229" s="403" t="s">
        <v>972</v>
      </c>
      <c r="C229" s="401" t="s">
        <v>150</v>
      </c>
      <c r="D229" s="401">
        <v>1000</v>
      </c>
      <c r="E229" s="401">
        <v>18</v>
      </c>
      <c r="F229" s="401">
        <v>18</v>
      </c>
      <c r="G229" s="401">
        <v>0</v>
      </c>
      <c r="H229" s="52">
        <f t="shared" si="5"/>
        <v>36000</v>
      </c>
    </row>
    <row r="230" spans="1:8" ht="15">
      <c r="A230" s="5"/>
      <c r="B230" s="403" t="s">
        <v>784</v>
      </c>
      <c r="C230" s="401" t="s">
        <v>150</v>
      </c>
      <c r="D230" s="401">
        <v>600</v>
      </c>
      <c r="E230" s="401">
        <v>0</v>
      </c>
      <c r="F230" s="401">
        <v>11</v>
      </c>
      <c r="G230" s="401">
        <v>0</v>
      </c>
      <c r="H230" s="52">
        <f t="shared" si="5"/>
        <v>6600</v>
      </c>
    </row>
    <row r="231" spans="1:8" ht="15">
      <c r="A231" s="5"/>
      <c r="B231" s="403" t="s">
        <v>792</v>
      </c>
      <c r="C231" s="401" t="s">
        <v>150</v>
      </c>
      <c r="D231" s="401">
        <v>1100</v>
      </c>
      <c r="E231" s="401">
        <v>0</v>
      </c>
      <c r="F231" s="401">
        <v>17</v>
      </c>
      <c r="G231" s="401">
        <v>0</v>
      </c>
      <c r="H231" s="52">
        <f t="shared" si="5"/>
        <v>18700</v>
      </c>
    </row>
    <row r="232" spans="1:8" ht="15">
      <c r="A232" s="5"/>
      <c r="B232" s="403" t="s">
        <v>794</v>
      </c>
      <c r="C232" s="401" t="s">
        <v>150</v>
      </c>
      <c r="D232" s="401">
        <v>1100</v>
      </c>
      <c r="E232" s="401">
        <v>0</v>
      </c>
      <c r="F232" s="401">
        <v>29</v>
      </c>
      <c r="G232" s="401">
        <v>0</v>
      </c>
      <c r="H232" s="52">
        <f t="shared" si="5"/>
        <v>31900</v>
      </c>
    </row>
    <row r="233" spans="1:8" ht="15">
      <c r="A233" s="5"/>
      <c r="B233" s="403" t="s">
        <v>973</v>
      </c>
      <c r="C233" s="401" t="s">
        <v>150</v>
      </c>
      <c r="D233" s="401">
        <v>950</v>
      </c>
      <c r="E233" s="401">
        <v>36</v>
      </c>
      <c r="F233" s="401">
        <v>6</v>
      </c>
      <c r="G233" s="401">
        <v>0</v>
      </c>
      <c r="H233" s="52">
        <f t="shared" si="5"/>
        <v>39900</v>
      </c>
    </row>
    <row r="234" spans="1:8" ht="15">
      <c r="A234" s="5"/>
      <c r="B234" s="403" t="s">
        <v>974</v>
      </c>
      <c r="C234" s="401" t="s">
        <v>150</v>
      </c>
      <c r="D234" s="401">
        <v>605</v>
      </c>
      <c r="E234" s="401">
        <v>0</v>
      </c>
      <c r="F234" s="401">
        <v>98</v>
      </c>
      <c r="G234" s="401">
        <v>0</v>
      </c>
      <c r="H234" s="52">
        <f t="shared" si="5"/>
        <v>59290</v>
      </c>
    </row>
    <row r="235" spans="1:8" ht="15">
      <c r="A235" s="5"/>
      <c r="B235" s="403" t="s">
        <v>975</v>
      </c>
      <c r="C235" s="401" t="s">
        <v>150</v>
      </c>
      <c r="D235" s="401">
        <v>1100</v>
      </c>
      <c r="E235" s="401">
        <v>60</v>
      </c>
      <c r="F235" s="401">
        <v>0</v>
      </c>
      <c r="G235" s="401">
        <v>0</v>
      </c>
      <c r="H235" s="52">
        <f t="shared" si="5"/>
        <v>66000</v>
      </c>
    </row>
    <row r="236" spans="1:8" ht="15">
      <c r="A236" s="5"/>
      <c r="B236" s="403" t="s">
        <v>976</v>
      </c>
      <c r="C236" s="401" t="s">
        <v>150</v>
      </c>
      <c r="D236" s="401">
        <v>1100</v>
      </c>
      <c r="E236" s="401">
        <v>18</v>
      </c>
      <c r="F236" s="401">
        <v>3</v>
      </c>
      <c r="G236" s="401">
        <v>0</v>
      </c>
      <c r="H236" s="52">
        <f t="shared" si="5"/>
        <v>23100</v>
      </c>
    </row>
    <row r="237" spans="1:8" ht="15">
      <c r="A237" s="5"/>
      <c r="B237" s="403" t="s">
        <v>977</v>
      </c>
      <c r="C237" s="401" t="s">
        <v>150</v>
      </c>
      <c r="D237" s="401">
        <v>750</v>
      </c>
      <c r="E237" s="401">
        <v>100</v>
      </c>
      <c r="F237" s="401">
        <v>0</v>
      </c>
      <c r="G237" s="401">
        <v>0</v>
      </c>
      <c r="H237" s="52">
        <f t="shared" si="5"/>
        <v>75000</v>
      </c>
    </row>
    <row r="238" spans="1:8" ht="15.75" customHeight="1">
      <c r="A238" s="5"/>
      <c r="B238" s="403" t="s">
        <v>978</v>
      </c>
      <c r="C238" s="401" t="s">
        <v>150</v>
      </c>
      <c r="D238" s="401">
        <v>850</v>
      </c>
      <c r="E238" s="401">
        <v>60</v>
      </c>
      <c r="F238" s="401">
        <v>0</v>
      </c>
      <c r="G238" s="401">
        <v>0</v>
      </c>
      <c r="H238" s="52">
        <f t="shared" si="5"/>
        <v>51000</v>
      </c>
    </row>
    <row r="239" spans="1:8" ht="15.75" customHeight="1">
      <c r="A239" s="5"/>
      <c r="B239" s="403" t="s">
        <v>979</v>
      </c>
      <c r="C239" s="401" t="s">
        <v>150</v>
      </c>
      <c r="D239" s="401">
        <v>759</v>
      </c>
      <c r="E239" s="401">
        <v>0</v>
      </c>
      <c r="F239" s="401">
        <v>14</v>
      </c>
      <c r="G239" s="401">
        <v>0</v>
      </c>
      <c r="H239" s="52">
        <f t="shared" si="5"/>
        <v>10626</v>
      </c>
    </row>
    <row r="240" spans="1:8" ht="15">
      <c r="A240" s="5"/>
      <c r="B240" s="403" t="s">
        <v>567</v>
      </c>
      <c r="C240" s="401" t="s">
        <v>150</v>
      </c>
      <c r="D240" s="401">
        <v>35</v>
      </c>
      <c r="E240" s="401">
        <v>0</v>
      </c>
      <c r="F240" s="401">
        <v>55</v>
      </c>
      <c r="G240" s="401">
        <v>0</v>
      </c>
      <c r="H240" s="52">
        <f t="shared" si="5"/>
        <v>1925</v>
      </c>
    </row>
    <row r="241" spans="1:8" ht="15">
      <c r="A241" s="5"/>
      <c r="B241" s="403" t="s">
        <v>980</v>
      </c>
      <c r="C241" s="401" t="s">
        <v>150</v>
      </c>
      <c r="D241" s="401">
        <v>108</v>
      </c>
      <c r="E241" s="401">
        <v>0</v>
      </c>
      <c r="F241" s="401">
        <v>159</v>
      </c>
      <c r="G241" s="401">
        <v>0</v>
      </c>
      <c r="H241" s="52">
        <f t="shared" si="5"/>
        <v>17172</v>
      </c>
    </row>
    <row r="242" spans="1:8" ht="15">
      <c r="A242" s="5"/>
      <c r="B242" s="403" t="s">
        <v>981</v>
      </c>
      <c r="C242" s="401" t="s">
        <v>150</v>
      </c>
      <c r="D242" s="401">
        <v>1100</v>
      </c>
      <c r="E242" s="401">
        <v>12</v>
      </c>
      <c r="F242" s="401">
        <v>3</v>
      </c>
      <c r="G242" s="401">
        <v>0</v>
      </c>
      <c r="H242" s="52">
        <f t="shared" si="5"/>
        <v>16500</v>
      </c>
    </row>
    <row r="243" spans="1:8" ht="15">
      <c r="A243" s="5"/>
      <c r="B243" s="403" t="s">
        <v>982</v>
      </c>
      <c r="C243" s="401" t="s">
        <v>150</v>
      </c>
      <c r="D243" s="401">
        <v>1100</v>
      </c>
      <c r="E243" s="401">
        <v>0</v>
      </c>
      <c r="F243" s="401">
        <v>14</v>
      </c>
      <c r="G243" s="401">
        <v>0</v>
      </c>
      <c r="H243" s="52">
        <f t="shared" si="5"/>
        <v>15400</v>
      </c>
    </row>
    <row r="244" spans="1:8" ht="15">
      <c r="A244" s="5"/>
      <c r="B244" s="403" t="s">
        <v>525</v>
      </c>
      <c r="C244" s="401" t="s">
        <v>150</v>
      </c>
      <c r="D244" s="401">
        <v>1000</v>
      </c>
      <c r="E244" s="401">
        <v>0</v>
      </c>
      <c r="F244" s="401">
        <v>16</v>
      </c>
      <c r="G244" s="401">
        <v>0</v>
      </c>
      <c r="H244" s="52">
        <f t="shared" ref="H244:H275" si="6">D244*(E244+F244+G244)</f>
        <v>16000</v>
      </c>
    </row>
    <row r="245" spans="1:8" ht="15">
      <c r="A245" s="5"/>
      <c r="B245" s="403" t="s">
        <v>983</v>
      </c>
      <c r="C245" s="401" t="s">
        <v>150</v>
      </c>
      <c r="D245" s="401">
        <v>1100</v>
      </c>
      <c r="E245" s="401">
        <v>120</v>
      </c>
      <c r="F245" s="401">
        <v>71</v>
      </c>
      <c r="G245" s="401">
        <v>0</v>
      </c>
      <c r="H245" s="52">
        <f t="shared" si="6"/>
        <v>210100</v>
      </c>
    </row>
    <row r="246" spans="1:8" ht="15">
      <c r="A246" s="5"/>
      <c r="B246" s="403" t="s">
        <v>984</v>
      </c>
      <c r="C246" s="401" t="s">
        <v>150</v>
      </c>
      <c r="D246" s="401">
        <v>1000</v>
      </c>
      <c r="E246" s="401">
        <v>83</v>
      </c>
      <c r="F246" s="401">
        <v>0</v>
      </c>
      <c r="G246" s="401">
        <v>0</v>
      </c>
      <c r="H246" s="52">
        <f t="shared" si="6"/>
        <v>83000</v>
      </c>
    </row>
    <row r="247" spans="1:8" ht="15">
      <c r="A247" s="5"/>
      <c r="B247" s="403" t="s">
        <v>836</v>
      </c>
      <c r="C247" s="401" t="s">
        <v>150</v>
      </c>
      <c r="D247" s="401">
        <v>950</v>
      </c>
      <c r="E247" s="401">
        <v>5</v>
      </c>
      <c r="F247" s="401">
        <v>0</v>
      </c>
      <c r="G247" s="401">
        <v>0</v>
      </c>
      <c r="H247" s="52">
        <f t="shared" si="6"/>
        <v>4750</v>
      </c>
    </row>
    <row r="248" spans="1:8" ht="15">
      <c r="A248" s="5"/>
      <c r="B248" s="403" t="s">
        <v>985</v>
      </c>
      <c r="C248" s="401" t="s">
        <v>150</v>
      </c>
      <c r="D248" s="401">
        <v>977</v>
      </c>
      <c r="E248" s="401">
        <v>8</v>
      </c>
      <c r="F248" s="401">
        <v>0</v>
      </c>
      <c r="G248" s="401">
        <v>0</v>
      </c>
      <c r="H248" s="52">
        <f t="shared" si="6"/>
        <v>7816</v>
      </c>
    </row>
    <row r="249" spans="1:8" ht="15">
      <c r="A249" s="5"/>
      <c r="B249" s="403" t="s">
        <v>986</v>
      </c>
      <c r="C249" s="401" t="s">
        <v>150</v>
      </c>
      <c r="D249" s="401">
        <v>688</v>
      </c>
      <c r="E249" s="401">
        <v>0</v>
      </c>
      <c r="F249" s="401">
        <v>1</v>
      </c>
      <c r="G249" s="401">
        <v>0</v>
      </c>
      <c r="H249" s="52">
        <f t="shared" si="6"/>
        <v>688</v>
      </c>
    </row>
    <row r="250" spans="1:8" ht="15">
      <c r="A250" s="5"/>
      <c r="B250" s="403" t="s">
        <v>987</v>
      </c>
      <c r="C250" s="401" t="s">
        <v>150</v>
      </c>
      <c r="D250" s="401">
        <v>280</v>
      </c>
      <c r="E250" s="401">
        <v>0</v>
      </c>
      <c r="F250" s="401">
        <v>13</v>
      </c>
      <c r="G250" s="401">
        <v>0</v>
      </c>
      <c r="H250" s="52">
        <f t="shared" si="6"/>
        <v>3640</v>
      </c>
    </row>
    <row r="251" spans="1:8" ht="15">
      <c r="A251" s="5"/>
      <c r="B251" s="403" t="s">
        <v>988</v>
      </c>
      <c r="C251" s="401" t="s">
        <v>150</v>
      </c>
      <c r="D251" s="401">
        <v>765</v>
      </c>
      <c r="E251" s="401">
        <v>0</v>
      </c>
      <c r="F251" s="401">
        <v>87</v>
      </c>
      <c r="G251" s="401">
        <v>0</v>
      </c>
      <c r="H251" s="52">
        <f t="shared" si="6"/>
        <v>66555</v>
      </c>
    </row>
    <row r="252" spans="1:8" ht="15">
      <c r="A252" s="5"/>
      <c r="B252" s="403" t="s">
        <v>989</v>
      </c>
      <c r="C252" s="401" t="s">
        <v>150</v>
      </c>
      <c r="D252" s="401">
        <v>275</v>
      </c>
      <c r="E252" s="401">
        <v>100</v>
      </c>
      <c r="F252" s="401">
        <v>0</v>
      </c>
      <c r="G252" s="401">
        <v>0</v>
      </c>
      <c r="H252" s="52">
        <f t="shared" si="6"/>
        <v>27500</v>
      </c>
    </row>
    <row r="253" spans="1:8" ht="15">
      <c r="A253" s="5"/>
      <c r="B253" s="403" t="s">
        <v>285</v>
      </c>
      <c r="C253" s="401" t="s">
        <v>150</v>
      </c>
      <c r="D253" s="401">
        <v>920</v>
      </c>
      <c r="E253" s="401">
        <v>72</v>
      </c>
      <c r="F253" s="401">
        <v>0</v>
      </c>
      <c r="G253" s="401">
        <v>0</v>
      </c>
      <c r="H253" s="52">
        <f t="shared" si="6"/>
        <v>66240</v>
      </c>
    </row>
    <row r="254" spans="1:8" ht="15">
      <c r="A254" s="5"/>
      <c r="B254" s="403" t="s">
        <v>812</v>
      </c>
      <c r="C254" s="401" t="s">
        <v>150</v>
      </c>
      <c r="D254" s="401">
        <v>170</v>
      </c>
      <c r="E254" s="401">
        <v>0</v>
      </c>
      <c r="F254" s="401">
        <v>1</v>
      </c>
      <c r="G254" s="401">
        <v>0</v>
      </c>
      <c r="H254" s="52">
        <f t="shared" si="6"/>
        <v>170</v>
      </c>
    </row>
    <row r="255" spans="1:8" ht="15">
      <c r="A255" s="5"/>
      <c r="B255" s="403" t="s">
        <v>990</v>
      </c>
      <c r="C255" s="401" t="s">
        <v>150</v>
      </c>
      <c r="D255" s="401">
        <v>590</v>
      </c>
      <c r="E255" s="401">
        <v>0</v>
      </c>
      <c r="F255" s="401">
        <v>1</v>
      </c>
      <c r="G255" s="401">
        <v>0</v>
      </c>
      <c r="H255" s="52">
        <f t="shared" si="6"/>
        <v>590</v>
      </c>
    </row>
    <row r="256" spans="1:8" ht="15">
      <c r="A256" s="5"/>
      <c r="B256" s="403" t="s">
        <v>814</v>
      </c>
      <c r="C256" s="401" t="s">
        <v>150</v>
      </c>
      <c r="D256" s="401">
        <v>200</v>
      </c>
      <c r="E256" s="401">
        <v>0</v>
      </c>
      <c r="F256" s="401">
        <v>9</v>
      </c>
      <c r="G256" s="401">
        <v>0</v>
      </c>
      <c r="H256" s="52">
        <f t="shared" si="6"/>
        <v>1800</v>
      </c>
    </row>
    <row r="257" spans="1:8" ht="15">
      <c r="A257" s="5"/>
      <c r="B257" s="403" t="s">
        <v>991</v>
      </c>
      <c r="C257" s="401" t="s">
        <v>150</v>
      </c>
      <c r="D257" s="401">
        <v>433</v>
      </c>
      <c r="E257" s="401">
        <v>0</v>
      </c>
      <c r="F257" s="401">
        <v>3</v>
      </c>
      <c r="G257" s="401">
        <v>0</v>
      </c>
      <c r="H257" s="52">
        <f t="shared" si="6"/>
        <v>1299</v>
      </c>
    </row>
    <row r="258" spans="1:8" ht="15">
      <c r="A258" s="5"/>
      <c r="B258" s="403" t="s">
        <v>992</v>
      </c>
      <c r="C258" s="401" t="s">
        <v>150</v>
      </c>
      <c r="D258" s="401">
        <v>514</v>
      </c>
      <c r="E258" s="401">
        <v>0</v>
      </c>
      <c r="F258" s="401">
        <v>1</v>
      </c>
      <c r="G258" s="401">
        <v>0</v>
      </c>
      <c r="H258" s="52">
        <f t="shared" si="6"/>
        <v>514</v>
      </c>
    </row>
    <row r="259" spans="1:8" ht="15">
      <c r="A259" s="5"/>
      <c r="B259" s="403" t="s">
        <v>993</v>
      </c>
      <c r="C259" s="401" t="s">
        <v>150</v>
      </c>
      <c r="D259" s="401">
        <v>210</v>
      </c>
      <c r="E259" s="401">
        <v>0</v>
      </c>
      <c r="F259" s="401">
        <v>28</v>
      </c>
      <c r="G259" s="401">
        <v>0</v>
      </c>
      <c r="H259" s="52">
        <f t="shared" si="6"/>
        <v>5880</v>
      </c>
    </row>
    <row r="260" spans="1:8" ht="15">
      <c r="A260" s="5"/>
      <c r="B260" s="403" t="s">
        <v>994</v>
      </c>
      <c r="C260" s="401" t="s">
        <v>150</v>
      </c>
      <c r="D260" s="401">
        <v>1150</v>
      </c>
      <c r="E260" s="401">
        <v>0</v>
      </c>
      <c r="F260" s="401">
        <v>1</v>
      </c>
      <c r="G260" s="401">
        <v>0</v>
      </c>
      <c r="H260" s="52">
        <f t="shared" si="6"/>
        <v>1150</v>
      </c>
    </row>
    <row r="261" spans="1:8" ht="15">
      <c r="A261" s="5"/>
      <c r="B261" s="403" t="s">
        <v>853</v>
      </c>
      <c r="C261" s="401" t="s">
        <v>150</v>
      </c>
      <c r="D261" s="401">
        <v>344</v>
      </c>
      <c r="E261" s="401">
        <v>0</v>
      </c>
      <c r="F261" s="401">
        <v>4</v>
      </c>
      <c r="G261" s="401">
        <v>0</v>
      </c>
      <c r="H261" s="52">
        <f t="shared" si="6"/>
        <v>1376</v>
      </c>
    </row>
    <row r="262" spans="1:8" ht="15">
      <c r="A262" s="5"/>
      <c r="B262" s="403" t="s">
        <v>855</v>
      </c>
      <c r="C262" s="401" t="s">
        <v>150</v>
      </c>
      <c r="D262" s="401">
        <v>1005</v>
      </c>
      <c r="E262" s="401">
        <v>6</v>
      </c>
      <c r="F262" s="401">
        <v>0</v>
      </c>
      <c r="G262" s="401">
        <v>0</v>
      </c>
      <c r="H262" s="52">
        <f t="shared" si="6"/>
        <v>6030</v>
      </c>
    </row>
    <row r="263" spans="1:8" ht="15">
      <c r="A263" s="5"/>
      <c r="B263" s="403" t="s">
        <v>995</v>
      </c>
      <c r="C263" s="401" t="s">
        <v>150</v>
      </c>
      <c r="D263" s="401">
        <v>1200</v>
      </c>
      <c r="E263" s="401">
        <v>0</v>
      </c>
      <c r="F263" s="401">
        <v>11</v>
      </c>
      <c r="G263" s="401">
        <v>0</v>
      </c>
      <c r="H263" s="52">
        <f t="shared" si="6"/>
        <v>13200</v>
      </c>
    </row>
    <row r="264" spans="1:8" ht="15">
      <c r="A264" s="5"/>
      <c r="B264" s="403" t="s">
        <v>996</v>
      </c>
      <c r="C264" s="401" t="s">
        <v>150</v>
      </c>
      <c r="D264" s="401">
        <v>1100</v>
      </c>
      <c r="E264" s="401">
        <v>24</v>
      </c>
      <c r="F264" s="401">
        <v>8</v>
      </c>
      <c r="G264" s="401">
        <v>0</v>
      </c>
      <c r="H264" s="52">
        <f t="shared" si="6"/>
        <v>35200</v>
      </c>
    </row>
    <row r="265" spans="1:8" ht="15">
      <c r="A265" s="5"/>
      <c r="B265" s="403" t="s">
        <v>997</v>
      </c>
      <c r="C265" s="401" t="s">
        <v>150</v>
      </c>
      <c r="D265" s="401">
        <v>1100</v>
      </c>
      <c r="E265" s="401">
        <v>0</v>
      </c>
      <c r="F265" s="401">
        <v>9</v>
      </c>
      <c r="G265" s="401">
        <v>0</v>
      </c>
      <c r="H265" s="52">
        <f t="shared" si="6"/>
        <v>9900</v>
      </c>
    </row>
    <row r="266" spans="1:8" ht="15">
      <c r="A266" s="5"/>
      <c r="B266" s="403" t="s">
        <v>820</v>
      </c>
      <c r="C266" s="401" t="s">
        <v>150</v>
      </c>
      <c r="D266" s="401">
        <v>1194</v>
      </c>
      <c r="E266" s="401">
        <v>7</v>
      </c>
      <c r="F266" s="401">
        <v>0</v>
      </c>
      <c r="G266" s="401">
        <v>0</v>
      </c>
      <c r="H266" s="52">
        <f t="shared" si="6"/>
        <v>8358</v>
      </c>
    </row>
    <row r="268" spans="1:8">
      <c r="A268" s="47">
        <v>46112</v>
      </c>
    </row>
    <row r="269" spans="1:8" ht="21">
      <c r="A269" s="516"/>
      <c r="B269" s="517" t="s">
        <v>2</v>
      </c>
      <c r="C269" s="517" t="s">
        <v>1</v>
      </c>
      <c r="D269" s="517" t="s">
        <v>3</v>
      </c>
      <c r="E269" s="518" t="s">
        <v>4</v>
      </c>
      <c r="F269" s="518"/>
      <c r="G269" s="518"/>
      <c r="H269" s="515" t="s">
        <v>5</v>
      </c>
    </row>
    <row r="270" spans="1:8" ht="21">
      <c r="A270" s="338"/>
      <c r="B270" s="396"/>
      <c r="C270" s="396"/>
      <c r="D270" s="396"/>
      <c r="E270" s="85" t="s">
        <v>6</v>
      </c>
      <c r="F270" s="85" t="s">
        <v>665</v>
      </c>
      <c r="G270" s="86" t="s">
        <v>8</v>
      </c>
      <c r="H270" s="397"/>
    </row>
    <row r="271" spans="1:8" ht="17.25">
      <c r="A271" s="5" t="s">
        <v>666</v>
      </c>
      <c r="B271" s="398"/>
      <c r="C271" s="399"/>
      <c r="D271" s="399"/>
      <c r="E271" s="399"/>
      <c r="F271" s="399"/>
      <c r="G271" s="399"/>
      <c r="H271" s="140">
        <f>SUM(H272:H368)</f>
        <v>3235930</v>
      </c>
    </row>
    <row r="272" spans="1:8" ht="15.75">
      <c r="A272" s="5"/>
      <c r="B272" s="526" t="s">
        <v>858</v>
      </c>
      <c r="C272" s="527" t="s">
        <v>668</v>
      </c>
      <c r="D272" s="527">
        <v>2622</v>
      </c>
      <c r="E272" s="527">
        <v>0</v>
      </c>
      <c r="F272" s="527">
        <v>5</v>
      </c>
      <c r="G272" s="527">
        <v>7</v>
      </c>
      <c r="H272" s="52">
        <f t="shared" ref="H272:H335" si="7">D272*(E272+F272+G272)</f>
        <v>31464</v>
      </c>
    </row>
    <row r="273" spans="1:8" ht="15.75">
      <c r="A273" s="5"/>
      <c r="B273" s="528" t="s">
        <v>859</v>
      </c>
      <c r="C273" s="529" t="s">
        <v>668</v>
      </c>
      <c r="D273" s="529">
        <v>2277</v>
      </c>
      <c r="E273" s="529">
        <v>0</v>
      </c>
      <c r="F273" s="529">
        <v>9</v>
      </c>
      <c r="G273" s="529">
        <v>6</v>
      </c>
      <c r="H273" s="52">
        <f t="shared" si="7"/>
        <v>34155</v>
      </c>
    </row>
    <row r="274" spans="1:8" ht="15.75">
      <c r="A274" s="5"/>
      <c r="B274" s="528" t="s">
        <v>861</v>
      </c>
      <c r="C274" s="529" t="s">
        <v>673</v>
      </c>
      <c r="D274" s="529">
        <v>1056</v>
      </c>
      <c r="E274" s="529">
        <v>0</v>
      </c>
      <c r="F274" s="529">
        <v>29</v>
      </c>
      <c r="G274" s="529">
        <v>12</v>
      </c>
      <c r="H274" s="52">
        <f t="shared" si="7"/>
        <v>43296</v>
      </c>
    </row>
    <row r="275" spans="1:8" ht="15.75">
      <c r="A275" s="5"/>
      <c r="B275" s="528" t="s">
        <v>862</v>
      </c>
      <c r="C275" s="529" t="s">
        <v>863</v>
      </c>
      <c r="D275" s="529">
        <v>180</v>
      </c>
      <c r="E275" s="529">
        <v>240</v>
      </c>
      <c r="F275" s="529">
        <v>164</v>
      </c>
      <c r="G275" s="529">
        <v>12</v>
      </c>
      <c r="H275" s="52">
        <f t="shared" si="7"/>
        <v>74880</v>
      </c>
    </row>
    <row r="276" spans="1:8" ht="15.75">
      <c r="A276" s="5"/>
      <c r="B276" s="528" t="s">
        <v>242</v>
      </c>
      <c r="C276" s="529" t="s">
        <v>677</v>
      </c>
      <c r="D276" s="529">
        <v>935</v>
      </c>
      <c r="E276" s="529">
        <v>80</v>
      </c>
      <c r="F276" s="529">
        <v>12</v>
      </c>
      <c r="G276" s="529">
        <v>38</v>
      </c>
      <c r="H276" s="52">
        <f t="shared" si="7"/>
        <v>121550</v>
      </c>
    </row>
    <row r="277" spans="1:8" ht="15.75">
      <c r="A277" s="5"/>
      <c r="B277" s="528" t="s">
        <v>866</v>
      </c>
      <c r="C277" s="529" t="s">
        <v>679</v>
      </c>
      <c r="D277" s="529">
        <v>187</v>
      </c>
      <c r="E277" s="529">
        <v>0</v>
      </c>
      <c r="F277" s="529">
        <v>19</v>
      </c>
      <c r="G277" s="529">
        <v>11</v>
      </c>
      <c r="H277" s="52">
        <f t="shared" si="7"/>
        <v>5610</v>
      </c>
    </row>
    <row r="278" spans="1:8" ht="15.75">
      <c r="A278" s="5"/>
      <c r="B278" s="528" t="s">
        <v>998</v>
      </c>
      <c r="C278" s="529" t="s">
        <v>681</v>
      </c>
      <c r="D278" s="529">
        <v>590</v>
      </c>
      <c r="E278" s="529">
        <v>0</v>
      </c>
      <c r="F278" s="529">
        <v>0</v>
      </c>
      <c r="G278" s="529">
        <v>12</v>
      </c>
      <c r="H278" s="52">
        <f t="shared" si="7"/>
        <v>7080</v>
      </c>
    </row>
    <row r="279" spans="1:8" ht="15.75">
      <c r="A279" s="5"/>
      <c r="B279" s="528" t="s">
        <v>867</v>
      </c>
      <c r="C279" s="529" t="s">
        <v>868</v>
      </c>
      <c r="D279" s="529">
        <v>765</v>
      </c>
      <c r="E279" s="529">
        <v>0</v>
      </c>
      <c r="F279" s="529">
        <v>190</v>
      </c>
      <c r="G279" s="529">
        <v>16</v>
      </c>
      <c r="H279" s="52">
        <f t="shared" si="7"/>
        <v>157590</v>
      </c>
    </row>
    <row r="280" spans="1:8" ht="15.75">
      <c r="A280" s="5"/>
      <c r="B280" s="528" t="s">
        <v>870</v>
      </c>
      <c r="C280" s="529" t="s">
        <v>869</v>
      </c>
      <c r="D280" s="529">
        <v>950</v>
      </c>
      <c r="E280" s="529">
        <v>18</v>
      </c>
      <c r="F280" s="529">
        <v>12</v>
      </c>
      <c r="G280" s="529">
        <v>2</v>
      </c>
      <c r="H280" s="52">
        <f t="shared" si="7"/>
        <v>30400</v>
      </c>
    </row>
    <row r="281" spans="1:8" ht="15.75">
      <c r="A281" s="5"/>
      <c r="B281" s="528" t="s">
        <v>999</v>
      </c>
      <c r="C281" s="529" t="s">
        <v>872</v>
      </c>
      <c r="D281" s="529">
        <v>850</v>
      </c>
      <c r="E281" s="529">
        <v>20</v>
      </c>
      <c r="F281" s="529">
        <v>6</v>
      </c>
      <c r="G281" s="529">
        <v>27</v>
      </c>
      <c r="H281" s="52">
        <f t="shared" si="7"/>
        <v>45050</v>
      </c>
    </row>
    <row r="282" spans="1:8" ht="15.75">
      <c r="A282" s="5"/>
      <c r="B282" s="528" t="s">
        <v>873</v>
      </c>
      <c r="C282" s="529" t="s">
        <v>874</v>
      </c>
      <c r="D282" s="529">
        <v>1430</v>
      </c>
      <c r="E282" s="529">
        <v>0</v>
      </c>
      <c r="F282" s="529">
        <v>118</v>
      </c>
      <c r="G282" s="529">
        <v>125</v>
      </c>
      <c r="H282" s="52">
        <f t="shared" si="7"/>
        <v>347490</v>
      </c>
    </row>
    <row r="283" spans="1:8" ht="15.75">
      <c r="A283" s="5"/>
      <c r="B283" s="528" t="s">
        <v>875</v>
      </c>
      <c r="C283" s="529" t="s">
        <v>876</v>
      </c>
      <c r="D283" s="529">
        <v>977</v>
      </c>
      <c r="E283" s="529">
        <v>0</v>
      </c>
      <c r="F283" s="529">
        <v>7</v>
      </c>
      <c r="G283" s="529">
        <v>4</v>
      </c>
      <c r="H283" s="52">
        <f t="shared" si="7"/>
        <v>10747</v>
      </c>
    </row>
    <row r="284" spans="1:8" ht="15.75">
      <c r="A284" s="5"/>
      <c r="B284" s="528" t="s">
        <v>692</v>
      </c>
      <c r="C284" s="529" t="s">
        <v>877</v>
      </c>
      <c r="D284" s="529">
        <v>264</v>
      </c>
      <c r="E284" s="529">
        <v>0</v>
      </c>
      <c r="F284" s="529">
        <v>0</v>
      </c>
      <c r="G284" s="529">
        <v>75</v>
      </c>
      <c r="H284" s="52">
        <f t="shared" si="7"/>
        <v>19800</v>
      </c>
    </row>
    <row r="285" spans="1:8" ht="15.75">
      <c r="A285" s="5"/>
      <c r="B285" s="528" t="s">
        <v>878</v>
      </c>
      <c r="C285" s="529" t="s">
        <v>879</v>
      </c>
      <c r="D285" s="529">
        <v>283</v>
      </c>
      <c r="E285" s="529">
        <v>0</v>
      </c>
      <c r="F285" s="529">
        <v>0</v>
      </c>
      <c r="G285" s="529">
        <v>45</v>
      </c>
      <c r="H285" s="52">
        <f t="shared" si="7"/>
        <v>12735</v>
      </c>
    </row>
    <row r="286" spans="1:8" ht="15.75">
      <c r="A286" s="5"/>
      <c r="B286" s="528" t="s">
        <v>880</v>
      </c>
      <c r="C286" s="529" t="s">
        <v>881</v>
      </c>
      <c r="D286" s="529">
        <v>1100</v>
      </c>
      <c r="E286" s="529">
        <v>0</v>
      </c>
      <c r="F286" s="529">
        <v>9</v>
      </c>
      <c r="G286" s="529">
        <v>4</v>
      </c>
      <c r="H286" s="52">
        <f t="shared" si="7"/>
        <v>14300</v>
      </c>
    </row>
    <row r="287" spans="1:8" ht="15.75">
      <c r="A287" s="5"/>
      <c r="B287" s="528" t="s">
        <v>882</v>
      </c>
      <c r="C287" s="529" t="s">
        <v>883</v>
      </c>
      <c r="D287" s="529">
        <v>999</v>
      </c>
      <c r="E287" s="529">
        <v>54</v>
      </c>
      <c r="F287" s="529">
        <v>6</v>
      </c>
      <c r="G287" s="529">
        <v>0</v>
      </c>
      <c r="H287" s="52">
        <f t="shared" si="7"/>
        <v>59940</v>
      </c>
    </row>
    <row r="288" spans="1:8" ht="15.75">
      <c r="A288" s="5"/>
      <c r="B288" s="528" t="s">
        <v>884</v>
      </c>
      <c r="C288" s="529" t="s">
        <v>885</v>
      </c>
      <c r="D288" s="529">
        <v>880</v>
      </c>
      <c r="E288" s="529">
        <v>0</v>
      </c>
      <c r="F288" s="529">
        <v>0</v>
      </c>
      <c r="G288" s="529">
        <v>3</v>
      </c>
      <c r="H288" s="52">
        <f t="shared" si="7"/>
        <v>2640</v>
      </c>
    </row>
    <row r="289" spans="1:8" ht="15.75">
      <c r="A289" s="5"/>
      <c r="B289" s="528" t="s">
        <v>365</v>
      </c>
      <c r="C289" s="529" t="s">
        <v>886</v>
      </c>
      <c r="D289" s="529">
        <v>605</v>
      </c>
      <c r="E289" s="529">
        <v>0</v>
      </c>
      <c r="F289" s="529">
        <v>63</v>
      </c>
      <c r="G289" s="529">
        <v>5</v>
      </c>
      <c r="H289" s="52">
        <f t="shared" si="7"/>
        <v>41140</v>
      </c>
    </row>
    <row r="290" spans="1:8" ht="15.75">
      <c r="A290" s="5"/>
      <c r="B290" s="528" t="s">
        <v>887</v>
      </c>
      <c r="C290" s="529" t="s">
        <v>888</v>
      </c>
      <c r="D290" s="529">
        <v>638</v>
      </c>
      <c r="E290" s="529">
        <v>0</v>
      </c>
      <c r="F290" s="529">
        <v>36</v>
      </c>
      <c r="G290" s="529">
        <v>13</v>
      </c>
      <c r="H290" s="52">
        <f t="shared" si="7"/>
        <v>31262</v>
      </c>
    </row>
    <row r="291" spans="1:8" ht="15.75">
      <c r="A291" s="5"/>
      <c r="B291" s="528" t="s">
        <v>470</v>
      </c>
      <c r="C291" s="529" t="s">
        <v>889</v>
      </c>
      <c r="D291" s="529">
        <v>825</v>
      </c>
      <c r="E291" s="529">
        <v>0</v>
      </c>
      <c r="F291" s="529">
        <v>15</v>
      </c>
      <c r="G291" s="529">
        <v>6</v>
      </c>
      <c r="H291" s="52">
        <f t="shared" si="7"/>
        <v>17325</v>
      </c>
    </row>
    <row r="292" spans="1:8" ht="15.75">
      <c r="A292" s="5"/>
      <c r="B292" s="528" t="s">
        <v>890</v>
      </c>
      <c r="C292" s="529" t="s">
        <v>891</v>
      </c>
      <c r="D292" s="529">
        <v>660</v>
      </c>
      <c r="E292" s="529">
        <v>0</v>
      </c>
      <c r="F292" s="529">
        <v>27</v>
      </c>
      <c r="G292" s="529">
        <v>8</v>
      </c>
      <c r="H292" s="52">
        <f t="shared" si="7"/>
        <v>23100</v>
      </c>
    </row>
    <row r="293" spans="1:8" ht="15.75">
      <c r="A293" s="5"/>
      <c r="B293" s="528" t="s">
        <v>894</v>
      </c>
      <c r="C293" s="529" t="s">
        <v>895</v>
      </c>
      <c r="D293" s="529">
        <v>1029</v>
      </c>
      <c r="E293" s="529">
        <v>0</v>
      </c>
      <c r="F293" s="529">
        <v>21</v>
      </c>
      <c r="G293" s="529">
        <v>6</v>
      </c>
      <c r="H293" s="52">
        <f t="shared" si="7"/>
        <v>27783</v>
      </c>
    </row>
    <row r="294" spans="1:8" ht="15.75">
      <c r="A294" s="5"/>
      <c r="B294" s="528" t="s">
        <v>896</v>
      </c>
      <c r="C294" s="529" t="s">
        <v>897</v>
      </c>
      <c r="D294" s="529">
        <v>538</v>
      </c>
      <c r="E294" s="529">
        <v>0</v>
      </c>
      <c r="F294" s="529">
        <v>43</v>
      </c>
      <c r="G294" s="529">
        <v>12</v>
      </c>
      <c r="H294" s="52">
        <f t="shared" si="7"/>
        <v>29590</v>
      </c>
    </row>
    <row r="295" spans="1:8" ht="15.75">
      <c r="A295" s="5"/>
      <c r="B295" s="528" t="s">
        <v>898</v>
      </c>
      <c r="C295" s="529" t="s">
        <v>899</v>
      </c>
      <c r="D295" s="529">
        <v>224</v>
      </c>
      <c r="E295" s="529">
        <v>0</v>
      </c>
      <c r="F295" s="529">
        <v>25</v>
      </c>
      <c r="G295" s="529">
        <v>87</v>
      </c>
      <c r="H295" s="52">
        <f t="shared" si="7"/>
        <v>25088</v>
      </c>
    </row>
    <row r="296" spans="1:8" ht="15.75">
      <c r="A296" s="5"/>
      <c r="B296" s="528" t="s">
        <v>900</v>
      </c>
      <c r="C296" s="529" t="s">
        <v>901</v>
      </c>
      <c r="D296" s="529">
        <v>245</v>
      </c>
      <c r="E296" s="529">
        <v>0</v>
      </c>
      <c r="F296" s="529">
        <v>0</v>
      </c>
      <c r="G296" s="529">
        <v>31</v>
      </c>
      <c r="H296" s="52">
        <f t="shared" si="7"/>
        <v>7595</v>
      </c>
    </row>
    <row r="297" spans="1:8" ht="15.75">
      <c r="A297" s="5"/>
      <c r="B297" s="528" t="s">
        <v>902</v>
      </c>
      <c r="C297" s="529" t="s">
        <v>903</v>
      </c>
      <c r="D297" s="529">
        <v>501</v>
      </c>
      <c r="E297" s="529">
        <v>0</v>
      </c>
      <c r="F297" s="529">
        <v>0</v>
      </c>
      <c r="G297" s="529">
        <v>11</v>
      </c>
      <c r="H297" s="52">
        <f t="shared" si="7"/>
        <v>5511</v>
      </c>
    </row>
    <row r="298" spans="1:8" ht="15.75">
      <c r="A298" s="5"/>
      <c r="B298" s="528" t="s">
        <v>904</v>
      </c>
      <c r="C298" s="529" t="s">
        <v>905</v>
      </c>
      <c r="D298" s="529">
        <v>369</v>
      </c>
      <c r="E298" s="529">
        <v>0</v>
      </c>
      <c r="F298" s="529">
        <v>0</v>
      </c>
      <c r="G298" s="529">
        <v>52</v>
      </c>
      <c r="H298" s="52">
        <f t="shared" si="7"/>
        <v>19188</v>
      </c>
    </row>
    <row r="299" spans="1:8" ht="15.75">
      <c r="A299" s="5"/>
      <c r="B299" s="528" t="s">
        <v>906</v>
      </c>
      <c r="C299" s="529" t="s">
        <v>907</v>
      </c>
      <c r="D299" s="529">
        <v>470</v>
      </c>
      <c r="E299" s="529">
        <v>0</v>
      </c>
      <c r="F299" s="529">
        <v>0</v>
      </c>
      <c r="G299" s="529">
        <v>58</v>
      </c>
      <c r="H299" s="52">
        <f t="shared" si="7"/>
        <v>27260</v>
      </c>
    </row>
    <row r="300" spans="1:8" ht="15.75">
      <c r="A300" s="5"/>
      <c r="B300" s="528" t="s">
        <v>651</v>
      </c>
      <c r="C300" s="529" t="s">
        <v>908</v>
      </c>
      <c r="D300" s="529">
        <v>328</v>
      </c>
      <c r="E300" s="529">
        <v>0</v>
      </c>
      <c r="F300" s="529">
        <v>0</v>
      </c>
      <c r="G300" s="529">
        <v>80</v>
      </c>
      <c r="H300" s="52">
        <f t="shared" si="7"/>
        <v>26240</v>
      </c>
    </row>
    <row r="301" spans="1:8" ht="15.75">
      <c r="A301" s="5"/>
      <c r="B301" s="528" t="s">
        <v>717</v>
      </c>
      <c r="C301" s="529" t="s">
        <v>909</v>
      </c>
      <c r="D301" s="529">
        <v>260</v>
      </c>
      <c r="E301" s="529">
        <v>0</v>
      </c>
      <c r="F301" s="529">
        <v>0</v>
      </c>
      <c r="G301" s="529">
        <v>19</v>
      </c>
      <c r="H301" s="52">
        <f t="shared" si="7"/>
        <v>4940</v>
      </c>
    </row>
    <row r="302" spans="1:8" ht="15.75">
      <c r="A302" s="5"/>
      <c r="B302" s="528" t="s">
        <v>719</v>
      </c>
      <c r="C302" s="529" t="s">
        <v>909</v>
      </c>
      <c r="D302" s="529">
        <v>528</v>
      </c>
      <c r="E302" s="529">
        <v>0</v>
      </c>
      <c r="F302" s="529">
        <v>0</v>
      </c>
      <c r="G302" s="529">
        <v>15</v>
      </c>
      <c r="H302" s="52">
        <f t="shared" si="7"/>
        <v>7920</v>
      </c>
    </row>
    <row r="303" spans="1:8" ht="15.75">
      <c r="A303" s="5"/>
      <c r="B303" s="528" t="s">
        <v>720</v>
      </c>
      <c r="C303" s="529" t="s">
        <v>721</v>
      </c>
      <c r="D303" s="529">
        <v>15</v>
      </c>
      <c r="E303" s="529">
        <v>0</v>
      </c>
      <c r="F303" s="529">
        <v>375</v>
      </c>
      <c r="G303" s="529">
        <v>500</v>
      </c>
      <c r="H303" s="52">
        <f t="shared" si="7"/>
        <v>13125</v>
      </c>
    </row>
    <row r="304" spans="1:8" ht="15.75">
      <c r="A304" s="5"/>
      <c r="B304" s="528" t="s">
        <v>1000</v>
      </c>
      <c r="C304" s="529" t="s">
        <v>284</v>
      </c>
      <c r="D304" s="529">
        <v>960</v>
      </c>
      <c r="E304" s="529">
        <v>54</v>
      </c>
      <c r="F304" s="529">
        <v>4</v>
      </c>
      <c r="G304" s="529">
        <v>7</v>
      </c>
      <c r="H304" s="52">
        <f t="shared" si="7"/>
        <v>62400</v>
      </c>
    </row>
    <row r="305" spans="1:8" ht="15.75">
      <c r="A305" s="5"/>
      <c r="B305" s="528" t="s">
        <v>1001</v>
      </c>
      <c r="C305" s="529" t="s">
        <v>289</v>
      </c>
      <c r="D305" s="529">
        <v>880</v>
      </c>
      <c r="E305" s="529">
        <v>45</v>
      </c>
      <c r="F305" s="529">
        <v>0</v>
      </c>
      <c r="G305" s="529">
        <v>5</v>
      </c>
      <c r="H305" s="52">
        <f t="shared" si="7"/>
        <v>44000</v>
      </c>
    </row>
    <row r="306" spans="1:8" ht="15.75">
      <c r="A306" s="5"/>
      <c r="B306" s="528" t="s">
        <v>624</v>
      </c>
      <c r="C306" s="529" t="s">
        <v>292</v>
      </c>
      <c r="D306" s="529">
        <v>1100</v>
      </c>
      <c r="E306" s="529">
        <v>0</v>
      </c>
      <c r="F306" s="529">
        <v>0</v>
      </c>
      <c r="G306" s="529">
        <v>3</v>
      </c>
      <c r="H306" s="52">
        <f t="shared" si="7"/>
        <v>3300</v>
      </c>
    </row>
    <row r="307" spans="1:8" ht="15.75">
      <c r="A307" s="5"/>
      <c r="B307" s="528" t="s">
        <v>262</v>
      </c>
      <c r="C307" s="529" t="s">
        <v>913</v>
      </c>
      <c r="D307" s="529">
        <v>1184</v>
      </c>
      <c r="E307" s="529">
        <v>57</v>
      </c>
      <c r="F307" s="529">
        <v>3</v>
      </c>
      <c r="G307" s="529">
        <v>4</v>
      </c>
      <c r="H307" s="52">
        <f t="shared" si="7"/>
        <v>75776</v>
      </c>
    </row>
    <row r="308" spans="1:8" ht="15.75">
      <c r="A308" s="5"/>
      <c r="B308" s="528" t="s">
        <v>914</v>
      </c>
      <c r="C308" s="529" t="s">
        <v>915</v>
      </c>
      <c r="D308" s="529">
        <v>400</v>
      </c>
      <c r="E308" s="529">
        <v>0</v>
      </c>
      <c r="F308" s="529">
        <v>4</v>
      </c>
      <c r="G308" s="529">
        <v>75</v>
      </c>
      <c r="H308" s="52">
        <f t="shared" si="7"/>
        <v>31600</v>
      </c>
    </row>
    <row r="309" spans="1:8" ht="15.75">
      <c r="A309" s="5"/>
      <c r="B309" s="528" t="s">
        <v>916</v>
      </c>
      <c r="C309" s="529" t="s">
        <v>758</v>
      </c>
      <c r="D309" s="529">
        <v>1121</v>
      </c>
      <c r="E309" s="529">
        <v>11</v>
      </c>
      <c r="F309" s="529">
        <v>0</v>
      </c>
      <c r="G309" s="529">
        <v>11</v>
      </c>
      <c r="H309" s="52">
        <f t="shared" si="7"/>
        <v>24662</v>
      </c>
    </row>
    <row r="310" spans="1:8" ht="15.75">
      <c r="A310" s="5"/>
      <c r="B310" s="528" t="s">
        <v>917</v>
      </c>
      <c r="C310" s="529" t="s">
        <v>918</v>
      </c>
      <c r="D310" s="529">
        <v>1175</v>
      </c>
      <c r="E310" s="529">
        <v>0</v>
      </c>
      <c r="F310" s="529">
        <v>23</v>
      </c>
      <c r="G310" s="529">
        <v>2</v>
      </c>
      <c r="H310" s="52">
        <f t="shared" si="7"/>
        <v>29375</v>
      </c>
    </row>
    <row r="311" spans="1:8" ht="15.75">
      <c r="A311" s="5"/>
      <c r="B311" s="528" t="s">
        <v>919</v>
      </c>
      <c r="C311" s="529" t="s">
        <v>271</v>
      </c>
      <c r="D311" s="529">
        <v>1100</v>
      </c>
      <c r="E311" s="529">
        <v>17</v>
      </c>
      <c r="F311" s="529">
        <v>0</v>
      </c>
      <c r="G311" s="529">
        <v>3</v>
      </c>
      <c r="H311" s="52">
        <f t="shared" si="7"/>
        <v>22000</v>
      </c>
    </row>
    <row r="312" spans="1:8" ht="15.75">
      <c r="A312" s="5"/>
      <c r="B312" s="528" t="s">
        <v>767</v>
      </c>
      <c r="C312" s="529" t="s">
        <v>920</v>
      </c>
      <c r="D312" s="529">
        <v>949</v>
      </c>
      <c r="E312" s="529">
        <v>0</v>
      </c>
      <c r="F312" s="529">
        <v>1</v>
      </c>
      <c r="G312" s="529">
        <v>2</v>
      </c>
      <c r="H312" s="52">
        <f t="shared" si="7"/>
        <v>2847</v>
      </c>
    </row>
    <row r="313" spans="1:8" ht="15.75">
      <c r="A313" s="5"/>
      <c r="B313" s="528" t="s">
        <v>921</v>
      </c>
      <c r="C313" s="529" t="s">
        <v>920</v>
      </c>
      <c r="D313" s="529">
        <v>650</v>
      </c>
      <c r="E313" s="529">
        <v>0</v>
      </c>
      <c r="F313" s="529">
        <v>1</v>
      </c>
      <c r="G313" s="529">
        <v>1</v>
      </c>
      <c r="H313" s="52">
        <f t="shared" si="7"/>
        <v>1300</v>
      </c>
    </row>
    <row r="314" spans="1:8" ht="15.75">
      <c r="A314" s="5"/>
      <c r="B314" s="528" t="s">
        <v>922</v>
      </c>
      <c r="C314" s="529" t="s">
        <v>923</v>
      </c>
      <c r="D314" s="529">
        <v>1100</v>
      </c>
      <c r="E314" s="529">
        <v>72</v>
      </c>
      <c r="F314" s="529">
        <v>7</v>
      </c>
      <c r="G314" s="529">
        <v>6</v>
      </c>
      <c r="H314" s="52">
        <f t="shared" si="7"/>
        <v>93500</v>
      </c>
    </row>
    <row r="315" spans="1:8" ht="15.75">
      <c r="A315" s="5"/>
      <c r="B315" s="528" t="s">
        <v>558</v>
      </c>
      <c r="C315" s="529" t="s">
        <v>924</v>
      </c>
      <c r="D315" s="529">
        <v>924</v>
      </c>
      <c r="E315" s="529">
        <v>0</v>
      </c>
      <c r="F315" s="529">
        <v>7</v>
      </c>
      <c r="G315" s="529">
        <v>24</v>
      </c>
      <c r="H315" s="52">
        <f t="shared" si="7"/>
        <v>28644</v>
      </c>
    </row>
    <row r="316" spans="1:8" ht="15.75">
      <c r="A316" s="5"/>
      <c r="B316" s="528" t="s">
        <v>927</v>
      </c>
      <c r="C316" s="529" t="s">
        <v>928</v>
      </c>
      <c r="D316" s="529">
        <v>1100</v>
      </c>
      <c r="E316" s="529">
        <v>0</v>
      </c>
      <c r="F316" s="529">
        <v>21</v>
      </c>
      <c r="G316" s="529">
        <v>4</v>
      </c>
      <c r="H316" s="52">
        <f t="shared" si="7"/>
        <v>27500</v>
      </c>
    </row>
    <row r="317" spans="1:8" ht="15.75">
      <c r="A317" s="5"/>
      <c r="B317" s="528" t="s">
        <v>563</v>
      </c>
      <c r="C317" s="529" t="s">
        <v>929</v>
      </c>
      <c r="D317" s="529">
        <v>358</v>
      </c>
      <c r="E317" s="529">
        <v>0</v>
      </c>
      <c r="F317" s="529">
        <v>0</v>
      </c>
      <c r="G317" s="529">
        <v>92</v>
      </c>
      <c r="H317" s="52">
        <f t="shared" si="7"/>
        <v>32936</v>
      </c>
    </row>
    <row r="318" spans="1:8" ht="15.75">
      <c r="A318" s="5"/>
      <c r="B318" s="528" t="s">
        <v>930</v>
      </c>
      <c r="C318" s="529" t="s">
        <v>931</v>
      </c>
      <c r="D318" s="529">
        <v>825</v>
      </c>
      <c r="E318" s="529">
        <v>0</v>
      </c>
      <c r="F318" s="529">
        <v>74</v>
      </c>
      <c r="G318" s="529">
        <v>8</v>
      </c>
      <c r="H318" s="52">
        <f t="shared" si="7"/>
        <v>67650</v>
      </c>
    </row>
    <row r="319" spans="1:8" ht="15.75">
      <c r="A319" s="5"/>
      <c r="B319" s="528" t="s">
        <v>932</v>
      </c>
      <c r="C319" s="529" t="s">
        <v>933</v>
      </c>
      <c r="D319" s="529">
        <v>638</v>
      </c>
      <c r="E319" s="529">
        <v>0</v>
      </c>
      <c r="F319" s="529">
        <v>76</v>
      </c>
      <c r="G319" s="529">
        <v>8</v>
      </c>
      <c r="H319" s="52">
        <f t="shared" si="7"/>
        <v>53592</v>
      </c>
    </row>
    <row r="320" spans="1:8" ht="15.75">
      <c r="A320" s="5"/>
      <c r="B320" s="528" t="s">
        <v>934</v>
      </c>
      <c r="C320" s="529" t="s">
        <v>935</v>
      </c>
      <c r="D320" s="529">
        <v>528</v>
      </c>
      <c r="E320" s="529">
        <v>0</v>
      </c>
      <c r="F320" s="529">
        <v>0</v>
      </c>
      <c r="G320" s="529">
        <v>67</v>
      </c>
      <c r="H320" s="52">
        <f t="shared" si="7"/>
        <v>35376</v>
      </c>
    </row>
    <row r="321" spans="1:8" ht="15.75">
      <c r="A321" s="5"/>
      <c r="B321" s="528" t="s">
        <v>1002</v>
      </c>
      <c r="C321" s="529" t="s">
        <v>937</v>
      </c>
      <c r="D321" s="529">
        <v>396</v>
      </c>
      <c r="E321" s="529">
        <v>0</v>
      </c>
      <c r="F321" s="529">
        <v>0</v>
      </c>
      <c r="G321" s="529">
        <v>108</v>
      </c>
      <c r="H321" s="52">
        <f t="shared" si="7"/>
        <v>42768</v>
      </c>
    </row>
    <row r="322" spans="1:8" ht="15.75">
      <c r="A322" s="5"/>
      <c r="B322" s="528" t="s">
        <v>1003</v>
      </c>
      <c r="C322" s="529" t="s">
        <v>939</v>
      </c>
      <c r="D322" s="529">
        <v>418</v>
      </c>
      <c r="E322" s="529">
        <v>0</v>
      </c>
      <c r="F322" s="529">
        <v>78</v>
      </c>
      <c r="G322" s="529">
        <v>67</v>
      </c>
      <c r="H322" s="52">
        <f t="shared" si="7"/>
        <v>60610</v>
      </c>
    </row>
    <row r="323" spans="1:8" ht="15.75">
      <c r="A323" s="5"/>
      <c r="B323" s="528" t="s">
        <v>940</v>
      </c>
      <c r="C323" s="529" t="s">
        <v>941</v>
      </c>
      <c r="D323" s="529">
        <v>1100</v>
      </c>
      <c r="E323" s="529">
        <v>0</v>
      </c>
      <c r="F323" s="529">
        <v>12</v>
      </c>
      <c r="G323" s="529">
        <v>12</v>
      </c>
      <c r="H323" s="52">
        <f t="shared" si="7"/>
        <v>26400</v>
      </c>
    </row>
    <row r="324" spans="1:8" ht="15.75">
      <c r="A324" s="5"/>
      <c r="B324" s="528" t="s">
        <v>942</v>
      </c>
      <c r="C324" s="529" t="s">
        <v>943</v>
      </c>
      <c r="D324" s="529">
        <v>539</v>
      </c>
      <c r="E324" s="529">
        <v>0</v>
      </c>
      <c r="F324" s="529">
        <v>3</v>
      </c>
      <c r="G324" s="529">
        <v>11</v>
      </c>
      <c r="H324" s="52">
        <f t="shared" si="7"/>
        <v>7546</v>
      </c>
    </row>
    <row r="325" spans="1:8" ht="15.75">
      <c r="A325" s="5"/>
      <c r="B325" s="528" t="s">
        <v>944</v>
      </c>
      <c r="C325" s="529" t="s">
        <v>945</v>
      </c>
      <c r="D325" s="529">
        <v>400</v>
      </c>
      <c r="E325" s="529">
        <v>0</v>
      </c>
      <c r="F325" s="529">
        <v>0</v>
      </c>
      <c r="G325" s="529">
        <v>81</v>
      </c>
      <c r="H325" s="52">
        <f t="shared" si="7"/>
        <v>32400</v>
      </c>
    </row>
    <row r="326" spans="1:8" ht="15.75">
      <c r="A326" s="5"/>
      <c r="B326" s="528" t="s">
        <v>946</v>
      </c>
      <c r="C326" s="529" t="s">
        <v>947</v>
      </c>
      <c r="D326" s="529">
        <v>200</v>
      </c>
      <c r="E326" s="529">
        <v>0</v>
      </c>
      <c r="F326" s="529">
        <v>0</v>
      </c>
      <c r="G326" s="529">
        <v>0</v>
      </c>
      <c r="H326" s="52">
        <f t="shared" si="7"/>
        <v>0</v>
      </c>
    </row>
    <row r="327" spans="1:8" ht="15.75">
      <c r="A327" s="5"/>
      <c r="B327" s="528" t="s">
        <v>948</v>
      </c>
      <c r="C327" s="529" t="s">
        <v>949</v>
      </c>
      <c r="D327" s="529">
        <v>773</v>
      </c>
      <c r="E327" s="529">
        <v>0</v>
      </c>
      <c r="F327" s="529">
        <v>53</v>
      </c>
      <c r="G327" s="529">
        <v>11</v>
      </c>
      <c r="H327" s="52">
        <f t="shared" si="7"/>
        <v>49472</v>
      </c>
    </row>
    <row r="328" spans="1:8" ht="15.75">
      <c r="A328" s="5"/>
      <c r="B328" s="528" t="s">
        <v>950</v>
      </c>
      <c r="C328" s="529" t="s">
        <v>951</v>
      </c>
      <c r="D328" s="529">
        <v>275</v>
      </c>
      <c r="E328" s="529">
        <v>0</v>
      </c>
      <c r="F328" s="529">
        <v>0</v>
      </c>
      <c r="G328" s="529">
        <v>47</v>
      </c>
      <c r="H328" s="52">
        <f t="shared" si="7"/>
        <v>12925</v>
      </c>
    </row>
    <row r="329" spans="1:8" ht="15.75">
      <c r="A329" s="5"/>
      <c r="B329" s="528" t="s">
        <v>952</v>
      </c>
      <c r="C329" s="529" t="s">
        <v>951</v>
      </c>
      <c r="D329" s="529">
        <v>703</v>
      </c>
      <c r="E329" s="529">
        <v>0</v>
      </c>
      <c r="F329" s="529">
        <v>0</v>
      </c>
      <c r="G329" s="529">
        <v>18</v>
      </c>
      <c r="H329" s="52">
        <f t="shared" si="7"/>
        <v>12654</v>
      </c>
    </row>
    <row r="330" spans="1:8" ht="15.75">
      <c r="A330" s="5"/>
      <c r="B330" s="528" t="s">
        <v>953</v>
      </c>
      <c r="C330" s="529" t="s">
        <v>954</v>
      </c>
      <c r="D330" s="529">
        <v>110</v>
      </c>
      <c r="E330" s="529">
        <v>0</v>
      </c>
      <c r="F330" s="529">
        <v>0</v>
      </c>
      <c r="G330" s="529">
        <v>184</v>
      </c>
      <c r="H330" s="52">
        <f t="shared" si="7"/>
        <v>20240</v>
      </c>
    </row>
    <row r="331" spans="1:8" ht="15.75">
      <c r="A331" s="5"/>
      <c r="B331" s="528" t="s">
        <v>955</v>
      </c>
      <c r="C331" s="529" t="s">
        <v>954</v>
      </c>
      <c r="D331" s="529">
        <v>198</v>
      </c>
      <c r="E331" s="529">
        <v>0</v>
      </c>
      <c r="F331" s="529">
        <v>0</v>
      </c>
      <c r="G331" s="529">
        <v>184</v>
      </c>
      <c r="H331" s="52">
        <f t="shared" si="7"/>
        <v>36432</v>
      </c>
    </row>
    <row r="332" spans="1:8" ht="15.75">
      <c r="A332" s="5"/>
      <c r="B332" s="528" t="s">
        <v>172</v>
      </c>
      <c r="C332" s="529" t="s">
        <v>960</v>
      </c>
      <c r="D332" s="529">
        <v>4000</v>
      </c>
      <c r="E332" s="529">
        <v>0</v>
      </c>
      <c r="F332" s="529">
        <v>19</v>
      </c>
      <c r="G332" s="529">
        <v>6</v>
      </c>
      <c r="H332" s="52">
        <f t="shared" si="7"/>
        <v>100000</v>
      </c>
    </row>
    <row r="333" spans="1:8" ht="15.75">
      <c r="A333" s="5"/>
      <c r="B333" s="528" t="s">
        <v>961</v>
      </c>
      <c r="C333" s="529" t="s">
        <v>962</v>
      </c>
      <c r="D333" s="529">
        <v>88</v>
      </c>
      <c r="E333" s="529">
        <v>0</v>
      </c>
      <c r="F333" s="529">
        <v>0</v>
      </c>
      <c r="G333" s="529">
        <v>1</v>
      </c>
      <c r="H333" s="52">
        <f t="shared" si="7"/>
        <v>88</v>
      </c>
    </row>
    <row r="334" spans="1:8" ht="15.75">
      <c r="A334" s="5"/>
      <c r="B334" s="528" t="s">
        <v>963</v>
      </c>
      <c r="C334" s="529" t="s">
        <v>962</v>
      </c>
      <c r="D334" s="529">
        <v>104</v>
      </c>
      <c r="E334" s="529">
        <v>0</v>
      </c>
      <c r="F334" s="529">
        <v>0</v>
      </c>
      <c r="G334" s="529">
        <v>42</v>
      </c>
      <c r="H334" s="52">
        <f t="shared" si="7"/>
        <v>4368</v>
      </c>
    </row>
    <row r="335" spans="1:8" ht="15.75">
      <c r="A335" s="5"/>
      <c r="B335" s="528" t="s">
        <v>964</v>
      </c>
      <c r="C335" s="529" t="s">
        <v>965</v>
      </c>
      <c r="D335" s="529">
        <v>160</v>
      </c>
      <c r="E335" s="529">
        <v>0</v>
      </c>
      <c r="F335" s="529">
        <v>0</v>
      </c>
      <c r="G335" s="529">
        <v>80</v>
      </c>
      <c r="H335" s="52">
        <f t="shared" si="7"/>
        <v>12800</v>
      </c>
    </row>
    <row r="336" spans="1:8" ht="15.75">
      <c r="A336" s="5"/>
      <c r="B336" s="528" t="s">
        <v>345</v>
      </c>
      <c r="C336" s="529" t="s">
        <v>966</v>
      </c>
      <c r="D336" s="529">
        <v>83</v>
      </c>
      <c r="E336" s="529">
        <v>0</v>
      </c>
      <c r="F336" s="529">
        <v>0</v>
      </c>
      <c r="G336" s="529">
        <v>150</v>
      </c>
      <c r="H336" s="52">
        <f t="shared" ref="H336:H368" si="8">D336*(E336+F336+G336)</f>
        <v>12450</v>
      </c>
    </row>
    <row r="337" spans="1:8" ht="15.75">
      <c r="A337" s="5"/>
      <c r="B337" s="528" t="s">
        <v>967</v>
      </c>
      <c r="C337" s="529" t="s">
        <v>968</v>
      </c>
      <c r="D337" s="529">
        <v>512</v>
      </c>
      <c r="E337" s="529">
        <v>0</v>
      </c>
      <c r="F337" s="529">
        <v>0</v>
      </c>
      <c r="G337" s="529">
        <v>44</v>
      </c>
      <c r="H337" s="52">
        <f t="shared" si="8"/>
        <v>22528</v>
      </c>
    </row>
    <row r="338" spans="1:8" ht="15.75">
      <c r="A338" s="5"/>
      <c r="B338" s="526" t="s">
        <v>1004</v>
      </c>
      <c r="C338" s="527" t="s">
        <v>150</v>
      </c>
      <c r="D338" s="527">
        <v>660</v>
      </c>
      <c r="E338" s="527">
        <v>60</v>
      </c>
      <c r="F338" s="527">
        <v>0</v>
      </c>
      <c r="G338" s="527">
        <v>0</v>
      </c>
      <c r="H338" s="52">
        <f t="shared" si="8"/>
        <v>39600</v>
      </c>
    </row>
    <row r="339" spans="1:8" ht="15.75">
      <c r="A339" s="5"/>
      <c r="B339" s="528" t="s">
        <v>1005</v>
      </c>
      <c r="C339" s="529" t="s">
        <v>150</v>
      </c>
      <c r="D339" s="529">
        <v>638</v>
      </c>
      <c r="E339" s="529">
        <v>66</v>
      </c>
      <c r="F339" s="529">
        <v>27</v>
      </c>
      <c r="G339" s="529">
        <v>0</v>
      </c>
      <c r="H339" s="52">
        <f t="shared" si="8"/>
        <v>59334</v>
      </c>
    </row>
    <row r="340" spans="1:8" ht="15.75">
      <c r="A340" s="5"/>
      <c r="B340" s="528" t="s">
        <v>871</v>
      </c>
      <c r="C340" s="529" t="s">
        <v>150</v>
      </c>
      <c r="D340" s="529">
        <v>198</v>
      </c>
      <c r="E340" s="529">
        <v>45</v>
      </c>
      <c r="F340" s="529">
        <v>0</v>
      </c>
      <c r="G340" s="529">
        <v>0</v>
      </c>
      <c r="H340" s="52">
        <f t="shared" si="8"/>
        <v>8910</v>
      </c>
    </row>
    <row r="341" spans="1:8" ht="15.75">
      <c r="A341" s="5"/>
      <c r="B341" s="528" t="s">
        <v>1006</v>
      </c>
      <c r="C341" s="529" t="s">
        <v>150</v>
      </c>
      <c r="D341" s="529">
        <v>800</v>
      </c>
      <c r="E341" s="529">
        <v>0</v>
      </c>
      <c r="F341" s="529">
        <v>46</v>
      </c>
      <c r="G341" s="529">
        <v>0</v>
      </c>
      <c r="H341" s="52">
        <f t="shared" si="8"/>
        <v>36800</v>
      </c>
    </row>
    <row r="342" spans="1:8" ht="15.75">
      <c r="A342" s="5"/>
      <c r="B342" s="528" t="s">
        <v>892</v>
      </c>
      <c r="C342" s="529" t="s">
        <v>150</v>
      </c>
      <c r="D342" s="529">
        <v>720</v>
      </c>
      <c r="E342" s="529">
        <v>40</v>
      </c>
      <c r="F342" s="529">
        <v>49</v>
      </c>
      <c r="G342" s="529">
        <v>0</v>
      </c>
      <c r="H342" s="52">
        <f t="shared" si="8"/>
        <v>64080</v>
      </c>
    </row>
    <row r="343" spans="1:8" ht="15.75">
      <c r="A343" s="5"/>
      <c r="B343" s="528" t="s">
        <v>971</v>
      </c>
      <c r="C343" s="529" t="s">
        <v>150</v>
      </c>
      <c r="D343" s="529">
        <v>996</v>
      </c>
      <c r="E343" s="529">
        <v>0</v>
      </c>
      <c r="F343" s="529">
        <v>18</v>
      </c>
      <c r="G343" s="529">
        <v>0</v>
      </c>
      <c r="H343" s="52">
        <f t="shared" si="8"/>
        <v>17928</v>
      </c>
    </row>
    <row r="344" spans="1:8" ht="15.75">
      <c r="A344" s="5"/>
      <c r="B344" s="528" t="s">
        <v>972</v>
      </c>
      <c r="C344" s="529" t="s">
        <v>150</v>
      </c>
      <c r="D344" s="529">
        <v>1000</v>
      </c>
      <c r="E344" s="529">
        <v>16</v>
      </c>
      <c r="F344" s="529">
        <v>11</v>
      </c>
      <c r="G344" s="529">
        <v>0</v>
      </c>
      <c r="H344" s="52">
        <f t="shared" si="8"/>
        <v>27000</v>
      </c>
    </row>
    <row r="345" spans="1:8" ht="15.75">
      <c r="A345" s="5"/>
      <c r="B345" s="528" t="s">
        <v>974</v>
      </c>
      <c r="C345" s="529" t="s">
        <v>150</v>
      </c>
      <c r="D345" s="529">
        <v>605</v>
      </c>
      <c r="E345" s="529">
        <v>98</v>
      </c>
      <c r="F345" s="529">
        <v>0</v>
      </c>
      <c r="G345" s="529">
        <v>0</v>
      </c>
      <c r="H345" s="52">
        <f t="shared" si="8"/>
        <v>59290</v>
      </c>
    </row>
    <row r="346" spans="1:8" ht="15.75">
      <c r="A346" s="5"/>
      <c r="B346" s="528" t="s">
        <v>979</v>
      </c>
      <c r="C346" s="529" t="s">
        <v>150</v>
      </c>
      <c r="D346" s="529">
        <v>759</v>
      </c>
      <c r="E346" s="529">
        <v>0</v>
      </c>
      <c r="F346" s="529">
        <v>14</v>
      </c>
      <c r="G346" s="529">
        <v>0</v>
      </c>
      <c r="H346" s="52">
        <f t="shared" si="8"/>
        <v>10626</v>
      </c>
    </row>
    <row r="347" spans="1:8" ht="15.75">
      <c r="A347" s="5"/>
      <c r="B347" s="528" t="s">
        <v>981</v>
      </c>
      <c r="C347" s="529" t="s">
        <v>150</v>
      </c>
      <c r="D347" s="529">
        <v>1100</v>
      </c>
      <c r="E347" s="529">
        <v>10</v>
      </c>
      <c r="F347" s="529">
        <v>2</v>
      </c>
      <c r="G347" s="529">
        <v>0</v>
      </c>
      <c r="H347" s="52">
        <f t="shared" si="8"/>
        <v>13200</v>
      </c>
    </row>
    <row r="348" spans="1:8" ht="15.75">
      <c r="A348" s="5"/>
      <c r="B348" s="528" t="s">
        <v>982</v>
      </c>
      <c r="C348" s="529" t="s">
        <v>150</v>
      </c>
      <c r="D348" s="529">
        <v>1100</v>
      </c>
      <c r="E348" s="529">
        <v>0</v>
      </c>
      <c r="F348" s="529">
        <v>14</v>
      </c>
      <c r="G348" s="529">
        <v>0</v>
      </c>
      <c r="H348" s="52">
        <f t="shared" si="8"/>
        <v>15400</v>
      </c>
    </row>
    <row r="349" spans="1:8" ht="15.75">
      <c r="A349" s="5"/>
      <c r="B349" s="528" t="s">
        <v>976</v>
      </c>
      <c r="C349" s="529" t="s">
        <v>150</v>
      </c>
      <c r="D349" s="529">
        <v>1100</v>
      </c>
      <c r="E349" s="529">
        <v>0</v>
      </c>
      <c r="F349" s="529">
        <v>4</v>
      </c>
      <c r="G349" s="529">
        <v>0</v>
      </c>
      <c r="H349" s="52">
        <f t="shared" si="8"/>
        <v>4400</v>
      </c>
    </row>
    <row r="350" spans="1:8" ht="15.75">
      <c r="A350" s="5"/>
      <c r="B350" s="528" t="s">
        <v>977</v>
      </c>
      <c r="C350" s="529" t="s">
        <v>150</v>
      </c>
      <c r="D350" s="529">
        <v>750</v>
      </c>
      <c r="E350" s="529">
        <v>100</v>
      </c>
      <c r="F350" s="529">
        <v>0</v>
      </c>
      <c r="G350" s="529">
        <v>0</v>
      </c>
      <c r="H350" s="52">
        <f t="shared" si="8"/>
        <v>75000</v>
      </c>
    </row>
    <row r="351" spans="1:8" ht="15.75">
      <c r="A351" s="5"/>
      <c r="B351" s="528" t="s">
        <v>978</v>
      </c>
      <c r="C351" s="529" t="s">
        <v>150</v>
      </c>
      <c r="D351" s="529">
        <v>850</v>
      </c>
      <c r="E351" s="529">
        <v>60</v>
      </c>
      <c r="F351" s="529">
        <v>0</v>
      </c>
      <c r="G351" s="529">
        <v>0</v>
      </c>
      <c r="H351" s="52">
        <f t="shared" si="8"/>
        <v>51000</v>
      </c>
    </row>
    <row r="352" spans="1:8" ht="15.75">
      <c r="A352" s="5"/>
      <c r="B352" s="528" t="s">
        <v>525</v>
      </c>
      <c r="C352" s="529" t="s">
        <v>150</v>
      </c>
      <c r="D352" s="529">
        <v>1000</v>
      </c>
      <c r="E352" s="529">
        <v>0</v>
      </c>
      <c r="F352" s="529">
        <v>15</v>
      </c>
      <c r="G352" s="529">
        <v>0</v>
      </c>
      <c r="H352" s="52">
        <f t="shared" si="8"/>
        <v>15000</v>
      </c>
    </row>
    <row r="353" spans="1:8" ht="15.75">
      <c r="A353" s="5"/>
      <c r="B353" s="528" t="s">
        <v>984</v>
      </c>
      <c r="C353" s="529" t="s">
        <v>150</v>
      </c>
      <c r="D353" s="529">
        <v>1000</v>
      </c>
      <c r="E353" s="529">
        <v>83</v>
      </c>
      <c r="F353" s="529">
        <v>0</v>
      </c>
      <c r="G353" s="529">
        <v>0</v>
      </c>
      <c r="H353" s="52">
        <f t="shared" si="8"/>
        <v>83000</v>
      </c>
    </row>
    <row r="354" spans="1:8" ht="15.75">
      <c r="A354" s="5"/>
      <c r="B354" s="528" t="s">
        <v>985</v>
      </c>
      <c r="C354" s="529" t="s">
        <v>150</v>
      </c>
      <c r="D354" s="529">
        <v>977</v>
      </c>
      <c r="E354" s="529">
        <v>8</v>
      </c>
      <c r="F354" s="529">
        <v>0</v>
      </c>
      <c r="G354" s="529">
        <v>0</v>
      </c>
      <c r="H354" s="52">
        <f t="shared" si="8"/>
        <v>7816</v>
      </c>
    </row>
    <row r="355" spans="1:8" ht="15.75">
      <c r="A355" s="5"/>
      <c r="B355" s="528" t="s">
        <v>988</v>
      </c>
      <c r="C355" s="529" t="s">
        <v>150</v>
      </c>
      <c r="D355" s="529">
        <v>765</v>
      </c>
      <c r="E355" s="529">
        <v>0</v>
      </c>
      <c r="F355" s="529">
        <v>87</v>
      </c>
      <c r="G355" s="529">
        <v>0</v>
      </c>
      <c r="H355" s="52">
        <f t="shared" si="8"/>
        <v>66555</v>
      </c>
    </row>
    <row r="356" spans="1:8" ht="15.75">
      <c r="A356" s="5"/>
      <c r="B356" s="528" t="s">
        <v>989</v>
      </c>
      <c r="C356" s="529" t="s">
        <v>150</v>
      </c>
      <c r="D356" s="529">
        <v>275</v>
      </c>
      <c r="E356" s="529">
        <v>100</v>
      </c>
      <c r="F356" s="529">
        <v>0</v>
      </c>
      <c r="G356" s="529">
        <v>0</v>
      </c>
      <c r="H356" s="52">
        <f t="shared" si="8"/>
        <v>27500</v>
      </c>
    </row>
    <row r="357" spans="1:8" ht="15.75">
      <c r="A357" s="5"/>
      <c r="B357" s="528" t="s">
        <v>285</v>
      </c>
      <c r="C357" s="529" t="s">
        <v>150</v>
      </c>
      <c r="D357" s="529">
        <v>920</v>
      </c>
      <c r="E357" s="529">
        <v>57</v>
      </c>
      <c r="F357" s="529">
        <v>0</v>
      </c>
      <c r="G357" s="529">
        <v>0</v>
      </c>
      <c r="H357" s="52">
        <f t="shared" si="8"/>
        <v>52440</v>
      </c>
    </row>
    <row r="358" spans="1:8" ht="15.75">
      <c r="A358" s="5"/>
      <c r="B358" s="528" t="s">
        <v>812</v>
      </c>
      <c r="C358" s="529" t="s">
        <v>150</v>
      </c>
      <c r="D358" s="529">
        <v>170</v>
      </c>
      <c r="E358" s="529">
        <v>0</v>
      </c>
      <c r="F358" s="529">
        <v>1</v>
      </c>
      <c r="G358" s="529">
        <v>0</v>
      </c>
      <c r="H358" s="52">
        <f t="shared" si="8"/>
        <v>170</v>
      </c>
    </row>
    <row r="359" spans="1:8" ht="15.75">
      <c r="A359" s="5"/>
      <c r="B359" s="528" t="s">
        <v>990</v>
      </c>
      <c r="C359" s="529" t="s">
        <v>150</v>
      </c>
      <c r="D359" s="529">
        <v>590</v>
      </c>
      <c r="E359" s="529">
        <v>0</v>
      </c>
      <c r="F359" s="529">
        <v>1</v>
      </c>
      <c r="G359" s="529">
        <v>0</v>
      </c>
      <c r="H359" s="52">
        <f t="shared" si="8"/>
        <v>590</v>
      </c>
    </row>
    <row r="360" spans="1:8" ht="15.75">
      <c r="A360" s="5"/>
      <c r="B360" s="528" t="s">
        <v>814</v>
      </c>
      <c r="C360" s="529" t="s">
        <v>150</v>
      </c>
      <c r="D360" s="529">
        <v>200</v>
      </c>
      <c r="E360" s="529">
        <v>0</v>
      </c>
      <c r="F360" s="529">
        <v>5</v>
      </c>
      <c r="G360" s="529">
        <v>0</v>
      </c>
      <c r="H360" s="52">
        <f t="shared" si="8"/>
        <v>1000</v>
      </c>
    </row>
    <row r="361" spans="1:8" ht="15.75">
      <c r="A361" s="5"/>
      <c r="B361" s="528" t="s">
        <v>1007</v>
      </c>
      <c r="C361" s="529" t="s">
        <v>150</v>
      </c>
      <c r="D361" s="529">
        <v>200</v>
      </c>
      <c r="E361" s="529">
        <v>0</v>
      </c>
      <c r="F361" s="529">
        <v>14</v>
      </c>
      <c r="G361" s="529">
        <v>0</v>
      </c>
      <c r="H361" s="52">
        <f t="shared" si="8"/>
        <v>2800</v>
      </c>
    </row>
    <row r="362" spans="1:8" ht="15.75">
      <c r="A362" s="5"/>
      <c r="B362" s="528" t="s">
        <v>993</v>
      </c>
      <c r="C362" s="529" t="s">
        <v>150</v>
      </c>
      <c r="D362" s="529">
        <v>210</v>
      </c>
      <c r="E362" s="529">
        <v>0</v>
      </c>
      <c r="F362" s="529">
        <v>32</v>
      </c>
      <c r="G362" s="529">
        <v>0</v>
      </c>
      <c r="H362" s="52">
        <f t="shared" si="8"/>
        <v>6720</v>
      </c>
    </row>
    <row r="363" spans="1:8" ht="15.75">
      <c r="A363" s="5"/>
      <c r="B363" s="528" t="s">
        <v>994</v>
      </c>
      <c r="C363" s="529" t="s">
        <v>150</v>
      </c>
      <c r="D363" s="529">
        <v>1150</v>
      </c>
      <c r="E363" s="529">
        <v>0</v>
      </c>
      <c r="F363" s="529">
        <v>1</v>
      </c>
      <c r="G363" s="529">
        <v>0</v>
      </c>
      <c r="H363" s="52">
        <f t="shared" si="8"/>
        <v>1150</v>
      </c>
    </row>
    <row r="364" spans="1:8" ht="15.75">
      <c r="A364" s="5"/>
      <c r="B364" s="528" t="s">
        <v>855</v>
      </c>
      <c r="C364" s="529" t="s">
        <v>150</v>
      </c>
      <c r="D364" s="529">
        <v>1005</v>
      </c>
      <c r="E364" s="529">
        <v>6</v>
      </c>
      <c r="F364" s="529">
        <v>0</v>
      </c>
      <c r="G364" s="529">
        <v>0</v>
      </c>
      <c r="H364" s="52">
        <f t="shared" si="8"/>
        <v>6030</v>
      </c>
    </row>
    <row r="365" spans="1:8" ht="15.75">
      <c r="A365" s="5"/>
      <c r="B365" s="528" t="s">
        <v>995</v>
      </c>
      <c r="C365" s="529" t="s">
        <v>150</v>
      </c>
      <c r="D365" s="529">
        <v>1200</v>
      </c>
      <c r="E365" s="529">
        <v>0</v>
      </c>
      <c r="F365" s="529">
        <v>11</v>
      </c>
      <c r="G365" s="529">
        <v>0</v>
      </c>
      <c r="H365" s="52">
        <f t="shared" si="8"/>
        <v>13200</v>
      </c>
    </row>
    <row r="366" spans="1:8" ht="15.75">
      <c r="A366" s="5"/>
      <c r="B366" s="528" t="s">
        <v>996</v>
      </c>
      <c r="C366" s="529" t="s">
        <v>150</v>
      </c>
      <c r="D366" s="529">
        <v>1100</v>
      </c>
      <c r="E366" s="529">
        <v>20</v>
      </c>
      <c r="F366" s="529">
        <v>12</v>
      </c>
      <c r="G366" s="529">
        <v>0</v>
      </c>
      <c r="H366" s="52">
        <f t="shared" si="8"/>
        <v>35200</v>
      </c>
    </row>
    <row r="367" spans="1:8" ht="15.75">
      <c r="A367" s="5"/>
      <c r="B367" s="528" t="s">
        <v>997</v>
      </c>
      <c r="C367" s="529" t="s">
        <v>150</v>
      </c>
      <c r="D367" s="529">
        <v>1100</v>
      </c>
      <c r="E367" s="529">
        <v>0</v>
      </c>
      <c r="F367" s="529">
        <v>9</v>
      </c>
      <c r="G367" s="529">
        <v>0</v>
      </c>
      <c r="H367" s="52">
        <f t="shared" si="8"/>
        <v>9900</v>
      </c>
    </row>
    <row r="368" spans="1:8" ht="15.75">
      <c r="A368" s="5"/>
      <c r="B368" s="528" t="s">
        <v>820</v>
      </c>
      <c r="C368" s="529" t="s">
        <v>150</v>
      </c>
      <c r="D368" s="529">
        <v>1194</v>
      </c>
      <c r="E368" s="529">
        <v>6</v>
      </c>
      <c r="F368" s="529">
        <v>1</v>
      </c>
      <c r="G368" s="529">
        <v>0</v>
      </c>
      <c r="H368" s="52">
        <f t="shared" si="8"/>
        <v>8358</v>
      </c>
    </row>
    <row r="369" ht="15.75"/>
    <row r="370" ht="15.75"/>
    <row r="371" ht="15.75"/>
    <row r="372" ht="15.75"/>
    <row r="373" ht="15.75"/>
    <row r="374" ht="15.75"/>
    <row r="375" ht="15.75"/>
    <row r="376" ht="15.75"/>
    <row r="377" ht="15.75"/>
    <row r="378" ht="15.75"/>
    <row r="379" ht="15.75"/>
    <row r="380" ht="15.75"/>
    <row r="381" ht="15.75"/>
    <row r="382" ht="15.75"/>
    <row r="383" ht="15.75"/>
    <row r="384" ht="15.75"/>
    <row r="385" ht="15.75"/>
    <row r="386" ht="15.75"/>
    <row r="387" ht="15.75"/>
    <row r="388" ht="15.75"/>
    <row r="389" ht="15.75"/>
    <row r="390" ht="15.75"/>
    <row r="450" ht="15.75"/>
    <row r="451" ht="15.75"/>
    <row r="472" ht="18.75" customHeight="1"/>
    <row r="473" ht="18.75" customHeight="1"/>
  </sheetData>
  <phoneticPr fontId="4"/>
  <pageMargins left="0.31496062992125984" right="0" top="0.74803149606299213" bottom="0" header="0.31496062992125984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FB658-E4EC-48E9-8F7B-4F134065E5C3}">
  <dimension ref="A1:H310"/>
  <sheetViews>
    <sheetView topLeftCell="A192" zoomScale="80" zoomScaleNormal="80" workbookViewId="0">
      <selection activeCell="L200" sqref="L200"/>
    </sheetView>
  </sheetViews>
  <sheetFormatPr defaultRowHeight="14.25"/>
  <cols>
    <col min="1" max="1" width="20.375" customWidth="1"/>
    <col min="2" max="2" width="29.375" customWidth="1"/>
    <col min="3" max="3" width="27.75" customWidth="1"/>
    <col min="4" max="4" width="9.5" customWidth="1"/>
    <col min="8" max="8" width="17.5" customWidth="1"/>
  </cols>
  <sheetData>
    <row r="1" spans="1:8">
      <c r="A1" s="275">
        <v>46053</v>
      </c>
    </row>
    <row r="2" spans="1:8" ht="21">
      <c r="A2" s="251" t="s">
        <v>0</v>
      </c>
      <c r="B2" s="252" t="s">
        <v>2</v>
      </c>
      <c r="C2" s="252" t="s">
        <v>1</v>
      </c>
      <c r="D2" s="253" t="s">
        <v>3</v>
      </c>
      <c r="E2" s="254" t="s">
        <v>4</v>
      </c>
      <c r="F2" s="254"/>
      <c r="G2" s="254"/>
      <c r="H2" s="255" t="s">
        <v>5</v>
      </c>
    </row>
    <row r="3" spans="1:8" ht="21">
      <c r="A3" s="256"/>
      <c r="B3" s="257"/>
      <c r="C3" s="257"/>
      <c r="D3" s="258"/>
      <c r="E3" s="259" t="s">
        <v>6</v>
      </c>
      <c r="F3" s="259" t="s">
        <v>665</v>
      </c>
      <c r="G3" s="260" t="s">
        <v>8</v>
      </c>
      <c r="H3" s="261">
        <f>SUM(H4:H97)</f>
        <v>1923889</v>
      </c>
    </row>
    <row r="4" spans="1:8">
      <c r="A4" s="132" t="s">
        <v>1008</v>
      </c>
      <c r="B4" s="129" t="s">
        <v>1009</v>
      </c>
      <c r="C4" s="130" t="s">
        <v>133</v>
      </c>
      <c r="D4" s="149">
        <v>1050</v>
      </c>
      <c r="E4" s="131">
        <v>0</v>
      </c>
      <c r="F4" s="131">
        <v>0</v>
      </c>
      <c r="G4" s="130">
        <v>4</v>
      </c>
      <c r="H4" s="152">
        <f t="shared" ref="H4:H26" si="0">D4*(E4+F4+G4)</f>
        <v>4200</v>
      </c>
    </row>
    <row r="5" spans="1:8">
      <c r="A5" s="41"/>
      <c r="B5" s="129" t="s">
        <v>1010</v>
      </c>
      <c r="C5" s="130" t="s">
        <v>133</v>
      </c>
      <c r="D5" s="149">
        <v>150</v>
      </c>
      <c r="E5" s="131">
        <v>0</v>
      </c>
      <c r="F5" s="131">
        <v>0</v>
      </c>
      <c r="G5" s="130">
        <v>126</v>
      </c>
      <c r="H5" s="152">
        <f t="shared" si="0"/>
        <v>18900</v>
      </c>
    </row>
    <row r="6" spans="1:8">
      <c r="A6" s="41"/>
      <c r="B6" s="129" t="s">
        <v>100</v>
      </c>
      <c r="C6" s="130" t="s">
        <v>133</v>
      </c>
      <c r="D6" s="149">
        <v>21970</v>
      </c>
      <c r="E6" s="131">
        <v>0</v>
      </c>
      <c r="F6" s="131">
        <v>0</v>
      </c>
      <c r="G6" s="130">
        <v>2</v>
      </c>
      <c r="H6" s="152">
        <f t="shared" si="0"/>
        <v>43940</v>
      </c>
    </row>
    <row r="7" spans="1:8">
      <c r="A7" s="41"/>
      <c r="B7" s="129" t="s">
        <v>85</v>
      </c>
      <c r="C7" s="130" t="s">
        <v>133</v>
      </c>
      <c r="D7" s="149">
        <v>5600</v>
      </c>
      <c r="E7" s="131">
        <v>0</v>
      </c>
      <c r="F7" s="131">
        <v>0</v>
      </c>
      <c r="G7" s="130">
        <v>4</v>
      </c>
      <c r="H7" s="152">
        <f t="shared" si="0"/>
        <v>22400</v>
      </c>
    </row>
    <row r="8" spans="1:8">
      <c r="A8" s="41"/>
      <c r="B8" s="129" t="s">
        <v>95</v>
      </c>
      <c r="C8" s="130" t="s">
        <v>133</v>
      </c>
      <c r="D8" s="149">
        <v>21970</v>
      </c>
      <c r="E8" s="131">
        <v>1</v>
      </c>
      <c r="F8" s="131">
        <v>0</v>
      </c>
      <c r="G8" s="130">
        <v>0</v>
      </c>
      <c r="H8" s="152">
        <f t="shared" si="0"/>
        <v>21970</v>
      </c>
    </row>
    <row r="9" spans="1:8">
      <c r="A9" s="41"/>
      <c r="B9" s="129" t="s">
        <v>1011</v>
      </c>
      <c r="C9" s="130" t="s">
        <v>133</v>
      </c>
      <c r="D9" s="149">
        <v>24440</v>
      </c>
      <c r="E9" s="131">
        <v>0</v>
      </c>
      <c r="F9" s="131">
        <v>0</v>
      </c>
      <c r="G9" s="130">
        <v>1</v>
      </c>
      <c r="H9" s="152">
        <f t="shared" si="0"/>
        <v>24440</v>
      </c>
    </row>
    <row r="10" spans="1:8">
      <c r="A10" s="41"/>
      <c r="B10" s="129" t="s">
        <v>1012</v>
      </c>
      <c r="C10" s="130" t="s">
        <v>1013</v>
      </c>
      <c r="D10" s="149">
        <v>3943</v>
      </c>
      <c r="E10" s="131">
        <v>0</v>
      </c>
      <c r="F10" s="131">
        <v>0</v>
      </c>
      <c r="G10" s="130">
        <v>1</v>
      </c>
      <c r="H10" s="152">
        <f t="shared" si="0"/>
        <v>3943</v>
      </c>
    </row>
    <row r="11" spans="1:8">
      <c r="A11" s="41"/>
      <c r="B11" s="129" t="s">
        <v>1014</v>
      </c>
      <c r="C11" s="130" t="s">
        <v>1013</v>
      </c>
      <c r="D11" s="149">
        <v>4579</v>
      </c>
      <c r="E11" s="131">
        <v>0</v>
      </c>
      <c r="F11" s="131">
        <v>0</v>
      </c>
      <c r="G11" s="130">
        <v>1</v>
      </c>
      <c r="H11" s="152">
        <f t="shared" si="0"/>
        <v>4579</v>
      </c>
    </row>
    <row r="12" spans="1:8">
      <c r="A12" s="41"/>
      <c r="B12" s="129" t="s">
        <v>1015</v>
      </c>
      <c r="C12" s="130" t="s">
        <v>133</v>
      </c>
      <c r="D12" s="149">
        <v>4999</v>
      </c>
      <c r="E12" s="131">
        <v>0</v>
      </c>
      <c r="F12" s="131">
        <v>0</v>
      </c>
      <c r="G12" s="130">
        <v>1</v>
      </c>
      <c r="H12" s="152">
        <f t="shared" si="0"/>
        <v>4999</v>
      </c>
    </row>
    <row r="13" spans="1:8">
      <c r="A13" s="41"/>
      <c r="B13" s="129" t="s">
        <v>1016</v>
      </c>
      <c r="C13" s="130" t="s">
        <v>133</v>
      </c>
      <c r="D13" s="149">
        <v>14256</v>
      </c>
      <c r="E13" s="131">
        <v>0</v>
      </c>
      <c r="F13" s="131">
        <v>0</v>
      </c>
      <c r="G13" s="130">
        <v>1</v>
      </c>
      <c r="H13" s="152">
        <f t="shared" si="0"/>
        <v>14256</v>
      </c>
    </row>
    <row r="14" spans="1:8">
      <c r="A14" s="41"/>
      <c r="B14" s="79"/>
      <c r="C14" s="41"/>
      <c r="D14" s="151"/>
      <c r="E14" s="80"/>
      <c r="F14" s="80"/>
      <c r="G14" s="41"/>
      <c r="H14" s="155">
        <f t="shared" si="0"/>
        <v>0</v>
      </c>
    </row>
    <row r="15" spans="1:8">
      <c r="A15" s="119" t="s">
        <v>1017</v>
      </c>
      <c r="B15" s="120" t="s">
        <v>1009</v>
      </c>
      <c r="C15" s="119" t="s">
        <v>1018</v>
      </c>
      <c r="D15" s="150">
        <v>1050</v>
      </c>
      <c r="E15" s="121">
        <v>0</v>
      </c>
      <c r="F15" s="121">
        <v>0</v>
      </c>
      <c r="G15" s="119">
        <v>8</v>
      </c>
      <c r="H15" s="154">
        <f t="shared" si="0"/>
        <v>8400</v>
      </c>
    </row>
    <row r="16" spans="1:8" ht="15.75">
      <c r="A16" s="41"/>
      <c r="B16" s="170" t="s">
        <v>1019</v>
      </c>
      <c r="C16" s="171" t="s">
        <v>1018</v>
      </c>
      <c r="D16" s="171">
        <v>450</v>
      </c>
      <c r="E16" s="171">
        <v>200</v>
      </c>
      <c r="F16" s="171">
        <v>0</v>
      </c>
      <c r="G16" s="171">
        <v>180</v>
      </c>
      <c r="H16" s="154">
        <f t="shared" si="0"/>
        <v>171000</v>
      </c>
    </row>
    <row r="17" spans="1:8">
      <c r="A17" s="41"/>
      <c r="B17" s="172" t="s">
        <v>152</v>
      </c>
      <c r="C17" s="173" t="s">
        <v>1018</v>
      </c>
      <c r="D17" s="173">
        <v>72930</v>
      </c>
      <c r="E17" s="173">
        <v>0</v>
      </c>
      <c r="F17" s="173">
        <v>0</v>
      </c>
      <c r="G17" s="173">
        <v>1</v>
      </c>
      <c r="H17" s="154">
        <f t="shared" si="0"/>
        <v>72930</v>
      </c>
    </row>
    <row r="18" spans="1:8" ht="15.75">
      <c r="A18" s="41"/>
      <c r="B18" s="174" t="s">
        <v>112</v>
      </c>
      <c r="C18" s="173" t="s">
        <v>1018</v>
      </c>
      <c r="D18" s="173">
        <v>34800</v>
      </c>
      <c r="E18" s="173">
        <v>0</v>
      </c>
      <c r="F18" s="173">
        <v>0</v>
      </c>
      <c r="G18" s="173">
        <v>1</v>
      </c>
      <c r="H18" s="154">
        <f t="shared" si="0"/>
        <v>34800</v>
      </c>
    </row>
    <row r="19" spans="1:8" ht="15.75">
      <c r="A19" s="41"/>
      <c r="B19" s="174" t="s">
        <v>1020</v>
      </c>
      <c r="C19" s="173" t="s">
        <v>1018</v>
      </c>
      <c r="D19" s="173">
        <v>21970</v>
      </c>
      <c r="E19" s="173">
        <v>0</v>
      </c>
      <c r="F19" s="173">
        <v>0</v>
      </c>
      <c r="G19" s="173">
        <v>2</v>
      </c>
      <c r="H19" s="154">
        <f t="shared" si="0"/>
        <v>43940</v>
      </c>
    </row>
    <row r="20" spans="1:8" ht="29.25">
      <c r="A20" s="194"/>
      <c r="B20" s="174" t="s">
        <v>1021</v>
      </c>
      <c r="C20" s="173" t="s">
        <v>1018</v>
      </c>
      <c r="D20" s="173">
        <v>6498</v>
      </c>
      <c r="E20" s="173">
        <v>0</v>
      </c>
      <c r="F20" s="173">
        <v>0</v>
      </c>
      <c r="G20" s="173">
        <v>1</v>
      </c>
      <c r="H20" s="153">
        <f t="shared" si="0"/>
        <v>6498</v>
      </c>
    </row>
    <row r="21" spans="1:8" ht="15.75">
      <c r="A21" s="41"/>
      <c r="B21" s="174" t="s">
        <v>1022</v>
      </c>
      <c r="C21" s="173" t="s">
        <v>1018</v>
      </c>
      <c r="D21" s="173">
        <v>36842</v>
      </c>
      <c r="E21" s="173">
        <v>0</v>
      </c>
      <c r="F21" s="173">
        <v>0</v>
      </c>
      <c r="G21" s="175">
        <v>1</v>
      </c>
      <c r="H21" s="153">
        <f t="shared" si="0"/>
        <v>36842</v>
      </c>
    </row>
    <row r="22" spans="1:8" ht="15.75">
      <c r="A22" s="41"/>
      <c r="B22" s="174" t="s">
        <v>1023</v>
      </c>
      <c r="C22" s="173" t="s">
        <v>1018</v>
      </c>
      <c r="D22" s="173">
        <v>5148</v>
      </c>
      <c r="E22" s="173">
        <v>0</v>
      </c>
      <c r="F22" s="173">
        <v>0</v>
      </c>
      <c r="G22" s="171">
        <v>1</v>
      </c>
      <c r="H22" s="153">
        <f t="shared" si="0"/>
        <v>5148</v>
      </c>
    </row>
    <row r="23" spans="1:8" ht="15.75">
      <c r="A23" s="41"/>
      <c r="B23" s="174" t="s">
        <v>1024</v>
      </c>
      <c r="C23" s="173" t="s">
        <v>1018</v>
      </c>
      <c r="D23" s="173">
        <v>38000</v>
      </c>
      <c r="E23" s="173">
        <v>0</v>
      </c>
      <c r="F23" s="173">
        <v>0</v>
      </c>
      <c r="G23" s="173">
        <v>2</v>
      </c>
      <c r="H23" s="153">
        <f t="shared" si="0"/>
        <v>76000</v>
      </c>
    </row>
    <row r="24" spans="1:8" ht="15.75">
      <c r="A24" s="41"/>
      <c r="B24" s="174" t="s">
        <v>1025</v>
      </c>
      <c r="C24" s="173" t="s">
        <v>1018</v>
      </c>
      <c r="D24" s="173">
        <v>30000</v>
      </c>
      <c r="E24" s="173">
        <v>0</v>
      </c>
      <c r="F24" s="173">
        <v>0</v>
      </c>
      <c r="G24" s="173">
        <v>1</v>
      </c>
      <c r="H24" s="153">
        <f t="shared" si="0"/>
        <v>30000</v>
      </c>
    </row>
    <row r="25" spans="1:8" ht="15.75">
      <c r="A25" s="41"/>
      <c r="B25" s="174" t="s">
        <v>1026</v>
      </c>
      <c r="C25" s="173" t="s">
        <v>1018</v>
      </c>
      <c r="D25" s="173">
        <v>5380</v>
      </c>
      <c r="E25" s="173">
        <v>0</v>
      </c>
      <c r="F25" s="173">
        <v>0</v>
      </c>
      <c r="G25" s="173">
        <v>1</v>
      </c>
      <c r="H25" s="153">
        <f t="shared" si="0"/>
        <v>5380</v>
      </c>
    </row>
    <row r="26" spans="1:8" ht="15.75">
      <c r="A26" s="41"/>
      <c r="B26" s="174" t="s">
        <v>1027</v>
      </c>
      <c r="C26" s="173" t="s">
        <v>1018</v>
      </c>
      <c r="D26" s="173">
        <v>29800</v>
      </c>
      <c r="E26" s="173">
        <v>0</v>
      </c>
      <c r="F26" s="173">
        <v>0</v>
      </c>
      <c r="G26" s="173">
        <v>1</v>
      </c>
      <c r="H26" s="153">
        <f t="shared" si="0"/>
        <v>29800</v>
      </c>
    </row>
    <row r="27" spans="1:8" ht="15.75">
      <c r="A27" s="41"/>
      <c r="B27" s="174" t="s">
        <v>1028</v>
      </c>
      <c r="C27" s="173" t="s">
        <v>1018</v>
      </c>
      <c r="D27" s="173">
        <v>23000</v>
      </c>
      <c r="E27" s="173">
        <v>0</v>
      </c>
      <c r="F27" s="173">
        <v>0</v>
      </c>
      <c r="G27" s="173">
        <v>1</v>
      </c>
      <c r="H27" s="153">
        <f>D27*(E27+F27+G27)</f>
        <v>23000</v>
      </c>
    </row>
    <row r="28" spans="1:8" ht="15.75">
      <c r="A28" s="41"/>
      <c r="B28" s="174" t="s">
        <v>1029</v>
      </c>
      <c r="C28" s="173" t="s">
        <v>1018</v>
      </c>
      <c r="D28" s="173">
        <v>3480</v>
      </c>
      <c r="E28" s="173">
        <v>0</v>
      </c>
      <c r="F28" s="173">
        <v>0</v>
      </c>
      <c r="G28" s="173">
        <v>1</v>
      </c>
      <c r="H28" s="153">
        <f t="shared" ref="H28:H49" si="1">D28*(E28+F28+G28)</f>
        <v>3480</v>
      </c>
    </row>
    <row r="29" spans="1:8" ht="15.75">
      <c r="A29" s="41"/>
      <c r="B29" s="174" t="s">
        <v>1030</v>
      </c>
      <c r="C29" s="173" t="s">
        <v>1018</v>
      </c>
      <c r="D29" s="173">
        <v>9245</v>
      </c>
      <c r="E29" s="173">
        <v>0</v>
      </c>
      <c r="F29" s="173">
        <v>0</v>
      </c>
      <c r="G29" s="173">
        <v>1</v>
      </c>
      <c r="H29" s="153">
        <f t="shared" si="1"/>
        <v>9245</v>
      </c>
    </row>
    <row r="30" spans="1:8" ht="15.75">
      <c r="A30" s="48"/>
      <c r="B30" s="174" t="s">
        <v>1031</v>
      </c>
      <c r="C30" s="173" t="s">
        <v>1018</v>
      </c>
      <c r="D30" s="173">
        <v>11000</v>
      </c>
      <c r="E30" s="173">
        <v>0</v>
      </c>
      <c r="F30" s="173">
        <v>0</v>
      </c>
      <c r="G30" s="173">
        <v>1</v>
      </c>
      <c r="H30" s="153">
        <f t="shared" si="1"/>
        <v>11000</v>
      </c>
    </row>
    <row r="31" spans="1:8" ht="15.75">
      <c r="A31" s="41"/>
      <c r="B31" s="174" t="s">
        <v>1032</v>
      </c>
      <c r="C31" s="173" t="s">
        <v>1018</v>
      </c>
      <c r="D31" s="173">
        <v>12000</v>
      </c>
      <c r="E31" s="173">
        <v>0</v>
      </c>
      <c r="F31" s="173">
        <v>0</v>
      </c>
      <c r="G31" s="173">
        <v>1</v>
      </c>
      <c r="H31" s="153">
        <f t="shared" si="1"/>
        <v>12000</v>
      </c>
    </row>
    <row r="32" spans="1:8" ht="15.75">
      <c r="A32" s="41"/>
      <c r="B32" s="174" t="s">
        <v>1012</v>
      </c>
      <c r="C32" s="173" t="s">
        <v>1018</v>
      </c>
      <c r="D32" s="173">
        <v>3943</v>
      </c>
      <c r="E32" s="173">
        <v>6</v>
      </c>
      <c r="F32" s="173">
        <v>0</v>
      </c>
      <c r="G32" s="173">
        <v>2</v>
      </c>
      <c r="H32" s="153">
        <f t="shared" si="1"/>
        <v>31544</v>
      </c>
    </row>
    <row r="33" spans="1:8" ht="15.75">
      <c r="A33" s="41"/>
      <c r="B33" s="174" t="s">
        <v>1014</v>
      </c>
      <c r="C33" s="173" t="s">
        <v>1018</v>
      </c>
      <c r="D33" s="173">
        <v>4579</v>
      </c>
      <c r="E33" s="173">
        <v>1</v>
      </c>
      <c r="F33" s="173">
        <v>0</v>
      </c>
      <c r="G33" s="173">
        <v>2</v>
      </c>
      <c r="H33" s="153">
        <f t="shared" si="1"/>
        <v>13737</v>
      </c>
    </row>
    <row r="34" spans="1:8">
      <c r="A34" s="41"/>
      <c r="B34" s="173" t="s">
        <v>1033</v>
      </c>
      <c r="C34" s="173"/>
      <c r="D34" s="173">
        <v>70000</v>
      </c>
      <c r="E34" s="173">
        <v>1</v>
      </c>
      <c r="F34" s="173">
        <v>0</v>
      </c>
      <c r="G34" s="173">
        <v>0</v>
      </c>
      <c r="H34" s="154">
        <f>D34*(E34+F34+G34)</f>
        <v>70000</v>
      </c>
    </row>
    <row r="35" spans="1:8">
      <c r="A35" s="41"/>
      <c r="B35" s="79"/>
      <c r="C35" s="41"/>
      <c r="D35" s="151"/>
      <c r="E35" s="80"/>
      <c r="F35" s="80"/>
      <c r="G35" s="41"/>
      <c r="H35" s="155">
        <f t="shared" si="1"/>
        <v>0</v>
      </c>
    </row>
    <row r="36" spans="1:8" ht="15">
      <c r="A36" s="176" t="s">
        <v>1034</v>
      </c>
      <c r="B36" s="123" t="s">
        <v>52</v>
      </c>
      <c r="C36" s="122" t="s">
        <v>1035</v>
      </c>
      <c r="D36" s="124">
        <v>1050</v>
      </c>
      <c r="E36" s="124">
        <v>0</v>
      </c>
      <c r="F36" s="124">
        <v>0</v>
      </c>
      <c r="G36" s="122">
        <v>7</v>
      </c>
      <c r="H36" s="156">
        <f t="shared" si="1"/>
        <v>7350</v>
      </c>
    </row>
    <row r="37" spans="1:8">
      <c r="A37" s="41"/>
      <c r="B37" s="123" t="s">
        <v>1036</v>
      </c>
      <c r="C37" s="122" t="s">
        <v>1035</v>
      </c>
      <c r="D37" s="124">
        <v>150</v>
      </c>
      <c r="E37" s="124">
        <v>100</v>
      </c>
      <c r="F37" s="124">
        <v>0</v>
      </c>
      <c r="G37" s="122">
        <v>142</v>
      </c>
      <c r="H37" s="156">
        <f t="shared" si="1"/>
        <v>36300</v>
      </c>
    </row>
    <row r="38" spans="1:8">
      <c r="A38" s="179"/>
      <c r="B38" s="123" t="s">
        <v>1037</v>
      </c>
      <c r="C38" s="122" t="s">
        <v>1035</v>
      </c>
      <c r="D38" s="124">
        <v>12200</v>
      </c>
      <c r="E38" s="124">
        <v>0</v>
      </c>
      <c r="F38" s="124">
        <v>0</v>
      </c>
      <c r="G38" s="122">
        <v>1</v>
      </c>
      <c r="H38" s="156">
        <f t="shared" si="1"/>
        <v>12200</v>
      </c>
    </row>
    <row r="39" spans="1:8">
      <c r="A39" s="41"/>
      <c r="B39" s="123" t="s">
        <v>1038</v>
      </c>
      <c r="C39" s="122" t="s">
        <v>1035</v>
      </c>
      <c r="D39" s="124">
        <v>7880</v>
      </c>
      <c r="E39" s="124">
        <v>0</v>
      </c>
      <c r="F39" s="124">
        <v>0</v>
      </c>
      <c r="G39" s="122">
        <v>1</v>
      </c>
      <c r="H39" s="156">
        <f t="shared" si="1"/>
        <v>7880</v>
      </c>
    </row>
    <row r="40" spans="1:8">
      <c r="A40" s="41"/>
      <c r="B40" s="123" t="s">
        <v>1039</v>
      </c>
      <c r="C40" s="122" t="s">
        <v>1035</v>
      </c>
      <c r="D40" s="124">
        <v>864</v>
      </c>
      <c r="E40" s="124">
        <v>0</v>
      </c>
      <c r="F40" s="124">
        <v>3</v>
      </c>
      <c r="G40" s="122">
        <v>0</v>
      </c>
      <c r="H40" s="156">
        <f t="shared" si="1"/>
        <v>2592</v>
      </c>
    </row>
    <row r="41" spans="1:8">
      <c r="A41" s="41"/>
      <c r="B41" s="123" t="s">
        <v>1040</v>
      </c>
      <c r="C41" s="122" t="s">
        <v>1035</v>
      </c>
      <c r="D41" s="124">
        <v>9878</v>
      </c>
      <c r="E41" s="124">
        <v>0</v>
      </c>
      <c r="F41" s="124">
        <v>0</v>
      </c>
      <c r="G41" s="122">
        <v>1</v>
      </c>
      <c r="H41" s="156">
        <f t="shared" si="1"/>
        <v>9878</v>
      </c>
    </row>
    <row r="42" spans="1:8">
      <c r="A42" s="41"/>
      <c r="B42" s="123" t="s">
        <v>1041</v>
      </c>
      <c r="C42" s="122" t="s">
        <v>1035</v>
      </c>
      <c r="D42" s="124">
        <v>11000</v>
      </c>
      <c r="E42" s="124">
        <v>0</v>
      </c>
      <c r="F42" s="124">
        <v>0</v>
      </c>
      <c r="G42" s="122">
        <v>1</v>
      </c>
      <c r="H42" s="156">
        <f t="shared" si="1"/>
        <v>11000</v>
      </c>
    </row>
    <row r="43" spans="1:8">
      <c r="A43" s="41"/>
      <c r="B43" s="123" t="s">
        <v>1042</v>
      </c>
      <c r="C43" s="122" t="s">
        <v>1035</v>
      </c>
      <c r="D43" s="124">
        <v>22980</v>
      </c>
      <c r="E43" s="124">
        <v>0</v>
      </c>
      <c r="F43" s="124">
        <v>0</v>
      </c>
      <c r="G43" s="122">
        <v>1</v>
      </c>
      <c r="H43" s="156">
        <f t="shared" si="1"/>
        <v>22980</v>
      </c>
    </row>
    <row r="44" spans="1:8">
      <c r="A44" s="41"/>
      <c r="B44" s="123" t="s">
        <v>1015</v>
      </c>
      <c r="C44" s="122" t="s">
        <v>1035</v>
      </c>
      <c r="D44" s="124">
        <v>2490</v>
      </c>
      <c r="E44" s="124">
        <v>0</v>
      </c>
      <c r="F44" s="124">
        <v>0</v>
      </c>
      <c r="G44" s="122">
        <v>1</v>
      </c>
      <c r="H44" s="156">
        <f t="shared" si="1"/>
        <v>2490</v>
      </c>
    </row>
    <row r="45" spans="1:8">
      <c r="A45" s="41"/>
      <c r="B45" s="123" t="s">
        <v>1043</v>
      </c>
      <c r="C45" s="122" t="s">
        <v>1035</v>
      </c>
      <c r="D45" s="124">
        <v>6441</v>
      </c>
      <c r="E45" s="124">
        <v>0</v>
      </c>
      <c r="F45" s="124">
        <v>0</v>
      </c>
      <c r="G45" s="122">
        <v>1</v>
      </c>
      <c r="H45" s="156">
        <f t="shared" si="1"/>
        <v>6441</v>
      </c>
    </row>
    <row r="46" spans="1:8">
      <c r="A46" s="41"/>
      <c r="B46" s="123" t="s">
        <v>1044</v>
      </c>
      <c r="C46" s="122" t="s">
        <v>1035</v>
      </c>
      <c r="D46" s="124">
        <v>7400</v>
      </c>
      <c r="E46" s="124">
        <v>0</v>
      </c>
      <c r="F46" s="124">
        <v>0</v>
      </c>
      <c r="G46" s="122">
        <v>1</v>
      </c>
      <c r="H46" s="156">
        <f t="shared" si="1"/>
        <v>7400</v>
      </c>
    </row>
    <row r="47" spans="1:8">
      <c r="A47" s="41"/>
      <c r="B47" s="123" t="s">
        <v>1045</v>
      </c>
      <c r="C47" s="122" t="s">
        <v>1035</v>
      </c>
      <c r="D47" s="124">
        <v>3943</v>
      </c>
      <c r="E47" s="124">
        <v>0</v>
      </c>
      <c r="F47" s="124">
        <v>0</v>
      </c>
      <c r="G47" s="122">
        <v>1</v>
      </c>
      <c r="H47" s="156">
        <f t="shared" si="1"/>
        <v>3943</v>
      </c>
    </row>
    <row r="48" spans="1:8">
      <c r="A48" s="41"/>
      <c r="B48" s="123" t="s">
        <v>1046</v>
      </c>
      <c r="C48" s="122" t="s">
        <v>1035</v>
      </c>
      <c r="D48" s="124">
        <v>4579</v>
      </c>
      <c r="E48" s="124">
        <v>0</v>
      </c>
      <c r="F48" s="124">
        <v>0</v>
      </c>
      <c r="G48" s="122">
        <v>1</v>
      </c>
      <c r="H48" s="156">
        <f t="shared" si="1"/>
        <v>4579</v>
      </c>
    </row>
    <row r="49" spans="1:8">
      <c r="A49" s="41"/>
      <c r="B49" s="177" t="s">
        <v>1047</v>
      </c>
      <c r="C49" s="195" t="s">
        <v>633</v>
      </c>
      <c r="D49" s="178">
        <v>5980</v>
      </c>
      <c r="E49" s="178">
        <v>1</v>
      </c>
      <c r="F49" s="178">
        <v>0</v>
      </c>
      <c r="G49" s="178">
        <v>0</v>
      </c>
      <c r="H49" s="156">
        <f t="shared" si="1"/>
        <v>5980</v>
      </c>
    </row>
    <row r="50" spans="1:8">
      <c r="A50" s="41"/>
      <c r="B50" s="216"/>
      <c r="C50" s="217"/>
      <c r="D50" s="218"/>
      <c r="E50" s="218"/>
      <c r="F50" s="218"/>
      <c r="G50" s="218"/>
      <c r="H50" s="155">
        <f>D50*(E50+F50+G50)</f>
        <v>0</v>
      </c>
    </row>
    <row r="51" spans="1:8" ht="21.75" customHeight="1">
      <c r="A51" s="203" t="s">
        <v>1048</v>
      </c>
      <c r="B51" s="196" t="s">
        <v>1049</v>
      </c>
      <c r="C51" s="197" t="s">
        <v>1050</v>
      </c>
      <c r="D51" s="198">
        <v>450</v>
      </c>
      <c r="E51" s="198">
        <v>0</v>
      </c>
      <c r="F51" s="198">
        <v>0</v>
      </c>
      <c r="G51" s="198">
        <v>235</v>
      </c>
      <c r="H51" s="199">
        <f>D51*(E51+F51+G51)</f>
        <v>105750</v>
      </c>
    </row>
    <row r="52" spans="1:8" ht="18.75" customHeight="1">
      <c r="A52" s="41"/>
      <c r="B52" s="200" t="s">
        <v>1051</v>
      </c>
      <c r="C52" s="197" t="s">
        <v>1050</v>
      </c>
      <c r="D52" s="201">
        <v>6580</v>
      </c>
      <c r="E52" s="201">
        <v>0</v>
      </c>
      <c r="F52" s="201">
        <v>0</v>
      </c>
      <c r="G52" s="201">
        <v>1</v>
      </c>
      <c r="H52" s="199">
        <f>D52*(E52+F52+G52)</f>
        <v>6580</v>
      </c>
    </row>
    <row r="53" spans="1:8" ht="20.25" customHeight="1">
      <c r="A53" s="41"/>
      <c r="B53" s="200" t="s">
        <v>1052</v>
      </c>
      <c r="C53" s="197" t="s">
        <v>1050</v>
      </c>
      <c r="D53" s="201">
        <v>7990</v>
      </c>
      <c r="E53" s="201">
        <v>0</v>
      </c>
      <c r="F53" s="201">
        <v>0</v>
      </c>
      <c r="G53" s="201">
        <v>1</v>
      </c>
      <c r="H53" s="199">
        <f t="shared" ref="H53:H55" si="2">D53*(E53+F53+G53)</f>
        <v>7990</v>
      </c>
    </row>
    <row r="54" spans="1:8" ht="20.25" customHeight="1">
      <c r="A54" s="41"/>
      <c r="B54" s="200" t="s">
        <v>1053</v>
      </c>
      <c r="C54" s="197" t="s">
        <v>1050</v>
      </c>
      <c r="D54" s="201">
        <v>17380</v>
      </c>
      <c r="E54" s="201">
        <v>0</v>
      </c>
      <c r="F54" s="201">
        <v>0</v>
      </c>
      <c r="G54" s="201">
        <v>1</v>
      </c>
      <c r="H54" s="199">
        <f t="shared" si="2"/>
        <v>17380</v>
      </c>
    </row>
    <row r="55" spans="1:8" ht="24.75" customHeight="1">
      <c r="A55" s="41"/>
      <c r="B55" s="200" t="s">
        <v>1054</v>
      </c>
      <c r="C55" s="197" t="s">
        <v>1050</v>
      </c>
      <c r="D55" s="201">
        <v>12875</v>
      </c>
      <c r="E55" s="201">
        <v>0</v>
      </c>
      <c r="F55" s="201">
        <v>0</v>
      </c>
      <c r="G55" s="201">
        <v>1</v>
      </c>
      <c r="H55" s="199">
        <f t="shared" si="2"/>
        <v>12875</v>
      </c>
    </row>
    <row r="56" spans="1:8" ht="21.75" customHeight="1">
      <c r="A56" s="41"/>
      <c r="B56" s="200" t="s">
        <v>1055</v>
      </c>
      <c r="C56" s="197" t="s">
        <v>1050</v>
      </c>
      <c r="D56" s="201">
        <v>8800</v>
      </c>
      <c r="E56" s="201">
        <v>0</v>
      </c>
      <c r="F56" s="201">
        <v>0</v>
      </c>
      <c r="G56" s="201">
        <v>1</v>
      </c>
      <c r="H56" s="199">
        <f>D56*(E56+F56+G56)</f>
        <v>8800</v>
      </c>
    </row>
    <row r="57" spans="1:8" ht="15.75">
      <c r="A57" s="41"/>
      <c r="B57" s="200" t="s">
        <v>1056</v>
      </c>
      <c r="C57" s="197" t="s">
        <v>1050</v>
      </c>
      <c r="D57" s="201">
        <v>23000</v>
      </c>
      <c r="E57" s="201">
        <v>0</v>
      </c>
      <c r="F57" s="201">
        <v>0</v>
      </c>
      <c r="G57" s="201">
        <v>1</v>
      </c>
      <c r="H57" s="199">
        <f>D57*(E57+F57+G57)</f>
        <v>23000</v>
      </c>
    </row>
    <row r="58" spans="1:8" ht="15.75">
      <c r="A58" s="41"/>
      <c r="B58" s="200" t="s">
        <v>1012</v>
      </c>
      <c r="C58" s="197" t="s">
        <v>1050</v>
      </c>
      <c r="D58" s="201">
        <v>3943</v>
      </c>
      <c r="E58" s="201">
        <v>0</v>
      </c>
      <c r="F58" s="201">
        <v>0</v>
      </c>
      <c r="G58" s="201">
        <v>2</v>
      </c>
      <c r="H58" s="199">
        <f t="shared" ref="H58:H60" si="3">D58*(E58+F58+G58)</f>
        <v>7886</v>
      </c>
    </row>
    <row r="59" spans="1:8" ht="15.75">
      <c r="A59" s="41"/>
      <c r="B59" s="202" t="s">
        <v>1014</v>
      </c>
      <c r="C59" s="197" t="s">
        <v>1050</v>
      </c>
      <c r="D59" s="204">
        <v>4579</v>
      </c>
      <c r="E59" s="205">
        <v>0</v>
      </c>
      <c r="F59" s="205">
        <v>0</v>
      </c>
      <c r="G59" s="203">
        <v>2</v>
      </c>
      <c r="H59" s="199">
        <f t="shared" si="3"/>
        <v>9158</v>
      </c>
    </row>
    <row r="60" spans="1:8" ht="15.75">
      <c r="A60" s="41"/>
      <c r="B60" s="200" t="s">
        <v>1057</v>
      </c>
      <c r="C60" s="197" t="s">
        <v>1050</v>
      </c>
      <c r="D60" s="201">
        <v>8228</v>
      </c>
      <c r="E60" s="201">
        <v>0</v>
      </c>
      <c r="F60" s="201">
        <v>0</v>
      </c>
      <c r="G60" s="201">
        <v>1</v>
      </c>
      <c r="H60" s="199">
        <f t="shared" si="3"/>
        <v>8228</v>
      </c>
    </row>
    <row r="61" spans="1:8" ht="15.75">
      <c r="A61" s="41"/>
      <c r="B61" s="200" t="s">
        <v>1058</v>
      </c>
      <c r="C61" s="197" t="s">
        <v>1050</v>
      </c>
      <c r="D61" s="201">
        <v>6180</v>
      </c>
      <c r="E61" s="201">
        <v>0</v>
      </c>
      <c r="F61" s="201">
        <v>0</v>
      </c>
      <c r="G61" s="201">
        <v>1</v>
      </c>
      <c r="H61" s="199">
        <f>D61*(E61+F61+G61)</f>
        <v>6180</v>
      </c>
    </row>
    <row r="62" spans="1:8" ht="15.75">
      <c r="A62" s="41"/>
      <c r="B62" s="200" t="s">
        <v>1059</v>
      </c>
      <c r="C62" s="197" t="s">
        <v>1050</v>
      </c>
      <c r="D62" s="201">
        <v>3850</v>
      </c>
      <c r="E62" s="201">
        <v>0</v>
      </c>
      <c r="F62" s="201">
        <v>0</v>
      </c>
      <c r="G62" s="201">
        <v>1</v>
      </c>
      <c r="H62" s="199">
        <f>D62*(E62+F62+G62)</f>
        <v>3850</v>
      </c>
    </row>
    <row r="63" spans="1:8" ht="15.75">
      <c r="A63" s="41"/>
      <c r="B63" s="200" t="s">
        <v>1060</v>
      </c>
      <c r="C63" s="197" t="s">
        <v>1050</v>
      </c>
      <c r="D63" s="201">
        <v>28111</v>
      </c>
      <c r="E63" s="201">
        <v>0</v>
      </c>
      <c r="F63" s="201">
        <v>0</v>
      </c>
      <c r="G63" s="201">
        <v>1</v>
      </c>
      <c r="H63" s="199">
        <f t="shared" ref="H63:H65" si="4">D63*(E63+F63+G63)</f>
        <v>28111</v>
      </c>
    </row>
    <row r="64" spans="1:8" ht="15.75">
      <c r="A64" s="41"/>
      <c r="B64" s="202" t="s">
        <v>1061</v>
      </c>
      <c r="C64" s="197" t="s">
        <v>1050</v>
      </c>
      <c r="D64" s="204">
        <v>28800</v>
      </c>
      <c r="E64" s="205">
        <v>0</v>
      </c>
      <c r="F64" s="205">
        <v>0</v>
      </c>
      <c r="G64" s="203">
        <v>1</v>
      </c>
      <c r="H64" s="199">
        <f t="shared" si="4"/>
        <v>28800</v>
      </c>
    </row>
    <row r="65" spans="1:8" ht="15.75">
      <c r="A65" s="41"/>
      <c r="B65" s="200" t="s">
        <v>1062</v>
      </c>
      <c r="C65" s="197" t="s">
        <v>1050</v>
      </c>
      <c r="D65" s="201">
        <v>14272</v>
      </c>
      <c r="E65" s="201">
        <v>0</v>
      </c>
      <c r="F65" s="201">
        <v>0</v>
      </c>
      <c r="G65" s="201">
        <v>1</v>
      </c>
      <c r="H65" s="199">
        <f t="shared" si="4"/>
        <v>14272</v>
      </c>
    </row>
    <row r="66" spans="1:8" ht="15.75">
      <c r="A66" s="41"/>
      <c r="B66" s="200" t="s">
        <v>1063</v>
      </c>
      <c r="C66" s="197" t="s">
        <v>1050</v>
      </c>
      <c r="D66" s="201">
        <v>17999</v>
      </c>
      <c r="E66" s="201">
        <v>0</v>
      </c>
      <c r="F66" s="201">
        <v>0</v>
      </c>
      <c r="G66" s="201">
        <v>1</v>
      </c>
      <c r="H66" s="199">
        <f>D66*(E66+F66+G66)</f>
        <v>17999</v>
      </c>
    </row>
    <row r="67" spans="1:8" ht="15.75">
      <c r="A67" s="41"/>
      <c r="B67" s="200" t="s">
        <v>1064</v>
      </c>
      <c r="C67" s="197" t="s">
        <v>1050</v>
      </c>
      <c r="D67" s="201">
        <v>10980</v>
      </c>
      <c r="E67" s="201">
        <v>0</v>
      </c>
      <c r="F67" s="201">
        <v>0</v>
      </c>
      <c r="G67" s="201">
        <v>1</v>
      </c>
      <c r="H67" s="199">
        <f>D67*(E67+F67+G67)</f>
        <v>10980</v>
      </c>
    </row>
    <row r="68" spans="1:8">
      <c r="A68" s="41"/>
      <c r="B68" s="200" t="s">
        <v>1065</v>
      </c>
      <c r="C68" s="201" t="s">
        <v>1050</v>
      </c>
      <c r="D68" s="201">
        <v>6200</v>
      </c>
      <c r="E68" s="201">
        <v>0</v>
      </c>
      <c r="F68" s="201">
        <v>0</v>
      </c>
      <c r="G68" s="201">
        <v>1</v>
      </c>
      <c r="H68" s="199">
        <f>D68*(E68+F68+G68)</f>
        <v>6200</v>
      </c>
    </row>
    <row r="69" spans="1:8">
      <c r="A69" s="41"/>
      <c r="B69" s="262" t="s">
        <v>1066</v>
      </c>
      <c r="C69" s="263" t="s">
        <v>1050</v>
      </c>
      <c r="D69" s="264">
        <v>34000</v>
      </c>
      <c r="E69" s="265">
        <v>0</v>
      </c>
      <c r="F69" s="262">
        <v>0</v>
      </c>
      <c r="G69" s="262">
        <v>1</v>
      </c>
      <c r="H69" s="266">
        <f t="shared" ref="H69:H91" si="5">D69*(E69+F69+G69)</f>
        <v>34000</v>
      </c>
    </row>
    <row r="70" spans="1:8">
      <c r="A70" s="41"/>
      <c r="B70" s="262" t="s">
        <v>1067</v>
      </c>
      <c r="C70" s="263" t="s">
        <v>1050</v>
      </c>
      <c r="D70" s="264">
        <v>6050</v>
      </c>
      <c r="E70" s="265">
        <v>0</v>
      </c>
      <c r="F70" s="262">
        <v>0</v>
      </c>
      <c r="G70" s="262">
        <v>1</v>
      </c>
      <c r="H70" s="266">
        <f t="shared" si="5"/>
        <v>6050</v>
      </c>
    </row>
    <row r="71" spans="1:8">
      <c r="A71" s="41"/>
      <c r="B71" s="51"/>
      <c r="C71" s="49"/>
      <c r="D71" s="138"/>
      <c r="E71" s="50"/>
      <c r="F71" s="51"/>
      <c r="G71" s="51"/>
      <c r="H71" s="81">
        <f t="shared" si="5"/>
        <v>0</v>
      </c>
    </row>
    <row r="72" spans="1:8">
      <c r="A72" s="211" t="s">
        <v>1068</v>
      </c>
      <c r="B72" s="206" t="s">
        <v>90</v>
      </c>
      <c r="C72" s="207" t="s">
        <v>111</v>
      </c>
      <c r="D72" s="208">
        <v>450</v>
      </c>
      <c r="E72" s="209"/>
      <c r="F72" s="206"/>
      <c r="G72" s="206">
        <v>280</v>
      </c>
      <c r="H72" s="210">
        <f t="shared" si="5"/>
        <v>126000</v>
      </c>
    </row>
    <row r="73" spans="1:8">
      <c r="A73" s="41"/>
      <c r="B73" s="206" t="s">
        <v>52</v>
      </c>
      <c r="C73" s="207" t="s">
        <v>111</v>
      </c>
      <c r="D73" s="208">
        <v>1050</v>
      </c>
      <c r="E73" s="209"/>
      <c r="F73" s="206"/>
      <c r="G73" s="206">
        <v>4</v>
      </c>
      <c r="H73" s="210">
        <f t="shared" si="5"/>
        <v>4200</v>
      </c>
    </row>
    <row r="74" spans="1:8">
      <c r="A74" s="41"/>
      <c r="B74" s="206" t="s">
        <v>92</v>
      </c>
      <c r="C74" s="207" t="s">
        <v>111</v>
      </c>
      <c r="D74" s="208">
        <v>38000</v>
      </c>
      <c r="E74" s="209"/>
      <c r="F74" s="206"/>
      <c r="G74" s="206">
        <v>1</v>
      </c>
      <c r="H74" s="210">
        <f t="shared" si="5"/>
        <v>38000</v>
      </c>
    </row>
    <row r="75" spans="1:8">
      <c r="A75" s="41"/>
      <c r="B75" s="206" t="s">
        <v>1069</v>
      </c>
      <c r="C75" s="207" t="s">
        <v>111</v>
      </c>
      <c r="D75" s="208">
        <v>32800</v>
      </c>
      <c r="E75" s="209"/>
      <c r="F75" s="206"/>
      <c r="G75" s="206">
        <v>1</v>
      </c>
      <c r="H75" s="210">
        <f t="shared" si="5"/>
        <v>32800</v>
      </c>
    </row>
    <row r="76" spans="1:8">
      <c r="A76" s="41"/>
      <c r="B76" s="206" t="s">
        <v>1070</v>
      </c>
      <c r="C76" s="207" t="s">
        <v>111</v>
      </c>
      <c r="D76" s="208">
        <v>26410</v>
      </c>
      <c r="E76" s="209"/>
      <c r="F76" s="206"/>
      <c r="G76" s="206">
        <v>1</v>
      </c>
      <c r="H76" s="210">
        <f t="shared" si="5"/>
        <v>26410</v>
      </c>
    </row>
    <row r="77" spans="1:8">
      <c r="A77" s="41"/>
      <c r="B77" s="206" t="s">
        <v>1071</v>
      </c>
      <c r="C77" s="207" t="s">
        <v>111</v>
      </c>
      <c r="D77" s="208">
        <v>30000</v>
      </c>
      <c r="E77" s="209"/>
      <c r="F77" s="206"/>
      <c r="G77" s="206">
        <v>1</v>
      </c>
      <c r="H77" s="210">
        <f t="shared" si="5"/>
        <v>30000</v>
      </c>
    </row>
    <row r="78" spans="1:8">
      <c r="A78" s="41"/>
      <c r="B78" s="206" t="s">
        <v>1072</v>
      </c>
      <c r="C78" s="207" t="s">
        <v>111</v>
      </c>
      <c r="D78" s="208">
        <v>11000</v>
      </c>
      <c r="E78" s="209"/>
      <c r="F78" s="206"/>
      <c r="G78" s="206">
        <v>2</v>
      </c>
      <c r="H78" s="210">
        <f t="shared" si="5"/>
        <v>22000</v>
      </c>
    </row>
    <row r="79" spans="1:8">
      <c r="A79" s="41"/>
      <c r="B79" s="206" t="s">
        <v>1073</v>
      </c>
      <c r="C79" s="207" t="s">
        <v>111</v>
      </c>
      <c r="D79" s="208">
        <v>38000</v>
      </c>
      <c r="E79" s="209"/>
      <c r="F79" s="206"/>
      <c r="G79" s="206">
        <v>1</v>
      </c>
      <c r="H79" s="210">
        <f t="shared" si="5"/>
        <v>38000</v>
      </c>
    </row>
    <row r="80" spans="1:8">
      <c r="A80" s="41"/>
      <c r="B80" s="206" t="s">
        <v>1074</v>
      </c>
      <c r="C80" s="207" t="s">
        <v>111</v>
      </c>
      <c r="D80" s="208">
        <v>8580</v>
      </c>
      <c r="E80" s="209"/>
      <c r="F80" s="206"/>
      <c r="G80" s="206">
        <v>1</v>
      </c>
      <c r="H80" s="210">
        <f t="shared" si="5"/>
        <v>8580</v>
      </c>
    </row>
    <row r="81" spans="1:8">
      <c r="A81" s="41"/>
      <c r="B81" s="206" t="s">
        <v>1075</v>
      </c>
      <c r="C81" s="207" t="s">
        <v>111</v>
      </c>
      <c r="D81" s="208">
        <v>15980</v>
      </c>
      <c r="E81" s="209"/>
      <c r="F81" s="206"/>
      <c r="G81" s="206">
        <v>1</v>
      </c>
      <c r="H81" s="210">
        <f t="shared" si="5"/>
        <v>15980</v>
      </c>
    </row>
    <row r="82" spans="1:8">
      <c r="A82" s="41"/>
      <c r="B82" s="206" t="s">
        <v>1076</v>
      </c>
      <c r="C82" s="207" t="s">
        <v>111</v>
      </c>
      <c r="D82" s="208">
        <v>16680</v>
      </c>
      <c r="E82" s="209"/>
      <c r="F82" s="206"/>
      <c r="G82" s="206">
        <v>1</v>
      </c>
      <c r="H82" s="210">
        <f t="shared" si="5"/>
        <v>16680</v>
      </c>
    </row>
    <row r="83" spans="1:8">
      <c r="A83" s="41"/>
      <c r="B83" s="206" t="s">
        <v>116</v>
      </c>
      <c r="C83" s="207" t="s">
        <v>111</v>
      </c>
      <c r="D83" s="208">
        <v>3980</v>
      </c>
      <c r="E83" s="209"/>
      <c r="F83" s="206"/>
      <c r="G83" s="206">
        <v>1</v>
      </c>
      <c r="H83" s="210">
        <f t="shared" si="5"/>
        <v>3980</v>
      </c>
    </row>
    <row r="84" spans="1:8" ht="15.75">
      <c r="A84" s="41"/>
      <c r="B84" s="206" t="s">
        <v>1012</v>
      </c>
      <c r="C84" s="267" t="s">
        <v>111</v>
      </c>
      <c r="D84" s="208">
        <v>3943</v>
      </c>
      <c r="E84" s="219"/>
      <c r="F84" s="219"/>
      <c r="G84" s="206">
        <v>3</v>
      </c>
      <c r="H84" s="220">
        <f t="shared" si="5"/>
        <v>11829</v>
      </c>
    </row>
    <row r="85" spans="1:8" ht="15.75">
      <c r="A85" s="41"/>
      <c r="B85" s="206" t="s">
        <v>1014</v>
      </c>
      <c r="C85" s="267" t="s">
        <v>111</v>
      </c>
      <c r="D85" s="208">
        <v>4579</v>
      </c>
      <c r="E85" s="268"/>
      <c r="F85" s="268"/>
      <c r="G85" s="206">
        <v>3</v>
      </c>
      <c r="H85" s="220">
        <f t="shared" si="5"/>
        <v>13737</v>
      </c>
    </row>
    <row r="86" spans="1:8">
      <c r="A86" s="41"/>
      <c r="B86" s="206" t="s">
        <v>89</v>
      </c>
      <c r="C86" s="207" t="s">
        <v>108</v>
      </c>
      <c r="D86" s="208">
        <v>150</v>
      </c>
      <c r="E86" s="209"/>
      <c r="F86" s="206"/>
      <c r="G86" s="206">
        <v>280</v>
      </c>
      <c r="H86" s="210">
        <f t="shared" si="5"/>
        <v>42000</v>
      </c>
    </row>
    <row r="87" spans="1:8">
      <c r="A87" s="41"/>
      <c r="B87" s="206" t="s">
        <v>52</v>
      </c>
      <c r="C87" s="207" t="s">
        <v>108</v>
      </c>
      <c r="D87" s="208">
        <v>1050</v>
      </c>
      <c r="E87" s="209"/>
      <c r="F87" s="206"/>
      <c r="G87" s="206">
        <v>6</v>
      </c>
      <c r="H87" s="210">
        <f t="shared" si="5"/>
        <v>6300</v>
      </c>
    </row>
    <row r="88" spans="1:8">
      <c r="A88" s="41"/>
      <c r="B88" s="206" t="s">
        <v>100</v>
      </c>
      <c r="C88" s="207" t="s">
        <v>108</v>
      </c>
      <c r="D88" s="208">
        <v>21970</v>
      </c>
      <c r="E88" s="209"/>
      <c r="F88" s="206"/>
      <c r="G88" s="206">
        <v>2</v>
      </c>
      <c r="H88" s="210">
        <f t="shared" si="5"/>
        <v>43940</v>
      </c>
    </row>
    <row r="89" spans="1:8">
      <c r="A89" s="41"/>
      <c r="B89" s="206" t="s">
        <v>85</v>
      </c>
      <c r="C89" s="207" t="s">
        <v>108</v>
      </c>
      <c r="D89" s="208">
        <v>5600</v>
      </c>
      <c r="E89" s="209"/>
      <c r="F89" s="206"/>
      <c r="G89" s="206">
        <v>2</v>
      </c>
      <c r="H89" s="210">
        <f t="shared" si="5"/>
        <v>11200</v>
      </c>
    </row>
    <row r="90" spans="1:8">
      <c r="A90" s="41"/>
      <c r="B90" s="206" t="s">
        <v>1077</v>
      </c>
      <c r="C90" s="207" t="s">
        <v>108</v>
      </c>
      <c r="D90" s="208">
        <v>19800</v>
      </c>
      <c r="E90" s="209"/>
      <c r="F90" s="206"/>
      <c r="G90" s="206">
        <v>1</v>
      </c>
      <c r="H90" s="210">
        <f t="shared" si="5"/>
        <v>19800</v>
      </c>
    </row>
    <row r="91" spans="1:8">
      <c r="A91" s="41"/>
      <c r="B91" s="206" t="s">
        <v>1072</v>
      </c>
      <c r="C91" s="207" t="s">
        <v>108</v>
      </c>
      <c r="D91" s="208">
        <v>11000</v>
      </c>
      <c r="E91" s="209"/>
      <c r="F91" s="206"/>
      <c r="G91" s="206">
        <v>1</v>
      </c>
      <c r="H91" s="210">
        <f t="shared" si="5"/>
        <v>11000</v>
      </c>
    </row>
    <row r="92" spans="1:8">
      <c r="A92" s="41"/>
      <c r="B92" s="206" t="s">
        <v>1078</v>
      </c>
      <c r="C92" s="221" t="s">
        <v>108</v>
      </c>
      <c r="D92" s="219">
        <v>5478</v>
      </c>
      <c r="E92" s="219">
        <v>1</v>
      </c>
      <c r="F92" s="219"/>
      <c r="G92" s="219">
        <v>0</v>
      </c>
      <c r="H92" s="220">
        <f>D92*(E92+F92+G92)</f>
        <v>5478</v>
      </c>
    </row>
    <row r="93" spans="1:8">
      <c r="A93" s="41"/>
      <c r="B93" s="206" t="s">
        <v>101</v>
      </c>
      <c r="C93" s="207" t="s">
        <v>108</v>
      </c>
      <c r="D93" s="208">
        <v>3900</v>
      </c>
      <c r="E93" s="209"/>
      <c r="F93" s="206"/>
      <c r="G93" s="206">
        <v>1</v>
      </c>
      <c r="H93" s="210">
        <f t="shared" ref="H93:H97" si="6">D93*(E93+F93+G93)</f>
        <v>3900</v>
      </c>
    </row>
    <row r="94" spans="1:8">
      <c r="A94" s="41"/>
      <c r="B94" s="206" t="s">
        <v>1079</v>
      </c>
      <c r="C94" s="207" t="s">
        <v>108</v>
      </c>
      <c r="D94" s="208">
        <v>7880</v>
      </c>
      <c r="E94" s="209"/>
      <c r="F94" s="206"/>
      <c r="G94" s="206">
        <v>1</v>
      </c>
      <c r="H94" s="210">
        <f t="shared" si="6"/>
        <v>7880</v>
      </c>
    </row>
    <row r="95" spans="1:8">
      <c r="A95" s="41"/>
      <c r="B95" s="206" t="s">
        <v>1011</v>
      </c>
      <c r="C95" s="207" t="s">
        <v>108</v>
      </c>
      <c r="D95" s="208">
        <v>12200</v>
      </c>
      <c r="E95" s="209"/>
      <c r="F95" s="206"/>
      <c r="G95" s="206">
        <v>1</v>
      </c>
      <c r="H95" s="210">
        <f t="shared" si="6"/>
        <v>12200</v>
      </c>
    </row>
    <row r="96" spans="1:8">
      <c r="A96" s="41"/>
      <c r="B96" s="206" t="s">
        <v>1012</v>
      </c>
      <c r="C96" s="207" t="s">
        <v>108</v>
      </c>
      <c r="D96" s="208">
        <v>3943</v>
      </c>
      <c r="E96" s="209"/>
      <c r="F96" s="206"/>
      <c r="G96" s="206">
        <v>1</v>
      </c>
      <c r="H96" s="210">
        <f t="shared" si="6"/>
        <v>3943</v>
      </c>
    </row>
    <row r="97" spans="1:8">
      <c r="A97" s="41"/>
      <c r="B97" s="206" t="s">
        <v>1014</v>
      </c>
      <c r="C97" s="207" t="s">
        <v>108</v>
      </c>
      <c r="D97" s="208">
        <v>4579</v>
      </c>
      <c r="E97" s="209"/>
      <c r="F97" s="206"/>
      <c r="G97" s="206">
        <v>1</v>
      </c>
      <c r="H97" s="210">
        <f t="shared" si="6"/>
        <v>4579</v>
      </c>
    </row>
    <row r="100" spans="1:8">
      <c r="A100" s="47">
        <v>46081</v>
      </c>
    </row>
    <row r="101" spans="1:8" ht="21">
      <c r="A101" s="251" t="s">
        <v>0</v>
      </c>
      <c r="B101" s="252" t="s">
        <v>2</v>
      </c>
      <c r="C101" s="252" t="s">
        <v>1</v>
      </c>
      <c r="D101" s="253" t="s">
        <v>3</v>
      </c>
      <c r="E101" s="254" t="s">
        <v>4</v>
      </c>
      <c r="F101" s="254"/>
      <c r="G101" s="254"/>
      <c r="H101" s="255" t="s">
        <v>5</v>
      </c>
    </row>
    <row r="102" spans="1:8" ht="21">
      <c r="A102" s="256"/>
      <c r="B102" s="257"/>
      <c r="C102" s="257"/>
      <c r="D102" s="258"/>
      <c r="E102" s="259" t="s">
        <v>6</v>
      </c>
      <c r="F102" s="259" t="s">
        <v>665</v>
      </c>
      <c r="G102" s="260" t="s">
        <v>8</v>
      </c>
      <c r="H102" s="261">
        <f>SUM(H103:H194)</f>
        <v>1955129</v>
      </c>
    </row>
    <row r="103" spans="1:8">
      <c r="A103" s="132" t="s">
        <v>1008</v>
      </c>
      <c r="B103" s="129" t="s">
        <v>1009</v>
      </c>
      <c r="C103" s="130" t="s">
        <v>133</v>
      </c>
      <c r="D103" s="149">
        <v>1050</v>
      </c>
      <c r="E103" s="131">
        <v>0</v>
      </c>
      <c r="F103" s="131">
        <v>0</v>
      </c>
      <c r="G103" s="130">
        <v>6</v>
      </c>
      <c r="H103" s="152">
        <f t="shared" ref="H103:H113" si="7">D103*(E103+F103+G103)</f>
        <v>6300</v>
      </c>
    </row>
    <row r="104" spans="1:8">
      <c r="A104" s="41"/>
      <c r="B104" s="129" t="s">
        <v>1010</v>
      </c>
      <c r="C104" s="130" t="s">
        <v>133</v>
      </c>
      <c r="D104" s="149">
        <v>150</v>
      </c>
      <c r="E104" s="131">
        <v>0</v>
      </c>
      <c r="F104" s="131">
        <v>0</v>
      </c>
      <c r="G104" s="130">
        <v>140</v>
      </c>
      <c r="H104" s="152">
        <f t="shared" si="7"/>
        <v>21000</v>
      </c>
    </row>
    <row r="105" spans="1:8">
      <c r="A105" s="41"/>
      <c r="B105" s="129" t="s">
        <v>100</v>
      </c>
      <c r="C105" s="130" t="s">
        <v>133</v>
      </c>
      <c r="D105" s="149">
        <v>21970</v>
      </c>
      <c r="E105" s="131">
        <v>0</v>
      </c>
      <c r="F105" s="131">
        <v>0</v>
      </c>
      <c r="G105" s="130">
        <v>2</v>
      </c>
      <c r="H105" s="152">
        <f t="shared" si="7"/>
        <v>43940</v>
      </c>
    </row>
    <row r="106" spans="1:8">
      <c r="A106" s="41"/>
      <c r="B106" s="129" t="s">
        <v>85</v>
      </c>
      <c r="C106" s="130" t="s">
        <v>133</v>
      </c>
      <c r="D106" s="149">
        <v>5600</v>
      </c>
      <c r="E106" s="131">
        <v>2</v>
      </c>
      <c r="F106" s="131">
        <v>0</v>
      </c>
      <c r="G106" s="130">
        <v>2</v>
      </c>
      <c r="H106" s="152">
        <f t="shared" si="7"/>
        <v>22400</v>
      </c>
    </row>
    <row r="107" spans="1:8">
      <c r="A107" s="41"/>
      <c r="B107" s="129" t="s">
        <v>95</v>
      </c>
      <c r="C107" s="130" t="s">
        <v>133</v>
      </c>
      <c r="D107" s="149">
        <v>21970</v>
      </c>
      <c r="E107" s="131">
        <v>1</v>
      </c>
      <c r="F107" s="131">
        <v>0</v>
      </c>
      <c r="G107" s="130">
        <v>0</v>
      </c>
      <c r="H107" s="152">
        <f t="shared" si="7"/>
        <v>21970</v>
      </c>
    </row>
    <row r="108" spans="1:8">
      <c r="A108" s="41"/>
      <c r="B108" s="129" t="s">
        <v>186</v>
      </c>
      <c r="C108" s="130" t="s">
        <v>1080</v>
      </c>
      <c r="D108" s="149">
        <v>3000</v>
      </c>
      <c r="E108" s="131">
        <v>0</v>
      </c>
      <c r="F108" s="131">
        <v>0</v>
      </c>
      <c r="G108" s="130">
        <v>2</v>
      </c>
      <c r="H108" s="152">
        <f t="shared" si="7"/>
        <v>6000</v>
      </c>
    </row>
    <row r="109" spans="1:8">
      <c r="A109" s="41"/>
      <c r="B109" s="129" t="s">
        <v>1012</v>
      </c>
      <c r="C109" s="130" t="s">
        <v>1013</v>
      </c>
      <c r="D109" s="149">
        <v>3943</v>
      </c>
      <c r="E109" s="131">
        <v>0</v>
      </c>
      <c r="F109" s="131">
        <v>0</v>
      </c>
      <c r="G109" s="130">
        <v>1</v>
      </c>
      <c r="H109" s="152">
        <f t="shared" si="7"/>
        <v>3943</v>
      </c>
    </row>
    <row r="110" spans="1:8">
      <c r="A110" s="41"/>
      <c r="B110" s="129" t="s">
        <v>1014</v>
      </c>
      <c r="C110" s="130" t="s">
        <v>1013</v>
      </c>
      <c r="D110" s="149">
        <v>4579</v>
      </c>
      <c r="E110" s="131">
        <v>0</v>
      </c>
      <c r="F110" s="131">
        <v>0</v>
      </c>
      <c r="G110" s="130">
        <v>1</v>
      </c>
      <c r="H110" s="152">
        <f t="shared" si="7"/>
        <v>4579</v>
      </c>
    </row>
    <row r="111" spans="1:8">
      <c r="A111" s="41"/>
      <c r="B111" s="129" t="s">
        <v>1015</v>
      </c>
      <c r="C111" s="130" t="s">
        <v>133</v>
      </c>
      <c r="D111" s="149">
        <v>4999</v>
      </c>
      <c r="E111" s="131">
        <v>0</v>
      </c>
      <c r="F111" s="131">
        <v>0</v>
      </c>
      <c r="G111" s="130">
        <v>1</v>
      </c>
      <c r="H111" s="152">
        <f t="shared" si="7"/>
        <v>4999</v>
      </c>
    </row>
    <row r="112" spans="1:8">
      <c r="A112" s="41"/>
      <c r="B112" s="129" t="s">
        <v>318</v>
      </c>
      <c r="C112" s="130" t="s">
        <v>133</v>
      </c>
      <c r="D112" s="149">
        <v>2277</v>
      </c>
      <c r="E112" s="131">
        <v>0</v>
      </c>
      <c r="F112" s="131">
        <v>0</v>
      </c>
      <c r="G112" s="130">
        <v>4</v>
      </c>
      <c r="H112" s="152">
        <f t="shared" si="7"/>
        <v>9108</v>
      </c>
    </row>
    <row r="113" spans="1:8">
      <c r="A113" s="41"/>
      <c r="B113" s="129" t="s">
        <v>172</v>
      </c>
      <c r="C113" s="130" t="s">
        <v>133</v>
      </c>
      <c r="D113" s="149">
        <v>2500</v>
      </c>
      <c r="E113" s="131">
        <v>0</v>
      </c>
      <c r="F113" s="131">
        <v>0</v>
      </c>
      <c r="G113" s="130">
        <v>6</v>
      </c>
      <c r="H113" s="152">
        <f t="shared" si="7"/>
        <v>15000</v>
      </c>
    </row>
    <row r="114" spans="1:8">
      <c r="A114" s="41"/>
      <c r="B114" s="79"/>
      <c r="C114" s="41"/>
      <c r="D114" s="151"/>
      <c r="E114" s="80"/>
      <c r="F114" s="80"/>
      <c r="G114" s="41"/>
      <c r="H114" s="155"/>
    </row>
    <row r="115" spans="1:8">
      <c r="A115" s="119" t="s">
        <v>1017</v>
      </c>
      <c r="B115" s="120" t="s">
        <v>1009</v>
      </c>
      <c r="C115" s="119" t="s">
        <v>1018</v>
      </c>
      <c r="D115" s="150">
        <v>1050</v>
      </c>
      <c r="E115" s="121">
        <v>0</v>
      </c>
      <c r="F115" s="121">
        <v>0</v>
      </c>
      <c r="G115" s="119">
        <v>9</v>
      </c>
      <c r="H115" s="154">
        <f t="shared" ref="H115:H146" si="8">D115*(E115+F115+G115)</f>
        <v>9450</v>
      </c>
    </row>
    <row r="116" spans="1:8" ht="15.75">
      <c r="A116" s="41"/>
      <c r="B116" s="404" t="s">
        <v>1019</v>
      </c>
      <c r="C116" s="405" t="s">
        <v>1018</v>
      </c>
      <c r="D116" s="405">
        <v>450</v>
      </c>
      <c r="E116" s="405">
        <v>150</v>
      </c>
      <c r="F116" s="405">
        <v>0</v>
      </c>
      <c r="G116" s="405">
        <v>185</v>
      </c>
      <c r="H116" s="154">
        <f t="shared" si="8"/>
        <v>150750</v>
      </c>
    </row>
    <row r="117" spans="1:8">
      <c r="A117" s="41"/>
      <c r="B117" s="406" t="s">
        <v>152</v>
      </c>
      <c r="C117" s="407" t="s">
        <v>1018</v>
      </c>
      <c r="D117" s="407">
        <v>72930</v>
      </c>
      <c r="E117" s="407">
        <v>0</v>
      </c>
      <c r="F117" s="407">
        <v>0</v>
      </c>
      <c r="G117" s="407">
        <v>1</v>
      </c>
      <c r="H117" s="154">
        <f t="shared" si="8"/>
        <v>72930</v>
      </c>
    </row>
    <row r="118" spans="1:8" ht="15.75">
      <c r="A118" s="41"/>
      <c r="B118" s="408" t="s">
        <v>112</v>
      </c>
      <c r="C118" s="407" t="s">
        <v>1018</v>
      </c>
      <c r="D118" s="407">
        <v>34800</v>
      </c>
      <c r="E118" s="407">
        <v>0</v>
      </c>
      <c r="F118" s="407">
        <v>0</v>
      </c>
      <c r="G118" s="407">
        <v>1</v>
      </c>
      <c r="H118" s="154">
        <f t="shared" si="8"/>
        <v>34800</v>
      </c>
    </row>
    <row r="119" spans="1:8" ht="15.75">
      <c r="A119" s="41"/>
      <c r="B119" s="408" t="s">
        <v>1020</v>
      </c>
      <c r="C119" s="407" t="s">
        <v>1018</v>
      </c>
      <c r="D119" s="407">
        <v>21970</v>
      </c>
      <c r="E119" s="407">
        <v>0</v>
      </c>
      <c r="F119" s="407">
        <v>0</v>
      </c>
      <c r="G119" s="407">
        <v>1</v>
      </c>
      <c r="H119" s="154">
        <f t="shared" si="8"/>
        <v>21970</v>
      </c>
    </row>
    <row r="120" spans="1:8" ht="29.25">
      <c r="A120" s="194"/>
      <c r="B120" s="408" t="s">
        <v>1021</v>
      </c>
      <c r="C120" s="407" t="s">
        <v>1018</v>
      </c>
      <c r="D120" s="407">
        <v>6498</v>
      </c>
      <c r="E120" s="407">
        <v>0</v>
      </c>
      <c r="F120" s="407">
        <v>0</v>
      </c>
      <c r="G120" s="407">
        <v>1</v>
      </c>
      <c r="H120" s="154">
        <f t="shared" si="8"/>
        <v>6498</v>
      </c>
    </row>
    <row r="121" spans="1:8" ht="15.75">
      <c r="A121" s="41"/>
      <c r="B121" s="408" t="s">
        <v>1022</v>
      </c>
      <c r="C121" s="407" t="s">
        <v>1018</v>
      </c>
      <c r="D121" s="407">
        <v>36842</v>
      </c>
      <c r="E121" s="407">
        <v>0</v>
      </c>
      <c r="F121" s="407">
        <v>0</v>
      </c>
      <c r="G121" s="409">
        <v>1</v>
      </c>
      <c r="H121" s="154">
        <f t="shared" si="8"/>
        <v>36842</v>
      </c>
    </row>
    <row r="122" spans="1:8" ht="15.75">
      <c r="A122" s="41"/>
      <c r="B122" s="408" t="s">
        <v>1023</v>
      </c>
      <c r="C122" s="407" t="s">
        <v>1018</v>
      </c>
      <c r="D122" s="407">
        <v>5148</v>
      </c>
      <c r="E122" s="407">
        <v>0</v>
      </c>
      <c r="F122" s="407">
        <v>0</v>
      </c>
      <c r="G122" s="405">
        <v>1</v>
      </c>
      <c r="H122" s="154">
        <f t="shared" si="8"/>
        <v>5148</v>
      </c>
    </row>
    <row r="123" spans="1:8" ht="15.75">
      <c r="A123" s="41"/>
      <c r="B123" s="408" t="s">
        <v>1024</v>
      </c>
      <c r="C123" s="407" t="s">
        <v>1018</v>
      </c>
      <c r="D123" s="407">
        <v>38000</v>
      </c>
      <c r="E123" s="407">
        <v>0</v>
      </c>
      <c r="F123" s="407">
        <v>0</v>
      </c>
      <c r="G123" s="407">
        <v>2</v>
      </c>
      <c r="H123" s="154">
        <f t="shared" si="8"/>
        <v>76000</v>
      </c>
    </row>
    <row r="124" spans="1:8" ht="15.75">
      <c r="A124" s="41"/>
      <c r="B124" s="408" t="s">
        <v>1025</v>
      </c>
      <c r="C124" s="407" t="s">
        <v>1018</v>
      </c>
      <c r="D124" s="407">
        <v>30000</v>
      </c>
      <c r="E124" s="407">
        <v>0</v>
      </c>
      <c r="F124" s="407">
        <v>0</v>
      </c>
      <c r="G124" s="407">
        <v>1</v>
      </c>
      <c r="H124" s="154">
        <f t="shared" si="8"/>
        <v>30000</v>
      </c>
    </row>
    <row r="125" spans="1:8" ht="15.75">
      <c r="A125" s="41"/>
      <c r="B125" s="408" t="s">
        <v>318</v>
      </c>
      <c r="C125" s="407" t="s">
        <v>1018</v>
      </c>
      <c r="D125" s="407">
        <v>2277</v>
      </c>
      <c r="E125" s="407">
        <v>0</v>
      </c>
      <c r="F125" s="407">
        <v>0</v>
      </c>
      <c r="G125" s="407">
        <v>6</v>
      </c>
      <c r="H125" s="154">
        <f t="shared" si="8"/>
        <v>13662</v>
      </c>
    </row>
    <row r="126" spans="1:8" ht="15.75">
      <c r="A126" s="41"/>
      <c r="B126" s="408" t="s">
        <v>1027</v>
      </c>
      <c r="C126" s="407" t="s">
        <v>1018</v>
      </c>
      <c r="D126" s="407">
        <v>29800</v>
      </c>
      <c r="E126" s="407">
        <v>0</v>
      </c>
      <c r="F126" s="407">
        <v>0</v>
      </c>
      <c r="G126" s="407">
        <v>1</v>
      </c>
      <c r="H126" s="154">
        <f t="shared" si="8"/>
        <v>29800</v>
      </c>
    </row>
    <row r="127" spans="1:8" ht="15.75">
      <c r="A127" s="41"/>
      <c r="B127" s="408" t="s">
        <v>1028</v>
      </c>
      <c r="C127" s="407" t="s">
        <v>1018</v>
      </c>
      <c r="D127" s="407">
        <v>23000</v>
      </c>
      <c r="E127" s="407">
        <v>0</v>
      </c>
      <c r="F127" s="407">
        <v>0</v>
      </c>
      <c r="G127" s="407">
        <v>1</v>
      </c>
      <c r="H127" s="154">
        <f t="shared" si="8"/>
        <v>23000</v>
      </c>
    </row>
    <row r="128" spans="1:8" ht="15.75">
      <c r="A128" s="41"/>
      <c r="B128" s="408" t="s">
        <v>1029</v>
      </c>
      <c r="C128" s="407" t="s">
        <v>1018</v>
      </c>
      <c r="D128" s="407">
        <v>3480</v>
      </c>
      <c r="E128" s="407">
        <v>0</v>
      </c>
      <c r="F128" s="407">
        <v>0</v>
      </c>
      <c r="G128" s="407">
        <v>1</v>
      </c>
      <c r="H128" s="154">
        <f t="shared" si="8"/>
        <v>3480</v>
      </c>
    </row>
    <row r="129" spans="1:8" ht="15.75">
      <c r="A129" s="41"/>
      <c r="B129" s="408" t="s">
        <v>1081</v>
      </c>
      <c r="C129" s="407" t="s">
        <v>1018</v>
      </c>
      <c r="D129" s="407">
        <v>4000</v>
      </c>
      <c r="E129" s="407">
        <v>0</v>
      </c>
      <c r="F129" s="407">
        <v>0</v>
      </c>
      <c r="G129" s="407">
        <v>3</v>
      </c>
      <c r="H129" s="154">
        <f t="shared" si="8"/>
        <v>12000</v>
      </c>
    </row>
    <row r="130" spans="1:8" ht="15.75">
      <c r="A130" s="48"/>
      <c r="B130" s="408" t="s">
        <v>1082</v>
      </c>
      <c r="C130" s="407" t="s">
        <v>1018</v>
      </c>
      <c r="D130" s="407">
        <v>9500</v>
      </c>
      <c r="E130" s="407">
        <v>0</v>
      </c>
      <c r="F130" s="407">
        <v>0</v>
      </c>
      <c r="G130" s="407">
        <v>1</v>
      </c>
      <c r="H130" s="154">
        <f t="shared" si="8"/>
        <v>9500</v>
      </c>
    </row>
    <row r="131" spans="1:8" ht="15.75">
      <c r="A131" s="41"/>
      <c r="B131" s="408" t="s">
        <v>1083</v>
      </c>
      <c r="C131" s="407" t="s">
        <v>1018</v>
      </c>
      <c r="D131" s="407">
        <v>5980</v>
      </c>
      <c r="E131" s="407">
        <v>0</v>
      </c>
      <c r="F131" s="407">
        <v>0</v>
      </c>
      <c r="G131" s="407">
        <v>1</v>
      </c>
      <c r="H131" s="154">
        <f t="shared" si="8"/>
        <v>5980</v>
      </c>
    </row>
    <row r="132" spans="1:8" ht="15.75">
      <c r="A132" s="41"/>
      <c r="B132" s="408" t="s">
        <v>1012</v>
      </c>
      <c r="C132" s="407" t="s">
        <v>1018</v>
      </c>
      <c r="D132" s="407">
        <v>3943</v>
      </c>
      <c r="E132" s="407">
        <v>0</v>
      </c>
      <c r="F132" s="407">
        <v>0</v>
      </c>
      <c r="G132" s="407">
        <v>3</v>
      </c>
      <c r="H132" s="154">
        <f t="shared" si="8"/>
        <v>11829</v>
      </c>
    </row>
    <row r="133" spans="1:8" ht="15.75">
      <c r="A133" s="41"/>
      <c r="B133" s="408" t="s">
        <v>1014</v>
      </c>
      <c r="C133" s="407" t="s">
        <v>1018</v>
      </c>
      <c r="D133" s="407">
        <v>4579</v>
      </c>
      <c r="E133" s="407">
        <v>2</v>
      </c>
      <c r="F133" s="407">
        <v>0</v>
      </c>
      <c r="G133" s="407">
        <v>3</v>
      </c>
      <c r="H133" s="154">
        <f t="shared" si="8"/>
        <v>22895</v>
      </c>
    </row>
    <row r="134" spans="1:8">
      <c r="A134" s="41"/>
      <c r="B134" s="407" t="s">
        <v>1033</v>
      </c>
      <c r="C134" s="407"/>
      <c r="D134" s="407">
        <v>70000</v>
      </c>
      <c r="E134" s="407">
        <v>1</v>
      </c>
      <c r="F134" s="407">
        <v>0</v>
      </c>
      <c r="G134" s="407">
        <v>0</v>
      </c>
      <c r="H134" s="154">
        <f t="shared" si="8"/>
        <v>70000</v>
      </c>
    </row>
    <row r="135" spans="1:8">
      <c r="A135" s="41"/>
      <c r="B135" s="79"/>
      <c r="C135" s="41"/>
      <c r="D135" s="151"/>
      <c r="E135" s="80"/>
      <c r="F135" s="80"/>
      <c r="G135" s="41"/>
      <c r="H135" s="155">
        <f t="shared" si="8"/>
        <v>0</v>
      </c>
    </row>
    <row r="136" spans="1:8" ht="15">
      <c r="A136" s="176" t="s">
        <v>1034</v>
      </c>
      <c r="B136" s="123" t="s">
        <v>52</v>
      </c>
      <c r="C136" s="122" t="s">
        <v>1035</v>
      </c>
      <c r="D136" s="124">
        <v>1050</v>
      </c>
      <c r="E136" s="124">
        <v>0</v>
      </c>
      <c r="F136" s="124">
        <v>0</v>
      </c>
      <c r="G136" s="122">
        <v>7</v>
      </c>
      <c r="H136" s="156">
        <f t="shared" si="8"/>
        <v>7350</v>
      </c>
    </row>
    <row r="137" spans="1:8">
      <c r="A137" s="41"/>
      <c r="B137" s="123" t="s">
        <v>1036</v>
      </c>
      <c r="C137" s="122" t="s">
        <v>1035</v>
      </c>
      <c r="D137" s="124">
        <v>150</v>
      </c>
      <c r="E137" s="124">
        <v>300</v>
      </c>
      <c r="F137" s="124">
        <v>0</v>
      </c>
      <c r="G137" s="122">
        <v>142</v>
      </c>
      <c r="H137" s="156">
        <f t="shared" si="8"/>
        <v>66300</v>
      </c>
    </row>
    <row r="138" spans="1:8">
      <c r="A138" s="179"/>
      <c r="B138" s="123" t="s">
        <v>1084</v>
      </c>
      <c r="C138" s="122" t="s">
        <v>1035</v>
      </c>
      <c r="D138" s="124">
        <v>10000</v>
      </c>
      <c r="E138" s="124">
        <v>0</v>
      </c>
      <c r="F138" s="124">
        <v>0</v>
      </c>
      <c r="G138" s="122">
        <v>1</v>
      </c>
      <c r="H138" s="156">
        <f t="shared" si="8"/>
        <v>10000</v>
      </c>
    </row>
    <row r="139" spans="1:8">
      <c r="A139" s="41"/>
      <c r="B139" s="123" t="s">
        <v>1085</v>
      </c>
      <c r="C139" s="122" t="s">
        <v>1035</v>
      </c>
      <c r="D139" s="124">
        <v>3000</v>
      </c>
      <c r="E139" s="124">
        <v>0</v>
      </c>
      <c r="F139" s="124">
        <v>0</v>
      </c>
      <c r="G139" s="122">
        <v>1</v>
      </c>
      <c r="H139" s="156">
        <f t="shared" si="8"/>
        <v>3000</v>
      </c>
    </row>
    <row r="140" spans="1:8">
      <c r="A140" s="41"/>
      <c r="B140" s="123" t="s">
        <v>1040</v>
      </c>
      <c r="C140" s="122" t="s">
        <v>1035</v>
      </c>
      <c r="D140" s="124">
        <v>9878</v>
      </c>
      <c r="E140" s="124">
        <v>2</v>
      </c>
      <c r="F140" s="124">
        <v>0</v>
      </c>
      <c r="G140" s="122">
        <v>0</v>
      </c>
      <c r="H140" s="156">
        <f t="shared" si="8"/>
        <v>19756</v>
      </c>
    </row>
    <row r="141" spans="1:8">
      <c r="A141" s="41"/>
      <c r="B141" s="123" t="s">
        <v>1042</v>
      </c>
      <c r="C141" s="122" t="s">
        <v>1035</v>
      </c>
      <c r="D141" s="124">
        <v>22980</v>
      </c>
      <c r="E141" s="124">
        <v>0</v>
      </c>
      <c r="F141" s="124">
        <v>0</v>
      </c>
      <c r="G141" s="122">
        <v>1</v>
      </c>
      <c r="H141" s="156">
        <f t="shared" si="8"/>
        <v>22980</v>
      </c>
    </row>
    <row r="142" spans="1:8">
      <c r="A142" s="41"/>
      <c r="B142" s="123" t="s">
        <v>1043</v>
      </c>
      <c r="C142" s="122" t="s">
        <v>1035</v>
      </c>
      <c r="D142" s="124">
        <v>6441</v>
      </c>
      <c r="E142" s="124">
        <v>0</v>
      </c>
      <c r="F142" s="124">
        <v>0</v>
      </c>
      <c r="G142" s="122">
        <v>1</v>
      </c>
      <c r="H142" s="156">
        <f t="shared" si="8"/>
        <v>6441</v>
      </c>
    </row>
    <row r="143" spans="1:8">
      <c r="A143" s="41"/>
      <c r="B143" s="123" t="s">
        <v>1045</v>
      </c>
      <c r="C143" s="122" t="s">
        <v>1035</v>
      </c>
      <c r="D143" s="124">
        <v>3943</v>
      </c>
      <c r="E143" s="124">
        <v>0</v>
      </c>
      <c r="F143" s="124">
        <v>0</v>
      </c>
      <c r="G143" s="122">
        <v>1</v>
      </c>
      <c r="H143" s="156">
        <f t="shared" si="8"/>
        <v>3943</v>
      </c>
    </row>
    <row r="144" spans="1:8">
      <c r="A144" s="41"/>
      <c r="B144" s="123" t="s">
        <v>1046</v>
      </c>
      <c r="C144" s="122" t="s">
        <v>1035</v>
      </c>
      <c r="D144" s="124">
        <v>4579</v>
      </c>
      <c r="E144" s="124">
        <v>0</v>
      </c>
      <c r="F144" s="124">
        <v>0</v>
      </c>
      <c r="G144" s="122">
        <v>1</v>
      </c>
      <c r="H144" s="156">
        <f t="shared" si="8"/>
        <v>4579</v>
      </c>
    </row>
    <row r="145" spans="1:8">
      <c r="A145" s="41"/>
      <c r="B145" s="410" t="s">
        <v>172</v>
      </c>
      <c r="C145" s="411" t="s">
        <v>633</v>
      </c>
      <c r="D145" s="124">
        <v>2500</v>
      </c>
      <c r="E145" s="412">
        <v>0</v>
      </c>
      <c r="F145" s="412">
        <v>0</v>
      </c>
      <c r="G145" s="412">
        <v>12</v>
      </c>
      <c r="H145" s="156">
        <f t="shared" si="8"/>
        <v>30000</v>
      </c>
    </row>
    <row r="146" spans="1:8">
      <c r="A146" s="41"/>
      <c r="B146" s="413"/>
      <c r="C146" s="414"/>
      <c r="D146" s="415"/>
      <c r="E146" s="415"/>
      <c r="F146" s="415"/>
      <c r="G146" s="415"/>
      <c r="H146" s="155">
        <f t="shared" si="8"/>
        <v>0</v>
      </c>
    </row>
    <row r="147" spans="1:8" ht="15.75">
      <c r="A147" s="203" t="s">
        <v>1048</v>
      </c>
      <c r="B147" s="416" t="s">
        <v>1049</v>
      </c>
      <c r="C147" s="417" t="s">
        <v>1050</v>
      </c>
      <c r="D147" s="418">
        <v>450</v>
      </c>
      <c r="E147" s="418">
        <v>0</v>
      </c>
      <c r="F147" s="418">
        <v>0</v>
      </c>
      <c r="G147" s="418">
        <v>235</v>
      </c>
      <c r="H147" s="199">
        <f t="shared" ref="H147:H178" si="9">D147*(E147+F147+G147)</f>
        <v>105750</v>
      </c>
    </row>
    <row r="148" spans="1:8" ht="15.75">
      <c r="A148" s="41"/>
      <c r="B148" s="419" t="s">
        <v>1051</v>
      </c>
      <c r="C148" s="417" t="s">
        <v>1050</v>
      </c>
      <c r="D148" s="420">
        <v>6580</v>
      </c>
      <c r="E148" s="420">
        <v>0</v>
      </c>
      <c r="F148" s="420">
        <v>0</v>
      </c>
      <c r="G148" s="420">
        <v>1</v>
      </c>
      <c r="H148" s="199">
        <f t="shared" si="9"/>
        <v>6580</v>
      </c>
    </row>
    <row r="149" spans="1:8" ht="15.75">
      <c r="A149" s="41"/>
      <c r="B149" s="419" t="s">
        <v>1052</v>
      </c>
      <c r="C149" s="417" t="s">
        <v>1050</v>
      </c>
      <c r="D149" s="420">
        <v>7990</v>
      </c>
      <c r="E149" s="420">
        <v>0</v>
      </c>
      <c r="F149" s="420">
        <v>0</v>
      </c>
      <c r="G149" s="420">
        <v>1</v>
      </c>
      <c r="H149" s="199">
        <f t="shared" si="9"/>
        <v>7990</v>
      </c>
    </row>
    <row r="150" spans="1:8" ht="15.75">
      <c r="A150" s="41"/>
      <c r="B150" s="419" t="s">
        <v>186</v>
      </c>
      <c r="C150" s="417" t="s">
        <v>1050</v>
      </c>
      <c r="D150" s="420">
        <v>3000</v>
      </c>
      <c r="E150" s="420">
        <v>0</v>
      </c>
      <c r="F150" s="420">
        <v>0</v>
      </c>
      <c r="G150" s="420">
        <v>2</v>
      </c>
      <c r="H150" s="199">
        <f t="shared" si="9"/>
        <v>6000</v>
      </c>
    </row>
    <row r="151" spans="1:8" ht="15.75">
      <c r="A151" s="41"/>
      <c r="B151" s="419" t="s">
        <v>1054</v>
      </c>
      <c r="C151" s="417" t="s">
        <v>1050</v>
      </c>
      <c r="D151" s="420">
        <v>12875</v>
      </c>
      <c r="E151" s="420">
        <v>0</v>
      </c>
      <c r="F151" s="420">
        <v>0</v>
      </c>
      <c r="G151" s="420">
        <v>1</v>
      </c>
      <c r="H151" s="199">
        <f t="shared" si="9"/>
        <v>12875</v>
      </c>
    </row>
    <row r="152" spans="1:8" ht="15.75">
      <c r="A152" s="41"/>
      <c r="B152" s="419" t="s">
        <v>1086</v>
      </c>
      <c r="C152" s="417" t="s">
        <v>1050</v>
      </c>
      <c r="D152" s="420">
        <v>43963</v>
      </c>
      <c r="E152" s="420">
        <v>0</v>
      </c>
      <c r="F152" s="420">
        <v>0</v>
      </c>
      <c r="G152" s="420">
        <v>1</v>
      </c>
      <c r="H152" s="199">
        <f t="shared" si="9"/>
        <v>43963</v>
      </c>
    </row>
    <row r="153" spans="1:8" ht="15.75">
      <c r="A153" s="41"/>
      <c r="B153" s="419" t="s">
        <v>1056</v>
      </c>
      <c r="C153" s="417" t="s">
        <v>1050</v>
      </c>
      <c r="D153" s="420">
        <v>23000</v>
      </c>
      <c r="E153" s="420">
        <v>0</v>
      </c>
      <c r="F153" s="420">
        <v>0</v>
      </c>
      <c r="G153" s="420">
        <v>1</v>
      </c>
      <c r="H153" s="199">
        <f t="shared" si="9"/>
        <v>23000</v>
      </c>
    </row>
    <row r="154" spans="1:8" ht="15.75">
      <c r="A154" s="41"/>
      <c r="B154" s="419" t="s">
        <v>1012</v>
      </c>
      <c r="C154" s="417" t="s">
        <v>1050</v>
      </c>
      <c r="D154" s="420">
        <v>3943</v>
      </c>
      <c r="E154" s="420">
        <v>0</v>
      </c>
      <c r="F154" s="420">
        <v>0</v>
      </c>
      <c r="G154" s="420">
        <v>2</v>
      </c>
      <c r="H154" s="199">
        <f t="shared" si="9"/>
        <v>7886</v>
      </c>
    </row>
    <row r="155" spans="1:8" ht="15.75">
      <c r="A155" s="41"/>
      <c r="B155" s="202" t="s">
        <v>1014</v>
      </c>
      <c r="C155" s="417" t="s">
        <v>1050</v>
      </c>
      <c r="D155" s="204">
        <v>4579</v>
      </c>
      <c r="E155" s="420">
        <v>0</v>
      </c>
      <c r="F155" s="420">
        <v>0</v>
      </c>
      <c r="G155" s="203">
        <v>2</v>
      </c>
      <c r="H155" s="199">
        <f t="shared" si="9"/>
        <v>9158</v>
      </c>
    </row>
    <row r="156" spans="1:8" ht="15.75">
      <c r="A156" s="41"/>
      <c r="B156" s="419" t="s">
        <v>1057</v>
      </c>
      <c r="C156" s="417" t="s">
        <v>1050</v>
      </c>
      <c r="D156" s="420">
        <v>8228</v>
      </c>
      <c r="E156" s="420">
        <v>0</v>
      </c>
      <c r="F156" s="420">
        <v>0</v>
      </c>
      <c r="G156" s="420">
        <v>1</v>
      </c>
      <c r="H156" s="199">
        <f t="shared" si="9"/>
        <v>8228</v>
      </c>
    </row>
    <row r="157" spans="1:8" ht="15.75">
      <c r="A157" s="41"/>
      <c r="B157" s="419" t="s">
        <v>1058</v>
      </c>
      <c r="C157" s="417" t="s">
        <v>1050</v>
      </c>
      <c r="D157" s="420">
        <v>6180</v>
      </c>
      <c r="E157" s="420">
        <v>0</v>
      </c>
      <c r="F157" s="420">
        <v>0</v>
      </c>
      <c r="G157" s="420">
        <v>1</v>
      </c>
      <c r="H157" s="199">
        <f t="shared" si="9"/>
        <v>6180</v>
      </c>
    </row>
    <row r="158" spans="1:8" ht="15.75">
      <c r="A158" s="41"/>
      <c r="B158" s="419" t="s">
        <v>1059</v>
      </c>
      <c r="C158" s="417" t="s">
        <v>1050</v>
      </c>
      <c r="D158" s="420">
        <v>3850</v>
      </c>
      <c r="E158" s="420">
        <v>0</v>
      </c>
      <c r="F158" s="420">
        <v>0</v>
      </c>
      <c r="G158" s="420">
        <v>1</v>
      </c>
      <c r="H158" s="199">
        <f t="shared" si="9"/>
        <v>3850</v>
      </c>
    </row>
    <row r="159" spans="1:8" ht="15.75">
      <c r="A159" s="41"/>
      <c r="B159" s="419" t="s">
        <v>1060</v>
      </c>
      <c r="C159" s="417" t="s">
        <v>1050</v>
      </c>
      <c r="D159" s="420">
        <v>28111</v>
      </c>
      <c r="E159" s="420">
        <v>0</v>
      </c>
      <c r="F159" s="420">
        <v>0</v>
      </c>
      <c r="G159" s="420">
        <v>1</v>
      </c>
      <c r="H159" s="199">
        <f t="shared" si="9"/>
        <v>28111</v>
      </c>
    </row>
    <row r="160" spans="1:8" ht="15.75">
      <c r="A160" s="41"/>
      <c r="B160" s="202" t="s">
        <v>1061</v>
      </c>
      <c r="C160" s="417" t="s">
        <v>1050</v>
      </c>
      <c r="D160" s="204">
        <v>28800</v>
      </c>
      <c r="E160" s="420">
        <v>0</v>
      </c>
      <c r="F160" s="420">
        <v>0</v>
      </c>
      <c r="G160" s="203">
        <v>1</v>
      </c>
      <c r="H160" s="199">
        <f t="shared" si="9"/>
        <v>28800</v>
      </c>
    </row>
    <row r="161" spans="1:8" ht="15.75">
      <c r="A161" s="41"/>
      <c r="B161" s="419" t="s">
        <v>1062</v>
      </c>
      <c r="C161" s="417" t="s">
        <v>1050</v>
      </c>
      <c r="D161" s="420">
        <v>14272</v>
      </c>
      <c r="E161" s="420">
        <v>0</v>
      </c>
      <c r="F161" s="420">
        <v>0</v>
      </c>
      <c r="G161" s="420">
        <v>1</v>
      </c>
      <c r="H161" s="199">
        <f t="shared" si="9"/>
        <v>14272</v>
      </c>
    </row>
    <row r="162" spans="1:8" ht="15.75">
      <c r="A162" s="41"/>
      <c r="B162" s="419" t="s">
        <v>1063</v>
      </c>
      <c r="C162" s="417" t="s">
        <v>1050</v>
      </c>
      <c r="D162" s="420">
        <v>17999</v>
      </c>
      <c r="E162" s="420">
        <v>0</v>
      </c>
      <c r="F162" s="420">
        <v>0</v>
      </c>
      <c r="G162" s="420">
        <v>1</v>
      </c>
      <c r="H162" s="199">
        <f t="shared" si="9"/>
        <v>17999</v>
      </c>
    </row>
    <row r="163" spans="1:8" ht="15.75">
      <c r="A163" s="41"/>
      <c r="B163" s="419" t="s">
        <v>1064</v>
      </c>
      <c r="C163" s="417" t="s">
        <v>1050</v>
      </c>
      <c r="D163" s="420">
        <v>10980</v>
      </c>
      <c r="E163" s="420">
        <v>0</v>
      </c>
      <c r="F163" s="420">
        <v>0</v>
      </c>
      <c r="G163" s="420">
        <v>1</v>
      </c>
      <c r="H163" s="199">
        <f t="shared" si="9"/>
        <v>10980</v>
      </c>
    </row>
    <row r="164" spans="1:8">
      <c r="A164" s="41"/>
      <c r="B164" s="262" t="s">
        <v>1066</v>
      </c>
      <c r="C164" s="263" t="s">
        <v>1050</v>
      </c>
      <c r="D164" s="264">
        <v>34000</v>
      </c>
      <c r="E164" s="265">
        <v>0</v>
      </c>
      <c r="F164" s="262">
        <v>0</v>
      </c>
      <c r="G164" s="262">
        <v>1</v>
      </c>
      <c r="H164" s="266">
        <f t="shared" si="9"/>
        <v>34000</v>
      </c>
    </row>
    <row r="165" spans="1:8">
      <c r="A165" s="41"/>
      <c r="B165" s="262" t="s">
        <v>1067</v>
      </c>
      <c r="C165" s="263" t="s">
        <v>1050</v>
      </c>
      <c r="D165" s="264">
        <v>6050</v>
      </c>
      <c r="E165" s="265">
        <v>0</v>
      </c>
      <c r="F165" s="262">
        <v>0</v>
      </c>
      <c r="G165" s="262">
        <v>1</v>
      </c>
      <c r="H165" s="266">
        <f t="shared" si="9"/>
        <v>6050</v>
      </c>
    </row>
    <row r="166" spans="1:8">
      <c r="A166" s="41"/>
      <c r="B166" s="51"/>
      <c r="C166" s="49"/>
      <c r="D166" s="138"/>
      <c r="E166" s="50"/>
      <c r="F166" s="51"/>
      <c r="G166" s="51"/>
      <c r="H166" s="81">
        <f t="shared" si="9"/>
        <v>0</v>
      </c>
    </row>
    <row r="167" spans="1:8">
      <c r="A167" s="211" t="s">
        <v>1068</v>
      </c>
      <c r="B167" s="206" t="s">
        <v>90</v>
      </c>
      <c r="C167" s="207" t="s">
        <v>111</v>
      </c>
      <c r="D167" s="208">
        <v>450</v>
      </c>
      <c r="E167" s="209"/>
      <c r="F167" s="206"/>
      <c r="G167" s="206">
        <v>280</v>
      </c>
      <c r="H167" s="210">
        <f t="shared" si="9"/>
        <v>126000</v>
      </c>
    </row>
    <row r="168" spans="1:8">
      <c r="A168" s="41"/>
      <c r="B168" s="206" t="s">
        <v>52</v>
      </c>
      <c r="C168" s="207" t="s">
        <v>111</v>
      </c>
      <c r="D168" s="208">
        <v>1050</v>
      </c>
      <c r="E168" s="209"/>
      <c r="F168" s="206"/>
      <c r="G168" s="206">
        <v>4</v>
      </c>
      <c r="H168" s="210">
        <f t="shared" si="9"/>
        <v>4200</v>
      </c>
    </row>
    <row r="169" spans="1:8">
      <c r="A169" s="41"/>
      <c r="B169" s="206" t="s">
        <v>92</v>
      </c>
      <c r="C169" s="207" t="s">
        <v>111</v>
      </c>
      <c r="D169" s="208">
        <v>38000</v>
      </c>
      <c r="E169" s="209"/>
      <c r="F169" s="206"/>
      <c r="G169" s="206">
        <v>1</v>
      </c>
      <c r="H169" s="210">
        <f t="shared" si="9"/>
        <v>38000</v>
      </c>
    </row>
    <row r="170" spans="1:8">
      <c r="A170" s="41"/>
      <c r="B170" s="206" t="s">
        <v>1069</v>
      </c>
      <c r="C170" s="207" t="s">
        <v>111</v>
      </c>
      <c r="D170" s="208">
        <v>32800</v>
      </c>
      <c r="E170" s="209"/>
      <c r="F170" s="206"/>
      <c r="G170" s="206">
        <v>1</v>
      </c>
      <c r="H170" s="210">
        <f t="shared" si="9"/>
        <v>32800</v>
      </c>
    </row>
    <row r="171" spans="1:8">
      <c r="A171" s="41"/>
      <c r="B171" s="206" t="s">
        <v>1070</v>
      </c>
      <c r="C171" s="207" t="s">
        <v>111</v>
      </c>
      <c r="D171" s="208">
        <v>26410</v>
      </c>
      <c r="E171" s="209"/>
      <c r="F171" s="206"/>
      <c r="G171" s="206">
        <v>1</v>
      </c>
      <c r="H171" s="210">
        <f t="shared" si="9"/>
        <v>26410</v>
      </c>
    </row>
    <row r="172" spans="1:8">
      <c r="A172" s="41"/>
      <c r="B172" s="206" t="s">
        <v>1071</v>
      </c>
      <c r="C172" s="207" t="s">
        <v>111</v>
      </c>
      <c r="D172" s="208">
        <v>30000</v>
      </c>
      <c r="E172" s="209"/>
      <c r="F172" s="206"/>
      <c r="G172" s="206">
        <v>1</v>
      </c>
      <c r="H172" s="210">
        <f t="shared" si="9"/>
        <v>30000</v>
      </c>
    </row>
    <row r="173" spans="1:8">
      <c r="A173" s="41"/>
      <c r="B173" s="206" t="s">
        <v>1072</v>
      </c>
      <c r="C173" s="207" t="s">
        <v>111</v>
      </c>
      <c r="D173" s="208">
        <v>11000</v>
      </c>
      <c r="E173" s="209"/>
      <c r="F173" s="206"/>
      <c r="G173" s="206">
        <v>2</v>
      </c>
      <c r="H173" s="210">
        <f t="shared" si="9"/>
        <v>22000</v>
      </c>
    </row>
    <row r="174" spans="1:8">
      <c r="A174" s="41"/>
      <c r="B174" s="206" t="s">
        <v>1074</v>
      </c>
      <c r="C174" s="207" t="s">
        <v>111</v>
      </c>
      <c r="D174" s="208">
        <v>8580</v>
      </c>
      <c r="E174" s="209"/>
      <c r="F174" s="206"/>
      <c r="G174" s="206">
        <v>1</v>
      </c>
      <c r="H174" s="210">
        <f t="shared" si="9"/>
        <v>8580</v>
      </c>
    </row>
    <row r="175" spans="1:8">
      <c r="A175" s="41"/>
      <c r="B175" s="206" t="s">
        <v>1075</v>
      </c>
      <c r="C175" s="207" t="s">
        <v>111</v>
      </c>
      <c r="D175" s="208">
        <v>15980</v>
      </c>
      <c r="E175" s="209"/>
      <c r="F175" s="206"/>
      <c r="G175" s="206">
        <v>1</v>
      </c>
      <c r="H175" s="210">
        <f t="shared" si="9"/>
        <v>15980</v>
      </c>
    </row>
    <row r="176" spans="1:8">
      <c r="A176" s="41"/>
      <c r="B176" s="206" t="s">
        <v>1081</v>
      </c>
      <c r="C176" s="207" t="s">
        <v>111</v>
      </c>
      <c r="D176" s="208">
        <v>4000</v>
      </c>
      <c r="E176" s="209"/>
      <c r="F176" s="206"/>
      <c r="G176" s="206">
        <v>3</v>
      </c>
      <c r="H176" s="210">
        <f t="shared" si="9"/>
        <v>12000</v>
      </c>
    </row>
    <row r="177" spans="1:8">
      <c r="A177" s="41"/>
      <c r="B177" s="206" t="s">
        <v>116</v>
      </c>
      <c r="C177" s="207" t="s">
        <v>111</v>
      </c>
      <c r="D177" s="208">
        <v>3980</v>
      </c>
      <c r="E177" s="209"/>
      <c r="F177" s="206"/>
      <c r="G177" s="206">
        <v>1</v>
      </c>
      <c r="H177" s="210">
        <f t="shared" si="9"/>
        <v>3980</v>
      </c>
    </row>
    <row r="178" spans="1:8" ht="15.75">
      <c r="A178" s="41"/>
      <c r="B178" s="206" t="s">
        <v>1012</v>
      </c>
      <c r="C178" s="421" t="s">
        <v>111</v>
      </c>
      <c r="D178" s="208">
        <v>3943</v>
      </c>
      <c r="E178" s="422"/>
      <c r="F178" s="422"/>
      <c r="G178" s="206">
        <v>3</v>
      </c>
      <c r="H178" s="220">
        <f t="shared" si="9"/>
        <v>11829</v>
      </c>
    </row>
    <row r="179" spans="1:8" ht="15.75">
      <c r="A179" s="41"/>
      <c r="B179" s="206" t="s">
        <v>318</v>
      </c>
      <c r="C179" s="421" t="s">
        <v>1087</v>
      </c>
      <c r="D179" s="208">
        <v>2277</v>
      </c>
      <c r="E179" s="422"/>
      <c r="F179" s="422"/>
      <c r="G179" s="206">
        <v>6</v>
      </c>
      <c r="H179" s="220">
        <f t="shared" ref="H179:H210" si="10">D179*(E179+F179+G179)</f>
        <v>13662</v>
      </c>
    </row>
    <row r="180" spans="1:8" ht="15.75">
      <c r="A180" s="41"/>
      <c r="B180" s="206" t="s">
        <v>1088</v>
      </c>
      <c r="C180" s="421" t="s">
        <v>1089</v>
      </c>
      <c r="D180" s="208">
        <v>43963</v>
      </c>
      <c r="E180" s="422">
        <v>1</v>
      </c>
      <c r="F180" s="422"/>
      <c r="G180" s="206"/>
      <c r="H180" s="220">
        <f t="shared" si="10"/>
        <v>43963</v>
      </c>
    </row>
    <row r="181" spans="1:8" ht="15.75">
      <c r="A181" s="41"/>
      <c r="B181" s="206" t="s">
        <v>1014</v>
      </c>
      <c r="C181" s="421" t="s">
        <v>111</v>
      </c>
      <c r="D181" s="208">
        <v>4579</v>
      </c>
      <c r="E181" s="268"/>
      <c r="F181" s="268"/>
      <c r="G181" s="206">
        <v>3</v>
      </c>
      <c r="H181" s="220">
        <f t="shared" si="10"/>
        <v>13737</v>
      </c>
    </row>
    <row r="182" spans="1:8">
      <c r="A182" s="41"/>
      <c r="B182" s="51"/>
      <c r="C182" s="414"/>
      <c r="D182" s="138"/>
      <c r="E182" s="80"/>
      <c r="F182" s="80"/>
      <c r="G182" s="51"/>
      <c r="H182" s="155"/>
    </row>
    <row r="183" spans="1:8">
      <c r="A183" s="41"/>
      <c r="B183" s="206" t="s">
        <v>89</v>
      </c>
      <c r="C183" s="207" t="s">
        <v>108</v>
      </c>
      <c r="D183" s="208">
        <v>150</v>
      </c>
      <c r="E183" s="209"/>
      <c r="F183" s="206"/>
      <c r="G183" s="206">
        <v>280</v>
      </c>
      <c r="H183" s="210">
        <f t="shared" ref="H183:H194" si="11">D183*(E183+F183+G183)</f>
        <v>42000</v>
      </c>
    </row>
    <row r="184" spans="1:8">
      <c r="A184" s="41"/>
      <c r="B184" s="206" t="s">
        <v>52</v>
      </c>
      <c r="C184" s="207" t="s">
        <v>108</v>
      </c>
      <c r="D184" s="208">
        <v>1050</v>
      </c>
      <c r="E184" s="209"/>
      <c r="F184" s="206"/>
      <c r="G184" s="206">
        <v>6</v>
      </c>
      <c r="H184" s="210">
        <f t="shared" si="11"/>
        <v>6300</v>
      </c>
    </row>
    <row r="185" spans="1:8">
      <c r="A185" s="41"/>
      <c r="B185" s="206" t="s">
        <v>100</v>
      </c>
      <c r="C185" s="207" t="s">
        <v>108</v>
      </c>
      <c r="D185" s="208">
        <v>21970</v>
      </c>
      <c r="E185" s="209"/>
      <c r="F185" s="206"/>
      <c r="G185" s="206">
        <v>2</v>
      </c>
      <c r="H185" s="210">
        <f t="shared" si="11"/>
        <v>43940</v>
      </c>
    </row>
    <row r="186" spans="1:8">
      <c r="A186" s="41"/>
      <c r="B186" s="206" t="s">
        <v>85</v>
      </c>
      <c r="C186" s="207" t="s">
        <v>108</v>
      </c>
      <c r="D186" s="208">
        <v>5600</v>
      </c>
      <c r="E186" s="209"/>
      <c r="F186" s="206"/>
      <c r="G186" s="206">
        <v>2</v>
      </c>
      <c r="H186" s="210">
        <f t="shared" si="11"/>
        <v>11200</v>
      </c>
    </row>
    <row r="187" spans="1:8">
      <c r="A187" s="41"/>
      <c r="B187" s="206" t="s">
        <v>1077</v>
      </c>
      <c r="C187" s="207" t="s">
        <v>108</v>
      </c>
      <c r="D187" s="208">
        <v>19800</v>
      </c>
      <c r="E187" s="209"/>
      <c r="F187" s="206"/>
      <c r="G187" s="206">
        <v>1</v>
      </c>
      <c r="H187" s="210">
        <f t="shared" si="11"/>
        <v>19800</v>
      </c>
    </row>
    <row r="188" spans="1:8">
      <c r="A188" s="41"/>
      <c r="B188" s="206" t="s">
        <v>1072</v>
      </c>
      <c r="C188" s="207" t="s">
        <v>108</v>
      </c>
      <c r="D188" s="208">
        <v>11000</v>
      </c>
      <c r="E188" s="209"/>
      <c r="F188" s="206"/>
      <c r="G188" s="206">
        <v>1</v>
      </c>
      <c r="H188" s="210">
        <f t="shared" si="11"/>
        <v>11000</v>
      </c>
    </row>
    <row r="189" spans="1:8">
      <c r="A189" s="41"/>
      <c r="B189" s="206" t="s">
        <v>1078</v>
      </c>
      <c r="C189" s="423" t="s">
        <v>108</v>
      </c>
      <c r="D189" s="422">
        <v>5478</v>
      </c>
      <c r="E189" s="422">
        <v>1</v>
      </c>
      <c r="F189" s="422"/>
      <c r="G189" s="422">
        <v>0</v>
      </c>
      <c r="H189" s="220">
        <f t="shared" si="11"/>
        <v>5478</v>
      </c>
    </row>
    <row r="190" spans="1:8">
      <c r="A190" s="41"/>
      <c r="B190" s="206" t="s">
        <v>318</v>
      </c>
      <c r="C190" s="207" t="s">
        <v>108</v>
      </c>
      <c r="D190" s="208">
        <v>2277</v>
      </c>
      <c r="E190" s="209"/>
      <c r="F190" s="206"/>
      <c r="G190" s="206">
        <v>2</v>
      </c>
      <c r="H190" s="210">
        <f t="shared" si="11"/>
        <v>4554</v>
      </c>
    </row>
    <row r="191" spans="1:8">
      <c r="A191" s="41"/>
      <c r="B191" s="206" t="s">
        <v>1090</v>
      </c>
      <c r="C191" s="207" t="s">
        <v>108</v>
      </c>
      <c r="D191" s="208">
        <v>7400</v>
      </c>
      <c r="E191" s="209"/>
      <c r="F191" s="206"/>
      <c r="G191" s="206">
        <v>1</v>
      </c>
      <c r="H191" s="210">
        <f t="shared" si="11"/>
        <v>7400</v>
      </c>
    </row>
    <row r="192" spans="1:8">
      <c r="A192" s="41"/>
      <c r="B192" s="206" t="s">
        <v>172</v>
      </c>
      <c r="C192" s="207" t="s">
        <v>108</v>
      </c>
      <c r="D192" s="208">
        <v>2500</v>
      </c>
      <c r="E192" s="209"/>
      <c r="F192" s="206"/>
      <c r="G192" s="206">
        <v>12</v>
      </c>
      <c r="H192" s="210">
        <f t="shared" si="11"/>
        <v>30000</v>
      </c>
    </row>
    <row r="193" spans="1:8">
      <c r="A193" s="41"/>
      <c r="B193" s="206" t="s">
        <v>1012</v>
      </c>
      <c r="C193" s="207" t="s">
        <v>108</v>
      </c>
      <c r="D193" s="208">
        <v>3943</v>
      </c>
      <c r="E193" s="209"/>
      <c r="F193" s="206"/>
      <c r="G193" s="206">
        <v>1</v>
      </c>
      <c r="H193" s="210">
        <f t="shared" si="11"/>
        <v>3943</v>
      </c>
    </row>
    <row r="194" spans="1:8">
      <c r="A194" s="41"/>
      <c r="B194" s="206" t="s">
        <v>1014</v>
      </c>
      <c r="C194" s="207" t="s">
        <v>108</v>
      </c>
      <c r="D194" s="208">
        <v>4579</v>
      </c>
      <c r="E194" s="209"/>
      <c r="F194" s="206"/>
      <c r="G194" s="206">
        <v>1</v>
      </c>
      <c r="H194" s="210">
        <f t="shared" si="11"/>
        <v>4579</v>
      </c>
    </row>
    <row r="196" spans="1:8">
      <c r="A196" s="47">
        <v>46112</v>
      </c>
    </row>
    <row r="197" spans="1:8" ht="21">
      <c r="A197" s="251" t="s">
        <v>0</v>
      </c>
      <c r="B197" s="252" t="s">
        <v>2</v>
      </c>
      <c r="C197" s="252" t="s">
        <v>1</v>
      </c>
      <c r="D197" s="253" t="s">
        <v>3</v>
      </c>
      <c r="E197" s="254" t="s">
        <v>4</v>
      </c>
      <c r="F197" s="254"/>
      <c r="G197" s="254"/>
      <c r="H197" s="255" t="s">
        <v>5</v>
      </c>
    </row>
    <row r="198" spans="1:8" ht="21">
      <c r="A198" s="256"/>
      <c r="B198" s="257"/>
      <c r="C198" s="257"/>
      <c r="D198" s="258"/>
      <c r="E198" s="259" t="s">
        <v>6</v>
      </c>
      <c r="F198" s="259" t="s">
        <v>665</v>
      </c>
      <c r="G198" s="260" t="s">
        <v>8</v>
      </c>
      <c r="H198" s="261">
        <f>SUM(H199:H303)</f>
        <v>2173191</v>
      </c>
    </row>
    <row r="199" spans="1:8" ht="15.75">
      <c r="A199" s="132" t="s">
        <v>1008</v>
      </c>
      <c r="B199" s="129" t="s">
        <v>1009</v>
      </c>
      <c r="C199" s="130" t="s">
        <v>133</v>
      </c>
      <c r="D199" s="149">
        <v>1050</v>
      </c>
      <c r="E199" s="131">
        <v>0</v>
      </c>
      <c r="F199" s="131">
        <v>0</v>
      </c>
      <c r="G199" s="130">
        <v>8</v>
      </c>
      <c r="H199" s="152">
        <f t="shared" ref="H199:H209" si="12">D199*(E199+F199+G199)</f>
        <v>8400</v>
      </c>
    </row>
    <row r="200" spans="1:8" ht="15.75">
      <c r="A200" s="41"/>
      <c r="B200" s="129" t="s">
        <v>1010</v>
      </c>
      <c r="C200" s="130" t="s">
        <v>133</v>
      </c>
      <c r="D200" s="149">
        <v>150</v>
      </c>
      <c r="E200" s="131">
        <v>0</v>
      </c>
      <c r="F200" s="131">
        <v>0</v>
      </c>
      <c r="G200" s="130">
        <v>140</v>
      </c>
      <c r="H200" s="152">
        <f t="shared" si="12"/>
        <v>21000</v>
      </c>
    </row>
    <row r="201" spans="1:8" ht="15.75">
      <c r="A201" s="41"/>
      <c r="B201" s="129" t="s">
        <v>100</v>
      </c>
      <c r="C201" s="130" t="s">
        <v>133</v>
      </c>
      <c r="D201" s="149">
        <v>21970</v>
      </c>
      <c r="E201" s="131">
        <v>0</v>
      </c>
      <c r="F201" s="131">
        <v>0</v>
      </c>
      <c r="G201" s="130">
        <v>2</v>
      </c>
      <c r="H201" s="152">
        <f t="shared" si="12"/>
        <v>43940</v>
      </c>
    </row>
    <row r="202" spans="1:8" ht="15.75">
      <c r="A202" s="41"/>
      <c r="B202" s="129" t="s">
        <v>85</v>
      </c>
      <c r="C202" s="130" t="s">
        <v>133</v>
      </c>
      <c r="D202" s="149">
        <v>5600</v>
      </c>
      <c r="E202" s="131">
        <v>2</v>
      </c>
      <c r="F202" s="131">
        <v>0</v>
      </c>
      <c r="G202" s="130">
        <v>2</v>
      </c>
      <c r="H202" s="152">
        <f t="shared" si="12"/>
        <v>22400</v>
      </c>
    </row>
    <row r="203" spans="1:8" ht="15.75">
      <c r="A203" s="41"/>
      <c r="B203" s="129" t="s">
        <v>1086</v>
      </c>
      <c r="C203" s="130" t="s">
        <v>133</v>
      </c>
      <c r="D203" s="149">
        <v>2100</v>
      </c>
      <c r="E203" s="131">
        <v>0</v>
      </c>
      <c r="F203" s="131">
        <v>0</v>
      </c>
      <c r="G203" s="130">
        <v>1</v>
      </c>
      <c r="H203" s="152">
        <f t="shared" si="12"/>
        <v>2100</v>
      </c>
    </row>
    <row r="204" spans="1:8" ht="15.75">
      <c r="A204" s="41"/>
      <c r="B204" s="129" t="s">
        <v>186</v>
      </c>
      <c r="C204" s="130" t="s">
        <v>1080</v>
      </c>
      <c r="D204" s="149">
        <v>3000</v>
      </c>
      <c r="E204" s="131">
        <v>0</v>
      </c>
      <c r="F204" s="131">
        <v>0</v>
      </c>
      <c r="G204" s="130">
        <v>2</v>
      </c>
      <c r="H204" s="152">
        <f t="shared" si="12"/>
        <v>6000</v>
      </c>
    </row>
    <row r="205" spans="1:8" ht="15.75">
      <c r="A205" s="41"/>
      <c r="B205" s="129" t="s">
        <v>1012</v>
      </c>
      <c r="C205" s="130" t="s">
        <v>1013</v>
      </c>
      <c r="D205" s="149">
        <v>3943</v>
      </c>
      <c r="E205" s="131">
        <v>0</v>
      </c>
      <c r="F205" s="131">
        <v>0</v>
      </c>
      <c r="G205" s="130">
        <v>3</v>
      </c>
      <c r="H205" s="152">
        <f t="shared" si="12"/>
        <v>11829</v>
      </c>
    </row>
    <row r="206" spans="1:8" ht="15.75">
      <c r="A206" s="41"/>
      <c r="B206" s="129" t="s">
        <v>1014</v>
      </c>
      <c r="C206" s="130" t="s">
        <v>1013</v>
      </c>
      <c r="D206" s="149">
        <v>4579</v>
      </c>
      <c r="E206" s="131">
        <v>0</v>
      </c>
      <c r="F206" s="131">
        <v>0</v>
      </c>
      <c r="G206" s="130">
        <v>3</v>
      </c>
      <c r="H206" s="152">
        <f t="shared" si="12"/>
        <v>13737</v>
      </c>
    </row>
    <row r="207" spans="1:8" ht="15.75">
      <c r="A207" s="41"/>
      <c r="B207" s="129" t="s">
        <v>1015</v>
      </c>
      <c r="C207" s="130" t="s">
        <v>133</v>
      </c>
      <c r="D207" s="149">
        <v>4999</v>
      </c>
      <c r="E207" s="131">
        <v>0</v>
      </c>
      <c r="F207" s="131">
        <v>0</v>
      </c>
      <c r="G207" s="130">
        <v>1</v>
      </c>
      <c r="H207" s="152">
        <f t="shared" si="12"/>
        <v>4999</v>
      </c>
    </row>
    <row r="208" spans="1:8" ht="15.75">
      <c r="A208" s="41"/>
      <c r="B208" s="129" t="s">
        <v>1091</v>
      </c>
      <c r="C208" s="130" t="s">
        <v>133</v>
      </c>
      <c r="D208" s="149">
        <v>834</v>
      </c>
      <c r="E208" s="131">
        <v>0</v>
      </c>
      <c r="F208" s="131">
        <v>0</v>
      </c>
      <c r="G208" s="130">
        <v>2</v>
      </c>
      <c r="H208" s="152">
        <f t="shared" si="12"/>
        <v>1668</v>
      </c>
    </row>
    <row r="209" spans="1:8" ht="15.75">
      <c r="A209" s="41"/>
      <c r="B209" s="129" t="s">
        <v>172</v>
      </c>
      <c r="C209" s="130" t="s">
        <v>133</v>
      </c>
      <c r="D209" s="149">
        <v>2500</v>
      </c>
      <c r="E209" s="131">
        <v>0</v>
      </c>
      <c r="F209" s="131">
        <v>0</v>
      </c>
      <c r="G209" s="130">
        <v>6</v>
      </c>
      <c r="H209" s="152">
        <f t="shared" si="12"/>
        <v>15000</v>
      </c>
    </row>
    <row r="210" spans="1:8" ht="15.75">
      <c r="A210" s="41"/>
      <c r="B210" s="79"/>
      <c r="C210" s="41"/>
      <c r="D210" s="151"/>
      <c r="E210" s="80"/>
      <c r="F210" s="80"/>
      <c r="G210" s="41"/>
      <c r="H210" s="155"/>
    </row>
    <row r="211" spans="1:8" ht="15.75">
      <c r="A211" s="132" t="s">
        <v>1092</v>
      </c>
      <c r="B211" s="129" t="s">
        <v>1009</v>
      </c>
      <c r="C211" s="130" t="s">
        <v>111</v>
      </c>
      <c r="D211" s="149">
        <v>1050</v>
      </c>
      <c r="E211" s="131">
        <v>0</v>
      </c>
      <c r="F211" s="131">
        <v>0</v>
      </c>
      <c r="G211" s="130">
        <v>6</v>
      </c>
      <c r="H211" s="152">
        <f t="shared" ref="H211:H221" si="13">D211*(E211+F211+G211)</f>
        <v>6300</v>
      </c>
    </row>
    <row r="212" spans="1:8" ht="15.75">
      <c r="A212" s="41"/>
      <c r="B212" s="129" t="s">
        <v>1010</v>
      </c>
      <c r="C212" s="130" t="s">
        <v>111</v>
      </c>
      <c r="D212" s="149">
        <v>450</v>
      </c>
      <c r="E212" s="131">
        <v>0</v>
      </c>
      <c r="F212" s="131">
        <v>0</v>
      </c>
      <c r="G212" s="130">
        <v>200</v>
      </c>
      <c r="H212" s="152">
        <f t="shared" si="13"/>
        <v>90000</v>
      </c>
    </row>
    <row r="213" spans="1:8" ht="15.75">
      <c r="A213" s="41"/>
      <c r="B213" s="129" t="s">
        <v>92</v>
      </c>
      <c r="C213" s="130" t="s">
        <v>111</v>
      </c>
      <c r="D213" s="149">
        <v>38000</v>
      </c>
      <c r="E213" s="131">
        <v>0</v>
      </c>
      <c r="F213" s="131">
        <v>0</v>
      </c>
      <c r="G213" s="130">
        <v>1</v>
      </c>
      <c r="H213" s="152">
        <f t="shared" si="13"/>
        <v>38000</v>
      </c>
    </row>
    <row r="214" spans="1:8" ht="15.75">
      <c r="A214" s="41"/>
      <c r="B214" s="129" t="s">
        <v>1093</v>
      </c>
      <c r="C214" s="130" t="s">
        <v>111</v>
      </c>
      <c r="D214" s="149">
        <v>13749</v>
      </c>
      <c r="E214" s="131">
        <v>0</v>
      </c>
      <c r="F214" s="131">
        <v>0</v>
      </c>
      <c r="G214" s="130">
        <v>1</v>
      </c>
      <c r="H214" s="152">
        <f t="shared" si="13"/>
        <v>13749</v>
      </c>
    </row>
    <row r="215" spans="1:8" ht="15.75">
      <c r="A215" s="41"/>
      <c r="B215" s="129" t="s">
        <v>1094</v>
      </c>
      <c r="C215" s="130" t="s">
        <v>111</v>
      </c>
      <c r="D215" s="149">
        <v>23850</v>
      </c>
      <c r="E215" s="131">
        <v>0</v>
      </c>
      <c r="F215" s="131">
        <v>0</v>
      </c>
      <c r="G215" s="130">
        <v>1</v>
      </c>
      <c r="H215" s="152">
        <f t="shared" si="13"/>
        <v>23850</v>
      </c>
    </row>
    <row r="216" spans="1:8" ht="15.75">
      <c r="A216" s="41"/>
      <c r="B216" s="129" t="s">
        <v>1095</v>
      </c>
      <c r="C216" s="130" t="s">
        <v>111</v>
      </c>
      <c r="D216" s="149">
        <v>9380</v>
      </c>
      <c r="E216" s="131">
        <v>0</v>
      </c>
      <c r="F216" s="131">
        <v>0</v>
      </c>
      <c r="G216" s="130">
        <v>1</v>
      </c>
      <c r="H216" s="152">
        <f t="shared" si="13"/>
        <v>9380</v>
      </c>
    </row>
    <row r="217" spans="1:8" ht="15.75">
      <c r="A217" s="41"/>
      <c r="B217" s="129" t="s">
        <v>1096</v>
      </c>
      <c r="C217" s="130" t="s">
        <v>111</v>
      </c>
      <c r="D217" s="149">
        <v>4257</v>
      </c>
      <c r="E217" s="131">
        <v>0</v>
      </c>
      <c r="F217" s="131">
        <v>0</v>
      </c>
      <c r="G217" s="130">
        <v>1</v>
      </c>
      <c r="H217" s="152">
        <f t="shared" si="13"/>
        <v>4257</v>
      </c>
    </row>
    <row r="218" spans="1:8" ht="15.75">
      <c r="A218" s="41"/>
      <c r="B218" s="129" t="s">
        <v>1097</v>
      </c>
      <c r="C218" s="130" t="s">
        <v>111</v>
      </c>
      <c r="D218" s="149">
        <v>13970</v>
      </c>
      <c r="E218" s="131">
        <v>0</v>
      </c>
      <c r="F218" s="131">
        <v>0</v>
      </c>
      <c r="G218" s="130">
        <v>1</v>
      </c>
      <c r="H218" s="152">
        <f t="shared" si="13"/>
        <v>13970</v>
      </c>
    </row>
    <row r="219" spans="1:8" ht="15.75">
      <c r="A219" s="41"/>
      <c r="B219" s="129" t="s">
        <v>1098</v>
      </c>
      <c r="C219" s="130" t="s">
        <v>111</v>
      </c>
      <c r="D219" s="149">
        <v>5380</v>
      </c>
      <c r="E219" s="131">
        <v>0</v>
      </c>
      <c r="F219" s="131">
        <v>0</v>
      </c>
      <c r="G219" s="130">
        <v>1</v>
      </c>
      <c r="H219" s="152">
        <f t="shared" si="13"/>
        <v>5380</v>
      </c>
    </row>
    <row r="220" spans="1:8" ht="15.75">
      <c r="A220" s="41"/>
      <c r="B220" s="129" t="s">
        <v>1099</v>
      </c>
      <c r="C220" s="130" t="s">
        <v>111</v>
      </c>
      <c r="D220" s="149">
        <v>9790</v>
      </c>
      <c r="E220" s="131">
        <v>0</v>
      </c>
      <c r="F220" s="131">
        <v>0</v>
      </c>
      <c r="G220" s="130">
        <v>1</v>
      </c>
      <c r="H220" s="152">
        <f t="shared" si="13"/>
        <v>9790</v>
      </c>
    </row>
    <row r="221" spans="1:8" ht="15.75">
      <c r="A221" s="41"/>
      <c r="B221" s="129" t="s">
        <v>1100</v>
      </c>
      <c r="C221" s="130" t="s">
        <v>111</v>
      </c>
      <c r="D221" s="149">
        <v>32800</v>
      </c>
      <c r="E221" s="131">
        <v>0</v>
      </c>
      <c r="F221" s="131">
        <v>0</v>
      </c>
      <c r="G221" s="130">
        <v>1</v>
      </c>
      <c r="H221" s="152">
        <f t="shared" si="13"/>
        <v>32800</v>
      </c>
    </row>
    <row r="222" spans="1:8" ht="15.75">
      <c r="A222" s="41"/>
      <c r="B222" s="129" t="s">
        <v>1029</v>
      </c>
      <c r="C222" s="130" t="s">
        <v>111</v>
      </c>
      <c r="D222" s="149">
        <v>7678</v>
      </c>
      <c r="E222" s="131">
        <v>0</v>
      </c>
      <c r="F222" s="131">
        <v>0</v>
      </c>
      <c r="G222" s="130">
        <v>1</v>
      </c>
      <c r="H222" s="152">
        <f t="shared" ref="H222:H223" si="14">D222*(E222+F222+G222)</f>
        <v>7678</v>
      </c>
    </row>
    <row r="223" spans="1:8" ht="15.75">
      <c r="A223" s="41"/>
      <c r="B223" s="129" t="s">
        <v>1101</v>
      </c>
      <c r="C223" s="130" t="s">
        <v>111</v>
      </c>
      <c r="D223" s="149">
        <v>7678</v>
      </c>
      <c r="E223" s="131">
        <v>0</v>
      </c>
      <c r="F223" s="131">
        <v>0</v>
      </c>
      <c r="G223" s="130">
        <v>1</v>
      </c>
      <c r="H223" s="152">
        <f t="shared" si="14"/>
        <v>7678</v>
      </c>
    </row>
    <row r="224" spans="1:8" ht="15.75">
      <c r="A224" s="41"/>
      <c r="B224" s="129" t="s">
        <v>1102</v>
      </c>
      <c r="C224" s="130" t="s">
        <v>111</v>
      </c>
      <c r="D224" s="149">
        <v>10800</v>
      </c>
      <c r="E224" s="131">
        <v>0</v>
      </c>
      <c r="F224" s="131">
        <v>0</v>
      </c>
      <c r="G224" s="130">
        <v>1</v>
      </c>
      <c r="H224" s="152">
        <f t="shared" ref="H224" si="15">D224*(E224+F224+G224)</f>
        <v>10800</v>
      </c>
    </row>
    <row r="225" spans="1:8" ht="15.75"/>
    <row r="226" spans="1:8" ht="15.75">
      <c r="A226" s="119" t="s">
        <v>1017</v>
      </c>
      <c r="B226" s="120" t="s">
        <v>1009</v>
      </c>
      <c r="C226" s="119" t="s">
        <v>1018</v>
      </c>
      <c r="D226" s="150">
        <v>1050</v>
      </c>
      <c r="E226" s="121">
        <v>0</v>
      </c>
      <c r="F226" s="121">
        <v>0</v>
      </c>
      <c r="G226" s="119">
        <v>9</v>
      </c>
      <c r="H226" s="154">
        <f t="shared" ref="H226:H287" si="16">D226*(E226+F226+G226)</f>
        <v>9450</v>
      </c>
    </row>
    <row r="227" spans="1:8" ht="15.75">
      <c r="A227" s="41"/>
      <c r="B227" s="404" t="s">
        <v>1019</v>
      </c>
      <c r="C227" s="405" t="s">
        <v>1018</v>
      </c>
      <c r="D227" s="405">
        <v>450</v>
      </c>
      <c r="E227" s="405">
        <v>200</v>
      </c>
      <c r="F227" s="405">
        <v>0</v>
      </c>
      <c r="G227" s="405">
        <v>185</v>
      </c>
      <c r="H227" s="154">
        <f t="shared" si="16"/>
        <v>173250</v>
      </c>
    </row>
    <row r="228" spans="1:8" ht="15.75">
      <c r="A228" s="41"/>
      <c r="B228" s="406" t="s">
        <v>152</v>
      </c>
      <c r="C228" s="407" t="s">
        <v>1018</v>
      </c>
      <c r="D228" s="407">
        <v>72930</v>
      </c>
      <c r="E228" s="407">
        <v>0</v>
      </c>
      <c r="F228" s="407">
        <v>0</v>
      </c>
      <c r="G228" s="407">
        <v>1</v>
      </c>
      <c r="H228" s="154">
        <f t="shared" si="16"/>
        <v>72930</v>
      </c>
    </row>
    <row r="229" spans="1:8" ht="15.75">
      <c r="A229" s="41"/>
      <c r="B229" s="408" t="s">
        <v>112</v>
      </c>
      <c r="C229" s="407" t="s">
        <v>1018</v>
      </c>
      <c r="D229" s="407">
        <v>34800</v>
      </c>
      <c r="E229" s="407">
        <v>0</v>
      </c>
      <c r="F229" s="407">
        <v>0</v>
      </c>
      <c r="G229" s="407">
        <v>1</v>
      </c>
      <c r="H229" s="154">
        <f t="shared" si="16"/>
        <v>34800</v>
      </c>
    </row>
    <row r="230" spans="1:8" ht="15.75">
      <c r="A230" s="41"/>
      <c r="B230" s="408" t="s">
        <v>1020</v>
      </c>
      <c r="C230" s="407" t="s">
        <v>1018</v>
      </c>
      <c r="D230" s="407">
        <v>21970</v>
      </c>
      <c r="E230" s="407">
        <v>0</v>
      </c>
      <c r="F230" s="407">
        <v>0</v>
      </c>
      <c r="G230" s="407">
        <v>1</v>
      </c>
      <c r="H230" s="154">
        <f t="shared" si="16"/>
        <v>21970</v>
      </c>
    </row>
    <row r="231" spans="1:8" ht="30.75">
      <c r="A231" s="194"/>
      <c r="B231" s="408" t="s">
        <v>1021</v>
      </c>
      <c r="C231" s="407" t="s">
        <v>1018</v>
      </c>
      <c r="D231" s="407">
        <v>6498</v>
      </c>
      <c r="E231" s="407">
        <v>0</v>
      </c>
      <c r="F231" s="407">
        <v>0</v>
      </c>
      <c r="G231" s="407">
        <v>1</v>
      </c>
      <c r="H231" s="154">
        <f t="shared" si="16"/>
        <v>6498</v>
      </c>
    </row>
    <row r="232" spans="1:8" ht="15.75">
      <c r="A232" s="41"/>
      <c r="B232" s="408" t="s">
        <v>1022</v>
      </c>
      <c r="C232" s="407" t="s">
        <v>1018</v>
      </c>
      <c r="D232" s="407">
        <v>36842</v>
      </c>
      <c r="E232" s="407">
        <v>0</v>
      </c>
      <c r="F232" s="407">
        <v>0</v>
      </c>
      <c r="G232" s="409">
        <v>1</v>
      </c>
      <c r="H232" s="154">
        <f t="shared" si="16"/>
        <v>36842</v>
      </c>
    </row>
    <row r="233" spans="1:8" ht="15.75">
      <c r="A233" s="41"/>
      <c r="B233" s="408" t="s">
        <v>1023</v>
      </c>
      <c r="C233" s="407" t="s">
        <v>1018</v>
      </c>
      <c r="D233" s="407">
        <v>5148</v>
      </c>
      <c r="E233" s="407">
        <v>0</v>
      </c>
      <c r="F233" s="407">
        <v>0</v>
      </c>
      <c r="G233" s="405">
        <v>1</v>
      </c>
      <c r="H233" s="154">
        <f t="shared" si="16"/>
        <v>5148</v>
      </c>
    </row>
    <row r="234" spans="1:8" ht="15.75">
      <c r="A234" s="41"/>
      <c r="B234" s="408" t="s">
        <v>1024</v>
      </c>
      <c r="C234" s="407" t="s">
        <v>1018</v>
      </c>
      <c r="D234" s="407">
        <v>38000</v>
      </c>
      <c r="E234" s="407">
        <v>0</v>
      </c>
      <c r="F234" s="407">
        <v>0</v>
      </c>
      <c r="G234" s="407">
        <v>2</v>
      </c>
      <c r="H234" s="154">
        <f t="shared" si="16"/>
        <v>76000</v>
      </c>
    </row>
    <row r="235" spans="1:8" ht="15.75">
      <c r="A235" s="41"/>
      <c r="B235" s="408" t="s">
        <v>1025</v>
      </c>
      <c r="C235" s="407" t="s">
        <v>1018</v>
      </c>
      <c r="D235" s="407">
        <v>30000</v>
      </c>
      <c r="E235" s="407">
        <v>0</v>
      </c>
      <c r="F235" s="407">
        <v>0</v>
      </c>
      <c r="G235" s="407">
        <v>1</v>
      </c>
      <c r="H235" s="154">
        <f t="shared" si="16"/>
        <v>30000</v>
      </c>
    </row>
    <row r="236" spans="1:8" ht="15.75">
      <c r="A236" s="41"/>
      <c r="B236" s="408" t="s">
        <v>318</v>
      </c>
      <c r="C236" s="407" t="s">
        <v>1018</v>
      </c>
      <c r="D236" s="407">
        <v>2277</v>
      </c>
      <c r="E236" s="407">
        <v>0</v>
      </c>
      <c r="F236" s="407">
        <v>0</v>
      </c>
      <c r="G236" s="407">
        <v>6</v>
      </c>
      <c r="H236" s="154">
        <f t="shared" si="16"/>
        <v>13662</v>
      </c>
    </row>
    <row r="237" spans="1:8" ht="15.75">
      <c r="A237" s="41"/>
      <c r="B237" s="408" t="s">
        <v>1027</v>
      </c>
      <c r="C237" s="407" t="s">
        <v>1018</v>
      </c>
      <c r="D237" s="407">
        <v>29800</v>
      </c>
      <c r="E237" s="407">
        <v>0</v>
      </c>
      <c r="F237" s="407">
        <v>0</v>
      </c>
      <c r="G237" s="407">
        <v>1</v>
      </c>
      <c r="H237" s="154">
        <f t="shared" si="16"/>
        <v>29800</v>
      </c>
    </row>
    <row r="238" spans="1:8" ht="15.75">
      <c r="A238" s="41"/>
      <c r="B238" s="408" t="s">
        <v>1028</v>
      </c>
      <c r="C238" s="407" t="s">
        <v>1018</v>
      </c>
      <c r="D238" s="407">
        <v>23000</v>
      </c>
      <c r="E238" s="407">
        <v>0</v>
      </c>
      <c r="F238" s="407">
        <v>0</v>
      </c>
      <c r="G238" s="407">
        <v>1</v>
      </c>
      <c r="H238" s="154">
        <f t="shared" si="16"/>
        <v>23000</v>
      </c>
    </row>
    <row r="239" spans="1:8" ht="15.75">
      <c r="A239" s="41"/>
      <c r="B239" s="408" t="s">
        <v>1029</v>
      </c>
      <c r="C239" s="407" t="s">
        <v>1018</v>
      </c>
      <c r="D239" s="407">
        <v>3480</v>
      </c>
      <c r="E239" s="407">
        <v>0</v>
      </c>
      <c r="F239" s="407">
        <v>0</v>
      </c>
      <c r="G239" s="407">
        <v>1</v>
      </c>
      <c r="H239" s="154">
        <f t="shared" si="16"/>
        <v>3480</v>
      </c>
    </row>
    <row r="240" spans="1:8" ht="15.75">
      <c r="A240" s="41"/>
      <c r="B240" s="408" t="s">
        <v>1081</v>
      </c>
      <c r="C240" s="407" t="s">
        <v>1018</v>
      </c>
      <c r="D240" s="407">
        <v>4000</v>
      </c>
      <c r="E240" s="407">
        <v>0</v>
      </c>
      <c r="F240" s="407">
        <v>0</v>
      </c>
      <c r="G240" s="407">
        <v>3</v>
      </c>
      <c r="H240" s="154">
        <f t="shared" si="16"/>
        <v>12000</v>
      </c>
    </row>
    <row r="241" spans="1:8" ht="15.75">
      <c r="A241" s="48"/>
      <c r="B241" s="408" t="s">
        <v>1082</v>
      </c>
      <c r="C241" s="407" t="s">
        <v>1018</v>
      </c>
      <c r="D241" s="407">
        <v>9500</v>
      </c>
      <c r="E241" s="407">
        <v>0</v>
      </c>
      <c r="F241" s="407">
        <v>0</v>
      </c>
      <c r="G241" s="407">
        <v>1</v>
      </c>
      <c r="H241" s="154">
        <f t="shared" si="16"/>
        <v>9500</v>
      </c>
    </row>
    <row r="242" spans="1:8" ht="15.75">
      <c r="A242" s="41"/>
      <c r="B242" s="408" t="s">
        <v>1083</v>
      </c>
      <c r="C242" s="407" t="s">
        <v>1018</v>
      </c>
      <c r="D242" s="407">
        <v>5980</v>
      </c>
      <c r="E242" s="407">
        <v>0</v>
      </c>
      <c r="F242" s="407">
        <v>0</v>
      </c>
      <c r="G242" s="407">
        <v>1</v>
      </c>
      <c r="H242" s="154">
        <f t="shared" si="16"/>
        <v>5980</v>
      </c>
    </row>
    <row r="243" spans="1:8" ht="15.75">
      <c r="A243" s="41"/>
      <c r="B243" s="408" t="s">
        <v>1012</v>
      </c>
      <c r="C243" s="407" t="s">
        <v>1018</v>
      </c>
      <c r="D243" s="407">
        <v>3943</v>
      </c>
      <c r="E243" s="407">
        <v>0</v>
      </c>
      <c r="F243" s="407">
        <v>0</v>
      </c>
      <c r="G243" s="407">
        <v>3</v>
      </c>
      <c r="H243" s="154">
        <f t="shared" si="16"/>
        <v>11829</v>
      </c>
    </row>
    <row r="244" spans="1:8" ht="15.75">
      <c r="A244" s="41"/>
      <c r="B244" s="408" t="s">
        <v>1014</v>
      </c>
      <c r="C244" s="407" t="s">
        <v>1018</v>
      </c>
      <c r="D244" s="407">
        <v>4579</v>
      </c>
      <c r="E244" s="407">
        <v>0</v>
      </c>
      <c r="F244" s="407">
        <v>0</v>
      </c>
      <c r="G244" s="407">
        <v>3</v>
      </c>
      <c r="H244" s="154">
        <f t="shared" si="16"/>
        <v>13737</v>
      </c>
    </row>
    <row r="245" spans="1:8" ht="15.75">
      <c r="A245" s="41"/>
      <c r="B245" s="407" t="s">
        <v>1033</v>
      </c>
      <c r="C245" s="407"/>
      <c r="D245" s="407">
        <v>70000</v>
      </c>
      <c r="E245" s="407">
        <v>1</v>
      </c>
      <c r="F245" s="407">
        <v>0</v>
      </c>
      <c r="G245" s="407">
        <v>0</v>
      </c>
      <c r="H245" s="154">
        <f t="shared" si="16"/>
        <v>70000</v>
      </c>
    </row>
    <row r="246" spans="1:8" ht="15.75">
      <c r="A246" s="41"/>
      <c r="B246" s="79"/>
      <c r="C246" s="41"/>
      <c r="D246" s="151"/>
      <c r="E246" s="80"/>
      <c r="F246" s="80"/>
      <c r="G246" s="41"/>
      <c r="H246" s="155"/>
    </row>
    <row r="247" spans="1:8" ht="15.75">
      <c r="A247" s="176" t="s">
        <v>1034</v>
      </c>
      <c r="B247" s="123" t="s">
        <v>52</v>
      </c>
      <c r="C247" s="122" t="s">
        <v>1035</v>
      </c>
      <c r="D247" s="124">
        <v>1050</v>
      </c>
      <c r="E247" s="124">
        <v>0</v>
      </c>
      <c r="F247" s="124">
        <v>0</v>
      </c>
      <c r="G247" s="122">
        <v>9</v>
      </c>
      <c r="H247" s="156">
        <f t="shared" si="16"/>
        <v>9450</v>
      </c>
    </row>
    <row r="248" spans="1:8" ht="15.75">
      <c r="A248" s="41"/>
      <c r="B248" s="123" t="s">
        <v>1036</v>
      </c>
      <c r="C248" s="122" t="s">
        <v>1035</v>
      </c>
      <c r="D248" s="124">
        <v>150</v>
      </c>
      <c r="E248" s="124">
        <v>500</v>
      </c>
      <c r="F248" s="124">
        <v>0</v>
      </c>
      <c r="G248" s="122">
        <v>140</v>
      </c>
      <c r="H248" s="156">
        <f t="shared" si="16"/>
        <v>96000</v>
      </c>
    </row>
    <row r="249" spans="1:8" ht="15.75">
      <c r="A249" s="179"/>
      <c r="B249" s="123" t="s">
        <v>1084</v>
      </c>
      <c r="C249" s="122" t="s">
        <v>1035</v>
      </c>
      <c r="D249" s="124">
        <v>10000</v>
      </c>
      <c r="E249" s="124">
        <v>0</v>
      </c>
      <c r="F249" s="124">
        <v>0</v>
      </c>
      <c r="G249" s="122">
        <v>1</v>
      </c>
      <c r="H249" s="156">
        <f t="shared" si="16"/>
        <v>10000</v>
      </c>
    </row>
    <row r="250" spans="1:8" ht="15.75">
      <c r="A250" s="41"/>
      <c r="B250" s="123" t="s">
        <v>1085</v>
      </c>
      <c r="C250" s="122" t="s">
        <v>1035</v>
      </c>
      <c r="D250" s="124">
        <v>3000</v>
      </c>
      <c r="E250" s="124">
        <v>0</v>
      </c>
      <c r="F250" s="124">
        <v>0</v>
      </c>
      <c r="G250" s="122">
        <v>1</v>
      </c>
      <c r="H250" s="156">
        <f t="shared" si="16"/>
        <v>3000</v>
      </c>
    </row>
    <row r="251" spans="1:8" ht="15.75">
      <c r="A251" s="41"/>
      <c r="B251" s="123" t="s">
        <v>1040</v>
      </c>
      <c r="C251" s="122" t="s">
        <v>1035</v>
      </c>
      <c r="D251" s="124">
        <v>9878</v>
      </c>
      <c r="E251" s="124">
        <v>2</v>
      </c>
      <c r="F251" s="124">
        <v>0</v>
      </c>
      <c r="G251" s="122">
        <v>0</v>
      </c>
      <c r="H251" s="156">
        <f t="shared" si="16"/>
        <v>19756</v>
      </c>
    </row>
    <row r="252" spans="1:8" ht="15.75">
      <c r="A252" s="41"/>
      <c r="B252" s="123" t="s">
        <v>1042</v>
      </c>
      <c r="C252" s="122" t="s">
        <v>1035</v>
      </c>
      <c r="D252" s="124">
        <v>22980</v>
      </c>
      <c r="E252" s="124">
        <v>0</v>
      </c>
      <c r="F252" s="124">
        <v>0</v>
      </c>
      <c r="G252" s="122">
        <v>1</v>
      </c>
      <c r="H252" s="156">
        <f t="shared" si="16"/>
        <v>22980</v>
      </c>
    </row>
    <row r="253" spans="1:8" ht="15.75">
      <c r="A253" s="41"/>
      <c r="B253" s="123" t="s">
        <v>1043</v>
      </c>
      <c r="C253" s="122" t="s">
        <v>1035</v>
      </c>
      <c r="D253" s="124">
        <v>6441</v>
      </c>
      <c r="E253" s="124">
        <v>0</v>
      </c>
      <c r="F253" s="124">
        <v>0</v>
      </c>
      <c r="G253" s="122">
        <v>1</v>
      </c>
      <c r="H253" s="156">
        <f t="shared" si="16"/>
        <v>6441</v>
      </c>
    </row>
    <row r="254" spans="1:8" ht="15.75">
      <c r="A254" s="41"/>
      <c r="B254" s="123" t="s">
        <v>1045</v>
      </c>
      <c r="C254" s="122" t="s">
        <v>1035</v>
      </c>
      <c r="D254" s="124">
        <v>3943</v>
      </c>
      <c r="E254" s="124">
        <v>0</v>
      </c>
      <c r="F254" s="124">
        <v>0</v>
      </c>
      <c r="G254" s="122">
        <v>1</v>
      </c>
      <c r="H254" s="156">
        <f t="shared" si="16"/>
        <v>3943</v>
      </c>
    </row>
    <row r="255" spans="1:8" ht="15.75">
      <c r="A255" s="41"/>
      <c r="B255" s="123" t="s">
        <v>1046</v>
      </c>
      <c r="C255" s="122" t="s">
        <v>1035</v>
      </c>
      <c r="D255" s="124">
        <v>4579</v>
      </c>
      <c r="E255" s="124">
        <v>0</v>
      </c>
      <c r="F255" s="124">
        <v>0</v>
      </c>
      <c r="G255" s="122">
        <v>1</v>
      </c>
      <c r="H255" s="156">
        <f t="shared" si="16"/>
        <v>4579</v>
      </c>
    </row>
    <row r="256" spans="1:8" ht="15.75">
      <c r="A256" s="41"/>
      <c r="B256" s="410" t="s">
        <v>172</v>
      </c>
      <c r="C256" s="411" t="s">
        <v>633</v>
      </c>
      <c r="D256" s="124">
        <v>2500</v>
      </c>
      <c r="E256" s="412">
        <v>0</v>
      </c>
      <c r="F256" s="412">
        <v>0</v>
      </c>
      <c r="G256" s="412">
        <v>12</v>
      </c>
      <c r="H256" s="156">
        <f t="shared" si="16"/>
        <v>30000</v>
      </c>
    </row>
    <row r="257" spans="1:8" ht="15.75">
      <c r="A257" s="41"/>
      <c r="B257" s="413"/>
      <c r="C257" s="414"/>
      <c r="D257" s="415"/>
      <c r="E257" s="415"/>
      <c r="F257" s="415"/>
      <c r="G257" s="415"/>
      <c r="H257" s="155"/>
    </row>
    <row r="258" spans="1:8" ht="15.75">
      <c r="A258" s="203" t="s">
        <v>1048</v>
      </c>
      <c r="B258" s="416" t="s">
        <v>1049</v>
      </c>
      <c r="C258" s="417" t="s">
        <v>1050</v>
      </c>
      <c r="D258" s="418">
        <v>450</v>
      </c>
      <c r="E258" s="418">
        <v>0</v>
      </c>
      <c r="F258" s="418">
        <v>0</v>
      </c>
      <c r="G258" s="418">
        <v>235</v>
      </c>
      <c r="H258" s="199">
        <f t="shared" si="16"/>
        <v>105750</v>
      </c>
    </row>
    <row r="259" spans="1:8" ht="15.75">
      <c r="A259" s="41"/>
      <c r="B259" s="419" t="s">
        <v>1051</v>
      </c>
      <c r="C259" s="417" t="s">
        <v>1050</v>
      </c>
      <c r="D259" s="420">
        <v>6580</v>
      </c>
      <c r="E259" s="420">
        <v>0</v>
      </c>
      <c r="F259" s="420">
        <v>0</v>
      </c>
      <c r="G259" s="420">
        <v>1</v>
      </c>
      <c r="H259" s="199">
        <f t="shared" si="16"/>
        <v>6580</v>
      </c>
    </row>
    <row r="260" spans="1:8" ht="15.75">
      <c r="A260" s="41"/>
      <c r="B260" s="419" t="s">
        <v>1052</v>
      </c>
      <c r="C260" s="417" t="s">
        <v>1050</v>
      </c>
      <c r="D260" s="420">
        <v>7990</v>
      </c>
      <c r="E260" s="420">
        <v>0</v>
      </c>
      <c r="F260" s="420">
        <v>0</v>
      </c>
      <c r="G260" s="420">
        <v>1</v>
      </c>
      <c r="H260" s="199">
        <f t="shared" si="16"/>
        <v>7990</v>
      </c>
    </row>
    <row r="261" spans="1:8" ht="15.75">
      <c r="A261" s="41"/>
      <c r="B261" s="419" t="s">
        <v>186</v>
      </c>
      <c r="C261" s="417" t="s">
        <v>1050</v>
      </c>
      <c r="D261" s="420">
        <v>3000</v>
      </c>
      <c r="E261" s="420">
        <v>0</v>
      </c>
      <c r="F261" s="420">
        <v>0</v>
      </c>
      <c r="G261" s="420">
        <v>2</v>
      </c>
      <c r="H261" s="199">
        <f t="shared" si="16"/>
        <v>6000</v>
      </c>
    </row>
    <row r="262" spans="1:8" ht="15.75">
      <c r="A262" s="41"/>
      <c r="B262" s="419" t="s">
        <v>1054</v>
      </c>
      <c r="C262" s="417" t="s">
        <v>1050</v>
      </c>
      <c r="D262" s="420">
        <v>12875</v>
      </c>
      <c r="E262" s="420">
        <v>0</v>
      </c>
      <c r="F262" s="420">
        <v>0</v>
      </c>
      <c r="G262" s="420">
        <v>1</v>
      </c>
      <c r="H262" s="199">
        <f t="shared" si="16"/>
        <v>12875</v>
      </c>
    </row>
    <row r="263" spans="1:8" ht="15.75">
      <c r="A263" s="41"/>
      <c r="B263" s="419" t="s">
        <v>1086</v>
      </c>
      <c r="C263" s="417" t="s">
        <v>1050</v>
      </c>
      <c r="D263" s="420">
        <v>7777</v>
      </c>
      <c r="E263" s="420">
        <v>0</v>
      </c>
      <c r="F263" s="420">
        <v>0</v>
      </c>
      <c r="G263" s="420">
        <v>1</v>
      </c>
      <c r="H263" s="199">
        <f t="shared" si="16"/>
        <v>7777</v>
      </c>
    </row>
    <row r="264" spans="1:8" ht="15.75">
      <c r="A264" s="41"/>
      <c r="B264" s="419" t="s">
        <v>1056</v>
      </c>
      <c r="C264" s="417" t="s">
        <v>1050</v>
      </c>
      <c r="D264" s="420">
        <v>23000</v>
      </c>
      <c r="E264" s="420">
        <v>0</v>
      </c>
      <c r="F264" s="420">
        <v>0</v>
      </c>
      <c r="G264" s="420">
        <v>1</v>
      </c>
      <c r="H264" s="199">
        <f t="shared" si="16"/>
        <v>23000</v>
      </c>
    </row>
    <row r="265" spans="1:8" ht="15.75">
      <c r="A265" s="41"/>
      <c r="B265" s="419" t="s">
        <v>1012</v>
      </c>
      <c r="C265" s="417" t="s">
        <v>1050</v>
      </c>
      <c r="D265" s="420">
        <v>3943</v>
      </c>
      <c r="E265" s="420">
        <v>0</v>
      </c>
      <c r="F265" s="420">
        <v>0</v>
      </c>
      <c r="G265" s="420">
        <v>2</v>
      </c>
      <c r="H265" s="199">
        <f t="shared" si="16"/>
        <v>7886</v>
      </c>
    </row>
    <row r="266" spans="1:8" ht="15.75">
      <c r="A266" s="41"/>
      <c r="B266" s="202" t="s">
        <v>1014</v>
      </c>
      <c r="C266" s="417" t="s">
        <v>1050</v>
      </c>
      <c r="D266" s="204">
        <v>4579</v>
      </c>
      <c r="E266" s="420">
        <v>0</v>
      </c>
      <c r="F266" s="420">
        <v>0</v>
      </c>
      <c r="G266" s="203">
        <v>2</v>
      </c>
      <c r="H266" s="199">
        <f t="shared" si="16"/>
        <v>9158</v>
      </c>
    </row>
    <row r="267" spans="1:8" ht="15.75">
      <c r="A267" s="41"/>
      <c r="B267" s="419" t="s">
        <v>1057</v>
      </c>
      <c r="C267" s="417" t="s">
        <v>1050</v>
      </c>
      <c r="D267" s="420">
        <v>8228</v>
      </c>
      <c r="E267" s="420">
        <v>0</v>
      </c>
      <c r="F267" s="420">
        <v>0</v>
      </c>
      <c r="G267" s="420">
        <v>1</v>
      </c>
      <c r="H267" s="199">
        <f t="shared" si="16"/>
        <v>8228</v>
      </c>
    </row>
    <row r="268" spans="1:8" ht="15.75">
      <c r="A268" s="41"/>
      <c r="B268" s="419" t="s">
        <v>1058</v>
      </c>
      <c r="C268" s="417" t="s">
        <v>1050</v>
      </c>
      <c r="D268" s="420">
        <v>6180</v>
      </c>
      <c r="E268" s="420">
        <v>0</v>
      </c>
      <c r="F268" s="420">
        <v>0</v>
      </c>
      <c r="G268" s="420">
        <v>1</v>
      </c>
      <c r="H268" s="199">
        <f t="shared" si="16"/>
        <v>6180</v>
      </c>
    </row>
    <row r="269" spans="1:8" ht="15.75">
      <c r="A269" s="41"/>
      <c r="B269" s="419" t="s">
        <v>1059</v>
      </c>
      <c r="C269" s="417" t="s">
        <v>1050</v>
      </c>
      <c r="D269" s="420">
        <v>3850</v>
      </c>
      <c r="E269" s="420">
        <v>0</v>
      </c>
      <c r="F269" s="420">
        <v>0</v>
      </c>
      <c r="G269" s="420">
        <v>1</v>
      </c>
      <c r="H269" s="199">
        <f t="shared" si="16"/>
        <v>3850</v>
      </c>
    </row>
    <row r="270" spans="1:8" ht="15.75">
      <c r="A270" s="41"/>
      <c r="B270" s="419" t="s">
        <v>1060</v>
      </c>
      <c r="C270" s="417" t="s">
        <v>1050</v>
      </c>
      <c r="D270" s="420">
        <v>28111</v>
      </c>
      <c r="E270" s="420">
        <v>0</v>
      </c>
      <c r="F270" s="420">
        <v>0</v>
      </c>
      <c r="G270" s="420">
        <v>1</v>
      </c>
      <c r="H270" s="199">
        <f t="shared" si="16"/>
        <v>28111</v>
      </c>
    </row>
    <row r="271" spans="1:8" ht="15.75">
      <c r="A271" s="41"/>
      <c r="B271" s="202" t="s">
        <v>1061</v>
      </c>
      <c r="C271" s="417" t="s">
        <v>1050</v>
      </c>
      <c r="D271" s="204">
        <v>28800</v>
      </c>
      <c r="E271" s="420">
        <v>0</v>
      </c>
      <c r="F271" s="420">
        <v>0</v>
      </c>
      <c r="G271" s="203">
        <v>1</v>
      </c>
      <c r="H271" s="199">
        <f t="shared" si="16"/>
        <v>28800</v>
      </c>
    </row>
    <row r="272" spans="1:8" ht="15.75">
      <c r="A272" s="41"/>
      <c r="B272" s="419" t="s">
        <v>1062</v>
      </c>
      <c r="C272" s="417" t="s">
        <v>1050</v>
      </c>
      <c r="D272" s="420">
        <v>14272</v>
      </c>
      <c r="E272" s="420">
        <v>0</v>
      </c>
      <c r="F272" s="420">
        <v>0</v>
      </c>
      <c r="G272" s="420">
        <v>1</v>
      </c>
      <c r="H272" s="199">
        <f t="shared" si="16"/>
        <v>14272</v>
      </c>
    </row>
    <row r="273" spans="1:8" ht="15.75">
      <c r="A273" s="41"/>
      <c r="B273" s="419" t="s">
        <v>1063</v>
      </c>
      <c r="C273" s="417" t="s">
        <v>1050</v>
      </c>
      <c r="D273" s="420">
        <v>17999</v>
      </c>
      <c r="E273" s="420">
        <v>0</v>
      </c>
      <c r="F273" s="420">
        <v>0</v>
      </c>
      <c r="G273" s="420">
        <v>1</v>
      </c>
      <c r="H273" s="199">
        <f t="shared" si="16"/>
        <v>17999</v>
      </c>
    </row>
    <row r="274" spans="1:8" ht="15.75">
      <c r="A274" s="41"/>
      <c r="B274" s="419" t="s">
        <v>1064</v>
      </c>
      <c r="C274" s="417" t="s">
        <v>1050</v>
      </c>
      <c r="D274" s="420">
        <v>10980</v>
      </c>
      <c r="E274" s="420">
        <v>0</v>
      </c>
      <c r="F274" s="420">
        <v>0</v>
      </c>
      <c r="G274" s="420">
        <v>1</v>
      </c>
      <c r="H274" s="199">
        <f t="shared" si="16"/>
        <v>10980</v>
      </c>
    </row>
    <row r="275" spans="1:8" ht="15.75">
      <c r="A275" s="41"/>
      <c r="B275" s="262" t="s">
        <v>1066</v>
      </c>
      <c r="C275" s="263" t="s">
        <v>1050</v>
      </c>
      <c r="D275" s="264">
        <v>34000</v>
      </c>
      <c r="E275" s="265">
        <v>0</v>
      </c>
      <c r="F275" s="262">
        <v>0</v>
      </c>
      <c r="G275" s="262">
        <v>1</v>
      </c>
      <c r="H275" s="266">
        <f t="shared" si="16"/>
        <v>34000</v>
      </c>
    </row>
    <row r="276" spans="1:8" ht="15.75">
      <c r="A276" s="41"/>
      <c r="B276" s="262" t="s">
        <v>1067</v>
      </c>
      <c r="C276" s="263" t="s">
        <v>1050</v>
      </c>
      <c r="D276" s="264">
        <v>6050</v>
      </c>
      <c r="E276" s="265">
        <v>0</v>
      </c>
      <c r="F276" s="262">
        <v>0</v>
      </c>
      <c r="G276" s="262">
        <v>1</v>
      </c>
      <c r="H276" s="266">
        <f t="shared" si="16"/>
        <v>6050</v>
      </c>
    </row>
    <row r="277" spans="1:8" ht="15.75">
      <c r="A277" s="41"/>
      <c r="B277" s="51"/>
      <c r="C277" s="49"/>
      <c r="D277" s="138"/>
      <c r="E277" s="50"/>
      <c r="F277" s="51"/>
      <c r="G277" s="51"/>
      <c r="H277" s="81">
        <f t="shared" si="16"/>
        <v>0</v>
      </c>
    </row>
    <row r="278" spans="1:8" ht="15.75">
      <c r="A278" s="211" t="s">
        <v>1068</v>
      </c>
      <c r="B278" s="206" t="s">
        <v>90</v>
      </c>
      <c r="C278" s="207" t="s">
        <v>111</v>
      </c>
      <c r="D278" s="208">
        <v>450</v>
      </c>
      <c r="E278" s="209"/>
      <c r="F278" s="206"/>
      <c r="G278" s="206">
        <v>200</v>
      </c>
      <c r="H278" s="210">
        <f t="shared" si="16"/>
        <v>90000</v>
      </c>
    </row>
    <row r="279" spans="1:8" ht="15.75">
      <c r="A279" s="41"/>
      <c r="B279" s="206" t="s">
        <v>52</v>
      </c>
      <c r="C279" s="207" t="s">
        <v>111</v>
      </c>
      <c r="D279" s="208">
        <v>1050</v>
      </c>
      <c r="E279" s="209"/>
      <c r="F279" s="206"/>
      <c r="G279" s="206">
        <v>6</v>
      </c>
      <c r="H279" s="210">
        <f t="shared" si="16"/>
        <v>6300</v>
      </c>
    </row>
    <row r="280" spans="1:8" ht="15.75">
      <c r="A280" s="41"/>
      <c r="B280" s="206" t="s">
        <v>92</v>
      </c>
      <c r="C280" s="207" t="s">
        <v>111</v>
      </c>
      <c r="D280" s="208">
        <v>38000</v>
      </c>
      <c r="E280" s="209"/>
      <c r="F280" s="206"/>
      <c r="G280" s="206">
        <v>1</v>
      </c>
      <c r="H280" s="210">
        <f t="shared" si="16"/>
        <v>38000</v>
      </c>
    </row>
    <row r="281" spans="1:8" ht="15.75">
      <c r="A281" s="41"/>
      <c r="B281" s="206" t="s">
        <v>1069</v>
      </c>
      <c r="C281" s="207" t="s">
        <v>111</v>
      </c>
      <c r="D281" s="208">
        <v>32800</v>
      </c>
      <c r="E281" s="209"/>
      <c r="F281" s="206"/>
      <c r="G281" s="206">
        <v>1</v>
      </c>
      <c r="H281" s="210">
        <f t="shared" si="16"/>
        <v>32800</v>
      </c>
    </row>
    <row r="282" spans="1:8" ht="15.75">
      <c r="A282" s="41"/>
      <c r="B282" s="206" t="s">
        <v>1070</v>
      </c>
      <c r="C282" s="207" t="s">
        <v>111</v>
      </c>
      <c r="D282" s="208">
        <v>26410</v>
      </c>
      <c r="E282" s="209"/>
      <c r="F282" s="206"/>
      <c r="G282" s="206">
        <v>1</v>
      </c>
      <c r="H282" s="210">
        <f t="shared" si="16"/>
        <v>26410</v>
      </c>
    </row>
    <row r="283" spans="1:8" ht="15.75">
      <c r="A283" s="41"/>
      <c r="B283" s="206" t="s">
        <v>1071</v>
      </c>
      <c r="C283" s="207" t="s">
        <v>111</v>
      </c>
      <c r="D283" s="208">
        <v>30000</v>
      </c>
      <c r="E283" s="209"/>
      <c r="F283" s="206"/>
      <c r="G283" s="206">
        <v>1</v>
      </c>
      <c r="H283" s="210">
        <f t="shared" si="16"/>
        <v>30000</v>
      </c>
    </row>
    <row r="284" spans="1:8" ht="15.75">
      <c r="A284" s="41"/>
      <c r="B284" s="206" t="s">
        <v>1072</v>
      </c>
      <c r="C284" s="207" t="s">
        <v>111</v>
      </c>
      <c r="D284" s="208">
        <v>11000</v>
      </c>
      <c r="E284" s="209"/>
      <c r="F284" s="206"/>
      <c r="G284" s="206">
        <v>2</v>
      </c>
      <c r="H284" s="210">
        <f t="shared" si="16"/>
        <v>22000</v>
      </c>
    </row>
    <row r="285" spans="1:8" ht="15.75">
      <c r="A285" s="41"/>
      <c r="B285" s="206" t="s">
        <v>1075</v>
      </c>
      <c r="C285" s="207" t="s">
        <v>111</v>
      </c>
      <c r="D285" s="208">
        <v>15980</v>
      </c>
      <c r="E285" s="209"/>
      <c r="F285" s="206"/>
      <c r="G285" s="206">
        <v>1</v>
      </c>
      <c r="H285" s="210">
        <f t="shared" si="16"/>
        <v>15980</v>
      </c>
    </row>
    <row r="286" spans="1:8" ht="15.75">
      <c r="A286" s="41"/>
      <c r="B286" s="206" t="s">
        <v>1081</v>
      </c>
      <c r="C286" s="207" t="s">
        <v>111</v>
      </c>
      <c r="D286" s="208">
        <v>4000</v>
      </c>
      <c r="E286" s="209"/>
      <c r="F286" s="206"/>
      <c r="G286" s="206">
        <v>3</v>
      </c>
      <c r="H286" s="210">
        <f t="shared" si="16"/>
        <v>12000</v>
      </c>
    </row>
    <row r="287" spans="1:8" ht="15.75">
      <c r="A287" s="41"/>
      <c r="B287" s="206" t="s">
        <v>1012</v>
      </c>
      <c r="C287" s="421" t="s">
        <v>111</v>
      </c>
      <c r="D287" s="208">
        <v>3943</v>
      </c>
      <c r="E287" s="422"/>
      <c r="F287" s="422"/>
      <c r="G287" s="206">
        <v>3</v>
      </c>
      <c r="H287" s="210">
        <f t="shared" si="16"/>
        <v>11829</v>
      </c>
    </row>
    <row r="288" spans="1:8" ht="15.75">
      <c r="A288" s="41"/>
      <c r="B288" s="206" t="s">
        <v>318</v>
      </c>
      <c r="C288" s="421" t="s">
        <v>1087</v>
      </c>
      <c r="D288" s="208">
        <v>2277</v>
      </c>
      <c r="E288" s="422"/>
      <c r="F288" s="422"/>
      <c r="G288" s="206">
        <v>6</v>
      </c>
      <c r="H288" s="210">
        <f t="shared" ref="H288:H303" si="17">D288*(E288+F288+G288)</f>
        <v>13662</v>
      </c>
    </row>
    <row r="289" spans="1:8" ht="15.75">
      <c r="A289" s="41"/>
      <c r="B289" s="206" t="s">
        <v>1088</v>
      </c>
      <c r="C289" s="421" t="s">
        <v>1089</v>
      </c>
      <c r="D289" s="208">
        <v>43963</v>
      </c>
      <c r="E289" s="531">
        <v>1</v>
      </c>
      <c r="F289" s="422"/>
      <c r="G289" s="206"/>
      <c r="H289" s="210">
        <f t="shared" si="17"/>
        <v>43963</v>
      </c>
    </row>
    <row r="290" spans="1:8" ht="15.75">
      <c r="A290" s="41"/>
      <c r="B290" s="206" t="s">
        <v>1014</v>
      </c>
      <c r="C290" s="421" t="s">
        <v>111</v>
      </c>
      <c r="D290" s="208">
        <v>4579</v>
      </c>
      <c r="E290" s="268"/>
      <c r="F290" s="268"/>
      <c r="G290" s="206">
        <v>3</v>
      </c>
      <c r="H290" s="210">
        <f t="shared" si="17"/>
        <v>13737</v>
      </c>
    </row>
    <row r="291" spans="1:8" ht="15.75">
      <c r="A291" s="41"/>
      <c r="B291" s="51"/>
      <c r="C291" s="414"/>
      <c r="D291" s="138"/>
      <c r="E291" s="80"/>
      <c r="F291" s="80"/>
      <c r="G291" s="51"/>
      <c r="H291" s="155"/>
    </row>
    <row r="292" spans="1:8" ht="15.75">
      <c r="A292" s="41"/>
      <c r="B292" s="206" t="s">
        <v>89</v>
      </c>
      <c r="C292" s="207" t="s">
        <v>108</v>
      </c>
      <c r="D292" s="208">
        <v>150</v>
      </c>
      <c r="E292" s="209"/>
      <c r="F292" s="206"/>
      <c r="G292" s="206">
        <v>200</v>
      </c>
      <c r="H292" s="210">
        <f t="shared" ref="H292:H303" si="18">D292*(E292+F292+G292)</f>
        <v>30000</v>
      </c>
    </row>
    <row r="293" spans="1:8" ht="15.75">
      <c r="A293" s="41"/>
      <c r="B293" s="206" t="s">
        <v>52</v>
      </c>
      <c r="C293" s="207" t="s">
        <v>108</v>
      </c>
      <c r="D293" s="208">
        <v>1050</v>
      </c>
      <c r="E293" s="209"/>
      <c r="F293" s="206"/>
      <c r="G293" s="206">
        <v>8</v>
      </c>
      <c r="H293" s="210">
        <f t="shared" si="18"/>
        <v>8400</v>
      </c>
    </row>
    <row r="294" spans="1:8" ht="15.75">
      <c r="A294" s="41"/>
      <c r="B294" s="206" t="s">
        <v>100</v>
      </c>
      <c r="C294" s="207" t="s">
        <v>108</v>
      </c>
      <c r="D294" s="208">
        <v>21970</v>
      </c>
      <c r="E294" s="209"/>
      <c r="F294" s="206"/>
      <c r="G294" s="206">
        <v>2</v>
      </c>
      <c r="H294" s="210">
        <f t="shared" si="18"/>
        <v>43940</v>
      </c>
    </row>
    <row r="295" spans="1:8" ht="15.75">
      <c r="A295" s="41"/>
      <c r="B295" s="206" t="s">
        <v>85</v>
      </c>
      <c r="C295" s="207" t="s">
        <v>108</v>
      </c>
      <c r="D295" s="208">
        <v>5600</v>
      </c>
      <c r="E295" s="209"/>
      <c r="F295" s="206"/>
      <c r="G295" s="206">
        <v>2</v>
      </c>
      <c r="H295" s="210">
        <f t="shared" si="18"/>
        <v>11200</v>
      </c>
    </row>
    <row r="296" spans="1:8" ht="15.75">
      <c r="A296" s="41"/>
      <c r="B296" s="206" t="s">
        <v>1077</v>
      </c>
      <c r="C296" s="207" t="s">
        <v>108</v>
      </c>
      <c r="D296" s="208">
        <v>19800</v>
      </c>
      <c r="E296" s="209"/>
      <c r="F296" s="206"/>
      <c r="G296" s="206">
        <v>1</v>
      </c>
      <c r="H296" s="210">
        <f t="shared" si="18"/>
        <v>19800</v>
      </c>
    </row>
    <row r="297" spans="1:8" ht="15.75">
      <c r="A297" s="41"/>
      <c r="B297" s="206" t="s">
        <v>1072</v>
      </c>
      <c r="C297" s="207" t="s">
        <v>108</v>
      </c>
      <c r="D297" s="208">
        <v>11000</v>
      </c>
      <c r="E297" s="209"/>
      <c r="F297" s="206"/>
      <c r="G297" s="206">
        <v>1</v>
      </c>
      <c r="H297" s="210">
        <f t="shared" si="18"/>
        <v>11000</v>
      </c>
    </row>
    <row r="298" spans="1:8" ht="15.75">
      <c r="A298" s="41"/>
      <c r="B298" s="206" t="s">
        <v>1078</v>
      </c>
      <c r="C298" s="530" t="s">
        <v>108</v>
      </c>
      <c r="D298" s="531">
        <v>5478</v>
      </c>
      <c r="E298" s="531">
        <v>1</v>
      </c>
      <c r="F298" s="422"/>
      <c r="G298" s="531">
        <v>0</v>
      </c>
      <c r="H298" s="210">
        <f>D298*(E298+F298+G298)</f>
        <v>5478</v>
      </c>
    </row>
    <row r="299" spans="1:8" ht="15.75">
      <c r="A299" s="41"/>
      <c r="B299" s="206" t="s">
        <v>318</v>
      </c>
      <c r="C299" s="207" t="s">
        <v>108</v>
      </c>
      <c r="D299" s="208">
        <v>2277</v>
      </c>
      <c r="E299" s="209"/>
      <c r="F299" s="206"/>
      <c r="G299" s="206">
        <v>2</v>
      </c>
      <c r="H299" s="210">
        <f t="shared" si="18"/>
        <v>4554</v>
      </c>
    </row>
    <row r="300" spans="1:8" ht="15.75">
      <c r="A300" s="41"/>
      <c r="B300" s="206" t="s">
        <v>1090</v>
      </c>
      <c r="C300" s="207" t="s">
        <v>108</v>
      </c>
      <c r="D300" s="208">
        <v>7400</v>
      </c>
      <c r="E300" s="209"/>
      <c r="F300" s="206"/>
      <c r="G300" s="206">
        <v>1</v>
      </c>
      <c r="H300" s="210">
        <f t="shared" si="18"/>
        <v>7400</v>
      </c>
    </row>
    <row r="301" spans="1:8" ht="15.75">
      <c r="A301" s="41"/>
      <c r="B301" s="206" t="s">
        <v>172</v>
      </c>
      <c r="C301" s="207" t="s">
        <v>108</v>
      </c>
      <c r="D301" s="208">
        <v>2500</v>
      </c>
      <c r="E301" s="209"/>
      <c r="F301" s="206"/>
      <c r="G301" s="206">
        <v>12</v>
      </c>
      <c r="H301" s="210">
        <f t="shared" si="18"/>
        <v>30000</v>
      </c>
    </row>
    <row r="302" spans="1:8" ht="15.75">
      <c r="A302" s="41"/>
      <c r="B302" s="206" t="s">
        <v>1012</v>
      </c>
      <c r="C302" s="207" t="s">
        <v>108</v>
      </c>
      <c r="D302" s="208">
        <v>3943</v>
      </c>
      <c r="E302" s="209"/>
      <c r="F302" s="206"/>
      <c r="G302" s="206">
        <v>1</v>
      </c>
      <c r="H302" s="210">
        <f t="shared" si="18"/>
        <v>3943</v>
      </c>
    </row>
    <row r="303" spans="1:8" ht="15.75">
      <c r="A303" s="41"/>
      <c r="B303" s="206" t="s">
        <v>1014</v>
      </c>
      <c r="C303" s="207" t="s">
        <v>108</v>
      </c>
      <c r="D303" s="208">
        <v>4579</v>
      </c>
      <c r="E303" s="209"/>
      <c r="F303" s="206"/>
      <c r="G303" s="206">
        <v>1</v>
      </c>
      <c r="H303" s="210">
        <f t="shared" si="18"/>
        <v>4579</v>
      </c>
    </row>
    <row r="304" spans="1:8" ht="15.75"/>
    <row r="305" ht="15.75"/>
    <row r="306" ht="15.75"/>
    <row r="307" ht="15.75"/>
    <row r="308" ht="15.75"/>
    <row r="309" ht="15.75"/>
    <row r="310" ht="15.75"/>
  </sheetData>
  <phoneticPr fontId="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313C-7416-422B-974A-E489BAF65BBF}">
  <dimension ref="A1:H458"/>
  <sheetViews>
    <sheetView topLeftCell="A4" zoomScaleNormal="100" workbookViewId="0">
      <selection activeCell="G11" sqref="G11"/>
    </sheetView>
  </sheetViews>
  <sheetFormatPr defaultColWidth="9" defaultRowHeight="15.75" customHeight="1"/>
  <cols>
    <col min="1" max="1" width="7" style="244" bestFit="1" customWidth="1"/>
    <col min="2" max="2" width="15.875" style="244" bestFit="1" customWidth="1"/>
    <col min="3" max="3" width="22.75" style="244" bestFit="1" customWidth="1"/>
    <col min="4" max="4" width="11.25" style="244" bestFit="1" customWidth="1"/>
    <col min="5" max="7" width="5.625" style="244" bestFit="1" customWidth="1"/>
    <col min="8" max="8" width="8.625" style="244" bestFit="1" customWidth="1"/>
    <col min="9" max="16384" width="9" style="244"/>
  </cols>
  <sheetData>
    <row r="1" spans="1:8" ht="11.25">
      <c r="A1" s="243">
        <v>46081</v>
      </c>
    </row>
    <row r="2" spans="1:8" ht="11.25">
      <c r="A2" s="556" t="s">
        <v>0</v>
      </c>
      <c r="B2" s="556" t="s">
        <v>1</v>
      </c>
      <c r="C2" s="556" t="s">
        <v>2</v>
      </c>
      <c r="D2" s="556" t="s">
        <v>3</v>
      </c>
      <c r="E2" s="557" t="s">
        <v>4</v>
      </c>
      <c r="F2" s="557"/>
      <c r="G2" s="557"/>
      <c r="H2" s="555" t="s">
        <v>5</v>
      </c>
    </row>
    <row r="3" spans="1:8" s="240" customFormat="1" ht="11.25">
      <c r="A3" s="556"/>
      <c r="B3" s="556"/>
      <c r="C3" s="556"/>
      <c r="D3" s="556"/>
      <c r="E3" s="434" t="s">
        <v>6</v>
      </c>
      <c r="F3" s="434" t="s">
        <v>7</v>
      </c>
      <c r="G3" s="239" t="s">
        <v>8</v>
      </c>
      <c r="H3" s="555"/>
    </row>
    <row r="4" spans="1:8" ht="11.25">
      <c r="A4" s="246"/>
      <c r="B4" s="112"/>
      <c r="C4" s="111"/>
      <c r="D4" s="117"/>
      <c r="E4" s="111">
        <f>SUM(E5:E303)</f>
        <v>2381</v>
      </c>
      <c r="F4" s="111">
        <f>SUM(F5:F303)</f>
        <v>1084</v>
      </c>
      <c r="G4" s="111">
        <f>SUM(G5:G303)</f>
        <v>3091</v>
      </c>
      <c r="H4" s="116">
        <f>SUM(H5:H334)</f>
        <v>4332895</v>
      </c>
    </row>
    <row r="5" spans="1:8" ht="11.25">
      <c r="A5" s="435" t="s">
        <v>1103</v>
      </c>
      <c r="B5" s="425" t="s">
        <v>1104</v>
      </c>
      <c r="C5" s="426" t="s">
        <v>92</v>
      </c>
      <c r="D5" s="427">
        <v>39800</v>
      </c>
      <c r="E5" s="427"/>
      <c r="F5" s="426"/>
      <c r="G5" s="426">
        <v>1</v>
      </c>
      <c r="H5" s="428">
        <f t="shared" ref="H5:H11" si="0">D5*(E5+F5+G5)</f>
        <v>39800</v>
      </c>
    </row>
    <row r="6" spans="1:8" ht="11.25">
      <c r="A6" s="435"/>
      <c r="B6" s="425"/>
      <c r="C6" s="426" t="s">
        <v>1105</v>
      </c>
      <c r="D6" s="427">
        <v>20000</v>
      </c>
      <c r="E6" s="427"/>
      <c r="F6" s="426"/>
      <c r="G6" s="426">
        <v>1</v>
      </c>
      <c r="H6" s="428">
        <f t="shared" si="0"/>
        <v>20000</v>
      </c>
    </row>
    <row r="7" spans="1:8" ht="11.25">
      <c r="A7" s="435"/>
      <c r="B7" s="425"/>
      <c r="C7" s="426" t="s">
        <v>1106</v>
      </c>
      <c r="D7" s="427">
        <v>5000</v>
      </c>
      <c r="E7" s="427"/>
      <c r="F7" s="426"/>
      <c r="G7" s="426"/>
      <c r="H7" s="428">
        <f t="shared" si="0"/>
        <v>0</v>
      </c>
    </row>
    <row r="8" spans="1:8" ht="11.25">
      <c r="A8" s="435"/>
      <c r="B8" s="425"/>
      <c r="C8" s="426" t="s">
        <v>1107</v>
      </c>
      <c r="D8" s="427">
        <v>29800</v>
      </c>
      <c r="E8" s="427"/>
      <c r="F8" s="426"/>
      <c r="G8" s="426">
        <v>3</v>
      </c>
      <c r="H8" s="428">
        <f t="shared" si="0"/>
        <v>89400</v>
      </c>
    </row>
    <row r="9" spans="1:8" ht="11.25">
      <c r="A9" s="435"/>
      <c r="B9" s="425"/>
      <c r="C9" s="426" t="s">
        <v>1108</v>
      </c>
      <c r="D9" s="427">
        <v>25000</v>
      </c>
      <c r="E9" s="427"/>
      <c r="F9" s="426"/>
      <c r="G9" s="426"/>
      <c r="H9" s="428">
        <f t="shared" si="0"/>
        <v>0</v>
      </c>
    </row>
    <row r="10" spans="1:8" ht="11.25">
      <c r="A10" s="435"/>
      <c r="B10" s="425"/>
      <c r="C10" s="426" t="s">
        <v>1109</v>
      </c>
      <c r="D10" s="427">
        <v>38700</v>
      </c>
      <c r="E10" s="427"/>
      <c r="F10" s="426"/>
      <c r="G10" s="426">
        <v>1</v>
      </c>
      <c r="H10" s="428">
        <f t="shared" si="0"/>
        <v>38700</v>
      </c>
    </row>
    <row r="11" spans="1:8" ht="11.25">
      <c r="A11" s="435"/>
      <c r="B11" s="425"/>
      <c r="C11" s="426" t="s">
        <v>16</v>
      </c>
      <c r="D11" s="427">
        <v>1000</v>
      </c>
      <c r="E11" s="427"/>
      <c r="F11" s="426"/>
      <c r="G11" s="426">
        <v>3</v>
      </c>
      <c r="H11" s="428">
        <f t="shared" si="0"/>
        <v>3000</v>
      </c>
    </row>
    <row r="12" spans="1:8" ht="11.25">
      <c r="A12" s="435"/>
      <c r="B12" s="425"/>
      <c r="C12" s="426" t="s">
        <v>159</v>
      </c>
      <c r="D12" s="427"/>
      <c r="E12" s="427"/>
      <c r="F12" s="426"/>
      <c r="G12" s="426"/>
      <c r="H12" s="428"/>
    </row>
    <row r="13" spans="1:8" ht="11.25">
      <c r="A13" s="435"/>
      <c r="B13" s="425"/>
      <c r="C13" s="426" t="s">
        <v>1110</v>
      </c>
      <c r="D13" s="427">
        <v>450</v>
      </c>
      <c r="E13" s="427"/>
      <c r="F13" s="426"/>
      <c r="G13" s="426">
        <v>210</v>
      </c>
      <c r="H13" s="428">
        <f>D13*(E13+F13+G13)</f>
        <v>94500</v>
      </c>
    </row>
    <row r="14" spans="1:8" ht="11.25">
      <c r="A14" s="435"/>
      <c r="B14" s="425"/>
      <c r="C14" s="426" t="s">
        <v>1111</v>
      </c>
      <c r="D14" s="427"/>
      <c r="E14" s="427"/>
      <c r="F14" s="426"/>
      <c r="G14" s="426">
        <v>1</v>
      </c>
      <c r="H14" s="428"/>
    </row>
    <row r="15" spans="1:8" ht="11.25">
      <c r="A15" s="435"/>
      <c r="B15" s="425" t="s">
        <v>108</v>
      </c>
      <c r="C15" s="426" t="s">
        <v>177</v>
      </c>
      <c r="D15" s="427">
        <v>19800</v>
      </c>
      <c r="E15" s="427"/>
      <c r="F15" s="426"/>
      <c r="G15" s="426">
        <v>1</v>
      </c>
      <c r="H15" s="428">
        <f>D15*(E15+F15+G15)</f>
        <v>19800</v>
      </c>
    </row>
    <row r="16" spans="1:8" ht="11.25">
      <c r="A16" s="435"/>
      <c r="B16" s="425"/>
      <c r="C16" s="426" t="s">
        <v>1112</v>
      </c>
      <c r="D16" s="427">
        <v>5500</v>
      </c>
      <c r="E16" s="427"/>
      <c r="F16" s="426"/>
      <c r="G16" s="426">
        <v>2</v>
      </c>
      <c r="H16" s="428">
        <f>D16*(E16+F16+G16)</f>
        <v>11000</v>
      </c>
    </row>
    <row r="17" spans="1:8" ht="11.25">
      <c r="A17" s="435"/>
      <c r="B17" s="425"/>
      <c r="C17" s="426" t="s">
        <v>1113</v>
      </c>
      <c r="D17" s="427">
        <v>5500</v>
      </c>
      <c r="E17" s="427"/>
      <c r="F17" s="429"/>
      <c r="G17" s="426"/>
      <c r="H17" s="428">
        <f>D17*(E17+F17+G17)</f>
        <v>0</v>
      </c>
    </row>
    <row r="18" spans="1:8" ht="11.25">
      <c r="A18" s="435"/>
      <c r="B18" s="425"/>
      <c r="C18" s="426" t="s">
        <v>85</v>
      </c>
      <c r="D18" s="427">
        <v>5500</v>
      </c>
      <c r="E18" s="427"/>
      <c r="F18" s="426"/>
      <c r="G18" s="426"/>
      <c r="H18" s="428">
        <f>D18*(E18+F18+G18)</f>
        <v>0</v>
      </c>
    </row>
    <row r="19" spans="1:8" ht="11.25">
      <c r="A19" s="435"/>
      <c r="B19" s="425"/>
      <c r="C19" s="426" t="s">
        <v>1114</v>
      </c>
      <c r="D19" s="427">
        <v>12500</v>
      </c>
      <c r="E19" s="427"/>
      <c r="F19" s="426"/>
      <c r="G19" s="426"/>
      <c r="H19" s="428"/>
    </row>
    <row r="20" spans="1:8" ht="11.25">
      <c r="A20" s="435"/>
      <c r="B20" s="425"/>
      <c r="C20" s="426" t="s">
        <v>1115</v>
      </c>
      <c r="D20" s="427">
        <v>10000</v>
      </c>
      <c r="E20" s="427"/>
      <c r="F20" s="426"/>
      <c r="G20" s="426"/>
      <c r="H20" s="428">
        <f>D20*(E20+F20+G20)</f>
        <v>0</v>
      </c>
    </row>
    <row r="21" spans="1:8" ht="11.25">
      <c r="A21" s="435"/>
      <c r="B21" s="425"/>
      <c r="C21" s="426" t="s">
        <v>16</v>
      </c>
      <c r="D21" s="427">
        <v>1050</v>
      </c>
      <c r="E21" s="427"/>
      <c r="F21" s="426"/>
      <c r="G21" s="426">
        <v>5</v>
      </c>
      <c r="H21" s="428">
        <f>D21*(E21+F21+G21)</f>
        <v>5250</v>
      </c>
    </row>
    <row r="22" spans="1:8" ht="11.25">
      <c r="A22" s="435"/>
      <c r="B22" s="425"/>
      <c r="C22" s="426" t="s">
        <v>172</v>
      </c>
      <c r="D22" s="427">
        <v>1500</v>
      </c>
      <c r="E22" s="427"/>
      <c r="F22" s="426"/>
      <c r="G22" s="426">
        <v>2</v>
      </c>
      <c r="H22" s="428">
        <v>3000</v>
      </c>
    </row>
    <row r="23" spans="1:8" ht="11.25">
      <c r="A23" s="435"/>
      <c r="B23" s="425"/>
      <c r="C23" s="426" t="s">
        <v>1116</v>
      </c>
      <c r="D23" s="427">
        <v>150</v>
      </c>
      <c r="E23" s="427"/>
      <c r="F23" s="426"/>
      <c r="G23" s="426">
        <v>200</v>
      </c>
      <c r="H23" s="428">
        <f>D23*(E23+F23+G23)</f>
        <v>30000</v>
      </c>
    </row>
    <row r="24" spans="1:8" ht="11.25">
      <c r="A24" s="435"/>
      <c r="B24" s="425"/>
      <c r="C24" s="426"/>
      <c r="D24" s="427"/>
      <c r="E24" s="427"/>
      <c r="F24" s="426"/>
      <c r="G24" s="426"/>
      <c r="H24" s="428"/>
    </row>
    <row r="25" spans="1:8" ht="11.25">
      <c r="A25" s="435"/>
      <c r="B25" s="425" t="s">
        <v>105</v>
      </c>
      <c r="C25" s="426" t="s">
        <v>1117</v>
      </c>
      <c r="D25" s="427">
        <v>5000</v>
      </c>
      <c r="E25" s="427"/>
      <c r="F25" s="426"/>
      <c r="G25" s="426">
        <v>3</v>
      </c>
      <c r="H25" s="428">
        <f t="shared" ref="H25:H31" si="1">D25*(E25+F25+G25)</f>
        <v>15000</v>
      </c>
    </row>
    <row r="26" spans="1:8" ht="11.25">
      <c r="A26" s="435"/>
      <c r="B26" s="425"/>
      <c r="C26" s="426" t="s">
        <v>101</v>
      </c>
      <c r="D26" s="427">
        <v>4000</v>
      </c>
      <c r="E26" s="427"/>
      <c r="F26" s="426"/>
      <c r="G26" s="426">
        <v>2</v>
      </c>
      <c r="H26" s="428">
        <f t="shared" si="1"/>
        <v>8000</v>
      </c>
    </row>
    <row r="27" spans="1:8" ht="11.25">
      <c r="A27" s="435"/>
      <c r="B27" s="425"/>
      <c r="C27" s="426"/>
      <c r="D27" s="427"/>
      <c r="E27" s="427"/>
      <c r="F27" s="426"/>
      <c r="G27" s="426"/>
      <c r="H27" s="428">
        <f t="shared" si="1"/>
        <v>0</v>
      </c>
    </row>
    <row r="28" spans="1:8" ht="11.25">
      <c r="A28" s="435"/>
      <c r="B28" s="425"/>
      <c r="C28" s="426" t="s">
        <v>16</v>
      </c>
      <c r="D28" s="427">
        <v>1000</v>
      </c>
      <c r="E28" s="427"/>
      <c r="F28" s="426"/>
      <c r="G28" s="426">
        <v>9</v>
      </c>
      <c r="H28" s="428">
        <f t="shared" si="1"/>
        <v>9000</v>
      </c>
    </row>
    <row r="29" spans="1:8" ht="11.25">
      <c r="A29" s="435"/>
      <c r="B29" s="425"/>
      <c r="C29" s="426"/>
      <c r="D29" s="427"/>
      <c r="E29" s="427"/>
      <c r="F29" s="426"/>
      <c r="G29" s="426"/>
      <c r="H29" s="428">
        <f t="shared" si="1"/>
        <v>0</v>
      </c>
    </row>
    <row r="30" spans="1:8" ht="11.25">
      <c r="A30" s="435"/>
      <c r="B30" s="425"/>
      <c r="C30" s="426" t="s">
        <v>1118</v>
      </c>
      <c r="D30" s="427">
        <v>55</v>
      </c>
      <c r="E30" s="427"/>
      <c r="F30" s="426"/>
      <c r="G30" s="426">
        <v>350</v>
      </c>
      <c r="H30" s="428">
        <f t="shared" si="1"/>
        <v>19250</v>
      </c>
    </row>
    <row r="31" spans="1:8" ht="11.25">
      <c r="A31" s="435"/>
      <c r="B31" s="425"/>
      <c r="C31" s="426"/>
      <c r="D31" s="427"/>
      <c r="E31" s="427"/>
      <c r="F31" s="426"/>
      <c r="G31" s="426"/>
      <c r="H31" s="428">
        <f t="shared" si="1"/>
        <v>0</v>
      </c>
    </row>
    <row r="32" spans="1:8" ht="11.25">
      <c r="A32" s="246"/>
      <c r="B32" s="112"/>
      <c r="C32" s="111"/>
      <c r="D32" s="117"/>
      <c r="E32" s="114"/>
      <c r="F32" s="115"/>
      <c r="G32" s="115"/>
      <c r="H32" s="116"/>
    </row>
    <row r="33" spans="1:8" ht="11.25">
      <c r="A33" s="436" t="s">
        <v>1119</v>
      </c>
      <c r="B33" s="430" t="s">
        <v>1104</v>
      </c>
      <c r="C33" s="438" t="s">
        <v>92</v>
      </c>
      <c r="D33" s="432">
        <v>39800</v>
      </c>
      <c r="E33" s="432"/>
      <c r="F33" s="431"/>
      <c r="G33" s="431">
        <v>1</v>
      </c>
      <c r="H33" s="433">
        <f t="shared" ref="H33:H40" si="2">D33*(E33+F33+G33)</f>
        <v>39800</v>
      </c>
    </row>
    <row r="34" spans="1:8" ht="11.25">
      <c r="A34" s="436"/>
      <c r="B34" s="430"/>
      <c r="C34" s="431" t="s">
        <v>1105</v>
      </c>
      <c r="D34" s="432">
        <v>25000</v>
      </c>
      <c r="E34" s="432"/>
      <c r="F34" s="431"/>
      <c r="G34" s="431">
        <v>1</v>
      </c>
      <c r="H34" s="433">
        <f t="shared" si="2"/>
        <v>25000</v>
      </c>
    </row>
    <row r="35" spans="1:8" ht="11.25">
      <c r="A35" s="436"/>
      <c r="B35" s="430"/>
      <c r="C35" s="431"/>
      <c r="D35" s="432"/>
      <c r="E35" s="432"/>
      <c r="F35" s="431"/>
      <c r="G35" s="431"/>
      <c r="H35" s="433">
        <f t="shared" si="2"/>
        <v>0</v>
      </c>
    </row>
    <row r="36" spans="1:8" s="437" customFormat="1" ht="11.25">
      <c r="A36" s="436"/>
      <c r="B36" s="430"/>
      <c r="C36" s="431"/>
      <c r="D36" s="432"/>
      <c r="E36" s="432"/>
      <c r="F36" s="431"/>
      <c r="G36" s="431"/>
      <c r="H36" s="433">
        <f t="shared" si="2"/>
        <v>0</v>
      </c>
    </row>
    <row r="37" spans="1:8" ht="11.25">
      <c r="A37" s="436"/>
      <c r="B37" s="430"/>
      <c r="C37" s="431" t="s">
        <v>1120</v>
      </c>
      <c r="D37" s="432">
        <v>26500</v>
      </c>
      <c r="E37" s="432"/>
      <c r="F37" s="431"/>
      <c r="G37" s="431">
        <v>1</v>
      </c>
      <c r="H37" s="433">
        <f t="shared" si="2"/>
        <v>26500</v>
      </c>
    </row>
    <row r="38" spans="1:8" ht="11.25">
      <c r="A38" s="436"/>
      <c r="B38" s="430"/>
      <c r="C38" s="431"/>
      <c r="D38" s="432"/>
      <c r="E38" s="432"/>
      <c r="F38" s="431"/>
      <c r="G38" s="431"/>
      <c r="H38" s="433">
        <f t="shared" si="2"/>
        <v>0</v>
      </c>
    </row>
    <row r="39" spans="1:8" ht="11.25">
      <c r="A39" s="436"/>
      <c r="B39" s="430"/>
      <c r="C39" s="431" t="s">
        <v>152</v>
      </c>
      <c r="D39" s="432">
        <v>59800</v>
      </c>
      <c r="E39" s="432"/>
      <c r="F39" s="431"/>
      <c r="G39" s="431">
        <v>1</v>
      </c>
      <c r="H39" s="433">
        <f t="shared" si="2"/>
        <v>59800</v>
      </c>
    </row>
    <row r="40" spans="1:8" ht="11.25">
      <c r="A40" s="436"/>
      <c r="B40" s="430"/>
      <c r="C40" s="431" t="s">
        <v>814</v>
      </c>
      <c r="D40" s="432"/>
      <c r="E40" s="432"/>
      <c r="F40" s="431"/>
      <c r="G40" s="431"/>
      <c r="H40" s="433">
        <f t="shared" si="2"/>
        <v>0</v>
      </c>
    </row>
    <row r="41" spans="1:8" ht="11.25">
      <c r="A41" s="436"/>
      <c r="B41" s="430"/>
      <c r="C41" s="431" t="s">
        <v>16</v>
      </c>
      <c r="D41" s="432">
        <v>1050</v>
      </c>
      <c r="E41" s="432"/>
      <c r="F41" s="431"/>
      <c r="G41" s="431">
        <v>4</v>
      </c>
      <c r="H41" s="433">
        <v>4200</v>
      </c>
    </row>
    <row r="42" spans="1:8" ht="11.25">
      <c r="A42" s="436"/>
      <c r="B42" s="430"/>
      <c r="C42" s="431" t="s">
        <v>1110</v>
      </c>
      <c r="D42" s="432">
        <v>450</v>
      </c>
      <c r="E42" s="432"/>
      <c r="F42" s="431"/>
      <c r="G42" s="431">
        <v>210</v>
      </c>
      <c r="H42" s="433">
        <f>D42*(E42+F42+G42)</f>
        <v>94500</v>
      </c>
    </row>
    <row r="43" spans="1:8" ht="11.25">
      <c r="A43" s="436"/>
      <c r="B43" s="430"/>
      <c r="C43" s="431"/>
      <c r="D43" s="432"/>
      <c r="E43" s="432"/>
      <c r="F43" s="431"/>
      <c r="G43" s="431"/>
      <c r="H43" s="433">
        <f>D43*(E43+F43+G43)</f>
        <v>0</v>
      </c>
    </row>
    <row r="44" spans="1:8" ht="11.25">
      <c r="A44" s="436"/>
      <c r="B44" s="430" t="s">
        <v>1121</v>
      </c>
      <c r="C44" s="431" t="s">
        <v>177</v>
      </c>
      <c r="D44" s="432">
        <v>19800</v>
      </c>
      <c r="E44" s="432"/>
      <c r="F44" s="431"/>
      <c r="G44" s="431">
        <v>2</v>
      </c>
      <c r="H44" s="433">
        <f t="shared" ref="H44:H51" si="3">D44*(E44+F44+G44)</f>
        <v>39600</v>
      </c>
    </row>
    <row r="45" spans="1:8" ht="11.25">
      <c r="A45" s="436"/>
      <c r="B45" s="430"/>
      <c r="C45" s="431" t="s">
        <v>86</v>
      </c>
      <c r="D45" s="432">
        <v>19800</v>
      </c>
      <c r="E45" s="432"/>
      <c r="F45" s="431"/>
      <c r="G45" s="431"/>
      <c r="H45" s="433">
        <f t="shared" si="3"/>
        <v>0</v>
      </c>
    </row>
    <row r="46" spans="1:8" ht="11.25">
      <c r="A46" s="436"/>
      <c r="B46" s="430"/>
      <c r="C46" s="431" t="s">
        <v>172</v>
      </c>
      <c r="D46" s="432">
        <v>1500</v>
      </c>
      <c r="E46" s="432"/>
      <c r="F46" s="431"/>
      <c r="G46" s="431">
        <v>3</v>
      </c>
      <c r="H46" s="433">
        <f t="shared" si="3"/>
        <v>4500</v>
      </c>
    </row>
    <row r="47" spans="1:8" ht="11.25">
      <c r="A47" s="436"/>
      <c r="B47" s="430"/>
      <c r="C47" s="431" t="s">
        <v>1122</v>
      </c>
      <c r="D47" s="432">
        <v>12990</v>
      </c>
      <c r="E47" s="432"/>
      <c r="F47" s="431"/>
      <c r="G47" s="431">
        <v>1</v>
      </c>
      <c r="H47" s="433">
        <f t="shared" si="3"/>
        <v>12990</v>
      </c>
    </row>
    <row r="48" spans="1:8" ht="11.25">
      <c r="A48" s="436"/>
      <c r="B48" s="430"/>
      <c r="C48" s="431" t="s">
        <v>1105</v>
      </c>
      <c r="D48" s="432">
        <v>10000</v>
      </c>
      <c r="E48" s="432"/>
      <c r="F48" s="431"/>
      <c r="G48" s="431"/>
      <c r="H48" s="433">
        <f t="shared" si="3"/>
        <v>0</v>
      </c>
    </row>
    <row r="49" spans="1:8" ht="11.25">
      <c r="A49" s="436"/>
      <c r="B49" s="430"/>
      <c r="C49" s="431" t="s">
        <v>1123</v>
      </c>
      <c r="D49" s="432">
        <v>19800</v>
      </c>
      <c r="E49" s="432"/>
      <c r="F49" s="431"/>
      <c r="G49" s="431"/>
      <c r="H49" s="433">
        <f t="shared" si="3"/>
        <v>0</v>
      </c>
    </row>
    <row r="50" spans="1:8" ht="11.25">
      <c r="A50" s="436"/>
      <c r="B50" s="430"/>
      <c r="C50" s="431" t="s">
        <v>101</v>
      </c>
      <c r="D50" s="432">
        <v>4000</v>
      </c>
      <c r="E50" s="432"/>
      <c r="F50" s="431"/>
      <c r="G50" s="431">
        <v>2</v>
      </c>
      <c r="H50" s="433">
        <f t="shared" si="3"/>
        <v>8000</v>
      </c>
    </row>
    <row r="51" spans="1:8" ht="11.25">
      <c r="A51" s="436"/>
      <c r="B51" s="430"/>
      <c r="C51" s="431" t="s">
        <v>16</v>
      </c>
      <c r="D51" s="432">
        <v>1050</v>
      </c>
      <c r="E51" s="432"/>
      <c r="F51" s="431"/>
      <c r="G51" s="431">
        <v>3</v>
      </c>
      <c r="H51" s="433">
        <f t="shared" si="3"/>
        <v>3150</v>
      </c>
    </row>
    <row r="52" spans="1:8" ht="11.25">
      <c r="A52" s="436"/>
      <c r="B52" s="430"/>
      <c r="C52" s="431"/>
      <c r="D52" s="432"/>
      <c r="E52" s="432"/>
      <c r="F52" s="431"/>
      <c r="G52" s="431"/>
      <c r="H52" s="433">
        <f>D52*(E52+F52+G52)</f>
        <v>0</v>
      </c>
    </row>
    <row r="53" spans="1:8" ht="11.25">
      <c r="A53" s="436"/>
      <c r="B53" s="430"/>
      <c r="C53" s="431" t="s">
        <v>1116</v>
      </c>
      <c r="D53" s="432">
        <v>150</v>
      </c>
      <c r="E53" s="432"/>
      <c r="F53" s="431"/>
      <c r="G53" s="431">
        <v>220</v>
      </c>
      <c r="H53" s="433">
        <f>D53*(E53+F53+G53)</f>
        <v>33000</v>
      </c>
    </row>
    <row r="54" spans="1:8" ht="11.25">
      <c r="A54" s="247" t="s">
        <v>1124</v>
      </c>
      <c r="B54" s="227" t="s">
        <v>1125</v>
      </c>
      <c r="C54" s="227" t="s">
        <v>1126</v>
      </c>
      <c r="D54" s="228">
        <v>26990</v>
      </c>
      <c r="E54" s="228"/>
      <c r="F54" s="227"/>
      <c r="G54" s="227"/>
      <c r="H54" s="116">
        <f>D54*(E54+F54+G54)</f>
        <v>0</v>
      </c>
    </row>
    <row r="55" spans="1:8" ht="11.25">
      <c r="A55" s="247"/>
      <c r="B55" s="227"/>
      <c r="C55" s="227" t="s">
        <v>1127</v>
      </c>
      <c r="D55" s="228">
        <v>20000</v>
      </c>
      <c r="E55" s="228"/>
      <c r="F55" s="227"/>
      <c r="G55" s="227"/>
      <c r="H55" s="116">
        <f>D55*(E55+F55+G55)</f>
        <v>0</v>
      </c>
    </row>
    <row r="56" spans="1:8" ht="11.25">
      <c r="A56" s="247"/>
      <c r="B56" s="227"/>
      <c r="C56" s="227" t="s">
        <v>152</v>
      </c>
      <c r="D56" s="228">
        <v>59800</v>
      </c>
      <c r="E56" s="228"/>
      <c r="F56" s="227"/>
      <c r="G56" s="227">
        <v>1</v>
      </c>
      <c r="H56" s="116">
        <f>D56*(E56+F56+G56)</f>
        <v>59800</v>
      </c>
    </row>
    <row r="57" spans="1:8" ht="11.25">
      <c r="A57" s="247"/>
      <c r="B57" s="227"/>
      <c r="C57" s="227" t="s">
        <v>92</v>
      </c>
      <c r="D57" s="228">
        <v>39800</v>
      </c>
      <c r="E57" s="228"/>
      <c r="F57" s="227"/>
      <c r="G57" s="227">
        <v>1</v>
      </c>
      <c r="H57" s="116">
        <f>D57*(E57+F57+G57)</f>
        <v>39800</v>
      </c>
    </row>
    <row r="58" spans="1:8" ht="11.25">
      <c r="A58" s="247"/>
      <c r="B58" s="227"/>
      <c r="C58" s="227" t="s">
        <v>1128</v>
      </c>
      <c r="D58" s="228">
        <v>7000</v>
      </c>
      <c r="E58" s="228"/>
      <c r="F58" s="227"/>
      <c r="G58" s="227">
        <v>1</v>
      </c>
      <c r="H58" s="229">
        <f>D58*(E58+F58+G58)</f>
        <v>7000</v>
      </c>
    </row>
    <row r="59" spans="1:8" ht="11.25">
      <c r="A59" s="247"/>
      <c r="B59" s="227"/>
      <c r="C59" s="227" t="s">
        <v>1129</v>
      </c>
      <c r="D59" s="228"/>
      <c r="E59" s="228"/>
      <c r="F59" s="227"/>
      <c r="G59" s="227">
        <v>1</v>
      </c>
      <c r="H59" s="229">
        <f>D59*(E59+F59+G59)</f>
        <v>0</v>
      </c>
    </row>
    <row r="60" spans="1:8" ht="11.25">
      <c r="A60" s="247"/>
      <c r="B60" s="227"/>
      <c r="C60" s="227" t="s">
        <v>1130</v>
      </c>
      <c r="D60" s="228">
        <v>10980</v>
      </c>
      <c r="E60" s="228"/>
      <c r="F60" s="227"/>
      <c r="G60" s="227"/>
      <c r="H60" s="229">
        <f>D60*(E60+F60+G60)</f>
        <v>0</v>
      </c>
    </row>
    <row r="61" spans="1:8" ht="11.25">
      <c r="A61" s="247"/>
      <c r="B61" s="227"/>
      <c r="C61" s="227" t="s">
        <v>85</v>
      </c>
      <c r="D61" s="228">
        <v>5000</v>
      </c>
      <c r="E61" s="228"/>
      <c r="F61" s="227"/>
      <c r="G61" s="227">
        <v>1</v>
      </c>
      <c r="H61" s="229">
        <f>D61*(E61+F61+G61)</f>
        <v>5000</v>
      </c>
    </row>
    <row r="62" spans="1:8" ht="11.25">
      <c r="A62" s="247"/>
      <c r="B62" s="227"/>
      <c r="C62" s="227" t="s">
        <v>1112</v>
      </c>
      <c r="D62" s="228">
        <v>5500</v>
      </c>
      <c r="E62" s="228"/>
      <c r="F62" s="227"/>
      <c r="G62" s="227">
        <v>1</v>
      </c>
      <c r="H62" s="229">
        <f>D62*(E62+F62+G62)</f>
        <v>5500</v>
      </c>
    </row>
    <row r="63" spans="1:8" ht="11.25">
      <c r="A63" s="247"/>
      <c r="B63" s="227"/>
      <c r="C63" s="227" t="s">
        <v>16</v>
      </c>
      <c r="D63" s="228">
        <v>1050</v>
      </c>
      <c r="E63" s="228"/>
      <c r="F63" s="227"/>
      <c r="G63" s="227">
        <v>4</v>
      </c>
      <c r="H63" s="229">
        <f>D63*(E63+F63+G63)</f>
        <v>4200</v>
      </c>
    </row>
    <row r="64" spans="1:8" ht="11.25">
      <c r="A64" s="247"/>
      <c r="B64" s="227"/>
      <c r="C64" s="227" t="s">
        <v>159</v>
      </c>
      <c r="D64" s="228">
        <f>25000/6</f>
        <v>4166.666666666667</v>
      </c>
      <c r="E64" s="228"/>
      <c r="F64" s="227"/>
      <c r="G64" s="227">
        <v>3</v>
      </c>
      <c r="H64" s="229">
        <f>D64*(E64+F64+G64)</f>
        <v>12500</v>
      </c>
    </row>
    <row r="65" spans="1:8" ht="11.25">
      <c r="A65" s="247"/>
      <c r="B65" s="227"/>
      <c r="C65" s="227" t="s">
        <v>1131</v>
      </c>
      <c r="D65" s="228"/>
      <c r="E65" s="228"/>
      <c r="F65" s="227"/>
      <c r="G65" s="227">
        <v>1</v>
      </c>
      <c r="H65" s="229"/>
    </row>
    <row r="66" spans="1:8" ht="11.25">
      <c r="A66" s="247"/>
      <c r="B66" s="227"/>
      <c r="C66" s="227" t="s">
        <v>1110</v>
      </c>
      <c r="D66" s="228">
        <v>450</v>
      </c>
      <c r="E66" s="228"/>
      <c r="F66" s="227"/>
      <c r="G66" s="227">
        <v>300</v>
      </c>
      <c r="H66" s="229">
        <f>D66*(E66+F66+G66)</f>
        <v>135000</v>
      </c>
    </row>
    <row r="67" spans="1:8" ht="11.25">
      <c r="A67" s="247"/>
      <c r="B67" s="227"/>
      <c r="C67" s="227"/>
      <c r="D67" s="228"/>
      <c r="E67" s="228"/>
      <c r="F67" s="227"/>
      <c r="G67" s="227"/>
      <c r="H67" s="229"/>
    </row>
    <row r="68" spans="1:8" ht="11.25">
      <c r="A68" s="247"/>
      <c r="B68" s="227" t="s">
        <v>108</v>
      </c>
      <c r="C68" s="227" t="s">
        <v>177</v>
      </c>
      <c r="D68" s="228">
        <v>19800</v>
      </c>
      <c r="E68" s="228"/>
      <c r="F68" s="227"/>
      <c r="G68" s="227">
        <v>2</v>
      </c>
      <c r="H68" s="229">
        <f>D68*(E68+F68+G68)</f>
        <v>39600</v>
      </c>
    </row>
    <row r="69" spans="1:8" ht="11.25">
      <c r="A69" s="247"/>
      <c r="B69" s="227"/>
      <c r="C69" s="227" t="s">
        <v>1126</v>
      </c>
      <c r="D69" s="228">
        <v>20000</v>
      </c>
      <c r="E69" s="228"/>
      <c r="F69" s="227"/>
      <c r="G69" s="227">
        <v>1</v>
      </c>
      <c r="H69" s="229">
        <f>D69*(E69+F69+G69)</f>
        <v>20000</v>
      </c>
    </row>
    <row r="70" spans="1:8" ht="11.25">
      <c r="A70" s="247"/>
      <c r="B70" s="227"/>
      <c r="C70" s="227" t="s">
        <v>1132</v>
      </c>
      <c r="D70" s="228">
        <v>16800</v>
      </c>
      <c r="E70" s="228"/>
      <c r="F70" s="227"/>
      <c r="G70" s="227"/>
      <c r="H70" s="229">
        <f>D70*(E70+F70+G70)</f>
        <v>0</v>
      </c>
    </row>
    <row r="71" spans="1:8" ht="11.25">
      <c r="A71" s="247"/>
      <c r="B71" s="227"/>
      <c r="C71" s="227" t="s">
        <v>1133</v>
      </c>
      <c r="D71" s="228">
        <v>5000</v>
      </c>
      <c r="E71" s="228"/>
      <c r="F71" s="227"/>
      <c r="G71" s="227">
        <v>1</v>
      </c>
      <c r="H71" s="229">
        <f>D71*(E71+F71+G71)</f>
        <v>5000</v>
      </c>
    </row>
    <row r="72" spans="1:8" ht="11.25">
      <c r="A72" s="247"/>
      <c r="B72" s="227"/>
      <c r="C72" s="227" t="s">
        <v>1134</v>
      </c>
      <c r="D72" s="228">
        <v>18000</v>
      </c>
      <c r="E72" s="228"/>
      <c r="F72" s="227"/>
      <c r="G72" s="227"/>
      <c r="H72" s="229">
        <f>D72*(E72+F72+G72)</f>
        <v>0</v>
      </c>
    </row>
    <row r="73" spans="1:8" ht="11.25">
      <c r="A73" s="247"/>
      <c r="B73" s="227"/>
      <c r="C73" s="227" t="s">
        <v>85</v>
      </c>
      <c r="D73" s="228">
        <v>5800</v>
      </c>
      <c r="E73" s="228"/>
      <c r="F73" s="227"/>
      <c r="G73" s="227">
        <v>1</v>
      </c>
      <c r="H73" s="229">
        <f>D73*(E73+F73+G73)</f>
        <v>5800</v>
      </c>
    </row>
    <row r="74" spans="1:8" ht="11.25">
      <c r="A74" s="247"/>
      <c r="B74" s="227"/>
      <c r="C74" s="227" t="s">
        <v>101</v>
      </c>
      <c r="D74" s="228">
        <v>4000</v>
      </c>
      <c r="E74" s="228"/>
      <c r="F74" s="227"/>
      <c r="G74" s="227">
        <v>2</v>
      </c>
      <c r="H74" s="229">
        <f>D74*(E74+F74+G74)</f>
        <v>8000</v>
      </c>
    </row>
    <row r="75" spans="1:8" ht="11.25">
      <c r="A75" s="247"/>
      <c r="B75" s="227"/>
      <c r="C75" s="227" t="s">
        <v>16</v>
      </c>
      <c r="D75" s="228">
        <v>1050</v>
      </c>
      <c r="E75" s="228"/>
      <c r="F75" s="227"/>
      <c r="G75" s="227">
        <v>6</v>
      </c>
      <c r="H75" s="229">
        <f>D75*(E75+F75+G75)</f>
        <v>6300</v>
      </c>
    </row>
    <row r="76" spans="1:8" ht="11.25">
      <c r="A76" s="247"/>
      <c r="B76" s="227"/>
      <c r="C76" s="227" t="s">
        <v>172</v>
      </c>
      <c r="D76" s="228">
        <v>1500</v>
      </c>
      <c r="E76" s="228"/>
      <c r="F76" s="227"/>
      <c r="G76" s="227">
        <v>2</v>
      </c>
      <c r="H76" s="229">
        <v>3000</v>
      </c>
    </row>
    <row r="77" spans="1:8" ht="11.25">
      <c r="A77" s="247"/>
      <c r="B77" s="227"/>
      <c r="C77" s="227" t="s">
        <v>1116</v>
      </c>
      <c r="D77" s="228">
        <v>150</v>
      </c>
      <c r="E77" s="228"/>
      <c r="F77" s="227"/>
      <c r="G77" s="227">
        <v>250</v>
      </c>
      <c r="H77" s="229">
        <f>D77*(E77+F77+G77)</f>
        <v>37500</v>
      </c>
    </row>
    <row r="78" spans="1:8" ht="11.25">
      <c r="A78" s="247"/>
      <c r="B78" s="227"/>
      <c r="C78" s="227"/>
      <c r="D78" s="228"/>
      <c r="E78" s="228"/>
      <c r="F78" s="227"/>
      <c r="G78" s="227"/>
      <c r="H78" s="229"/>
    </row>
    <row r="79" spans="1:8" ht="11.25">
      <c r="A79" s="247"/>
      <c r="B79" s="227" t="s">
        <v>105</v>
      </c>
      <c r="C79" s="227" t="s">
        <v>85</v>
      </c>
      <c r="D79" s="228">
        <v>5800</v>
      </c>
      <c r="E79" s="228"/>
      <c r="F79" s="227"/>
      <c r="G79" s="227"/>
      <c r="H79" s="229">
        <f>D79*(E79+F79+G79)</f>
        <v>0</v>
      </c>
    </row>
    <row r="80" spans="1:8" ht="11.25">
      <c r="A80" s="247"/>
      <c r="B80" s="227"/>
      <c r="C80" s="227" t="s">
        <v>101</v>
      </c>
      <c r="D80" s="228">
        <v>4000</v>
      </c>
      <c r="E80" s="228"/>
      <c r="F80" s="227"/>
      <c r="G80" s="227">
        <v>2</v>
      </c>
      <c r="H80" s="229">
        <f>D80*(E80+F80+G80)</f>
        <v>8000</v>
      </c>
    </row>
    <row r="81" spans="1:8" ht="11.25">
      <c r="A81" s="247"/>
      <c r="B81" s="227"/>
      <c r="C81" s="227" t="s">
        <v>172</v>
      </c>
      <c r="D81" s="228">
        <v>1500</v>
      </c>
      <c r="E81" s="228"/>
      <c r="F81" s="227"/>
      <c r="G81" s="227">
        <v>2</v>
      </c>
      <c r="H81" s="229">
        <f>D81*(E81+F81+G81)</f>
        <v>3000</v>
      </c>
    </row>
    <row r="82" spans="1:8" ht="11.25">
      <c r="A82" s="247"/>
      <c r="B82" s="227"/>
      <c r="C82" s="227" t="s">
        <v>1135</v>
      </c>
      <c r="D82" s="228">
        <v>1500</v>
      </c>
      <c r="E82" s="228"/>
      <c r="F82" s="227"/>
      <c r="G82" s="227"/>
      <c r="H82" s="229">
        <f>D82*(E82+F82+G82)</f>
        <v>0</v>
      </c>
    </row>
    <row r="83" spans="1:8" ht="11.25">
      <c r="A83" s="247"/>
      <c r="B83" s="227"/>
      <c r="C83" s="227" t="s">
        <v>16</v>
      </c>
      <c r="D83" s="228">
        <v>1050</v>
      </c>
      <c r="E83" s="228"/>
      <c r="F83" s="227"/>
      <c r="G83" s="227">
        <v>6</v>
      </c>
      <c r="H83" s="229">
        <f>D83*(E83+F83+G83)</f>
        <v>6300</v>
      </c>
    </row>
    <row r="84" spans="1:8" ht="11.25">
      <c r="A84" s="247"/>
      <c r="B84" s="227"/>
      <c r="C84" s="227"/>
      <c r="D84" s="228"/>
      <c r="E84" s="228"/>
      <c r="F84" s="227"/>
      <c r="G84" s="227"/>
      <c r="H84" s="229">
        <f>D84*(E84+F84+G84)</f>
        <v>0</v>
      </c>
    </row>
    <row r="85" spans="1:8" ht="11.25">
      <c r="A85" s="247"/>
      <c r="B85" s="227"/>
      <c r="C85" s="227"/>
      <c r="D85" s="228"/>
      <c r="E85" s="228"/>
      <c r="F85" s="227"/>
      <c r="G85" s="227"/>
      <c r="H85" s="229"/>
    </row>
    <row r="86" spans="1:8" ht="11.25">
      <c r="A86" s="247"/>
      <c r="B86" s="227"/>
      <c r="C86" s="227" t="s">
        <v>1118</v>
      </c>
      <c r="D86" s="228">
        <v>55</v>
      </c>
      <c r="E86" s="228"/>
      <c r="F86" s="227"/>
      <c r="G86" s="227">
        <v>200</v>
      </c>
      <c r="H86" s="229">
        <f>D86*(E86+F86+G86)</f>
        <v>11000</v>
      </c>
    </row>
    <row r="87" spans="1:8" ht="11.25">
      <c r="A87" s="248"/>
      <c r="B87" s="230"/>
      <c r="C87" s="230"/>
      <c r="D87" s="231"/>
      <c r="E87" s="231"/>
      <c r="F87" s="230"/>
      <c r="G87" s="230"/>
      <c r="H87" s="232"/>
    </row>
    <row r="88" spans="1:8" ht="11.25">
      <c r="A88" s="249" t="s">
        <v>1136</v>
      </c>
      <c r="B88" s="233" t="s">
        <v>1125</v>
      </c>
      <c r="C88" s="233" t="s">
        <v>152</v>
      </c>
      <c r="D88" s="234">
        <v>59800</v>
      </c>
      <c r="E88" s="234"/>
      <c r="F88" s="233"/>
      <c r="G88" s="233">
        <v>1</v>
      </c>
      <c r="H88" s="235">
        <f>D88*(E88+F88+G88)</f>
        <v>59800</v>
      </c>
    </row>
    <row r="89" spans="1:8" ht="11.25">
      <c r="A89" s="249"/>
      <c r="B89" s="233"/>
      <c r="C89" s="233" t="s">
        <v>92</v>
      </c>
      <c r="D89" s="234">
        <v>39800</v>
      </c>
      <c r="E89" s="234"/>
      <c r="F89" s="233"/>
      <c r="G89" s="233"/>
      <c r="H89" s="235">
        <f>D89*(E89+F89+G89)</f>
        <v>0</v>
      </c>
    </row>
    <row r="90" spans="1:8" ht="11.25">
      <c r="A90" s="249"/>
      <c r="B90" s="233"/>
      <c r="C90" s="233" t="s">
        <v>1137</v>
      </c>
      <c r="D90" s="234">
        <v>39800</v>
      </c>
      <c r="E90" s="234"/>
      <c r="F90" s="233"/>
      <c r="G90" s="233">
        <v>1</v>
      </c>
      <c r="H90" s="235">
        <f>D90*(E90+F90+G90)</f>
        <v>39800</v>
      </c>
    </row>
    <row r="91" spans="1:8" ht="11.25">
      <c r="A91" s="249"/>
      <c r="B91" s="233"/>
      <c r="C91" s="233" t="s">
        <v>1138</v>
      </c>
      <c r="D91" s="234">
        <v>27500</v>
      </c>
      <c r="E91" s="234"/>
      <c r="F91" s="233"/>
      <c r="G91" s="233">
        <v>1</v>
      </c>
      <c r="H91" s="235">
        <f>D91*(E91+F91+G91)</f>
        <v>27500</v>
      </c>
    </row>
    <row r="92" spans="1:8" ht="11.25">
      <c r="A92" s="249"/>
      <c r="B92" s="233"/>
      <c r="C92" s="233" t="s">
        <v>1139</v>
      </c>
      <c r="D92" s="234">
        <v>38700</v>
      </c>
      <c r="E92" s="234"/>
      <c r="F92" s="233"/>
      <c r="G92" s="233">
        <v>1</v>
      </c>
      <c r="H92" s="235">
        <f>D92*(E92+F92+G92)</f>
        <v>38700</v>
      </c>
    </row>
    <row r="93" spans="1:8" ht="11.25">
      <c r="A93" s="249"/>
      <c r="B93" s="233"/>
      <c r="C93" s="233" t="s">
        <v>1140</v>
      </c>
      <c r="D93" s="234">
        <v>25980</v>
      </c>
      <c r="E93" s="234"/>
      <c r="F93" s="233"/>
      <c r="G93" s="233"/>
      <c r="H93" s="235">
        <f>D93*(E93+F93+G93)</f>
        <v>0</v>
      </c>
    </row>
    <row r="94" spans="1:8" ht="11.25">
      <c r="A94" s="249"/>
      <c r="B94" s="233"/>
      <c r="C94" s="233" t="s">
        <v>1107</v>
      </c>
      <c r="D94" s="234">
        <v>25000</v>
      </c>
      <c r="E94" s="234"/>
      <c r="F94" s="233"/>
      <c r="G94" s="233">
        <v>1</v>
      </c>
      <c r="H94" s="235">
        <f>D94*(E94+F94+G94)</f>
        <v>25000</v>
      </c>
    </row>
    <row r="95" spans="1:8" ht="11.25">
      <c r="A95" s="249"/>
      <c r="B95" s="233"/>
      <c r="C95" s="233" t="s">
        <v>16</v>
      </c>
      <c r="D95" s="234">
        <v>1050</v>
      </c>
      <c r="E95" s="234"/>
      <c r="F95" s="233"/>
      <c r="G95" s="233"/>
      <c r="H95" s="235">
        <f>D95*(E95+F95+G95)</f>
        <v>0</v>
      </c>
    </row>
    <row r="96" spans="1:8" ht="11.25">
      <c r="A96" s="249"/>
      <c r="B96" s="233"/>
      <c r="C96" s="233"/>
      <c r="D96" s="234"/>
      <c r="E96" s="234"/>
      <c r="F96" s="233"/>
      <c r="G96" s="233"/>
      <c r="H96" s="235"/>
    </row>
    <row r="97" spans="1:8" ht="11.25">
      <c r="A97" s="249"/>
      <c r="B97" s="233"/>
      <c r="C97" s="233" t="s">
        <v>1110</v>
      </c>
      <c r="D97" s="234">
        <v>450</v>
      </c>
      <c r="E97" s="234"/>
      <c r="F97" s="233"/>
      <c r="G97" s="233">
        <v>210</v>
      </c>
      <c r="H97" s="235">
        <f>D97*(E97+F97+G97)</f>
        <v>94500</v>
      </c>
    </row>
    <row r="98" spans="1:8" ht="11.25">
      <c r="A98" s="249"/>
      <c r="B98" s="233"/>
      <c r="C98" s="233"/>
      <c r="D98" s="234"/>
      <c r="E98" s="234"/>
      <c r="F98" s="233"/>
      <c r="G98" s="233"/>
      <c r="H98" s="235"/>
    </row>
    <row r="99" spans="1:8" ht="11.25">
      <c r="A99" s="249"/>
      <c r="B99" s="233" t="s">
        <v>108</v>
      </c>
      <c r="C99" s="233" t="s">
        <v>177</v>
      </c>
      <c r="D99" s="234">
        <v>19800</v>
      </c>
      <c r="E99" s="234"/>
      <c r="F99" s="233"/>
      <c r="G99" s="233">
        <v>1</v>
      </c>
      <c r="H99" s="235">
        <f>D99*(E99+F99+G99)</f>
        <v>19800</v>
      </c>
    </row>
    <row r="100" spans="1:8" ht="11.25">
      <c r="A100" s="249"/>
      <c r="B100" s="233"/>
      <c r="C100" s="233" t="s">
        <v>101</v>
      </c>
      <c r="D100" s="234">
        <v>4000</v>
      </c>
      <c r="E100" s="234"/>
      <c r="F100" s="233"/>
      <c r="G100" s="233">
        <v>3</v>
      </c>
      <c r="H100" s="235">
        <f>D100*(E100+F100+G100)</f>
        <v>12000</v>
      </c>
    </row>
    <row r="101" spans="1:8" ht="11.25">
      <c r="A101" s="249"/>
      <c r="B101" s="233"/>
      <c r="C101" s="233" t="s">
        <v>1141</v>
      </c>
      <c r="D101" s="234"/>
      <c r="E101" s="234"/>
      <c r="F101" s="233"/>
      <c r="G101" s="233">
        <v>1</v>
      </c>
      <c r="H101" s="235">
        <f>D101*(E101+F101+G101)</f>
        <v>0</v>
      </c>
    </row>
    <row r="102" spans="1:8" ht="11.25">
      <c r="A102" s="249"/>
      <c r="B102" s="233"/>
      <c r="C102" s="233" t="s">
        <v>1142</v>
      </c>
      <c r="D102" s="234">
        <v>14500</v>
      </c>
      <c r="E102" s="234"/>
      <c r="F102" s="233"/>
      <c r="G102" s="233">
        <v>1</v>
      </c>
      <c r="H102" s="235">
        <f>D102*(E102+F102+G102)</f>
        <v>14500</v>
      </c>
    </row>
    <row r="103" spans="1:8" ht="11.25">
      <c r="A103" s="249"/>
      <c r="B103" s="233"/>
      <c r="C103" s="233" t="s">
        <v>172</v>
      </c>
      <c r="D103" s="234">
        <v>1500</v>
      </c>
      <c r="E103" s="234"/>
      <c r="F103" s="233"/>
      <c r="G103" s="233">
        <v>2</v>
      </c>
      <c r="H103" s="235">
        <f>D103*(E103+F103+G103)</f>
        <v>3000</v>
      </c>
    </row>
    <row r="104" spans="1:8" ht="11.25">
      <c r="A104" s="249"/>
      <c r="B104" s="233"/>
      <c r="C104" s="233"/>
      <c r="D104" s="234"/>
      <c r="E104" s="234"/>
      <c r="F104" s="233"/>
      <c r="G104" s="233"/>
      <c r="H104" s="235">
        <f>D104*(E104+F104+G104)</f>
        <v>0</v>
      </c>
    </row>
    <row r="105" spans="1:8" ht="11.25">
      <c r="A105" s="249"/>
      <c r="B105" s="233"/>
      <c r="C105" s="233"/>
      <c r="D105" s="234"/>
      <c r="E105" s="234"/>
      <c r="F105" s="233"/>
      <c r="G105" s="233"/>
      <c r="H105" s="235">
        <f>D105*(E105+F105+G105)</f>
        <v>0</v>
      </c>
    </row>
    <row r="106" spans="1:8" ht="11.25">
      <c r="A106" s="249"/>
      <c r="B106" s="233"/>
      <c r="C106" s="233"/>
      <c r="D106" s="234"/>
      <c r="E106" s="234"/>
      <c r="F106" s="233"/>
      <c r="G106" s="233"/>
      <c r="H106" s="235">
        <f>D106*(E106+F106+G106)</f>
        <v>0</v>
      </c>
    </row>
    <row r="107" spans="1:8" ht="11.25">
      <c r="A107" s="249"/>
      <c r="B107" s="233"/>
      <c r="C107" s="233" t="s">
        <v>16</v>
      </c>
      <c r="D107" s="234">
        <v>1050</v>
      </c>
      <c r="E107" s="234"/>
      <c r="F107" s="233"/>
      <c r="G107" s="233">
        <v>6</v>
      </c>
      <c r="H107" s="235">
        <f>D107*(E107+F107+G107)</f>
        <v>6300</v>
      </c>
    </row>
    <row r="108" spans="1:8" ht="11.25">
      <c r="A108" s="249"/>
      <c r="B108" s="233"/>
      <c r="C108" s="233"/>
      <c r="D108" s="234"/>
      <c r="E108" s="234"/>
      <c r="F108" s="233"/>
      <c r="G108" s="233"/>
      <c r="H108" s="235"/>
    </row>
    <row r="109" spans="1:8" ht="11.25">
      <c r="A109" s="249"/>
      <c r="B109" s="233"/>
      <c r="C109" s="233" t="s">
        <v>1116</v>
      </c>
      <c r="D109" s="234">
        <v>150</v>
      </c>
      <c r="E109" s="234"/>
      <c r="F109" s="233"/>
      <c r="G109" s="233">
        <v>350</v>
      </c>
      <c r="H109" s="235">
        <f>D109*(E109+F109+G109)</f>
        <v>52500</v>
      </c>
    </row>
    <row r="110" spans="1:8" ht="11.25">
      <c r="A110" s="249"/>
      <c r="B110" s="233"/>
      <c r="C110" s="233"/>
      <c r="D110" s="234"/>
      <c r="E110" s="234"/>
      <c r="F110" s="233"/>
      <c r="G110" s="233"/>
      <c r="H110" s="235"/>
    </row>
    <row r="111" spans="1:8" ht="11.25">
      <c r="A111" s="249"/>
      <c r="B111" s="233" t="s">
        <v>105</v>
      </c>
      <c r="C111" s="233" t="s">
        <v>85</v>
      </c>
      <c r="D111" s="234">
        <v>5000</v>
      </c>
      <c r="E111" s="234"/>
      <c r="F111" s="233"/>
      <c r="G111" s="233">
        <v>1</v>
      </c>
      <c r="H111" s="235">
        <f>D111*(E111+F111+G111)</f>
        <v>5000</v>
      </c>
    </row>
    <row r="112" spans="1:8" ht="11.25">
      <c r="A112" s="249"/>
      <c r="B112" s="233"/>
      <c r="C112" s="233" t="s">
        <v>172</v>
      </c>
      <c r="D112" s="234">
        <v>1500</v>
      </c>
      <c r="E112" s="234"/>
      <c r="F112" s="233"/>
      <c r="G112" s="233">
        <v>1</v>
      </c>
      <c r="H112" s="235">
        <f>D112*(E112+F112+G112)</f>
        <v>1500</v>
      </c>
    </row>
    <row r="113" spans="1:8" ht="11.25">
      <c r="A113" s="249"/>
      <c r="B113" s="233"/>
      <c r="C113" s="233" t="s">
        <v>16</v>
      </c>
      <c r="D113" s="234">
        <v>1050</v>
      </c>
      <c r="E113" s="234"/>
      <c r="F113" s="233"/>
      <c r="G113" s="233">
        <v>4</v>
      </c>
      <c r="H113" s="235">
        <f>D113*(E113+F113+G113)</f>
        <v>4200</v>
      </c>
    </row>
    <row r="114" spans="1:8" ht="11.25">
      <c r="A114" s="249"/>
      <c r="B114" s="233"/>
      <c r="C114" s="233" t="s">
        <v>101</v>
      </c>
      <c r="D114" s="234">
        <v>4000</v>
      </c>
      <c r="E114" s="234"/>
      <c r="F114" s="233"/>
      <c r="G114" s="233">
        <v>3</v>
      </c>
      <c r="H114" s="235">
        <f>D114*(E114+F114+G114)</f>
        <v>12000</v>
      </c>
    </row>
    <row r="115" spans="1:8" ht="11.25">
      <c r="A115" s="249"/>
      <c r="B115" s="233"/>
      <c r="C115" s="233" t="s">
        <v>1118</v>
      </c>
      <c r="D115" s="234">
        <v>55</v>
      </c>
      <c r="E115" s="234"/>
      <c r="F115" s="233"/>
      <c r="G115" s="233">
        <v>250</v>
      </c>
      <c r="H115" s="235">
        <f>D115*(E115+F115+G115)</f>
        <v>13750</v>
      </c>
    </row>
    <row r="116" spans="1:8" ht="11.25">
      <c r="A116" s="246"/>
      <c r="B116" s="115"/>
      <c r="C116" s="111"/>
      <c r="D116" s="117"/>
      <c r="E116" s="114"/>
      <c r="F116" s="115"/>
      <c r="G116" s="115"/>
      <c r="H116" s="116"/>
    </row>
    <row r="117" spans="1:8" ht="11.25">
      <c r="A117" s="250" t="s">
        <v>1143</v>
      </c>
      <c r="B117" s="236" t="s">
        <v>1104</v>
      </c>
      <c r="C117" s="236" t="s">
        <v>1144</v>
      </c>
      <c r="D117" s="237">
        <v>69800</v>
      </c>
      <c r="E117" s="237"/>
      <c r="F117" s="236"/>
      <c r="G117" s="236">
        <v>1</v>
      </c>
      <c r="H117" s="238">
        <f>D117*(E117+F117+G117)</f>
        <v>69800</v>
      </c>
    </row>
    <row r="118" spans="1:8" ht="11.25">
      <c r="A118" s="250"/>
      <c r="B118" s="236"/>
      <c r="C118" s="236" t="s">
        <v>92</v>
      </c>
      <c r="D118" s="237">
        <v>39800</v>
      </c>
      <c r="E118" s="237"/>
      <c r="F118" s="236"/>
      <c r="G118" s="236">
        <v>1</v>
      </c>
      <c r="H118" s="238">
        <f>D118*(E118+F118+G118)</f>
        <v>39800</v>
      </c>
    </row>
    <row r="119" spans="1:8" ht="11.25">
      <c r="A119" s="250"/>
      <c r="B119" s="236"/>
      <c r="C119" s="236" t="s">
        <v>1145</v>
      </c>
      <c r="D119" s="237">
        <v>24880</v>
      </c>
      <c r="E119" s="237"/>
      <c r="F119" s="236"/>
      <c r="G119" s="236">
        <v>1</v>
      </c>
      <c r="H119" s="238">
        <f>D119*(E119+F119+G119)</f>
        <v>24880</v>
      </c>
    </row>
    <row r="120" spans="1:8" ht="11.25">
      <c r="A120" s="250"/>
      <c r="B120" s="236"/>
      <c r="C120" s="236" t="s">
        <v>1139</v>
      </c>
      <c r="D120" s="237">
        <v>38000</v>
      </c>
      <c r="E120" s="237"/>
      <c r="F120" s="236"/>
      <c r="G120" s="236"/>
      <c r="H120" s="238">
        <f>D120*(E120+F120+G120)</f>
        <v>0</v>
      </c>
    </row>
    <row r="121" spans="1:8" ht="11.25">
      <c r="A121" s="250"/>
      <c r="B121" s="236"/>
      <c r="C121" s="236" t="s">
        <v>1137</v>
      </c>
      <c r="D121" s="237">
        <v>39800</v>
      </c>
      <c r="E121" s="237"/>
      <c r="F121" s="236"/>
      <c r="G121" s="236">
        <v>1</v>
      </c>
      <c r="H121" s="238">
        <f>D121*(E121+F121+G121)</f>
        <v>39800</v>
      </c>
    </row>
    <row r="122" spans="1:8" ht="11.25">
      <c r="A122" s="250"/>
      <c r="B122" s="236"/>
      <c r="C122" s="236" t="s">
        <v>172</v>
      </c>
      <c r="D122" s="237">
        <v>1500</v>
      </c>
      <c r="E122" s="237"/>
      <c r="F122" s="236"/>
      <c r="G122" s="236">
        <v>3</v>
      </c>
      <c r="H122" s="238">
        <f>D122*(E122+F122+G122)</f>
        <v>4500</v>
      </c>
    </row>
    <row r="123" spans="1:8" ht="11.25">
      <c r="A123" s="250"/>
      <c r="B123" s="236"/>
      <c r="C123" s="236" t="s">
        <v>101</v>
      </c>
      <c r="D123" s="237">
        <v>4000</v>
      </c>
      <c r="E123" s="237"/>
      <c r="F123" s="236"/>
      <c r="G123" s="236">
        <v>5</v>
      </c>
      <c r="H123" s="238">
        <f>D123*(E123+F123+G123)</f>
        <v>20000</v>
      </c>
    </row>
    <row r="124" spans="1:8" ht="11.25">
      <c r="A124" s="250"/>
      <c r="B124" s="236"/>
      <c r="C124" s="236" t="s">
        <v>16</v>
      </c>
      <c r="D124" s="237">
        <v>1050</v>
      </c>
      <c r="E124" s="237"/>
      <c r="F124" s="236"/>
      <c r="G124" s="236">
        <v>3</v>
      </c>
      <c r="H124" s="238">
        <v>3150</v>
      </c>
    </row>
    <row r="125" spans="1:8" ht="11.25">
      <c r="A125" s="250"/>
      <c r="B125" s="236"/>
      <c r="C125" s="236" t="s">
        <v>1110</v>
      </c>
      <c r="D125" s="237">
        <v>450</v>
      </c>
      <c r="E125" s="237"/>
      <c r="F125" s="236"/>
      <c r="G125" s="236">
        <v>190</v>
      </c>
      <c r="H125" s="238">
        <f>D125*(E125+F125+G125)</f>
        <v>85500</v>
      </c>
    </row>
    <row r="126" spans="1:8" ht="11.25">
      <c r="A126" s="250"/>
      <c r="B126" s="236"/>
      <c r="C126" s="236"/>
      <c r="D126" s="237"/>
      <c r="E126" s="237"/>
      <c r="F126" s="236"/>
      <c r="G126" s="236"/>
      <c r="H126" s="238"/>
    </row>
    <row r="127" spans="1:8" ht="11.25">
      <c r="A127" s="246"/>
      <c r="B127" s="112"/>
      <c r="C127" s="111" t="s">
        <v>1118</v>
      </c>
      <c r="D127" s="117">
        <v>55</v>
      </c>
      <c r="E127" s="114"/>
      <c r="F127" s="115">
        <v>60</v>
      </c>
      <c r="G127" s="115"/>
      <c r="H127" s="116"/>
    </row>
    <row r="128" spans="1:8" ht="11.25">
      <c r="A128" s="246" t="s">
        <v>1146</v>
      </c>
      <c r="B128" s="112" t="s">
        <v>1147</v>
      </c>
      <c r="C128" s="111" t="s">
        <v>1110</v>
      </c>
      <c r="D128" s="117">
        <v>450</v>
      </c>
      <c r="E128" s="115">
        <v>90</v>
      </c>
      <c r="F128" s="115">
        <v>60</v>
      </c>
      <c r="G128" s="115"/>
      <c r="H128" s="116">
        <f t="shared" ref="H128:H149" si="4">D128*(E128+F128+G128)</f>
        <v>67500</v>
      </c>
    </row>
    <row r="129" spans="1:8" ht="11.25">
      <c r="A129" s="246"/>
      <c r="B129" s="112"/>
      <c r="C129" s="111" t="s">
        <v>1116</v>
      </c>
      <c r="D129" s="117">
        <v>150</v>
      </c>
      <c r="E129" s="115">
        <v>210</v>
      </c>
      <c r="F129" s="115"/>
      <c r="G129" s="115"/>
      <c r="H129" s="116">
        <f t="shared" si="4"/>
        <v>31500</v>
      </c>
    </row>
    <row r="130" spans="1:8" ht="11.25">
      <c r="A130" s="246"/>
      <c r="B130" s="112"/>
      <c r="C130" s="111" t="s">
        <v>16</v>
      </c>
      <c r="D130" s="117">
        <v>1050</v>
      </c>
      <c r="E130" s="115">
        <v>41</v>
      </c>
      <c r="F130" s="115"/>
      <c r="G130" s="115"/>
      <c r="H130" s="116">
        <f t="shared" si="4"/>
        <v>43050</v>
      </c>
    </row>
    <row r="131" spans="1:8" ht="11.25">
      <c r="A131" s="246"/>
      <c r="B131" s="112"/>
      <c r="C131" s="111" t="s">
        <v>1137</v>
      </c>
      <c r="D131" s="117">
        <v>39800</v>
      </c>
      <c r="E131" s="115">
        <v>1</v>
      </c>
      <c r="F131" s="115"/>
      <c r="G131" s="115"/>
      <c r="H131" s="116">
        <f t="shared" si="4"/>
        <v>39800</v>
      </c>
    </row>
    <row r="132" spans="1:8" ht="11.25">
      <c r="A132" s="246"/>
      <c r="B132" s="112"/>
      <c r="C132" s="111" t="s">
        <v>112</v>
      </c>
      <c r="D132" s="117">
        <v>34980</v>
      </c>
      <c r="E132" s="115"/>
      <c r="F132" s="115">
        <v>1</v>
      </c>
      <c r="G132" s="115"/>
      <c r="H132" s="116">
        <f t="shared" si="4"/>
        <v>34980</v>
      </c>
    </row>
    <row r="133" spans="1:8" ht="11.25">
      <c r="A133" s="246"/>
      <c r="B133" s="112"/>
      <c r="C133" s="111" t="s">
        <v>92</v>
      </c>
      <c r="D133" s="117">
        <v>39800</v>
      </c>
      <c r="E133" s="115">
        <v>2</v>
      </c>
      <c r="F133" s="115">
        <v>1</v>
      </c>
      <c r="G133" s="115"/>
      <c r="H133" s="116">
        <f t="shared" si="4"/>
        <v>119400</v>
      </c>
    </row>
    <row r="134" spans="1:8" ht="11.25">
      <c r="A134" s="246"/>
      <c r="B134" s="112"/>
      <c r="C134" s="111" t="s">
        <v>177</v>
      </c>
      <c r="D134" s="117">
        <v>19800</v>
      </c>
      <c r="E134" s="115">
        <v>1</v>
      </c>
      <c r="F134" s="115">
        <v>3</v>
      </c>
      <c r="G134" s="115"/>
      <c r="H134" s="116">
        <f t="shared" si="4"/>
        <v>79200</v>
      </c>
    </row>
    <row r="135" spans="1:8" ht="11.25">
      <c r="A135" s="246"/>
      <c r="B135" s="112"/>
      <c r="C135" s="111" t="s">
        <v>1148</v>
      </c>
      <c r="D135" s="117">
        <v>39800</v>
      </c>
      <c r="E135" s="115">
        <v>1</v>
      </c>
      <c r="F135" s="115">
        <v>0</v>
      </c>
      <c r="G135" s="115"/>
      <c r="H135" s="116">
        <f t="shared" si="4"/>
        <v>39800</v>
      </c>
    </row>
    <row r="136" spans="1:8" ht="11.25">
      <c r="A136" s="246"/>
      <c r="B136" s="112"/>
      <c r="C136" s="111" t="s">
        <v>1138</v>
      </c>
      <c r="D136" s="117">
        <v>27500</v>
      </c>
      <c r="E136" s="115">
        <v>3</v>
      </c>
      <c r="F136" s="115">
        <v>1</v>
      </c>
      <c r="G136" s="115"/>
      <c r="H136" s="116">
        <f t="shared" si="4"/>
        <v>110000</v>
      </c>
    </row>
    <row r="137" spans="1:8" ht="11.25">
      <c r="A137" s="246"/>
      <c r="B137" s="112"/>
      <c r="C137" s="111" t="s">
        <v>1112</v>
      </c>
      <c r="D137" s="117">
        <v>5800</v>
      </c>
      <c r="E137" s="114"/>
      <c r="F137" s="115">
        <v>3</v>
      </c>
      <c r="G137" s="115"/>
      <c r="H137" s="116">
        <f t="shared" si="4"/>
        <v>17400</v>
      </c>
    </row>
    <row r="138" spans="1:8" ht="11.25">
      <c r="A138" s="246"/>
      <c r="B138" s="112"/>
      <c r="C138" s="111" t="s">
        <v>85</v>
      </c>
      <c r="D138" s="117">
        <v>5000</v>
      </c>
      <c r="E138" s="114"/>
      <c r="F138" s="115">
        <v>8</v>
      </c>
      <c r="G138" s="115"/>
      <c r="H138" s="116">
        <f t="shared" si="4"/>
        <v>40000</v>
      </c>
    </row>
    <row r="139" spans="1:8" ht="11.25">
      <c r="A139" s="246"/>
      <c r="B139" s="112"/>
      <c r="C139" s="111" t="s">
        <v>1149</v>
      </c>
      <c r="D139" s="117">
        <v>26400</v>
      </c>
      <c r="E139" s="114"/>
      <c r="F139" s="115">
        <v>1</v>
      </c>
      <c r="G139" s="115"/>
      <c r="H139" s="116">
        <f t="shared" si="4"/>
        <v>26400</v>
      </c>
    </row>
    <row r="140" spans="1:8" ht="11.25">
      <c r="A140" s="246"/>
      <c r="B140" s="112"/>
      <c r="C140" s="111" t="s">
        <v>1150</v>
      </c>
      <c r="D140" s="117">
        <v>19800</v>
      </c>
      <c r="E140" s="114">
        <v>1</v>
      </c>
      <c r="F140" s="115"/>
      <c r="G140" s="115"/>
      <c r="H140" s="116">
        <f t="shared" si="4"/>
        <v>19800</v>
      </c>
    </row>
    <row r="141" spans="1:8" ht="11.25">
      <c r="A141" s="246"/>
      <c r="B141" s="112"/>
      <c r="C141" s="111" t="s">
        <v>1105</v>
      </c>
      <c r="D141" s="117">
        <v>20000</v>
      </c>
      <c r="E141" s="114">
        <v>5</v>
      </c>
      <c r="F141" s="115">
        <v>1</v>
      </c>
      <c r="G141" s="115"/>
      <c r="H141" s="116">
        <f t="shared" si="4"/>
        <v>120000</v>
      </c>
    </row>
    <row r="142" spans="1:8" ht="11.25">
      <c r="A142" s="246"/>
      <c r="B142" s="112"/>
      <c r="C142" s="111" t="s">
        <v>1134</v>
      </c>
      <c r="D142" s="117">
        <v>18000</v>
      </c>
      <c r="E142" s="114">
        <v>2</v>
      </c>
      <c r="F142" s="115"/>
      <c r="G142" s="115"/>
      <c r="H142" s="116">
        <f t="shared" si="4"/>
        <v>36000</v>
      </c>
    </row>
    <row r="143" spans="1:8" ht="11.25">
      <c r="A143" s="246"/>
      <c r="B143" s="112"/>
      <c r="C143" s="111" t="s">
        <v>1151</v>
      </c>
      <c r="D143" s="117">
        <v>5000</v>
      </c>
      <c r="E143" s="114">
        <v>4</v>
      </c>
      <c r="F143" s="115"/>
      <c r="G143" s="115"/>
      <c r="H143" s="116">
        <f t="shared" si="4"/>
        <v>20000</v>
      </c>
    </row>
    <row r="144" spans="1:8" ht="11.25">
      <c r="A144" s="246"/>
      <c r="B144" s="112"/>
      <c r="C144" s="230" t="s">
        <v>1152</v>
      </c>
      <c r="D144" s="231">
        <v>33900</v>
      </c>
      <c r="E144" s="114">
        <v>1</v>
      </c>
      <c r="F144" s="115"/>
      <c r="G144" s="115"/>
      <c r="H144" s="116">
        <f t="shared" si="4"/>
        <v>33900</v>
      </c>
    </row>
    <row r="145" spans="1:8" ht="11.25">
      <c r="A145" s="246"/>
      <c r="B145" s="112"/>
      <c r="C145" s="230" t="s">
        <v>1122</v>
      </c>
      <c r="D145" s="231">
        <v>12990</v>
      </c>
      <c r="E145" s="114">
        <v>1</v>
      </c>
      <c r="F145" s="115"/>
      <c r="G145" s="115"/>
      <c r="H145" s="116">
        <f t="shared" si="4"/>
        <v>12990</v>
      </c>
    </row>
    <row r="146" spans="1:8" ht="11.25">
      <c r="A146" s="246"/>
      <c r="B146" s="112"/>
      <c r="C146" s="230" t="s">
        <v>1153</v>
      </c>
      <c r="D146" s="231"/>
      <c r="E146" s="114">
        <v>1</v>
      </c>
      <c r="F146" s="115"/>
      <c r="G146" s="115"/>
      <c r="H146" s="116">
        <f t="shared" si="4"/>
        <v>0</v>
      </c>
    </row>
    <row r="147" spans="1:8" ht="11.25">
      <c r="A147" s="246"/>
      <c r="B147" s="112"/>
      <c r="C147" s="230" t="s">
        <v>1134</v>
      </c>
      <c r="D147" s="231"/>
      <c r="E147" s="114">
        <v>1</v>
      </c>
      <c r="F147" s="115">
        <v>1</v>
      </c>
      <c r="G147" s="115"/>
      <c r="H147" s="116">
        <f t="shared" si="4"/>
        <v>0</v>
      </c>
    </row>
    <row r="148" spans="1:8" ht="11.25">
      <c r="A148" s="246"/>
      <c r="B148" s="112"/>
      <c r="C148" s="230" t="s">
        <v>1154</v>
      </c>
      <c r="D148" s="231">
        <v>10890</v>
      </c>
      <c r="E148" s="114">
        <v>2</v>
      </c>
      <c r="F148" s="115"/>
      <c r="G148" s="115"/>
      <c r="H148" s="116">
        <f t="shared" si="4"/>
        <v>21780</v>
      </c>
    </row>
    <row r="149" spans="1:8" ht="11.25">
      <c r="A149" s="246"/>
      <c r="B149" s="112"/>
      <c r="C149" s="230" t="s">
        <v>1155</v>
      </c>
      <c r="D149" s="231">
        <v>9900</v>
      </c>
      <c r="E149" s="231">
        <v>1</v>
      </c>
      <c r="F149" s="230"/>
      <c r="G149" s="230"/>
      <c r="H149" s="232">
        <f t="shared" si="4"/>
        <v>9900</v>
      </c>
    </row>
    <row r="150" spans="1:8" ht="11.25">
      <c r="A150" s="246"/>
      <c r="B150" s="112"/>
      <c r="C150" s="230" t="s">
        <v>1156</v>
      </c>
      <c r="D150" s="231"/>
      <c r="E150" s="231">
        <v>1</v>
      </c>
      <c r="F150" s="230"/>
      <c r="G150" s="230"/>
      <c r="H150" s="232"/>
    </row>
    <row r="151" spans="1:8" ht="11.25">
      <c r="A151" s="246"/>
      <c r="B151" s="112"/>
      <c r="C151" s="230" t="s">
        <v>1157</v>
      </c>
      <c r="D151" s="231"/>
      <c r="E151" s="231">
        <v>1</v>
      </c>
      <c r="F151" s="230"/>
      <c r="G151" s="230"/>
      <c r="H151" s="232"/>
    </row>
    <row r="152" spans="1:8" ht="11.25">
      <c r="A152" s="246"/>
      <c r="B152" s="112"/>
      <c r="C152" s="230" t="s">
        <v>1158</v>
      </c>
      <c r="D152" s="231">
        <v>25000</v>
      </c>
      <c r="E152" s="114"/>
      <c r="F152" s="115"/>
      <c r="G152" s="115"/>
      <c r="H152" s="116">
        <f t="shared" ref="H152:H169" si="5">D152*(E152+F152+G152)</f>
        <v>0</v>
      </c>
    </row>
    <row r="153" spans="1:8" ht="11.25">
      <c r="A153" s="246"/>
      <c r="B153" s="112"/>
      <c r="C153" s="230" t="s">
        <v>1159</v>
      </c>
      <c r="D153" s="231">
        <v>5200</v>
      </c>
      <c r="E153" s="114"/>
      <c r="F153" s="115"/>
      <c r="G153" s="115"/>
      <c r="H153" s="116">
        <f t="shared" si="5"/>
        <v>0</v>
      </c>
    </row>
    <row r="154" spans="1:8" ht="11.25">
      <c r="A154" s="246"/>
      <c r="B154" s="112"/>
      <c r="C154" s="230" t="s">
        <v>1160</v>
      </c>
      <c r="D154" s="231">
        <v>36400</v>
      </c>
      <c r="E154" s="114">
        <v>1</v>
      </c>
      <c r="F154" s="115"/>
      <c r="G154" s="115"/>
      <c r="H154" s="116">
        <f t="shared" si="5"/>
        <v>36400</v>
      </c>
    </row>
    <row r="155" spans="1:8" ht="11.25">
      <c r="A155" s="246"/>
      <c r="B155" s="112"/>
      <c r="C155" s="230" t="s">
        <v>1161</v>
      </c>
      <c r="D155" s="231">
        <v>4000</v>
      </c>
      <c r="E155" s="114"/>
      <c r="F155" s="115">
        <v>4</v>
      </c>
      <c r="G155" s="115"/>
      <c r="H155" s="116">
        <f t="shared" si="5"/>
        <v>16000</v>
      </c>
    </row>
    <row r="156" spans="1:8" ht="11.25">
      <c r="A156" s="246"/>
      <c r="B156" s="112"/>
      <c r="C156" s="230" t="s">
        <v>1162</v>
      </c>
      <c r="D156" s="231"/>
      <c r="E156" s="114">
        <v>1</v>
      </c>
      <c r="F156" s="115"/>
      <c r="G156" s="115"/>
      <c r="H156" s="116">
        <f t="shared" si="5"/>
        <v>0</v>
      </c>
    </row>
    <row r="157" spans="1:8" ht="11.25">
      <c r="A157" s="246"/>
      <c r="B157" s="112"/>
      <c r="C157" s="230" t="s">
        <v>1163</v>
      </c>
      <c r="D157" s="231">
        <v>39800</v>
      </c>
      <c r="E157" s="114">
        <v>2</v>
      </c>
      <c r="F157" s="115"/>
      <c r="G157" s="115"/>
      <c r="H157" s="116">
        <f t="shared" si="5"/>
        <v>79600</v>
      </c>
    </row>
    <row r="158" spans="1:8" ht="11.25">
      <c r="A158" s="246"/>
      <c r="B158" s="111"/>
      <c r="C158" s="115" t="s">
        <v>1164</v>
      </c>
      <c r="D158" s="113"/>
      <c r="E158" s="114">
        <v>1</v>
      </c>
      <c r="F158" s="115"/>
      <c r="G158" s="115"/>
      <c r="H158" s="116">
        <f>D158*(E158+F158+G158)</f>
        <v>0</v>
      </c>
    </row>
    <row r="159" spans="1:8" ht="11.25">
      <c r="A159" s="246"/>
      <c r="B159" s="111"/>
      <c r="C159" s="115" t="s">
        <v>1165</v>
      </c>
      <c r="D159" s="113"/>
      <c r="E159" s="114">
        <v>1</v>
      </c>
      <c r="F159" s="115"/>
      <c r="G159" s="115"/>
      <c r="H159" s="116">
        <f>D159*(E159+F159+G159)</f>
        <v>0</v>
      </c>
    </row>
    <row r="160" spans="1:8" ht="11.25">
      <c r="A160" s="246"/>
      <c r="B160" s="111"/>
      <c r="C160" s="115" t="s">
        <v>1166</v>
      </c>
      <c r="D160" s="113"/>
      <c r="E160" s="114">
        <v>1</v>
      </c>
      <c r="F160" s="115"/>
      <c r="G160" s="115"/>
      <c r="H160" s="116">
        <f>D160*(E160+F160+G160)</f>
        <v>0</v>
      </c>
    </row>
    <row r="161" spans="1:8" ht="11.25">
      <c r="A161" s="246"/>
      <c r="B161" s="111"/>
      <c r="C161" s="115" t="s">
        <v>1167</v>
      </c>
      <c r="D161" s="113"/>
      <c r="E161" s="114">
        <v>1</v>
      </c>
      <c r="F161" s="115"/>
      <c r="G161" s="115"/>
      <c r="H161" s="116">
        <f>D161*(E161+F161+G161)</f>
        <v>0</v>
      </c>
    </row>
    <row r="162" spans="1:8" ht="11.25">
      <c r="A162" s="246"/>
      <c r="B162" s="111"/>
      <c r="C162" s="115" t="s">
        <v>1168</v>
      </c>
      <c r="D162" s="113"/>
      <c r="E162" s="114">
        <v>4</v>
      </c>
      <c r="F162" s="115"/>
      <c r="G162" s="115"/>
      <c r="H162" s="116">
        <f>D162*(E162+F162+G162)</f>
        <v>0</v>
      </c>
    </row>
    <row r="163" spans="1:8" ht="11.25">
      <c r="A163" s="246"/>
      <c r="B163" s="111"/>
      <c r="C163" s="115" t="s">
        <v>1169</v>
      </c>
      <c r="D163" s="113"/>
      <c r="E163" s="114">
        <v>1</v>
      </c>
      <c r="F163" s="115"/>
      <c r="G163" s="115"/>
      <c r="H163" s="116">
        <f>D163*(E163+F163+G163)</f>
        <v>0</v>
      </c>
    </row>
    <row r="164" spans="1:8" ht="11.25">
      <c r="A164" s="246"/>
      <c r="B164" s="111"/>
      <c r="C164" s="230" t="s">
        <v>1170</v>
      </c>
      <c r="D164" s="113"/>
      <c r="E164" s="114"/>
      <c r="F164" s="115">
        <v>1</v>
      </c>
      <c r="G164" s="115"/>
      <c r="H164" s="116">
        <f>D164*(E164+F164+G164)</f>
        <v>0</v>
      </c>
    </row>
    <row r="165" spans="1:8" ht="11.25">
      <c r="A165" s="246"/>
      <c r="B165" s="111"/>
      <c r="C165" s="115" t="s">
        <v>1171</v>
      </c>
      <c r="D165" s="113">
        <v>550</v>
      </c>
      <c r="E165" s="114"/>
      <c r="F165" s="115"/>
      <c r="G165" s="115">
        <v>16</v>
      </c>
      <c r="H165" s="116">
        <f>D165*(E165+F165+G165)</f>
        <v>8800</v>
      </c>
    </row>
    <row r="166" spans="1:8" ht="11.25">
      <c r="A166" s="246"/>
      <c r="B166" s="112"/>
      <c r="C166" s="230" t="s">
        <v>1172</v>
      </c>
      <c r="D166" s="231"/>
      <c r="E166" s="114"/>
      <c r="F166" s="115">
        <v>1</v>
      </c>
      <c r="G166" s="115"/>
      <c r="H166" s="116">
        <f t="shared" si="5"/>
        <v>0</v>
      </c>
    </row>
    <row r="167" spans="1:8" ht="11.25">
      <c r="A167" s="246"/>
      <c r="B167" s="112"/>
      <c r="C167" s="230" t="s">
        <v>1173</v>
      </c>
      <c r="D167" s="231"/>
      <c r="E167" s="114"/>
      <c r="F167" s="115">
        <v>1</v>
      </c>
      <c r="G167" s="115"/>
      <c r="H167" s="116">
        <f t="shared" si="5"/>
        <v>0</v>
      </c>
    </row>
    <row r="168" spans="1:8" ht="11.25">
      <c r="A168" s="246"/>
      <c r="B168" s="112"/>
      <c r="C168" s="230" t="s">
        <v>1174</v>
      </c>
      <c r="D168" s="231">
        <v>5980</v>
      </c>
      <c r="E168" s="114"/>
      <c r="F168" s="115">
        <v>1</v>
      </c>
      <c r="G168" s="115"/>
      <c r="H168" s="116">
        <f t="shared" si="5"/>
        <v>5980</v>
      </c>
    </row>
    <row r="169" spans="1:8" ht="11.25">
      <c r="A169" s="246"/>
      <c r="B169" s="112"/>
      <c r="C169" s="230" t="s">
        <v>86</v>
      </c>
      <c r="D169" s="231"/>
      <c r="E169" s="114"/>
      <c r="F169" s="115">
        <v>2</v>
      </c>
      <c r="G169" s="115"/>
      <c r="H169" s="116">
        <f t="shared" si="5"/>
        <v>0</v>
      </c>
    </row>
    <row r="170" spans="1:8" ht="11.25">
      <c r="A170" s="246"/>
      <c r="B170" s="112"/>
      <c r="C170" s="230"/>
      <c r="D170" s="231"/>
      <c r="E170" s="114" t="s">
        <v>1175</v>
      </c>
      <c r="F170" s="115" t="s">
        <v>1176</v>
      </c>
      <c r="G170" s="115" t="s">
        <v>149</v>
      </c>
      <c r="H170" s="116"/>
    </row>
    <row r="171" spans="1:8" ht="11.25">
      <c r="A171" s="246" t="s">
        <v>1146</v>
      </c>
      <c r="B171" s="112" t="s">
        <v>1177</v>
      </c>
      <c r="C171" s="230" t="s">
        <v>1178</v>
      </c>
      <c r="D171" s="231">
        <v>800</v>
      </c>
      <c r="E171" s="231">
        <v>22</v>
      </c>
      <c r="F171" s="230">
        <v>10</v>
      </c>
      <c r="G171" s="230"/>
      <c r="H171" s="232">
        <f t="shared" ref="H171:H276" si="6">D171*(E171+F171+G171)</f>
        <v>25600</v>
      </c>
    </row>
    <row r="172" spans="1:8" ht="11.25">
      <c r="A172" s="246"/>
      <c r="B172" s="111" t="s">
        <v>1179</v>
      </c>
      <c r="C172" s="115" t="s">
        <v>539</v>
      </c>
      <c r="D172" s="113">
        <v>645</v>
      </c>
      <c r="E172" s="114">
        <v>21</v>
      </c>
      <c r="F172" s="115">
        <v>19</v>
      </c>
      <c r="G172" s="115"/>
      <c r="H172" s="116">
        <f>D172*(E172+F172+G172)</f>
        <v>25800</v>
      </c>
    </row>
    <row r="173" spans="1:8" ht="11.25">
      <c r="A173" s="246"/>
      <c r="B173" s="111"/>
      <c r="C173" s="115" t="s">
        <v>1180</v>
      </c>
      <c r="D173" s="113">
        <v>957</v>
      </c>
      <c r="E173" s="114">
        <v>11</v>
      </c>
      <c r="F173" s="115">
        <v>11</v>
      </c>
      <c r="G173" s="115"/>
      <c r="H173" s="116">
        <f>D173*(E173+F173+G173)</f>
        <v>21054</v>
      </c>
    </row>
    <row r="174" spans="1:8" ht="11.25">
      <c r="A174" s="246"/>
      <c r="B174" s="111"/>
      <c r="C174" s="115" t="s">
        <v>1181</v>
      </c>
      <c r="D174" s="113"/>
      <c r="E174" s="114">
        <v>27</v>
      </c>
      <c r="F174" s="115">
        <v>47</v>
      </c>
      <c r="G174" s="115"/>
      <c r="H174" s="116">
        <f>D174*(E174+F174+G174)</f>
        <v>0</v>
      </c>
    </row>
    <row r="175" spans="1:8" ht="11.25">
      <c r="A175" s="246"/>
      <c r="B175" s="111"/>
      <c r="C175" s="115" t="s">
        <v>975</v>
      </c>
      <c r="D175" s="113">
        <v>880</v>
      </c>
      <c r="E175" s="114">
        <v>16</v>
      </c>
      <c r="F175" s="115">
        <v>11</v>
      </c>
      <c r="G175" s="115"/>
      <c r="H175" s="116">
        <f>D175*(E175+F175+G175)</f>
        <v>23760</v>
      </c>
    </row>
    <row r="176" spans="1:8" ht="11.25">
      <c r="A176" s="246"/>
      <c r="B176" s="111"/>
      <c r="C176" s="115" t="s">
        <v>1182</v>
      </c>
      <c r="D176" s="113">
        <v>748</v>
      </c>
      <c r="E176" s="114">
        <v>35</v>
      </c>
      <c r="F176" s="115">
        <v>6</v>
      </c>
      <c r="G176" s="115"/>
      <c r="H176" s="116">
        <f>D176*(E176+F176+G176)</f>
        <v>30668</v>
      </c>
    </row>
    <row r="177" spans="1:8" ht="11.25">
      <c r="A177" s="246"/>
      <c r="B177" s="111"/>
      <c r="C177" s="115" t="s">
        <v>1183</v>
      </c>
      <c r="D177" s="113">
        <v>350</v>
      </c>
      <c r="E177" s="114">
        <v>20</v>
      </c>
      <c r="F177" s="115">
        <v>18</v>
      </c>
      <c r="G177" s="115"/>
      <c r="H177" s="116">
        <f>D177*(E177+F177+G177)</f>
        <v>13300</v>
      </c>
    </row>
    <row r="178" spans="1:8" ht="11.25">
      <c r="A178" s="246"/>
      <c r="B178" s="111"/>
      <c r="C178" s="115" t="s">
        <v>1184</v>
      </c>
      <c r="D178" s="113">
        <v>1100</v>
      </c>
      <c r="E178" s="114">
        <v>12</v>
      </c>
      <c r="F178" s="115">
        <v>2</v>
      </c>
      <c r="G178" s="115"/>
      <c r="H178" s="116">
        <f>D178*(E178+F178+G178)</f>
        <v>15400</v>
      </c>
    </row>
    <row r="179" spans="1:8" ht="11.25">
      <c r="A179" s="246"/>
      <c r="B179" s="111"/>
      <c r="C179" s="115" t="s">
        <v>1185</v>
      </c>
      <c r="D179" s="113">
        <v>600</v>
      </c>
      <c r="E179" s="114">
        <v>39</v>
      </c>
      <c r="F179" s="115"/>
      <c r="G179" s="115"/>
      <c r="H179" s="116">
        <f>D179*(E179+F179+G179)</f>
        <v>23400</v>
      </c>
    </row>
    <row r="180" spans="1:8" ht="11.25">
      <c r="A180" s="246"/>
      <c r="B180" s="111"/>
      <c r="C180" s="115" t="s">
        <v>1186</v>
      </c>
      <c r="D180" s="113">
        <v>198</v>
      </c>
      <c r="E180" s="114">
        <v>111</v>
      </c>
      <c r="F180" s="115">
        <v>35</v>
      </c>
      <c r="G180" s="115"/>
      <c r="H180" s="116">
        <f>D180*(E180+F180+G180)</f>
        <v>28908</v>
      </c>
    </row>
    <row r="181" spans="1:8" ht="11.25">
      <c r="A181" s="246"/>
      <c r="B181" s="111"/>
      <c r="C181" s="115" t="s">
        <v>1187</v>
      </c>
      <c r="D181" s="113">
        <v>638</v>
      </c>
      <c r="E181" s="114">
        <v>226</v>
      </c>
      <c r="F181" s="115">
        <v>31</v>
      </c>
      <c r="G181" s="115"/>
      <c r="H181" s="116">
        <f>D181*(E181+F181+G181)</f>
        <v>163966</v>
      </c>
    </row>
    <row r="182" spans="1:8" ht="11.25">
      <c r="A182" s="246"/>
      <c r="B182" s="111"/>
      <c r="C182" s="115" t="s">
        <v>1188</v>
      </c>
      <c r="D182" s="113"/>
      <c r="E182" s="114">
        <v>51</v>
      </c>
      <c r="F182" s="115"/>
      <c r="G182" s="115"/>
      <c r="H182" s="116">
        <f>D182*(E182+F182+G182)</f>
        <v>0</v>
      </c>
    </row>
    <row r="183" spans="1:8" ht="11.25">
      <c r="A183" s="246"/>
      <c r="B183" s="111"/>
      <c r="C183" s="115" t="s">
        <v>1189</v>
      </c>
      <c r="D183" s="113">
        <v>773</v>
      </c>
      <c r="E183" s="114">
        <v>96</v>
      </c>
      <c r="F183" s="115">
        <v>16</v>
      </c>
      <c r="G183" s="115"/>
      <c r="H183" s="116">
        <f>D183*(E183+F183+G183)</f>
        <v>86576</v>
      </c>
    </row>
    <row r="184" spans="1:8" ht="11.25">
      <c r="A184" s="246"/>
      <c r="B184" s="111"/>
      <c r="C184" s="115" t="s">
        <v>1190</v>
      </c>
      <c r="D184" s="113">
        <v>773</v>
      </c>
      <c r="E184" s="114">
        <v>83</v>
      </c>
      <c r="F184" s="115"/>
      <c r="G184" s="115"/>
      <c r="H184" s="116">
        <f>D184*(E184+F184+G184)</f>
        <v>64159</v>
      </c>
    </row>
    <row r="185" spans="1:8" ht="11.25">
      <c r="A185" s="246"/>
      <c r="B185" s="111"/>
      <c r="C185" s="115" t="s">
        <v>1191</v>
      </c>
      <c r="D185" s="113">
        <v>1000</v>
      </c>
      <c r="E185" s="114">
        <v>82</v>
      </c>
      <c r="F185" s="115"/>
      <c r="G185" s="115"/>
      <c r="H185" s="116">
        <f>D185*(E185+F185+G185)</f>
        <v>82000</v>
      </c>
    </row>
    <row r="186" spans="1:8" ht="11.25">
      <c r="A186" s="246"/>
      <c r="B186" s="111"/>
      <c r="C186" s="115" t="s">
        <v>378</v>
      </c>
      <c r="D186" s="113">
        <v>240</v>
      </c>
      <c r="E186" s="114">
        <v>156</v>
      </c>
      <c r="F186" s="115">
        <v>3</v>
      </c>
      <c r="G186" s="115"/>
      <c r="H186" s="116">
        <f>D186*(E186+F186+G186)</f>
        <v>38160</v>
      </c>
    </row>
    <row r="187" spans="1:8" ht="11.25">
      <c r="A187" s="246"/>
      <c r="B187" s="111"/>
      <c r="C187" s="115" t="s">
        <v>1192</v>
      </c>
      <c r="D187" s="113">
        <v>700</v>
      </c>
      <c r="E187" s="114">
        <v>32</v>
      </c>
      <c r="F187" s="115">
        <v>18</v>
      </c>
      <c r="G187" s="115"/>
      <c r="H187" s="116">
        <f>D187*(E187+F187+G187)</f>
        <v>35000</v>
      </c>
    </row>
    <row r="188" spans="1:8" ht="11.25">
      <c r="A188" s="246"/>
      <c r="B188" s="111"/>
      <c r="C188" s="115" t="s">
        <v>1193</v>
      </c>
      <c r="D188" s="113">
        <v>82</v>
      </c>
      <c r="E188" s="114">
        <v>28</v>
      </c>
      <c r="F188" s="115">
        <v>10</v>
      </c>
      <c r="G188" s="115"/>
      <c r="H188" s="116">
        <f>D188*(E188+F188+G188)</f>
        <v>3116</v>
      </c>
    </row>
    <row r="189" spans="1:8" ht="11.25">
      <c r="A189" s="246"/>
      <c r="B189" s="111"/>
      <c r="C189" s="115" t="s">
        <v>383</v>
      </c>
      <c r="D189" s="113">
        <v>400</v>
      </c>
      <c r="E189" s="114">
        <v>42</v>
      </c>
      <c r="F189" s="115">
        <v>47</v>
      </c>
      <c r="G189" s="115"/>
      <c r="H189" s="116">
        <f>D189*(E189+F189+G189)</f>
        <v>35600</v>
      </c>
    </row>
    <row r="190" spans="1:8" ht="11.25">
      <c r="A190" s="246"/>
      <c r="B190" s="111"/>
      <c r="C190" s="115" t="s">
        <v>1194</v>
      </c>
      <c r="D190" s="113">
        <v>200</v>
      </c>
      <c r="E190" s="114">
        <v>45</v>
      </c>
      <c r="F190" s="115"/>
      <c r="G190" s="115"/>
      <c r="H190" s="116">
        <f>D190*(E190+F190+G190)</f>
        <v>9000</v>
      </c>
    </row>
    <row r="191" spans="1:8" ht="11.25">
      <c r="A191" s="246"/>
      <c r="B191" s="111"/>
      <c r="C191" s="115" t="s">
        <v>1195</v>
      </c>
      <c r="D191" s="113"/>
      <c r="E191" s="114">
        <v>53</v>
      </c>
      <c r="F191" s="115"/>
      <c r="G191" s="115"/>
      <c r="H191" s="116">
        <f>D191*(E191+F191+G191)</f>
        <v>0</v>
      </c>
    </row>
    <row r="192" spans="1:8" ht="11.25">
      <c r="A192" s="246"/>
      <c r="B192" s="111"/>
      <c r="C192" s="115" t="s">
        <v>1196</v>
      </c>
      <c r="D192" s="113"/>
      <c r="E192" s="114">
        <v>38</v>
      </c>
      <c r="F192" s="115"/>
      <c r="G192" s="115"/>
      <c r="H192" s="116">
        <f>D192*(E192+F192+G192)</f>
        <v>0</v>
      </c>
    </row>
    <row r="193" spans="1:8" ht="11.25">
      <c r="A193" s="246"/>
      <c r="B193" s="111"/>
      <c r="C193" s="115" t="s">
        <v>1197</v>
      </c>
      <c r="D193" s="113">
        <v>660</v>
      </c>
      <c r="E193" s="114">
        <v>21</v>
      </c>
      <c r="F193" s="115"/>
      <c r="G193" s="115"/>
      <c r="H193" s="116">
        <f>D193*(E193+F193+G193)</f>
        <v>13860</v>
      </c>
    </row>
    <row r="194" spans="1:8" ht="11.25">
      <c r="A194" s="246"/>
      <c r="B194" s="111"/>
      <c r="C194" s="115" t="s">
        <v>1198</v>
      </c>
      <c r="D194" s="113"/>
      <c r="E194" s="114">
        <v>28</v>
      </c>
      <c r="F194" s="115"/>
      <c r="G194" s="115"/>
      <c r="H194" s="116">
        <f>D194*(E194+F194+G194)</f>
        <v>0</v>
      </c>
    </row>
    <row r="195" spans="1:8" ht="11.25">
      <c r="A195" s="246"/>
      <c r="B195" s="111"/>
      <c r="C195" s="115" t="s">
        <v>1199</v>
      </c>
      <c r="D195" s="113"/>
      <c r="E195" s="114">
        <v>84</v>
      </c>
      <c r="F195" s="115"/>
      <c r="G195" s="115"/>
      <c r="H195" s="116">
        <f>D195*(E195+F195+G195)</f>
        <v>0</v>
      </c>
    </row>
    <row r="196" spans="1:8" ht="11.25">
      <c r="A196" s="246"/>
      <c r="B196" s="111"/>
      <c r="C196" s="115" t="s">
        <v>1200</v>
      </c>
      <c r="D196" s="113">
        <v>1023</v>
      </c>
      <c r="E196" s="114">
        <v>68</v>
      </c>
      <c r="F196" s="115"/>
      <c r="G196" s="115"/>
      <c r="H196" s="116">
        <f>D196*(E196+F196+G196)</f>
        <v>69564</v>
      </c>
    </row>
    <row r="197" spans="1:8" ht="11.25">
      <c r="A197" s="246"/>
      <c r="B197" s="111"/>
      <c r="C197" s="115" t="s">
        <v>1201</v>
      </c>
      <c r="D197" s="113">
        <v>638</v>
      </c>
      <c r="E197" s="114">
        <v>117</v>
      </c>
      <c r="F197" s="115">
        <v>12</v>
      </c>
      <c r="G197" s="115"/>
      <c r="H197" s="116">
        <f>D197*(E197+F197+G197)</f>
        <v>82302</v>
      </c>
    </row>
    <row r="198" spans="1:8" ht="11.25">
      <c r="A198" s="246"/>
      <c r="B198" s="111"/>
      <c r="C198" s="115" t="s">
        <v>1202</v>
      </c>
      <c r="D198" s="113">
        <v>825</v>
      </c>
      <c r="E198" s="114">
        <v>208</v>
      </c>
      <c r="F198" s="115">
        <v>20</v>
      </c>
      <c r="G198" s="115"/>
      <c r="H198" s="116">
        <f>D198*(E198+F198+G198)</f>
        <v>188100</v>
      </c>
    </row>
    <row r="199" spans="1:8" ht="11.25">
      <c r="A199" s="246"/>
      <c r="B199" s="111"/>
      <c r="C199" s="115" t="s">
        <v>1203</v>
      </c>
      <c r="D199" s="113"/>
      <c r="E199" s="114">
        <v>45</v>
      </c>
      <c r="F199" s="115"/>
      <c r="G199" s="115"/>
      <c r="H199" s="116">
        <f>D199*(E199+F199+G199)</f>
        <v>0</v>
      </c>
    </row>
    <row r="200" spans="1:8" ht="11.25">
      <c r="A200" s="246"/>
      <c r="B200" s="111"/>
      <c r="C200" s="115" t="s">
        <v>1204</v>
      </c>
      <c r="D200" s="113">
        <v>990</v>
      </c>
      <c r="E200" s="114">
        <v>60</v>
      </c>
      <c r="F200" s="115"/>
      <c r="G200" s="115"/>
      <c r="H200" s="116">
        <f>D200*(E200+F200+G200)</f>
        <v>59400</v>
      </c>
    </row>
    <row r="201" spans="1:8" ht="11.25">
      <c r="A201" s="246"/>
      <c r="B201" s="111"/>
      <c r="C201" s="115"/>
      <c r="D201" s="113"/>
      <c r="E201" s="114"/>
      <c r="F201" s="115"/>
      <c r="G201" s="115"/>
      <c r="H201" s="116">
        <f>D201*(E201+F201+G201)</f>
        <v>0</v>
      </c>
    </row>
    <row r="202" spans="1:8" ht="11.25">
      <c r="A202" s="246"/>
      <c r="B202" s="111"/>
      <c r="C202" s="115" t="s">
        <v>1205</v>
      </c>
      <c r="D202" s="113">
        <v>780</v>
      </c>
      <c r="E202" s="114">
        <v>18</v>
      </c>
      <c r="F202" s="115"/>
      <c r="G202" s="115"/>
      <c r="H202" s="116">
        <f>D202*(E202+F202+G202)</f>
        <v>14040</v>
      </c>
    </row>
    <row r="203" spans="1:8" ht="11.25">
      <c r="A203" s="246"/>
      <c r="B203" s="111"/>
      <c r="C203" s="115" t="s">
        <v>1206</v>
      </c>
      <c r="D203" s="113"/>
      <c r="E203" s="114">
        <v>17</v>
      </c>
      <c r="F203" s="115"/>
      <c r="G203" s="115"/>
      <c r="H203" s="116">
        <f>D203*(E203+F203+G203)</f>
        <v>0</v>
      </c>
    </row>
    <row r="204" spans="1:8" ht="11.25">
      <c r="A204" s="246"/>
      <c r="B204" s="111"/>
      <c r="C204" s="115" t="s">
        <v>1207</v>
      </c>
      <c r="D204" s="113">
        <v>748</v>
      </c>
      <c r="E204" s="114">
        <v>11</v>
      </c>
      <c r="F204" s="115"/>
      <c r="G204" s="115"/>
      <c r="H204" s="116">
        <f>D204*(E204+F204+G204)</f>
        <v>8228</v>
      </c>
    </row>
    <row r="205" spans="1:8" ht="11.25">
      <c r="A205" s="246"/>
      <c r="B205" s="111"/>
      <c r="C205" s="115" t="s">
        <v>472</v>
      </c>
      <c r="D205" s="113">
        <v>192</v>
      </c>
      <c r="E205" s="114">
        <v>60</v>
      </c>
      <c r="F205" s="115">
        <v>30</v>
      </c>
      <c r="G205" s="115"/>
      <c r="H205" s="116">
        <f>D205*(E205+F205+G205)</f>
        <v>17280</v>
      </c>
    </row>
    <row r="206" spans="1:8" ht="11.25">
      <c r="A206" s="246"/>
      <c r="B206" s="111"/>
      <c r="C206" s="115" t="s">
        <v>1208</v>
      </c>
      <c r="D206" s="113">
        <v>600</v>
      </c>
      <c r="E206" s="114"/>
      <c r="F206" s="115">
        <v>5</v>
      </c>
      <c r="G206" s="115"/>
      <c r="H206" s="116">
        <f>D206*(E206+F206+G206)</f>
        <v>3000</v>
      </c>
    </row>
    <row r="207" spans="1:8" ht="11.25">
      <c r="A207" s="246"/>
      <c r="B207" s="111"/>
      <c r="C207" s="115" t="s">
        <v>1209</v>
      </c>
      <c r="D207" s="113">
        <v>650</v>
      </c>
      <c r="E207" s="114">
        <v>10</v>
      </c>
      <c r="F207" s="115">
        <v>7</v>
      </c>
      <c r="G207" s="115"/>
      <c r="H207" s="116">
        <f>D207*(E207+F207+G207)</f>
        <v>11050</v>
      </c>
    </row>
    <row r="208" spans="1:8" ht="11.25">
      <c r="A208" s="246"/>
      <c r="B208" s="111"/>
      <c r="C208" s="115" t="s">
        <v>172</v>
      </c>
      <c r="D208" s="113">
        <v>1500</v>
      </c>
      <c r="E208" s="114">
        <v>5</v>
      </c>
      <c r="F208" s="115">
        <v>25</v>
      </c>
      <c r="G208" s="115"/>
      <c r="H208" s="116">
        <f>D208*(E208+F208+G208)</f>
        <v>45000</v>
      </c>
    </row>
    <row r="209" spans="1:8" ht="11.25">
      <c r="A209" s="246"/>
      <c r="B209" s="111"/>
      <c r="C209" s="115" t="s">
        <v>1210</v>
      </c>
      <c r="D209" s="113">
        <v>682</v>
      </c>
      <c r="E209" s="114"/>
      <c r="F209" s="115">
        <v>11</v>
      </c>
      <c r="G209" s="115"/>
      <c r="H209" s="116">
        <f>D209*(E209+F209+G209)</f>
        <v>7502</v>
      </c>
    </row>
    <row r="210" spans="1:8" ht="11.25">
      <c r="A210" s="246"/>
      <c r="B210" s="111"/>
      <c r="C210" s="115" t="s">
        <v>1211</v>
      </c>
      <c r="D210" s="113"/>
      <c r="E210" s="114"/>
      <c r="F210" s="115">
        <v>8</v>
      </c>
      <c r="G210" s="115"/>
      <c r="H210" s="116">
        <f>D210*(E210+F210+G210)</f>
        <v>0</v>
      </c>
    </row>
    <row r="211" spans="1:8" ht="11.25">
      <c r="A211" s="246"/>
      <c r="B211" s="111"/>
      <c r="C211" s="115" t="s">
        <v>1212</v>
      </c>
      <c r="D211" s="113">
        <v>605</v>
      </c>
      <c r="E211" s="114"/>
      <c r="F211" s="115">
        <v>4</v>
      </c>
      <c r="G211" s="115"/>
      <c r="H211" s="116">
        <f>D211*(E211+F211+G211)</f>
        <v>2420</v>
      </c>
    </row>
    <row r="212" spans="1:8" ht="11.25">
      <c r="A212" s="246"/>
      <c r="B212" s="111"/>
      <c r="C212" s="115" t="s">
        <v>74</v>
      </c>
      <c r="D212" s="113">
        <v>620</v>
      </c>
      <c r="E212" s="114"/>
      <c r="F212" s="115">
        <v>14</v>
      </c>
      <c r="G212" s="115"/>
      <c r="H212" s="116">
        <f>D212*(E212+F212+G212)</f>
        <v>8680</v>
      </c>
    </row>
    <row r="213" spans="1:8" ht="11.25">
      <c r="A213" s="246"/>
      <c r="B213" s="111"/>
      <c r="C213" s="115" t="s">
        <v>1213</v>
      </c>
      <c r="D213" s="113">
        <v>902</v>
      </c>
      <c r="E213" s="114"/>
      <c r="F213" s="115">
        <v>48</v>
      </c>
      <c r="G213" s="115"/>
      <c r="H213" s="116">
        <f>D213*(E213+F213+G213)</f>
        <v>43296</v>
      </c>
    </row>
    <row r="214" spans="1:8" ht="11.25">
      <c r="A214" s="246"/>
      <c r="B214" s="111"/>
      <c r="C214" s="115" t="s">
        <v>1214</v>
      </c>
      <c r="D214" s="113">
        <v>500</v>
      </c>
      <c r="E214" s="114"/>
      <c r="F214" s="115">
        <v>45</v>
      </c>
      <c r="G214" s="115"/>
      <c r="H214" s="116">
        <f>D214*(E214+F214+G214)</f>
        <v>22500</v>
      </c>
    </row>
    <row r="215" spans="1:8" ht="11.25">
      <c r="A215" s="246"/>
      <c r="B215" s="111"/>
      <c r="C215" s="115" t="s">
        <v>1215</v>
      </c>
      <c r="D215" s="113">
        <v>1000</v>
      </c>
      <c r="E215" s="114"/>
      <c r="F215" s="115">
        <v>22</v>
      </c>
      <c r="G215" s="115"/>
      <c r="H215" s="116">
        <f>D215*(E215+F215+G215)</f>
        <v>22000</v>
      </c>
    </row>
    <row r="216" spans="1:8" ht="11.25">
      <c r="A216" s="246"/>
      <c r="B216" s="111"/>
      <c r="C216" s="115" t="s">
        <v>1216</v>
      </c>
      <c r="D216" s="113">
        <v>721</v>
      </c>
      <c r="E216" s="114"/>
      <c r="F216" s="115">
        <v>4</v>
      </c>
      <c r="G216" s="115"/>
      <c r="H216" s="116">
        <f>D216*(E216+F216+G216)</f>
        <v>2884</v>
      </c>
    </row>
    <row r="217" spans="1:8" ht="11.25">
      <c r="A217" s="246"/>
      <c r="B217" s="111"/>
      <c r="C217" s="115" t="s">
        <v>1217</v>
      </c>
      <c r="D217" s="113"/>
      <c r="E217" s="114"/>
      <c r="F217" s="115">
        <v>8</v>
      </c>
      <c r="G217" s="115"/>
      <c r="H217" s="116">
        <f>D217*(E217+F217+G217)</f>
        <v>0</v>
      </c>
    </row>
    <row r="218" spans="1:8" ht="11.25">
      <c r="A218" s="246"/>
      <c r="B218" s="111"/>
      <c r="C218" s="115" t="s">
        <v>1218</v>
      </c>
      <c r="D218" s="113"/>
      <c r="E218" s="114"/>
      <c r="F218" s="115">
        <v>6</v>
      </c>
      <c r="G218" s="115"/>
      <c r="H218" s="116">
        <f>D218*(E218+F218+G218)</f>
        <v>0</v>
      </c>
    </row>
    <row r="219" spans="1:8" ht="11.25">
      <c r="A219" s="246"/>
      <c r="B219" s="111"/>
      <c r="C219" s="115" t="s">
        <v>1219</v>
      </c>
      <c r="D219" s="113">
        <v>709</v>
      </c>
      <c r="E219" s="114"/>
      <c r="F219" s="115">
        <v>20</v>
      </c>
      <c r="G219" s="115"/>
      <c r="H219" s="116">
        <f>D219*(E219+F219+G219)</f>
        <v>14180</v>
      </c>
    </row>
    <row r="220" spans="1:8" ht="11.25">
      <c r="A220" s="246"/>
      <c r="B220" s="111"/>
      <c r="C220" s="115" t="s">
        <v>1220</v>
      </c>
      <c r="D220" s="113">
        <v>434</v>
      </c>
      <c r="E220" s="114"/>
      <c r="F220" s="115">
        <v>13</v>
      </c>
      <c r="G220" s="115"/>
      <c r="H220" s="116">
        <f>D220*(E220+F220+G220)</f>
        <v>5642</v>
      </c>
    </row>
    <row r="221" spans="1:8" ht="11.25">
      <c r="A221" s="246"/>
      <c r="B221" s="111"/>
      <c r="C221" s="115" t="s">
        <v>1221</v>
      </c>
      <c r="D221" s="113"/>
      <c r="E221" s="114"/>
      <c r="F221" s="115">
        <v>168</v>
      </c>
      <c r="G221" s="115"/>
      <c r="H221" s="116">
        <f>D221*(E221+F221+G221)</f>
        <v>0</v>
      </c>
    </row>
    <row r="222" spans="1:8" ht="11.25">
      <c r="A222" s="246"/>
      <c r="B222" s="111"/>
      <c r="C222" s="115" t="s">
        <v>1222</v>
      </c>
      <c r="D222" s="113"/>
      <c r="E222" s="114"/>
      <c r="F222" s="115">
        <v>180</v>
      </c>
      <c r="G222" s="115"/>
      <c r="H222" s="116">
        <f>D222*(E222+F222+G222)</f>
        <v>0</v>
      </c>
    </row>
    <row r="223" spans="1:8" ht="11.25">
      <c r="A223" s="246"/>
      <c r="B223" s="111"/>
      <c r="C223" s="115"/>
      <c r="D223" s="113"/>
      <c r="E223" s="114"/>
      <c r="F223" s="115"/>
      <c r="G223" s="115"/>
      <c r="H223" s="116">
        <f>D223*(E223+F223+G223)</f>
        <v>0</v>
      </c>
    </row>
    <row r="224" spans="1:8" ht="11.25">
      <c r="A224" s="246"/>
      <c r="B224" s="111"/>
      <c r="C224" s="115"/>
      <c r="D224" s="113"/>
      <c r="E224" s="114"/>
      <c r="F224" s="115"/>
      <c r="G224" s="115"/>
      <c r="H224" s="116">
        <f>D224*(E224+F224+G224)</f>
        <v>0</v>
      </c>
    </row>
    <row r="225" spans="1:8" ht="11.25">
      <c r="A225" s="246"/>
      <c r="B225" s="111"/>
      <c r="C225" s="115"/>
      <c r="D225" s="113"/>
      <c r="E225" s="114"/>
      <c r="F225" s="115"/>
      <c r="G225" s="115"/>
      <c r="H225" s="116">
        <f>D225*(E225+F225+G225)</f>
        <v>0</v>
      </c>
    </row>
    <row r="226" spans="1:8" ht="11.25">
      <c r="A226" s="246"/>
      <c r="B226" s="111"/>
      <c r="C226" s="115"/>
      <c r="D226" s="113"/>
      <c r="E226" s="114"/>
      <c r="F226" s="115"/>
      <c r="G226" s="115"/>
      <c r="H226" s="116">
        <f>D226*(E226+F226+G226)</f>
        <v>0</v>
      </c>
    </row>
    <row r="227" spans="1:8" ht="11.25">
      <c r="A227" s="246"/>
      <c r="B227" s="111"/>
      <c r="C227" s="115"/>
      <c r="D227" s="113"/>
      <c r="E227" s="114"/>
      <c r="F227" s="115"/>
      <c r="G227" s="115"/>
      <c r="H227" s="116">
        <f>D227*(E227+F227+G227)</f>
        <v>0</v>
      </c>
    </row>
    <row r="228" spans="1:8" ht="11.25">
      <c r="A228" s="246"/>
      <c r="B228" s="111"/>
      <c r="C228" s="115"/>
      <c r="D228" s="113"/>
      <c r="E228" s="114"/>
      <c r="F228" s="115"/>
      <c r="G228" s="115"/>
      <c r="H228" s="116">
        <f>D228*(E228+F228+G228)</f>
        <v>0</v>
      </c>
    </row>
    <row r="229" spans="1:8" ht="11.25">
      <c r="A229" s="246"/>
      <c r="B229" s="111"/>
      <c r="C229" s="115"/>
      <c r="D229" s="113"/>
      <c r="E229" s="114"/>
      <c r="F229" s="115"/>
      <c r="G229" s="115"/>
      <c r="H229" s="116">
        <f>D229*(E229+F229+G229)</f>
        <v>0</v>
      </c>
    </row>
    <row r="230" spans="1:8" ht="11.25">
      <c r="A230" s="246"/>
      <c r="B230" s="111"/>
      <c r="C230" s="115"/>
      <c r="D230" s="113"/>
      <c r="E230" s="114"/>
      <c r="F230" s="115"/>
      <c r="G230" s="115"/>
      <c r="H230" s="116">
        <f>D230*(E230+F230+G230)</f>
        <v>0</v>
      </c>
    </row>
    <row r="231" spans="1:8" ht="11.25">
      <c r="A231" s="246"/>
      <c r="B231" s="111"/>
      <c r="C231" s="115"/>
      <c r="D231" s="113"/>
      <c r="E231" s="114"/>
      <c r="F231" s="115"/>
      <c r="G231" s="115"/>
      <c r="H231" s="116">
        <f>D231*(E231+F231+G231)</f>
        <v>0</v>
      </c>
    </row>
    <row r="232" spans="1:8" ht="11.25">
      <c r="A232" s="246"/>
      <c r="B232" s="111"/>
      <c r="C232" s="115"/>
      <c r="D232" s="113"/>
      <c r="E232" s="114"/>
      <c r="F232" s="115"/>
      <c r="G232" s="115"/>
      <c r="H232" s="116">
        <f>D232*(E232+F232+G232)</f>
        <v>0</v>
      </c>
    </row>
    <row r="233" spans="1:8" ht="11.25">
      <c r="A233" s="246"/>
      <c r="B233" s="111"/>
      <c r="C233" s="115"/>
      <c r="D233" s="113"/>
      <c r="E233" s="114"/>
      <c r="F233" s="115"/>
      <c r="G233" s="115"/>
      <c r="H233" s="116">
        <f>D233*(E233+F233+G233)</f>
        <v>0</v>
      </c>
    </row>
    <row r="234" spans="1:8" ht="11.25">
      <c r="A234" s="246"/>
      <c r="B234" s="111"/>
      <c r="C234" s="115"/>
      <c r="D234" s="113"/>
      <c r="E234" s="114"/>
      <c r="F234" s="115"/>
      <c r="G234" s="115"/>
      <c r="H234" s="116">
        <f>D234*(E234+F234+G234)</f>
        <v>0</v>
      </c>
    </row>
    <row r="235" spans="1:8" ht="11.25">
      <c r="A235" s="246"/>
      <c r="B235" s="111"/>
      <c r="C235" s="115"/>
      <c r="D235" s="113"/>
      <c r="E235" s="114"/>
      <c r="F235" s="115"/>
      <c r="G235" s="115"/>
      <c r="H235" s="116">
        <f>D235*(E235+F235+G235)</f>
        <v>0</v>
      </c>
    </row>
    <row r="236" spans="1:8" ht="11.25">
      <c r="A236" s="246"/>
      <c r="B236" s="111"/>
      <c r="C236" s="115"/>
      <c r="D236" s="113"/>
      <c r="E236" s="114"/>
      <c r="F236" s="115"/>
      <c r="G236" s="115"/>
      <c r="H236" s="116">
        <f>D236*(E236+F236+G236)</f>
        <v>0</v>
      </c>
    </row>
    <row r="237" spans="1:8" ht="11.25">
      <c r="A237" s="246"/>
      <c r="B237" s="111"/>
      <c r="C237" s="115"/>
      <c r="D237" s="113"/>
      <c r="E237" s="114"/>
      <c r="F237" s="115"/>
      <c r="G237" s="115"/>
      <c r="H237" s="116">
        <f>D237*(E237+F237+G237)</f>
        <v>0</v>
      </c>
    </row>
    <row r="238" spans="1:8" ht="11.25">
      <c r="A238" s="246"/>
      <c r="B238" s="111"/>
      <c r="C238" s="115"/>
      <c r="D238" s="113"/>
      <c r="E238" s="114"/>
      <c r="F238" s="115"/>
      <c r="G238" s="115"/>
      <c r="H238" s="116">
        <f>D238*(E238+F238+G238)</f>
        <v>0</v>
      </c>
    </row>
    <row r="239" spans="1:8" ht="11.25">
      <c r="A239" s="246"/>
      <c r="B239" s="111"/>
      <c r="C239" s="115"/>
      <c r="D239" s="113"/>
      <c r="E239" s="114"/>
      <c r="F239" s="115"/>
      <c r="G239" s="115"/>
      <c r="H239" s="116">
        <f>D239*(E239+F239+G239)</f>
        <v>0</v>
      </c>
    </row>
    <row r="240" spans="1:8" ht="11.25">
      <c r="A240" s="246"/>
      <c r="B240" s="111"/>
      <c r="C240" s="115"/>
      <c r="D240" s="113"/>
      <c r="E240" s="114"/>
      <c r="F240" s="115"/>
      <c r="G240" s="115"/>
      <c r="H240" s="116">
        <f>D240*(E240+F240+G240)</f>
        <v>0</v>
      </c>
    </row>
    <row r="241" spans="1:8" ht="11.25">
      <c r="A241" s="246"/>
      <c r="B241" s="112"/>
      <c r="C241" s="230"/>
      <c r="D241" s="231"/>
      <c r="E241" s="231"/>
      <c r="F241" s="230"/>
      <c r="G241" s="230"/>
      <c r="H241" s="232">
        <f t="shared" si="6"/>
        <v>0</v>
      </c>
    </row>
    <row r="242" spans="1:8" ht="11.25">
      <c r="A242" s="246"/>
      <c r="B242" s="112"/>
      <c r="C242" s="230"/>
      <c r="D242" s="231"/>
      <c r="E242" s="231"/>
      <c r="F242" s="230"/>
      <c r="G242" s="230"/>
      <c r="H242" s="232">
        <f t="shared" si="6"/>
        <v>0</v>
      </c>
    </row>
    <row r="243" spans="1:8" ht="11.25">
      <c r="A243" s="246"/>
      <c r="B243" s="112"/>
      <c r="C243" s="230"/>
      <c r="D243" s="231"/>
      <c r="E243" s="231"/>
      <c r="F243" s="230"/>
      <c r="G243" s="230"/>
      <c r="H243" s="232">
        <f t="shared" si="6"/>
        <v>0</v>
      </c>
    </row>
    <row r="244" spans="1:8" ht="11.25">
      <c r="A244" s="246"/>
      <c r="B244" s="112"/>
      <c r="C244" s="230"/>
      <c r="D244" s="231"/>
      <c r="E244" s="231"/>
      <c r="F244" s="230"/>
      <c r="G244" s="230"/>
      <c r="H244" s="232">
        <f t="shared" si="6"/>
        <v>0</v>
      </c>
    </row>
    <row r="245" spans="1:8" ht="11.25">
      <c r="A245" s="246"/>
      <c r="B245" s="112"/>
      <c r="C245" s="230"/>
      <c r="D245" s="231"/>
      <c r="E245" s="231"/>
      <c r="F245" s="230"/>
      <c r="G245" s="230"/>
      <c r="H245" s="232">
        <f t="shared" si="6"/>
        <v>0</v>
      </c>
    </row>
    <row r="246" spans="1:8" ht="11.25">
      <c r="A246" s="246"/>
      <c r="B246" s="112"/>
      <c r="C246" s="230"/>
      <c r="D246" s="231"/>
      <c r="E246" s="231"/>
      <c r="F246" s="230"/>
      <c r="G246" s="230"/>
      <c r="H246" s="232">
        <f t="shared" si="6"/>
        <v>0</v>
      </c>
    </row>
    <row r="247" spans="1:8" ht="11.25">
      <c r="A247" s="246"/>
      <c r="B247" s="112"/>
      <c r="C247" s="230"/>
      <c r="D247" s="231"/>
      <c r="E247" s="231"/>
      <c r="F247" s="230"/>
      <c r="G247" s="230"/>
      <c r="H247" s="232">
        <f t="shared" si="6"/>
        <v>0</v>
      </c>
    </row>
    <row r="248" spans="1:8" ht="11.25">
      <c r="A248" s="246"/>
      <c r="B248" s="112"/>
      <c r="C248" s="230"/>
      <c r="D248" s="231"/>
      <c r="E248" s="231"/>
      <c r="F248" s="230"/>
      <c r="G248" s="230"/>
      <c r="H248" s="232">
        <f t="shared" si="6"/>
        <v>0</v>
      </c>
    </row>
    <row r="249" spans="1:8" ht="11.25">
      <c r="A249" s="246"/>
      <c r="B249" s="112"/>
      <c r="C249" s="230"/>
      <c r="D249" s="231"/>
      <c r="E249" s="231"/>
      <c r="F249" s="230"/>
      <c r="G249" s="230"/>
      <c r="H249" s="232">
        <f t="shared" si="6"/>
        <v>0</v>
      </c>
    </row>
    <row r="250" spans="1:8" ht="11.25">
      <c r="A250" s="246"/>
      <c r="B250" s="112"/>
      <c r="C250" s="230"/>
      <c r="D250" s="231"/>
      <c r="E250" s="231"/>
      <c r="F250" s="230"/>
      <c r="G250" s="230"/>
      <c r="H250" s="232">
        <f t="shared" si="6"/>
        <v>0</v>
      </c>
    </row>
    <row r="251" spans="1:8" ht="11.25">
      <c r="A251" s="246"/>
      <c r="B251" s="112"/>
      <c r="C251" s="230"/>
      <c r="D251" s="231"/>
      <c r="E251" s="231"/>
      <c r="F251" s="230"/>
      <c r="G251" s="230"/>
      <c r="H251" s="232">
        <f t="shared" si="6"/>
        <v>0</v>
      </c>
    </row>
    <row r="252" spans="1:8" ht="11.25">
      <c r="A252" s="246"/>
      <c r="B252" s="112"/>
      <c r="C252" s="230"/>
      <c r="D252" s="231"/>
      <c r="E252" s="231"/>
      <c r="F252" s="230"/>
      <c r="G252" s="230"/>
      <c r="H252" s="232">
        <f t="shared" si="6"/>
        <v>0</v>
      </c>
    </row>
    <row r="253" spans="1:8" ht="11.25">
      <c r="A253" s="246"/>
      <c r="B253" s="112"/>
      <c r="C253" s="230"/>
      <c r="D253" s="231"/>
      <c r="E253" s="231"/>
      <c r="F253" s="230"/>
      <c r="G253" s="230"/>
      <c r="H253" s="232">
        <f t="shared" si="6"/>
        <v>0</v>
      </c>
    </row>
    <row r="254" spans="1:8" ht="11.25">
      <c r="A254" s="246"/>
      <c r="B254" s="112"/>
      <c r="C254" s="230"/>
      <c r="D254" s="231"/>
      <c r="E254" s="231"/>
      <c r="F254" s="230"/>
      <c r="G254" s="230"/>
      <c r="H254" s="232">
        <f t="shared" si="6"/>
        <v>0</v>
      </c>
    </row>
    <row r="255" spans="1:8" ht="11.25">
      <c r="A255" s="246"/>
      <c r="B255" s="112"/>
      <c r="C255" s="230"/>
      <c r="D255" s="231"/>
      <c r="E255" s="231"/>
      <c r="F255" s="230"/>
      <c r="G255" s="230"/>
      <c r="H255" s="232">
        <f t="shared" si="6"/>
        <v>0</v>
      </c>
    </row>
    <row r="256" spans="1:8" ht="11.25">
      <c r="A256" s="246"/>
      <c r="B256" s="112"/>
      <c r="C256" s="230"/>
      <c r="D256" s="231"/>
      <c r="E256" s="231"/>
      <c r="F256" s="230"/>
      <c r="G256" s="230"/>
      <c r="H256" s="232">
        <f t="shared" si="6"/>
        <v>0</v>
      </c>
    </row>
    <row r="257" spans="1:8" ht="11.25">
      <c r="A257" s="246"/>
      <c r="B257" s="112"/>
      <c r="C257" s="230"/>
      <c r="D257" s="231"/>
      <c r="E257" s="231"/>
      <c r="F257" s="230"/>
      <c r="G257" s="230"/>
      <c r="H257" s="232">
        <f t="shared" si="6"/>
        <v>0</v>
      </c>
    </row>
    <row r="258" spans="1:8" ht="11.25">
      <c r="A258" s="246"/>
      <c r="B258" s="112"/>
      <c r="C258" s="230"/>
      <c r="D258" s="231"/>
      <c r="E258" s="231"/>
      <c r="F258" s="230"/>
      <c r="G258" s="230"/>
      <c r="H258" s="232">
        <f t="shared" si="6"/>
        <v>0</v>
      </c>
    </row>
    <row r="259" spans="1:8" ht="11.25">
      <c r="A259" s="246"/>
      <c r="B259" s="112"/>
      <c r="C259" s="230"/>
      <c r="D259" s="231"/>
      <c r="E259" s="231"/>
      <c r="F259" s="230"/>
      <c r="G259" s="230"/>
      <c r="H259" s="232">
        <f t="shared" si="6"/>
        <v>0</v>
      </c>
    </row>
    <row r="260" spans="1:8" ht="11.25">
      <c r="A260" s="246"/>
      <c r="B260" s="112"/>
      <c r="C260" s="230"/>
      <c r="D260" s="231"/>
      <c r="E260" s="231"/>
      <c r="F260" s="230"/>
      <c r="G260" s="230"/>
      <c r="H260" s="232">
        <f t="shared" si="6"/>
        <v>0</v>
      </c>
    </row>
    <row r="261" spans="1:8" ht="11.25">
      <c r="A261" s="246"/>
      <c r="B261" s="112"/>
      <c r="C261" s="230"/>
      <c r="D261" s="231"/>
      <c r="E261" s="231"/>
      <c r="F261" s="230"/>
      <c r="G261" s="230"/>
      <c r="H261" s="232">
        <f t="shared" si="6"/>
        <v>0</v>
      </c>
    </row>
    <row r="262" spans="1:8" ht="11.25">
      <c r="A262" s="246"/>
      <c r="B262" s="112"/>
      <c r="C262" s="230"/>
      <c r="D262" s="231"/>
      <c r="E262" s="231"/>
      <c r="F262" s="230"/>
      <c r="G262" s="230"/>
      <c r="H262" s="232">
        <f t="shared" si="6"/>
        <v>0</v>
      </c>
    </row>
    <row r="263" spans="1:8" ht="11.25">
      <c r="A263" s="246"/>
      <c r="B263" s="112"/>
      <c r="C263" s="230"/>
      <c r="D263" s="231"/>
      <c r="E263" s="231"/>
      <c r="F263" s="230"/>
      <c r="G263" s="230"/>
      <c r="H263" s="232">
        <f t="shared" si="6"/>
        <v>0</v>
      </c>
    </row>
    <row r="264" spans="1:8" ht="11.25">
      <c r="A264" s="246"/>
      <c r="B264" s="112"/>
      <c r="C264" s="230"/>
      <c r="D264" s="231"/>
      <c r="E264" s="231"/>
      <c r="F264" s="230"/>
      <c r="G264" s="230"/>
      <c r="H264" s="232">
        <f t="shared" si="6"/>
        <v>0</v>
      </c>
    </row>
    <row r="265" spans="1:8" ht="11.25">
      <c r="A265" s="246"/>
      <c r="B265" s="112"/>
      <c r="C265" s="230"/>
      <c r="D265" s="231"/>
      <c r="E265" s="231"/>
      <c r="F265" s="230"/>
      <c r="G265" s="230"/>
      <c r="H265" s="232">
        <f t="shared" si="6"/>
        <v>0</v>
      </c>
    </row>
    <row r="266" spans="1:8" ht="11.25">
      <c r="A266" s="246"/>
      <c r="B266" s="112"/>
      <c r="C266" s="230"/>
      <c r="D266" s="231"/>
      <c r="E266" s="231"/>
      <c r="F266" s="230"/>
      <c r="G266" s="230"/>
      <c r="H266" s="232">
        <f t="shared" si="6"/>
        <v>0</v>
      </c>
    </row>
    <row r="267" spans="1:8" ht="11.25">
      <c r="A267" s="246"/>
      <c r="B267" s="112"/>
      <c r="C267" s="230"/>
      <c r="D267" s="231"/>
      <c r="E267" s="231"/>
      <c r="F267" s="230"/>
      <c r="G267" s="230"/>
      <c r="H267" s="232">
        <f t="shared" si="6"/>
        <v>0</v>
      </c>
    </row>
    <row r="268" spans="1:8" ht="11.25">
      <c r="A268" s="246"/>
      <c r="B268" s="112"/>
      <c r="C268" s="230"/>
      <c r="D268" s="231"/>
      <c r="E268" s="231"/>
      <c r="F268" s="230"/>
      <c r="G268" s="230"/>
      <c r="H268" s="232">
        <f t="shared" si="6"/>
        <v>0</v>
      </c>
    </row>
    <row r="269" spans="1:8" ht="11.25">
      <c r="A269" s="246"/>
      <c r="B269" s="112"/>
      <c r="C269" s="230"/>
      <c r="D269" s="231"/>
      <c r="E269" s="231"/>
      <c r="F269" s="230"/>
      <c r="G269" s="230"/>
      <c r="H269" s="232">
        <f t="shared" si="6"/>
        <v>0</v>
      </c>
    </row>
    <row r="270" spans="1:8" ht="11.25">
      <c r="A270" s="246"/>
      <c r="B270" s="112"/>
      <c r="C270" s="230"/>
      <c r="D270" s="231"/>
      <c r="E270" s="231"/>
      <c r="F270" s="230"/>
      <c r="G270" s="230"/>
      <c r="H270" s="232">
        <f t="shared" si="6"/>
        <v>0</v>
      </c>
    </row>
    <row r="271" spans="1:8" ht="11.25">
      <c r="A271" s="246"/>
      <c r="B271" s="112"/>
      <c r="C271" s="230"/>
      <c r="D271" s="231"/>
      <c r="E271" s="231"/>
      <c r="F271" s="230"/>
      <c r="G271" s="230"/>
      <c r="H271" s="232">
        <f t="shared" si="6"/>
        <v>0</v>
      </c>
    </row>
    <row r="272" spans="1:8" ht="11.25">
      <c r="A272" s="246"/>
      <c r="B272" s="112"/>
      <c r="C272" s="230"/>
      <c r="D272" s="231"/>
      <c r="E272" s="231"/>
      <c r="F272" s="230"/>
      <c r="G272" s="230"/>
      <c r="H272" s="232">
        <f t="shared" si="6"/>
        <v>0</v>
      </c>
    </row>
    <row r="273" spans="1:8" ht="11.25">
      <c r="A273" s="246"/>
      <c r="B273" s="112"/>
      <c r="C273" s="230"/>
      <c r="D273" s="231"/>
      <c r="E273" s="231"/>
      <c r="F273" s="230"/>
      <c r="G273" s="230"/>
      <c r="H273" s="232">
        <f t="shared" si="6"/>
        <v>0</v>
      </c>
    </row>
    <row r="274" spans="1:8" ht="11.25">
      <c r="A274" s="246"/>
      <c r="B274" s="112"/>
      <c r="C274" s="230"/>
      <c r="D274" s="231"/>
      <c r="E274" s="231"/>
      <c r="F274" s="230"/>
      <c r="G274" s="230"/>
      <c r="H274" s="232">
        <f t="shared" si="6"/>
        <v>0</v>
      </c>
    </row>
    <row r="275" spans="1:8" ht="11.25">
      <c r="A275" s="246"/>
      <c r="B275" s="112"/>
      <c r="C275" s="230"/>
      <c r="D275" s="231"/>
      <c r="E275" s="231"/>
      <c r="F275" s="230"/>
      <c r="G275" s="230"/>
      <c r="H275" s="232">
        <f t="shared" si="6"/>
        <v>0</v>
      </c>
    </row>
    <row r="276" spans="1:8" ht="11.25">
      <c r="A276" s="246"/>
      <c r="B276" s="112"/>
      <c r="C276" s="230"/>
      <c r="D276" s="231"/>
      <c r="E276" s="231"/>
      <c r="F276" s="230"/>
      <c r="G276" s="230"/>
      <c r="H276" s="232">
        <f t="shared" si="6"/>
        <v>0</v>
      </c>
    </row>
    <row r="277" spans="1:8" ht="11.25"/>
    <row r="278" spans="1:8" ht="11.25"/>
    <row r="279" spans="1:8" ht="11.25"/>
    <row r="280" spans="1:8" ht="11.25"/>
    <row r="281" spans="1:8" ht="11.25"/>
    <row r="282" spans="1:8" ht="11.25"/>
    <row r="283" spans="1:8" ht="11.25"/>
    <row r="284" spans="1:8" ht="11.25"/>
    <row r="285" spans="1:8" ht="11.25"/>
    <row r="286" spans="1:8" ht="11.25"/>
    <row r="287" spans="1:8" ht="11.25"/>
    <row r="288" spans="1:8" ht="11.25"/>
    <row r="289" ht="11.25"/>
    <row r="290" ht="11.25"/>
    <row r="291" ht="11.25"/>
    <row r="292" ht="11.25"/>
    <row r="293" ht="11.25"/>
    <row r="294" ht="11.25"/>
    <row r="295" ht="11.25"/>
    <row r="296" ht="11.25"/>
    <row r="297" ht="11.25"/>
    <row r="298" ht="11.25"/>
    <row r="299" ht="11.25"/>
    <row r="300" ht="11.25"/>
    <row r="301" ht="11.25"/>
    <row r="302" ht="11.25"/>
    <row r="303" ht="11.25"/>
    <row r="304" ht="11.25"/>
    <row r="305" ht="11.25"/>
    <row r="306" ht="11.25"/>
    <row r="307" ht="11.25"/>
    <row r="308" ht="11.25"/>
    <row r="309" ht="11.25"/>
    <row r="310" ht="11.25"/>
    <row r="311" ht="11.25"/>
    <row r="312" ht="11.25"/>
    <row r="313" ht="11.25"/>
    <row r="314" ht="11.25"/>
    <row r="315" ht="11.25"/>
    <row r="316" ht="11.25"/>
    <row r="317" ht="11.25"/>
    <row r="318" ht="11.25"/>
    <row r="319" ht="11.25"/>
    <row r="320" ht="11.25"/>
    <row r="321" ht="11.25"/>
    <row r="322" ht="11.25"/>
    <row r="323" ht="11.25"/>
    <row r="324" ht="11.25"/>
    <row r="325" ht="11.25"/>
    <row r="326" ht="11.25"/>
    <row r="327" ht="11.25"/>
    <row r="328" ht="11.25"/>
    <row r="329" ht="11.25"/>
    <row r="330" ht="11.25"/>
    <row r="331" ht="11.25"/>
    <row r="332" ht="11.25"/>
    <row r="333" ht="11.25"/>
    <row r="334" ht="11.25"/>
    <row r="335" ht="11.25"/>
    <row r="336" ht="11.25"/>
    <row r="455" ht="11.25"/>
    <row r="456" ht="14.25" customHeight="1"/>
    <row r="458" ht="11.25"/>
  </sheetData>
  <mergeCells count="6">
    <mergeCell ref="H2:H3"/>
    <mergeCell ref="A2:A3"/>
    <mergeCell ref="B2:B3"/>
    <mergeCell ref="C2:C3"/>
    <mergeCell ref="D2:D3"/>
    <mergeCell ref="E2:G2"/>
  </mergeCells>
  <phoneticPr fontId="4"/>
  <pageMargins left="0.31496062992125984" right="0" top="0.74803149606299213" bottom="0" header="0.31496062992125984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F991A-19E2-415F-B874-DA9FDC7789F7}">
  <dimension ref="A1:I63"/>
  <sheetViews>
    <sheetView topLeftCell="A49" zoomScaleNormal="100" workbookViewId="0">
      <selection activeCell="A2" sqref="A2:A3"/>
    </sheetView>
  </sheetViews>
  <sheetFormatPr defaultColWidth="9" defaultRowHeight="15.75"/>
  <cols>
    <col min="1" max="1" width="9.875" style="105" bestFit="1" customWidth="1"/>
    <col min="2" max="2" width="11.625" style="105" bestFit="1" customWidth="1"/>
    <col min="3" max="3" width="12.75" style="105" bestFit="1" customWidth="1"/>
    <col min="4" max="4" width="7.875" style="106" bestFit="1" customWidth="1"/>
    <col min="5" max="7" width="6.375" style="105" bestFit="1" customWidth="1"/>
    <col min="8" max="8" width="17" style="106" bestFit="1" customWidth="1"/>
    <col min="9" max="9" width="9" style="223"/>
    <col min="10" max="16384" width="9" style="105"/>
  </cols>
  <sheetData>
    <row r="1" spans="1:9">
      <c r="A1" s="104">
        <v>46081</v>
      </c>
    </row>
    <row r="2" spans="1:9">
      <c r="A2" s="560" t="s">
        <v>0</v>
      </c>
      <c r="B2" s="560" t="s">
        <v>1</v>
      </c>
      <c r="C2" s="560" t="s">
        <v>2</v>
      </c>
      <c r="D2" s="558" t="s">
        <v>3</v>
      </c>
      <c r="E2" s="562" t="s">
        <v>4</v>
      </c>
      <c r="F2" s="562"/>
      <c r="G2" s="562"/>
      <c r="H2" s="558" t="s">
        <v>5</v>
      </c>
    </row>
    <row r="3" spans="1:9" s="109" customFormat="1">
      <c r="A3" s="561"/>
      <c r="B3" s="561"/>
      <c r="C3" s="561"/>
      <c r="D3" s="559"/>
      <c r="E3" s="107" t="s">
        <v>6</v>
      </c>
      <c r="F3" s="107" t="s">
        <v>7</v>
      </c>
      <c r="G3" s="108" t="s">
        <v>8</v>
      </c>
      <c r="H3" s="559"/>
      <c r="I3" s="224"/>
    </row>
    <row r="4" spans="1:9" s="109" customFormat="1" ht="22.5">
      <c r="A4" s="523"/>
      <c r="B4" s="523"/>
      <c r="C4" s="523"/>
      <c r="D4" s="522"/>
      <c r="E4" s="107">
        <f>SUM(E5:E63)</f>
        <v>0</v>
      </c>
      <c r="F4" s="107">
        <f>SUM(F5:F63)</f>
        <v>0</v>
      </c>
      <c r="G4" s="108">
        <f>SUM(G5:G63)</f>
        <v>0</v>
      </c>
      <c r="H4" s="522">
        <f>SUM(H5:H63)</f>
        <v>181061</v>
      </c>
      <c r="I4" s="224"/>
    </row>
    <row r="5" spans="1:9">
      <c r="A5" s="110" t="s">
        <v>1223</v>
      </c>
      <c r="B5" s="111"/>
      <c r="C5" s="112" t="s">
        <v>1224</v>
      </c>
      <c r="D5" s="113"/>
      <c r="E5" s="114"/>
      <c r="F5" s="115"/>
      <c r="G5" s="115"/>
      <c r="H5" s="116">
        <v>53097</v>
      </c>
      <c r="I5" s="223" t="s">
        <v>1225</v>
      </c>
    </row>
    <row r="6" spans="1:9">
      <c r="A6" s="110"/>
      <c r="B6" s="111"/>
      <c r="C6" s="112"/>
      <c r="D6" s="113"/>
      <c r="E6" s="114"/>
      <c r="F6" s="115"/>
      <c r="G6" s="115"/>
      <c r="H6" s="116">
        <f t="shared" ref="H6:H31" si="0">D6*(E6+F6+G6)</f>
        <v>0</v>
      </c>
    </row>
    <row r="7" spans="1:9">
      <c r="A7" s="110"/>
      <c r="B7" s="111"/>
      <c r="C7" s="112"/>
      <c r="D7" s="113"/>
      <c r="E7" s="114"/>
      <c r="F7" s="115"/>
      <c r="G7" s="115"/>
      <c r="H7" s="116">
        <f t="shared" si="0"/>
        <v>0</v>
      </c>
    </row>
    <row r="8" spans="1:9">
      <c r="A8" s="110" t="s">
        <v>1226</v>
      </c>
      <c r="B8" s="111"/>
      <c r="C8" s="112" t="s">
        <v>1224</v>
      </c>
      <c r="D8" s="113"/>
      <c r="E8" s="114"/>
      <c r="F8" s="115"/>
      <c r="G8" s="115"/>
      <c r="H8" s="116">
        <v>65742</v>
      </c>
      <c r="I8" s="223" t="s">
        <v>1225</v>
      </c>
    </row>
    <row r="9" spans="1:9">
      <c r="A9" s="110"/>
      <c r="B9" s="111" t="s">
        <v>1227</v>
      </c>
      <c r="C9" s="112"/>
      <c r="D9" s="113"/>
      <c r="E9" s="114"/>
      <c r="F9" s="115"/>
      <c r="G9" s="115"/>
      <c r="H9" s="116">
        <f t="shared" si="0"/>
        <v>0</v>
      </c>
    </row>
    <row r="10" spans="1:9">
      <c r="A10" s="110"/>
      <c r="B10" s="111"/>
      <c r="C10" s="112"/>
      <c r="D10" s="113"/>
      <c r="E10" s="114"/>
      <c r="F10" s="115"/>
      <c r="G10" s="115"/>
      <c r="H10" s="116">
        <f t="shared" si="0"/>
        <v>0</v>
      </c>
    </row>
    <row r="11" spans="1:9">
      <c r="A11" s="110"/>
      <c r="B11" s="111"/>
      <c r="C11" s="112"/>
      <c r="D11" s="113"/>
      <c r="E11" s="114"/>
      <c r="F11" s="115"/>
      <c r="G11" s="115"/>
      <c r="H11" s="116">
        <f t="shared" si="0"/>
        <v>0</v>
      </c>
    </row>
    <row r="12" spans="1:9">
      <c r="A12" s="110"/>
      <c r="B12" s="111"/>
      <c r="C12" s="112"/>
      <c r="D12" s="113"/>
      <c r="E12" s="114"/>
      <c r="F12" s="115"/>
      <c r="G12" s="115"/>
      <c r="H12" s="116">
        <f t="shared" si="0"/>
        <v>0</v>
      </c>
    </row>
    <row r="13" spans="1:9">
      <c r="A13" s="110"/>
      <c r="B13" s="111"/>
      <c r="C13" s="112"/>
      <c r="D13" s="113"/>
      <c r="E13" s="114"/>
      <c r="F13" s="115"/>
      <c r="G13" s="115"/>
      <c r="H13" s="116">
        <f t="shared" si="0"/>
        <v>0</v>
      </c>
    </row>
    <row r="14" spans="1:9">
      <c r="A14" s="110"/>
      <c r="B14" s="111"/>
      <c r="C14" s="112"/>
      <c r="D14" s="113"/>
      <c r="E14" s="114"/>
      <c r="F14" s="115"/>
      <c r="G14" s="115"/>
      <c r="H14" s="116">
        <f t="shared" si="0"/>
        <v>0</v>
      </c>
    </row>
    <row r="15" spans="1:9">
      <c r="A15" s="110"/>
      <c r="B15" s="111"/>
      <c r="C15" s="112"/>
      <c r="D15" s="113"/>
      <c r="E15" s="114"/>
      <c r="F15" s="115"/>
      <c r="G15" s="115"/>
      <c r="H15" s="116">
        <f t="shared" si="0"/>
        <v>0</v>
      </c>
    </row>
    <row r="16" spans="1:9">
      <c r="A16" s="110"/>
      <c r="B16" s="111"/>
      <c r="C16" s="112"/>
      <c r="D16" s="113"/>
      <c r="E16" s="114"/>
      <c r="F16" s="115"/>
      <c r="G16" s="115"/>
      <c r="H16" s="116">
        <f t="shared" si="0"/>
        <v>0</v>
      </c>
    </row>
    <row r="17" spans="1:9">
      <c r="A17" s="110"/>
      <c r="B17" s="111"/>
      <c r="C17" s="112"/>
      <c r="D17" s="113"/>
      <c r="E17" s="114"/>
      <c r="F17" s="115"/>
      <c r="G17" s="115"/>
      <c r="H17" s="116">
        <f t="shared" si="0"/>
        <v>0</v>
      </c>
    </row>
    <row r="18" spans="1:9">
      <c r="A18" s="110"/>
      <c r="B18" s="111"/>
      <c r="C18" s="112"/>
      <c r="D18" s="113"/>
      <c r="E18" s="114"/>
      <c r="F18" s="115"/>
      <c r="G18" s="115"/>
      <c r="H18" s="116">
        <f t="shared" si="0"/>
        <v>0</v>
      </c>
    </row>
    <row r="19" spans="1:9">
      <c r="A19" s="110"/>
      <c r="B19" s="111"/>
      <c r="C19" s="112"/>
      <c r="D19" s="113"/>
      <c r="E19" s="114"/>
      <c r="F19" s="115"/>
      <c r="G19" s="115"/>
      <c r="H19" s="116">
        <f t="shared" si="0"/>
        <v>0</v>
      </c>
    </row>
    <row r="20" spans="1:9">
      <c r="A20" s="110"/>
      <c r="B20" s="111"/>
      <c r="C20" s="112"/>
      <c r="D20" s="113"/>
      <c r="E20" s="114"/>
      <c r="F20" s="115"/>
      <c r="G20" s="115"/>
      <c r="H20" s="116">
        <f t="shared" si="0"/>
        <v>0</v>
      </c>
    </row>
    <row r="21" spans="1:9">
      <c r="A21" s="110" t="s">
        <v>1228</v>
      </c>
      <c r="B21" s="111"/>
      <c r="C21" s="112" t="s">
        <v>1224</v>
      </c>
      <c r="D21" s="113"/>
      <c r="E21" s="114"/>
      <c r="F21" s="115"/>
      <c r="G21" s="115"/>
      <c r="H21" s="116">
        <v>62222</v>
      </c>
      <c r="I21" s="223" t="s">
        <v>1225</v>
      </c>
    </row>
    <row r="22" spans="1:9">
      <c r="A22" s="110"/>
      <c r="B22" s="111" t="s">
        <v>10</v>
      </c>
      <c r="C22" s="112"/>
      <c r="D22" s="113"/>
      <c r="E22" s="114"/>
      <c r="F22" s="115"/>
      <c r="G22" s="115"/>
      <c r="H22" s="116">
        <f t="shared" si="0"/>
        <v>0</v>
      </c>
    </row>
    <row r="23" spans="1:9">
      <c r="A23" s="110"/>
      <c r="B23" s="111"/>
      <c r="C23" s="112"/>
      <c r="D23" s="113"/>
      <c r="E23" s="114"/>
      <c r="F23" s="115"/>
      <c r="G23" s="115"/>
      <c r="H23" s="116">
        <f>D23*(E23+F23+G23)</f>
        <v>0</v>
      </c>
    </row>
    <row r="24" spans="1:9">
      <c r="A24" s="110"/>
      <c r="B24" s="111"/>
      <c r="C24" s="112"/>
      <c r="D24" s="113"/>
      <c r="E24" s="114"/>
      <c r="F24" s="115"/>
      <c r="G24" s="115"/>
      <c r="H24" s="116">
        <f t="shared" si="0"/>
        <v>0</v>
      </c>
    </row>
    <row r="25" spans="1:9">
      <c r="A25" s="110"/>
      <c r="B25" s="111"/>
      <c r="C25" s="112"/>
      <c r="D25" s="113"/>
      <c r="E25" s="114"/>
      <c r="F25" s="115"/>
      <c r="G25" s="115"/>
      <c r="H25" s="116">
        <f t="shared" si="0"/>
        <v>0</v>
      </c>
    </row>
    <row r="26" spans="1:9">
      <c r="A26" s="110"/>
      <c r="B26" s="111"/>
      <c r="C26" s="112"/>
      <c r="D26" s="113"/>
      <c r="E26" s="114"/>
      <c r="F26" s="115"/>
      <c r="G26" s="115"/>
      <c r="H26" s="116">
        <f t="shared" si="0"/>
        <v>0</v>
      </c>
    </row>
    <row r="27" spans="1:9">
      <c r="A27" s="110"/>
      <c r="B27" s="111"/>
      <c r="C27" s="112"/>
      <c r="D27" s="113"/>
      <c r="E27" s="114"/>
      <c r="F27" s="115"/>
      <c r="G27" s="115"/>
      <c r="H27" s="116">
        <f t="shared" si="0"/>
        <v>0</v>
      </c>
    </row>
    <row r="28" spans="1:9">
      <c r="A28" s="110"/>
      <c r="B28" s="111"/>
      <c r="C28" s="112"/>
      <c r="D28" s="113"/>
      <c r="E28" s="114"/>
      <c r="F28" s="115"/>
      <c r="G28" s="115"/>
      <c r="H28" s="116">
        <f t="shared" si="0"/>
        <v>0</v>
      </c>
    </row>
    <row r="29" spans="1:9">
      <c r="A29" s="110"/>
      <c r="B29" s="111"/>
      <c r="C29" s="112"/>
      <c r="D29" s="113"/>
      <c r="E29" s="114"/>
      <c r="F29" s="115"/>
      <c r="G29" s="115"/>
      <c r="H29" s="116">
        <f t="shared" si="0"/>
        <v>0</v>
      </c>
    </row>
    <row r="30" spans="1:9">
      <c r="A30" s="110"/>
      <c r="B30" s="111"/>
      <c r="C30" s="112"/>
      <c r="D30" s="113"/>
      <c r="E30" s="114"/>
      <c r="F30" s="115"/>
      <c r="G30" s="115"/>
      <c r="H30" s="116">
        <f>D30*(E30+F30+G30)</f>
        <v>0</v>
      </c>
    </row>
    <row r="31" spans="1:9">
      <c r="A31" s="110"/>
      <c r="B31" s="111"/>
      <c r="C31" s="112"/>
      <c r="D31" s="113"/>
      <c r="E31" s="114"/>
      <c r="F31" s="115"/>
      <c r="G31" s="115"/>
      <c r="H31" s="116">
        <f t="shared" si="0"/>
        <v>0</v>
      </c>
    </row>
    <row r="32" spans="1:9">
      <c r="A32" s="110"/>
      <c r="B32" s="111"/>
      <c r="C32" s="112"/>
      <c r="D32" s="113"/>
      <c r="E32" s="114"/>
      <c r="F32" s="115"/>
      <c r="G32" s="115"/>
      <c r="H32" s="116">
        <f t="shared" ref="H32:H38" si="1">D32*(E32+F32+G32)</f>
        <v>0</v>
      </c>
    </row>
    <row r="33" spans="1:8">
      <c r="A33" s="110"/>
      <c r="B33" s="111"/>
      <c r="C33" s="112"/>
      <c r="D33" s="113"/>
      <c r="E33" s="114"/>
      <c r="F33" s="115"/>
      <c r="G33" s="115"/>
      <c r="H33" s="116">
        <f t="shared" si="1"/>
        <v>0</v>
      </c>
    </row>
    <row r="34" spans="1:8">
      <c r="A34" s="110"/>
      <c r="B34" s="111"/>
      <c r="C34" s="112"/>
      <c r="D34" s="113"/>
      <c r="E34" s="114"/>
      <c r="F34" s="115"/>
      <c r="G34" s="115"/>
      <c r="H34" s="116">
        <f t="shared" si="1"/>
        <v>0</v>
      </c>
    </row>
    <row r="35" spans="1:8">
      <c r="A35" s="225" t="s">
        <v>1229</v>
      </c>
      <c r="B35" s="111"/>
      <c r="C35" s="112"/>
      <c r="D35" s="113"/>
      <c r="E35" s="114"/>
      <c r="F35" s="115"/>
      <c r="G35" s="115"/>
      <c r="H35" s="116">
        <f t="shared" si="1"/>
        <v>0</v>
      </c>
    </row>
    <row r="36" spans="1:8">
      <c r="A36" s="110"/>
      <c r="B36" s="111"/>
      <c r="C36" s="112"/>
      <c r="D36" s="113"/>
      <c r="E36" s="114"/>
      <c r="F36" s="115"/>
      <c r="G36" s="115"/>
      <c r="H36" s="116">
        <f t="shared" si="1"/>
        <v>0</v>
      </c>
    </row>
    <row r="37" spans="1:8">
      <c r="A37" s="110"/>
      <c r="B37" s="111"/>
      <c r="C37" s="112"/>
      <c r="D37" s="113"/>
      <c r="E37" s="114"/>
      <c r="F37" s="115"/>
      <c r="G37" s="115"/>
      <c r="H37" s="116">
        <f t="shared" si="1"/>
        <v>0</v>
      </c>
    </row>
    <row r="38" spans="1:8">
      <c r="A38" s="110"/>
      <c r="B38" s="111"/>
      <c r="C38" s="112"/>
      <c r="D38" s="113"/>
      <c r="E38" s="114"/>
      <c r="F38" s="115"/>
      <c r="G38" s="115"/>
      <c r="H38" s="116">
        <f t="shared" si="1"/>
        <v>0</v>
      </c>
    </row>
    <row r="39" spans="1:8">
      <c r="A39" s="110"/>
      <c r="B39" s="111"/>
      <c r="C39" s="112"/>
      <c r="D39" s="113"/>
      <c r="E39" s="114"/>
      <c r="F39" s="115"/>
      <c r="G39" s="115"/>
      <c r="H39" s="116">
        <f t="shared" ref="H39:H57" si="2">D39*(E39+F39+G39)</f>
        <v>0</v>
      </c>
    </row>
    <row r="40" spans="1:8">
      <c r="A40" s="110"/>
      <c r="B40" s="111"/>
      <c r="C40" s="112"/>
      <c r="D40" s="113"/>
      <c r="E40" s="114"/>
      <c r="F40" s="115"/>
      <c r="G40" s="115"/>
      <c r="H40" s="116">
        <f t="shared" si="2"/>
        <v>0</v>
      </c>
    </row>
    <row r="41" spans="1:8">
      <c r="A41" s="110"/>
      <c r="B41" s="111"/>
      <c r="C41" s="112"/>
      <c r="D41" s="113"/>
      <c r="E41" s="114"/>
      <c r="F41" s="115"/>
      <c r="G41" s="115"/>
      <c r="H41" s="116">
        <f t="shared" si="2"/>
        <v>0</v>
      </c>
    </row>
    <row r="42" spans="1:8">
      <c r="A42" s="110"/>
      <c r="B42" s="111"/>
      <c r="C42" s="112"/>
      <c r="D42" s="113"/>
      <c r="E42" s="114"/>
      <c r="F42" s="115"/>
      <c r="G42" s="115"/>
      <c r="H42" s="116">
        <f t="shared" si="2"/>
        <v>0</v>
      </c>
    </row>
    <row r="43" spans="1:8">
      <c r="A43" s="110"/>
      <c r="B43" s="111"/>
      <c r="C43" s="112"/>
      <c r="D43" s="113"/>
      <c r="E43" s="114"/>
      <c r="F43" s="115"/>
      <c r="G43" s="115"/>
      <c r="H43" s="116">
        <f t="shared" si="2"/>
        <v>0</v>
      </c>
    </row>
    <row r="44" spans="1:8">
      <c r="A44" s="110"/>
      <c r="B44" s="111"/>
      <c r="C44" s="112"/>
      <c r="D44" s="113"/>
      <c r="E44" s="114"/>
      <c r="F44" s="115"/>
      <c r="G44" s="115"/>
      <c r="H44" s="116">
        <f t="shared" si="2"/>
        <v>0</v>
      </c>
    </row>
    <row r="45" spans="1:8">
      <c r="A45" s="110"/>
      <c r="B45" s="111"/>
      <c r="C45" s="112"/>
      <c r="D45" s="113"/>
      <c r="E45" s="114"/>
      <c r="F45" s="115"/>
      <c r="G45" s="115"/>
      <c r="H45" s="116">
        <f t="shared" si="2"/>
        <v>0</v>
      </c>
    </row>
    <row r="46" spans="1:8">
      <c r="A46" s="110"/>
      <c r="B46" s="111"/>
      <c r="C46" s="112"/>
      <c r="D46" s="113"/>
      <c r="E46" s="114"/>
      <c r="F46" s="115"/>
      <c r="G46" s="115"/>
      <c r="H46" s="116">
        <f t="shared" si="2"/>
        <v>0</v>
      </c>
    </row>
    <row r="47" spans="1:8">
      <c r="A47" s="110"/>
      <c r="B47" s="111"/>
      <c r="C47" s="112"/>
      <c r="D47" s="113"/>
      <c r="E47" s="114"/>
      <c r="F47" s="115"/>
      <c r="G47" s="115"/>
      <c r="H47" s="116">
        <f t="shared" si="2"/>
        <v>0</v>
      </c>
    </row>
    <row r="48" spans="1:8">
      <c r="A48" s="110"/>
      <c r="B48" s="111"/>
      <c r="C48" s="112"/>
      <c r="D48" s="113"/>
      <c r="E48" s="114"/>
      <c r="F48" s="115"/>
      <c r="G48" s="115"/>
      <c r="H48" s="116">
        <f t="shared" si="2"/>
        <v>0</v>
      </c>
    </row>
    <row r="49" spans="1:8">
      <c r="A49" s="110"/>
      <c r="B49" s="111"/>
      <c r="C49" s="112"/>
      <c r="D49" s="113"/>
      <c r="E49" s="114"/>
      <c r="F49" s="115"/>
      <c r="G49" s="115"/>
      <c r="H49" s="116">
        <f t="shared" si="2"/>
        <v>0</v>
      </c>
    </row>
    <row r="50" spans="1:8">
      <c r="A50" s="110"/>
      <c r="B50" s="111"/>
      <c r="C50" s="112"/>
      <c r="D50" s="113"/>
      <c r="E50" s="114"/>
      <c r="F50" s="115"/>
      <c r="G50" s="115"/>
      <c r="H50" s="116">
        <f t="shared" si="2"/>
        <v>0</v>
      </c>
    </row>
    <row r="51" spans="1:8">
      <c r="A51" s="110"/>
      <c r="B51" s="111"/>
      <c r="C51" s="112"/>
      <c r="D51" s="113"/>
      <c r="E51" s="114"/>
      <c r="F51" s="115"/>
      <c r="G51" s="115"/>
      <c r="H51" s="116">
        <f t="shared" si="2"/>
        <v>0</v>
      </c>
    </row>
    <row r="52" spans="1:8">
      <c r="A52" s="110"/>
      <c r="B52" s="111"/>
      <c r="C52" s="112"/>
      <c r="D52" s="113"/>
      <c r="E52" s="114"/>
      <c r="F52" s="115"/>
      <c r="G52" s="115"/>
      <c r="H52" s="116">
        <f t="shared" si="2"/>
        <v>0</v>
      </c>
    </row>
    <row r="53" spans="1:8">
      <c r="A53" s="110"/>
      <c r="B53" s="111"/>
      <c r="C53" s="112"/>
      <c r="D53" s="113"/>
      <c r="E53" s="114"/>
      <c r="F53" s="115"/>
      <c r="G53" s="115"/>
      <c r="H53" s="116">
        <f t="shared" si="2"/>
        <v>0</v>
      </c>
    </row>
    <row r="54" spans="1:8">
      <c r="A54" s="110"/>
      <c r="B54" s="111"/>
      <c r="C54" s="112"/>
      <c r="D54" s="113"/>
      <c r="E54" s="114"/>
      <c r="F54" s="115"/>
      <c r="G54" s="115"/>
      <c r="H54" s="116">
        <f t="shared" si="2"/>
        <v>0</v>
      </c>
    </row>
    <row r="55" spans="1:8">
      <c r="A55" s="110"/>
      <c r="B55" s="111"/>
      <c r="C55" s="112"/>
      <c r="D55" s="113"/>
      <c r="E55" s="114"/>
      <c r="F55" s="115"/>
      <c r="G55" s="115"/>
      <c r="H55" s="116">
        <f t="shared" si="2"/>
        <v>0</v>
      </c>
    </row>
    <row r="56" spans="1:8">
      <c r="A56" s="110"/>
      <c r="B56" s="111"/>
      <c r="C56" s="112"/>
      <c r="D56" s="113"/>
      <c r="E56" s="114"/>
      <c r="F56" s="115"/>
      <c r="G56" s="115"/>
      <c r="H56" s="116">
        <f t="shared" si="2"/>
        <v>0</v>
      </c>
    </row>
    <row r="57" spans="1:8">
      <c r="A57" s="110"/>
      <c r="B57" s="111"/>
      <c r="C57" s="112"/>
      <c r="D57" s="113"/>
      <c r="E57" s="114"/>
      <c r="F57" s="115"/>
      <c r="G57" s="115"/>
      <c r="H57" s="116">
        <f t="shared" si="2"/>
        <v>0</v>
      </c>
    </row>
    <row r="58" spans="1:8">
      <c r="A58" s="110"/>
      <c r="B58" s="111"/>
      <c r="C58" s="112"/>
      <c r="D58" s="113"/>
      <c r="E58" s="114"/>
      <c r="F58" s="115"/>
      <c r="G58" s="115"/>
      <c r="H58" s="116">
        <f t="shared" ref="H58:H63" si="3">D58*(E58+F58+G58)</f>
        <v>0</v>
      </c>
    </row>
    <row r="59" spans="1:8">
      <c r="A59" s="110"/>
      <c r="B59" s="111"/>
      <c r="C59" s="112"/>
      <c r="D59" s="113"/>
      <c r="E59" s="114"/>
      <c r="F59" s="115"/>
      <c r="G59" s="115"/>
      <c r="H59" s="116">
        <f t="shared" si="3"/>
        <v>0</v>
      </c>
    </row>
    <row r="60" spans="1:8">
      <c r="A60" s="110"/>
      <c r="B60" s="111"/>
      <c r="C60" s="112"/>
      <c r="D60" s="113"/>
      <c r="E60" s="114"/>
      <c r="F60" s="115"/>
      <c r="G60" s="115"/>
      <c r="H60" s="116">
        <f t="shared" si="3"/>
        <v>0</v>
      </c>
    </row>
    <row r="61" spans="1:8">
      <c r="A61" s="110"/>
      <c r="B61" s="111"/>
      <c r="C61" s="112"/>
      <c r="D61" s="113"/>
      <c r="E61" s="114"/>
      <c r="F61" s="115"/>
      <c r="G61" s="115"/>
      <c r="H61" s="116">
        <f t="shared" si="3"/>
        <v>0</v>
      </c>
    </row>
    <row r="62" spans="1:8">
      <c r="A62" s="110"/>
      <c r="B62" s="111"/>
      <c r="C62" s="112"/>
      <c r="D62" s="113"/>
      <c r="E62" s="114"/>
      <c r="F62" s="115"/>
      <c r="G62" s="115"/>
      <c r="H62" s="116">
        <f t="shared" si="3"/>
        <v>0</v>
      </c>
    </row>
    <row r="63" spans="1:8">
      <c r="A63" s="110"/>
      <c r="B63" s="111"/>
      <c r="C63" s="112"/>
      <c r="D63" s="113"/>
      <c r="E63" s="114"/>
      <c r="F63" s="115"/>
      <c r="G63" s="115"/>
      <c r="H63" s="116">
        <f t="shared" si="3"/>
        <v>0</v>
      </c>
    </row>
  </sheetData>
  <mergeCells count="6">
    <mergeCell ref="H2:H3"/>
    <mergeCell ref="A2:A3"/>
    <mergeCell ref="B2:B3"/>
    <mergeCell ref="C2:C3"/>
    <mergeCell ref="D2:D3"/>
    <mergeCell ref="E2:G2"/>
  </mergeCells>
  <phoneticPr fontId="4"/>
  <pageMargins left="0.31496062992125984" right="0" top="0.74803149606299213" bottom="0" header="0.31496062992125984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F6F6-83C3-48DE-94AF-843C86ECA8F5}">
  <dimension ref="A1:I373"/>
  <sheetViews>
    <sheetView zoomScale="150" zoomScaleNormal="150" workbookViewId="0">
      <selection activeCell="A2" sqref="A2:A3"/>
    </sheetView>
  </sheetViews>
  <sheetFormatPr defaultColWidth="8.875" defaultRowHeight="10.5"/>
  <cols>
    <col min="1" max="1" width="7.5" style="66" bestFit="1" customWidth="1"/>
    <col min="2" max="2" width="15.375" style="66" customWidth="1"/>
    <col min="3" max="3" width="27.875" style="66" bestFit="1" customWidth="1"/>
    <col min="4" max="4" width="5.5" style="66" bestFit="1" customWidth="1"/>
    <col min="5" max="6" width="5.625" style="66" hidden="1" customWidth="1"/>
    <col min="7" max="7" width="5.625" style="66" bestFit="1" customWidth="1"/>
    <col min="8" max="8" width="12.875" style="66" bestFit="1" customWidth="1"/>
    <col min="9" max="9" width="8.375" style="66" bestFit="1" customWidth="1"/>
    <col min="10" max="16384" width="8.875" style="66"/>
  </cols>
  <sheetData>
    <row r="1" spans="1:9">
      <c r="A1" s="67">
        <v>46081</v>
      </c>
      <c r="D1" s="68"/>
      <c r="H1" s="68"/>
    </row>
    <row r="2" spans="1:9">
      <c r="A2" s="563" t="s">
        <v>0</v>
      </c>
      <c r="B2" s="563" t="s">
        <v>1</v>
      </c>
      <c r="C2" s="563" t="s">
        <v>2</v>
      </c>
      <c r="D2" s="566" t="s">
        <v>3</v>
      </c>
      <c r="E2" s="565" t="s">
        <v>4</v>
      </c>
      <c r="F2" s="565"/>
      <c r="G2" s="565"/>
      <c r="H2" s="566" t="s">
        <v>5</v>
      </c>
    </row>
    <row r="3" spans="1:9" s="71" customFormat="1">
      <c r="A3" s="564"/>
      <c r="B3" s="564"/>
      <c r="C3" s="564"/>
      <c r="D3" s="567"/>
      <c r="E3" s="69" t="s">
        <v>6</v>
      </c>
      <c r="F3" s="69" t="s">
        <v>7</v>
      </c>
      <c r="G3" s="70" t="s">
        <v>8</v>
      </c>
      <c r="H3" s="567"/>
    </row>
    <row r="4" spans="1:9" s="71" customFormat="1" ht="17.25">
      <c r="A4" s="524"/>
      <c r="B4" s="524"/>
      <c r="C4" s="524"/>
      <c r="D4" s="525"/>
      <c r="E4" s="69"/>
      <c r="F4" s="69"/>
      <c r="G4" s="70"/>
      <c r="H4" s="76">
        <f>SUM(H5:H122)</f>
        <v>2510491</v>
      </c>
    </row>
    <row r="5" spans="1:9">
      <c r="A5" s="72" t="s">
        <v>1230</v>
      </c>
      <c r="B5" s="19" t="s">
        <v>1231</v>
      </c>
      <c r="C5" s="19" t="s">
        <v>1232</v>
      </c>
      <c r="D5" s="36"/>
      <c r="E5" s="21"/>
      <c r="F5" s="20"/>
      <c r="G5" s="20"/>
      <c r="H5" s="37">
        <v>688594</v>
      </c>
      <c r="I5" s="66" t="s">
        <v>1233</v>
      </c>
    </row>
    <row r="6" spans="1:9">
      <c r="A6" s="72"/>
      <c r="B6" s="35" t="s">
        <v>1234</v>
      </c>
      <c r="C6" s="19" t="s">
        <v>1235</v>
      </c>
      <c r="D6" s="36">
        <v>55</v>
      </c>
      <c r="E6" s="21"/>
      <c r="F6" s="20"/>
      <c r="G6" s="20">
        <v>150</v>
      </c>
      <c r="H6" s="37">
        <f>D6*(E6+F6+G6)</f>
        <v>8250</v>
      </c>
    </row>
    <row r="7" spans="1:9">
      <c r="A7" s="72"/>
      <c r="B7" s="35"/>
      <c r="C7" s="19" t="s">
        <v>52</v>
      </c>
      <c r="D7" s="36">
        <v>1050</v>
      </c>
      <c r="E7" s="21"/>
      <c r="F7" s="20"/>
      <c r="G7" s="20">
        <v>3</v>
      </c>
      <c r="H7" s="37">
        <f>D7*(E7+F7+G7)</f>
        <v>3150</v>
      </c>
    </row>
    <row r="8" spans="1:9">
      <c r="A8" s="72"/>
      <c r="B8" s="35"/>
      <c r="C8" s="19" t="s">
        <v>210</v>
      </c>
      <c r="D8" s="36">
        <v>5500</v>
      </c>
      <c r="E8" s="21"/>
      <c r="F8" s="20"/>
      <c r="G8" s="20"/>
      <c r="H8" s="37">
        <f>D8*(E8+F8+G8)</f>
        <v>0</v>
      </c>
    </row>
    <row r="9" spans="1:9">
      <c r="A9" s="72"/>
      <c r="B9" s="35"/>
      <c r="C9" s="19"/>
      <c r="D9" s="36"/>
      <c r="E9" s="21"/>
      <c r="F9" s="20"/>
      <c r="G9" s="20"/>
      <c r="H9" s="37"/>
    </row>
    <row r="10" spans="1:9">
      <c r="A10" s="72"/>
      <c r="B10" s="35"/>
      <c r="C10" s="19"/>
      <c r="D10" s="36"/>
      <c r="E10" s="21"/>
      <c r="F10" s="20"/>
      <c r="G10" s="20"/>
      <c r="H10" s="37"/>
    </row>
    <row r="11" spans="1:9">
      <c r="A11" s="72"/>
      <c r="B11" s="35"/>
      <c r="C11" s="19" t="s">
        <v>1040</v>
      </c>
      <c r="D11" s="36">
        <v>6000</v>
      </c>
      <c r="E11" s="21"/>
      <c r="F11" s="20"/>
      <c r="G11" s="20">
        <v>1</v>
      </c>
      <c r="H11" s="37">
        <f t="shared" ref="H11:H13" si="0">D11*(E11+F11+G11)</f>
        <v>6000</v>
      </c>
    </row>
    <row r="12" spans="1:9">
      <c r="A12" s="72"/>
      <c r="B12" s="35"/>
      <c r="C12" s="19"/>
      <c r="D12" s="36"/>
      <c r="E12" s="21"/>
      <c r="F12" s="20"/>
      <c r="G12" s="20"/>
      <c r="H12" s="37"/>
    </row>
    <row r="13" spans="1:9">
      <c r="A13" s="72"/>
      <c r="B13" s="35"/>
      <c r="C13" s="19"/>
      <c r="D13" s="36"/>
      <c r="E13" s="21"/>
      <c r="F13" s="20"/>
      <c r="G13" s="20"/>
      <c r="H13" s="37">
        <f t="shared" si="0"/>
        <v>0</v>
      </c>
    </row>
    <row r="14" spans="1:9">
      <c r="A14" s="72"/>
      <c r="B14" s="35" t="s">
        <v>1227</v>
      </c>
      <c r="C14" s="19" t="s">
        <v>1235</v>
      </c>
      <c r="D14" s="36">
        <v>450</v>
      </c>
      <c r="E14" s="21"/>
      <c r="F14" s="20"/>
      <c r="G14" s="20">
        <v>100</v>
      </c>
      <c r="H14" s="37">
        <f>D14*(E14+F14+G14)</f>
        <v>45000</v>
      </c>
    </row>
    <row r="15" spans="1:9">
      <c r="A15" s="72"/>
      <c r="B15" s="35"/>
      <c r="C15" s="19" t="s">
        <v>52</v>
      </c>
      <c r="D15" s="36">
        <v>1050</v>
      </c>
      <c r="E15" s="21"/>
      <c r="F15" s="20"/>
      <c r="G15" s="20">
        <v>5</v>
      </c>
      <c r="H15" s="37">
        <f t="shared" ref="H15:H27" si="1">D15*(E15+F15+G15)</f>
        <v>5250</v>
      </c>
    </row>
    <row r="16" spans="1:9">
      <c r="A16" s="72"/>
      <c r="B16" s="19"/>
      <c r="C16" s="19" t="s">
        <v>43</v>
      </c>
      <c r="D16" s="36">
        <v>65000</v>
      </c>
      <c r="E16" s="21"/>
      <c r="F16" s="20"/>
      <c r="G16" s="20">
        <v>1</v>
      </c>
      <c r="H16" s="37">
        <f t="shared" si="1"/>
        <v>65000</v>
      </c>
    </row>
    <row r="17" spans="1:8">
      <c r="A17" s="72"/>
      <c r="B17" s="19"/>
      <c r="C17" s="35" t="s">
        <v>1236</v>
      </c>
      <c r="D17" s="36">
        <v>5500</v>
      </c>
      <c r="E17" s="21"/>
      <c r="F17" s="20"/>
      <c r="G17" s="20">
        <v>1</v>
      </c>
      <c r="H17" s="37">
        <f t="shared" si="1"/>
        <v>5500</v>
      </c>
    </row>
    <row r="18" spans="1:8">
      <c r="A18" s="72"/>
      <c r="B18" s="19"/>
      <c r="C18" s="35" t="s">
        <v>12</v>
      </c>
      <c r="D18" s="36">
        <v>38000</v>
      </c>
      <c r="E18" s="21"/>
      <c r="F18" s="20"/>
      <c r="G18" s="20"/>
      <c r="H18" s="37">
        <f t="shared" si="1"/>
        <v>0</v>
      </c>
    </row>
    <row r="19" spans="1:8">
      <c r="A19" s="72"/>
      <c r="B19" s="19"/>
      <c r="C19" s="35" t="s">
        <v>1237</v>
      </c>
      <c r="D19" s="36">
        <v>36000</v>
      </c>
      <c r="E19" s="21"/>
      <c r="F19" s="20"/>
      <c r="G19" s="20"/>
      <c r="H19" s="37">
        <f t="shared" si="1"/>
        <v>0</v>
      </c>
    </row>
    <row r="20" spans="1:8">
      <c r="A20" s="72"/>
      <c r="B20" s="19"/>
      <c r="C20" s="35" t="s">
        <v>1238</v>
      </c>
      <c r="D20" s="36">
        <v>16700</v>
      </c>
      <c r="E20" s="21"/>
      <c r="F20" s="20"/>
      <c r="G20" s="20"/>
      <c r="H20" s="37">
        <f t="shared" si="1"/>
        <v>0</v>
      </c>
    </row>
    <row r="21" spans="1:8">
      <c r="A21" s="72"/>
      <c r="B21" s="19"/>
      <c r="C21" s="35" t="s">
        <v>1239</v>
      </c>
      <c r="D21" s="36">
        <v>15400</v>
      </c>
      <c r="E21" s="21"/>
      <c r="F21" s="20"/>
      <c r="G21" s="20"/>
      <c r="H21" s="37">
        <f t="shared" si="1"/>
        <v>0</v>
      </c>
    </row>
    <row r="22" spans="1:8">
      <c r="A22" s="72"/>
      <c r="B22" s="19"/>
      <c r="C22" s="35" t="s">
        <v>1240</v>
      </c>
      <c r="D22" s="36">
        <v>8800</v>
      </c>
      <c r="E22" s="21"/>
      <c r="F22" s="20"/>
      <c r="G22" s="20"/>
      <c r="H22" s="37">
        <f t="shared" si="1"/>
        <v>0</v>
      </c>
    </row>
    <row r="23" spans="1:8">
      <c r="A23" s="72"/>
      <c r="B23" s="19"/>
      <c r="C23" s="35" t="s">
        <v>1241</v>
      </c>
      <c r="D23" s="36">
        <v>8800</v>
      </c>
      <c r="E23" s="21"/>
      <c r="F23" s="20"/>
      <c r="G23" s="20">
        <v>1</v>
      </c>
      <c r="H23" s="37">
        <f t="shared" si="1"/>
        <v>8800</v>
      </c>
    </row>
    <row r="24" spans="1:8">
      <c r="A24" s="72"/>
      <c r="B24" s="19"/>
      <c r="C24" s="35" t="s">
        <v>1242</v>
      </c>
      <c r="D24" s="36">
        <v>3300</v>
      </c>
      <c r="E24" s="21"/>
      <c r="F24" s="20"/>
      <c r="G24" s="20">
        <v>1</v>
      </c>
      <c r="H24" s="37">
        <f t="shared" si="1"/>
        <v>3300</v>
      </c>
    </row>
    <row r="25" spans="1:8">
      <c r="A25" s="72"/>
      <c r="B25" s="19"/>
      <c r="C25" s="35" t="s">
        <v>210</v>
      </c>
      <c r="D25" s="36">
        <v>5500</v>
      </c>
      <c r="E25" s="21"/>
      <c r="F25" s="20"/>
      <c r="G25" s="20">
        <v>2</v>
      </c>
      <c r="H25" s="37">
        <f t="shared" si="1"/>
        <v>11000</v>
      </c>
    </row>
    <row r="26" spans="1:8">
      <c r="A26" s="72"/>
      <c r="B26" s="19"/>
      <c r="C26" s="35" t="s">
        <v>1243</v>
      </c>
      <c r="D26" s="36">
        <v>22000</v>
      </c>
      <c r="E26" s="21"/>
      <c r="F26" s="20"/>
      <c r="G26" s="20">
        <v>1</v>
      </c>
      <c r="H26" s="37">
        <f t="shared" si="1"/>
        <v>22000</v>
      </c>
    </row>
    <row r="27" spans="1:8">
      <c r="A27" s="72"/>
      <c r="B27" s="19"/>
      <c r="C27" s="35"/>
      <c r="D27" s="36"/>
      <c r="E27" s="21"/>
      <c r="F27" s="20"/>
      <c r="G27" s="20"/>
      <c r="H27" s="37">
        <f t="shared" si="1"/>
        <v>0</v>
      </c>
    </row>
    <row r="28" spans="1:8">
      <c r="A28" s="72"/>
      <c r="B28" s="19" t="s">
        <v>1244</v>
      </c>
      <c r="C28" s="19" t="s">
        <v>1235</v>
      </c>
      <c r="D28" s="36">
        <v>450</v>
      </c>
      <c r="E28" s="21"/>
      <c r="F28" s="20"/>
      <c r="G28" s="20">
        <v>100</v>
      </c>
      <c r="H28" s="37">
        <f>D28*(E28+F28+G28)</f>
        <v>45000</v>
      </c>
    </row>
    <row r="29" spans="1:8">
      <c r="A29" s="72"/>
      <c r="B29" s="19"/>
      <c r="C29" s="19" t="s">
        <v>52</v>
      </c>
      <c r="D29" s="36">
        <v>1050</v>
      </c>
      <c r="E29" s="21"/>
      <c r="F29" s="20"/>
      <c r="G29" s="20">
        <v>0</v>
      </c>
      <c r="H29" s="37">
        <f>D29*(E29+F29+G29)</f>
        <v>0</v>
      </c>
    </row>
    <row r="30" spans="1:8">
      <c r="A30" s="72"/>
      <c r="B30" s="19"/>
      <c r="C30" s="35" t="s">
        <v>1245</v>
      </c>
      <c r="D30" s="36">
        <v>22000</v>
      </c>
      <c r="E30" s="21"/>
      <c r="F30" s="20"/>
      <c r="G30" s="20">
        <v>3</v>
      </c>
      <c r="H30" s="37">
        <f>D30*(E30+F30+G30)</f>
        <v>66000</v>
      </c>
    </row>
    <row r="31" spans="1:8">
      <c r="A31" s="72"/>
      <c r="B31" s="19"/>
      <c r="C31" s="35" t="s">
        <v>1238</v>
      </c>
      <c r="D31" s="36">
        <v>16700</v>
      </c>
      <c r="E31" s="21"/>
      <c r="F31" s="20"/>
      <c r="G31" s="20"/>
      <c r="H31" s="37">
        <f>D31*(E31+F31+G31)</f>
        <v>0</v>
      </c>
    </row>
    <row r="32" spans="1:8">
      <c r="A32" s="72"/>
      <c r="B32" s="19"/>
      <c r="C32" s="35" t="s">
        <v>1239</v>
      </c>
      <c r="D32" s="36">
        <v>15400</v>
      </c>
      <c r="E32" s="21"/>
      <c r="F32" s="20"/>
      <c r="G32" s="20">
        <v>1</v>
      </c>
      <c r="H32" s="37">
        <f>D32*(E32+F32+G32)</f>
        <v>15400</v>
      </c>
    </row>
    <row r="33" spans="1:8">
      <c r="A33" s="72"/>
      <c r="B33" s="19"/>
      <c r="C33" s="35"/>
      <c r="D33" s="36"/>
      <c r="E33" s="21"/>
      <c r="F33" s="20"/>
      <c r="G33" s="20"/>
      <c r="H33" s="37"/>
    </row>
    <row r="34" spans="1:8">
      <c r="A34" s="72"/>
      <c r="B34" s="19" t="s">
        <v>1246</v>
      </c>
      <c r="C34" s="19" t="s">
        <v>1235</v>
      </c>
      <c r="D34" s="36">
        <v>450</v>
      </c>
      <c r="E34" s="21"/>
      <c r="F34" s="20"/>
      <c r="G34" s="20">
        <v>150</v>
      </c>
      <c r="H34" s="37">
        <f>D34*(E34+F34+G34)</f>
        <v>67500</v>
      </c>
    </row>
    <row r="35" spans="1:8">
      <c r="A35" s="72"/>
      <c r="B35" s="19"/>
      <c r="C35" s="35" t="s">
        <v>1247</v>
      </c>
      <c r="D35" s="36">
        <v>17000</v>
      </c>
      <c r="E35" s="21"/>
      <c r="F35" s="20"/>
      <c r="G35" s="20">
        <v>2</v>
      </c>
      <c r="H35" s="37">
        <f>D35*(E35+F35+G35)</f>
        <v>34000</v>
      </c>
    </row>
    <row r="36" spans="1:8">
      <c r="A36" s="72"/>
      <c r="B36" s="19"/>
      <c r="C36" s="35" t="s">
        <v>1248</v>
      </c>
      <c r="D36" s="36">
        <v>39800</v>
      </c>
      <c r="E36" s="21"/>
      <c r="F36" s="20"/>
      <c r="G36" s="20">
        <v>1</v>
      </c>
      <c r="H36" s="37">
        <f>D36*(E36+F36+G36)</f>
        <v>39800</v>
      </c>
    </row>
    <row r="37" spans="1:8">
      <c r="A37" s="72"/>
      <c r="B37" s="19"/>
      <c r="C37" s="35" t="s">
        <v>1249</v>
      </c>
      <c r="D37" s="36">
        <v>8500</v>
      </c>
      <c r="E37" s="21"/>
      <c r="F37" s="20"/>
      <c r="G37" s="20">
        <v>2</v>
      </c>
      <c r="H37" s="37">
        <f>D37*(E37+F37+G37)</f>
        <v>17000</v>
      </c>
    </row>
    <row r="38" spans="1:8">
      <c r="A38" s="72"/>
      <c r="B38" s="19"/>
      <c r="C38" s="35" t="s">
        <v>1250</v>
      </c>
      <c r="D38" s="36">
        <v>8500</v>
      </c>
      <c r="E38" s="21"/>
      <c r="F38" s="20"/>
      <c r="G38" s="20">
        <v>1</v>
      </c>
      <c r="H38" s="37">
        <f>D38*(E38+F38+G38)</f>
        <v>8500</v>
      </c>
    </row>
    <row r="39" spans="1:8">
      <c r="A39" s="72"/>
      <c r="B39" s="19"/>
      <c r="C39" s="35"/>
      <c r="D39" s="36"/>
      <c r="E39" s="21"/>
      <c r="F39" s="20"/>
      <c r="G39" s="20"/>
      <c r="H39" s="37"/>
    </row>
    <row r="40" spans="1:8">
      <c r="A40" s="72"/>
      <c r="B40" s="19" t="s">
        <v>1251</v>
      </c>
      <c r="C40" s="19" t="s">
        <v>1235</v>
      </c>
      <c r="D40" s="36">
        <v>450</v>
      </c>
      <c r="E40" s="21"/>
      <c r="F40" s="20"/>
      <c r="G40" s="20">
        <v>80</v>
      </c>
      <c r="H40" s="37">
        <f t="shared" ref="H40:H45" si="2">D40*(E40+F40+G40)</f>
        <v>36000</v>
      </c>
    </row>
    <row r="41" spans="1:8">
      <c r="A41" s="72"/>
      <c r="B41" s="19"/>
      <c r="C41" s="35" t="s">
        <v>83</v>
      </c>
      <c r="D41" s="36">
        <v>40000</v>
      </c>
      <c r="E41" s="21"/>
      <c r="F41" s="20"/>
      <c r="G41" s="20">
        <v>0</v>
      </c>
      <c r="H41" s="37">
        <f t="shared" si="2"/>
        <v>0</v>
      </c>
    </row>
    <row r="42" spans="1:8">
      <c r="A42" s="72"/>
      <c r="B42" s="19"/>
      <c r="C42" s="35" t="s">
        <v>1252</v>
      </c>
      <c r="D42" s="36">
        <v>20000</v>
      </c>
      <c r="E42" s="21"/>
      <c r="F42" s="20"/>
      <c r="G42" s="20">
        <v>1</v>
      </c>
      <c r="H42" s="37">
        <f t="shared" si="2"/>
        <v>20000</v>
      </c>
    </row>
    <row r="43" spans="1:8">
      <c r="A43" s="72"/>
      <c r="B43" s="19"/>
      <c r="C43" s="35" t="s">
        <v>1253</v>
      </c>
      <c r="D43" s="36">
        <v>20000</v>
      </c>
      <c r="E43" s="21"/>
      <c r="F43" s="20"/>
      <c r="G43" s="20">
        <v>1</v>
      </c>
      <c r="H43" s="37">
        <f t="shared" si="2"/>
        <v>20000</v>
      </c>
    </row>
    <row r="44" spans="1:8">
      <c r="A44" s="72"/>
      <c r="B44" s="19"/>
      <c r="C44" s="35" t="s">
        <v>1254</v>
      </c>
      <c r="D44" s="36">
        <v>6000</v>
      </c>
      <c r="E44" s="21"/>
      <c r="F44" s="20"/>
      <c r="G44" s="20"/>
      <c r="H44" s="37">
        <f t="shared" si="2"/>
        <v>0</v>
      </c>
    </row>
    <row r="45" spans="1:8">
      <c r="A45" s="72"/>
      <c r="B45" s="19"/>
      <c r="C45" s="35" t="s">
        <v>1255</v>
      </c>
      <c r="D45" s="36">
        <v>10000</v>
      </c>
      <c r="E45" s="21"/>
      <c r="F45" s="20"/>
      <c r="G45" s="20"/>
      <c r="H45" s="37">
        <f t="shared" si="2"/>
        <v>0</v>
      </c>
    </row>
    <row r="46" spans="1:8">
      <c r="A46" s="72"/>
      <c r="B46" s="19"/>
      <c r="C46" s="35"/>
      <c r="D46" s="36"/>
      <c r="E46" s="21"/>
      <c r="F46" s="20"/>
      <c r="G46" s="20"/>
      <c r="H46" s="37"/>
    </row>
    <row r="47" spans="1:8">
      <c r="A47" s="72"/>
      <c r="B47" s="19" t="s">
        <v>1256</v>
      </c>
      <c r="C47" s="19" t="s">
        <v>1235</v>
      </c>
      <c r="D47" s="36">
        <v>150</v>
      </c>
      <c r="E47" s="21"/>
      <c r="F47" s="20"/>
      <c r="G47" s="20">
        <v>80</v>
      </c>
      <c r="H47" s="37">
        <f>D47*(E47+F47+G47)</f>
        <v>12000</v>
      </c>
    </row>
    <row r="48" spans="1:8">
      <c r="A48" s="72"/>
      <c r="B48" s="19"/>
      <c r="C48" s="19" t="s">
        <v>52</v>
      </c>
      <c r="D48" s="36">
        <v>1050</v>
      </c>
      <c r="E48" s="21"/>
      <c r="F48" s="20"/>
      <c r="G48" s="20">
        <v>3</v>
      </c>
      <c r="H48" s="37">
        <f>D48*(E48+F48+G48)</f>
        <v>3150</v>
      </c>
    </row>
    <row r="49" spans="1:9">
      <c r="A49" s="72"/>
      <c r="B49" s="19"/>
      <c r="C49" s="35" t="s">
        <v>210</v>
      </c>
      <c r="D49" s="36">
        <v>5500</v>
      </c>
      <c r="E49" s="21"/>
      <c r="F49" s="20"/>
      <c r="G49" s="20">
        <v>10</v>
      </c>
      <c r="H49" s="37">
        <f>D49*(E49+F49+G49)</f>
        <v>55000</v>
      </c>
    </row>
    <row r="50" spans="1:9">
      <c r="A50" s="72"/>
      <c r="B50" s="19"/>
      <c r="C50" s="35"/>
      <c r="D50" s="36"/>
      <c r="E50" s="21"/>
      <c r="F50" s="20"/>
      <c r="G50" s="20"/>
      <c r="H50" s="37"/>
    </row>
    <row r="51" spans="1:9">
      <c r="A51" s="42"/>
      <c r="B51" s="4"/>
      <c r="C51" s="1"/>
      <c r="D51" s="11"/>
      <c r="E51" s="2"/>
      <c r="F51" s="3"/>
      <c r="G51" s="3"/>
      <c r="H51" s="10">
        <f t="shared" ref="H51" si="3">D51*(E51+F51+G51)</f>
        <v>0</v>
      </c>
    </row>
    <row r="52" spans="1:9">
      <c r="A52" s="73" t="s">
        <v>1257</v>
      </c>
      <c r="B52" s="30" t="s">
        <v>1258</v>
      </c>
      <c r="C52" s="30" t="s">
        <v>1232</v>
      </c>
      <c r="D52" s="31"/>
      <c r="E52" s="32"/>
      <c r="F52" s="33"/>
      <c r="G52" s="33"/>
      <c r="H52" s="39">
        <v>161990</v>
      </c>
      <c r="I52" s="66" t="s">
        <v>1233</v>
      </c>
    </row>
    <row r="53" spans="1:9">
      <c r="A53" s="73"/>
      <c r="B53" s="30"/>
      <c r="C53" s="34"/>
      <c r="D53" s="31"/>
      <c r="E53" s="32"/>
      <c r="F53" s="33"/>
      <c r="G53" s="33"/>
      <c r="H53" s="39">
        <f t="shared" ref="H53" si="4">D53*(E53+F53+G53)</f>
        <v>0</v>
      </c>
    </row>
    <row r="54" spans="1:9">
      <c r="A54" s="73"/>
      <c r="B54" s="30" t="s">
        <v>1259</v>
      </c>
      <c r="C54" s="30" t="s">
        <v>1235</v>
      </c>
      <c r="D54" s="31">
        <v>450</v>
      </c>
      <c r="E54" s="32"/>
      <c r="F54" s="33"/>
      <c r="G54" s="33">
        <v>100</v>
      </c>
      <c r="H54" s="39">
        <f>D54*(E54+F54+G54)</f>
        <v>45000</v>
      </c>
    </row>
    <row r="55" spans="1:9">
      <c r="A55" s="73"/>
      <c r="B55" s="30"/>
      <c r="C55" s="30" t="s">
        <v>52</v>
      </c>
      <c r="D55" s="31">
        <v>1050</v>
      </c>
      <c r="E55" s="32"/>
      <c r="F55" s="33"/>
      <c r="G55" s="33">
        <v>0</v>
      </c>
      <c r="H55" s="39">
        <f t="shared" ref="H55:H62" si="5">D55*(E55+F55+G55)</f>
        <v>0</v>
      </c>
    </row>
    <row r="56" spans="1:9">
      <c r="A56" s="73"/>
      <c r="B56" s="30"/>
      <c r="C56" s="34" t="s">
        <v>43</v>
      </c>
      <c r="D56" s="31">
        <v>50000</v>
      </c>
      <c r="E56" s="32"/>
      <c r="F56" s="33"/>
      <c r="G56" s="33">
        <v>1</v>
      </c>
      <c r="H56" s="39">
        <f t="shared" si="5"/>
        <v>50000</v>
      </c>
    </row>
    <row r="57" spans="1:9">
      <c r="A57" s="73"/>
      <c r="B57" s="30"/>
      <c r="C57" s="34" t="s">
        <v>210</v>
      </c>
      <c r="D57" s="31">
        <v>5500</v>
      </c>
      <c r="E57" s="32"/>
      <c r="F57" s="33"/>
      <c r="G57" s="33">
        <v>2</v>
      </c>
      <c r="H57" s="39">
        <f t="shared" si="5"/>
        <v>11000</v>
      </c>
    </row>
    <row r="58" spans="1:9">
      <c r="A58" s="73"/>
      <c r="B58" s="30"/>
      <c r="C58" s="34" t="s">
        <v>1239</v>
      </c>
      <c r="D58" s="31">
        <v>10000</v>
      </c>
      <c r="E58" s="32"/>
      <c r="F58" s="33"/>
      <c r="G58" s="33">
        <v>0</v>
      </c>
      <c r="H58" s="39">
        <f t="shared" si="5"/>
        <v>0</v>
      </c>
    </row>
    <row r="59" spans="1:9">
      <c r="A59" s="73"/>
      <c r="B59" s="30"/>
      <c r="C59" s="34" t="s">
        <v>12</v>
      </c>
      <c r="D59" s="31">
        <v>38000</v>
      </c>
      <c r="E59" s="32"/>
      <c r="F59" s="33"/>
      <c r="G59" s="33">
        <v>1</v>
      </c>
      <c r="H59" s="39">
        <f t="shared" si="5"/>
        <v>38000</v>
      </c>
    </row>
    <row r="60" spans="1:9">
      <c r="A60" s="73"/>
      <c r="B60" s="30"/>
      <c r="C60" s="34" t="s">
        <v>83</v>
      </c>
      <c r="D60" s="31">
        <v>40000</v>
      </c>
      <c r="E60" s="32"/>
      <c r="F60" s="33"/>
      <c r="G60" s="33">
        <v>0</v>
      </c>
      <c r="H60" s="39">
        <f t="shared" si="5"/>
        <v>0</v>
      </c>
    </row>
    <row r="61" spans="1:9">
      <c r="A61" s="73"/>
      <c r="B61" s="30"/>
      <c r="C61" s="34" t="s">
        <v>49</v>
      </c>
      <c r="D61" s="31">
        <v>22000</v>
      </c>
      <c r="E61" s="32"/>
      <c r="F61" s="33"/>
      <c r="G61" s="33">
        <v>2</v>
      </c>
      <c r="H61" s="39">
        <f t="shared" si="5"/>
        <v>44000</v>
      </c>
    </row>
    <row r="62" spans="1:9">
      <c r="A62" s="73"/>
      <c r="B62" s="30"/>
      <c r="C62" s="34" t="s">
        <v>1040</v>
      </c>
      <c r="D62" s="31">
        <v>6000</v>
      </c>
      <c r="E62" s="32"/>
      <c r="F62" s="33"/>
      <c r="G62" s="33">
        <v>0</v>
      </c>
      <c r="H62" s="39">
        <f t="shared" si="5"/>
        <v>0</v>
      </c>
    </row>
    <row r="63" spans="1:9">
      <c r="A63" s="73"/>
      <c r="B63" s="30"/>
      <c r="C63" s="34" t="s">
        <v>1260</v>
      </c>
      <c r="D63" s="31">
        <v>8000</v>
      </c>
      <c r="E63" s="32"/>
      <c r="F63" s="33"/>
      <c r="G63" s="33">
        <v>0</v>
      </c>
      <c r="H63" s="39">
        <v>8000</v>
      </c>
    </row>
    <row r="64" spans="1:9">
      <c r="A64" s="73"/>
      <c r="B64" s="30"/>
      <c r="C64" s="34" t="s">
        <v>1261</v>
      </c>
      <c r="D64" s="31">
        <v>9000</v>
      </c>
      <c r="E64" s="32"/>
      <c r="F64" s="33"/>
      <c r="G64" s="33">
        <v>1</v>
      </c>
      <c r="H64" s="39">
        <v>8000</v>
      </c>
    </row>
    <row r="65" spans="1:9">
      <c r="A65" s="42"/>
      <c r="B65" s="4"/>
      <c r="C65" s="1"/>
      <c r="D65" s="11"/>
      <c r="E65" s="2"/>
      <c r="F65" s="3"/>
      <c r="G65" s="3"/>
      <c r="H65" s="10">
        <f t="shared" ref="H65" si="6">D65*(E65+F65+G65)</f>
        <v>0</v>
      </c>
    </row>
    <row r="66" spans="1:9">
      <c r="A66" s="74" t="s">
        <v>1262</v>
      </c>
      <c r="B66" s="23" t="s">
        <v>1263</v>
      </c>
      <c r="C66" s="23" t="s">
        <v>1232</v>
      </c>
      <c r="D66" s="38"/>
      <c r="E66" s="25"/>
      <c r="F66" s="24"/>
      <c r="G66" s="24"/>
      <c r="H66" s="40">
        <v>303997</v>
      </c>
      <c r="I66" s="66" t="s">
        <v>1233</v>
      </c>
    </row>
    <row r="67" spans="1:9">
      <c r="A67" s="74"/>
      <c r="B67" s="23"/>
      <c r="C67" s="23"/>
      <c r="D67" s="38"/>
      <c r="E67" s="25"/>
      <c r="F67" s="24"/>
      <c r="G67" s="24"/>
      <c r="H67" s="40"/>
    </row>
    <row r="68" spans="1:9">
      <c r="A68" s="74"/>
      <c r="B68" s="23" t="s">
        <v>1264</v>
      </c>
      <c r="C68" s="23" t="s">
        <v>1235</v>
      </c>
      <c r="D68" s="38">
        <v>150</v>
      </c>
      <c r="E68" s="25"/>
      <c r="F68" s="24"/>
      <c r="G68" s="24">
        <v>100</v>
      </c>
      <c r="H68" s="40">
        <f t="shared" ref="H68:H79" si="7">D68*(E68+F68+G68)</f>
        <v>15000</v>
      </c>
    </row>
    <row r="69" spans="1:9">
      <c r="A69" s="74"/>
      <c r="B69" s="23"/>
      <c r="C69" s="23" t="s">
        <v>52</v>
      </c>
      <c r="D69" s="38">
        <v>1050</v>
      </c>
      <c r="E69" s="25"/>
      <c r="F69" s="24"/>
      <c r="G69" s="24">
        <v>0</v>
      </c>
      <c r="H69" s="40">
        <f t="shared" si="7"/>
        <v>0</v>
      </c>
    </row>
    <row r="70" spans="1:9">
      <c r="A70" s="74"/>
      <c r="B70" s="23"/>
      <c r="C70" s="23" t="s">
        <v>1265</v>
      </c>
      <c r="D70" s="38">
        <v>2750</v>
      </c>
      <c r="E70" s="25"/>
      <c r="F70" s="24"/>
      <c r="G70" s="24">
        <v>0</v>
      </c>
      <c r="H70" s="40">
        <f t="shared" si="7"/>
        <v>0</v>
      </c>
    </row>
    <row r="71" spans="1:9">
      <c r="A71" s="74"/>
      <c r="B71" s="23"/>
      <c r="C71" s="23" t="s">
        <v>85</v>
      </c>
      <c r="D71" s="38">
        <v>5500</v>
      </c>
      <c r="E71" s="25"/>
      <c r="F71" s="24"/>
      <c r="G71" s="24">
        <v>1</v>
      </c>
      <c r="H71" s="40">
        <f t="shared" si="7"/>
        <v>5500</v>
      </c>
    </row>
    <row r="72" spans="1:9">
      <c r="A72" s="74"/>
      <c r="B72" s="23"/>
      <c r="C72" s="23" t="s">
        <v>1266</v>
      </c>
      <c r="D72" s="38">
        <v>10000</v>
      </c>
      <c r="E72" s="25"/>
      <c r="F72" s="24"/>
      <c r="G72" s="24">
        <v>1</v>
      </c>
      <c r="H72" s="40">
        <f t="shared" si="7"/>
        <v>10000</v>
      </c>
    </row>
    <row r="73" spans="1:9">
      <c r="A73" s="74"/>
      <c r="B73" s="23"/>
      <c r="C73" s="23" t="s">
        <v>12</v>
      </c>
      <c r="D73" s="38">
        <v>38000</v>
      </c>
      <c r="E73" s="25"/>
      <c r="F73" s="24"/>
      <c r="G73" s="24">
        <v>1</v>
      </c>
      <c r="H73" s="40">
        <f t="shared" si="7"/>
        <v>38000</v>
      </c>
    </row>
    <row r="74" spans="1:9">
      <c r="A74" s="74"/>
      <c r="B74" s="23"/>
      <c r="C74" s="23" t="s">
        <v>1267</v>
      </c>
      <c r="D74" s="38">
        <v>40000</v>
      </c>
      <c r="E74" s="25"/>
      <c r="F74" s="24"/>
      <c r="G74" s="24">
        <v>0</v>
      </c>
      <c r="H74" s="40">
        <f t="shared" si="7"/>
        <v>0</v>
      </c>
    </row>
    <row r="75" spans="1:9">
      <c r="A75" s="74"/>
      <c r="B75" s="23"/>
      <c r="C75" s="23" t="s">
        <v>165</v>
      </c>
      <c r="D75" s="38">
        <v>22000</v>
      </c>
      <c r="E75" s="25"/>
      <c r="F75" s="24"/>
      <c r="G75" s="24">
        <v>1</v>
      </c>
      <c r="H75" s="40">
        <f t="shared" si="7"/>
        <v>22000</v>
      </c>
    </row>
    <row r="76" spans="1:9">
      <c r="A76" s="74"/>
      <c r="B76" s="23"/>
      <c r="C76" s="23" t="s">
        <v>1040</v>
      </c>
      <c r="D76" s="38">
        <v>6000</v>
      </c>
      <c r="E76" s="25"/>
      <c r="F76" s="24"/>
      <c r="G76" s="24">
        <v>0</v>
      </c>
      <c r="H76" s="40">
        <f t="shared" si="7"/>
        <v>0</v>
      </c>
    </row>
    <row r="77" spans="1:9">
      <c r="A77" s="74"/>
      <c r="B77" s="23"/>
      <c r="C77" s="23" t="s">
        <v>1260</v>
      </c>
      <c r="D77" s="38">
        <v>8000</v>
      </c>
      <c r="E77" s="25"/>
      <c r="F77" s="24"/>
      <c r="G77" s="24">
        <v>0</v>
      </c>
      <c r="H77" s="40">
        <f t="shared" si="7"/>
        <v>0</v>
      </c>
    </row>
    <row r="78" spans="1:9">
      <c r="A78" s="74"/>
      <c r="B78" s="23"/>
      <c r="C78" s="23" t="s">
        <v>198</v>
      </c>
      <c r="D78" s="38">
        <v>9000</v>
      </c>
      <c r="E78" s="25"/>
      <c r="F78" s="24"/>
      <c r="G78" s="24">
        <v>0</v>
      </c>
      <c r="H78" s="40">
        <f t="shared" si="7"/>
        <v>0</v>
      </c>
    </row>
    <row r="79" spans="1:9">
      <c r="A79" s="42"/>
      <c r="B79" s="4"/>
      <c r="C79" s="1"/>
      <c r="D79" s="11"/>
      <c r="E79" s="2"/>
      <c r="F79" s="3"/>
      <c r="G79" s="3"/>
      <c r="H79" s="10">
        <f t="shared" si="7"/>
        <v>0</v>
      </c>
    </row>
    <row r="80" spans="1:9">
      <c r="A80" s="72" t="s">
        <v>1268</v>
      </c>
      <c r="B80" s="19" t="s">
        <v>1231</v>
      </c>
      <c r="C80" s="35" t="s">
        <v>1232</v>
      </c>
      <c r="D80" s="36"/>
      <c r="E80" s="21"/>
      <c r="F80" s="20"/>
      <c r="G80" s="20"/>
      <c r="H80" s="37">
        <v>128803</v>
      </c>
      <c r="I80" s="66" t="s">
        <v>1233</v>
      </c>
    </row>
    <row r="81" spans="1:9">
      <c r="A81" s="42"/>
      <c r="B81" s="4"/>
      <c r="C81" s="1"/>
      <c r="D81" s="11"/>
      <c r="E81" s="2"/>
      <c r="F81" s="3"/>
      <c r="G81" s="3"/>
      <c r="H81" s="10"/>
    </row>
    <row r="82" spans="1:9">
      <c r="A82" s="75" t="s">
        <v>1269</v>
      </c>
      <c r="B82" s="59" t="s">
        <v>1231</v>
      </c>
      <c r="C82" s="60" t="s">
        <v>1232</v>
      </c>
      <c r="D82" s="61"/>
      <c r="E82" s="62"/>
      <c r="F82" s="63"/>
      <c r="G82" s="63"/>
      <c r="H82" s="64">
        <v>310007</v>
      </c>
      <c r="I82" s="66" t="s">
        <v>1233</v>
      </c>
    </row>
    <row r="83" spans="1:9">
      <c r="A83" s="42"/>
      <c r="B83" s="4"/>
      <c r="C83" s="3"/>
      <c r="D83" s="84"/>
      <c r="E83" s="2"/>
      <c r="F83" s="3"/>
      <c r="G83" s="3"/>
      <c r="H83" s="145"/>
    </row>
    <row r="84" spans="1:9">
      <c r="A84" s="42" t="s">
        <v>1270</v>
      </c>
      <c r="B84" s="4"/>
      <c r="C84" s="65" t="s">
        <v>1271</v>
      </c>
      <c r="D84" s="43"/>
      <c r="E84" s="42"/>
      <c r="F84" s="42"/>
      <c r="G84" s="42">
        <v>38</v>
      </c>
      <c r="H84" s="43">
        <f t="shared" ref="H84:H87" si="8">D84*(E84+F84+G84)</f>
        <v>0</v>
      </c>
    </row>
    <row r="85" spans="1:9">
      <c r="A85" s="42"/>
      <c r="B85" s="42"/>
      <c r="C85" s="65" t="s">
        <v>1272</v>
      </c>
      <c r="D85" s="43"/>
      <c r="E85" s="42"/>
      <c r="F85" s="42"/>
      <c r="G85" s="42">
        <v>100</v>
      </c>
      <c r="H85" s="43">
        <f t="shared" si="8"/>
        <v>0</v>
      </c>
    </row>
    <row r="86" spans="1:9">
      <c r="A86" s="42"/>
      <c r="B86" s="4"/>
      <c r="C86" s="42" t="s">
        <v>1273</v>
      </c>
      <c r="D86" s="43"/>
      <c r="E86" s="42"/>
      <c r="F86" s="42"/>
      <c r="G86" s="42">
        <v>126</v>
      </c>
      <c r="H86" s="43">
        <f t="shared" si="8"/>
        <v>0</v>
      </c>
      <c r="I86" s="118"/>
    </row>
    <row r="87" spans="1:9">
      <c r="A87" s="42"/>
      <c r="B87" s="4"/>
      <c r="C87" s="65" t="s">
        <v>1274</v>
      </c>
      <c r="D87" s="43"/>
      <c r="E87" s="42"/>
      <c r="F87" s="42"/>
      <c r="G87" s="42">
        <v>34</v>
      </c>
      <c r="H87" s="43">
        <f t="shared" si="8"/>
        <v>0</v>
      </c>
    </row>
    <row r="88" spans="1:9">
      <c r="A88" s="42"/>
      <c r="B88" s="42"/>
      <c r="C88" s="42" t="s">
        <v>212</v>
      </c>
      <c r="D88" s="43"/>
      <c r="E88" s="42"/>
      <c r="F88" s="42"/>
      <c r="G88" s="42">
        <v>339</v>
      </c>
      <c r="H88" s="78">
        <f t="shared" ref="H88:H119" si="9">D88*(E88+F88+G88)</f>
        <v>0</v>
      </c>
    </row>
    <row r="89" spans="1:9">
      <c r="A89" s="42"/>
      <c r="B89" s="42"/>
      <c r="C89" s="42" t="s">
        <v>1275</v>
      </c>
      <c r="D89" s="43"/>
      <c r="E89" s="42"/>
      <c r="F89" s="42"/>
      <c r="G89" s="42">
        <v>27</v>
      </c>
      <c r="H89" s="43">
        <f t="shared" si="9"/>
        <v>0</v>
      </c>
    </row>
    <row r="90" spans="1:9">
      <c r="A90" s="42"/>
      <c r="B90" s="42"/>
      <c r="C90" s="65" t="s">
        <v>1276</v>
      </c>
      <c r="D90" s="78"/>
      <c r="E90" s="42"/>
      <c r="F90" s="42"/>
      <c r="G90" s="42">
        <v>71</v>
      </c>
      <c r="H90" s="43">
        <f t="shared" si="9"/>
        <v>0</v>
      </c>
    </row>
    <row r="91" spans="1:9">
      <c r="A91" s="42"/>
      <c r="B91" s="42"/>
      <c r="C91" s="42" t="s">
        <v>1277</v>
      </c>
      <c r="D91" s="43"/>
      <c r="E91" s="42"/>
      <c r="F91" s="42"/>
      <c r="G91" s="42">
        <v>360</v>
      </c>
      <c r="H91" s="43">
        <f t="shared" si="9"/>
        <v>0</v>
      </c>
    </row>
    <row r="92" spans="1:9">
      <c r="A92" s="42"/>
      <c r="B92" s="42"/>
      <c r="C92" s="42" t="s">
        <v>1278</v>
      </c>
      <c r="D92" s="43"/>
      <c r="E92" s="42"/>
      <c r="F92" s="42"/>
      <c r="G92" s="42">
        <v>49</v>
      </c>
      <c r="H92" s="43">
        <f t="shared" si="9"/>
        <v>0</v>
      </c>
    </row>
    <row r="93" spans="1:9">
      <c r="A93" s="42"/>
      <c r="B93" s="42"/>
      <c r="C93" s="42" t="s">
        <v>1279</v>
      </c>
      <c r="D93" s="78"/>
      <c r="E93" s="42"/>
      <c r="F93" s="42"/>
      <c r="G93" s="42">
        <v>60</v>
      </c>
      <c r="H93" s="78">
        <f t="shared" si="9"/>
        <v>0</v>
      </c>
    </row>
    <row r="94" spans="1:9">
      <c r="A94" s="42"/>
      <c r="B94" s="42"/>
      <c r="C94" s="65" t="s">
        <v>1280</v>
      </c>
      <c r="D94" s="78"/>
      <c r="E94" s="42"/>
      <c r="F94" s="42"/>
      <c r="G94" s="42">
        <v>56</v>
      </c>
      <c r="H94" s="43">
        <f t="shared" si="9"/>
        <v>0</v>
      </c>
    </row>
    <row r="95" spans="1:9">
      <c r="A95" s="42"/>
      <c r="B95" s="42"/>
      <c r="C95" s="42" t="s">
        <v>1281</v>
      </c>
      <c r="D95" s="78"/>
      <c r="E95" s="42"/>
      <c r="F95" s="42"/>
      <c r="G95" s="42">
        <v>36</v>
      </c>
      <c r="H95" s="78">
        <f t="shared" si="9"/>
        <v>0</v>
      </c>
    </row>
    <row r="96" spans="1:9">
      <c r="A96" s="42"/>
      <c r="B96" s="42"/>
      <c r="C96" s="42" t="s">
        <v>1282</v>
      </c>
      <c r="D96" s="43"/>
      <c r="E96" s="42"/>
      <c r="F96" s="42"/>
      <c r="G96" s="42">
        <v>165</v>
      </c>
      <c r="H96" s="43">
        <f t="shared" si="9"/>
        <v>0</v>
      </c>
    </row>
    <row r="97" spans="1:8">
      <c r="A97" s="42"/>
      <c r="B97" s="42"/>
      <c r="C97" s="65" t="s">
        <v>1275</v>
      </c>
      <c r="D97" s="78"/>
      <c r="E97" s="42"/>
      <c r="F97" s="42"/>
      <c r="G97" s="42">
        <v>44</v>
      </c>
      <c r="H97" s="78">
        <f t="shared" si="9"/>
        <v>0</v>
      </c>
    </row>
    <row r="98" spans="1:8">
      <c r="A98" s="42"/>
      <c r="B98" s="42"/>
      <c r="C98" s="65" t="s">
        <v>1283</v>
      </c>
      <c r="D98" s="43"/>
      <c r="E98" s="42"/>
      <c r="F98" s="42"/>
      <c r="G98" s="42">
        <v>68</v>
      </c>
      <c r="H98" s="78">
        <f t="shared" si="9"/>
        <v>0</v>
      </c>
    </row>
    <row r="99" spans="1:8">
      <c r="A99" s="42"/>
      <c r="B99" s="42"/>
      <c r="C99" s="65" t="s">
        <v>1284</v>
      </c>
      <c r="D99" s="78"/>
      <c r="E99" s="42"/>
      <c r="F99" s="42"/>
      <c r="G99" s="42">
        <v>71</v>
      </c>
      <c r="H99" s="43">
        <f t="shared" si="9"/>
        <v>0</v>
      </c>
    </row>
    <row r="100" spans="1:8">
      <c r="A100" s="42"/>
      <c r="B100" s="42"/>
      <c r="C100" s="65" t="s">
        <v>1285</v>
      </c>
      <c r="D100" s="43"/>
      <c r="E100" s="42"/>
      <c r="F100" s="42"/>
      <c r="G100" s="42">
        <v>120</v>
      </c>
      <c r="H100" s="43">
        <f t="shared" si="9"/>
        <v>0</v>
      </c>
    </row>
    <row r="101" spans="1:8">
      <c r="A101" s="42"/>
      <c r="B101" s="42"/>
      <c r="C101" s="42" t="s">
        <v>1286</v>
      </c>
      <c r="D101" s="78"/>
      <c r="E101" s="42"/>
      <c r="F101" s="42"/>
      <c r="G101" s="42">
        <v>37</v>
      </c>
      <c r="H101" s="78">
        <f t="shared" si="9"/>
        <v>0</v>
      </c>
    </row>
    <row r="102" spans="1:8">
      <c r="A102" s="42"/>
      <c r="B102" s="42"/>
      <c r="C102" s="65" t="s">
        <v>1287</v>
      </c>
      <c r="D102" s="78"/>
      <c r="E102" s="42"/>
      <c r="F102" s="42"/>
      <c r="G102" s="42">
        <v>107</v>
      </c>
      <c r="H102" s="43">
        <f t="shared" si="9"/>
        <v>0</v>
      </c>
    </row>
    <row r="103" spans="1:8">
      <c r="A103" s="42"/>
      <c r="B103" s="42"/>
      <c r="C103" s="42" t="s">
        <v>1288</v>
      </c>
      <c r="D103" s="78"/>
      <c r="E103" s="42"/>
      <c r="F103" s="42"/>
      <c r="G103" s="42">
        <v>20</v>
      </c>
      <c r="H103" s="78">
        <f t="shared" si="9"/>
        <v>0</v>
      </c>
    </row>
    <row r="104" spans="1:8">
      <c r="A104" s="42"/>
      <c r="B104" s="42"/>
      <c r="C104" s="42" t="s">
        <v>1289</v>
      </c>
      <c r="D104" s="43"/>
      <c r="E104" s="42"/>
      <c r="F104" s="42"/>
      <c r="G104" s="42">
        <v>24</v>
      </c>
      <c r="H104" s="78">
        <f t="shared" si="9"/>
        <v>0</v>
      </c>
    </row>
    <row r="105" spans="1:8">
      <c r="A105" s="42"/>
      <c r="B105" s="42"/>
      <c r="C105" s="42" t="s">
        <v>1290</v>
      </c>
      <c r="D105" s="43"/>
      <c r="E105" s="42"/>
      <c r="F105" s="42"/>
      <c r="G105" s="42">
        <v>84</v>
      </c>
      <c r="H105" s="78">
        <f t="shared" si="9"/>
        <v>0</v>
      </c>
    </row>
    <row r="106" spans="1:8">
      <c r="A106" s="42"/>
      <c r="B106" s="42"/>
      <c r="C106" s="42" t="s">
        <v>1291</v>
      </c>
      <c r="D106" s="78"/>
      <c r="E106" s="42"/>
      <c r="F106" s="42"/>
      <c r="G106" s="42">
        <v>48</v>
      </c>
      <c r="H106" s="78">
        <f t="shared" si="9"/>
        <v>0</v>
      </c>
    </row>
    <row r="107" spans="1:8">
      <c r="A107" s="42"/>
      <c r="B107" s="42"/>
      <c r="C107" s="42" t="s">
        <v>1292</v>
      </c>
      <c r="D107" s="43"/>
      <c r="E107" s="42"/>
      <c r="F107" s="42"/>
      <c r="G107" s="42">
        <v>520</v>
      </c>
      <c r="H107" s="43">
        <f t="shared" si="9"/>
        <v>0</v>
      </c>
    </row>
    <row r="108" spans="1:8">
      <c r="A108" s="42"/>
      <c r="B108" s="42"/>
      <c r="C108" s="42" t="s">
        <v>1293</v>
      </c>
      <c r="D108" s="43"/>
      <c r="E108" s="42"/>
      <c r="F108" s="42"/>
      <c r="G108" s="42">
        <v>2</v>
      </c>
      <c r="H108" s="78">
        <f t="shared" si="9"/>
        <v>0</v>
      </c>
    </row>
    <row r="109" spans="1:8">
      <c r="A109" s="42"/>
      <c r="B109" s="42"/>
      <c r="C109" s="42" t="s">
        <v>540</v>
      </c>
      <c r="D109" s="43"/>
      <c r="E109" s="42"/>
      <c r="F109" s="42"/>
      <c r="G109" s="42">
        <v>26</v>
      </c>
      <c r="H109" s="78">
        <f t="shared" si="9"/>
        <v>0</v>
      </c>
    </row>
    <row r="110" spans="1:8">
      <c r="A110" s="42"/>
      <c r="B110" s="42"/>
      <c r="C110" s="42" t="s">
        <v>1294</v>
      </c>
      <c r="D110" s="43"/>
      <c r="E110" s="42"/>
      <c r="F110" s="42"/>
      <c r="G110" s="42">
        <v>1</v>
      </c>
      <c r="H110" s="78">
        <f t="shared" si="9"/>
        <v>0</v>
      </c>
    </row>
    <row r="111" spans="1:8">
      <c r="A111" s="42"/>
      <c r="B111" s="42"/>
      <c r="C111" s="42" t="s">
        <v>862</v>
      </c>
      <c r="D111" s="78"/>
      <c r="E111" s="42"/>
      <c r="F111" s="42"/>
      <c r="G111" s="42">
        <v>291</v>
      </c>
      <c r="H111" s="78">
        <f t="shared" si="9"/>
        <v>0</v>
      </c>
    </row>
    <row r="112" spans="1:8">
      <c r="A112" s="42"/>
      <c r="B112" s="42"/>
      <c r="C112" s="42" t="s">
        <v>1295</v>
      </c>
      <c r="D112" s="42"/>
      <c r="E112" s="42"/>
      <c r="F112" s="42"/>
      <c r="G112" s="78">
        <v>30</v>
      </c>
      <c r="H112" s="78">
        <f t="shared" si="9"/>
        <v>0</v>
      </c>
    </row>
    <row r="113" spans="1:9">
      <c r="A113" s="42"/>
      <c r="B113" s="42"/>
      <c r="C113" s="42" t="s">
        <v>1296</v>
      </c>
      <c r="D113" s="78"/>
      <c r="E113" s="42"/>
      <c r="F113" s="42"/>
      <c r="G113" s="42">
        <v>88</v>
      </c>
      <c r="H113" s="78">
        <f t="shared" si="9"/>
        <v>0</v>
      </c>
    </row>
    <row r="114" spans="1:9">
      <c r="A114" s="42"/>
      <c r="B114" s="42"/>
      <c r="C114" s="42" t="s">
        <v>1297</v>
      </c>
      <c r="D114" s="78"/>
      <c r="E114" s="42"/>
      <c r="F114" s="42"/>
      <c r="G114" s="42">
        <v>86</v>
      </c>
      <c r="H114" s="78">
        <f t="shared" si="9"/>
        <v>0</v>
      </c>
    </row>
    <row r="115" spans="1:9">
      <c r="A115" s="42"/>
      <c r="B115" s="42"/>
      <c r="C115" s="42" t="s">
        <v>1298</v>
      </c>
      <c r="D115" s="78"/>
      <c r="E115" s="42"/>
      <c r="F115" s="42"/>
      <c r="G115" s="42">
        <v>4</v>
      </c>
      <c r="H115" s="78">
        <f t="shared" si="9"/>
        <v>0</v>
      </c>
    </row>
    <row r="116" spans="1:9">
      <c r="A116" s="42"/>
      <c r="B116" s="42"/>
      <c r="C116" s="42" t="s">
        <v>1299</v>
      </c>
      <c r="D116" s="78"/>
      <c r="E116" s="42"/>
      <c r="F116" s="42"/>
      <c r="G116" s="42">
        <v>4</v>
      </c>
      <c r="H116" s="78">
        <f t="shared" si="9"/>
        <v>0</v>
      </c>
    </row>
    <row r="117" spans="1:9">
      <c r="A117" s="42"/>
      <c r="B117" s="42"/>
      <c r="C117" s="42" t="s">
        <v>1300</v>
      </c>
      <c r="D117" s="78"/>
      <c r="E117" s="42"/>
      <c r="F117" s="42"/>
      <c r="G117" s="42">
        <v>152</v>
      </c>
      <c r="H117" s="78">
        <f t="shared" si="9"/>
        <v>0</v>
      </c>
    </row>
    <row r="118" spans="1:9">
      <c r="A118" s="42"/>
      <c r="B118" s="42"/>
      <c r="C118" s="42" t="s">
        <v>1184</v>
      </c>
      <c r="D118" s="78"/>
      <c r="E118" s="42"/>
      <c r="F118" s="42"/>
      <c r="G118" s="42">
        <v>18</v>
      </c>
      <c r="H118" s="78">
        <f t="shared" si="9"/>
        <v>0</v>
      </c>
    </row>
    <row r="119" spans="1:9">
      <c r="A119" s="42"/>
      <c r="B119" s="42"/>
      <c r="C119" s="42" t="s">
        <v>1212</v>
      </c>
      <c r="D119" s="43"/>
      <c r="E119" s="42"/>
      <c r="F119" s="42"/>
      <c r="G119" s="42">
        <v>77</v>
      </c>
      <c r="H119" s="78">
        <f t="shared" si="9"/>
        <v>0</v>
      </c>
    </row>
    <row r="120" spans="1:9">
      <c r="A120" s="455"/>
      <c r="B120" s="455"/>
      <c r="C120" s="42" t="s">
        <v>1301</v>
      </c>
      <c r="D120" s="456"/>
      <c r="E120" s="455"/>
      <c r="F120" s="455"/>
      <c r="G120" s="455">
        <v>200</v>
      </c>
      <c r="H120" s="457">
        <f t="shared" ref="H120:H151" si="10">D120*(E120+F120+G120)</f>
        <v>0</v>
      </c>
    </row>
    <row r="121" spans="1:9">
      <c r="A121" s="42"/>
      <c r="B121" s="42"/>
      <c r="C121" s="42" t="s">
        <v>1302</v>
      </c>
      <c r="D121" s="43"/>
      <c r="E121" s="42"/>
      <c r="F121" s="42"/>
      <c r="G121" s="42">
        <v>6</v>
      </c>
      <c r="H121" s="78">
        <f t="shared" si="10"/>
        <v>0</v>
      </c>
    </row>
    <row r="122" spans="1:9">
      <c r="A122" s="42"/>
      <c r="B122" s="42"/>
      <c r="C122" s="42" t="s">
        <v>801</v>
      </c>
      <c r="D122" s="78"/>
      <c r="E122" s="42"/>
      <c r="F122" s="42"/>
      <c r="G122" s="42">
        <v>30</v>
      </c>
      <c r="H122" s="78">
        <f t="shared" si="10"/>
        <v>0</v>
      </c>
    </row>
    <row r="123" spans="1:9">
      <c r="A123" s="42"/>
      <c r="B123" s="42"/>
      <c r="C123" s="42" t="s">
        <v>1303</v>
      </c>
      <c r="D123" s="43"/>
      <c r="E123" s="42"/>
      <c r="F123" s="42"/>
      <c r="G123" s="42">
        <v>46</v>
      </c>
      <c r="H123" s="78">
        <f t="shared" si="10"/>
        <v>0</v>
      </c>
    </row>
    <row r="124" spans="1:9">
      <c r="A124" s="42"/>
      <c r="B124" s="42"/>
      <c r="C124" s="42" t="s">
        <v>1304</v>
      </c>
      <c r="D124" s="43"/>
      <c r="E124" s="42"/>
      <c r="F124" s="42"/>
      <c r="G124" s="42">
        <v>101</v>
      </c>
      <c r="H124" s="78">
        <f t="shared" si="10"/>
        <v>0</v>
      </c>
    </row>
    <row r="125" spans="1:9">
      <c r="A125" s="42"/>
      <c r="B125" s="42"/>
      <c r="C125" s="42" t="s">
        <v>1305</v>
      </c>
      <c r="D125" s="43"/>
      <c r="E125" s="42"/>
      <c r="F125" s="42"/>
      <c r="G125" s="42">
        <v>7</v>
      </c>
      <c r="H125" s="78">
        <f t="shared" si="10"/>
        <v>0</v>
      </c>
    </row>
    <row r="126" spans="1:9">
      <c r="A126" s="42"/>
      <c r="B126" s="42"/>
      <c r="C126" s="42" t="s">
        <v>1306</v>
      </c>
      <c r="D126" s="43"/>
      <c r="E126" s="42"/>
      <c r="F126" s="42"/>
      <c r="G126" s="42">
        <v>1</v>
      </c>
      <c r="H126" s="78">
        <f t="shared" si="10"/>
        <v>0</v>
      </c>
      <c r="I126" s="77"/>
    </row>
    <row r="127" spans="1:9">
      <c r="A127" s="42"/>
      <c r="B127" s="42"/>
      <c r="C127" s="42" t="s">
        <v>1307</v>
      </c>
      <c r="D127" s="43"/>
      <c r="E127" s="42"/>
      <c r="F127" s="42"/>
      <c r="G127" s="42">
        <v>10</v>
      </c>
      <c r="H127" s="78">
        <f t="shared" si="10"/>
        <v>0</v>
      </c>
    </row>
    <row r="128" spans="1:9">
      <c r="A128" s="42"/>
      <c r="B128" s="42"/>
      <c r="C128" s="42" t="s">
        <v>1308</v>
      </c>
      <c r="D128" s="43"/>
      <c r="E128" s="42"/>
      <c r="F128" s="42"/>
      <c r="G128" s="42">
        <v>417</v>
      </c>
      <c r="H128" s="78">
        <f t="shared" si="10"/>
        <v>0</v>
      </c>
    </row>
    <row r="129" spans="1:8">
      <c r="A129" s="42"/>
      <c r="B129" s="42"/>
      <c r="C129" s="42" t="s">
        <v>1309</v>
      </c>
      <c r="D129" s="78"/>
      <c r="E129" s="42"/>
      <c r="F129" s="42"/>
      <c r="G129" s="42">
        <v>4</v>
      </c>
      <c r="H129" s="78">
        <f t="shared" si="10"/>
        <v>0</v>
      </c>
    </row>
    <row r="130" spans="1:8">
      <c r="A130" s="42"/>
      <c r="B130" s="42"/>
      <c r="C130" s="42" t="s">
        <v>1310</v>
      </c>
      <c r="D130" s="78"/>
      <c r="E130" s="42"/>
      <c r="F130" s="42"/>
      <c r="G130" s="42">
        <v>85</v>
      </c>
      <c r="H130" s="78">
        <f t="shared" si="10"/>
        <v>0</v>
      </c>
    </row>
    <row r="131" spans="1:8">
      <c r="A131" s="42"/>
      <c r="B131" s="42"/>
      <c r="C131" s="42" t="s">
        <v>1311</v>
      </c>
      <c r="D131" s="78"/>
      <c r="E131" s="42"/>
      <c r="F131" s="42"/>
      <c r="G131" s="42">
        <v>5</v>
      </c>
      <c r="H131" s="78">
        <f t="shared" si="10"/>
        <v>0</v>
      </c>
    </row>
    <row r="132" spans="1:8">
      <c r="A132" s="42"/>
      <c r="B132" s="42"/>
      <c r="C132" s="65" t="s">
        <v>1312</v>
      </c>
      <c r="D132" s="78"/>
      <c r="E132" s="42"/>
      <c r="F132" s="42"/>
      <c r="G132" s="42">
        <v>7</v>
      </c>
      <c r="H132" s="78">
        <f t="shared" si="10"/>
        <v>0</v>
      </c>
    </row>
    <row r="133" spans="1:8">
      <c r="A133" s="42"/>
      <c r="B133" s="42"/>
      <c r="C133" s="42" t="s">
        <v>1313</v>
      </c>
      <c r="D133" s="42"/>
      <c r="E133" s="42"/>
      <c r="F133" s="42"/>
      <c r="G133" s="78">
        <v>20</v>
      </c>
      <c r="H133" s="78">
        <f t="shared" si="10"/>
        <v>0</v>
      </c>
    </row>
    <row r="134" spans="1:8">
      <c r="A134" s="42"/>
      <c r="B134" s="42"/>
      <c r="C134" s="42" t="s">
        <v>1314</v>
      </c>
      <c r="D134" s="78"/>
      <c r="E134" s="42"/>
      <c r="F134" s="42"/>
      <c r="G134" s="42">
        <v>21</v>
      </c>
      <c r="H134" s="78">
        <f t="shared" si="10"/>
        <v>0</v>
      </c>
    </row>
    <row r="135" spans="1:8">
      <c r="A135" s="42"/>
      <c r="B135" s="42"/>
      <c r="C135" s="42" t="s">
        <v>1315</v>
      </c>
      <c r="D135" s="78"/>
      <c r="E135" s="42"/>
      <c r="F135" s="42"/>
      <c r="G135" s="42">
        <v>26</v>
      </c>
      <c r="H135" s="78">
        <f t="shared" si="10"/>
        <v>0</v>
      </c>
    </row>
    <row r="136" spans="1:8">
      <c r="A136" s="42"/>
      <c r="B136" s="42"/>
      <c r="C136" s="42" t="s">
        <v>564</v>
      </c>
      <c r="D136" s="78"/>
      <c r="E136" s="42"/>
      <c r="F136" s="42"/>
      <c r="G136" s="42">
        <v>32</v>
      </c>
      <c r="H136" s="78">
        <f t="shared" si="10"/>
        <v>0</v>
      </c>
    </row>
    <row r="137" spans="1:8">
      <c r="A137" s="42"/>
      <c r="B137" s="42"/>
      <c r="C137" s="42" t="s">
        <v>378</v>
      </c>
      <c r="D137" s="43"/>
      <c r="E137" s="42"/>
      <c r="F137" s="42"/>
      <c r="G137" s="42">
        <v>69</v>
      </c>
      <c r="H137" s="78">
        <f t="shared" si="10"/>
        <v>0</v>
      </c>
    </row>
    <row r="138" spans="1:8">
      <c r="A138" s="42"/>
      <c r="B138" s="42"/>
      <c r="C138" s="42" t="s">
        <v>1181</v>
      </c>
      <c r="D138" s="43"/>
      <c r="E138" s="42"/>
      <c r="F138" s="42"/>
      <c r="G138" s="42">
        <v>53</v>
      </c>
      <c r="H138" s="78">
        <f t="shared" si="10"/>
        <v>0</v>
      </c>
    </row>
    <row r="139" spans="1:8">
      <c r="A139" s="42"/>
      <c r="B139" s="42"/>
      <c r="C139" s="42" t="s">
        <v>1316</v>
      </c>
      <c r="D139" s="43"/>
      <c r="E139" s="42"/>
      <c r="F139" s="42"/>
      <c r="G139" s="42">
        <v>3</v>
      </c>
      <c r="H139" s="78">
        <f t="shared" si="10"/>
        <v>0</v>
      </c>
    </row>
    <row r="140" spans="1:8">
      <c r="A140" s="42"/>
      <c r="B140" s="42"/>
      <c r="C140" s="42" t="s">
        <v>1317</v>
      </c>
      <c r="D140" s="43"/>
      <c r="E140" s="42"/>
      <c r="F140" s="42"/>
      <c r="G140" s="42">
        <v>30</v>
      </c>
      <c r="H140" s="78">
        <f t="shared" si="10"/>
        <v>0</v>
      </c>
    </row>
    <row r="141" spans="1:8">
      <c r="A141" s="42"/>
      <c r="B141" s="42"/>
      <c r="C141" s="42" t="s">
        <v>1318</v>
      </c>
      <c r="D141" s="43">
        <v>400</v>
      </c>
      <c r="E141" s="42"/>
      <c r="F141" s="42"/>
      <c r="G141" s="42">
        <v>60</v>
      </c>
      <c r="H141" s="78">
        <f t="shared" si="10"/>
        <v>24000</v>
      </c>
    </row>
    <row r="142" spans="1:8">
      <c r="A142" s="42"/>
      <c r="B142" s="42"/>
      <c r="C142" s="42" t="s">
        <v>1319</v>
      </c>
      <c r="D142" s="43"/>
      <c r="E142" s="42"/>
      <c r="F142" s="42"/>
      <c r="G142" s="42">
        <v>56</v>
      </c>
      <c r="H142" s="78">
        <f t="shared" si="10"/>
        <v>0</v>
      </c>
    </row>
    <row r="143" spans="1:8">
      <c r="A143" s="42"/>
      <c r="B143" s="42"/>
      <c r="C143" s="42" t="s">
        <v>1320</v>
      </c>
      <c r="D143" s="43"/>
      <c r="E143" s="42"/>
      <c r="F143" s="42"/>
      <c r="G143" s="42">
        <v>23</v>
      </c>
      <c r="H143" s="78">
        <f t="shared" si="10"/>
        <v>0</v>
      </c>
    </row>
    <row r="144" spans="1:8">
      <c r="A144" s="42"/>
      <c r="B144" s="42"/>
      <c r="C144" s="42" t="s">
        <v>1321</v>
      </c>
      <c r="D144" s="43"/>
      <c r="E144" s="42"/>
      <c r="F144" s="42"/>
      <c r="G144" s="42">
        <v>40</v>
      </c>
      <c r="H144" s="78">
        <f t="shared" si="10"/>
        <v>0</v>
      </c>
    </row>
    <row r="145" spans="1:8">
      <c r="A145" s="42"/>
      <c r="B145" s="42"/>
      <c r="C145" s="42" t="s">
        <v>1322</v>
      </c>
      <c r="D145" s="78"/>
      <c r="E145" s="42"/>
      <c r="F145" s="42"/>
      <c r="G145" s="42">
        <v>47</v>
      </c>
      <c r="H145" s="78">
        <f t="shared" si="10"/>
        <v>0</v>
      </c>
    </row>
    <row r="146" spans="1:8">
      <c r="A146" s="42"/>
      <c r="B146" s="42"/>
      <c r="C146" s="65" t="s">
        <v>1323</v>
      </c>
      <c r="D146" s="78"/>
      <c r="E146" s="42"/>
      <c r="F146" s="42"/>
      <c r="G146" s="42">
        <v>30</v>
      </c>
      <c r="H146" s="78">
        <f t="shared" si="10"/>
        <v>0</v>
      </c>
    </row>
    <row r="147" spans="1:8">
      <c r="A147" s="42"/>
      <c r="B147" s="42"/>
      <c r="C147" s="3" t="s">
        <v>1324</v>
      </c>
      <c r="D147" s="84"/>
      <c r="E147" s="2"/>
      <c r="F147" s="3"/>
      <c r="G147" s="3">
        <v>34</v>
      </c>
      <c r="H147" s="78">
        <f t="shared" si="10"/>
        <v>0</v>
      </c>
    </row>
    <row r="148" spans="1:8">
      <c r="A148" s="42"/>
      <c r="B148" s="42"/>
      <c r="C148" s="1" t="s">
        <v>1325</v>
      </c>
      <c r="D148" s="11">
        <v>300</v>
      </c>
      <c r="E148" s="2"/>
      <c r="F148" s="3"/>
      <c r="G148" s="3">
        <v>50</v>
      </c>
      <c r="H148" s="43">
        <f t="shared" si="10"/>
        <v>15000</v>
      </c>
    </row>
    <row r="149" spans="1:8">
      <c r="A149" s="42"/>
      <c r="B149" s="42"/>
      <c r="C149" s="65" t="s">
        <v>1326</v>
      </c>
      <c r="D149" s="78">
        <v>300</v>
      </c>
      <c r="E149" s="42"/>
      <c r="F149" s="42"/>
      <c r="G149" s="42">
        <v>40</v>
      </c>
      <c r="H149" s="43">
        <f t="shared" si="10"/>
        <v>12000</v>
      </c>
    </row>
    <row r="150" spans="1:8">
      <c r="A150" s="42"/>
      <c r="B150" s="42"/>
      <c r="C150" s="65" t="s">
        <v>1327</v>
      </c>
      <c r="D150" s="78">
        <v>500</v>
      </c>
      <c r="E150" s="42"/>
      <c r="F150" s="42"/>
      <c r="G150" s="42">
        <v>20</v>
      </c>
      <c r="H150" s="43">
        <f t="shared" si="10"/>
        <v>10000</v>
      </c>
    </row>
    <row r="151" spans="1:8">
      <c r="A151" s="42"/>
      <c r="B151" s="42"/>
      <c r="C151" s="42" t="s">
        <v>1328</v>
      </c>
      <c r="D151" s="43"/>
      <c r="E151" s="42"/>
      <c r="F151" s="42"/>
      <c r="G151" s="42">
        <v>31</v>
      </c>
      <c r="H151" s="78">
        <f t="shared" si="10"/>
        <v>0</v>
      </c>
    </row>
    <row r="152" spans="1:8">
      <c r="A152" s="42"/>
      <c r="B152" s="42"/>
      <c r="C152" s="42" t="s">
        <v>1329</v>
      </c>
      <c r="D152" s="43"/>
      <c r="E152" s="42"/>
      <c r="F152" s="42"/>
      <c r="G152" s="42">
        <v>37</v>
      </c>
      <c r="H152" s="78">
        <f t="shared" ref="H152:H349" si="11">D152*(E152+F152+G152)</f>
        <v>0</v>
      </c>
    </row>
    <row r="153" spans="1:8">
      <c r="A153" s="42"/>
      <c r="B153" s="42"/>
      <c r="C153" s="42" t="s">
        <v>1330</v>
      </c>
      <c r="D153" s="43"/>
      <c r="E153" s="42"/>
      <c r="F153" s="42"/>
      <c r="G153" s="42">
        <v>144</v>
      </c>
      <c r="H153" s="78">
        <f t="shared" si="11"/>
        <v>0</v>
      </c>
    </row>
    <row r="154" spans="1:8">
      <c r="A154" s="42"/>
      <c r="B154" s="42"/>
      <c r="C154" s="42" t="s">
        <v>537</v>
      </c>
      <c r="D154" s="43"/>
      <c r="E154" s="42"/>
      <c r="F154" s="42"/>
      <c r="G154" s="42">
        <v>96</v>
      </c>
      <c r="H154" s="78">
        <f t="shared" si="11"/>
        <v>0</v>
      </c>
    </row>
    <row r="155" spans="1:8">
      <c r="A155" s="42"/>
      <c r="B155" s="42"/>
      <c r="C155" s="42" t="s">
        <v>1331</v>
      </c>
      <c r="D155" s="43"/>
      <c r="E155" s="42"/>
      <c r="F155" s="42"/>
      <c r="G155" s="42">
        <v>80</v>
      </c>
      <c r="H155" s="78">
        <f t="shared" si="11"/>
        <v>0</v>
      </c>
    </row>
    <row r="156" spans="1:8">
      <c r="A156" s="42"/>
      <c r="B156" s="42"/>
      <c r="C156" s="42"/>
      <c r="D156" s="78"/>
      <c r="E156" s="42"/>
      <c r="F156" s="42"/>
      <c r="G156" s="42"/>
      <c r="H156" s="78">
        <f t="shared" si="11"/>
        <v>0</v>
      </c>
    </row>
    <row r="157" spans="1:8">
      <c r="A157" s="42"/>
      <c r="B157" s="42"/>
      <c r="C157" s="42"/>
      <c r="D157" s="43"/>
      <c r="E157" s="42"/>
      <c r="F157" s="42"/>
      <c r="G157" s="42"/>
      <c r="H157" s="78">
        <f t="shared" si="11"/>
        <v>0</v>
      </c>
    </row>
    <row r="158" spans="1:8">
      <c r="A158" s="42"/>
      <c r="B158" s="42"/>
      <c r="C158" s="42"/>
      <c r="D158" s="43"/>
      <c r="E158" s="42"/>
      <c r="F158" s="42"/>
      <c r="G158" s="42"/>
      <c r="H158" s="78">
        <f t="shared" si="11"/>
        <v>0</v>
      </c>
    </row>
    <row r="159" spans="1:8">
      <c r="A159" s="42"/>
      <c r="B159" s="42"/>
      <c r="C159" s="42"/>
      <c r="D159" s="78"/>
      <c r="E159" s="42"/>
      <c r="F159" s="42"/>
      <c r="G159" s="42"/>
      <c r="H159" s="43">
        <f t="shared" si="11"/>
        <v>0</v>
      </c>
    </row>
    <row r="160" spans="1:8">
      <c r="A160" s="42"/>
      <c r="B160" s="42"/>
      <c r="C160" s="42"/>
      <c r="D160" s="43"/>
      <c r="E160" s="42"/>
      <c r="F160" s="42"/>
      <c r="G160" s="42"/>
      <c r="H160" s="78">
        <f t="shared" si="11"/>
        <v>0</v>
      </c>
    </row>
    <row r="161" spans="1:8">
      <c r="A161" s="42"/>
      <c r="B161" s="42"/>
      <c r="C161" s="42"/>
      <c r="D161" s="78"/>
      <c r="E161" s="42"/>
      <c r="F161" s="42"/>
      <c r="G161" s="42"/>
      <c r="H161" s="78">
        <f t="shared" si="11"/>
        <v>0</v>
      </c>
    </row>
    <row r="162" spans="1:8">
      <c r="A162" s="42"/>
      <c r="B162" s="42"/>
      <c r="C162" s="42"/>
      <c r="D162" s="43"/>
      <c r="E162" s="42"/>
      <c r="F162" s="42"/>
      <c r="G162" s="42"/>
      <c r="H162" s="78">
        <f t="shared" si="11"/>
        <v>0</v>
      </c>
    </row>
    <row r="163" spans="1:8">
      <c r="A163" s="42"/>
      <c r="B163" s="42"/>
      <c r="C163" s="65"/>
      <c r="D163" s="78"/>
      <c r="E163" s="42"/>
      <c r="F163" s="42"/>
      <c r="G163" s="42"/>
      <c r="H163" s="78">
        <f t="shared" si="11"/>
        <v>0</v>
      </c>
    </row>
    <row r="164" spans="1:8">
      <c r="A164" s="42"/>
      <c r="B164" s="42"/>
      <c r="C164" s="42"/>
      <c r="D164" s="43"/>
      <c r="E164" s="42"/>
      <c r="F164" s="42"/>
      <c r="G164" s="42"/>
      <c r="H164" s="78">
        <f t="shared" si="11"/>
        <v>0</v>
      </c>
    </row>
    <row r="165" spans="1:8">
      <c r="A165" s="42"/>
      <c r="B165" s="42"/>
      <c r="C165" s="1"/>
      <c r="D165" s="11"/>
      <c r="E165" s="2"/>
      <c r="F165" s="3"/>
      <c r="G165" s="3"/>
      <c r="H165" s="43">
        <f t="shared" si="11"/>
        <v>0</v>
      </c>
    </row>
    <row r="166" spans="1:8">
      <c r="A166" s="42"/>
      <c r="B166" s="42"/>
      <c r="C166" s="42"/>
      <c r="D166" s="43"/>
      <c r="E166" s="42"/>
      <c r="F166" s="42"/>
      <c r="G166" s="42"/>
      <c r="H166" s="78">
        <f t="shared" si="11"/>
        <v>0</v>
      </c>
    </row>
    <row r="167" spans="1:8">
      <c r="A167" s="42"/>
      <c r="B167" s="42"/>
      <c r="C167" s="42"/>
      <c r="D167" s="43"/>
      <c r="E167" s="42"/>
      <c r="F167" s="42"/>
      <c r="G167" s="42"/>
      <c r="H167" s="78">
        <f t="shared" si="11"/>
        <v>0</v>
      </c>
    </row>
    <row r="168" spans="1:8">
      <c r="A168" s="42"/>
      <c r="B168" s="42"/>
      <c r="C168" s="42"/>
      <c r="D168" s="42"/>
      <c r="E168" s="42"/>
      <c r="F168" s="42"/>
      <c r="G168" s="78"/>
      <c r="H168" s="78">
        <f t="shared" si="11"/>
        <v>0</v>
      </c>
    </row>
    <row r="169" spans="1:8">
      <c r="A169" s="42"/>
      <c r="B169" s="42"/>
      <c r="C169" s="42"/>
      <c r="D169" s="43"/>
      <c r="E169" s="42"/>
      <c r="F169" s="42"/>
      <c r="G169" s="42"/>
      <c r="H169" s="78">
        <f t="shared" si="11"/>
        <v>0</v>
      </c>
    </row>
    <row r="170" spans="1:8">
      <c r="A170" s="42"/>
      <c r="B170" s="42"/>
      <c r="C170" s="42"/>
      <c r="D170" s="43"/>
      <c r="E170" s="42"/>
      <c r="F170" s="42"/>
      <c r="G170" s="42"/>
      <c r="H170" s="78">
        <f t="shared" si="11"/>
        <v>0</v>
      </c>
    </row>
    <row r="171" spans="1:8">
      <c r="A171" s="42"/>
      <c r="B171" s="42"/>
      <c r="C171" s="42"/>
      <c r="D171" s="78"/>
      <c r="E171" s="42"/>
      <c r="F171" s="42"/>
      <c r="G171" s="42"/>
      <c r="H171" s="78">
        <f t="shared" si="11"/>
        <v>0</v>
      </c>
    </row>
    <row r="172" spans="1:8">
      <c r="A172" s="42"/>
      <c r="B172" s="42"/>
      <c r="C172" s="42"/>
      <c r="D172" s="43"/>
      <c r="E172" s="42"/>
      <c r="F172" s="42"/>
      <c r="G172" s="42"/>
      <c r="H172" s="78">
        <f t="shared" si="11"/>
        <v>0</v>
      </c>
    </row>
    <row r="173" spans="1:8">
      <c r="A173" s="42"/>
      <c r="B173" s="42"/>
      <c r="C173" s="42"/>
      <c r="D173" s="78"/>
      <c r="E173" s="42"/>
      <c r="F173" s="42"/>
      <c r="G173" s="42"/>
      <c r="H173" s="78">
        <f t="shared" si="11"/>
        <v>0</v>
      </c>
    </row>
    <row r="174" spans="1:8">
      <c r="A174" s="42"/>
      <c r="B174" s="42"/>
      <c r="C174" s="42"/>
      <c r="D174" s="43"/>
      <c r="E174" s="42"/>
      <c r="F174" s="42"/>
      <c r="G174" s="42"/>
      <c r="H174" s="78">
        <f t="shared" si="11"/>
        <v>0</v>
      </c>
    </row>
    <row r="175" spans="1:8">
      <c r="A175" s="42"/>
      <c r="B175" s="42"/>
      <c r="C175" s="42"/>
      <c r="D175" s="43"/>
      <c r="E175" s="42"/>
      <c r="F175" s="42"/>
      <c r="G175" s="42"/>
      <c r="H175" s="78">
        <f t="shared" si="11"/>
        <v>0</v>
      </c>
    </row>
    <row r="176" spans="1:8">
      <c r="A176" s="42"/>
      <c r="B176" s="42"/>
      <c r="C176" s="42"/>
      <c r="D176" s="78"/>
      <c r="E176" s="42"/>
      <c r="F176" s="42"/>
      <c r="G176" s="42"/>
      <c r="H176" s="78">
        <f t="shared" si="11"/>
        <v>0</v>
      </c>
    </row>
    <row r="177" spans="1:9">
      <c r="A177" s="42"/>
      <c r="B177" s="42"/>
      <c r="C177" s="42"/>
      <c r="D177" s="78"/>
      <c r="E177" s="42"/>
      <c r="F177" s="42"/>
      <c r="G177" s="42"/>
      <c r="H177" s="78">
        <f t="shared" si="11"/>
        <v>0</v>
      </c>
    </row>
    <row r="178" spans="1:9">
      <c r="A178" s="42"/>
      <c r="B178" s="42"/>
      <c r="C178" s="42"/>
      <c r="D178" s="43"/>
      <c r="E178" s="42"/>
      <c r="F178" s="42"/>
      <c r="G178" s="42"/>
      <c r="H178" s="43">
        <f t="shared" si="11"/>
        <v>0</v>
      </c>
    </row>
    <row r="179" spans="1:9">
      <c r="A179" s="42"/>
      <c r="B179" s="42"/>
      <c r="C179" s="42"/>
      <c r="D179" s="78"/>
      <c r="E179" s="42"/>
      <c r="F179" s="42"/>
      <c r="G179" s="42"/>
      <c r="H179" s="78">
        <f t="shared" si="11"/>
        <v>0</v>
      </c>
    </row>
    <row r="180" spans="1:9">
      <c r="A180" s="42"/>
      <c r="B180" s="42"/>
      <c r="C180" s="42"/>
      <c r="D180" s="78"/>
      <c r="E180" s="42"/>
      <c r="F180" s="42"/>
      <c r="G180" s="42"/>
      <c r="H180" s="78">
        <f t="shared" si="11"/>
        <v>0</v>
      </c>
    </row>
    <row r="181" spans="1:9">
      <c r="A181" s="65"/>
      <c r="B181" s="65"/>
      <c r="C181" s="65"/>
      <c r="D181" s="453"/>
      <c r="E181" s="65"/>
      <c r="F181" s="65"/>
      <c r="G181" s="65"/>
      <c r="H181" s="453">
        <f>D181*(E181+F181+G181)</f>
        <v>0</v>
      </c>
      <c r="I181" s="77"/>
    </row>
    <row r="182" spans="1:9">
      <c r="A182" s="65"/>
      <c r="B182" s="65"/>
      <c r="C182" s="65"/>
      <c r="D182" s="453"/>
      <c r="E182" s="65"/>
      <c r="F182" s="65"/>
      <c r="G182" s="65"/>
      <c r="H182" s="453">
        <f>D182*(E182+F182+G182)</f>
        <v>0</v>
      </c>
      <c r="I182" s="77"/>
    </row>
    <row r="183" spans="1:9">
      <c r="A183" s="65"/>
      <c r="B183" s="65"/>
      <c r="C183" s="65"/>
      <c r="D183" s="453"/>
      <c r="E183" s="65"/>
      <c r="F183" s="65"/>
      <c r="G183" s="65"/>
      <c r="H183" s="453">
        <f>D183*(E183+F183+G183)</f>
        <v>0</v>
      </c>
      <c r="I183" s="77"/>
    </row>
    <row r="184" spans="1:9">
      <c r="A184" s="65"/>
      <c r="B184" s="65"/>
      <c r="C184" s="65"/>
      <c r="D184" s="453"/>
      <c r="E184" s="65"/>
      <c r="F184" s="65"/>
      <c r="G184" s="65"/>
      <c r="H184" s="453">
        <f>D184*(E184+F184+G184)</f>
        <v>0</v>
      </c>
      <c r="I184" s="77"/>
    </row>
    <row r="185" spans="1:9">
      <c r="A185" s="65"/>
      <c r="B185" s="65"/>
      <c r="C185" s="65"/>
      <c r="D185" s="453"/>
      <c r="E185" s="65"/>
      <c r="F185" s="65"/>
      <c r="G185" s="65"/>
      <c r="H185" s="453">
        <f>D185*(E185+F185+G185)</f>
        <v>0</v>
      </c>
      <c r="I185" s="77"/>
    </row>
    <row r="186" spans="1:9">
      <c r="A186" s="65"/>
      <c r="B186" s="65"/>
      <c r="C186" s="65"/>
      <c r="D186" s="453"/>
      <c r="E186" s="65"/>
      <c r="F186" s="65"/>
      <c r="G186" s="65"/>
      <c r="H186" s="453">
        <f>D186*(E186+F186+G186)</f>
        <v>0</v>
      </c>
      <c r="I186" s="77"/>
    </row>
    <row r="187" spans="1:9">
      <c r="A187" s="65"/>
      <c r="B187" s="65"/>
      <c r="C187" s="65"/>
      <c r="D187" s="453"/>
      <c r="E187" s="65"/>
      <c r="F187" s="65"/>
      <c r="G187" s="65"/>
      <c r="H187" s="453">
        <f>D187*(E187+F187+G187)</f>
        <v>0</v>
      </c>
      <c r="I187" s="77"/>
    </row>
    <row r="188" spans="1:9">
      <c r="A188" s="65"/>
      <c r="B188" s="65"/>
      <c r="C188" s="65"/>
      <c r="D188" s="453"/>
      <c r="E188" s="65"/>
      <c r="F188" s="65"/>
      <c r="G188" s="65"/>
      <c r="H188" s="453">
        <f>D188*(E188+F188+G188)</f>
        <v>0</v>
      </c>
      <c r="I188" s="77"/>
    </row>
    <row r="189" spans="1:9">
      <c r="A189" s="65"/>
      <c r="B189" s="65"/>
      <c r="C189" s="65"/>
      <c r="D189" s="453"/>
      <c r="E189" s="65"/>
      <c r="F189" s="65"/>
      <c r="G189" s="65"/>
      <c r="H189" s="453">
        <f>D189*(E189+F189+G189)</f>
        <v>0</v>
      </c>
      <c r="I189" s="77"/>
    </row>
    <row r="190" spans="1:9">
      <c r="A190" s="65"/>
      <c r="B190" s="65"/>
      <c r="C190" s="65"/>
      <c r="D190" s="453"/>
      <c r="E190" s="65"/>
      <c r="F190" s="65"/>
      <c r="G190" s="65"/>
      <c r="H190" s="453">
        <f>D190*(E190+F190+G190)</f>
        <v>0</v>
      </c>
      <c r="I190" s="77"/>
    </row>
    <row r="191" spans="1:9">
      <c r="A191" s="65"/>
      <c r="B191" s="65"/>
      <c r="C191" s="65"/>
      <c r="D191" s="453"/>
      <c r="E191" s="65"/>
      <c r="F191" s="65"/>
      <c r="G191" s="65"/>
      <c r="H191" s="453">
        <f>D191*(E191+F191+G191)</f>
        <v>0</v>
      </c>
      <c r="I191" s="77"/>
    </row>
    <row r="192" spans="1:9">
      <c r="A192" s="65"/>
      <c r="B192" s="65"/>
      <c r="C192" s="65"/>
      <c r="D192" s="453"/>
      <c r="E192" s="65"/>
      <c r="F192" s="65"/>
      <c r="G192" s="65"/>
      <c r="H192" s="453">
        <f>D192*(E192+F192+G192)</f>
        <v>0</v>
      </c>
      <c r="I192" s="77"/>
    </row>
    <row r="193" spans="1:9">
      <c r="A193" s="65"/>
      <c r="B193" s="65"/>
      <c r="C193" s="65"/>
      <c r="D193" s="453"/>
      <c r="E193" s="65"/>
      <c r="F193" s="65"/>
      <c r="G193" s="65"/>
      <c r="H193" s="453">
        <f>D193*(E193+F193+G193)</f>
        <v>0</v>
      </c>
      <c r="I193" s="77"/>
    </row>
    <row r="194" spans="1:9">
      <c r="A194" s="65"/>
      <c r="B194" s="65"/>
      <c r="C194" s="65"/>
      <c r="D194" s="453"/>
      <c r="E194" s="65"/>
      <c r="F194" s="65"/>
      <c r="G194" s="65"/>
      <c r="H194" s="453">
        <f>D194*(E194+F194+G194)</f>
        <v>0</v>
      </c>
      <c r="I194" s="77"/>
    </row>
    <row r="195" spans="1:9">
      <c r="A195" s="65"/>
      <c r="B195" s="65"/>
      <c r="C195" s="65"/>
      <c r="D195" s="453"/>
      <c r="E195" s="65"/>
      <c r="F195" s="65"/>
      <c r="G195" s="65"/>
      <c r="H195" s="453">
        <f>D195*(E195+F195+G195)</f>
        <v>0</v>
      </c>
      <c r="I195" s="77"/>
    </row>
    <row r="196" spans="1:9">
      <c r="A196" s="65"/>
      <c r="B196" s="65"/>
      <c r="C196" s="65"/>
      <c r="D196" s="453"/>
      <c r="E196" s="65"/>
      <c r="F196" s="65"/>
      <c r="G196" s="65"/>
      <c r="H196" s="453">
        <f>D196*(E196+F196+G196)</f>
        <v>0</v>
      </c>
      <c r="I196" s="77"/>
    </row>
    <row r="197" spans="1:9">
      <c r="A197" s="65"/>
      <c r="B197" s="65"/>
      <c r="C197" s="65"/>
      <c r="D197" s="453"/>
      <c r="E197" s="65"/>
      <c r="F197" s="65"/>
      <c r="G197" s="65"/>
      <c r="H197" s="453">
        <f>D197*(E197+F197+G197)</f>
        <v>0</v>
      </c>
      <c r="I197" s="77"/>
    </row>
    <row r="198" spans="1:9">
      <c r="A198" s="65"/>
      <c r="B198" s="65"/>
      <c r="C198" s="65"/>
      <c r="D198" s="453"/>
      <c r="E198" s="65"/>
      <c r="F198" s="65"/>
      <c r="G198" s="65"/>
      <c r="H198" s="453">
        <f>D198*(E198+F198+G198)</f>
        <v>0</v>
      </c>
      <c r="I198" s="77"/>
    </row>
    <row r="199" spans="1:9">
      <c r="A199" s="65"/>
      <c r="B199" s="65"/>
      <c r="C199" s="65"/>
      <c r="D199" s="453"/>
      <c r="E199" s="65"/>
      <c r="F199" s="65"/>
      <c r="G199" s="65"/>
      <c r="H199" s="453">
        <f>D199*(E199+F199+G199)</f>
        <v>0</v>
      </c>
      <c r="I199" s="77"/>
    </row>
    <row r="200" spans="1:9">
      <c r="A200" s="65"/>
      <c r="B200" s="65"/>
      <c r="C200" s="65"/>
      <c r="D200" s="453"/>
      <c r="E200" s="65"/>
      <c r="F200" s="65"/>
      <c r="G200" s="65"/>
      <c r="H200" s="453">
        <f>D200*(E200+F200+G200)</f>
        <v>0</v>
      </c>
      <c r="I200" s="77"/>
    </row>
    <row r="201" spans="1:9">
      <c r="A201" s="65"/>
      <c r="B201" s="65"/>
      <c r="C201" s="65"/>
      <c r="D201" s="453"/>
      <c r="E201" s="65"/>
      <c r="F201" s="65"/>
      <c r="G201" s="65"/>
      <c r="H201" s="453">
        <f>D201*(E201+F201+G201)</f>
        <v>0</v>
      </c>
      <c r="I201" s="77"/>
    </row>
    <row r="202" spans="1:9">
      <c r="A202" s="65"/>
      <c r="B202" s="65"/>
      <c r="C202" s="65"/>
      <c r="D202" s="453"/>
      <c r="E202" s="65"/>
      <c r="F202" s="65"/>
      <c r="G202" s="65"/>
      <c r="H202" s="453">
        <f>D202*(E202+F202+G202)</f>
        <v>0</v>
      </c>
      <c r="I202" s="77"/>
    </row>
    <row r="203" spans="1:9">
      <c r="A203" s="65"/>
      <c r="B203" s="65"/>
      <c r="C203" s="65"/>
      <c r="D203" s="453"/>
      <c r="E203" s="65"/>
      <c r="F203" s="65"/>
      <c r="G203" s="65"/>
      <c r="H203" s="453">
        <f>D203*(E203+F203+G203)</f>
        <v>0</v>
      </c>
      <c r="I203" s="77"/>
    </row>
    <row r="204" spans="1:9">
      <c r="A204" s="65"/>
      <c r="B204" s="65"/>
      <c r="C204" s="65"/>
      <c r="D204" s="453"/>
      <c r="E204" s="65"/>
      <c r="F204" s="65"/>
      <c r="G204" s="65"/>
      <c r="H204" s="453">
        <f>D204*(E204+F204+G204)</f>
        <v>0</v>
      </c>
      <c r="I204" s="77"/>
    </row>
    <row r="205" spans="1:9">
      <c r="A205" s="65"/>
      <c r="B205" s="65"/>
      <c r="C205" s="65"/>
      <c r="D205" s="453"/>
      <c r="E205" s="65"/>
      <c r="F205" s="65"/>
      <c r="G205" s="65"/>
      <c r="H205" s="453">
        <f>D205*(E205+F205+G205)</f>
        <v>0</v>
      </c>
      <c r="I205" s="77"/>
    </row>
    <row r="206" spans="1:9">
      <c r="A206" s="65"/>
      <c r="B206" s="65"/>
      <c r="C206" s="65"/>
      <c r="D206" s="453"/>
      <c r="E206" s="65"/>
      <c r="F206" s="65"/>
      <c r="G206" s="65"/>
      <c r="H206" s="453">
        <f>D206*(E206+F206+G206)</f>
        <v>0</v>
      </c>
      <c r="I206" s="77"/>
    </row>
    <row r="207" spans="1:9">
      <c r="A207" s="65"/>
      <c r="B207" s="65"/>
      <c r="C207" s="65"/>
      <c r="D207" s="453"/>
      <c r="E207" s="65"/>
      <c r="F207" s="65"/>
      <c r="G207" s="65"/>
      <c r="H207" s="453">
        <f>D207*(E207+F207+G207)</f>
        <v>0</v>
      </c>
      <c r="I207" s="77"/>
    </row>
    <row r="208" spans="1:9">
      <c r="A208" s="65"/>
      <c r="B208" s="65"/>
      <c r="C208" s="65"/>
      <c r="D208" s="453"/>
      <c r="E208" s="65"/>
      <c r="F208" s="65"/>
      <c r="G208" s="65"/>
      <c r="H208" s="453">
        <f>D208*(E208+F208+G208)</f>
        <v>0</v>
      </c>
      <c r="I208" s="77"/>
    </row>
    <row r="209" spans="1:9">
      <c r="A209" s="65"/>
      <c r="B209" s="65"/>
      <c r="C209" s="65"/>
      <c r="D209" s="453"/>
      <c r="E209" s="65"/>
      <c r="F209" s="65"/>
      <c r="G209" s="65"/>
      <c r="H209" s="453">
        <f>D209*(E209+F209+G209)</f>
        <v>0</v>
      </c>
      <c r="I209" s="77"/>
    </row>
    <row r="210" spans="1:9">
      <c r="A210" s="65"/>
      <c r="B210" s="65"/>
      <c r="C210" s="65"/>
      <c r="D210" s="453"/>
      <c r="E210" s="65"/>
      <c r="F210" s="65"/>
      <c r="G210" s="65"/>
      <c r="H210" s="453">
        <f>D210*(E210+F210+G210)</f>
        <v>0</v>
      </c>
      <c r="I210" s="77"/>
    </row>
    <row r="211" spans="1:9">
      <c r="A211" s="65"/>
      <c r="B211" s="65"/>
      <c r="C211" s="65"/>
      <c r="D211" s="453"/>
      <c r="E211" s="65"/>
      <c r="F211" s="65"/>
      <c r="G211" s="65"/>
      <c r="H211" s="453">
        <f>D211*(E211+F211+G211)</f>
        <v>0</v>
      </c>
      <c r="I211" s="77"/>
    </row>
    <row r="212" spans="1:9">
      <c r="A212" s="65"/>
      <c r="B212" s="65"/>
      <c r="C212" s="65"/>
      <c r="D212" s="453"/>
      <c r="E212" s="65"/>
      <c r="F212" s="65"/>
      <c r="G212" s="65"/>
      <c r="H212" s="453">
        <f>D212*(E212+F212+G212)</f>
        <v>0</v>
      </c>
      <c r="I212" s="77"/>
    </row>
    <row r="213" spans="1:9">
      <c r="A213" s="65"/>
      <c r="B213" s="65"/>
      <c r="C213" s="65"/>
      <c r="D213" s="453"/>
      <c r="E213" s="65"/>
      <c r="F213" s="65"/>
      <c r="G213" s="65"/>
      <c r="H213" s="453">
        <f>D213*(E213+F213+G213)</f>
        <v>0</v>
      </c>
      <c r="I213" s="77"/>
    </row>
    <row r="214" spans="1:9">
      <c r="A214" s="65"/>
      <c r="B214" s="65"/>
      <c r="C214" s="65"/>
      <c r="D214" s="453"/>
      <c r="E214" s="65"/>
      <c r="F214" s="65"/>
      <c r="G214" s="65"/>
      <c r="H214" s="453">
        <f>D214*(E214+F214+G214)</f>
        <v>0</v>
      </c>
      <c r="I214" s="77"/>
    </row>
    <row r="215" spans="1:9">
      <c r="A215" s="65"/>
      <c r="B215" s="65"/>
      <c r="C215" s="65"/>
      <c r="D215" s="453"/>
      <c r="E215" s="65"/>
      <c r="F215" s="65"/>
      <c r="G215" s="65"/>
      <c r="H215" s="453">
        <f>D215*(E215+F215+G215)</f>
        <v>0</v>
      </c>
      <c r="I215" s="77"/>
    </row>
    <row r="216" spans="1:9">
      <c r="A216" s="65"/>
      <c r="B216" s="65"/>
      <c r="C216" s="65"/>
      <c r="D216" s="453"/>
      <c r="E216" s="65"/>
      <c r="F216" s="65"/>
      <c r="G216" s="65"/>
      <c r="H216" s="453">
        <f>D216*(E216+F216+G216)</f>
        <v>0</v>
      </c>
      <c r="I216" s="77"/>
    </row>
    <row r="217" spans="1:9">
      <c r="A217" s="65"/>
      <c r="B217" s="65"/>
      <c r="C217" s="65"/>
      <c r="D217" s="453"/>
      <c r="E217" s="65"/>
      <c r="F217" s="65"/>
      <c r="G217" s="65"/>
      <c r="H217" s="453">
        <f>D217*(E217+F217+G217)</f>
        <v>0</v>
      </c>
      <c r="I217" s="77"/>
    </row>
    <row r="218" spans="1:9">
      <c r="A218" s="65"/>
      <c r="B218" s="65"/>
      <c r="C218" s="65"/>
      <c r="D218" s="453"/>
      <c r="E218" s="65"/>
      <c r="F218" s="65"/>
      <c r="G218" s="65"/>
      <c r="H218" s="453">
        <f>D218*(E218+F218+G218)</f>
        <v>0</v>
      </c>
      <c r="I218" s="77"/>
    </row>
    <row r="219" spans="1:9">
      <c r="A219" s="65"/>
      <c r="B219" s="65"/>
      <c r="C219" s="65"/>
      <c r="D219" s="453"/>
      <c r="E219" s="65"/>
      <c r="F219" s="65"/>
      <c r="G219" s="65"/>
      <c r="H219" s="453">
        <f>D219*(E219+F219+G219)</f>
        <v>0</v>
      </c>
      <c r="I219" s="77"/>
    </row>
    <row r="220" spans="1:9">
      <c r="A220" s="65"/>
      <c r="B220" s="65"/>
      <c r="C220" s="65"/>
      <c r="D220" s="453"/>
      <c r="E220" s="65"/>
      <c r="F220" s="65"/>
      <c r="G220" s="65"/>
      <c r="H220" s="453">
        <f>D220*(E220+F220+G220)</f>
        <v>0</v>
      </c>
      <c r="I220" s="77"/>
    </row>
    <row r="221" spans="1:9">
      <c r="A221" s="65"/>
      <c r="B221" s="65"/>
      <c r="C221" s="65"/>
      <c r="D221" s="453"/>
      <c r="E221" s="65"/>
      <c r="F221" s="65"/>
      <c r="G221" s="65"/>
      <c r="H221" s="453">
        <f>D221*(E221+F221+G221)</f>
        <v>0</v>
      </c>
      <c r="I221" s="77"/>
    </row>
    <row r="222" spans="1:9">
      <c r="A222" s="65"/>
      <c r="B222" s="65"/>
      <c r="C222" s="65"/>
      <c r="D222" s="453"/>
      <c r="E222" s="65"/>
      <c r="F222" s="65"/>
      <c r="G222" s="65"/>
      <c r="H222" s="453">
        <f>D222*(E222+F222+G222)</f>
        <v>0</v>
      </c>
      <c r="I222" s="77"/>
    </row>
    <row r="223" spans="1:9">
      <c r="A223" s="65"/>
      <c r="B223" s="65"/>
      <c r="C223" s="65"/>
      <c r="D223" s="453"/>
      <c r="E223" s="65"/>
      <c r="F223" s="65"/>
      <c r="G223" s="65"/>
      <c r="H223" s="453">
        <f>D223*(E223+F223+G223)</f>
        <v>0</v>
      </c>
      <c r="I223" s="77"/>
    </row>
    <row r="224" spans="1:9">
      <c r="A224" s="65"/>
      <c r="B224" s="65"/>
      <c r="C224" s="65"/>
      <c r="D224" s="453"/>
      <c r="E224" s="65"/>
      <c r="F224" s="65"/>
      <c r="G224" s="65"/>
      <c r="H224" s="453">
        <f>D224*(E224+F224+G224)</f>
        <v>0</v>
      </c>
      <c r="I224" s="77"/>
    </row>
    <row r="225" spans="1:9">
      <c r="A225" s="65"/>
      <c r="B225" s="65"/>
      <c r="C225" s="65"/>
      <c r="D225" s="453"/>
      <c r="E225" s="65"/>
      <c r="F225" s="65"/>
      <c r="G225" s="65"/>
      <c r="H225" s="453">
        <f>D225*(E225+F225+G225)</f>
        <v>0</v>
      </c>
      <c r="I225" s="77"/>
    </row>
    <row r="226" spans="1:9">
      <c r="A226" s="65"/>
      <c r="B226" s="65"/>
      <c r="C226" s="65"/>
      <c r="D226" s="453"/>
      <c r="E226" s="65"/>
      <c r="F226" s="65"/>
      <c r="G226" s="65"/>
      <c r="H226" s="453">
        <f>D226*(E226+F226+G226)</f>
        <v>0</v>
      </c>
      <c r="I226" s="77"/>
    </row>
    <row r="227" spans="1:9">
      <c r="A227" s="65"/>
      <c r="B227" s="65"/>
      <c r="C227" s="65"/>
      <c r="D227" s="453"/>
      <c r="E227" s="65"/>
      <c r="F227" s="65"/>
      <c r="G227" s="65"/>
      <c r="H227" s="453">
        <f>D227*(E227+F227+G227)</f>
        <v>0</v>
      </c>
      <c r="I227" s="77"/>
    </row>
    <row r="228" spans="1:9">
      <c r="A228" s="65"/>
      <c r="B228" s="65"/>
      <c r="C228" s="65"/>
      <c r="D228" s="453"/>
      <c r="E228" s="65"/>
      <c r="F228" s="65"/>
      <c r="G228" s="65"/>
      <c r="H228" s="453">
        <f>D228*(E228+F228+G228)</f>
        <v>0</v>
      </c>
      <c r="I228" s="77"/>
    </row>
    <row r="229" spans="1:9">
      <c r="A229" s="65"/>
      <c r="B229" s="65"/>
      <c r="C229" s="65"/>
      <c r="D229" s="453"/>
      <c r="E229" s="65"/>
      <c r="F229" s="65"/>
      <c r="G229" s="65"/>
      <c r="H229" s="453">
        <f>D229*(E229+F229+G229)</f>
        <v>0</v>
      </c>
      <c r="I229" s="77"/>
    </row>
    <row r="230" spans="1:9">
      <c r="A230" s="65"/>
      <c r="B230" s="65"/>
      <c r="C230" s="65"/>
      <c r="D230" s="453"/>
      <c r="E230" s="65"/>
      <c r="F230" s="65"/>
      <c r="G230" s="65"/>
      <c r="H230" s="453">
        <f>D230*(E230+F230+G230)</f>
        <v>0</v>
      </c>
      <c r="I230" s="77"/>
    </row>
    <row r="231" spans="1:9">
      <c r="A231" s="65"/>
      <c r="B231" s="65"/>
      <c r="C231" s="65"/>
      <c r="D231" s="453"/>
      <c r="E231" s="65"/>
      <c r="F231" s="65"/>
      <c r="G231" s="65"/>
      <c r="H231" s="453">
        <f>D231*(E231+F231+G231)</f>
        <v>0</v>
      </c>
      <c r="I231" s="77"/>
    </row>
    <row r="232" spans="1:9">
      <c r="A232" s="65"/>
      <c r="B232" s="65"/>
      <c r="C232" s="65"/>
      <c r="D232" s="453"/>
      <c r="E232" s="65"/>
      <c r="F232" s="65"/>
      <c r="G232" s="65"/>
      <c r="H232" s="453">
        <f>D232*(E232+F232+G232)</f>
        <v>0</v>
      </c>
      <c r="I232" s="77"/>
    </row>
    <row r="233" spans="1:9">
      <c r="A233" s="65"/>
      <c r="B233" s="65"/>
      <c r="C233" s="65"/>
      <c r="D233" s="453"/>
      <c r="E233" s="65"/>
      <c r="F233" s="65"/>
      <c r="G233" s="65"/>
      <c r="H233" s="453">
        <f>D233*(E233+F233+G233)</f>
        <v>0</v>
      </c>
      <c r="I233" s="77"/>
    </row>
    <row r="234" spans="1:9">
      <c r="A234" s="65"/>
      <c r="B234" s="65"/>
      <c r="C234" s="65"/>
      <c r="D234" s="453"/>
      <c r="E234" s="65"/>
      <c r="F234" s="65"/>
      <c r="G234" s="65"/>
      <c r="H234" s="453">
        <f>D234*(E234+F234+G234)</f>
        <v>0</v>
      </c>
      <c r="I234" s="77"/>
    </row>
    <row r="235" spans="1:9">
      <c r="A235" s="65"/>
      <c r="B235" s="65"/>
      <c r="C235" s="65"/>
      <c r="D235" s="453"/>
      <c r="E235" s="65"/>
      <c r="F235" s="65"/>
      <c r="G235" s="65"/>
      <c r="H235" s="453">
        <f>D235*(E235+F235+G235)</f>
        <v>0</v>
      </c>
      <c r="I235" s="77"/>
    </row>
    <row r="236" spans="1:9">
      <c r="A236" s="65"/>
      <c r="B236" s="65"/>
      <c r="C236" s="65"/>
      <c r="D236" s="453"/>
      <c r="E236" s="65"/>
      <c r="F236" s="65"/>
      <c r="G236" s="65"/>
      <c r="H236" s="453">
        <f>D236*(E236+F236+G236)</f>
        <v>0</v>
      </c>
      <c r="I236" s="77"/>
    </row>
    <row r="237" spans="1:9">
      <c r="A237" s="65"/>
      <c r="B237" s="65"/>
      <c r="C237" s="65"/>
      <c r="D237" s="453"/>
      <c r="E237" s="65"/>
      <c r="F237" s="65"/>
      <c r="G237" s="65"/>
      <c r="H237" s="453">
        <f>D237*(E237+F237+G237)</f>
        <v>0</v>
      </c>
      <c r="I237" s="77"/>
    </row>
    <row r="238" spans="1:9">
      <c r="A238" s="65"/>
      <c r="B238" s="65"/>
      <c r="C238" s="65"/>
      <c r="D238" s="453"/>
      <c r="E238" s="65"/>
      <c r="F238" s="65"/>
      <c r="G238" s="65"/>
      <c r="H238" s="453">
        <f>D238*(E238+F238+G238)</f>
        <v>0</v>
      </c>
      <c r="I238" s="77"/>
    </row>
    <row r="239" spans="1:9">
      <c r="A239" s="65"/>
      <c r="B239" s="65"/>
      <c r="C239" s="65"/>
      <c r="D239" s="453"/>
      <c r="E239" s="65"/>
      <c r="F239" s="65"/>
      <c r="G239" s="65"/>
      <c r="H239" s="453">
        <f>D239*(E239+F239+G239)</f>
        <v>0</v>
      </c>
      <c r="I239" s="77"/>
    </row>
    <row r="240" spans="1:9">
      <c r="A240" s="65"/>
      <c r="B240" s="65"/>
      <c r="C240" s="65"/>
      <c r="D240" s="453"/>
      <c r="E240" s="65"/>
      <c r="F240" s="65"/>
      <c r="G240" s="65"/>
      <c r="H240" s="453">
        <f>D240*(E240+F240+G240)</f>
        <v>0</v>
      </c>
      <c r="I240" s="77"/>
    </row>
    <row r="241" spans="1:9">
      <c r="A241" s="65"/>
      <c r="B241" s="65"/>
      <c r="C241" s="65"/>
      <c r="D241" s="453"/>
      <c r="E241" s="65"/>
      <c r="F241" s="65"/>
      <c r="G241" s="65"/>
      <c r="H241" s="453">
        <f>D241*(E241+F241+G241)</f>
        <v>0</v>
      </c>
      <c r="I241" s="77"/>
    </row>
    <row r="242" spans="1:9">
      <c r="A242" s="65"/>
      <c r="B242" s="65"/>
      <c r="C242" s="65"/>
      <c r="D242" s="453"/>
      <c r="E242" s="65"/>
      <c r="F242" s="65"/>
      <c r="G242" s="65"/>
      <c r="H242" s="453">
        <f>D242*(E242+F242+G242)</f>
        <v>0</v>
      </c>
      <c r="I242" s="77"/>
    </row>
    <row r="243" spans="1:9">
      <c r="A243" s="65"/>
      <c r="B243" s="65"/>
      <c r="C243" s="65"/>
      <c r="D243" s="453"/>
      <c r="E243" s="65"/>
      <c r="F243" s="65"/>
      <c r="G243" s="65"/>
      <c r="H243" s="453">
        <f>D243*(E243+F243+G243)</f>
        <v>0</v>
      </c>
      <c r="I243" s="77"/>
    </row>
    <row r="244" spans="1:9">
      <c r="A244" s="65"/>
      <c r="B244" s="65"/>
      <c r="C244" s="65"/>
      <c r="D244" s="453"/>
      <c r="E244" s="65"/>
      <c r="F244" s="65"/>
      <c r="G244" s="65"/>
      <c r="H244" s="453">
        <f>D244*(E244+F244+G244)</f>
        <v>0</v>
      </c>
      <c r="I244" s="77"/>
    </row>
    <row r="245" spans="1:9">
      <c r="A245" s="65"/>
      <c r="B245" s="65"/>
      <c r="C245" s="65"/>
      <c r="D245" s="453"/>
      <c r="E245" s="65"/>
      <c r="F245" s="65"/>
      <c r="G245" s="65"/>
      <c r="H245" s="453">
        <f>D245*(E245+F245+G245)</f>
        <v>0</v>
      </c>
      <c r="I245" s="77"/>
    </row>
    <row r="246" spans="1:9">
      <c r="A246" s="65"/>
      <c r="B246" s="65"/>
      <c r="C246" s="65"/>
      <c r="D246" s="453"/>
      <c r="E246" s="65"/>
      <c r="F246" s="65"/>
      <c r="G246" s="65"/>
      <c r="H246" s="453">
        <f>D246*(E246+F246+G246)</f>
        <v>0</v>
      </c>
      <c r="I246" s="77"/>
    </row>
    <row r="247" spans="1:9">
      <c r="A247" s="65"/>
      <c r="B247" s="65"/>
      <c r="C247" s="65"/>
      <c r="D247" s="453"/>
      <c r="E247" s="65"/>
      <c r="F247" s="65"/>
      <c r="G247" s="65"/>
      <c r="H247" s="453">
        <f>D247*(E247+F247+G247)</f>
        <v>0</v>
      </c>
      <c r="I247" s="77"/>
    </row>
    <row r="248" spans="1:9">
      <c r="A248" s="65"/>
      <c r="B248" s="65"/>
      <c r="C248" s="65"/>
      <c r="D248" s="453"/>
      <c r="E248" s="65"/>
      <c r="F248" s="65"/>
      <c r="G248" s="65"/>
      <c r="H248" s="453">
        <f>D248*(E248+F248+G248)</f>
        <v>0</v>
      </c>
      <c r="I248" s="77"/>
    </row>
    <row r="249" spans="1:9">
      <c r="A249" s="65"/>
      <c r="B249" s="65"/>
      <c r="C249" s="65"/>
      <c r="D249" s="453"/>
      <c r="E249" s="65"/>
      <c r="F249" s="65"/>
      <c r="G249" s="65"/>
      <c r="H249" s="453">
        <f>D249*(E249+F249+G249)</f>
        <v>0</v>
      </c>
      <c r="I249" s="77"/>
    </row>
    <row r="250" spans="1:9">
      <c r="A250" s="65"/>
      <c r="B250" s="65"/>
      <c r="C250" s="65"/>
      <c r="D250" s="453"/>
      <c r="E250" s="65"/>
      <c r="F250" s="65"/>
      <c r="G250" s="65"/>
      <c r="H250" s="453">
        <f>D250*(E250+F250+G250)</f>
        <v>0</v>
      </c>
      <c r="I250" s="77"/>
    </row>
    <row r="251" spans="1:9">
      <c r="A251" s="65"/>
      <c r="B251" s="65"/>
      <c r="C251" s="65"/>
      <c r="D251" s="453"/>
      <c r="E251" s="65"/>
      <c r="F251" s="65"/>
      <c r="G251" s="65"/>
      <c r="H251" s="453">
        <f>D251*(E251+F251+G251)</f>
        <v>0</v>
      </c>
      <c r="I251" s="77"/>
    </row>
    <row r="252" spans="1:9">
      <c r="A252" s="65"/>
      <c r="B252" s="65"/>
      <c r="C252" s="65"/>
      <c r="D252" s="453"/>
      <c r="E252" s="65"/>
      <c r="F252" s="65"/>
      <c r="G252" s="65"/>
      <c r="H252" s="453">
        <f>D252*(E252+F252+G252)</f>
        <v>0</v>
      </c>
      <c r="I252" s="77"/>
    </row>
    <row r="253" spans="1:9">
      <c r="A253" s="65"/>
      <c r="B253" s="65"/>
      <c r="C253" s="65"/>
      <c r="D253" s="453"/>
      <c r="E253" s="65"/>
      <c r="F253" s="65"/>
      <c r="G253" s="65"/>
      <c r="H253" s="453">
        <f>D253*(E253+F253+G253)</f>
        <v>0</v>
      </c>
      <c r="I253" s="77"/>
    </row>
    <row r="254" spans="1:9">
      <c r="A254" s="65"/>
      <c r="B254" s="65"/>
      <c r="C254" s="65"/>
      <c r="D254" s="453"/>
      <c r="E254" s="65"/>
      <c r="F254" s="65"/>
      <c r="G254" s="65"/>
      <c r="H254" s="453">
        <f>D254*(E254+F254+G254)</f>
        <v>0</v>
      </c>
      <c r="I254" s="77"/>
    </row>
    <row r="255" spans="1:9">
      <c r="A255" s="65"/>
      <c r="B255" s="65"/>
      <c r="C255" s="65"/>
      <c r="D255" s="453"/>
      <c r="E255" s="65"/>
      <c r="F255" s="65"/>
      <c r="G255" s="65"/>
      <c r="H255" s="453">
        <f>D255*(E255+F255+G255)</f>
        <v>0</v>
      </c>
      <c r="I255" s="77"/>
    </row>
    <row r="256" spans="1:9">
      <c r="A256" s="65"/>
      <c r="B256" s="65"/>
      <c r="C256" s="65"/>
      <c r="D256" s="453"/>
      <c r="E256" s="65"/>
      <c r="F256" s="65"/>
      <c r="G256" s="65"/>
      <c r="H256" s="453">
        <f>D256*(E256+F256+G256)</f>
        <v>0</v>
      </c>
      <c r="I256" s="77"/>
    </row>
    <row r="257" spans="1:9">
      <c r="A257" s="65"/>
      <c r="B257" s="65"/>
      <c r="C257" s="65"/>
      <c r="D257" s="453"/>
      <c r="E257" s="65"/>
      <c r="F257" s="65"/>
      <c r="G257" s="65"/>
      <c r="H257" s="453">
        <f>D257*(E257+F257+G257)</f>
        <v>0</v>
      </c>
      <c r="I257" s="77"/>
    </row>
    <row r="258" spans="1:9">
      <c r="A258" s="65"/>
      <c r="B258" s="65"/>
      <c r="C258" s="65"/>
      <c r="D258" s="453"/>
      <c r="E258" s="65"/>
      <c r="F258" s="65"/>
      <c r="G258" s="65"/>
      <c r="H258" s="453">
        <f>D258*(E258+F258+G258)</f>
        <v>0</v>
      </c>
      <c r="I258" s="77"/>
    </row>
    <row r="259" spans="1:9">
      <c r="A259" s="65"/>
      <c r="B259" s="65"/>
      <c r="C259" s="65"/>
      <c r="D259" s="453"/>
      <c r="E259" s="65"/>
      <c r="F259" s="65"/>
      <c r="G259" s="65"/>
      <c r="H259" s="453">
        <f>D259*(E259+F259+G259)</f>
        <v>0</v>
      </c>
      <c r="I259" s="77"/>
    </row>
    <row r="260" spans="1:9">
      <c r="A260" s="65"/>
      <c r="B260" s="65"/>
      <c r="C260" s="65"/>
      <c r="D260" s="453"/>
      <c r="E260" s="65"/>
      <c r="F260" s="65"/>
      <c r="G260" s="65"/>
      <c r="H260" s="453">
        <f>D260*(E260+F260+G260)</f>
        <v>0</v>
      </c>
      <c r="I260" s="77"/>
    </row>
    <row r="261" spans="1:9">
      <c r="A261" s="65"/>
      <c r="B261" s="65"/>
      <c r="C261" s="65"/>
      <c r="D261" s="453"/>
      <c r="E261" s="65"/>
      <c r="F261" s="65"/>
      <c r="G261" s="65"/>
      <c r="H261" s="453">
        <f>D261*(E261+F261+G261)</f>
        <v>0</v>
      </c>
      <c r="I261" s="77"/>
    </row>
    <row r="262" spans="1:9">
      <c r="A262" s="65"/>
      <c r="B262" s="65"/>
      <c r="C262" s="65"/>
      <c r="D262" s="453"/>
      <c r="E262" s="65"/>
      <c r="F262" s="65"/>
      <c r="G262" s="65"/>
      <c r="H262" s="453">
        <f>D262*(E262+F262+G262)</f>
        <v>0</v>
      </c>
      <c r="I262" s="77"/>
    </row>
    <row r="263" spans="1:9">
      <c r="A263" s="65"/>
      <c r="B263" s="65"/>
      <c r="C263" s="65"/>
      <c r="D263" s="453"/>
      <c r="E263" s="65"/>
      <c r="F263" s="65"/>
      <c r="G263" s="65"/>
      <c r="H263" s="453">
        <f>D263*(E263+F263+G263)</f>
        <v>0</v>
      </c>
      <c r="I263" s="77"/>
    </row>
    <row r="264" spans="1:9">
      <c r="A264" s="65"/>
      <c r="B264" s="65"/>
      <c r="C264" s="65"/>
      <c r="D264" s="453"/>
      <c r="E264" s="65"/>
      <c r="F264" s="65"/>
      <c r="G264" s="65"/>
      <c r="H264" s="453">
        <f>D264*(E264+F264+G264)</f>
        <v>0</v>
      </c>
      <c r="I264" s="77"/>
    </row>
    <row r="265" spans="1:9">
      <c r="A265" s="65"/>
      <c r="B265" s="65"/>
      <c r="C265" s="65"/>
      <c r="D265" s="453"/>
      <c r="E265" s="65"/>
      <c r="F265" s="65"/>
      <c r="G265" s="65"/>
      <c r="H265" s="453">
        <f>D265*(E265+F265+G265)</f>
        <v>0</v>
      </c>
      <c r="I265" s="77"/>
    </row>
    <row r="266" spans="1:9">
      <c r="A266" s="65"/>
      <c r="B266" s="65"/>
      <c r="C266" s="65"/>
      <c r="D266" s="453"/>
      <c r="E266" s="65"/>
      <c r="F266" s="65"/>
      <c r="G266" s="65"/>
      <c r="H266" s="453">
        <f>D266*(E266+F266+G266)</f>
        <v>0</v>
      </c>
      <c r="I266" s="77"/>
    </row>
    <row r="267" spans="1:9">
      <c r="A267" s="65"/>
      <c r="B267" s="65"/>
      <c r="C267" s="65"/>
      <c r="D267" s="453"/>
      <c r="E267" s="65"/>
      <c r="F267" s="65"/>
      <c r="G267" s="65"/>
      <c r="H267" s="453">
        <f>D267*(E267+F267+G267)</f>
        <v>0</v>
      </c>
      <c r="I267" s="77"/>
    </row>
    <row r="268" spans="1:9">
      <c r="A268" s="65"/>
      <c r="B268" s="65"/>
      <c r="C268" s="65"/>
      <c r="D268" s="453"/>
      <c r="E268" s="65"/>
      <c r="F268" s="65"/>
      <c r="G268" s="65"/>
      <c r="H268" s="453">
        <f>D268*(E268+F268+G268)</f>
        <v>0</v>
      </c>
      <c r="I268" s="77"/>
    </row>
    <row r="269" spans="1:9">
      <c r="A269" s="65"/>
      <c r="B269" s="65"/>
      <c r="C269" s="65"/>
      <c r="D269" s="453"/>
      <c r="E269" s="65"/>
      <c r="F269" s="65"/>
      <c r="G269" s="65"/>
      <c r="H269" s="453">
        <f>D269*(E269+F269+G269)</f>
        <v>0</v>
      </c>
      <c r="I269" s="77"/>
    </row>
    <row r="270" spans="1:9">
      <c r="A270" s="65"/>
      <c r="B270" s="65"/>
      <c r="C270" s="65"/>
      <c r="D270" s="453"/>
      <c r="E270" s="65"/>
      <c r="F270" s="65"/>
      <c r="G270" s="65"/>
      <c r="H270" s="453">
        <f>D270*(E270+F270+G270)</f>
        <v>0</v>
      </c>
      <c r="I270" s="77"/>
    </row>
    <row r="271" spans="1:9">
      <c r="A271" s="65"/>
      <c r="B271" s="65"/>
      <c r="C271" s="65"/>
      <c r="D271" s="453"/>
      <c r="E271" s="65"/>
      <c r="F271" s="65"/>
      <c r="G271" s="65"/>
      <c r="H271" s="453">
        <f>D271*(E271+F271+G271)</f>
        <v>0</v>
      </c>
      <c r="I271" s="77"/>
    </row>
    <row r="272" spans="1:9">
      <c r="A272" s="65"/>
      <c r="B272" s="65"/>
      <c r="C272" s="65"/>
      <c r="D272" s="453"/>
      <c r="E272" s="65"/>
      <c r="F272" s="65"/>
      <c r="G272" s="65"/>
      <c r="H272" s="453">
        <f>D272*(E272+F272+G272)</f>
        <v>0</v>
      </c>
      <c r="I272" s="77"/>
    </row>
    <row r="273" spans="1:9">
      <c r="A273" s="65"/>
      <c r="B273" s="65"/>
      <c r="C273" s="65"/>
      <c r="D273" s="453"/>
      <c r="E273" s="65"/>
      <c r="F273" s="65"/>
      <c r="G273" s="65"/>
      <c r="H273" s="453">
        <f>D273*(E273+F273+G273)</f>
        <v>0</v>
      </c>
      <c r="I273" s="77"/>
    </row>
    <row r="274" spans="1:9">
      <c r="A274" s="65"/>
      <c r="B274" s="65"/>
      <c r="C274" s="65"/>
      <c r="D274" s="453"/>
      <c r="E274" s="65"/>
      <c r="F274" s="65"/>
      <c r="G274" s="65"/>
      <c r="H274" s="453">
        <f>D274*(E274+F274+G274)</f>
        <v>0</v>
      </c>
      <c r="I274" s="77"/>
    </row>
    <row r="275" spans="1:9">
      <c r="A275" s="65"/>
      <c r="B275" s="65"/>
      <c r="C275" s="65"/>
      <c r="D275" s="453"/>
      <c r="E275" s="65"/>
      <c r="F275" s="65"/>
      <c r="G275" s="65"/>
      <c r="H275" s="453">
        <f>D275*(E275+F275+G275)</f>
        <v>0</v>
      </c>
      <c r="I275" s="77"/>
    </row>
    <row r="276" spans="1:9">
      <c r="A276" s="65"/>
      <c r="B276" s="65"/>
      <c r="C276" s="65"/>
      <c r="D276" s="453"/>
      <c r="E276" s="65"/>
      <c r="F276" s="65"/>
      <c r="G276" s="65"/>
      <c r="H276" s="453">
        <f>D276*(E276+F276+G276)</f>
        <v>0</v>
      </c>
      <c r="I276" s="77"/>
    </row>
    <row r="277" spans="1:9">
      <c r="A277" s="65"/>
      <c r="B277" s="65"/>
      <c r="C277" s="65"/>
      <c r="D277" s="453"/>
      <c r="E277" s="65"/>
      <c r="F277" s="65"/>
      <c r="G277" s="65"/>
      <c r="H277" s="453">
        <f>D277*(E277+F277+G277)</f>
        <v>0</v>
      </c>
      <c r="I277" s="77"/>
    </row>
    <row r="278" spans="1:9">
      <c r="A278" s="65"/>
      <c r="B278" s="65"/>
      <c r="C278" s="65"/>
      <c r="D278" s="453"/>
      <c r="E278" s="65"/>
      <c r="F278" s="65"/>
      <c r="G278" s="65"/>
      <c r="H278" s="453">
        <f>D278*(E278+F278+G278)</f>
        <v>0</v>
      </c>
      <c r="I278" s="77"/>
    </row>
    <row r="279" spans="1:9">
      <c r="A279" s="65"/>
      <c r="B279" s="65"/>
      <c r="C279" s="65"/>
      <c r="D279" s="453"/>
      <c r="E279" s="65"/>
      <c r="F279" s="65"/>
      <c r="G279" s="65"/>
      <c r="H279" s="453">
        <f>D279*(E279+F279+G279)</f>
        <v>0</v>
      </c>
      <c r="I279" s="77"/>
    </row>
    <row r="280" spans="1:9">
      <c r="A280" s="65"/>
      <c r="B280" s="65"/>
      <c r="C280" s="65"/>
      <c r="D280" s="453"/>
      <c r="E280" s="65"/>
      <c r="F280" s="65"/>
      <c r="G280" s="65"/>
      <c r="H280" s="453">
        <f>D280*(E280+F280+G280)</f>
        <v>0</v>
      </c>
      <c r="I280" s="77"/>
    </row>
    <row r="281" spans="1:9">
      <c r="A281" s="65"/>
      <c r="B281" s="65"/>
      <c r="C281" s="65"/>
      <c r="D281" s="453"/>
      <c r="E281" s="65"/>
      <c r="F281" s="65"/>
      <c r="G281" s="65"/>
      <c r="H281" s="453">
        <f>D281*(E281+F281+G281)</f>
        <v>0</v>
      </c>
      <c r="I281" s="77"/>
    </row>
    <row r="282" spans="1:9">
      <c r="A282" s="65"/>
      <c r="B282" s="65"/>
      <c r="C282" s="65"/>
      <c r="D282" s="453"/>
      <c r="E282" s="65"/>
      <c r="F282" s="65"/>
      <c r="G282" s="65"/>
      <c r="H282" s="453">
        <f>D282*(E282+F282+G282)</f>
        <v>0</v>
      </c>
      <c r="I282" s="77"/>
    </row>
    <row r="283" spans="1:9">
      <c r="A283" s="65"/>
      <c r="B283" s="65"/>
      <c r="C283" s="65"/>
      <c r="D283" s="453"/>
      <c r="E283" s="65"/>
      <c r="F283" s="65"/>
      <c r="G283" s="65"/>
      <c r="H283" s="453">
        <f>D283*(E283+F283+G283)</f>
        <v>0</v>
      </c>
      <c r="I283" s="77"/>
    </row>
    <row r="284" spans="1:9">
      <c r="A284" s="65"/>
      <c r="B284" s="65"/>
      <c r="C284" s="65"/>
      <c r="D284" s="453"/>
      <c r="E284" s="65"/>
      <c r="F284" s="65"/>
      <c r="G284" s="65"/>
      <c r="H284" s="453">
        <f>D284*(E284+F284+G284)</f>
        <v>0</v>
      </c>
      <c r="I284" s="77"/>
    </row>
    <row r="285" spans="1:9">
      <c r="A285" s="65"/>
      <c r="B285" s="65"/>
      <c r="C285" s="65"/>
      <c r="D285" s="453"/>
      <c r="E285" s="65"/>
      <c r="F285" s="65"/>
      <c r="G285" s="65"/>
      <c r="H285" s="453">
        <f>D285*(E285+F285+G285)</f>
        <v>0</v>
      </c>
      <c r="I285" s="77"/>
    </row>
    <row r="286" spans="1:9">
      <c r="A286" s="65"/>
      <c r="B286" s="65"/>
      <c r="C286" s="65"/>
      <c r="D286" s="453"/>
      <c r="E286" s="65"/>
      <c r="F286" s="65"/>
      <c r="G286" s="65"/>
      <c r="H286" s="453">
        <f>D286*(E286+F286+G286)</f>
        <v>0</v>
      </c>
      <c r="I286" s="77"/>
    </row>
    <row r="287" spans="1:9">
      <c r="A287" s="65"/>
      <c r="B287" s="65"/>
      <c r="C287" s="65"/>
      <c r="D287" s="453"/>
      <c r="E287" s="65"/>
      <c r="F287" s="65"/>
      <c r="G287" s="65"/>
      <c r="H287" s="453">
        <f>D287*(E287+F287+G287)</f>
        <v>0</v>
      </c>
      <c r="I287" s="77"/>
    </row>
    <row r="288" spans="1:9">
      <c r="A288" s="65"/>
      <c r="B288" s="65"/>
      <c r="C288" s="65"/>
      <c r="D288" s="453"/>
      <c r="E288" s="65"/>
      <c r="F288" s="65"/>
      <c r="G288" s="65"/>
      <c r="H288" s="453">
        <f>D288*(E288+F288+G288)</f>
        <v>0</v>
      </c>
      <c r="I288" s="77"/>
    </row>
    <row r="289" spans="1:9">
      <c r="A289" s="65"/>
      <c r="B289" s="65"/>
      <c r="C289" s="65"/>
      <c r="D289" s="453"/>
      <c r="E289" s="65"/>
      <c r="F289" s="65"/>
      <c r="G289" s="65"/>
      <c r="H289" s="453">
        <f>D289*(E289+F289+G289)</f>
        <v>0</v>
      </c>
      <c r="I289" s="77"/>
    </row>
    <row r="290" spans="1:9">
      <c r="A290" s="65"/>
      <c r="B290" s="65"/>
      <c r="C290" s="65"/>
      <c r="D290" s="453"/>
      <c r="E290" s="65"/>
      <c r="F290" s="65"/>
      <c r="G290" s="65"/>
      <c r="H290" s="453">
        <f>D290*(E290+F290+G290)</f>
        <v>0</v>
      </c>
      <c r="I290" s="77"/>
    </row>
    <row r="291" spans="1:9">
      <c r="A291" s="65"/>
      <c r="B291" s="65"/>
      <c r="C291" s="65"/>
      <c r="D291" s="453"/>
      <c r="E291" s="65"/>
      <c r="F291" s="65"/>
      <c r="G291" s="65"/>
      <c r="H291" s="453">
        <f>D291*(E291+F291+G291)</f>
        <v>0</v>
      </c>
      <c r="I291" s="77"/>
    </row>
    <row r="292" spans="1:9">
      <c r="A292" s="65"/>
      <c r="B292" s="65"/>
      <c r="C292" s="65"/>
      <c r="D292" s="453"/>
      <c r="E292" s="65"/>
      <c r="F292" s="65"/>
      <c r="G292" s="65"/>
      <c r="H292" s="453">
        <f>D292*(E292+F292+G292)</f>
        <v>0</v>
      </c>
      <c r="I292" s="77"/>
    </row>
    <row r="293" spans="1:9">
      <c r="A293" s="65"/>
      <c r="B293" s="65"/>
      <c r="C293" s="65"/>
      <c r="D293" s="453"/>
      <c r="E293" s="65"/>
      <c r="F293" s="65"/>
      <c r="G293" s="65"/>
      <c r="H293" s="453">
        <f>D293*(E293+F293+G293)</f>
        <v>0</v>
      </c>
      <c r="I293" s="77"/>
    </row>
    <row r="294" spans="1:9">
      <c r="A294" s="65"/>
      <c r="B294" s="65"/>
      <c r="C294" s="65"/>
      <c r="D294" s="453"/>
      <c r="E294" s="65"/>
      <c r="F294" s="65"/>
      <c r="G294" s="65"/>
      <c r="H294" s="453">
        <f>D294*(E294+F294+G294)</f>
        <v>0</v>
      </c>
      <c r="I294" s="77"/>
    </row>
    <row r="295" spans="1:9">
      <c r="A295" s="65"/>
      <c r="B295" s="65"/>
      <c r="C295" s="65"/>
      <c r="D295" s="453"/>
      <c r="E295" s="65"/>
      <c r="F295" s="65"/>
      <c r="G295" s="65"/>
      <c r="H295" s="453">
        <f>D295*(E295+F295+G295)</f>
        <v>0</v>
      </c>
      <c r="I295" s="77"/>
    </row>
    <row r="296" spans="1:9">
      <c r="A296" s="65"/>
      <c r="B296" s="65"/>
      <c r="C296" s="65"/>
      <c r="D296" s="453"/>
      <c r="E296" s="65"/>
      <c r="F296" s="65"/>
      <c r="G296" s="65"/>
      <c r="H296" s="453">
        <f>D296*(E296+F296+G296)</f>
        <v>0</v>
      </c>
      <c r="I296" s="77"/>
    </row>
    <row r="297" spans="1:9">
      <c r="A297" s="65"/>
      <c r="B297" s="65"/>
      <c r="C297" s="65"/>
      <c r="D297" s="453"/>
      <c r="E297" s="65"/>
      <c r="F297" s="65"/>
      <c r="G297" s="65"/>
      <c r="H297" s="453">
        <f>D297*(E297+F297+G297)</f>
        <v>0</v>
      </c>
      <c r="I297" s="77"/>
    </row>
    <row r="298" spans="1:9">
      <c r="A298" s="65"/>
      <c r="B298" s="65"/>
      <c r="C298" s="65"/>
      <c r="D298" s="453"/>
      <c r="E298" s="65"/>
      <c r="F298" s="65"/>
      <c r="G298" s="65"/>
      <c r="H298" s="453">
        <f>D298*(E298+F298+G298)</f>
        <v>0</v>
      </c>
      <c r="I298" s="77"/>
    </row>
    <row r="299" spans="1:9">
      <c r="A299" s="65"/>
      <c r="B299" s="65"/>
      <c r="C299" s="65"/>
      <c r="D299" s="453"/>
      <c r="E299" s="65"/>
      <c r="F299" s="65"/>
      <c r="G299" s="65"/>
      <c r="H299" s="453">
        <f>D299*(E299+F299+G299)</f>
        <v>0</v>
      </c>
      <c r="I299" s="77"/>
    </row>
    <row r="300" spans="1:9">
      <c r="A300" s="65"/>
      <c r="B300" s="65"/>
      <c r="C300" s="65"/>
      <c r="D300" s="453"/>
      <c r="E300" s="65"/>
      <c r="F300" s="65"/>
      <c r="G300" s="65"/>
      <c r="H300" s="453">
        <f>D300*(E300+F300+G300)</f>
        <v>0</v>
      </c>
      <c r="I300" s="77"/>
    </row>
    <row r="301" spans="1:9">
      <c r="A301" s="65"/>
      <c r="B301" s="65"/>
      <c r="C301" s="65"/>
      <c r="D301" s="453"/>
      <c r="E301" s="65"/>
      <c r="F301" s="65"/>
      <c r="G301" s="65"/>
      <c r="H301" s="453">
        <f>D301*(E301+F301+G301)</f>
        <v>0</v>
      </c>
      <c r="I301" s="77"/>
    </row>
    <row r="302" spans="1:9">
      <c r="A302" s="65"/>
      <c r="B302" s="65"/>
      <c r="C302" s="65"/>
      <c r="D302" s="453"/>
      <c r="E302" s="65"/>
      <c r="F302" s="65"/>
      <c r="G302" s="65"/>
      <c r="H302" s="453">
        <f>D302*(E302+F302+G302)</f>
        <v>0</v>
      </c>
      <c r="I302" s="77"/>
    </row>
    <row r="303" spans="1:9">
      <c r="A303" s="65"/>
      <c r="B303" s="65"/>
      <c r="C303" s="65"/>
      <c r="D303" s="453"/>
      <c r="E303" s="65"/>
      <c r="F303" s="65"/>
      <c r="G303" s="65"/>
      <c r="H303" s="453">
        <f>D303*(E303+F303+G303)</f>
        <v>0</v>
      </c>
      <c r="I303" s="77"/>
    </row>
    <row r="304" spans="1:9">
      <c r="A304" s="65"/>
      <c r="B304" s="65"/>
      <c r="C304" s="65"/>
      <c r="D304" s="453"/>
      <c r="E304" s="65"/>
      <c r="F304" s="65"/>
      <c r="G304" s="65"/>
      <c r="H304" s="453">
        <f>D304*(E304+F304+G304)</f>
        <v>0</v>
      </c>
      <c r="I304" s="77"/>
    </row>
    <row r="305" spans="1:9">
      <c r="A305" s="65"/>
      <c r="B305" s="65"/>
      <c r="C305" s="65"/>
      <c r="D305" s="453"/>
      <c r="E305" s="65"/>
      <c r="F305" s="65"/>
      <c r="G305" s="65"/>
      <c r="H305" s="453">
        <f>D305*(E305+F305+G305)</f>
        <v>0</v>
      </c>
      <c r="I305" s="77"/>
    </row>
    <row r="306" spans="1:9">
      <c r="A306" s="65"/>
      <c r="B306" s="65"/>
      <c r="C306" s="65"/>
      <c r="D306" s="453"/>
      <c r="E306" s="65"/>
      <c r="F306" s="65"/>
      <c r="G306" s="65"/>
      <c r="H306" s="453">
        <f>D306*(E306+F306+G306)</f>
        <v>0</v>
      </c>
      <c r="I306" s="77"/>
    </row>
    <row r="307" spans="1:9">
      <c r="A307" s="65"/>
      <c r="B307" s="65"/>
      <c r="C307" s="65"/>
      <c r="D307" s="453"/>
      <c r="E307" s="65"/>
      <c r="F307" s="65"/>
      <c r="G307" s="65"/>
      <c r="H307" s="453">
        <f>D307*(E307+F307+G307)</f>
        <v>0</v>
      </c>
      <c r="I307" s="77"/>
    </row>
    <row r="308" spans="1:9">
      <c r="A308" s="65"/>
      <c r="B308" s="65"/>
      <c r="C308" s="65"/>
      <c r="D308" s="453"/>
      <c r="E308" s="65"/>
      <c r="F308" s="65"/>
      <c r="G308" s="65"/>
      <c r="H308" s="453">
        <f>D308*(E308+F308+G308)</f>
        <v>0</v>
      </c>
      <c r="I308" s="77"/>
    </row>
    <row r="309" spans="1:9">
      <c r="A309" s="65"/>
      <c r="B309" s="65"/>
      <c r="C309" s="65" t="s">
        <v>378</v>
      </c>
      <c r="D309" s="453"/>
      <c r="E309" s="65"/>
      <c r="F309" s="65"/>
      <c r="G309" s="65">
        <v>18</v>
      </c>
      <c r="H309" s="453">
        <f>D309*(E309+F309+G309)</f>
        <v>0</v>
      </c>
      <c r="I309" s="77"/>
    </row>
    <row r="310" spans="1:9">
      <c r="A310" s="65"/>
      <c r="B310" s="65"/>
      <c r="C310" s="65" t="s">
        <v>1332</v>
      </c>
      <c r="D310" s="453"/>
      <c r="E310" s="65"/>
      <c r="F310" s="65"/>
      <c r="G310" s="65">
        <v>11</v>
      </c>
      <c r="H310" s="453">
        <f>D310*(E310+F310+G310)</f>
        <v>0</v>
      </c>
      <c r="I310" s="77"/>
    </row>
    <row r="311" spans="1:9">
      <c r="A311" s="65"/>
      <c r="B311" s="65"/>
      <c r="C311" s="65" t="s">
        <v>1333</v>
      </c>
      <c r="D311" s="453"/>
      <c r="E311" s="65"/>
      <c r="F311" s="65"/>
      <c r="G311" s="65">
        <v>11</v>
      </c>
      <c r="H311" s="453">
        <f>D311*(E311+F311+G311)</f>
        <v>0</v>
      </c>
      <c r="I311" s="77"/>
    </row>
    <row r="312" spans="1:9">
      <c r="A312" s="65"/>
      <c r="B312" s="65"/>
      <c r="C312" s="65" t="s">
        <v>1334</v>
      </c>
      <c r="D312" s="453"/>
      <c r="E312" s="65"/>
      <c r="F312" s="65"/>
      <c r="G312" s="65">
        <v>28</v>
      </c>
      <c r="H312" s="453">
        <f>D312*(E312+F312+G312)</f>
        <v>0</v>
      </c>
      <c r="I312" s="77"/>
    </row>
    <row r="313" spans="1:9">
      <c r="A313" s="65"/>
      <c r="B313" s="65"/>
      <c r="C313" s="65" t="s">
        <v>838</v>
      </c>
      <c r="D313" s="453"/>
      <c r="E313" s="65"/>
      <c r="F313" s="65"/>
      <c r="G313" s="65">
        <v>20</v>
      </c>
      <c r="H313" s="453">
        <f>D313*(E313+F313+G313)</f>
        <v>0</v>
      </c>
      <c r="I313" s="77"/>
    </row>
    <row r="314" spans="1:9">
      <c r="A314" s="65"/>
      <c r="B314" s="65"/>
      <c r="C314" s="65" t="s">
        <v>1335</v>
      </c>
      <c r="D314" s="453"/>
      <c r="E314" s="65"/>
      <c r="F314" s="65"/>
      <c r="G314" s="65">
        <v>12</v>
      </c>
      <c r="H314" s="453">
        <f>D314*(E314+F314+G314)</f>
        <v>0</v>
      </c>
      <c r="I314" s="77"/>
    </row>
    <row r="315" spans="1:9">
      <c r="A315" s="65"/>
      <c r="B315" s="65"/>
      <c r="C315" s="65" t="s">
        <v>1336</v>
      </c>
      <c r="D315" s="453"/>
      <c r="E315" s="65"/>
      <c r="F315" s="65"/>
      <c r="G315" s="65"/>
      <c r="H315" s="453">
        <f>D315*(E315+F315+G315)</f>
        <v>0</v>
      </c>
      <c r="I315" s="77"/>
    </row>
    <row r="316" spans="1:9">
      <c r="A316" s="65"/>
      <c r="B316" s="65"/>
      <c r="C316" s="65" t="s">
        <v>1337</v>
      </c>
      <c r="D316" s="453"/>
      <c r="E316" s="65"/>
      <c r="F316" s="65"/>
      <c r="G316" s="65">
        <v>10</v>
      </c>
      <c r="H316" s="453">
        <f>D316*(E316+F316+G316)</f>
        <v>0</v>
      </c>
      <c r="I316" s="77"/>
    </row>
    <row r="317" spans="1:9">
      <c r="A317" s="65"/>
      <c r="B317" s="65"/>
      <c r="C317" s="65" t="s">
        <v>1338</v>
      </c>
      <c r="D317" s="453"/>
      <c r="E317" s="65"/>
      <c r="F317" s="65"/>
      <c r="G317" s="65">
        <v>5</v>
      </c>
      <c r="H317" s="453">
        <f>D317*(E317+F317+G317)</f>
        <v>0</v>
      </c>
      <c r="I317" s="77"/>
    </row>
    <row r="318" spans="1:9">
      <c r="A318" s="65"/>
      <c r="B318" s="65"/>
      <c r="C318" s="65" t="s">
        <v>1339</v>
      </c>
      <c r="D318" s="453"/>
      <c r="E318" s="65"/>
      <c r="F318" s="65"/>
      <c r="G318" s="65">
        <v>18</v>
      </c>
      <c r="H318" s="453">
        <f>D318*(E318+F318+G318)</f>
        <v>0</v>
      </c>
      <c r="I318" s="77"/>
    </row>
    <row r="319" spans="1:9">
      <c r="A319" s="65"/>
      <c r="B319" s="65"/>
      <c r="C319" s="65" t="s">
        <v>245</v>
      </c>
      <c r="D319" s="453"/>
      <c r="E319" s="65"/>
      <c r="F319" s="65"/>
      <c r="G319" s="65">
        <v>18</v>
      </c>
      <c r="H319" s="453">
        <f>D319*(E319+F319+G319)</f>
        <v>0</v>
      </c>
      <c r="I319" s="77"/>
    </row>
    <row r="320" spans="1:9">
      <c r="A320" s="65"/>
      <c r="B320" s="65"/>
      <c r="C320" s="65" t="s">
        <v>212</v>
      </c>
      <c r="D320" s="453"/>
      <c r="E320" s="65"/>
      <c r="F320" s="65"/>
      <c r="G320" s="65">
        <v>10</v>
      </c>
      <c r="H320" s="453">
        <f>D320*(E320+F320+G320)</f>
        <v>0</v>
      </c>
      <c r="I320" s="77"/>
    </row>
    <row r="321" spans="1:9">
      <c r="A321" s="65"/>
      <c r="B321" s="65"/>
      <c r="C321" s="65" t="s">
        <v>1340</v>
      </c>
      <c r="D321" s="453"/>
      <c r="E321" s="65"/>
      <c r="F321" s="65"/>
      <c r="G321" s="65">
        <v>12</v>
      </c>
      <c r="H321" s="453">
        <f>D321*(E321+F321+G321)</f>
        <v>0</v>
      </c>
      <c r="I321" s="77"/>
    </row>
    <row r="322" spans="1:9">
      <c r="A322" s="65"/>
      <c r="B322" s="65"/>
      <c r="C322" s="65" t="s">
        <v>1341</v>
      </c>
      <c r="D322" s="453"/>
      <c r="E322" s="65"/>
      <c r="F322" s="65"/>
      <c r="G322" s="65">
        <v>25</v>
      </c>
      <c r="H322" s="453">
        <f>D322*(E322+F322+G322)</f>
        <v>0</v>
      </c>
      <c r="I322" s="77"/>
    </row>
    <row r="323" spans="1:9">
      <c r="A323" s="65"/>
      <c r="B323" s="65"/>
      <c r="C323" s="65" t="s">
        <v>1342</v>
      </c>
      <c r="D323" s="453"/>
      <c r="E323" s="65"/>
      <c r="F323" s="65"/>
      <c r="G323" s="65">
        <v>280</v>
      </c>
      <c r="H323" s="453">
        <f>D323*(E323+F323+G323)</f>
        <v>0</v>
      </c>
      <c r="I323" s="77"/>
    </row>
    <row r="324" spans="1:9">
      <c r="A324" s="65"/>
      <c r="B324" s="65"/>
      <c r="C324" s="65" t="s">
        <v>1343</v>
      </c>
      <c r="D324" s="453"/>
      <c r="E324" s="65"/>
      <c r="F324" s="65"/>
      <c r="G324" s="65">
        <v>146</v>
      </c>
      <c r="H324" s="453">
        <f>D324*(E324+F324+G324)</f>
        <v>0</v>
      </c>
      <c r="I324" s="77"/>
    </row>
    <row r="325" spans="1:9">
      <c r="A325" s="65"/>
      <c r="B325" s="65"/>
      <c r="C325" s="65" t="s">
        <v>1344</v>
      </c>
      <c r="D325" s="453"/>
      <c r="E325" s="65"/>
      <c r="F325" s="65"/>
      <c r="G325" s="65">
        <v>12</v>
      </c>
      <c r="H325" s="453">
        <f>D325*(E325+F325+G325)</f>
        <v>0</v>
      </c>
      <c r="I325" s="77"/>
    </row>
    <row r="326" spans="1:9">
      <c r="A326" s="65"/>
      <c r="B326" s="65"/>
      <c r="C326" s="65" t="s">
        <v>75</v>
      </c>
      <c r="D326" s="453"/>
      <c r="E326" s="65"/>
      <c r="F326" s="65"/>
      <c r="G326" s="65">
        <v>20</v>
      </c>
      <c r="H326" s="453">
        <f>D326*(E326+F326+G326)</f>
        <v>0</v>
      </c>
      <c r="I326" s="77"/>
    </row>
    <row r="327" spans="1:9">
      <c r="A327" s="65"/>
      <c r="B327" s="65"/>
      <c r="C327" s="65" t="s">
        <v>1345</v>
      </c>
      <c r="D327" s="453"/>
      <c r="E327" s="65"/>
      <c r="F327" s="65"/>
      <c r="G327" s="65">
        <v>22</v>
      </c>
      <c r="H327" s="453">
        <f>D327*(E327+F327+G327)</f>
        <v>0</v>
      </c>
      <c r="I327" s="77"/>
    </row>
    <row r="328" spans="1:9">
      <c r="A328" s="65"/>
      <c r="B328" s="65"/>
      <c r="C328" s="65" t="s">
        <v>1346</v>
      </c>
      <c r="D328" s="453"/>
      <c r="E328" s="65"/>
      <c r="F328" s="65"/>
      <c r="G328" s="65">
        <v>52</v>
      </c>
      <c r="H328" s="453">
        <f>D328*(E328+F328+G328)</f>
        <v>0</v>
      </c>
      <c r="I328" s="77"/>
    </row>
    <row r="329" spans="1:9">
      <c r="A329" s="65"/>
      <c r="B329" s="65"/>
      <c r="C329" s="65" t="s">
        <v>1212</v>
      </c>
      <c r="D329" s="453"/>
      <c r="E329" s="65"/>
      <c r="F329" s="65"/>
      <c r="G329" s="65">
        <v>30</v>
      </c>
      <c r="H329" s="453">
        <f>D329*(E329+F329+G329)</f>
        <v>0</v>
      </c>
      <c r="I329" s="77"/>
    </row>
    <row r="330" spans="1:9">
      <c r="A330" s="65"/>
      <c r="B330" s="65"/>
      <c r="C330" s="65" t="s">
        <v>1217</v>
      </c>
      <c r="D330" s="453"/>
      <c r="E330" s="65"/>
      <c r="F330" s="65"/>
      <c r="G330" s="65">
        <v>4</v>
      </c>
      <c r="H330" s="453">
        <f>D330*(E330+F330+G330)</f>
        <v>0</v>
      </c>
      <c r="I330" s="77"/>
    </row>
    <row r="331" spans="1:9">
      <c r="A331" s="65"/>
      <c r="B331" s="65"/>
      <c r="C331" s="65" t="s">
        <v>1347</v>
      </c>
      <c r="D331" s="453"/>
      <c r="E331" s="65"/>
      <c r="F331" s="65"/>
      <c r="G331" s="65"/>
      <c r="H331" s="453">
        <f>D331*(E331+F331+G331)</f>
        <v>0</v>
      </c>
      <c r="I331" s="77"/>
    </row>
    <row r="332" spans="1:9">
      <c r="A332" s="65"/>
      <c r="B332" s="65"/>
      <c r="C332" s="65" t="s">
        <v>1348</v>
      </c>
      <c r="D332" s="453"/>
      <c r="E332" s="65"/>
      <c r="F332" s="65"/>
      <c r="G332" s="65"/>
      <c r="H332" s="453">
        <f>D332*(E332+F332+G332)</f>
        <v>0</v>
      </c>
      <c r="I332" s="77"/>
    </row>
    <row r="333" spans="1:9">
      <c r="A333" s="65"/>
      <c r="B333" s="65"/>
      <c r="C333" s="65" t="s">
        <v>1349</v>
      </c>
      <c r="D333" s="453"/>
      <c r="E333" s="65"/>
      <c r="F333" s="65"/>
      <c r="G333" s="65"/>
      <c r="H333" s="453">
        <f>D333*(E333+F333+G333)</f>
        <v>0</v>
      </c>
      <c r="I333" s="77"/>
    </row>
    <row r="334" spans="1:9">
      <c r="A334" s="65"/>
      <c r="B334" s="65"/>
      <c r="C334" s="65" t="s">
        <v>1350</v>
      </c>
      <c r="D334" s="453"/>
      <c r="E334" s="65"/>
      <c r="F334" s="65"/>
      <c r="G334" s="65"/>
      <c r="H334" s="453">
        <f>D334*(E334+F334+G334)</f>
        <v>0</v>
      </c>
      <c r="I334" s="77"/>
    </row>
    <row r="335" spans="1:9">
      <c r="A335" s="65"/>
      <c r="B335" s="65"/>
      <c r="C335" s="65" t="s">
        <v>1331</v>
      </c>
      <c r="D335" s="453"/>
      <c r="E335" s="65"/>
      <c r="F335" s="65"/>
      <c r="G335" s="65"/>
      <c r="H335" s="453">
        <f>D335*(E335+F335+G335)</f>
        <v>0</v>
      </c>
      <c r="I335" s="77"/>
    </row>
    <row r="336" spans="1:9">
      <c r="A336" s="65"/>
      <c r="B336" s="65"/>
      <c r="C336" s="65" t="s">
        <v>1213</v>
      </c>
      <c r="D336" s="453"/>
      <c r="E336" s="65"/>
      <c r="F336" s="65"/>
      <c r="G336" s="65">
        <v>96</v>
      </c>
      <c r="H336" s="453">
        <f>D336*(E336+F336+G336)</f>
        <v>0</v>
      </c>
      <c r="I336" s="77"/>
    </row>
    <row r="337" spans="1:9">
      <c r="A337" s="65"/>
      <c r="B337" s="65"/>
      <c r="C337" s="65" t="s">
        <v>1351</v>
      </c>
      <c r="D337" s="453"/>
      <c r="E337" s="65"/>
      <c r="F337" s="65"/>
      <c r="G337" s="65">
        <v>54</v>
      </c>
      <c r="H337" s="453">
        <f>D337*(E337+F337+G337)</f>
        <v>0</v>
      </c>
      <c r="I337" s="77"/>
    </row>
    <row r="338" spans="1:9">
      <c r="A338" s="65"/>
      <c r="B338" s="65"/>
      <c r="C338" s="65" t="s">
        <v>1352</v>
      </c>
      <c r="D338" s="453"/>
      <c r="E338" s="65"/>
      <c r="F338" s="65"/>
      <c r="G338" s="454"/>
      <c r="H338" s="453">
        <f>D338*(E338+F338+G338)</f>
        <v>0</v>
      </c>
      <c r="I338" s="77"/>
    </row>
    <row r="339" spans="1:9">
      <c r="A339" s="65"/>
      <c r="B339" s="65"/>
      <c r="C339" s="65" t="s">
        <v>440</v>
      </c>
      <c r="D339" s="453"/>
      <c r="E339" s="65"/>
      <c r="F339" s="65"/>
      <c r="G339" s="454">
        <v>740</v>
      </c>
      <c r="H339" s="453">
        <f>D339*(E339+F339+G339)</f>
        <v>0</v>
      </c>
      <c r="I339" s="77"/>
    </row>
    <row r="340" spans="1:9">
      <c r="A340" s="65"/>
      <c r="B340" s="65"/>
      <c r="C340" s="65" t="s">
        <v>1353</v>
      </c>
      <c r="D340" s="453"/>
      <c r="E340" s="65"/>
      <c r="F340" s="65"/>
      <c r="G340" s="65">
        <v>54</v>
      </c>
      <c r="H340" s="453">
        <f>D340*(E340+F340+G340)</f>
        <v>0</v>
      </c>
      <c r="I340" s="77"/>
    </row>
    <row r="341" spans="1:9">
      <c r="A341" s="65"/>
      <c r="B341" s="65"/>
      <c r="C341" s="65" t="s">
        <v>1354</v>
      </c>
      <c r="D341" s="453"/>
      <c r="E341" s="65"/>
      <c r="F341" s="65"/>
      <c r="G341" s="65">
        <v>1</v>
      </c>
      <c r="H341" s="453">
        <f>D341*(E341+F341+G341)</f>
        <v>0</v>
      </c>
      <c r="I341" s="77"/>
    </row>
    <row r="342" spans="1:9">
      <c r="A342" s="65"/>
      <c r="B342" s="65"/>
      <c r="C342" s="65" t="s">
        <v>1355</v>
      </c>
      <c r="D342" s="453"/>
      <c r="E342" s="65"/>
      <c r="F342" s="65"/>
      <c r="G342" s="65">
        <v>2</v>
      </c>
      <c r="H342" s="453">
        <f>D342*(E342+F342+G342)</f>
        <v>0</v>
      </c>
      <c r="I342" s="77"/>
    </row>
    <row r="343" spans="1:9">
      <c r="A343" s="65"/>
      <c r="B343" s="65"/>
      <c r="C343" s="65" t="s">
        <v>1356</v>
      </c>
      <c r="D343" s="453"/>
      <c r="E343" s="65"/>
      <c r="F343" s="65"/>
      <c r="G343" s="65">
        <v>4</v>
      </c>
      <c r="H343" s="453">
        <f>D343*(E343+F343+G343)</f>
        <v>0</v>
      </c>
      <c r="I343" s="77"/>
    </row>
    <row r="344" spans="1:9">
      <c r="A344" s="65"/>
      <c r="B344" s="65"/>
      <c r="C344" s="65" t="s">
        <v>1357</v>
      </c>
      <c r="D344" s="453"/>
      <c r="E344" s="65"/>
      <c r="F344" s="65"/>
      <c r="G344" s="65">
        <v>120</v>
      </c>
      <c r="H344" s="453">
        <f>D344*(E344+F344+G344)</f>
        <v>0</v>
      </c>
      <c r="I344" s="77"/>
    </row>
    <row r="345" spans="1:9">
      <c r="A345" s="65"/>
      <c r="B345" s="65"/>
      <c r="C345" s="65" t="s">
        <v>1358</v>
      </c>
      <c r="D345" s="453"/>
      <c r="E345" s="65"/>
      <c r="F345" s="65"/>
      <c r="G345" s="65">
        <v>384</v>
      </c>
      <c r="H345" s="453">
        <f>D345*(E345+F345+G345)</f>
        <v>0</v>
      </c>
      <c r="I345" s="77"/>
    </row>
    <row r="346" spans="1:9">
      <c r="A346" s="65"/>
      <c r="B346" s="65"/>
      <c r="C346" s="65" t="s">
        <v>1359</v>
      </c>
      <c r="D346" s="453"/>
      <c r="E346" s="65"/>
      <c r="F346" s="65"/>
      <c r="G346" s="65">
        <v>12</v>
      </c>
      <c r="H346" s="453">
        <f>D346*(E346+F346+G346)</f>
        <v>0</v>
      </c>
      <c r="I346" s="77"/>
    </row>
    <row r="347" spans="1:9">
      <c r="A347" s="65"/>
      <c r="B347" s="65"/>
      <c r="C347" s="65" t="s">
        <v>1360</v>
      </c>
      <c r="D347" s="453"/>
      <c r="E347" s="65"/>
      <c r="F347" s="65"/>
      <c r="G347" s="65">
        <v>3</v>
      </c>
      <c r="H347" s="453">
        <f>D347*(E347+F347+G347)</f>
        <v>0</v>
      </c>
      <c r="I347" s="77"/>
    </row>
    <row r="348" spans="1:9">
      <c r="A348" s="65"/>
      <c r="B348" s="65"/>
      <c r="C348" s="65" t="s">
        <v>1361</v>
      </c>
      <c r="D348" s="453"/>
      <c r="E348" s="65"/>
      <c r="F348" s="65"/>
      <c r="G348" s="65">
        <v>60</v>
      </c>
      <c r="H348" s="453">
        <f>D348*(E348+F348+G348)</f>
        <v>0</v>
      </c>
      <c r="I348" s="77"/>
    </row>
    <row r="349" spans="1:9">
      <c r="A349" s="42"/>
      <c r="B349" s="42"/>
      <c r="C349" s="42" t="s">
        <v>596</v>
      </c>
      <c r="D349" s="43"/>
      <c r="E349" s="42"/>
      <c r="F349" s="42"/>
      <c r="G349" s="42">
        <v>124</v>
      </c>
      <c r="H349" s="78">
        <f t="shared" si="11"/>
        <v>0</v>
      </c>
    </row>
    <row r="350" spans="1:9">
      <c r="A350" s="42"/>
      <c r="B350" s="42"/>
      <c r="C350" s="42" t="s">
        <v>318</v>
      </c>
      <c r="D350" s="43"/>
      <c r="E350" s="42"/>
      <c r="F350" s="42"/>
      <c r="G350" s="42">
        <v>16</v>
      </c>
      <c r="H350" s="78">
        <f t="shared" ref="H350" si="12">D350*(E350+F350+G350)</f>
        <v>0</v>
      </c>
    </row>
    <row r="351" spans="1:9">
      <c r="A351" s="42"/>
      <c r="B351" s="42"/>
      <c r="C351" s="42" t="s">
        <v>1362</v>
      </c>
      <c r="D351" s="43"/>
      <c r="E351" s="42"/>
      <c r="F351" s="42"/>
      <c r="G351" s="42">
        <v>14</v>
      </c>
      <c r="H351" s="78">
        <f t="shared" ref="H351:H373" si="13">D351*(E351+F351+G351)</f>
        <v>0</v>
      </c>
    </row>
    <row r="352" spans="1:9">
      <c r="A352" s="42"/>
      <c r="B352" s="42"/>
      <c r="C352" s="42" t="s">
        <v>1363</v>
      </c>
      <c r="D352" s="43"/>
      <c r="E352" s="42"/>
      <c r="F352" s="42"/>
      <c r="G352" s="42">
        <v>8</v>
      </c>
      <c r="H352" s="78">
        <f t="shared" si="13"/>
        <v>0</v>
      </c>
    </row>
    <row r="353" spans="1:8">
      <c r="A353" s="42"/>
      <c r="B353" s="42"/>
      <c r="C353" s="42" t="s">
        <v>1364</v>
      </c>
      <c r="D353" s="43"/>
      <c r="E353" s="42"/>
      <c r="F353" s="42"/>
      <c r="G353" s="42">
        <v>172</v>
      </c>
      <c r="H353" s="78">
        <f t="shared" si="13"/>
        <v>0</v>
      </c>
    </row>
    <row r="354" spans="1:8">
      <c r="A354" s="42"/>
      <c r="B354" s="42"/>
      <c r="C354" s="42" t="s">
        <v>1365</v>
      </c>
      <c r="D354" s="43"/>
      <c r="E354" s="42"/>
      <c r="F354" s="42"/>
      <c r="G354" s="42">
        <v>140</v>
      </c>
      <c r="H354" s="78">
        <f t="shared" si="13"/>
        <v>0</v>
      </c>
    </row>
    <row r="355" spans="1:8">
      <c r="A355" s="42"/>
      <c r="B355" s="42"/>
      <c r="C355" s="42" t="s">
        <v>217</v>
      </c>
      <c r="D355" s="43"/>
      <c r="E355" s="42"/>
      <c r="F355" s="42"/>
      <c r="G355" s="42">
        <v>336</v>
      </c>
      <c r="H355" s="78">
        <f t="shared" si="13"/>
        <v>0</v>
      </c>
    </row>
    <row r="356" spans="1:8">
      <c r="A356" s="42"/>
      <c r="B356" s="42"/>
      <c r="C356" s="42" t="s">
        <v>1366</v>
      </c>
      <c r="D356" s="43"/>
      <c r="E356" s="42"/>
      <c r="F356" s="42"/>
      <c r="G356" s="42">
        <v>4</v>
      </c>
      <c r="H356" s="78">
        <f t="shared" si="13"/>
        <v>0</v>
      </c>
    </row>
    <row r="357" spans="1:8">
      <c r="A357" s="42"/>
      <c r="B357" s="42"/>
      <c r="C357" s="42" t="s">
        <v>1367</v>
      </c>
      <c r="D357" s="43"/>
      <c r="E357" s="42"/>
      <c r="F357" s="42"/>
      <c r="G357" s="42">
        <v>28</v>
      </c>
      <c r="H357" s="78">
        <f t="shared" si="13"/>
        <v>0</v>
      </c>
    </row>
    <row r="358" spans="1:8">
      <c r="A358" s="42"/>
      <c r="B358" s="42"/>
      <c r="C358" s="42" t="s">
        <v>1368</v>
      </c>
      <c r="D358" s="43"/>
      <c r="E358" s="42"/>
      <c r="F358" s="42"/>
      <c r="G358" s="42">
        <v>2</v>
      </c>
      <c r="H358" s="78">
        <f t="shared" si="13"/>
        <v>0</v>
      </c>
    </row>
    <row r="359" spans="1:8">
      <c r="A359" s="42"/>
      <c r="B359" s="42"/>
      <c r="C359" s="42" t="s">
        <v>1369</v>
      </c>
      <c r="D359" s="43"/>
      <c r="E359" s="42"/>
      <c r="F359" s="42"/>
      <c r="G359" s="42">
        <v>3</v>
      </c>
      <c r="H359" s="78">
        <f t="shared" si="13"/>
        <v>0</v>
      </c>
    </row>
    <row r="360" spans="1:8">
      <c r="A360" s="42"/>
      <c r="B360" s="42"/>
      <c r="C360" s="42" t="s">
        <v>1370</v>
      </c>
      <c r="D360" s="43"/>
      <c r="E360" s="42"/>
      <c r="F360" s="42"/>
      <c r="G360" s="42">
        <v>15</v>
      </c>
      <c r="H360" s="78">
        <f t="shared" si="13"/>
        <v>0</v>
      </c>
    </row>
    <row r="361" spans="1:8">
      <c r="A361" s="42"/>
      <c r="B361" s="42"/>
      <c r="C361" s="42" t="s">
        <v>1346</v>
      </c>
      <c r="D361" s="43"/>
      <c r="E361" s="42"/>
      <c r="F361" s="42"/>
      <c r="G361" s="42">
        <v>6</v>
      </c>
      <c r="H361" s="78">
        <f t="shared" si="13"/>
        <v>0</v>
      </c>
    </row>
    <row r="362" spans="1:8">
      <c r="A362" s="42"/>
      <c r="B362" s="42"/>
      <c r="C362" s="42" t="s">
        <v>1371</v>
      </c>
      <c r="D362" s="43"/>
      <c r="E362" s="42"/>
      <c r="F362" s="42"/>
      <c r="G362" s="42">
        <v>66</v>
      </c>
      <c r="H362" s="78">
        <f t="shared" si="13"/>
        <v>0</v>
      </c>
    </row>
    <row r="363" spans="1:8">
      <c r="A363" s="42"/>
      <c r="B363" s="42"/>
      <c r="C363" s="42" t="s">
        <v>1372</v>
      </c>
      <c r="D363" s="43"/>
      <c r="E363" s="42"/>
      <c r="F363" s="42"/>
      <c r="G363" s="42">
        <v>10</v>
      </c>
      <c r="H363" s="78">
        <f t="shared" si="13"/>
        <v>0</v>
      </c>
    </row>
    <row r="364" spans="1:8">
      <c r="A364" s="42"/>
      <c r="B364" s="42"/>
      <c r="C364" s="42" t="s">
        <v>1373</v>
      </c>
      <c r="D364" s="43"/>
      <c r="E364" s="42"/>
      <c r="F364" s="42"/>
      <c r="G364" s="42">
        <v>32</v>
      </c>
      <c r="H364" s="78">
        <f t="shared" si="13"/>
        <v>0</v>
      </c>
    </row>
    <row r="365" spans="1:8">
      <c r="A365" s="42"/>
      <c r="B365" s="42"/>
      <c r="C365" s="42" t="s">
        <v>1273</v>
      </c>
      <c r="D365" s="43"/>
      <c r="E365" s="42"/>
      <c r="F365" s="42"/>
      <c r="G365" s="42">
        <v>30</v>
      </c>
      <c r="H365" s="78">
        <f t="shared" si="13"/>
        <v>0</v>
      </c>
    </row>
    <row r="366" spans="1:8">
      <c r="A366" s="42"/>
      <c r="B366" s="42"/>
      <c r="C366" s="42" t="s">
        <v>1374</v>
      </c>
      <c r="D366" s="43"/>
      <c r="E366" s="42"/>
      <c r="F366" s="42"/>
      <c r="G366" s="42">
        <v>144</v>
      </c>
      <c r="H366" s="78">
        <f t="shared" si="13"/>
        <v>0</v>
      </c>
    </row>
    <row r="367" spans="1:8">
      <c r="A367" s="42"/>
      <c r="B367" s="42"/>
      <c r="C367" s="42" t="s">
        <v>1375</v>
      </c>
      <c r="D367" s="43"/>
      <c r="E367" s="42"/>
      <c r="F367" s="42"/>
      <c r="G367" s="42">
        <v>96</v>
      </c>
      <c r="H367" s="78">
        <f t="shared" si="13"/>
        <v>0</v>
      </c>
    </row>
    <row r="368" spans="1:8">
      <c r="A368" s="42"/>
      <c r="B368" s="42"/>
      <c r="C368" s="42" t="s">
        <v>1376</v>
      </c>
      <c r="D368" s="43"/>
      <c r="E368" s="42"/>
      <c r="F368" s="42"/>
      <c r="G368" s="42">
        <v>286</v>
      </c>
      <c r="H368" s="78">
        <f t="shared" si="13"/>
        <v>0</v>
      </c>
    </row>
    <row r="369" spans="1:8">
      <c r="A369" s="42"/>
      <c r="B369" s="42"/>
      <c r="C369" s="42" t="s">
        <v>1377</v>
      </c>
      <c r="D369" s="43"/>
      <c r="E369" s="42"/>
      <c r="F369" s="42"/>
      <c r="G369" s="42">
        <v>24</v>
      </c>
      <c r="H369" s="78">
        <f t="shared" si="13"/>
        <v>0</v>
      </c>
    </row>
    <row r="370" spans="1:8">
      <c r="A370" s="42"/>
      <c r="B370" s="42"/>
      <c r="C370" s="42" t="s">
        <v>1378</v>
      </c>
      <c r="D370" s="43"/>
      <c r="E370" s="42"/>
      <c r="F370" s="42"/>
      <c r="G370" s="42">
        <v>24</v>
      </c>
      <c r="H370" s="78">
        <f t="shared" si="13"/>
        <v>0</v>
      </c>
    </row>
    <row r="371" spans="1:8">
      <c r="A371" s="42"/>
      <c r="B371" s="42"/>
      <c r="C371" s="42" t="s">
        <v>1379</v>
      </c>
      <c r="D371" s="43"/>
      <c r="E371" s="42"/>
      <c r="F371" s="42"/>
      <c r="G371" s="42">
        <v>1</v>
      </c>
      <c r="H371" s="78">
        <f t="shared" si="13"/>
        <v>0</v>
      </c>
    </row>
    <row r="372" spans="1:8">
      <c r="A372" s="42"/>
      <c r="B372" s="42"/>
      <c r="C372" s="42" t="s">
        <v>1380</v>
      </c>
      <c r="D372" s="43"/>
      <c r="E372" s="42"/>
      <c r="F372" s="42"/>
      <c r="G372" s="42">
        <v>15</v>
      </c>
      <c r="H372" s="78">
        <f t="shared" si="13"/>
        <v>0</v>
      </c>
    </row>
    <row r="373" spans="1:8">
      <c r="A373" s="42"/>
      <c r="B373" s="42"/>
      <c r="C373" s="42"/>
      <c r="D373" s="43"/>
      <c r="E373" s="42"/>
      <c r="F373" s="42"/>
      <c r="G373" s="42"/>
      <c r="H373" s="78">
        <f t="shared" si="13"/>
        <v>0</v>
      </c>
    </row>
  </sheetData>
  <sortState xmlns:xlrd2="http://schemas.microsoft.com/office/spreadsheetml/2017/richdata2" ref="C88:H349">
    <sortCondition ref="C88:C349"/>
  </sortState>
  <mergeCells count="6">
    <mergeCell ref="A2:A3"/>
    <mergeCell ref="E2:G2"/>
    <mergeCell ref="H2:H3"/>
    <mergeCell ref="B2:B3"/>
    <mergeCell ref="C2:C3"/>
    <mergeCell ref="D2:D3"/>
  </mergeCells>
  <phoneticPr fontId="4"/>
  <pageMargins left="0.31496062992125984" right="0" top="0.74803149606299213" bottom="0" header="0.31496062992125984" footer="0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EE10-7783-446F-80EA-21C61B92ED34}">
  <dimension ref="A1:AF13"/>
  <sheetViews>
    <sheetView topLeftCell="L1" zoomScale="120" zoomScaleNormal="120" workbookViewId="0">
      <selection activeCell="AA18" sqref="AA18"/>
    </sheetView>
  </sheetViews>
  <sheetFormatPr defaultColWidth="9" defaultRowHeight="14.25"/>
  <cols>
    <col min="1" max="1" width="14.75" style="159" bestFit="1" customWidth="1"/>
    <col min="2" max="2" width="13.25" style="157" bestFit="1" customWidth="1"/>
    <col min="3" max="3" width="2.125" style="157" customWidth="1"/>
    <col min="4" max="4" width="14.75" style="159" bestFit="1" customWidth="1"/>
    <col min="5" max="5" width="13.25" style="157" bestFit="1" customWidth="1"/>
    <col min="6" max="6" width="11.625" style="157" bestFit="1" customWidth="1"/>
    <col min="7" max="7" width="7.125" style="157" bestFit="1" customWidth="1"/>
    <col min="8" max="8" width="1.875" style="157" customWidth="1"/>
    <col min="9" max="9" width="14.75" style="157" bestFit="1" customWidth="1"/>
    <col min="10" max="10" width="13.25" style="157" bestFit="1" customWidth="1"/>
    <col min="11" max="11" width="11.625" style="157" bestFit="1" customWidth="1"/>
    <col min="12" max="12" width="9.875" style="157" customWidth="1"/>
    <col min="13" max="13" width="2.125" style="157" customWidth="1"/>
    <col min="14" max="14" width="14.75" style="157" bestFit="1" customWidth="1"/>
    <col min="15" max="15" width="13.25" style="157" bestFit="1" customWidth="1"/>
    <col min="16" max="16" width="12.75" style="157" bestFit="1" customWidth="1"/>
    <col min="17" max="17" width="9" style="157"/>
    <col min="18" max="18" width="2.125" style="157" customWidth="1"/>
    <col min="19" max="19" width="14.75" style="157" bestFit="1" customWidth="1"/>
    <col min="20" max="20" width="13.25" style="157" bestFit="1" customWidth="1"/>
    <col min="21" max="21" width="11.625" style="157" bestFit="1" customWidth="1"/>
    <col min="22" max="22" width="9" style="157"/>
    <col min="23" max="23" width="2.625" style="157" customWidth="1"/>
    <col min="24" max="24" width="14.75" style="157" bestFit="1" customWidth="1"/>
    <col min="25" max="25" width="13.25" style="157" bestFit="1" customWidth="1"/>
    <col min="26" max="26" width="12.75" style="157" bestFit="1" customWidth="1"/>
    <col min="27" max="27" width="9" style="157"/>
    <col min="28" max="28" width="3.625" style="157" customWidth="1"/>
    <col min="29" max="29" width="14.75" style="157" bestFit="1" customWidth="1"/>
    <col min="30" max="30" width="13.25" style="157" bestFit="1" customWidth="1"/>
    <col min="31" max="16384" width="9" style="157"/>
  </cols>
  <sheetData>
    <row r="1" spans="1:32" ht="15">
      <c r="A1" s="273">
        <v>45930</v>
      </c>
      <c r="B1" s="274"/>
      <c r="D1" s="568">
        <v>45961</v>
      </c>
      <c r="E1" s="568"/>
      <c r="F1" s="568"/>
      <c r="G1" s="568"/>
      <c r="I1" s="568">
        <v>45991</v>
      </c>
      <c r="J1" s="568"/>
      <c r="K1" s="568"/>
      <c r="L1" s="568"/>
      <c r="N1" s="568">
        <v>46022</v>
      </c>
      <c r="O1" s="568"/>
      <c r="P1" s="568"/>
      <c r="Q1" s="568"/>
      <c r="S1" s="568">
        <v>46053</v>
      </c>
      <c r="T1" s="568"/>
      <c r="U1" s="568"/>
      <c r="V1" s="568"/>
      <c r="X1" s="568">
        <v>46081</v>
      </c>
      <c r="Y1" s="568"/>
      <c r="Z1" s="568"/>
      <c r="AA1" s="568"/>
      <c r="AC1" s="568">
        <v>46112</v>
      </c>
      <c r="AD1" s="568"/>
      <c r="AE1" s="568"/>
      <c r="AF1" s="568"/>
    </row>
    <row r="2" spans="1:32" s="159" customFormat="1">
      <c r="A2" s="158"/>
      <c r="B2" s="158" t="s">
        <v>1381</v>
      </c>
      <c r="D2" s="158"/>
      <c r="E2" s="158" t="s">
        <v>1381</v>
      </c>
      <c r="F2" s="158" t="s">
        <v>1382</v>
      </c>
      <c r="G2" s="158" t="s">
        <v>1383</v>
      </c>
      <c r="I2" s="158"/>
      <c r="J2" s="158" t="s">
        <v>1381</v>
      </c>
      <c r="K2" s="158" t="s">
        <v>1382</v>
      </c>
      <c r="L2" s="158" t="s">
        <v>1383</v>
      </c>
      <c r="N2" s="158"/>
      <c r="O2" s="158" t="s">
        <v>1381</v>
      </c>
      <c r="P2" s="158" t="s">
        <v>1382</v>
      </c>
      <c r="Q2" s="158" t="s">
        <v>1383</v>
      </c>
      <c r="S2" s="158"/>
      <c r="T2" s="158" t="s">
        <v>1381</v>
      </c>
      <c r="U2" s="158" t="s">
        <v>1382</v>
      </c>
      <c r="V2" s="158" t="s">
        <v>1383</v>
      </c>
      <c r="X2" s="158"/>
      <c r="Y2" s="158" t="s">
        <v>1381</v>
      </c>
      <c r="Z2" s="158" t="s">
        <v>1382</v>
      </c>
      <c r="AA2" s="158" t="s">
        <v>1383</v>
      </c>
      <c r="AC2" s="158"/>
      <c r="AD2" s="158" t="s">
        <v>1381</v>
      </c>
      <c r="AE2" s="158" t="s">
        <v>1382</v>
      </c>
      <c r="AF2" s="158" t="s">
        <v>1383</v>
      </c>
    </row>
    <row r="3" spans="1:32">
      <c r="A3" s="158" t="s">
        <v>76</v>
      </c>
      <c r="B3" s="160">
        <v>3993973</v>
      </c>
      <c r="D3" s="158" t="s">
        <v>76</v>
      </c>
      <c r="E3" s="160"/>
      <c r="F3" s="160">
        <f>E3-B3</f>
        <v>-3993973</v>
      </c>
      <c r="G3" s="161">
        <f>E3/B3</f>
        <v>0</v>
      </c>
      <c r="I3" s="158" t="s">
        <v>76</v>
      </c>
      <c r="J3" s="160"/>
      <c r="K3" s="160">
        <f>J3-E3</f>
        <v>0</v>
      </c>
      <c r="L3" s="161" t="e">
        <f>J3/E3</f>
        <v>#DIV/0!</v>
      </c>
      <c r="N3" s="158" t="s">
        <v>76</v>
      </c>
      <c r="O3" s="160"/>
      <c r="P3" s="160">
        <f>O3-J3</f>
        <v>0</v>
      </c>
      <c r="Q3" s="161" t="e">
        <f>O3/J3</f>
        <v>#DIV/0!</v>
      </c>
      <c r="S3" s="158" t="s">
        <v>76</v>
      </c>
      <c r="T3" s="160"/>
      <c r="U3" s="160">
        <f>T3-O3</f>
        <v>0</v>
      </c>
      <c r="V3" s="161" t="e">
        <f>T3/O3</f>
        <v>#DIV/0!</v>
      </c>
      <c r="X3" s="158" t="s">
        <v>76</v>
      </c>
      <c r="Y3" s="160"/>
      <c r="Z3" s="160">
        <f>Y3-T3</f>
        <v>0</v>
      </c>
      <c r="AA3" s="161" t="e">
        <f>Y3/T3</f>
        <v>#DIV/0!</v>
      </c>
      <c r="AC3" s="158" t="s">
        <v>76</v>
      </c>
      <c r="AD3" s="160">
        <f>本田!D4</f>
        <v>0</v>
      </c>
      <c r="AE3" s="160">
        <f>AD3-Y3</f>
        <v>0</v>
      </c>
      <c r="AF3" s="161" t="e">
        <f>AD3/Y3</f>
        <v>#DIV/0!</v>
      </c>
    </row>
    <row r="4" spans="1:32">
      <c r="A4" s="158" t="s">
        <v>1384</v>
      </c>
      <c r="B4" s="160">
        <v>2540534</v>
      </c>
      <c r="D4" s="158" t="s">
        <v>1384</v>
      </c>
      <c r="E4" s="160"/>
      <c r="F4" s="160">
        <f>E4-B4</f>
        <v>-2540534</v>
      </c>
      <c r="G4" s="161">
        <f>E4/B4</f>
        <v>0</v>
      </c>
      <c r="I4" s="158" t="s">
        <v>1384</v>
      </c>
      <c r="J4" s="160"/>
      <c r="K4" s="160">
        <f t="shared" ref="K4:K13" si="0">J4-E4</f>
        <v>0</v>
      </c>
      <c r="L4" s="161" t="e">
        <f t="shared" ref="L4:L13" si="1">J4/E4</f>
        <v>#DIV/0!</v>
      </c>
      <c r="N4" s="158" t="s">
        <v>1384</v>
      </c>
      <c r="O4" s="160"/>
      <c r="P4" s="160">
        <f t="shared" ref="P4:P10" si="2">O4-J4</f>
        <v>0</v>
      </c>
      <c r="Q4" s="161" t="e">
        <f t="shared" ref="Q4:Q5" si="3">O4/J4</f>
        <v>#DIV/0!</v>
      </c>
      <c r="S4" s="158" t="s">
        <v>1384</v>
      </c>
      <c r="T4" s="160"/>
      <c r="U4" s="160">
        <f t="shared" ref="U4:U10" si="4">T4-O4</f>
        <v>0</v>
      </c>
      <c r="V4" s="161" t="e">
        <f t="shared" ref="V4:V6" si="5">T4/O4</f>
        <v>#DIV/0!</v>
      </c>
      <c r="X4" s="158" t="s">
        <v>1384</v>
      </c>
      <c r="Y4" s="160"/>
      <c r="Z4" s="160">
        <f t="shared" ref="Z4:Z6" si="6">Y4-T4</f>
        <v>0</v>
      </c>
      <c r="AA4" s="161" t="e">
        <f t="shared" ref="AA4:AA6" si="7">Y4/T4</f>
        <v>#DIV/0!</v>
      </c>
      <c r="AC4" s="158" t="s">
        <v>1384</v>
      </c>
      <c r="AD4" s="160">
        <f>吉井!D4</f>
        <v>0</v>
      </c>
      <c r="AE4" s="160">
        <f t="shared" ref="AE4:AE6" si="8">AD4-Y4</f>
        <v>0</v>
      </c>
      <c r="AF4" s="161" t="e">
        <f t="shared" ref="AF4:AF6" si="9">AD4/Y4</f>
        <v>#DIV/0!</v>
      </c>
    </row>
    <row r="5" spans="1:32">
      <c r="A5" s="158" t="s">
        <v>1385</v>
      </c>
      <c r="B5" s="160">
        <v>1619867</v>
      </c>
      <c r="D5" s="158" t="s">
        <v>1385</v>
      </c>
      <c r="E5" s="160"/>
      <c r="F5" s="160">
        <f>E5-B5</f>
        <v>-1619867</v>
      </c>
      <c r="G5" s="161">
        <f>E5/B5</f>
        <v>0</v>
      </c>
      <c r="I5" s="158" t="s">
        <v>1385</v>
      </c>
      <c r="J5" s="160"/>
      <c r="K5" s="160">
        <f t="shared" si="0"/>
        <v>0</v>
      </c>
      <c r="L5" s="161" t="e">
        <f t="shared" si="1"/>
        <v>#DIV/0!</v>
      </c>
      <c r="N5" s="158" t="s">
        <v>1385</v>
      </c>
      <c r="O5" s="160"/>
      <c r="P5" s="160">
        <f t="shared" si="2"/>
        <v>0</v>
      </c>
      <c r="Q5" s="161" t="e">
        <f t="shared" si="3"/>
        <v>#DIV/0!</v>
      </c>
      <c r="S5" s="158" t="s">
        <v>1385</v>
      </c>
      <c r="T5" s="160"/>
      <c r="U5" s="160">
        <f t="shared" si="4"/>
        <v>0</v>
      </c>
      <c r="V5" s="161" t="e">
        <f t="shared" si="5"/>
        <v>#DIV/0!</v>
      </c>
      <c r="X5" s="158" t="s">
        <v>1385</v>
      </c>
      <c r="Y5" s="160"/>
      <c r="Z5" s="160">
        <f t="shared" si="6"/>
        <v>0</v>
      </c>
      <c r="AA5" s="161" t="e">
        <f t="shared" si="7"/>
        <v>#DIV/0!</v>
      </c>
      <c r="AC5" s="158" t="s">
        <v>1385</v>
      </c>
      <c r="AD5" s="160" t="str">
        <f>中島!D4</f>
        <v>　</v>
      </c>
      <c r="AE5" s="160" t="e">
        <f t="shared" si="8"/>
        <v>#VALUE!</v>
      </c>
      <c r="AF5" s="161" t="e">
        <f t="shared" si="9"/>
        <v>#VALUE!</v>
      </c>
    </row>
    <row r="6" spans="1:32">
      <c r="A6" s="158" t="s">
        <v>1386</v>
      </c>
      <c r="B6" s="160">
        <v>1923889</v>
      </c>
      <c r="D6" s="158" t="s">
        <v>1386</v>
      </c>
      <c r="E6" s="160"/>
      <c r="F6" s="160"/>
      <c r="G6" s="161"/>
      <c r="I6" s="158" t="s">
        <v>1386</v>
      </c>
      <c r="J6" s="160"/>
      <c r="K6" s="160">
        <f t="shared" ref="K6" si="10">J6-E6</f>
        <v>0</v>
      </c>
      <c r="L6" s="161"/>
      <c r="N6" s="158" t="s">
        <v>1386</v>
      </c>
      <c r="O6" s="160"/>
      <c r="P6" s="160">
        <f t="shared" si="2"/>
        <v>0</v>
      </c>
      <c r="Q6" s="161"/>
      <c r="S6" s="158" t="s">
        <v>1386</v>
      </c>
      <c r="T6" s="160"/>
      <c r="U6" s="160">
        <f t="shared" si="4"/>
        <v>0</v>
      </c>
      <c r="V6" s="161" t="e">
        <f t="shared" si="5"/>
        <v>#DIV/0!</v>
      </c>
      <c r="X6" s="158" t="s">
        <v>1386</v>
      </c>
      <c r="Y6" s="160"/>
      <c r="Z6" s="160">
        <f t="shared" si="6"/>
        <v>0</v>
      </c>
      <c r="AA6" s="161" t="e">
        <f t="shared" si="7"/>
        <v>#DIV/0!</v>
      </c>
      <c r="AC6" s="158" t="s">
        <v>1386</v>
      </c>
      <c r="AD6" s="160">
        <f>堤!D3</f>
        <v>0</v>
      </c>
      <c r="AE6" s="160">
        <f t="shared" si="8"/>
        <v>0</v>
      </c>
      <c r="AF6" s="161" t="e">
        <f t="shared" si="9"/>
        <v>#DIV/0!</v>
      </c>
    </row>
    <row r="7" spans="1:32">
      <c r="A7" s="158" t="s">
        <v>1387</v>
      </c>
      <c r="B7" s="160">
        <v>181061</v>
      </c>
      <c r="D7" s="158" t="s">
        <v>1387</v>
      </c>
      <c r="E7" s="160"/>
      <c r="F7" s="160"/>
      <c r="G7" s="161"/>
      <c r="I7" s="158" t="s">
        <v>1387</v>
      </c>
      <c r="J7" s="160"/>
      <c r="K7" s="160"/>
      <c r="L7" s="161"/>
      <c r="N7" s="158" t="s">
        <v>1387</v>
      </c>
      <c r="O7" s="160"/>
      <c r="P7" s="160"/>
      <c r="Q7" s="161"/>
      <c r="S7" s="158" t="s">
        <v>1387</v>
      </c>
      <c r="T7" s="160"/>
      <c r="U7" s="160"/>
      <c r="V7" s="161"/>
      <c r="X7" s="158" t="s">
        <v>1387</v>
      </c>
      <c r="Y7" s="160"/>
      <c r="Z7" s="160">
        <f t="shared" ref="Z7:Z12" si="11">Y7-T7</f>
        <v>0</v>
      </c>
      <c r="AA7" s="161" t="e">
        <f t="shared" ref="AA7:AA12" si="12">Y7/T7</f>
        <v>#DIV/0!</v>
      </c>
      <c r="AC7" s="158" t="s">
        <v>1387</v>
      </c>
      <c r="AD7" s="160"/>
      <c r="AE7" s="160"/>
      <c r="AF7" s="161"/>
    </row>
    <row r="8" spans="1:32">
      <c r="A8" s="158" t="s">
        <v>1388</v>
      </c>
      <c r="B8" s="160">
        <v>3555420</v>
      </c>
      <c r="D8" s="158" t="s">
        <v>1388</v>
      </c>
      <c r="E8" s="160"/>
      <c r="F8" s="160">
        <f>E8-B8</f>
        <v>-3555420</v>
      </c>
      <c r="G8" s="161">
        <f>E8/B8</f>
        <v>0</v>
      </c>
      <c r="I8" s="158" t="s">
        <v>1388</v>
      </c>
      <c r="J8" s="160"/>
      <c r="K8" s="160">
        <f t="shared" si="0"/>
        <v>0</v>
      </c>
      <c r="L8" s="161" t="e">
        <f t="shared" si="1"/>
        <v>#DIV/0!</v>
      </c>
      <c r="N8" s="158" t="s">
        <v>1388</v>
      </c>
      <c r="O8" s="160"/>
      <c r="P8" s="160">
        <f t="shared" si="2"/>
        <v>0</v>
      </c>
      <c r="Q8" s="161" t="e">
        <f t="shared" ref="Q8:Q10" si="13">O8/J8</f>
        <v>#DIV/0!</v>
      </c>
      <c r="S8" s="158" t="s">
        <v>1388</v>
      </c>
      <c r="T8" s="160"/>
      <c r="U8" s="160">
        <f t="shared" si="4"/>
        <v>0</v>
      </c>
      <c r="V8" s="161" t="e">
        <f t="shared" ref="V8:V10" si="14">T8/O8</f>
        <v>#DIV/0!</v>
      </c>
      <c r="X8" s="158" t="s">
        <v>1388</v>
      </c>
      <c r="Y8" s="160"/>
      <c r="Z8" s="160">
        <f t="shared" si="11"/>
        <v>0</v>
      </c>
      <c r="AA8" s="161" t="e">
        <f t="shared" si="12"/>
        <v>#DIV/0!</v>
      </c>
      <c r="AC8" s="158" t="s">
        <v>1388</v>
      </c>
      <c r="AD8" s="160">
        <f>坂本!D4</f>
        <v>0</v>
      </c>
      <c r="AE8" s="160">
        <f t="shared" ref="AE8:AE10" si="15">AD8-Y8</f>
        <v>0</v>
      </c>
      <c r="AF8" s="161" t="e">
        <f t="shared" ref="AF8:AF10" si="16">AD8/Y8</f>
        <v>#DIV/0!</v>
      </c>
    </row>
    <row r="9" spans="1:32">
      <c r="A9" s="158" t="s">
        <v>1389</v>
      </c>
      <c r="B9" s="160">
        <v>6363213</v>
      </c>
      <c r="D9" s="158" t="s">
        <v>1389</v>
      </c>
      <c r="E9" s="160"/>
      <c r="F9" s="160">
        <f>E9-B9</f>
        <v>-6363213</v>
      </c>
      <c r="G9" s="161">
        <f>E9/B9</f>
        <v>0</v>
      </c>
      <c r="I9" s="158" t="s">
        <v>1389</v>
      </c>
      <c r="J9" s="160"/>
      <c r="K9" s="160">
        <f t="shared" si="0"/>
        <v>0</v>
      </c>
      <c r="L9" s="161" t="e">
        <f t="shared" si="1"/>
        <v>#DIV/0!</v>
      </c>
      <c r="N9" s="158" t="s">
        <v>1389</v>
      </c>
      <c r="O9" s="160"/>
      <c r="P9" s="160">
        <f t="shared" si="2"/>
        <v>0</v>
      </c>
      <c r="Q9" s="161" t="e">
        <f t="shared" si="13"/>
        <v>#DIV/0!</v>
      </c>
      <c r="S9" s="158" t="s">
        <v>1389</v>
      </c>
      <c r="T9" s="160"/>
      <c r="U9" s="160">
        <f t="shared" si="4"/>
        <v>0</v>
      </c>
      <c r="V9" s="161" t="e">
        <f t="shared" si="14"/>
        <v>#DIV/0!</v>
      </c>
      <c r="X9" s="158" t="s">
        <v>1389</v>
      </c>
      <c r="Y9" s="160"/>
      <c r="Z9" s="160">
        <f t="shared" si="11"/>
        <v>0</v>
      </c>
      <c r="AA9" s="161" t="e">
        <f t="shared" si="12"/>
        <v>#DIV/0!</v>
      </c>
      <c r="AC9" s="158" t="s">
        <v>1389</v>
      </c>
      <c r="AD9" s="160" t="e">
        <f>'久留米 '!#REF!</f>
        <v>#REF!</v>
      </c>
      <c r="AE9" s="160" t="e">
        <f t="shared" si="15"/>
        <v>#REF!</v>
      </c>
      <c r="AF9" s="161" t="e">
        <f t="shared" si="16"/>
        <v>#REF!</v>
      </c>
    </row>
    <row r="10" spans="1:32">
      <c r="A10" s="158" t="s">
        <v>1390</v>
      </c>
      <c r="B10" s="160">
        <v>335467</v>
      </c>
      <c r="D10" s="158" t="s">
        <v>1390</v>
      </c>
      <c r="E10" s="160"/>
      <c r="F10" s="160">
        <f>E10-B10</f>
        <v>-335467</v>
      </c>
      <c r="G10" s="161">
        <f>E10/B10</f>
        <v>0</v>
      </c>
      <c r="I10" s="158" t="s">
        <v>1390</v>
      </c>
      <c r="J10" s="160"/>
      <c r="K10" s="160">
        <f t="shared" si="0"/>
        <v>0</v>
      </c>
      <c r="L10" s="161" t="e">
        <f t="shared" si="1"/>
        <v>#DIV/0!</v>
      </c>
      <c r="N10" s="158" t="s">
        <v>1390</v>
      </c>
      <c r="O10" s="160"/>
      <c r="P10" s="160">
        <f t="shared" si="2"/>
        <v>0</v>
      </c>
      <c r="Q10" s="161" t="e">
        <f t="shared" si="13"/>
        <v>#DIV/0!</v>
      </c>
      <c r="S10" s="158" t="s">
        <v>1390</v>
      </c>
      <c r="T10" s="160"/>
      <c r="U10" s="160">
        <f t="shared" si="4"/>
        <v>0</v>
      </c>
      <c r="V10" s="161" t="e">
        <f t="shared" si="14"/>
        <v>#DIV/0!</v>
      </c>
      <c r="X10" s="158" t="s">
        <v>1390</v>
      </c>
      <c r="Y10" s="160"/>
      <c r="Z10" s="160">
        <f t="shared" si="11"/>
        <v>0</v>
      </c>
      <c r="AA10" s="161" t="e">
        <f t="shared" si="12"/>
        <v>#DIV/0!</v>
      </c>
      <c r="AC10" s="158" t="s">
        <v>1390</v>
      </c>
      <c r="AD10" s="160">
        <f>'久留米(ドンキ景品)'!D3</f>
        <v>0</v>
      </c>
      <c r="AE10" s="160">
        <f t="shared" si="15"/>
        <v>0</v>
      </c>
      <c r="AF10" s="161" t="e">
        <f t="shared" si="16"/>
        <v>#DIV/0!</v>
      </c>
    </row>
    <row r="11" spans="1:32">
      <c r="A11" s="158" t="s">
        <v>666</v>
      </c>
      <c r="B11" s="160">
        <v>3437686</v>
      </c>
      <c r="D11" s="158" t="s">
        <v>666</v>
      </c>
      <c r="E11" s="160"/>
      <c r="F11" s="160">
        <f>E11-B11</f>
        <v>-3437686</v>
      </c>
      <c r="G11" s="161">
        <f>E11/B11</f>
        <v>0</v>
      </c>
      <c r="I11" s="158" t="s">
        <v>666</v>
      </c>
      <c r="J11" s="160"/>
      <c r="K11" s="160">
        <f>J11-E11</f>
        <v>0</v>
      </c>
      <c r="L11" s="161" t="e">
        <f>J11/E11</f>
        <v>#DIV/0!</v>
      </c>
      <c r="N11" s="158" t="s">
        <v>666</v>
      </c>
      <c r="O11" s="160"/>
      <c r="P11" s="160">
        <f>O11-J11</f>
        <v>0</v>
      </c>
      <c r="Q11" s="161" t="e">
        <f>O11/J11</f>
        <v>#DIV/0!</v>
      </c>
      <c r="S11" s="158" t="s">
        <v>666</v>
      </c>
      <c r="T11" s="160"/>
      <c r="U11" s="160">
        <f>T11-O11</f>
        <v>0</v>
      </c>
      <c r="V11" s="161" t="e">
        <f>T11/O11</f>
        <v>#DIV/0!</v>
      </c>
      <c r="X11" s="158" t="s">
        <v>666</v>
      </c>
      <c r="Y11" s="160"/>
      <c r="Z11" s="160">
        <f t="shared" si="11"/>
        <v>0</v>
      </c>
      <c r="AA11" s="161" t="e">
        <f t="shared" si="12"/>
        <v>#DIV/0!</v>
      </c>
      <c r="AC11" s="158" t="s">
        <v>666</v>
      </c>
      <c r="AD11" s="160">
        <f>飯塚!D4</f>
        <v>0</v>
      </c>
      <c r="AE11" s="160">
        <f>AD11-Y11</f>
        <v>0</v>
      </c>
      <c r="AF11" s="161" t="e">
        <f>AD11/Y11</f>
        <v>#DIV/0!</v>
      </c>
    </row>
    <row r="12" spans="1:32">
      <c r="A12" s="158" t="s">
        <v>1179</v>
      </c>
      <c r="B12" s="160"/>
      <c r="D12" s="158" t="s">
        <v>1179</v>
      </c>
      <c r="E12" s="162"/>
      <c r="F12" s="160"/>
      <c r="G12" s="161"/>
      <c r="I12" s="158" t="s">
        <v>1179</v>
      </c>
      <c r="J12" s="162"/>
      <c r="K12" s="160"/>
      <c r="L12" s="161"/>
      <c r="N12" s="158" t="s">
        <v>1179</v>
      </c>
      <c r="O12" s="162"/>
      <c r="P12" s="160"/>
      <c r="Q12" s="161"/>
      <c r="S12" s="158" t="s">
        <v>1179</v>
      </c>
      <c r="T12" s="162"/>
      <c r="U12" s="160"/>
      <c r="V12" s="161"/>
      <c r="X12" s="158" t="s">
        <v>1179</v>
      </c>
      <c r="Y12" s="162"/>
      <c r="Z12" s="160">
        <f t="shared" si="11"/>
        <v>0</v>
      </c>
      <c r="AA12" s="161" t="e">
        <f t="shared" si="12"/>
        <v>#DIV/0!</v>
      </c>
      <c r="AC12" s="158" t="s">
        <v>1179</v>
      </c>
      <c r="AD12" s="162"/>
      <c r="AE12" s="160"/>
      <c r="AF12" s="161"/>
    </row>
    <row r="13" spans="1:32" ht="16.5">
      <c r="A13" s="158"/>
      <c r="B13" s="163">
        <v>23951110</v>
      </c>
      <c r="D13" s="158"/>
      <c r="E13" s="163">
        <f>SUM(E3:E12)</f>
        <v>0</v>
      </c>
      <c r="F13" s="160">
        <f>E13-B13</f>
        <v>-23951110</v>
      </c>
      <c r="G13" s="161">
        <f>E13/B13</f>
        <v>0</v>
      </c>
      <c r="I13" s="158"/>
      <c r="J13" s="163">
        <f>SUM(J3:J12)</f>
        <v>0</v>
      </c>
      <c r="K13" s="160">
        <f t="shared" si="0"/>
        <v>0</v>
      </c>
      <c r="L13" s="161" t="e">
        <f t="shared" si="1"/>
        <v>#DIV/0!</v>
      </c>
      <c r="N13" s="158"/>
      <c r="O13" s="163">
        <f>SUM(O3:O12)</f>
        <v>0</v>
      </c>
      <c r="P13" s="160">
        <f t="shared" ref="P13" si="17">O13-J13</f>
        <v>0</v>
      </c>
      <c r="Q13" s="161" t="e">
        <f t="shared" ref="Q13" si="18">O13/J13</f>
        <v>#DIV/0!</v>
      </c>
      <c r="S13" s="158"/>
      <c r="T13" s="163">
        <f>SUM(T3:T12)</f>
        <v>0</v>
      </c>
      <c r="U13" s="160">
        <f t="shared" ref="U13" si="19">T13-O13</f>
        <v>0</v>
      </c>
      <c r="V13" s="161" t="e">
        <f t="shared" ref="V13" si="20">T13/O13</f>
        <v>#DIV/0!</v>
      </c>
      <c r="X13" s="158"/>
      <c r="Y13" s="163">
        <f>SUM(Y3:Y12)</f>
        <v>0</v>
      </c>
      <c r="Z13" s="160">
        <f t="shared" ref="Z13" si="21">Y13-T13</f>
        <v>0</v>
      </c>
      <c r="AA13" s="161" t="e">
        <f t="shared" ref="AA13" si="22">Y13/T13</f>
        <v>#DIV/0!</v>
      </c>
      <c r="AC13" s="158"/>
      <c r="AD13" s="163" t="e">
        <f>SUM(AD3:AD12)</f>
        <v>#REF!</v>
      </c>
      <c r="AE13" s="160" t="e">
        <f t="shared" ref="AE13" si="23">AD13-Y13</f>
        <v>#REF!</v>
      </c>
      <c r="AF13" s="161" t="e">
        <f t="shared" ref="AF13" si="24">AD13/Y13</f>
        <v>#REF!</v>
      </c>
    </row>
  </sheetData>
  <mergeCells count="6">
    <mergeCell ref="AC1:AF1"/>
    <mergeCell ref="X1:AA1"/>
    <mergeCell ref="D1:G1"/>
    <mergeCell ref="I1:L1"/>
    <mergeCell ref="N1:Q1"/>
    <mergeCell ref="S1:V1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浩一 坂本</dc:creator>
  <cp:keywords/>
  <dc:description/>
  <cp:lastModifiedBy>ゲスト ユーザー</cp:lastModifiedBy>
  <cp:revision/>
  <dcterms:created xsi:type="dcterms:W3CDTF">2024-09-25T10:20:54Z</dcterms:created>
  <dcterms:modified xsi:type="dcterms:W3CDTF">2026-04-02T08:10:59Z</dcterms:modified>
  <cp:category/>
  <cp:contentStatus/>
</cp:coreProperties>
</file>