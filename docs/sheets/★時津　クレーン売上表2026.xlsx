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356" documentId="8_{075839DE-FA63-4207-8C5B-9CEDB7D3FA0E}" xr6:coauthVersionLast="47" xr6:coauthVersionMax="47" xr10:uidLastSave="{9D948A9E-B6FA-FF48-9E3B-AF500A901A71}"/>
  <bookViews>
    <workbookView xWindow="-120" yWindow="-120" windowWidth="29040" windowHeight="15720" xr2:uid="{00000000-000D-0000-FFFF-FFFF00000000}"/>
  </bookViews>
  <sheets>
    <sheet name="時津" sheetId="7" r:id="rId1"/>
  </sheets>
  <definedNames>
    <definedName name="_xlnm._FilterDatabase" localSheetId="0" hidden="1">時津!$BF$223:$BR$284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4" i="7" l="1"/>
  <c r="HA29" i="7"/>
  <c r="HB29" i="7"/>
  <c r="HC29" i="7"/>
  <c r="GZ29" i="7"/>
  <c r="HA28" i="7"/>
  <c r="HB28" i="7"/>
  <c r="HC28" i="7"/>
  <c r="GZ28" i="7"/>
  <c r="HA27" i="7"/>
  <c r="HB27" i="7"/>
  <c r="HC27" i="7"/>
  <c r="GZ27" i="7"/>
  <c r="HA26" i="7"/>
  <c r="HB26" i="7"/>
  <c r="HC26" i="7"/>
  <c r="GZ26" i="7"/>
  <c r="HA25" i="7"/>
  <c r="HB25" i="7"/>
  <c r="HC25" i="7"/>
  <c r="GZ25" i="7"/>
  <c r="HA24" i="7"/>
  <c r="HB24" i="7"/>
  <c r="HC24" i="7"/>
  <c r="GZ24" i="7"/>
  <c r="HA23" i="7"/>
  <c r="HB23" i="7"/>
  <c r="HC23" i="7"/>
  <c r="GZ23" i="7"/>
  <c r="HA22" i="7"/>
  <c r="HB22" i="7"/>
  <c r="HC22" i="7"/>
  <c r="GZ22" i="7"/>
  <c r="HA21" i="7"/>
  <c r="HB21" i="7"/>
  <c r="HC21" i="7"/>
  <c r="GZ21" i="7"/>
  <c r="HA20" i="7"/>
  <c r="HB20" i="7"/>
  <c r="HC20" i="7"/>
  <c r="GZ20" i="7"/>
  <c r="HA19" i="7"/>
  <c r="HB19" i="7"/>
  <c r="HC19" i="7"/>
  <c r="GZ19" i="7"/>
  <c r="HA18" i="7"/>
  <c r="HB18" i="7"/>
  <c r="HC18" i="7"/>
  <c r="GZ18" i="7"/>
  <c r="HA17" i="7"/>
  <c r="HB17" i="7"/>
  <c r="HC17" i="7"/>
  <c r="GZ17" i="7"/>
  <c r="HA16" i="7"/>
  <c r="HB16" i="7"/>
  <c r="HC16" i="7"/>
  <c r="GZ16" i="7"/>
  <c r="HA15" i="7"/>
  <c r="HB15" i="7"/>
  <c r="HC15" i="7"/>
  <c r="GZ15" i="7"/>
  <c r="HA14" i="7"/>
  <c r="HB14" i="7"/>
  <c r="HC14" i="7"/>
  <c r="GZ14" i="7"/>
  <c r="HA13" i="7"/>
  <c r="HB13" i="7"/>
  <c r="HC13" i="7"/>
  <c r="GZ13" i="7"/>
  <c r="HA12" i="7"/>
  <c r="HB12" i="7"/>
  <c r="HC12" i="7"/>
  <c r="GZ12" i="7"/>
  <c r="HA11" i="7"/>
  <c r="HB11" i="7"/>
  <c r="HC11" i="7"/>
  <c r="GZ11" i="7"/>
  <c r="HA10" i="7"/>
  <c r="HB10" i="7"/>
  <c r="HC10" i="7"/>
  <c r="GZ10" i="7"/>
  <c r="HA9" i="7"/>
  <c r="HB9" i="7"/>
  <c r="HC9" i="7"/>
  <c r="GZ9" i="7"/>
  <c r="HA8" i="7"/>
  <c r="HB8" i="7"/>
  <c r="HC8" i="7"/>
  <c r="GZ8" i="7"/>
  <c r="HA7" i="7"/>
  <c r="HB7" i="7"/>
  <c r="HC7" i="7"/>
  <c r="GZ7" i="7"/>
  <c r="HA6" i="7"/>
  <c r="HB6" i="7"/>
  <c r="HC6" i="7"/>
  <c r="GZ6" i="7"/>
  <c r="HA5" i="7"/>
  <c r="HB5" i="7"/>
  <c r="HC5" i="7"/>
  <c r="GZ5" i="7"/>
  <c r="GX5" i="7"/>
  <c r="GV5" i="7"/>
  <c r="B85" i="7"/>
  <c r="L136" i="7"/>
  <c r="HR4" i="7"/>
  <c r="HL4" i="7"/>
  <c r="HF4" i="7"/>
  <c r="GP4" i="7"/>
  <c r="GB4" i="7"/>
  <c r="FN4" i="7"/>
  <c r="EZ4" i="7"/>
  <c r="EL4" i="7"/>
  <c r="DX4" i="7"/>
  <c r="GY12" i="7"/>
  <c r="GX12" i="7"/>
  <c r="GV12" i="7"/>
  <c r="GT12" i="7"/>
  <c r="GR12" i="7"/>
  <c r="GY11" i="7"/>
  <c r="GX11" i="7"/>
  <c r="GV11" i="7"/>
  <c r="GT11" i="7"/>
  <c r="GR11" i="7"/>
  <c r="GY10" i="7"/>
  <c r="GX10" i="7"/>
  <c r="GV10" i="7"/>
  <c r="GT10" i="7"/>
  <c r="GR10" i="7"/>
  <c r="GY9" i="7"/>
  <c r="GX9" i="7"/>
  <c r="GV9" i="7"/>
  <c r="GT9" i="7"/>
  <c r="GR9" i="7"/>
  <c r="GY8" i="7"/>
  <c r="GX8" i="7"/>
  <c r="GV8" i="7"/>
  <c r="GT8" i="7"/>
  <c r="GR8" i="7"/>
  <c r="GY7" i="7"/>
  <c r="GX7" i="7"/>
  <c r="GV7" i="7"/>
  <c r="GT7" i="7"/>
  <c r="GR7" i="7"/>
  <c r="GY6" i="7"/>
  <c r="GX6" i="7"/>
  <c r="GV6" i="7"/>
  <c r="GT6" i="7"/>
  <c r="GR6" i="7"/>
  <c r="GT5" i="7"/>
  <c r="GR5" i="7"/>
  <c r="GK12" i="7"/>
  <c r="GL12" i="7"/>
  <c r="GM12" i="7"/>
  <c r="GJ12" i="7"/>
  <c r="GH12" i="7"/>
  <c r="GF12" i="7"/>
  <c r="GD12" i="7"/>
  <c r="GK11" i="7"/>
  <c r="GL11" i="7"/>
  <c r="GM11" i="7"/>
  <c r="GJ11" i="7"/>
  <c r="GH11" i="7"/>
  <c r="GF11" i="7"/>
  <c r="GD11" i="7"/>
  <c r="GK10" i="7"/>
  <c r="GL10" i="7"/>
  <c r="GM10" i="7"/>
  <c r="GJ10" i="7"/>
  <c r="GH10" i="7"/>
  <c r="GF10" i="7"/>
  <c r="GD10" i="7"/>
  <c r="GK9" i="7"/>
  <c r="GL9" i="7"/>
  <c r="GM9" i="7"/>
  <c r="GJ9" i="7"/>
  <c r="GH9" i="7"/>
  <c r="GF9" i="7"/>
  <c r="GD9" i="7"/>
  <c r="GK8" i="7"/>
  <c r="GL8" i="7"/>
  <c r="GM8" i="7"/>
  <c r="GJ8" i="7"/>
  <c r="GH8" i="7"/>
  <c r="GF8" i="7"/>
  <c r="GD8" i="7"/>
  <c r="GK7" i="7"/>
  <c r="GL7" i="7"/>
  <c r="GM7" i="7"/>
  <c r="GJ7" i="7"/>
  <c r="GH7" i="7"/>
  <c r="GF7" i="7"/>
  <c r="GD7" i="7"/>
  <c r="GK6" i="7"/>
  <c r="GL6" i="7"/>
  <c r="GM6" i="7"/>
  <c r="GJ6" i="7"/>
  <c r="GH6" i="7"/>
  <c r="GF6" i="7"/>
  <c r="GD6" i="7"/>
  <c r="GK5" i="7"/>
  <c r="GH5" i="7"/>
  <c r="GL5" i="7"/>
  <c r="GM5" i="7"/>
  <c r="GJ5" i="7"/>
  <c r="GF5" i="7"/>
  <c r="GD5" i="7"/>
  <c r="FW12" i="7"/>
  <c r="FX12" i="7"/>
  <c r="FY12" i="7"/>
  <c r="FV12" i="7"/>
  <c r="FT12" i="7"/>
  <c r="FR12" i="7"/>
  <c r="FP12" i="7"/>
  <c r="FW11" i="7"/>
  <c r="FX11" i="7"/>
  <c r="FY11" i="7"/>
  <c r="FV11" i="7"/>
  <c r="FT11" i="7"/>
  <c r="FR11" i="7"/>
  <c r="FP11" i="7"/>
  <c r="FW10" i="7"/>
  <c r="FX10" i="7"/>
  <c r="FY10" i="7"/>
  <c r="FV10" i="7"/>
  <c r="FT10" i="7"/>
  <c r="FR10" i="7"/>
  <c r="FP10" i="7"/>
  <c r="FW9" i="7"/>
  <c r="FX9" i="7"/>
  <c r="FY9" i="7"/>
  <c r="FV9" i="7"/>
  <c r="FT9" i="7"/>
  <c r="FR9" i="7"/>
  <c r="FP9" i="7"/>
  <c r="FW8" i="7"/>
  <c r="FX8" i="7"/>
  <c r="FY8" i="7"/>
  <c r="FV8" i="7"/>
  <c r="FT8" i="7"/>
  <c r="FR8" i="7"/>
  <c r="FP8" i="7"/>
  <c r="FW7" i="7"/>
  <c r="FX7" i="7"/>
  <c r="FY7" i="7"/>
  <c r="FV7" i="7"/>
  <c r="FT7" i="7"/>
  <c r="FR7" i="7"/>
  <c r="FP7" i="7"/>
  <c r="FW6" i="7"/>
  <c r="FX6" i="7"/>
  <c r="FY6" i="7"/>
  <c r="FV6" i="7"/>
  <c r="FT6" i="7"/>
  <c r="FR6" i="7"/>
  <c r="FP6" i="7"/>
  <c r="FW5" i="7"/>
  <c r="FT5" i="7"/>
  <c r="FX5" i="7"/>
  <c r="FY5" i="7"/>
  <c r="FV5" i="7"/>
  <c r="FR5" i="7"/>
  <c r="FP5" i="7"/>
  <c r="FI12" i="7"/>
  <c r="FJ12" i="7"/>
  <c r="FK12" i="7"/>
  <c r="FH12" i="7"/>
  <c r="FF12" i="7"/>
  <c r="FD12" i="7"/>
  <c r="FB12" i="7"/>
  <c r="FI11" i="7"/>
  <c r="FJ11" i="7"/>
  <c r="FK11" i="7"/>
  <c r="FH11" i="7"/>
  <c r="FF11" i="7"/>
  <c r="FD11" i="7"/>
  <c r="FB11" i="7"/>
  <c r="FI10" i="7"/>
  <c r="FJ10" i="7"/>
  <c r="FK10" i="7"/>
  <c r="FH10" i="7"/>
  <c r="FF10" i="7"/>
  <c r="FD10" i="7"/>
  <c r="FB10" i="7"/>
  <c r="FI9" i="7"/>
  <c r="FJ9" i="7"/>
  <c r="FK9" i="7"/>
  <c r="FH9" i="7"/>
  <c r="FF9" i="7"/>
  <c r="FD9" i="7"/>
  <c r="FB9" i="7"/>
  <c r="FI8" i="7"/>
  <c r="FJ8" i="7"/>
  <c r="FK8" i="7"/>
  <c r="FH8" i="7"/>
  <c r="FF8" i="7"/>
  <c r="FD8" i="7"/>
  <c r="FB8" i="7"/>
  <c r="FI7" i="7"/>
  <c r="FJ7" i="7"/>
  <c r="FK7" i="7"/>
  <c r="FH7" i="7"/>
  <c r="FF7" i="7"/>
  <c r="FD7" i="7"/>
  <c r="FB7" i="7"/>
  <c r="FI6" i="7"/>
  <c r="FJ6" i="7"/>
  <c r="FK6" i="7"/>
  <c r="FH6" i="7"/>
  <c r="FF6" i="7"/>
  <c r="FD6" i="7"/>
  <c r="FB6" i="7"/>
  <c r="FI5" i="7"/>
  <c r="FF5" i="7"/>
  <c r="FJ5" i="7"/>
  <c r="FK5" i="7"/>
  <c r="FH5" i="7"/>
  <c r="FD5" i="7"/>
  <c r="FB5" i="7"/>
  <c r="EU12" i="7"/>
  <c r="EV12" i="7"/>
  <c r="EW12" i="7"/>
  <c r="ET12" i="7"/>
  <c r="ER12" i="7"/>
  <c r="EP12" i="7"/>
  <c r="EN12" i="7"/>
  <c r="EU11" i="7"/>
  <c r="EV11" i="7"/>
  <c r="EW11" i="7"/>
  <c r="ET11" i="7"/>
  <c r="ER11" i="7"/>
  <c r="EP11" i="7"/>
  <c r="EN11" i="7"/>
  <c r="EU10" i="7"/>
  <c r="EV10" i="7"/>
  <c r="EW10" i="7"/>
  <c r="ET10" i="7"/>
  <c r="ER10" i="7"/>
  <c r="EP10" i="7"/>
  <c r="EN10" i="7"/>
  <c r="EU9" i="7"/>
  <c r="EV9" i="7"/>
  <c r="EW9" i="7"/>
  <c r="ET9" i="7"/>
  <c r="ER9" i="7"/>
  <c r="EP9" i="7"/>
  <c r="EN9" i="7"/>
  <c r="EU8" i="7"/>
  <c r="EV8" i="7"/>
  <c r="EW8" i="7"/>
  <c r="ET8" i="7"/>
  <c r="ER8" i="7"/>
  <c r="EP8" i="7"/>
  <c r="EN8" i="7"/>
  <c r="EU7" i="7"/>
  <c r="EV7" i="7"/>
  <c r="EW7" i="7"/>
  <c r="ET7" i="7"/>
  <c r="ER7" i="7"/>
  <c r="EP7" i="7"/>
  <c r="EN7" i="7"/>
  <c r="EU6" i="7"/>
  <c r="EV6" i="7"/>
  <c r="EW6" i="7"/>
  <c r="ET6" i="7"/>
  <c r="ER6" i="7"/>
  <c r="EP6" i="7"/>
  <c r="EN6" i="7"/>
  <c r="EU5" i="7"/>
  <c r="ER5" i="7"/>
  <c r="EV5" i="7"/>
  <c r="EW5" i="7"/>
  <c r="ET5" i="7"/>
  <c r="EP5" i="7"/>
  <c r="EN5" i="7"/>
  <c r="EG12" i="7"/>
  <c r="EH12" i="7"/>
  <c r="EI12" i="7"/>
  <c r="EF12" i="7"/>
  <c r="ED12" i="7"/>
  <c r="EB12" i="7"/>
  <c r="DZ12" i="7"/>
  <c r="EG11" i="7"/>
  <c r="EH11" i="7"/>
  <c r="EI11" i="7"/>
  <c r="EF11" i="7"/>
  <c r="ED11" i="7"/>
  <c r="EB11" i="7"/>
  <c r="DZ11" i="7"/>
  <c r="EG10" i="7"/>
  <c r="EH10" i="7"/>
  <c r="EI10" i="7"/>
  <c r="EF10" i="7"/>
  <c r="ED10" i="7"/>
  <c r="EB10" i="7"/>
  <c r="DZ10" i="7"/>
  <c r="EG9" i="7"/>
  <c r="EH9" i="7"/>
  <c r="EI9" i="7"/>
  <c r="EF9" i="7"/>
  <c r="ED9" i="7"/>
  <c r="EB9" i="7"/>
  <c r="DZ9" i="7"/>
  <c r="EG8" i="7"/>
  <c r="EH8" i="7"/>
  <c r="EI8" i="7"/>
  <c r="EF8" i="7"/>
  <c r="ED8" i="7"/>
  <c r="EB8" i="7"/>
  <c r="DZ8" i="7"/>
  <c r="EG7" i="7"/>
  <c r="EH7" i="7"/>
  <c r="EI7" i="7"/>
  <c r="EF7" i="7"/>
  <c r="ED7" i="7"/>
  <c r="EB7" i="7"/>
  <c r="DZ7" i="7"/>
  <c r="EG6" i="7"/>
  <c r="EH6" i="7"/>
  <c r="EI6" i="7"/>
  <c r="EF6" i="7"/>
  <c r="ED6" i="7"/>
  <c r="EB6" i="7"/>
  <c r="DZ6" i="7"/>
  <c r="EG5" i="7"/>
  <c r="ED5" i="7"/>
  <c r="EH5" i="7"/>
  <c r="EI5" i="7"/>
  <c r="EF5" i="7"/>
  <c r="EB5" i="7"/>
  <c r="DZ5" i="7"/>
  <c r="DS12" i="7"/>
  <c r="DT12" i="7"/>
  <c r="DU12" i="7"/>
  <c r="DR12" i="7"/>
  <c r="DP12" i="7"/>
  <c r="DN12" i="7"/>
  <c r="DL12" i="7"/>
  <c r="DS11" i="7"/>
  <c r="DT11" i="7"/>
  <c r="DU11" i="7"/>
  <c r="DR11" i="7"/>
  <c r="DP11" i="7"/>
  <c r="DN11" i="7"/>
  <c r="DL11" i="7"/>
  <c r="DS10" i="7"/>
  <c r="DT10" i="7"/>
  <c r="DU10" i="7"/>
  <c r="DR10" i="7"/>
  <c r="DP10" i="7"/>
  <c r="DN10" i="7"/>
  <c r="DL10" i="7"/>
  <c r="DS9" i="7"/>
  <c r="DT9" i="7"/>
  <c r="DU9" i="7"/>
  <c r="DR9" i="7"/>
  <c r="DP9" i="7"/>
  <c r="DN9" i="7"/>
  <c r="DL9" i="7"/>
  <c r="DS8" i="7"/>
  <c r="DT8" i="7"/>
  <c r="DU8" i="7"/>
  <c r="DR8" i="7"/>
  <c r="DP8" i="7"/>
  <c r="DN8" i="7"/>
  <c r="DL8" i="7"/>
  <c r="DS7" i="7"/>
  <c r="DT7" i="7"/>
  <c r="DU7" i="7"/>
  <c r="DR7" i="7"/>
  <c r="DP7" i="7"/>
  <c r="DN7" i="7"/>
  <c r="DL7" i="7"/>
  <c r="DS6" i="7"/>
  <c r="DT6" i="7"/>
  <c r="DU6" i="7"/>
  <c r="DR6" i="7"/>
  <c r="DP6" i="7"/>
  <c r="DN6" i="7"/>
  <c r="DL6" i="7"/>
  <c r="DS5" i="7"/>
  <c r="DP5" i="7"/>
  <c r="DT5" i="7"/>
  <c r="DU5" i="7"/>
  <c r="DR5" i="7"/>
  <c r="DN5" i="7"/>
  <c r="DL5" i="7"/>
  <c r="DJ4" i="7"/>
  <c r="CV4" i="7"/>
  <c r="CV5" i="7"/>
  <c r="DE12" i="7"/>
  <c r="DF12" i="7"/>
  <c r="DG12" i="7"/>
  <c r="DD12" i="7"/>
  <c r="DB12" i="7"/>
  <c r="CZ12" i="7"/>
  <c r="CX12" i="7"/>
  <c r="DE11" i="7"/>
  <c r="DF11" i="7"/>
  <c r="DG11" i="7"/>
  <c r="DD11" i="7"/>
  <c r="DB11" i="7"/>
  <c r="CZ11" i="7"/>
  <c r="CX11" i="7"/>
  <c r="DE10" i="7"/>
  <c r="DF10" i="7"/>
  <c r="DG10" i="7"/>
  <c r="DD10" i="7"/>
  <c r="DB10" i="7"/>
  <c r="CZ10" i="7"/>
  <c r="CX10" i="7"/>
  <c r="DE9" i="7"/>
  <c r="DF9" i="7"/>
  <c r="DG9" i="7"/>
  <c r="DD9" i="7"/>
  <c r="DB9" i="7"/>
  <c r="CZ9" i="7"/>
  <c r="CX9" i="7"/>
  <c r="DE8" i="7"/>
  <c r="DF8" i="7"/>
  <c r="DG8" i="7"/>
  <c r="DD8" i="7"/>
  <c r="DB8" i="7"/>
  <c r="CZ8" i="7"/>
  <c r="CX8" i="7"/>
  <c r="DE7" i="7"/>
  <c r="DF7" i="7"/>
  <c r="DG7" i="7"/>
  <c r="DD7" i="7"/>
  <c r="DB7" i="7"/>
  <c r="CZ7" i="7"/>
  <c r="CX7" i="7"/>
  <c r="DE6" i="7"/>
  <c r="DF6" i="7"/>
  <c r="DG6" i="7"/>
  <c r="DD6" i="7"/>
  <c r="DB6" i="7"/>
  <c r="CZ6" i="7"/>
  <c r="CX6" i="7"/>
  <c r="DE5" i="7"/>
  <c r="DB5" i="7"/>
  <c r="DF5" i="7"/>
  <c r="DG5" i="7"/>
  <c r="DD5" i="7"/>
  <c r="CZ5" i="7"/>
  <c r="CX5" i="7"/>
  <c r="CD42" i="7"/>
  <c r="CB42" i="7"/>
  <c r="BZ42" i="7"/>
  <c r="CE42" i="7"/>
  <c r="BX42" i="7"/>
  <c r="BV42" i="7"/>
  <c r="CC42" i="7"/>
  <c r="CD41" i="7"/>
  <c r="CB41" i="7"/>
  <c r="BZ41" i="7"/>
  <c r="CE41" i="7"/>
  <c r="BX41" i="7"/>
  <c r="BV41" i="7"/>
  <c r="CC41" i="7"/>
  <c r="CD40" i="7"/>
  <c r="CC40" i="7"/>
  <c r="CB40" i="7"/>
  <c r="BZ40" i="7"/>
  <c r="CE40" i="7"/>
  <c r="BX40" i="7"/>
  <c r="BV40" i="7"/>
  <c r="CD39" i="7"/>
  <c r="CC39" i="7"/>
  <c r="CB39" i="7"/>
  <c r="BZ39" i="7"/>
  <c r="CE39" i="7"/>
  <c r="BX39" i="7"/>
  <c r="BV39" i="7"/>
  <c r="CE38" i="7"/>
  <c r="CD38" i="7"/>
  <c r="CC38" i="7"/>
  <c r="CB38" i="7"/>
  <c r="BZ38" i="7"/>
  <c r="BX38" i="7"/>
  <c r="BV38" i="7"/>
  <c r="CE37" i="7"/>
  <c r="CD37" i="7"/>
  <c r="CC37" i="7"/>
  <c r="CB37" i="7"/>
  <c r="BZ37" i="7"/>
  <c r="BX37" i="7"/>
  <c r="BV37" i="7"/>
  <c r="CE36" i="7"/>
  <c r="CD36" i="7"/>
  <c r="CC36" i="7"/>
  <c r="CB36" i="7"/>
  <c r="BZ36" i="7"/>
  <c r="BX36" i="7"/>
  <c r="BV36" i="7"/>
  <c r="CE35" i="7"/>
  <c r="CD35" i="7"/>
  <c r="CB35" i="7"/>
  <c r="BZ35" i="7"/>
  <c r="BX35" i="7"/>
  <c r="BV35" i="7"/>
  <c r="CC35" i="7"/>
  <c r="CE34" i="7"/>
  <c r="CD34" i="7"/>
  <c r="CC34" i="7"/>
  <c r="CB34" i="7"/>
  <c r="BZ34" i="7"/>
  <c r="BX34" i="7"/>
  <c r="BV34" i="7"/>
  <c r="CD33" i="7"/>
  <c r="CB33" i="7"/>
  <c r="BZ33" i="7"/>
  <c r="CE33" i="7"/>
  <c r="BX33" i="7"/>
  <c r="BV33" i="7"/>
  <c r="CC33" i="7"/>
  <c r="CE32" i="7"/>
  <c r="CD32" i="7"/>
  <c r="CB32" i="7"/>
  <c r="BZ32" i="7"/>
  <c r="BX32" i="7"/>
  <c r="BV32" i="7"/>
  <c r="CC32" i="7"/>
  <c r="CD31" i="7"/>
  <c r="CB31" i="7"/>
  <c r="BZ31" i="7"/>
  <c r="CE31" i="7"/>
  <c r="BX31" i="7"/>
  <c r="BV31" i="7"/>
  <c r="CC31" i="7"/>
  <c r="CD30" i="7"/>
  <c r="CB30" i="7"/>
  <c r="BZ30" i="7"/>
  <c r="CE30" i="7"/>
  <c r="BX30" i="7"/>
  <c r="BV30" i="7"/>
  <c r="CC30" i="7"/>
  <c r="CD29" i="7"/>
  <c r="CB29" i="7"/>
  <c r="BZ29" i="7"/>
  <c r="CE29" i="7"/>
  <c r="BX29" i="7"/>
  <c r="BV29" i="7"/>
  <c r="CC29" i="7"/>
  <c r="CD28" i="7"/>
  <c r="CC28" i="7"/>
  <c r="CB28" i="7"/>
  <c r="BZ28" i="7"/>
  <c r="CE28" i="7"/>
  <c r="BX28" i="7"/>
  <c r="BV28" i="7"/>
  <c r="CD27" i="7"/>
  <c r="CC27" i="7"/>
  <c r="CB27" i="7"/>
  <c r="BZ27" i="7"/>
  <c r="CE27" i="7"/>
  <c r="BX27" i="7"/>
  <c r="BV27" i="7"/>
  <c r="CE26" i="7"/>
  <c r="CD26" i="7"/>
  <c r="CC26" i="7"/>
  <c r="CB26" i="7"/>
  <c r="BZ26" i="7"/>
  <c r="BX26" i="7"/>
  <c r="BV26" i="7"/>
  <c r="CE25" i="7"/>
  <c r="CD25" i="7"/>
  <c r="CC25" i="7"/>
  <c r="CB25" i="7"/>
  <c r="BZ25" i="7"/>
  <c r="BX25" i="7"/>
  <c r="BV25" i="7"/>
  <c r="CE24" i="7"/>
  <c r="CD24" i="7"/>
  <c r="CC24" i="7"/>
  <c r="CB24" i="7"/>
  <c r="BZ24" i="7"/>
  <c r="BX24" i="7"/>
  <c r="BV24" i="7"/>
  <c r="CE23" i="7"/>
  <c r="CD23" i="7"/>
  <c r="CB23" i="7"/>
  <c r="BZ23" i="7"/>
  <c r="BX23" i="7"/>
  <c r="BV23" i="7"/>
  <c r="CC23" i="7"/>
  <c r="CE22" i="7"/>
  <c r="CD22" i="7"/>
  <c r="CC22" i="7"/>
  <c r="CB22" i="7"/>
  <c r="BZ22" i="7"/>
  <c r="BX22" i="7"/>
  <c r="BV22" i="7"/>
  <c r="CD21" i="7"/>
  <c r="CB21" i="7"/>
  <c r="BZ21" i="7"/>
  <c r="CE21" i="7"/>
  <c r="BX21" i="7"/>
  <c r="BV21" i="7"/>
  <c r="CC21" i="7"/>
  <c r="CE20" i="7"/>
  <c r="CD20" i="7"/>
  <c r="CB20" i="7"/>
  <c r="BZ20" i="7"/>
  <c r="BX20" i="7"/>
  <c r="BV20" i="7"/>
  <c r="CC20" i="7"/>
  <c r="CD19" i="7"/>
  <c r="CB19" i="7"/>
  <c r="BZ19" i="7"/>
  <c r="CE19" i="7"/>
  <c r="BX19" i="7"/>
  <c r="BV19" i="7"/>
  <c r="CC19" i="7"/>
  <c r="CD18" i="7"/>
  <c r="CB18" i="7"/>
  <c r="BZ18" i="7"/>
  <c r="CE18" i="7"/>
  <c r="BX18" i="7"/>
  <c r="BV18" i="7"/>
  <c r="CC18" i="7"/>
  <c r="CD17" i="7"/>
  <c r="CB17" i="7"/>
  <c r="BZ17" i="7"/>
  <c r="CE17" i="7"/>
  <c r="BX17" i="7"/>
  <c r="BV17" i="7"/>
  <c r="CC17" i="7"/>
  <c r="CD16" i="7"/>
  <c r="BV16" i="7"/>
  <c r="CC16" i="7"/>
  <c r="CB16" i="7"/>
  <c r="BZ16" i="7"/>
  <c r="CE16" i="7"/>
  <c r="BX16" i="7"/>
  <c r="CD15" i="7"/>
  <c r="BV15" i="7"/>
  <c r="CC15" i="7"/>
  <c r="CB15" i="7"/>
  <c r="BZ15" i="7"/>
  <c r="CE15" i="7"/>
  <c r="BX15" i="7"/>
  <c r="CE14" i="7"/>
  <c r="CD14" i="7"/>
  <c r="CC14" i="7"/>
  <c r="CB14" i="7"/>
  <c r="BZ14" i="7"/>
  <c r="BX14" i="7"/>
  <c r="BV14" i="7"/>
  <c r="CE13" i="7"/>
  <c r="CD13" i="7"/>
  <c r="CC13" i="7"/>
  <c r="CB13" i="7"/>
  <c r="BZ13" i="7"/>
  <c r="BX13" i="7"/>
  <c r="BV13" i="7"/>
  <c r="BZ12" i="7"/>
  <c r="CD12" i="7"/>
  <c r="CE12" i="7"/>
  <c r="BV12" i="7"/>
  <c r="CC12" i="7"/>
  <c r="CB12" i="7"/>
  <c r="BX12" i="7"/>
  <c r="BZ11" i="7"/>
  <c r="CD11" i="7"/>
  <c r="CE11" i="7"/>
  <c r="CB11" i="7"/>
  <c r="BX11" i="7"/>
  <c r="BV11" i="7"/>
  <c r="CC11" i="7"/>
  <c r="BQ42" i="7"/>
  <c r="BP42" i="7"/>
  <c r="BN42" i="7"/>
  <c r="BL42" i="7"/>
  <c r="BJ42" i="7"/>
  <c r="BH42" i="7"/>
  <c r="BO42" i="7"/>
  <c r="BP41" i="7"/>
  <c r="BO41" i="7"/>
  <c r="BN41" i="7"/>
  <c r="BL41" i="7"/>
  <c r="BQ41" i="7"/>
  <c r="BJ41" i="7"/>
  <c r="BH41" i="7"/>
  <c r="BP40" i="7"/>
  <c r="BN40" i="7"/>
  <c r="BL40" i="7"/>
  <c r="BQ40" i="7"/>
  <c r="BJ40" i="7"/>
  <c r="BH40" i="7"/>
  <c r="BO40" i="7"/>
  <c r="BQ39" i="7"/>
  <c r="BP39" i="7"/>
  <c r="BO39" i="7"/>
  <c r="BN39" i="7"/>
  <c r="BL39" i="7"/>
  <c r="BJ39" i="7"/>
  <c r="BH39" i="7"/>
  <c r="BP38" i="7"/>
  <c r="BN38" i="7"/>
  <c r="BL38" i="7"/>
  <c r="BQ38" i="7"/>
  <c r="BJ38" i="7"/>
  <c r="BH38" i="7"/>
  <c r="BO38" i="7"/>
  <c r="BQ37" i="7"/>
  <c r="BP37" i="7"/>
  <c r="BO37" i="7"/>
  <c r="BN37" i="7"/>
  <c r="BL37" i="7"/>
  <c r="BJ37" i="7"/>
  <c r="BH37" i="7"/>
  <c r="BP36" i="7"/>
  <c r="BO36" i="7"/>
  <c r="BN36" i="7"/>
  <c r="BL36" i="7"/>
  <c r="BQ36" i="7"/>
  <c r="BJ36" i="7"/>
  <c r="BH36" i="7"/>
  <c r="BQ35" i="7"/>
  <c r="BP35" i="7"/>
  <c r="BN35" i="7"/>
  <c r="BL35" i="7"/>
  <c r="BJ35" i="7"/>
  <c r="BH35" i="7"/>
  <c r="BO35" i="7"/>
  <c r="BQ34" i="7"/>
  <c r="BP34" i="7"/>
  <c r="BO34" i="7"/>
  <c r="BN34" i="7"/>
  <c r="BL34" i="7"/>
  <c r="BJ34" i="7"/>
  <c r="BH34" i="7"/>
  <c r="BP33" i="7"/>
  <c r="BN33" i="7"/>
  <c r="BL33" i="7"/>
  <c r="BQ33" i="7"/>
  <c r="BJ33" i="7"/>
  <c r="BH33" i="7"/>
  <c r="BO33" i="7"/>
  <c r="BQ32" i="7"/>
  <c r="BP32" i="7"/>
  <c r="BO32" i="7"/>
  <c r="BN32" i="7"/>
  <c r="BL32" i="7"/>
  <c r="BJ32" i="7"/>
  <c r="BH32" i="7"/>
  <c r="BP31" i="7"/>
  <c r="BN31" i="7"/>
  <c r="BL31" i="7"/>
  <c r="BQ31" i="7"/>
  <c r="BJ31" i="7"/>
  <c r="BH31" i="7"/>
  <c r="BO31" i="7"/>
  <c r="BQ30" i="7"/>
  <c r="BP30" i="7"/>
  <c r="BN30" i="7"/>
  <c r="BL30" i="7"/>
  <c r="BJ30" i="7"/>
  <c r="BH30" i="7"/>
  <c r="BO30" i="7"/>
  <c r="BP29" i="7"/>
  <c r="BO29" i="7"/>
  <c r="BN29" i="7"/>
  <c r="BL29" i="7"/>
  <c r="BQ29" i="7"/>
  <c r="BJ29" i="7"/>
  <c r="BH29" i="7"/>
  <c r="BP28" i="7"/>
  <c r="BN28" i="7"/>
  <c r="BL28" i="7"/>
  <c r="BQ28" i="7"/>
  <c r="BJ28" i="7"/>
  <c r="BH28" i="7"/>
  <c r="BO28" i="7"/>
  <c r="BQ27" i="7"/>
  <c r="BP27" i="7"/>
  <c r="BO27" i="7"/>
  <c r="BN27" i="7"/>
  <c r="BL27" i="7"/>
  <c r="BJ27" i="7"/>
  <c r="BH27" i="7"/>
  <c r="BP26" i="7"/>
  <c r="BN26" i="7"/>
  <c r="BL26" i="7"/>
  <c r="BQ26" i="7"/>
  <c r="BJ26" i="7"/>
  <c r="BH26" i="7"/>
  <c r="BO26" i="7"/>
  <c r="BQ25" i="7"/>
  <c r="BP25" i="7"/>
  <c r="BO25" i="7"/>
  <c r="BN25" i="7"/>
  <c r="BL25" i="7"/>
  <c r="BJ25" i="7"/>
  <c r="BH25" i="7"/>
  <c r="BP24" i="7"/>
  <c r="BO24" i="7"/>
  <c r="BN24" i="7"/>
  <c r="BL24" i="7"/>
  <c r="BQ24" i="7"/>
  <c r="BJ24" i="7"/>
  <c r="BH24" i="7"/>
  <c r="BQ23" i="7"/>
  <c r="BP23" i="7"/>
  <c r="BN23" i="7"/>
  <c r="BL23" i="7"/>
  <c r="BJ23" i="7"/>
  <c r="BH23" i="7"/>
  <c r="BO23" i="7"/>
  <c r="BQ22" i="7"/>
  <c r="BP22" i="7"/>
  <c r="BO22" i="7"/>
  <c r="BN22" i="7"/>
  <c r="BL22" i="7"/>
  <c r="BJ22" i="7"/>
  <c r="BH22" i="7"/>
  <c r="BP21" i="7"/>
  <c r="BN21" i="7"/>
  <c r="BL21" i="7"/>
  <c r="BQ21" i="7"/>
  <c r="BJ21" i="7"/>
  <c r="BH21" i="7"/>
  <c r="BO21" i="7"/>
  <c r="BQ20" i="7"/>
  <c r="BP20" i="7"/>
  <c r="BO20" i="7"/>
  <c r="BN20" i="7"/>
  <c r="BL20" i="7"/>
  <c r="BJ20" i="7"/>
  <c r="BH20" i="7"/>
  <c r="BP19" i="7"/>
  <c r="BN19" i="7"/>
  <c r="BL19" i="7"/>
  <c r="BQ19" i="7"/>
  <c r="BJ19" i="7"/>
  <c r="BH19" i="7"/>
  <c r="BO19" i="7"/>
  <c r="BL18" i="7"/>
  <c r="BQ18" i="7"/>
  <c r="BP18" i="7"/>
  <c r="BN18" i="7"/>
  <c r="BJ18" i="7"/>
  <c r="BH18" i="7"/>
  <c r="BO18" i="7"/>
  <c r="BP17" i="7"/>
  <c r="BH17" i="7"/>
  <c r="BO17" i="7"/>
  <c r="BN17" i="7"/>
  <c r="BL17" i="7"/>
  <c r="BQ17" i="7"/>
  <c r="BJ17" i="7"/>
  <c r="BP16" i="7"/>
  <c r="BN16" i="7"/>
  <c r="BL16" i="7"/>
  <c r="BQ16" i="7"/>
  <c r="BJ16" i="7"/>
  <c r="BH16" i="7"/>
  <c r="BO16" i="7"/>
  <c r="BL15" i="7"/>
  <c r="BQ15" i="7"/>
  <c r="BP15" i="7"/>
  <c r="BH15" i="7"/>
  <c r="BO15" i="7"/>
  <c r="BN15" i="7"/>
  <c r="BJ15" i="7"/>
  <c r="BL14" i="7"/>
  <c r="BP14" i="7"/>
  <c r="BN14" i="7"/>
  <c r="BQ14" i="7"/>
  <c r="BJ14" i="7"/>
  <c r="BH14" i="7"/>
  <c r="BO14" i="7"/>
  <c r="BL13" i="7"/>
  <c r="BP13" i="7"/>
  <c r="BQ13" i="7"/>
  <c r="BH13" i="7"/>
  <c r="BO13" i="7"/>
  <c r="BN13" i="7"/>
  <c r="BJ13" i="7"/>
  <c r="BL12" i="7"/>
  <c r="BP12" i="7"/>
  <c r="BH12" i="7"/>
  <c r="BO12" i="7"/>
  <c r="BN12" i="7"/>
  <c r="BQ12" i="7"/>
  <c r="BJ12" i="7"/>
  <c r="BL11" i="7"/>
  <c r="BP11" i="7"/>
  <c r="BQ11" i="7"/>
  <c r="BN11" i="7"/>
  <c r="BJ11" i="7"/>
  <c r="BH11" i="7"/>
  <c r="BO11" i="7"/>
  <c r="BB42" i="7"/>
  <c r="AZ42" i="7"/>
  <c r="AX42" i="7"/>
  <c r="BC42" i="7"/>
  <c r="AV42" i="7"/>
  <c r="AT42" i="7"/>
  <c r="BA42" i="7"/>
  <c r="BC41" i="7"/>
  <c r="BB41" i="7"/>
  <c r="BA41" i="7"/>
  <c r="AZ41" i="7"/>
  <c r="AX41" i="7"/>
  <c r="AV41" i="7"/>
  <c r="AT41" i="7"/>
  <c r="BB40" i="7"/>
  <c r="BA40" i="7"/>
  <c r="AZ40" i="7"/>
  <c r="AX40" i="7"/>
  <c r="BC40" i="7"/>
  <c r="AV40" i="7"/>
  <c r="AT40" i="7"/>
  <c r="BC39" i="7"/>
  <c r="BB39" i="7"/>
  <c r="BA39" i="7"/>
  <c r="AZ39" i="7"/>
  <c r="AX39" i="7"/>
  <c r="AV39" i="7"/>
  <c r="AT39" i="7"/>
  <c r="BC38" i="7"/>
  <c r="BB38" i="7"/>
  <c r="BA38" i="7"/>
  <c r="AZ38" i="7"/>
  <c r="AX38" i="7"/>
  <c r="AV38" i="7"/>
  <c r="AT38" i="7"/>
  <c r="BC37" i="7"/>
  <c r="BB37" i="7"/>
  <c r="BA37" i="7"/>
  <c r="AZ37" i="7"/>
  <c r="AX37" i="7"/>
  <c r="AV37" i="7"/>
  <c r="AT37" i="7"/>
  <c r="BC36" i="7"/>
  <c r="BB36" i="7"/>
  <c r="AZ36" i="7"/>
  <c r="AX36" i="7"/>
  <c r="AV36" i="7"/>
  <c r="AT36" i="7"/>
  <c r="BA36" i="7"/>
  <c r="BC35" i="7"/>
  <c r="BB35" i="7"/>
  <c r="AZ35" i="7"/>
  <c r="AX35" i="7"/>
  <c r="AV35" i="7"/>
  <c r="AT35" i="7"/>
  <c r="BA35" i="7"/>
  <c r="BC34" i="7"/>
  <c r="BB34" i="7"/>
  <c r="BA34" i="7"/>
  <c r="AZ34" i="7"/>
  <c r="AX34" i="7"/>
  <c r="AV34" i="7"/>
  <c r="AT34" i="7"/>
  <c r="BB33" i="7"/>
  <c r="AZ33" i="7"/>
  <c r="AX33" i="7"/>
  <c r="BC33" i="7"/>
  <c r="AV33" i="7"/>
  <c r="AT33" i="7"/>
  <c r="BA33" i="7"/>
  <c r="BC32" i="7"/>
  <c r="BB32" i="7"/>
  <c r="AZ32" i="7"/>
  <c r="AX32" i="7"/>
  <c r="AV32" i="7"/>
  <c r="AT32" i="7"/>
  <c r="BA32" i="7"/>
  <c r="BB31" i="7"/>
  <c r="BA31" i="7"/>
  <c r="AZ31" i="7"/>
  <c r="AX31" i="7"/>
  <c r="BC31" i="7"/>
  <c r="AV31" i="7"/>
  <c r="AT31" i="7"/>
  <c r="BB30" i="7"/>
  <c r="AZ30" i="7"/>
  <c r="AX30" i="7"/>
  <c r="BC30" i="7"/>
  <c r="AV30" i="7"/>
  <c r="AT30" i="7"/>
  <c r="BA30" i="7"/>
  <c r="BC29" i="7"/>
  <c r="BB29" i="7"/>
  <c r="BA29" i="7"/>
  <c r="AZ29" i="7"/>
  <c r="AX29" i="7"/>
  <c r="AV29" i="7"/>
  <c r="AT29" i="7"/>
  <c r="BB28" i="7"/>
  <c r="BA28" i="7"/>
  <c r="AZ28" i="7"/>
  <c r="AX28" i="7"/>
  <c r="BC28" i="7"/>
  <c r="AV28" i="7"/>
  <c r="AT28" i="7"/>
  <c r="BC27" i="7"/>
  <c r="BB27" i="7"/>
  <c r="BA27" i="7"/>
  <c r="AZ27" i="7"/>
  <c r="AX27" i="7"/>
  <c r="AV27" i="7"/>
  <c r="AT27" i="7"/>
  <c r="BC26" i="7"/>
  <c r="BB26" i="7"/>
  <c r="BA26" i="7"/>
  <c r="AZ26" i="7"/>
  <c r="AX26" i="7"/>
  <c r="AV26" i="7"/>
  <c r="AT26" i="7"/>
  <c r="BC25" i="7"/>
  <c r="BB25" i="7"/>
  <c r="BA25" i="7"/>
  <c r="AZ25" i="7"/>
  <c r="AX25" i="7"/>
  <c r="AV25" i="7"/>
  <c r="AT25" i="7"/>
  <c r="BC24" i="7"/>
  <c r="BB24" i="7"/>
  <c r="BA24" i="7"/>
  <c r="AZ24" i="7"/>
  <c r="AX24" i="7"/>
  <c r="AV24" i="7"/>
  <c r="AT24" i="7"/>
  <c r="BC23" i="7"/>
  <c r="BB23" i="7"/>
  <c r="AZ23" i="7"/>
  <c r="AX23" i="7"/>
  <c r="AV23" i="7"/>
  <c r="AT23" i="7"/>
  <c r="BA23" i="7"/>
  <c r="BC22" i="7"/>
  <c r="BB22" i="7"/>
  <c r="BA22" i="7"/>
  <c r="AZ22" i="7"/>
  <c r="AX22" i="7"/>
  <c r="AV22" i="7"/>
  <c r="AT22" i="7"/>
  <c r="BB21" i="7"/>
  <c r="AZ21" i="7"/>
  <c r="AX21" i="7"/>
  <c r="BC21" i="7"/>
  <c r="AV21" i="7"/>
  <c r="AT21" i="7"/>
  <c r="BA21" i="7"/>
  <c r="BC20" i="7"/>
  <c r="BB20" i="7"/>
  <c r="AZ20" i="7"/>
  <c r="AX20" i="7"/>
  <c r="AV20" i="7"/>
  <c r="AT20" i="7"/>
  <c r="BA20" i="7"/>
  <c r="BB19" i="7"/>
  <c r="BA19" i="7"/>
  <c r="AZ19" i="7"/>
  <c r="AX19" i="7"/>
  <c r="BC19" i="7"/>
  <c r="AV19" i="7"/>
  <c r="AT19" i="7"/>
  <c r="BB18" i="7"/>
  <c r="AZ18" i="7"/>
  <c r="AX18" i="7"/>
  <c r="BC18" i="7"/>
  <c r="AV18" i="7"/>
  <c r="AT18" i="7"/>
  <c r="BA18" i="7"/>
  <c r="AX17" i="7"/>
  <c r="BC17" i="7"/>
  <c r="BB17" i="7"/>
  <c r="AT17" i="7"/>
  <c r="BA17" i="7"/>
  <c r="AZ17" i="7"/>
  <c r="AV17" i="7"/>
  <c r="BB16" i="7"/>
  <c r="AT16" i="7"/>
  <c r="BA16" i="7"/>
  <c r="AZ16" i="7"/>
  <c r="AX16" i="7"/>
  <c r="BC16" i="7"/>
  <c r="AV16" i="7"/>
  <c r="AX15" i="7"/>
  <c r="BC15" i="7"/>
  <c r="BB15" i="7"/>
  <c r="AT15" i="7"/>
  <c r="BA15" i="7"/>
  <c r="AZ15" i="7"/>
  <c r="AV15" i="7"/>
  <c r="AX14" i="7"/>
  <c r="BB14" i="7"/>
  <c r="BC14" i="7"/>
  <c r="AT14" i="7"/>
  <c r="BA14" i="7"/>
  <c r="AZ14" i="7"/>
  <c r="AV14" i="7"/>
  <c r="AX13" i="7"/>
  <c r="BB13" i="7"/>
  <c r="BC13" i="7"/>
  <c r="AT13" i="7"/>
  <c r="BA13" i="7"/>
  <c r="AZ13" i="7"/>
  <c r="AV13" i="7"/>
  <c r="AX12" i="7"/>
  <c r="BB12" i="7"/>
  <c r="BC12" i="7"/>
  <c r="AT12" i="7"/>
  <c r="BA12" i="7"/>
  <c r="AZ12" i="7"/>
  <c r="AV12" i="7"/>
  <c r="AX11" i="7"/>
  <c r="BB11" i="7"/>
  <c r="BC11" i="7"/>
  <c r="AZ11" i="7"/>
  <c r="AV11" i="7"/>
  <c r="AT11" i="7"/>
  <c r="BA11" i="7"/>
  <c r="AN42" i="7"/>
  <c r="AM42" i="7"/>
  <c r="AL42" i="7"/>
  <c r="AJ42" i="7"/>
  <c r="AO42" i="7"/>
  <c r="AH42" i="7"/>
  <c r="AF42" i="7"/>
  <c r="AN41" i="7"/>
  <c r="AM41" i="7"/>
  <c r="AL41" i="7"/>
  <c r="AJ41" i="7"/>
  <c r="AO41" i="7"/>
  <c r="AH41" i="7"/>
  <c r="AF41" i="7"/>
  <c r="AO40" i="7"/>
  <c r="AN40" i="7"/>
  <c r="AM40" i="7"/>
  <c r="AL40" i="7"/>
  <c r="AJ40" i="7"/>
  <c r="AH40" i="7"/>
  <c r="AF40" i="7"/>
  <c r="AO39" i="7"/>
  <c r="AN39" i="7"/>
  <c r="AM39" i="7"/>
  <c r="AL39" i="7"/>
  <c r="AJ39" i="7"/>
  <c r="AH39" i="7"/>
  <c r="AF39" i="7"/>
  <c r="AO38" i="7"/>
  <c r="AN38" i="7"/>
  <c r="AL38" i="7"/>
  <c r="AJ38" i="7"/>
  <c r="AH38" i="7"/>
  <c r="AF38" i="7"/>
  <c r="AM38" i="7"/>
  <c r="AO37" i="7"/>
  <c r="AN37" i="7"/>
  <c r="AM37" i="7"/>
  <c r="AL37" i="7"/>
  <c r="AJ37" i="7"/>
  <c r="AH37" i="7"/>
  <c r="AF37" i="7"/>
  <c r="AN36" i="7"/>
  <c r="AL36" i="7"/>
  <c r="AJ36" i="7"/>
  <c r="AO36" i="7"/>
  <c r="AH36" i="7"/>
  <c r="AF36" i="7"/>
  <c r="AM36" i="7"/>
  <c r="AO35" i="7"/>
  <c r="AN35" i="7"/>
  <c r="AM35" i="7"/>
  <c r="AL35" i="7"/>
  <c r="AJ35" i="7"/>
  <c r="AH35" i="7"/>
  <c r="AF35" i="7"/>
  <c r="AN34" i="7"/>
  <c r="AM34" i="7"/>
  <c r="AL34" i="7"/>
  <c r="AJ34" i="7"/>
  <c r="AO34" i="7"/>
  <c r="AH34" i="7"/>
  <c r="AF34" i="7"/>
  <c r="AO33" i="7"/>
  <c r="AN33" i="7"/>
  <c r="AL33" i="7"/>
  <c r="AJ33" i="7"/>
  <c r="AH33" i="7"/>
  <c r="AF33" i="7"/>
  <c r="AM33" i="7"/>
  <c r="AO32" i="7"/>
  <c r="AN32" i="7"/>
  <c r="AL32" i="7"/>
  <c r="AJ32" i="7"/>
  <c r="AH32" i="7"/>
  <c r="AF32" i="7"/>
  <c r="AM32" i="7"/>
  <c r="AN31" i="7"/>
  <c r="AL31" i="7"/>
  <c r="AJ31" i="7"/>
  <c r="AO31" i="7"/>
  <c r="AH31" i="7"/>
  <c r="AF31" i="7"/>
  <c r="AM31" i="7"/>
  <c r="AN30" i="7"/>
  <c r="AM30" i="7"/>
  <c r="AL30" i="7"/>
  <c r="AJ30" i="7"/>
  <c r="AO30" i="7"/>
  <c r="AH30" i="7"/>
  <c r="AF30" i="7"/>
  <c r="AN29" i="7"/>
  <c r="AM29" i="7"/>
  <c r="AL29" i="7"/>
  <c r="AJ29" i="7"/>
  <c r="AO29" i="7"/>
  <c r="AH29" i="7"/>
  <c r="AF29" i="7"/>
  <c r="AO28" i="7"/>
  <c r="AN28" i="7"/>
  <c r="AM28" i="7"/>
  <c r="AL28" i="7"/>
  <c r="AJ28" i="7"/>
  <c r="AH28" i="7"/>
  <c r="AF28" i="7"/>
  <c r="AO27" i="7"/>
  <c r="AN27" i="7"/>
  <c r="AM27" i="7"/>
  <c r="AL27" i="7"/>
  <c r="AJ27" i="7"/>
  <c r="AH27" i="7"/>
  <c r="AF27" i="7"/>
  <c r="AO26" i="7"/>
  <c r="AN26" i="7"/>
  <c r="AL26" i="7"/>
  <c r="AJ26" i="7"/>
  <c r="AH26" i="7"/>
  <c r="AF26" i="7"/>
  <c r="AM26" i="7"/>
  <c r="AO25" i="7"/>
  <c r="AN25" i="7"/>
  <c r="AM25" i="7"/>
  <c r="AL25" i="7"/>
  <c r="AJ25" i="7"/>
  <c r="AH25" i="7"/>
  <c r="AF25" i="7"/>
  <c r="AN24" i="7"/>
  <c r="AL24" i="7"/>
  <c r="AJ24" i="7"/>
  <c r="AO24" i="7"/>
  <c r="AH24" i="7"/>
  <c r="AF24" i="7"/>
  <c r="AM24" i="7"/>
  <c r="AO23" i="7"/>
  <c r="AN23" i="7"/>
  <c r="AM23" i="7"/>
  <c r="AL23" i="7"/>
  <c r="AJ23" i="7"/>
  <c r="AH23" i="7"/>
  <c r="AF23" i="7"/>
  <c r="AN22" i="7"/>
  <c r="AM22" i="7"/>
  <c r="AL22" i="7"/>
  <c r="AJ22" i="7"/>
  <c r="AO22" i="7"/>
  <c r="AH22" i="7"/>
  <c r="AF22" i="7"/>
  <c r="AO21" i="7"/>
  <c r="AN21" i="7"/>
  <c r="AL21" i="7"/>
  <c r="AJ21" i="7"/>
  <c r="AH21" i="7"/>
  <c r="AF21" i="7"/>
  <c r="AM21" i="7"/>
  <c r="AO20" i="7"/>
  <c r="AN20" i="7"/>
  <c r="AL20" i="7"/>
  <c r="AJ20" i="7"/>
  <c r="AH20" i="7"/>
  <c r="AF20" i="7"/>
  <c r="AM20" i="7"/>
  <c r="AN19" i="7"/>
  <c r="AL19" i="7"/>
  <c r="AJ19" i="7"/>
  <c r="AO19" i="7"/>
  <c r="AH19" i="7"/>
  <c r="AF19" i="7"/>
  <c r="AM19" i="7"/>
  <c r="AN18" i="7"/>
  <c r="AF18" i="7"/>
  <c r="AM18" i="7"/>
  <c r="AL18" i="7"/>
  <c r="AJ18" i="7"/>
  <c r="AO18" i="7"/>
  <c r="AH18" i="7"/>
  <c r="AN17" i="7"/>
  <c r="AF17" i="7"/>
  <c r="AM17" i="7"/>
  <c r="AL17" i="7"/>
  <c r="AJ17" i="7"/>
  <c r="AO17" i="7"/>
  <c r="AH17" i="7"/>
  <c r="AJ16" i="7"/>
  <c r="AO16" i="7"/>
  <c r="AN16" i="7"/>
  <c r="AF16" i="7"/>
  <c r="AM16" i="7"/>
  <c r="AL16" i="7"/>
  <c r="AH16" i="7"/>
  <c r="AJ15" i="7"/>
  <c r="AO15" i="7"/>
  <c r="AN15" i="7"/>
  <c r="AF15" i="7"/>
  <c r="AM15" i="7"/>
  <c r="AL15" i="7"/>
  <c r="AH15" i="7"/>
  <c r="AJ14" i="7"/>
  <c r="AN14" i="7"/>
  <c r="AO14" i="7"/>
  <c r="AL14" i="7"/>
  <c r="AH14" i="7"/>
  <c r="AF14" i="7"/>
  <c r="AM14" i="7"/>
  <c r="AJ13" i="7"/>
  <c r="AN13" i="7"/>
  <c r="AO13" i="7"/>
  <c r="AF13" i="7"/>
  <c r="AM13" i="7"/>
  <c r="AL13" i="7"/>
  <c r="AH13" i="7"/>
  <c r="AJ12" i="7"/>
  <c r="AN12" i="7"/>
  <c r="AL12" i="7"/>
  <c r="AO12" i="7"/>
  <c r="AH12" i="7"/>
  <c r="AF12" i="7"/>
  <c r="AM12" i="7"/>
  <c r="AJ11" i="7"/>
  <c r="AN11" i="7"/>
  <c r="AO11" i="7"/>
  <c r="AF11" i="7"/>
  <c r="AM11" i="7"/>
  <c r="AL11" i="7"/>
  <c r="AH11" i="7"/>
  <c r="AA42" i="7"/>
  <c r="Z42" i="7"/>
  <c r="X42" i="7"/>
  <c r="V42" i="7"/>
  <c r="T42" i="7"/>
  <c r="R42" i="7"/>
  <c r="Y42" i="7"/>
  <c r="AA41" i="7"/>
  <c r="Z41" i="7"/>
  <c r="Y41" i="7"/>
  <c r="X41" i="7"/>
  <c r="V41" i="7"/>
  <c r="T41" i="7"/>
  <c r="R41" i="7"/>
  <c r="Z40" i="7"/>
  <c r="X40" i="7"/>
  <c r="V40" i="7"/>
  <c r="AA40" i="7"/>
  <c r="T40" i="7"/>
  <c r="R40" i="7"/>
  <c r="Y40" i="7"/>
  <c r="AA39" i="7"/>
  <c r="Z39" i="7"/>
  <c r="Y39" i="7"/>
  <c r="X39" i="7"/>
  <c r="V39" i="7"/>
  <c r="T39" i="7"/>
  <c r="R39" i="7"/>
  <c r="Z38" i="7"/>
  <c r="Y38" i="7"/>
  <c r="X38" i="7"/>
  <c r="V38" i="7"/>
  <c r="AA38" i="7"/>
  <c r="T38" i="7"/>
  <c r="R38" i="7"/>
  <c r="AA37" i="7"/>
  <c r="Z37" i="7"/>
  <c r="Y37" i="7"/>
  <c r="X37" i="7"/>
  <c r="V37" i="7"/>
  <c r="T37" i="7"/>
  <c r="R37" i="7"/>
  <c r="AA36" i="7"/>
  <c r="Z36" i="7"/>
  <c r="Y36" i="7"/>
  <c r="X36" i="7"/>
  <c r="V36" i="7"/>
  <c r="T36" i="7"/>
  <c r="R36" i="7"/>
  <c r="AA35" i="7"/>
  <c r="Z35" i="7"/>
  <c r="X35" i="7"/>
  <c r="V35" i="7"/>
  <c r="T35" i="7"/>
  <c r="R35" i="7"/>
  <c r="Y35" i="7"/>
  <c r="AA34" i="7"/>
  <c r="Z34" i="7"/>
  <c r="Y34" i="7"/>
  <c r="X34" i="7"/>
  <c r="V34" i="7"/>
  <c r="T34" i="7"/>
  <c r="R34" i="7"/>
  <c r="Z33" i="7"/>
  <c r="X33" i="7"/>
  <c r="V33" i="7"/>
  <c r="AA33" i="7"/>
  <c r="T33" i="7"/>
  <c r="R33" i="7"/>
  <c r="Y33" i="7"/>
  <c r="AA32" i="7"/>
  <c r="Z32" i="7"/>
  <c r="Y32" i="7"/>
  <c r="X32" i="7"/>
  <c r="V32" i="7"/>
  <c r="T32" i="7"/>
  <c r="R32" i="7"/>
  <c r="Z31" i="7"/>
  <c r="Y31" i="7"/>
  <c r="X31" i="7"/>
  <c r="V31" i="7"/>
  <c r="AA31" i="7"/>
  <c r="T31" i="7"/>
  <c r="R31" i="7"/>
  <c r="AA30" i="7"/>
  <c r="Z30" i="7"/>
  <c r="X30" i="7"/>
  <c r="V30" i="7"/>
  <c r="T30" i="7"/>
  <c r="R30" i="7"/>
  <c r="Y30" i="7"/>
  <c r="AA29" i="7"/>
  <c r="Z29" i="7"/>
  <c r="Y29" i="7"/>
  <c r="X29" i="7"/>
  <c r="V29" i="7"/>
  <c r="T29" i="7"/>
  <c r="R29" i="7"/>
  <c r="Z28" i="7"/>
  <c r="X28" i="7"/>
  <c r="V28" i="7"/>
  <c r="AA28" i="7"/>
  <c r="T28" i="7"/>
  <c r="R28" i="7"/>
  <c r="Y28" i="7"/>
  <c r="AA27" i="7"/>
  <c r="Z27" i="7"/>
  <c r="Y27" i="7"/>
  <c r="X27" i="7"/>
  <c r="V27" i="7"/>
  <c r="T27" i="7"/>
  <c r="R27" i="7"/>
  <c r="Z26" i="7"/>
  <c r="Y26" i="7"/>
  <c r="X26" i="7"/>
  <c r="V26" i="7"/>
  <c r="AA26" i="7"/>
  <c r="T26" i="7"/>
  <c r="R26" i="7"/>
  <c r="AA25" i="7"/>
  <c r="Z25" i="7"/>
  <c r="Y25" i="7"/>
  <c r="X25" i="7"/>
  <c r="V25" i="7"/>
  <c r="T25" i="7"/>
  <c r="R25" i="7"/>
  <c r="AA24" i="7"/>
  <c r="Z24" i="7"/>
  <c r="Y24" i="7"/>
  <c r="X24" i="7"/>
  <c r="V24" i="7"/>
  <c r="T24" i="7"/>
  <c r="R24" i="7"/>
  <c r="AA23" i="7"/>
  <c r="Z23" i="7"/>
  <c r="X23" i="7"/>
  <c r="V23" i="7"/>
  <c r="T23" i="7"/>
  <c r="R23" i="7"/>
  <c r="Y23" i="7"/>
  <c r="AA22" i="7"/>
  <c r="Z22" i="7"/>
  <c r="Y22" i="7"/>
  <c r="X22" i="7"/>
  <c r="V22" i="7"/>
  <c r="T22" i="7"/>
  <c r="R22" i="7"/>
  <c r="Z21" i="7"/>
  <c r="X21" i="7"/>
  <c r="V21" i="7"/>
  <c r="AA21" i="7"/>
  <c r="T21" i="7"/>
  <c r="R21" i="7"/>
  <c r="Y21" i="7"/>
  <c r="AA20" i="7"/>
  <c r="Z20" i="7"/>
  <c r="Y20" i="7"/>
  <c r="X20" i="7"/>
  <c r="V20" i="7"/>
  <c r="T20" i="7"/>
  <c r="R20" i="7"/>
  <c r="Z19" i="7"/>
  <c r="Y19" i="7"/>
  <c r="X19" i="7"/>
  <c r="V19" i="7"/>
  <c r="AA19" i="7"/>
  <c r="T19" i="7"/>
  <c r="R19" i="7"/>
  <c r="V18" i="7"/>
  <c r="AA18" i="7"/>
  <c r="Z18" i="7"/>
  <c r="X18" i="7"/>
  <c r="T18" i="7"/>
  <c r="R18" i="7"/>
  <c r="Y18" i="7"/>
  <c r="V17" i="7"/>
  <c r="AA17" i="7"/>
  <c r="Z17" i="7"/>
  <c r="R17" i="7"/>
  <c r="Y17" i="7"/>
  <c r="X17" i="7"/>
  <c r="T17" i="7"/>
  <c r="Z16" i="7"/>
  <c r="X16" i="7"/>
  <c r="V16" i="7"/>
  <c r="AA16" i="7"/>
  <c r="T16" i="7"/>
  <c r="R16" i="7"/>
  <c r="Y16" i="7"/>
  <c r="V15" i="7"/>
  <c r="AA15" i="7"/>
  <c r="Z15" i="7"/>
  <c r="R15" i="7"/>
  <c r="Y15" i="7"/>
  <c r="X15" i="7"/>
  <c r="T15" i="7"/>
  <c r="V14" i="7"/>
  <c r="Z14" i="7"/>
  <c r="R14" i="7"/>
  <c r="Y14" i="7"/>
  <c r="X14" i="7"/>
  <c r="AA14" i="7"/>
  <c r="T14" i="7"/>
  <c r="V13" i="7"/>
  <c r="Z13" i="7"/>
  <c r="AA13" i="7"/>
  <c r="R13" i="7"/>
  <c r="Y13" i="7"/>
  <c r="X13" i="7"/>
  <c r="T13" i="7"/>
  <c r="V12" i="7"/>
  <c r="Z12" i="7"/>
  <c r="AA12" i="7"/>
  <c r="R12" i="7"/>
  <c r="Y12" i="7"/>
  <c r="X12" i="7"/>
  <c r="T12" i="7"/>
  <c r="V11" i="7"/>
  <c r="Z11" i="7"/>
  <c r="AA11" i="7"/>
  <c r="X11" i="7"/>
  <c r="T11" i="7"/>
  <c r="R11" i="7"/>
  <c r="Y11" i="7"/>
  <c r="M38" i="7"/>
  <c r="L38" i="7"/>
  <c r="K38" i="7"/>
  <c r="J38" i="7"/>
  <c r="M37" i="7"/>
  <c r="L37" i="7"/>
  <c r="K37" i="7"/>
  <c r="J37" i="7"/>
  <c r="M36" i="7"/>
  <c r="L36" i="7"/>
  <c r="K36" i="7"/>
  <c r="J36" i="7"/>
  <c r="M35" i="7"/>
  <c r="L35" i="7"/>
  <c r="K35" i="7"/>
  <c r="J35" i="7"/>
  <c r="M34" i="7"/>
  <c r="L34" i="7"/>
  <c r="K34" i="7"/>
  <c r="J34" i="7"/>
  <c r="M33" i="7"/>
  <c r="L33" i="7"/>
  <c r="K33" i="7"/>
  <c r="J33" i="7"/>
  <c r="M32" i="7"/>
  <c r="L32" i="7"/>
  <c r="K32" i="7"/>
  <c r="J32" i="7"/>
  <c r="M31" i="7"/>
  <c r="L31" i="7"/>
  <c r="K31" i="7"/>
  <c r="J31" i="7"/>
  <c r="HT4" i="7"/>
  <c r="HN4" i="7"/>
  <c r="HH4" i="7"/>
  <c r="HA4" i="7"/>
  <c r="GZ4" i="7"/>
  <c r="GX4" i="7"/>
  <c r="HB4" i="7"/>
  <c r="HC4" i="7"/>
  <c r="GV4" i="7"/>
  <c r="GT4" i="7"/>
  <c r="GR4" i="7"/>
  <c r="GL4" i="7"/>
  <c r="GM4" i="7"/>
  <c r="GK4" i="7"/>
  <c r="GJ4" i="7"/>
  <c r="GH4" i="7"/>
  <c r="GF4" i="7"/>
  <c r="GD4" i="7"/>
  <c r="FW4" i="7"/>
  <c r="FX4" i="7"/>
  <c r="FY4" i="7"/>
  <c r="FV4" i="7"/>
  <c r="FT4" i="7"/>
  <c r="FR4" i="7"/>
  <c r="FP4" i="7"/>
  <c r="FI4" i="7"/>
  <c r="FH4" i="7"/>
  <c r="FF4" i="7"/>
  <c r="FJ4" i="7"/>
  <c r="FK4" i="7"/>
  <c r="FD4" i="7"/>
  <c r="FB4" i="7"/>
  <c r="EV4" i="7"/>
  <c r="EW4" i="7"/>
  <c r="EU4" i="7"/>
  <c r="ET4" i="7"/>
  <c r="ER4" i="7"/>
  <c r="EP4" i="7"/>
  <c r="EN4" i="7"/>
  <c r="EG4" i="7"/>
  <c r="EH4" i="7"/>
  <c r="EI4" i="7"/>
  <c r="EF4" i="7"/>
  <c r="ED4" i="7"/>
  <c r="EB4" i="7"/>
  <c r="DZ4" i="7"/>
  <c r="DS4" i="7"/>
  <c r="DR4" i="7"/>
  <c r="DP4" i="7"/>
  <c r="DT4" i="7"/>
  <c r="DU4" i="7"/>
  <c r="DN4" i="7"/>
  <c r="DL4" i="7"/>
  <c r="DF4" i="7"/>
  <c r="DG4" i="7"/>
  <c r="DE4" i="7"/>
  <c r="DD4" i="7"/>
  <c r="DB4" i="7"/>
  <c r="CZ4" i="7"/>
  <c r="CX4" i="7"/>
  <c r="CQ4" i="7"/>
  <c r="CR4" i="7"/>
  <c r="CS4" i="7"/>
  <c r="CP4" i="7"/>
  <c r="CN4" i="7"/>
  <c r="CL4" i="7"/>
  <c r="CJ4" i="7"/>
  <c r="CH4" i="7"/>
  <c r="CD10" i="7"/>
  <c r="CC10" i="7"/>
  <c r="CB10" i="7"/>
  <c r="BZ10" i="7"/>
  <c r="CE10" i="7"/>
  <c r="BX10" i="7"/>
  <c r="BV10" i="7"/>
  <c r="BN10" i="7"/>
  <c r="BL10" i="7"/>
  <c r="BJ10" i="7"/>
  <c r="BH10" i="7"/>
  <c r="BO10" i="7"/>
  <c r="BA10" i="7"/>
  <c r="AX10" i="7"/>
  <c r="AV10" i="7"/>
  <c r="AT10" i="7"/>
  <c r="AM10" i="7"/>
  <c r="AL10" i="7"/>
  <c r="AJ10" i="7"/>
  <c r="AN10" i="7"/>
  <c r="AO10" i="7"/>
  <c r="AH10" i="7"/>
  <c r="AF10" i="7"/>
  <c r="Y10" i="7"/>
  <c r="Z10" i="7"/>
  <c r="AA10" i="7"/>
  <c r="X10" i="7"/>
  <c r="V10" i="7"/>
  <c r="T10" i="7"/>
  <c r="R10" i="7"/>
  <c r="J10" i="7"/>
  <c r="H10" i="7"/>
  <c r="F10" i="7"/>
  <c r="D10" i="7"/>
  <c r="K10" i="7"/>
  <c r="L10" i="7"/>
  <c r="M10" i="7"/>
  <c r="CE9" i="7"/>
  <c r="CD9" i="7"/>
  <c r="CB9" i="7"/>
  <c r="BZ9" i="7"/>
  <c r="BX9" i="7"/>
  <c r="BV9" i="7"/>
  <c r="CC9" i="7"/>
  <c r="BO9" i="7"/>
  <c r="BN9" i="7"/>
  <c r="BL9" i="7"/>
  <c r="BJ9" i="7"/>
  <c r="BH9" i="7"/>
  <c r="AZ9" i="7"/>
  <c r="AX9" i="7"/>
  <c r="AV9" i="7"/>
  <c r="AT9" i="7"/>
  <c r="BA9" i="7"/>
  <c r="AN9" i="7"/>
  <c r="AO9" i="7"/>
  <c r="AM9" i="7"/>
  <c r="AL9" i="7"/>
  <c r="AJ9" i="7"/>
  <c r="AH9" i="7"/>
  <c r="AF9" i="7"/>
  <c r="Y9" i="7"/>
  <c r="Z9" i="7"/>
  <c r="X9" i="7"/>
  <c r="V9" i="7"/>
  <c r="AA9" i="7"/>
  <c r="T9" i="7"/>
  <c r="R9" i="7"/>
  <c r="J9" i="7"/>
  <c r="H9" i="7"/>
  <c r="F9" i="7"/>
  <c r="D9" i="7"/>
  <c r="K9" i="7"/>
  <c r="L9" i="7"/>
  <c r="M9" i="7"/>
  <c r="CB8" i="7"/>
  <c r="BZ8" i="7"/>
  <c r="CD8" i="7"/>
  <c r="CE8" i="7"/>
  <c r="BX8" i="7"/>
  <c r="BV8" i="7"/>
  <c r="CC8" i="7"/>
  <c r="BO8" i="7"/>
  <c r="BN8" i="7"/>
  <c r="BL8" i="7"/>
  <c r="BJ8" i="7"/>
  <c r="BH8" i="7"/>
  <c r="BA8" i="7"/>
  <c r="AZ8" i="7"/>
  <c r="AX8" i="7"/>
  <c r="AV8" i="7"/>
  <c r="AT8" i="7"/>
  <c r="AM8" i="7"/>
  <c r="AN8" i="7"/>
  <c r="AO8" i="7"/>
  <c r="AL8" i="7"/>
  <c r="AJ8" i="7"/>
  <c r="AH8" i="7"/>
  <c r="AF8" i="7"/>
  <c r="Y8" i="7"/>
  <c r="Z8" i="7"/>
  <c r="AA8" i="7"/>
  <c r="X8" i="7"/>
  <c r="V8" i="7"/>
  <c r="T8" i="7"/>
  <c r="R8" i="7"/>
  <c r="J8" i="7"/>
  <c r="H8" i="7"/>
  <c r="F8" i="7"/>
  <c r="D8" i="7"/>
  <c r="K8" i="7"/>
  <c r="L8" i="7"/>
  <c r="M8" i="7"/>
  <c r="CB7" i="7"/>
  <c r="BZ7" i="7"/>
  <c r="CD7" i="7"/>
  <c r="CE7" i="7"/>
  <c r="BX7" i="7"/>
  <c r="BV7" i="7"/>
  <c r="CC7" i="7"/>
  <c r="BT7" i="7"/>
  <c r="BO7" i="7"/>
  <c r="BN7" i="7"/>
  <c r="BL7" i="7"/>
  <c r="BJ7" i="7"/>
  <c r="BH7" i="7"/>
  <c r="BF7" i="7"/>
  <c r="BA7" i="7"/>
  <c r="BB7" i="7"/>
  <c r="AZ7" i="7"/>
  <c r="AX7" i="7"/>
  <c r="BC7" i="7"/>
  <c r="AV7" i="7"/>
  <c r="AT7" i="7"/>
  <c r="AR7" i="7"/>
  <c r="AL7" i="7"/>
  <c r="AJ7" i="7"/>
  <c r="AH7" i="7"/>
  <c r="AF7" i="7"/>
  <c r="AM7" i="7"/>
  <c r="AD7" i="7"/>
  <c r="Y7" i="7"/>
  <c r="X7" i="7"/>
  <c r="V7" i="7"/>
  <c r="T7" i="7"/>
  <c r="R7" i="7"/>
  <c r="P7" i="7"/>
  <c r="K7" i="7"/>
  <c r="L7" i="7"/>
  <c r="J7" i="7"/>
  <c r="H7" i="7"/>
  <c r="F7" i="7"/>
  <c r="D7" i="7"/>
  <c r="F72" i="7"/>
  <c r="CC68" i="7"/>
  <c r="CB68" i="7"/>
  <c r="BO68" i="7"/>
  <c r="BN68" i="7"/>
  <c r="BA68" i="7"/>
  <c r="AZ68" i="7"/>
  <c r="AM68" i="7"/>
  <c r="AL68" i="7"/>
  <c r="Y68" i="7"/>
  <c r="X68" i="7"/>
  <c r="K68" i="7"/>
  <c r="J68" i="7"/>
  <c r="CC67" i="7"/>
  <c r="CB67" i="7"/>
  <c r="BO67" i="7"/>
  <c r="BN67" i="7"/>
  <c r="BA67" i="7"/>
  <c r="AZ67" i="7"/>
  <c r="AM67" i="7"/>
  <c r="AL67" i="7"/>
  <c r="Y67" i="7"/>
  <c r="X67" i="7"/>
  <c r="K67" i="7"/>
  <c r="J67" i="7"/>
  <c r="CC66" i="7"/>
  <c r="CB66" i="7"/>
  <c r="BO66" i="7"/>
  <c r="BN66" i="7"/>
  <c r="BA66" i="7"/>
  <c r="AZ66" i="7"/>
  <c r="AM66" i="7"/>
  <c r="AL66" i="7"/>
  <c r="Y66" i="7"/>
  <c r="X66" i="7"/>
  <c r="K66" i="7"/>
  <c r="J66" i="7"/>
  <c r="CC65" i="7"/>
  <c r="CB65" i="7"/>
  <c r="BO65" i="7"/>
  <c r="BN65" i="7"/>
  <c r="BA65" i="7"/>
  <c r="AZ65" i="7"/>
  <c r="AM65" i="7"/>
  <c r="AL65" i="7"/>
  <c r="Y65" i="7"/>
  <c r="X65" i="7"/>
  <c r="K65" i="7"/>
  <c r="J65" i="7"/>
  <c r="DQ63" i="7"/>
  <c r="HT62" i="7"/>
  <c r="HN62" i="7"/>
  <c r="HH62" i="7"/>
  <c r="GR62" i="7"/>
  <c r="GD62" i="7"/>
  <c r="FP62" i="7"/>
  <c r="FB62" i="7"/>
  <c r="EN62" i="7"/>
  <c r="DL62" i="7"/>
  <c r="CX62" i="7"/>
  <c r="CJ62" i="7"/>
  <c r="BV62" i="7"/>
  <c r="BH62" i="7"/>
  <c r="BV58" i="7"/>
  <c r="BQ58" i="7"/>
  <c r="BP58" i="7"/>
  <c r="BO58" i="7"/>
  <c r="BN58" i="7"/>
  <c r="BH58" i="7"/>
  <c r="BB58" i="7"/>
  <c r="AZ58" i="7"/>
  <c r="AX58" i="7"/>
  <c r="BC58" i="7"/>
  <c r="AV58" i="7"/>
  <c r="AT58" i="7"/>
  <c r="BA58" i="7"/>
  <c r="AN58" i="7"/>
  <c r="AM58" i="7"/>
  <c r="AL58" i="7"/>
  <c r="AJ58" i="7"/>
  <c r="AO58" i="7"/>
  <c r="AH58" i="7"/>
  <c r="AF58" i="7"/>
  <c r="Z58" i="7"/>
  <c r="Y58" i="7"/>
  <c r="X58" i="7"/>
  <c r="V58" i="7"/>
  <c r="AA58" i="7"/>
  <c r="T58" i="7"/>
  <c r="R58" i="7"/>
  <c r="M58" i="7"/>
  <c r="L58" i="7"/>
  <c r="J58" i="7"/>
  <c r="H58" i="7"/>
  <c r="F58" i="7"/>
  <c r="D58" i="7"/>
  <c r="K58" i="7"/>
  <c r="BX57" i="7"/>
  <c r="BV57" i="7"/>
  <c r="BP57" i="7"/>
  <c r="BN57" i="7"/>
  <c r="BL57" i="7"/>
  <c r="BQ57" i="7"/>
  <c r="BJ57" i="7"/>
  <c r="BH57" i="7"/>
  <c r="BO57" i="7"/>
  <c r="BB57" i="7"/>
  <c r="BA57" i="7"/>
  <c r="AZ57" i="7"/>
  <c r="AX57" i="7"/>
  <c r="BC57" i="7"/>
  <c r="AV57" i="7"/>
  <c r="AT57" i="7"/>
  <c r="AN57" i="7"/>
  <c r="AM57" i="7"/>
  <c r="AL57" i="7"/>
  <c r="AJ57" i="7"/>
  <c r="AO57" i="7"/>
  <c r="AH57" i="7"/>
  <c r="AF57" i="7"/>
  <c r="AA57" i="7"/>
  <c r="Z57" i="7"/>
  <c r="X57" i="7"/>
  <c r="V57" i="7"/>
  <c r="T57" i="7"/>
  <c r="R57" i="7"/>
  <c r="Y57" i="7"/>
  <c r="M57" i="7"/>
  <c r="L57" i="7"/>
  <c r="J57" i="7"/>
  <c r="H57" i="7"/>
  <c r="F57" i="7"/>
  <c r="D57" i="7"/>
  <c r="K57" i="7"/>
  <c r="CD56" i="7"/>
  <c r="CC56" i="7"/>
  <c r="CB56" i="7"/>
  <c r="BZ56" i="7"/>
  <c r="CE56" i="7"/>
  <c r="BX56" i="7"/>
  <c r="BV56" i="7"/>
  <c r="BP56" i="7"/>
  <c r="BN56" i="7"/>
  <c r="BL56" i="7"/>
  <c r="BQ56" i="7"/>
  <c r="BJ56" i="7"/>
  <c r="BH56" i="7"/>
  <c r="BO56" i="7"/>
  <c r="BB56" i="7"/>
  <c r="BA56" i="7"/>
  <c r="AZ56" i="7"/>
  <c r="AX56" i="7"/>
  <c r="BC56" i="7"/>
  <c r="AV56" i="7"/>
  <c r="AT56" i="7"/>
  <c r="AN56" i="7"/>
  <c r="AM56" i="7"/>
  <c r="AL56" i="7"/>
  <c r="AJ56" i="7"/>
  <c r="AO56" i="7"/>
  <c r="AH56" i="7"/>
  <c r="AF56" i="7"/>
  <c r="AA56" i="7"/>
  <c r="Z56" i="7"/>
  <c r="Y56" i="7"/>
  <c r="X56" i="7"/>
  <c r="V56" i="7"/>
  <c r="T56" i="7"/>
  <c r="R56" i="7"/>
  <c r="M56" i="7"/>
  <c r="L56" i="7"/>
  <c r="K56" i="7"/>
  <c r="J56" i="7"/>
  <c r="H56" i="7"/>
  <c r="F56" i="7"/>
  <c r="D56" i="7"/>
  <c r="HB55" i="7"/>
  <c r="HC55" i="7"/>
  <c r="GX55" i="7"/>
  <c r="GL55" i="7"/>
  <c r="GM55" i="7"/>
  <c r="GH55" i="7"/>
  <c r="FX55" i="7"/>
  <c r="FY55" i="7"/>
  <c r="FT55" i="7"/>
  <c r="FJ55" i="7"/>
  <c r="FK55" i="7"/>
  <c r="FF55" i="7"/>
  <c r="EV55" i="7"/>
  <c r="EW55" i="7"/>
  <c r="ER55" i="7"/>
  <c r="EI55" i="7"/>
  <c r="EH55" i="7"/>
  <c r="ED55" i="7"/>
  <c r="DU55" i="7"/>
  <c r="DT55" i="7"/>
  <c r="DP55" i="7"/>
  <c r="DF55" i="7"/>
  <c r="DG55" i="7"/>
  <c r="DB55" i="7"/>
  <c r="CS55" i="7"/>
  <c r="CR55" i="7"/>
  <c r="CN55" i="7"/>
  <c r="CD55" i="7"/>
  <c r="CC55" i="7"/>
  <c r="CB55" i="7"/>
  <c r="BZ55" i="7"/>
  <c r="CE55" i="7"/>
  <c r="BX55" i="7"/>
  <c r="BV55" i="7"/>
  <c r="BT55" i="7"/>
  <c r="BQ55" i="7"/>
  <c r="BP55" i="7"/>
  <c r="BO55" i="7"/>
  <c r="BN55" i="7"/>
  <c r="BL55" i="7"/>
  <c r="BJ55" i="7"/>
  <c r="BH55" i="7"/>
  <c r="BF55" i="7"/>
  <c r="BB55" i="7"/>
  <c r="AZ55" i="7"/>
  <c r="AX55" i="7"/>
  <c r="BC55" i="7"/>
  <c r="AV55" i="7"/>
  <c r="AT55" i="7"/>
  <c r="BA55" i="7"/>
  <c r="AR55" i="7"/>
  <c r="AO55" i="7"/>
  <c r="AN55" i="7"/>
  <c r="AM55" i="7"/>
  <c r="AL55" i="7"/>
  <c r="AJ55" i="7"/>
  <c r="AH55" i="7"/>
  <c r="AF55" i="7"/>
  <c r="AD55" i="7"/>
  <c r="AA55" i="7"/>
  <c r="Z55" i="7"/>
  <c r="Y55" i="7"/>
  <c r="X55" i="7"/>
  <c r="V55" i="7"/>
  <c r="T55" i="7"/>
  <c r="R55" i="7"/>
  <c r="P55" i="7"/>
  <c r="L55" i="7"/>
  <c r="J55" i="7"/>
  <c r="H55" i="7"/>
  <c r="M55" i="7"/>
  <c r="F55" i="7"/>
  <c r="D55" i="7"/>
  <c r="HT54" i="7"/>
  <c r="HN54" i="7"/>
  <c r="HH54" i="7"/>
  <c r="HC54" i="7"/>
  <c r="HB54" i="7"/>
  <c r="GX54" i="7"/>
  <c r="GR54" i="7"/>
  <c r="GM54" i="7"/>
  <c r="GL54" i="7"/>
  <c r="GH54" i="7"/>
  <c r="GD54" i="7"/>
  <c r="FX54" i="7"/>
  <c r="FY54" i="7"/>
  <c r="FT54" i="7"/>
  <c r="FP54" i="7"/>
  <c r="FK54" i="7"/>
  <c r="FJ54" i="7"/>
  <c r="FF54" i="7"/>
  <c r="FB54" i="7"/>
  <c r="EW54" i="7"/>
  <c r="EV54" i="7"/>
  <c r="ER54" i="7"/>
  <c r="EN54" i="7"/>
  <c r="EH54" i="7"/>
  <c r="EI54" i="7"/>
  <c r="ED54" i="7"/>
  <c r="DZ54" i="7"/>
  <c r="DU54" i="7"/>
  <c r="DT54" i="7"/>
  <c r="DP54" i="7"/>
  <c r="DL54" i="7"/>
  <c r="DG54" i="7"/>
  <c r="DF54" i="7"/>
  <c r="DB54" i="7"/>
  <c r="CX54" i="7"/>
  <c r="CR54" i="7"/>
  <c r="CS54" i="7"/>
  <c r="CN54" i="7"/>
  <c r="CJ54" i="7"/>
  <c r="BX54" i="7"/>
  <c r="BV54" i="7"/>
  <c r="BP54" i="7"/>
  <c r="BO54" i="7"/>
  <c r="BN54" i="7"/>
  <c r="BL54" i="7"/>
  <c r="BQ54" i="7"/>
  <c r="BJ54" i="7"/>
  <c r="BH54" i="7"/>
  <c r="BC54" i="7"/>
  <c r="BB54" i="7"/>
  <c r="BA54" i="7"/>
  <c r="AZ54" i="7"/>
  <c r="AX54" i="7"/>
  <c r="AV54" i="7"/>
  <c r="AT54" i="7"/>
  <c r="AN54" i="7"/>
  <c r="AL54" i="7"/>
  <c r="AJ54" i="7"/>
  <c r="AO54" i="7"/>
  <c r="AH54" i="7"/>
  <c r="AF54" i="7"/>
  <c r="AM54" i="7"/>
  <c r="AA54" i="7"/>
  <c r="Z54" i="7"/>
  <c r="X54" i="7"/>
  <c r="V54" i="7"/>
  <c r="T54" i="7"/>
  <c r="R54" i="7"/>
  <c r="Y54" i="7"/>
  <c r="M54" i="7"/>
  <c r="L54" i="7"/>
  <c r="J54" i="7"/>
  <c r="F54" i="7"/>
  <c r="D54" i="7"/>
  <c r="K54" i="7"/>
  <c r="HT53" i="7"/>
  <c r="HN53" i="7"/>
  <c r="HH53" i="7"/>
  <c r="HB53" i="7"/>
  <c r="HC53" i="7"/>
  <c r="GX53" i="7"/>
  <c r="GR53" i="7"/>
  <c r="GM53" i="7"/>
  <c r="GL53" i="7"/>
  <c r="GH53" i="7"/>
  <c r="GD53" i="7"/>
  <c r="FY53" i="7"/>
  <c r="FX53" i="7"/>
  <c r="FT53" i="7"/>
  <c r="FP53" i="7"/>
  <c r="FJ53" i="7"/>
  <c r="FK53" i="7"/>
  <c r="FF53" i="7"/>
  <c r="FB53" i="7"/>
  <c r="EW53" i="7"/>
  <c r="EV53" i="7"/>
  <c r="ER53" i="7"/>
  <c r="EN53" i="7"/>
  <c r="EH53" i="7"/>
  <c r="EI53" i="7"/>
  <c r="ED53" i="7"/>
  <c r="DZ53" i="7"/>
  <c r="DT53" i="7"/>
  <c r="DU53" i="7"/>
  <c r="DP53" i="7"/>
  <c r="DL53" i="7"/>
  <c r="DG53" i="7"/>
  <c r="DF53" i="7"/>
  <c r="DB53" i="7"/>
  <c r="CX53" i="7"/>
  <c r="CR53" i="7"/>
  <c r="CS53" i="7"/>
  <c r="CN53" i="7"/>
  <c r="CJ53" i="7"/>
  <c r="BX53" i="7"/>
  <c r="BV53" i="7"/>
  <c r="BP53" i="7"/>
  <c r="BO53" i="7"/>
  <c r="BN53" i="7"/>
  <c r="BL53" i="7"/>
  <c r="BQ53" i="7"/>
  <c r="BJ53" i="7"/>
  <c r="BH53" i="7"/>
  <c r="BB53" i="7"/>
  <c r="AZ53" i="7"/>
  <c r="AX53" i="7"/>
  <c r="BC53" i="7"/>
  <c r="AV53" i="7"/>
  <c r="AT53" i="7"/>
  <c r="BA53" i="7"/>
  <c r="AN53" i="7"/>
  <c r="AM53" i="7"/>
  <c r="AL53" i="7"/>
  <c r="AJ53" i="7"/>
  <c r="AO53" i="7"/>
  <c r="AH53" i="7"/>
  <c r="AF53" i="7"/>
  <c r="Z53" i="7"/>
  <c r="Y53" i="7"/>
  <c r="X53" i="7"/>
  <c r="V53" i="7"/>
  <c r="AA53" i="7"/>
  <c r="T53" i="7"/>
  <c r="R53" i="7"/>
  <c r="L53" i="7"/>
  <c r="K53" i="7"/>
  <c r="J53" i="7"/>
  <c r="H53" i="7"/>
  <c r="M53" i="7"/>
  <c r="F53" i="7"/>
  <c r="D53" i="7"/>
  <c r="HT52" i="7"/>
  <c r="HN52" i="7"/>
  <c r="HH52" i="7"/>
  <c r="HC52" i="7"/>
  <c r="HB52" i="7"/>
  <c r="GX52" i="7"/>
  <c r="GR52" i="7"/>
  <c r="GM52" i="7"/>
  <c r="GL52" i="7"/>
  <c r="GH52" i="7"/>
  <c r="GD52" i="7"/>
  <c r="FX52" i="7"/>
  <c r="FY52" i="7"/>
  <c r="FT52" i="7"/>
  <c r="FP52" i="7"/>
  <c r="FK52" i="7"/>
  <c r="FJ52" i="7"/>
  <c r="FF52" i="7"/>
  <c r="FB52" i="7"/>
  <c r="EV52" i="7"/>
  <c r="EW52" i="7"/>
  <c r="ER52" i="7"/>
  <c r="EN52" i="7"/>
  <c r="EH52" i="7"/>
  <c r="EI52" i="7"/>
  <c r="ED52" i="7"/>
  <c r="DZ52" i="7"/>
  <c r="DU52" i="7"/>
  <c r="DT52" i="7"/>
  <c r="DP52" i="7"/>
  <c r="DL52" i="7"/>
  <c r="DF52" i="7"/>
  <c r="DG52" i="7"/>
  <c r="DB52" i="7"/>
  <c r="CX52" i="7"/>
  <c r="CR52" i="7"/>
  <c r="CS52" i="7"/>
  <c r="CN52" i="7"/>
  <c r="CJ52" i="7"/>
  <c r="CE52" i="7"/>
  <c r="CD52" i="7"/>
  <c r="CC52" i="7"/>
  <c r="CB52" i="7"/>
  <c r="BZ52" i="7"/>
  <c r="BX52" i="7"/>
  <c r="BV52" i="7"/>
  <c r="BP52" i="7"/>
  <c r="BO52" i="7"/>
  <c r="BN52" i="7"/>
  <c r="BL52" i="7"/>
  <c r="BQ52" i="7"/>
  <c r="BJ52" i="7"/>
  <c r="BH52" i="7"/>
  <c r="BC52" i="7"/>
  <c r="BB52" i="7"/>
  <c r="BA52" i="7"/>
  <c r="AZ52" i="7"/>
  <c r="AX52" i="7"/>
  <c r="AV52" i="7"/>
  <c r="AT52" i="7"/>
  <c r="AO52" i="7"/>
  <c r="AN52" i="7"/>
  <c r="AM52" i="7"/>
  <c r="AL52" i="7"/>
  <c r="AJ52" i="7"/>
  <c r="AH52" i="7"/>
  <c r="AF52" i="7"/>
  <c r="AA52" i="7"/>
  <c r="Z52" i="7"/>
  <c r="X52" i="7"/>
  <c r="V52" i="7"/>
  <c r="T52" i="7"/>
  <c r="R52" i="7"/>
  <c r="Y52" i="7"/>
  <c r="M52" i="7"/>
  <c r="L52" i="7"/>
  <c r="K52" i="7"/>
  <c r="J52" i="7"/>
  <c r="H52" i="7"/>
  <c r="F52" i="7"/>
  <c r="D52" i="7"/>
  <c r="CD51" i="7"/>
  <c r="CC51" i="7"/>
  <c r="CB51" i="7"/>
  <c r="BZ51" i="7"/>
  <c r="CE51" i="7"/>
  <c r="BX51" i="7"/>
  <c r="BV51" i="7"/>
  <c r="BQ51" i="7"/>
  <c r="BP51" i="7"/>
  <c r="BO51" i="7"/>
  <c r="BN51" i="7"/>
  <c r="BL51" i="7"/>
  <c r="BJ51" i="7"/>
  <c r="BH51" i="7"/>
  <c r="BB51" i="7"/>
  <c r="BA51" i="7"/>
  <c r="AZ51" i="7"/>
  <c r="AX51" i="7"/>
  <c r="BC51" i="7"/>
  <c r="AV51" i="7"/>
  <c r="AT51" i="7"/>
  <c r="AR51" i="7"/>
  <c r="AO51" i="7"/>
  <c r="AN51" i="7"/>
  <c r="AL51" i="7"/>
  <c r="AJ51" i="7"/>
  <c r="AH51" i="7"/>
  <c r="AF51" i="7"/>
  <c r="AM51" i="7"/>
  <c r="AD51" i="7"/>
  <c r="AA51" i="7"/>
  <c r="Z51" i="7"/>
  <c r="Y51" i="7"/>
  <c r="X51" i="7"/>
  <c r="V51" i="7"/>
  <c r="T51" i="7"/>
  <c r="R51" i="7"/>
  <c r="P51" i="7"/>
  <c r="L51" i="7"/>
  <c r="J51" i="7"/>
  <c r="H51" i="7"/>
  <c r="M51" i="7"/>
  <c r="F51" i="7"/>
  <c r="D51" i="7"/>
  <c r="K51" i="7"/>
  <c r="HT50" i="7"/>
  <c r="HN50" i="7"/>
  <c r="HH50" i="7"/>
  <c r="HB50" i="7"/>
  <c r="HC50" i="7"/>
  <c r="GX50" i="7"/>
  <c r="GR50" i="7"/>
  <c r="GL50" i="7"/>
  <c r="GM50" i="7"/>
  <c r="GH50" i="7"/>
  <c r="GD50" i="7"/>
  <c r="FX50" i="7"/>
  <c r="FY50" i="7"/>
  <c r="FT50" i="7"/>
  <c r="FP50" i="7"/>
  <c r="FJ50" i="7"/>
  <c r="FK50" i="7"/>
  <c r="FF50" i="7"/>
  <c r="FB50" i="7"/>
  <c r="EV50" i="7"/>
  <c r="EW50" i="7"/>
  <c r="ER50" i="7"/>
  <c r="EN50" i="7"/>
  <c r="EI50" i="7"/>
  <c r="EH50" i="7"/>
  <c r="ED50" i="7"/>
  <c r="DZ50" i="7"/>
  <c r="DT50" i="7"/>
  <c r="DU50" i="7"/>
  <c r="DP50" i="7"/>
  <c r="DL50" i="7"/>
  <c r="DG50" i="7"/>
  <c r="DF50" i="7"/>
  <c r="DB50" i="7"/>
  <c r="CX50" i="7"/>
  <c r="CR50" i="7"/>
  <c r="CS50" i="7"/>
  <c r="CN50" i="7"/>
  <c r="CJ50" i="7"/>
  <c r="BX50" i="7"/>
  <c r="BV50" i="7"/>
  <c r="BP50" i="7"/>
  <c r="BO50" i="7"/>
  <c r="BN50" i="7"/>
  <c r="BL50" i="7"/>
  <c r="BQ50" i="7"/>
  <c r="BJ50" i="7"/>
  <c r="BH50" i="7"/>
  <c r="BC50" i="7"/>
  <c r="BB50" i="7"/>
  <c r="BA50" i="7"/>
  <c r="AZ50" i="7"/>
  <c r="AX50" i="7"/>
  <c r="AV50" i="7"/>
  <c r="AT50" i="7"/>
  <c r="AN50" i="7"/>
  <c r="AL50" i="7"/>
  <c r="AJ50" i="7"/>
  <c r="AO50" i="7"/>
  <c r="AH50" i="7"/>
  <c r="AF50" i="7"/>
  <c r="AM50" i="7"/>
  <c r="AA50" i="7"/>
  <c r="Z50" i="7"/>
  <c r="X50" i="7"/>
  <c r="V50" i="7"/>
  <c r="T50" i="7"/>
  <c r="R50" i="7"/>
  <c r="Y50" i="7"/>
  <c r="L50" i="7"/>
  <c r="K50" i="7"/>
  <c r="J50" i="7"/>
  <c r="H50" i="7"/>
  <c r="M50" i="7"/>
  <c r="F50" i="7"/>
  <c r="D50" i="7"/>
  <c r="HT49" i="7"/>
  <c r="HN49" i="7"/>
  <c r="HH49" i="7"/>
  <c r="HB49" i="7"/>
  <c r="HC49" i="7"/>
  <c r="GX49" i="7"/>
  <c r="GR49" i="7"/>
  <c r="GL49" i="7"/>
  <c r="GM49" i="7"/>
  <c r="GH49" i="7"/>
  <c r="GD49" i="7"/>
  <c r="FX49" i="7"/>
  <c r="FY49" i="7"/>
  <c r="FT49" i="7"/>
  <c r="FP49" i="7"/>
  <c r="FK49" i="7"/>
  <c r="FJ49" i="7"/>
  <c r="FF49" i="7"/>
  <c r="FB49" i="7"/>
  <c r="EW49" i="7"/>
  <c r="EV49" i="7"/>
  <c r="ER49" i="7"/>
  <c r="EN49" i="7"/>
  <c r="EH49" i="7"/>
  <c r="EI49" i="7"/>
  <c r="ED49" i="7"/>
  <c r="DZ49" i="7"/>
  <c r="DU49" i="7"/>
  <c r="DT49" i="7"/>
  <c r="DP49" i="7"/>
  <c r="DL49" i="7"/>
  <c r="DF49" i="7"/>
  <c r="DG49" i="7"/>
  <c r="DB49" i="7"/>
  <c r="CX49" i="7"/>
  <c r="CR49" i="7"/>
  <c r="CS49" i="7"/>
  <c r="CN49" i="7"/>
  <c r="CJ49" i="7"/>
  <c r="BX49" i="7"/>
  <c r="BV49" i="7"/>
  <c r="BP49" i="7"/>
  <c r="BO49" i="7"/>
  <c r="BN49" i="7"/>
  <c r="BL49" i="7"/>
  <c r="BQ49" i="7"/>
  <c r="BJ49" i="7"/>
  <c r="BH49" i="7"/>
  <c r="BB49" i="7"/>
  <c r="BA49" i="7"/>
  <c r="AZ49" i="7"/>
  <c r="AX49" i="7"/>
  <c r="BC49" i="7"/>
  <c r="AV49" i="7"/>
  <c r="AT49" i="7"/>
  <c r="AO49" i="7"/>
  <c r="AN49" i="7"/>
  <c r="AL49" i="7"/>
  <c r="AJ49" i="7"/>
  <c r="AH49" i="7"/>
  <c r="AF49" i="7"/>
  <c r="AM49" i="7"/>
  <c r="AA49" i="7"/>
  <c r="Z49" i="7"/>
  <c r="X49" i="7"/>
  <c r="V49" i="7"/>
  <c r="T49" i="7"/>
  <c r="R49" i="7"/>
  <c r="Y49" i="7"/>
  <c r="M49" i="7"/>
  <c r="L49" i="7"/>
  <c r="J49" i="7"/>
  <c r="H49" i="7"/>
  <c r="F49" i="7"/>
  <c r="D49" i="7"/>
  <c r="K49" i="7"/>
  <c r="HT48" i="7"/>
  <c r="HN48" i="7"/>
  <c r="HH48" i="7"/>
  <c r="HC48" i="7"/>
  <c r="HB48" i="7"/>
  <c r="GX48" i="7"/>
  <c r="GR48" i="7"/>
  <c r="GL48" i="7"/>
  <c r="GM48" i="7"/>
  <c r="GH48" i="7"/>
  <c r="GD48" i="7"/>
  <c r="FY48" i="7"/>
  <c r="FX48" i="7"/>
  <c r="FT48" i="7"/>
  <c r="FP48" i="7"/>
  <c r="FK48" i="7"/>
  <c r="FJ48" i="7"/>
  <c r="FF48" i="7"/>
  <c r="FB48" i="7"/>
  <c r="EV48" i="7"/>
  <c r="EW48" i="7"/>
  <c r="ER48" i="7"/>
  <c r="EN48" i="7"/>
  <c r="EH48" i="7"/>
  <c r="EI48" i="7"/>
  <c r="ED48" i="7"/>
  <c r="DZ48" i="7"/>
  <c r="DU48" i="7"/>
  <c r="DT48" i="7"/>
  <c r="DP48" i="7"/>
  <c r="DL48" i="7"/>
  <c r="DF48" i="7"/>
  <c r="DG48" i="7"/>
  <c r="DB48" i="7"/>
  <c r="CX48" i="7"/>
  <c r="CS48" i="7"/>
  <c r="CR48" i="7"/>
  <c r="CN48" i="7"/>
  <c r="CJ48" i="7"/>
  <c r="CE48" i="7"/>
  <c r="CD48" i="7"/>
  <c r="CC48" i="7"/>
  <c r="CB48" i="7"/>
  <c r="BZ48" i="7"/>
  <c r="BX48" i="7"/>
  <c r="BV48" i="7"/>
  <c r="BP48" i="7"/>
  <c r="BO48" i="7"/>
  <c r="BN48" i="7"/>
  <c r="BL48" i="7"/>
  <c r="BQ48" i="7"/>
  <c r="BJ48" i="7"/>
  <c r="BH48" i="7"/>
  <c r="BB48" i="7"/>
  <c r="AZ48" i="7"/>
  <c r="AX48" i="7"/>
  <c r="BC48" i="7"/>
  <c r="AV48" i="7"/>
  <c r="AT48" i="7"/>
  <c r="BA48" i="7"/>
  <c r="AN48" i="7"/>
  <c r="AM48" i="7"/>
  <c r="AL48" i="7"/>
  <c r="AJ48" i="7"/>
  <c r="AO48" i="7"/>
  <c r="AH48" i="7"/>
  <c r="AF48" i="7"/>
  <c r="Z48" i="7"/>
  <c r="X48" i="7"/>
  <c r="V48" i="7"/>
  <c r="AA48" i="7"/>
  <c r="T48" i="7"/>
  <c r="R48" i="7"/>
  <c r="Y48" i="7"/>
  <c r="L48" i="7"/>
  <c r="K48" i="7"/>
  <c r="J48" i="7"/>
  <c r="H48" i="7"/>
  <c r="M48" i="7"/>
  <c r="F48" i="7"/>
  <c r="D48" i="7"/>
  <c r="HT47" i="7"/>
  <c r="HN47" i="7"/>
  <c r="HH47" i="7"/>
  <c r="HB47" i="7"/>
  <c r="HC47" i="7"/>
  <c r="GX47" i="7"/>
  <c r="GR47" i="7"/>
  <c r="GL47" i="7"/>
  <c r="GM47" i="7"/>
  <c r="GH47" i="7"/>
  <c r="GD47" i="7"/>
  <c r="FX47" i="7"/>
  <c r="FY47" i="7"/>
  <c r="FT47" i="7"/>
  <c r="FP47" i="7"/>
  <c r="FK47" i="7"/>
  <c r="FJ47" i="7"/>
  <c r="FF47" i="7"/>
  <c r="FB47" i="7"/>
  <c r="EW47" i="7"/>
  <c r="EV47" i="7"/>
  <c r="ER47" i="7"/>
  <c r="EN47" i="7"/>
  <c r="EH47" i="7"/>
  <c r="EI47" i="7"/>
  <c r="ED47" i="7"/>
  <c r="DZ47" i="7"/>
  <c r="DU47" i="7"/>
  <c r="DT47" i="7"/>
  <c r="DP47" i="7"/>
  <c r="DL47" i="7"/>
  <c r="DG47" i="7"/>
  <c r="DF47" i="7"/>
  <c r="DB47" i="7"/>
  <c r="CX47" i="7"/>
  <c r="CR47" i="7"/>
  <c r="CS47" i="7"/>
  <c r="CN47" i="7"/>
  <c r="CJ47" i="7"/>
  <c r="CD47" i="7"/>
  <c r="CC47" i="7"/>
  <c r="CB47" i="7"/>
  <c r="BZ47" i="7"/>
  <c r="CE47" i="7"/>
  <c r="BX47" i="7"/>
  <c r="BV47" i="7"/>
  <c r="BT47" i="7"/>
  <c r="BP47" i="7"/>
  <c r="BO47" i="7"/>
  <c r="BN47" i="7"/>
  <c r="BL47" i="7"/>
  <c r="BQ47" i="7"/>
  <c r="BJ47" i="7"/>
  <c r="BH47" i="7"/>
  <c r="BF47" i="7"/>
  <c r="BC47" i="7"/>
  <c r="BB47" i="7"/>
  <c r="AZ47" i="7"/>
  <c r="AX47" i="7"/>
  <c r="AV47" i="7"/>
  <c r="AT47" i="7"/>
  <c r="BA47" i="7"/>
  <c r="AR47" i="7"/>
  <c r="AN47" i="7"/>
  <c r="AM47" i="7"/>
  <c r="AL47" i="7"/>
  <c r="AJ47" i="7"/>
  <c r="AO47" i="7"/>
  <c r="AH47" i="7"/>
  <c r="AF47" i="7"/>
  <c r="AD47" i="7"/>
  <c r="Z47" i="7"/>
  <c r="Y47" i="7"/>
  <c r="X47" i="7"/>
  <c r="V47" i="7"/>
  <c r="AA47" i="7"/>
  <c r="T47" i="7"/>
  <c r="R47" i="7"/>
  <c r="P47" i="7"/>
  <c r="M47" i="7"/>
  <c r="L47" i="7"/>
  <c r="K47" i="7"/>
  <c r="J47" i="7"/>
  <c r="H47" i="7"/>
  <c r="F47" i="7"/>
  <c r="D47" i="7"/>
  <c r="HT46" i="7"/>
  <c r="HN46" i="7"/>
  <c r="HH46" i="7"/>
  <c r="HB46" i="7"/>
  <c r="HC46" i="7"/>
  <c r="GX46" i="7"/>
  <c r="GR46" i="7"/>
  <c r="GL46" i="7"/>
  <c r="GM46" i="7"/>
  <c r="GH46" i="7"/>
  <c r="GD46" i="7"/>
  <c r="FY46" i="7"/>
  <c r="FX46" i="7"/>
  <c r="FT46" i="7"/>
  <c r="FP46" i="7"/>
  <c r="FJ46" i="7"/>
  <c r="FK46" i="7"/>
  <c r="FF46" i="7"/>
  <c r="FB46" i="7"/>
  <c r="EV46" i="7"/>
  <c r="EW46" i="7"/>
  <c r="ER46" i="7"/>
  <c r="EN46" i="7"/>
  <c r="EI46" i="7"/>
  <c r="EH46" i="7"/>
  <c r="ED46" i="7"/>
  <c r="DZ46" i="7"/>
  <c r="DU46" i="7"/>
  <c r="DT46" i="7"/>
  <c r="DP46" i="7"/>
  <c r="DL46" i="7"/>
  <c r="DF46" i="7"/>
  <c r="DG46" i="7"/>
  <c r="DB46" i="7"/>
  <c r="CX46" i="7"/>
  <c r="CS46" i="7"/>
  <c r="CR46" i="7"/>
  <c r="CN46" i="7"/>
  <c r="CJ46" i="7"/>
  <c r="CD46" i="7"/>
  <c r="CB46" i="7"/>
  <c r="BZ46" i="7"/>
  <c r="CE46" i="7"/>
  <c r="BX46" i="7"/>
  <c r="BV46" i="7"/>
  <c r="CC46" i="7"/>
  <c r="BQ46" i="7"/>
  <c r="BP46" i="7"/>
  <c r="BO46" i="7"/>
  <c r="BN46" i="7"/>
  <c r="BL46" i="7"/>
  <c r="BJ46" i="7"/>
  <c r="BH46" i="7"/>
  <c r="BB46" i="7"/>
  <c r="AZ46" i="7"/>
  <c r="AX46" i="7"/>
  <c r="BC46" i="7"/>
  <c r="AV46" i="7"/>
  <c r="AT46" i="7"/>
  <c r="BA46" i="7"/>
  <c r="AO46" i="7"/>
  <c r="AN46" i="7"/>
  <c r="AL46" i="7"/>
  <c r="AJ46" i="7"/>
  <c r="AH46" i="7"/>
  <c r="AF46" i="7"/>
  <c r="AM46" i="7"/>
  <c r="Z46" i="7"/>
  <c r="X46" i="7"/>
  <c r="V46" i="7"/>
  <c r="AA46" i="7"/>
  <c r="T46" i="7"/>
  <c r="R46" i="7"/>
  <c r="Y46" i="7"/>
  <c r="L46" i="7"/>
  <c r="J46" i="7"/>
  <c r="H46" i="7"/>
  <c r="M46" i="7"/>
  <c r="F46" i="7"/>
  <c r="D46" i="7"/>
  <c r="K46" i="7"/>
  <c r="HT45" i="7"/>
  <c r="HN45" i="7"/>
  <c r="HH45" i="7"/>
  <c r="HB45" i="7"/>
  <c r="HC45" i="7"/>
  <c r="GX45" i="7"/>
  <c r="GR45" i="7"/>
  <c r="GM45" i="7"/>
  <c r="GL45" i="7"/>
  <c r="GH45" i="7"/>
  <c r="GD45" i="7"/>
  <c r="FX45" i="7"/>
  <c r="FY45" i="7"/>
  <c r="FT45" i="7"/>
  <c r="FP45" i="7"/>
  <c r="FJ45" i="7"/>
  <c r="FK45" i="7"/>
  <c r="FF45" i="7"/>
  <c r="FB45" i="7"/>
  <c r="EW45" i="7"/>
  <c r="EV45" i="7"/>
  <c r="ER45" i="7"/>
  <c r="EN45" i="7"/>
  <c r="EH45" i="7"/>
  <c r="EI45" i="7"/>
  <c r="ED45" i="7"/>
  <c r="DZ45" i="7"/>
  <c r="DT45" i="7"/>
  <c r="DU45" i="7"/>
  <c r="DP45" i="7"/>
  <c r="DL45" i="7"/>
  <c r="DG45" i="7"/>
  <c r="DF45" i="7"/>
  <c r="DB45" i="7"/>
  <c r="CX45" i="7"/>
  <c r="CR45" i="7"/>
  <c r="CS45" i="7"/>
  <c r="CN45" i="7"/>
  <c r="CJ45" i="7"/>
  <c r="CD45" i="7"/>
  <c r="CB45" i="7"/>
  <c r="BZ45" i="7"/>
  <c r="CE45" i="7"/>
  <c r="BX45" i="7"/>
  <c r="BV45" i="7"/>
  <c r="CC45" i="7"/>
  <c r="BP45" i="7"/>
  <c r="BN45" i="7"/>
  <c r="BL45" i="7"/>
  <c r="BQ45" i="7"/>
  <c r="BJ45" i="7"/>
  <c r="BH45" i="7"/>
  <c r="BO45" i="7"/>
  <c r="BB45" i="7"/>
  <c r="BA45" i="7"/>
  <c r="AZ45" i="7"/>
  <c r="AX45" i="7"/>
  <c r="BC45" i="7"/>
  <c r="AV45" i="7"/>
  <c r="AT45" i="7"/>
  <c r="AN45" i="7"/>
  <c r="AL45" i="7"/>
  <c r="AJ45" i="7"/>
  <c r="AO45" i="7"/>
  <c r="AH45" i="7"/>
  <c r="AF45" i="7"/>
  <c r="AM45" i="7"/>
  <c r="Z45" i="7"/>
  <c r="Y45" i="7"/>
  <c r="X45" i="7"/>
  <c r="V45" i="7"/>
  <c r="AA45" i="7"/>
  <c r="T45" i="7"/>
  <c r="R45" i="7"/>
  <c r="L45" i="7"/>
  <c r="J45" i="7"/>
  <c r="H45" i="7"/>
  <c r="M45" i="7"/>
  <c r="F45" i="7"/>
  <c r="D45" i="7"/>
  <c r="K45" i="7"/>
  <c r="HT44" i="7"/>
  <c r="HN44" i="7"/>
  <c r="HH44" i="7"/>
  <c r="HC44" i="7"/>
  <c r="HB44" i="7"/>
  <c r="GX44" i="7"/>
  <c r="GR44" i="7"/>
  <c r="GL44" i="7"/>
  <c r="GM44" i="7"/>
  <c r="GH44" i="7"/>
  <c r="GD44" i="7"/>
  <c r="FX44" i="7"/>
  <c r="FY44" i="7"/>
  <c r="FT44" i="7"/>
  <c r="FP44" i="7"/>
  <c r="FK44" i="7"/>
  <c r="FJ44" i="7"/>
  <c r="FF44" i="7"/>
  <c r="FB44" i="7"/>
  <c r="EV44" i="7"/>
  <c r="EW44" i="7"/>
  <c r="ER44" i="7"/>
  <c r="EN44" i="7"/>
  <c r="EH44" i="7"/>
  <c r="EI44" i="7"/>
  <c r="ED44" i="7"/>
  <c r="DZ44" i="7"/>
  <c r="DU44" i="7"/>
  <c r="DT44" i="7"/>
  <c r="DP44" i="7"/>
  <c r="DL44" i="7"/>
  <c r="DF44" i="7"/>
  <c r="DG44" i="7"/>
  <c r="DB44" i="7"/>
  <c r="CX44" i="7"/>
  <c r="CR44" i="7"/>
  <c r="CS44" i="7"/>
  <c r="CN44" i="7"/>
  <c r="CJ44" i="7"/>
  <c r="CD44" i="7"/>
  <c r="CB44" i="7"/>
  <c r="BZ44" i="7"/>
  <c r="CE44" i="7"/>
  <c r="BX44" i="7"/>
  <c r="BV44" i="7"/>
  <c r="CC44" i="7"/>
  <c r="BQ44" i="7"/>
  <c r="BP44" i="7"/>
  <c r="BO44" i="7"/>
  <c r="BN44" i="7"/>
  <c r="BL44" i="7"/>
  <c r="BJ44" i="7"/>
  <c r="BH44" i="7"/>
  <c r="BB44" i="7"/>
  <c r="AZ44" i="7"/>
  <c r="AX44" i="7"/>
  <c r="BC44" i="7"/>
  <c r="AV44" i="7"/>
  <c r="AT44" i="7"/>
  <c r="BA44" i="7"/>
  <c r="AN44" i="7"/>
  <c r="AL44" i="7"/>
  <c r="AJ44" i="7"/>
  <c r="AO44" i="7"/>
  <c r="AH44" i="7"/>
  <c r="AF44" i="7"/>
  <c r="AM44" i="7"/>
  <c r="AA44" i="7"/>
  <c r="Z44" i="7"/>
  <c r="X44" i="7"/>
  <c r="V44" i="7"/>
  <c r="T44" i="7"/>
  <c r="R44" i="7"/>
  <c r="Y44" i="7"/>
  <c r="L44" i="7"/>
  <c r="J44" i="7"/>
  <c r="H44" i="7"/>
  <c r="M44" i="7"/>
  <c r="F44" i="7"/>
  <c r="D44" i="7"/>
  <c r="K44" i="7"/>
  <c r="HT43" i="7"/>
  <c r="HN43" i="7"/>
  <c r="HH43" i="7"/>
  <c r="HC43" i="7"/>
  <c r="HB43" i="7"/>
  <c r="GX43" i="7"/>
  <c r="GR43" i="7"/>
  <c r="GM43" i="7"/>
  <c r="GL43" i="7"/>
  <c r="GH43" i="7"/>
  <c r="GD43" i="7"/>
  <c r="FX43" i="7"/>
  <c r="FY43" i="7"/>
  <c r="FT43" i="7"/>
  <c r="FP43" i="7"/>
  <c r="FK43" i="7"/>
  <c r="FJ43" i="7"/>
  <c r="FF43" i="7"/>
  <c r="FB43" i="7"/>
  <c r="EW43" i="7"/>
  <c r="EV43" i="7"/>
  <c r="ER43" i="7"/>
  <c r="EN43" i="7"/>
  <c r="EH43" i="7"/>
  <c r="EI43" i="7"/>
  <c r="ED43" i="7"/>
  <c r="DZ43" i="7"/>
  <c r="DU43" i="7"/>
  <c r="DT43" i="7"/>
  <c r="DP43" i="7"/>
  <c r="DL43" i="7"/>
  <c r="DG43" i="7"/>
  <c r="DF43" i="7"/>
  <c r="DB43" i="7"/>
  <c r="CX43" i="7"/>
  <c r="CR43" i="7"/>
  <c r="CS43" i="7"/>
  <c r="CN43" i="7"/>
  <c r="CJ43" i="7"/>
  <c r="CD43" i="7"/>
  <c r="CB43" i="7"/>
  <c r="BZ43" i="7"/>
  <c r="CE43" i="7"/>
  <c r="BX43" i="7"/>
  <c r="BV43" i="7"/>
  <c r="CC43" i="7"/>
  <c r="BT43" i="7"/>
  <c r="BP43" i="7"/>
  <c r="BN43" i="7"/>
  <c r="BL43" i="7"/>
  <c r="BQ43" i="7"/>
  <c r="BJ43" i="7"/>
  <c r="BH43" i="7"/>
  <c r="BO43" i="7"/>
  <c r="BF43" i="7"/>
  <c r="BB43" i="7"/>
  <c r="AZ43" i="7"/>
  <c r="AX43" i="7"/>
  <c r="BC43" i="7"/>
  <c r="AV43" i="7"/>
  <c r="AT43" i="7"/>
  <c r="BA43" i="7"/>
  <c r="AR43" i="7"/>
  <c r="AN43" i="7"/>
  <c r="AL43" i="7"/>
  <c r="AJ43" i="7"/>
  <c r="AO43" i="7"/>
  <c r="AH43" i="7"/>
  <c r="AF43" i="7"/>
  <c r="AM43" i="7"/>
  <c r="AD43" i="7"/>
  <c r="Z43" i="7"/>
  <c r="X43" i="7"/>
  <c r="V43" i="7"/>
  <c r="AA43" i="7"/>
  <c r="T43" i="7"/>
  <c r="R43" i="7"/>
  <c r="Y43" i="7"/>
  <c r="P43" i="7"/>
  <c r="L43" i="7"/>
  <c r="J43" i="7"/>
  <c r="H43" i="7"/>
  <c r="M43" i="7"/>
  <c r="F43" i="7"/>
  <c r="D43" i="7"/>
  <c r="K43" i="7"/>
  <c r="HT42" i="7"/>
  <c r="HN42" i="7"/>
  <c r="HH42" i="7"/>
  <c r="HB42" i="7"/>
  <c r="HC42" i="7"/>
  <c r="GX42" i="7"/>
  <c r="GR42" i="7"/>
  <c r="GM42" i="7"/>
  <c r="GL42" i="7"/>
  <c r="GH42" i="7"/>
  <c r="GD42" i="7"/>
  <c r="FX42" i="7"/>
  <c r="FY42" i="7"/>
  <c r="FT42" i="7"/>
  <c r="FP42" i="7"/>
  <c r="FK42" i="7"/>
  <c r="FJ42" i="7"/>
  <c r="FF42" i="7"/>
  <c r="FB42" i="7"/>
  <c r="EW42" i="7"/>
  <c r="EV42" i="7"/>
  <c r="ER42" i="7"/>
  <c r="EN42" i="7"/>
  <c r="EH42" i="7"/>
  <c r="EI42" i="7"/>
  <c r="ED42" i="7"/>
  <c r="DZ42" i="7"/>
  <c r="DT42" i="7"/>
  <c r="DU42" i="7"/>
  <c r="DP42" i="7"/>
  <c r="DL42" i="7"/>
  <c r="DG42" i="7"/>
  <c r="DF42" i="7"/>
  <c r="DB42" i="7"/>
  <c r="CX42" i="7"/>
  <c r="CR42" i="7"/>
  <c r="CS42" i="7"/>
  <c r="CN42" i="7"/>
  <c r="CJ42" i="7"/>
  <c r="J42" i="7"/>
  <c r="H42" i="7"/>
  <c r="F42" i="7"/>
  <c r="D42" i="7"/>
  <c r="HT41" i="7"/>
  <c r="HN41" i="7"/>
  <c r="HH41" i="7"/>
  <c r="HC41" i="7"/>
  <c r="HB41" i="7"/>
  <c r="GX41" i="7"/>
  <c r="GR41" i="7"/>
  <c r="GM41" i="7"/>
  <c r="GL41" i="7"/>
  <c r="GH41" i="7"/>
  <c r="GD41" i="7"/>
  <c r="FX41" i="7"/>
  <c r="FY41" i="7"/>
  <c r="FT41" i="7"/>
  <c r="FP41" i="7"/>
  <c r="FK41" i="7"/>
  <c r="FJ41" i="7"/>
  <c r="FF41" i="7"/>
  <c r="FB41" i="7"/>
  <c r="EV41" i="7"/>
  <c r="EW41" i="7"/>
  <c r="ER41" i="7"/>
  <c r="EN41" i="7"/>
  <c r="EH41" i="7"/>
  <c r="EI41" i="7"/>
  <c r="ED41" i="7"/>
  <c r="DZ41" i="7"/>
  <c r="DU41" i="7"/>
  <c r="DT41" i="7"/>
  <c r="DP41" i="7"/>
  <c r="DL41" i="7"/>
  <c r="DF41" i="7"/>
  <c r="DG41" i="7"/>
  <c r="DB41" i="7"/>
  <c r="CX41" i="7"/>
  <c r="CR41" i="7"/>
  <c r="CS41" i="7"/>
  <c r="CN41" i="7"/>
  <c r="CJ41" i="7"/>
  <c r="H41" i="7"/>
  <c r="F41" i="7"/>
  <c r="D41" i="7"/>
  <c r="HT40" i="7"/>
  <c r="HN40" i="7"/>
  <c r="HH40" i="7"/>
  <c r="HC40" i="7"/>
  <c r="HB40" i="7"/>
  <c r="GX40" i="7"/>
  <c r="GR40" i="7"/>
  <c r="GM40" i="7"/>
  <c r="GL40" i="7"/>
  <c r="GH40" i="7"/>
  <c r="GD40" i="7"/>
  <c r="FY40" i="7"/>
  <c r="FX40" i="7"/>
  <c r="FT40" i="7"/>
  <c r="FP40" i="7"/>
  <c r="FK40" i="7"/>
  <c r="FJ40" i="7"/>
  <c r="FF40" i="7"/>
  <c r="FB40" i="7"/>
  <c r="EW40" i="7"/>
  <c r="EV40" i="7"/>
  <c r="ER40" i="7"/>
  <c r="EN40" i="7"/>
  <c r="EI40" i="7"/>
  <c r="EH40" i="7"/>
  <c r="ED40" i="7"/>
  <c r="DZ40" i="7"/>
  <c r="DU40" i="7"/>
  <c r="DT40" i="7"/>
  <c r="DP40" i="7"/>
  <c r="DL40" i="7"/>
  <c r="DG40" i="7"/>
  <c r="DF40" i="7"/>
  <c r="DB40" i="7"/>
  <c r="CX40" i="7"/>
  <c r="CS40" i="7"/>
  <c r="CR40" i="7"/>
  <c r="CN40" i="7"/>
  <c r="CJ40" i="7"/>
  <c r="H40" i="7"/>
  <c r="F40" i="7"/>
  <c r="D40" i="7"/>
  <c r="HT39" i="7"/>
  <c r="HN39" i="7"/>
  <c r="HH39" i="7"/>
  <c r="HC39" i="7"/>
  <c r="HB39" i="7"/>
  <c r="GX39" i="7"/>
  <c r="GR39" i="7"/>
  <c r="GL39" i="7"/>
  <c r="GM39" i="7"/>
  <c r="GH39" i="7"/>
  <c r="GD39" i="7"/>
  <c r="FX39" i="7"/>
  <c r="FY39" i="7"/>
  <c r="FT39" i="7"/>
  <c r="FP39" i="7"/>
  <c r="FJ39" i="7"/>
  <c r="FK39" i="7"/>
  <c r="FF39" i="7"/>
  <c r="FB39" i="7"/>
  <c r="EW39" i="7"/>
  <c r="EV39" i="7"/>
  <c r="ER39" i="7"/>
  <c r="EN39" i="7"/>
  <c r="EH39" i="7"/>
  <c r="EI39" i="7"/>
  <c r="ED39" i="7"/>
  <c r="DZ39" i="7"/>
  <c r="DU39" i="7"/>
  <c r="DT39" i="7"/>
  <c r="DP39" i="7"/>
  <c r="DL39" i="7"/>
  <c r="DG39" i="7"/>
  <c r="DF39" i="7"/>
  <c r="DB39" i="7"/>
  <c r="CX39" i="7"/>
  <c r="CR39" i="7"/>
  <c r="CS39" i="7"/>
  <c r="CN39" i="7"/>
  <c r="CJ39" i="7"/>
  <c r="BT39" i="7"/>
  <c r="BF39" i="7"/>
  <c r="AR39" i="7"/>
  <c r="AD39" i="7"/>
  <c r="P39" i="7"/>
  <c r="H39" i="7"/>
  <c r="F39" i="7"/>
  <c r="D39" i="7"/>
  <c r="HT38" i="7"/>
  <c r="HN38" i="7"/>
  <c r="HH38" i="7"/>
  <c r="HC38" i="7"/>
  <c r="HB38" i="7"/>
  <c r="GX38" i="7"/>
  <c r="GR38" i="7"/>
  <c r="GM38" i="7"/>
  <c r="GL38" i="7"/>
  <c r="GH38" i="7"/>
  <c r="GD38" i="7"/>
  <c r="FY38" i="7"/>
  <c r="FX38" i="7"/>
  <c r="FT38" i="7"/>
  <c r="FP38" i="7"/>
  <c r="FK38" i="7"/>
  <c r="FJ38" i="7"/>
  <c r="FF38" i="7"/>
  <c r="FB38" i="7"/>
  <c r="EW38" i="7"/>
  <c r="EV38" i="7"/>
  <c r="ER38" i="7"/>
  <c r="EN38" i="7"/>
  <c r="EI38" i="7"/>
  <c r="EH38" i="7"/>
  <c r="ED38" i="7"/>
  <c r="DZ38" i="7"/>
  <c r="DU38" i="7"/>
  <c r="DT38" i="7"/>
  <c r="DP38" i="7"/>
  <c r="DL38" i="7"/>
  <c r="DG38" i="7"/>
  <c r="DF38" i="7"/>
  <c r="DB38" i="7"/>
  <c r="CX38" i="7"/>
  <c r="CS38" i="7"/>
  <c r="CR38" i="7"/>
  <c r="CN38" i="7"/>
  <c r="CJ38" i="7"/>
  <c r="H38" i="7"/>
  <c r="F38" i="7"/>
  <c r="D38" i="7"/>
  <c r="HT37" i="7"/>
  <c r="HN37" i="7"/>
  <c r="HH37" i="7"/>
  <c r="HC37" i="7"/>
  <c r="HB37" i="7"/>
  <c r="GX37" i="7"/>
  <c r="GR37" i="7"/>
  <c r="GM37" i="7"/>
  <c r="GL37" i="7"/>
  <c r="GH37" i="7"/>
  <c r="GD37" i="7"/>
  <c r="FX37" i="7"/>
  <c r="FY37" i="7"/>
  <c r="FT37" i="7"/>
  <c r="FP37" i="7"/>
  <c r="FK37" i="7"/>
  <c r="FJ37" i="7"/>
  <c r="FF37" i="7"/>
  <c r="FB37" i="7"/>
  <c r="EV37" i="7"/>
  <c r="EW37" i="7"/>
  <c r="ER37" i="7"/>
  <c r="EN37" i="7"/>
  <c r="EH37" i="7"/>
  <c r="EI37" i="7"/>
  <c r="ED37" i="7"/>
  <c r="DZ37" i="7"/>
  <c r="DU37" i="7"/>
  <c r="DT37" i="7"/>
  <c r="DP37" i="7"/>
  <c r="DL37" i="7"/>
  <c r="DG37" i="7"/>
  <c r="DF37" i="7"/>
  <c r="DB37" i="7"/>
  <c r="CX37" i="7"/>
  <c r="CR37" i="7"/>
  <c r="CS37" i="7"/>
  <c r="CN37" i="7"/>
  <c r="CJ37" i="7"/>
  <c r="H37" i="7"/>
  <c r="F37" i="7"/>
  <c r="D37" i="7"/>
  <c r="HT36" i="7"/>
  <c r="HN36" i="7"/>
  <c r="HH36" i="7"/>
  <c r="HC36" i="7"/>
  <c r="HB36" i="7"/>
  <c r="GX36" i="7"/>
  <c r="GR36" i="7"/>
  <c r="GM36" i="7"/>
  <c r="GL36" i="7"/>
  <c r="GH36" i="7"/>
  <c r="GD36" i="7"/>
  <c r="FY36" i="7"/>
  <c r="FX36" i="7"/>
  <c r="FT36" i="7"/>
  <c r="FP36" i="7"/>
  <c r="FK36" i="7"/>
  <c r="FJ36" i="7"/>
  <c r="FF36" i="7"/>
  <c r="FB36" i="7"/>
  <c r="EW36" i="7"/>
  <c r="EV36" i="7"/>
  <c r="ER36" i="7"/>
  <c r="EN36" i="7"/>
  <c r="EI36" i="7"/>
  <c r="EH36" i="7"/>
  <c r="ED36" i="7"/>
  <c r="DZ36" i="7"/>
  <c r="DU36" i="7"/>
  <c r="DT36" i="7"/>
  <c r="DP36" i="7"/>
  <c r="DL36" i="7"/>
  <c r="DG36" i="7"/>
  <c r="DF36" i="7"/>
  <c r="DB36" i="7"/>
  <c r="CX36" i="7"/>
  <c r="CS36" i="7"/>
  <c r="CR36" i="7"/>
  <c r="CN36" i="7"/>
  <c r="CJ36" i="7"/>
  <c r="H36" i="7"/>
  <c r="F36" i="7"/>
  <c r="D36" i="7"/>
  <c r="HT35" i="7"/>
  <c r="HN35" i="7"/>
  <c r="HH35" i="7"/>
  <c r="HC35" i="7"/>
  <c r="HB35" i="7"/>
  <c r="GX35" i="7"/>
  <c r="GR35" i="7"/>
  <c r="GL35" i="7"/>
  <c r="GM35" i="7"/>
  <c r="GH35" i="7"/>
  <c r="GD35" i="7"/>
  <c r="FY35" i="7"/>
  <c r="FX35" i="7"/>
  <c r="FT35" i="7"/>
  <c r="FP35" i="7"/>
  <c r="FJ35" i="7"/>
  <c r="FK35" i="7"/>
  <c r="FF35" i="7"/>
  <c r="FB35" i="7"/>
  <c r="EV35" i="7"/>
  <c r="EW35" i="7"/>
  <c r="ER35" i="7"/>
  <c r="EN35" i="7"/>
  <c r="EI35" i="7"/>
  <c r="EH35" i="7"/>
  <c r="ED35" i="7"/>
  <c r="DZ35" i="7"/>
  <c r="DU35" i="7"/>
  <c r="DT35" i="7"/>
  <c r="DP35" i="7"/>
  <c r="DL35" i="7"/>
  <c r="DF35" i="7"/>
  <c r="DG35" i="7"/>
  <c r="DB35" i="7"/>
  <c r="CX35" i="7"/>
  <c r="CS35" i="7"/>
  <c r="CR35" i="7"/>
  <c r="CN35" i="7"/>
  <c r="CJ35" i="7"/>
  <c r="BT35" i="7"/>
  <c r="BF35" i="7"/>
  <c r="AR35" i="7"/>
  <c r="AD35" i="7"/>
  <c r="P35" i="7"/>
  <c r="H35" i="7"/>
  <c r="F35" i="7"/>
  <c r="D35" i="7"/>
  <c r="HT34" i="7"/>
  <c r="HN34" i="7"/>
  <c r="HH34" i="7"/>
  <c r="HC34" i="7"/>
  <c r="HB34" i="7"/>
  <c r="GX34" i="7"/>
  <c r="GR34" i="7"/>
  <c r="GM34" i="7"/>
  <c r="GL34" i="7"/>
  <c r="GH34" i="7"/>
  <c r="GD34" i="7"/>
  <c r="FY34" i="7"/>
  <c r="FX34" i="7"/>
  <c r="FT34" i="7"/>
  <c r="FP34" i="7"/>
  <c r="FK34" i="7"/>
  <c r="FJ34" i="7"/>
  <c r="FF34" i="7"/>
  <c r="FB34" i="7"/>
  <c r="EW34" i="7"/>
  <c r="EV34" i="7"/>
  <c r="ER34" i="7"/>
  <c r="EN34" i="7"/>
  <c r="EI34" i="7"/>
  <c r="EH34" i="7"/>
  <c r="ED34" i="7"/>
  <c r="DZ34" i="7"/>
  <c r="DU34" i="7"/>
  <c r="DT34" i="7"/>
  <c r="DP34" i="7"/>
  <c r="DL34" i="7"/>
  <c r="DG34" i="7"/>
  <c r="DF34" i="7"/>
  <c r="DB34" i="7"/>
  <c r="CX34" i="7"/>
  <c r="CS34" i="7"/>
  <c r="CR34" i="7"/>
  <c r="CN34" i="7"/>
  <c r="CJ34" i="7"/>
  <c r="H34" i="7"/>
  <c r="F34" i="7"/>
  <c r="D34" i="7"/>
  <c r="HT33" i="7"/>
  <c r="HN33" i="7"/>
  <c r="HH33" i="7"/>
  <c r="HB33" i="7"/>
  <c r="HC33" i="7"/>
  <c r="GX33" i="7"/>
  <c r="GR33" i="7"/>
  <c r="GM33" i="7"/>
  <c r="GL33" i="7"/>
  <c r="GH33" i="7"/>
  <c r="GD33" i="7"/>
  <c r="FY33" i="7"/>
  <c r="FX33" i="7"/>
  <c r="FT33" i="7"/>
  <c r="FP33" i="7"/>
  <c r="FJ33" i="7"/>
  <c r="FK33" i="7"/>
  <c r="FF33" i="7"/>
  <c r="FB33" i="7"/>
  <c r="EW33" i="7"/>
  <c r="EV33" i="7"/>
  <c r="ER33" i="7"/>
  <c r="EN33" i="7"/>
  <c r="EI33" i="7"/>
  <c r="EH33" i="7"/>
  <c r="ED33" i="7"/>
  <c r="DZ33" i="7"/>
  <c r="DT33" i="7"/>
  <c r="DU33" i="7"/>
  <c r="DP33" i="7"/>
  <c r="DL33" i="7"/>
  <c r="DG33" i="7"/>
  <c r="DF33" i="7"/>
  <c r="DB33" i="7"/>
  <c r="CX33" i="7"/>
  <c r="CS33" i="7"/>
  <c r="CR33" i="7"/>
  <c r="CN33" i="7"/>
  <c r="CJ33" i="7"/>
  <c r="H33" i="7"/>
  <c r="F33" i="7"/>
  <c r="D33" i="7"/>
  <c r="HT32" i="7"/>
  <c r="HN32" i="7"/>
  <c r="HH32" i="7"/>
  <c r="HC32" i="7"/>
  <c r="HB32" i="7"/>
  <c r="GX32" i="7"/>
  <c r="GR32" i="7"/>
  <c r="GM32" i="7"/>
  <c r="GL32" i="7"/>
  <c r="GH32" i="7"/>
  <c r="GD32" i="7"/>
  <c r="FX32" i="7"/>
  <c r="FY32" i="7"/>
  <c r="FT32" i="7"/>
  <c r="FP32" i="7"/>
  <c r="FJ32" i="7"/>
  <c r="FK32" i="7"/>
  <c r="FF32" i="7"/>
  <c r="FB32" i="7"/>
  <c r="EW32" i="7"/>
  <c r="EV32" i="7"/>
  <c r="ER32" i="7"/>
  <c r="EN32" i="7"/>
  <c r="EH32" i="7"/>
  <c r="EI32" i="7"/>
  <c r="ED32" i="7"/>
  <c r="DZ32" i="7"/>
  <c r="DU32" i="7"/>
  <c r="DT32" i="7"/>
  <c r="DP32" i="7"/>
  <c r="DL32" i="7"/>
  <c r="DF32" i="7"/>
  <c r="DG32" i="7"/>
  <c r="DB32" i="7"/>
  <c r="CX32" i="7"/>
  <c r="CR32" i="7"/>
  <c r="CS32" i="7"/>
  <c r="CN32" i="7"/>
  <c r="CJ32" i="7"/>
  <c r="H32" i="7"/>
  <c r="F32" i="7"/>
  <c r="D32" i="7"/>
  <c r="HT31" i="7"/>
  <c r="HN31" i="7"/>
  <c r="HH31" i="7"/>
  <c r="HB31" i="7"/>
  <c r="HC31" i="7"/>
  <c r="GX31" i="7"/>
  <c r="GT31" i="7"/>
  <c r="GR31" i="7"/>
  <c r="GL31" i="7"/>
  <c r="GM31" i="7"/>
  <c r="GH31" i="7"/>
  <c r="GD31" i="7"/>
  <c r="FX31" i="7"/>
  <c r="FY31" i="7"/>
  <c r="FT31" i="7"/>
  <c r="FP31" i="7"/>
  <c r="FK31" i="7"/>
  <c r="FJ31" i="7"/>
  <c r="FF31" i="7"/>
  <c r="FB31" i="7"/>
  <c r="EW31" i="7"/>
  <c r="EV31" i="7"/>
  <c r="ER31" i="7"/>
  <c r="EN31" i="7"/>
  <c r="EH31" i="7"/>
  <c r="EI31" i="7"/>
  <c r="ED31" i="7"/>
  <c r="DZ31" i="7"/>
  <c r="DT31" i="7"/>
  <c r="DU31" i="7"/>
  <c r="DP31" i="7"/>
  <c r="DL31" i="7"/>
  <c r="DF31" i="7"/>
  <c r="DG31" i="7"/>
  <c r="DB31" i="7"/>
  <c r="CX31" i="7"/>
  <c r="CR31" i="7"/>
  <c r="CS31" i="7"/>
  <c r="CN31" i="7"/>
  <c r="CJ31" i="7"/>
  <c r="BT31" i="7"/>
  <c r="BF31" i="7"/>
  <c r="AR31" i="7"/>
  <c r="AD31" i="7"/>
  <c r="P31" i="7"/>
  <c r="H31" i="7"/>
  <c r="F31" i="7"/>
  <c r="D31" i="7"/>
  <c r="HT30" i="7"/>
  <c r="HN30" i="7"/>
  <c r="HH30" i="7"/>
  <c r="HC30" i="7"/>
  <c r="HB30" i="7"/>
  <c r="GX30" i="7"/>
  <c r="GT30" i="7"/>
  <c r="GR30" i="7"/>
  <c r="GM30" i="7"/>
  <c r="GL30" i="7"/>
  <c r="GH30" i="7"/>
  <c r="GD30" i="7"/>
  <c r="FY30" i="7"/>
  <c r="FX30" i="7"/>
  <c r="FT30" i="7"/>
  <c r="FP30" i="7"/>
  <c r="FK30" i="7"/>
  <c r="FJ30" i="7"/>
  <c r="FF30" i="7"/>
  <c r="FB30" i="7"/>
  <c r="EW30" i="7"/>
  <c r="EV30" i="7"/>
  <c r="ER30" i="7"/>
  <c r="EN30" i="7"/>
  <c r="EI30" i="7"/>
  <c r="EH30" i="7"/>
  <c r="ED30" i="7"/>
  <c r="DZ30" i="7"/>
  <c r="DU30" i="7"/>
  <c r="DT30" i="7"/>
  <c r="DP30" i="7"/>
  <c r="DL30" i="7"/>
  <c r="DG30" i="7"/>
  <c r="DF30" i="7"/>
  <c r="DB30" i="7"/>
  <c r="CX30" i="7"/>
  <c r="CS30" i="7"/>
  <c r="CR30" i="7"/>
  <c r="CN30" i="7"/>
  <c r="CJ30" i="7"/>
  <c r="H30" i="7"/>
  <c r="F30" i="7"/>
  <c r="D30" i="7"/>
  <c r="HT29" i="7"/>
  <c r="HN29" i="7"/>
  <c r="HH29" i="7"/>
  <c r="GX29" i="7"/>
  <c r="GT29" i="7"/>
  <c r="GR29" i="7"/>
  <c r="GM29" i="7"/>
  <c r="GL29" i="7"/>
  <c r="GH29" i="7"/>
  <c r="GD29" i="7"/>
  <c r="FY29" i="7"/>
  <c r="FX29" i="7"/>
  <c r="FT29" i="7"/>
  <c r="FP29" i="7"/>
  <c r="FJ29" i="7"/>
  <c r="FK29" i="7"/>
  <c r="FF29" i="7"/>
  <c r="FB29" i="7"/>
  <c r="EW29" i="7"/>
  <c r="EV29" i="7"/>
  <c r="ER29" i="7"/>
  <c r="EN29" i="7"/>
  <c r="EI29" i="7"/>
  <c r="EH29" i="7"/>
  <c r="ED29" i="7"/>
  <c r="DZ29" i="7"/>
  <c r="DT29" i="7"/>
  <c r="DU29" i="7"/>
  <c r="DP29" i="7"/>
  <c r="DL29" i="7"/>
  <c r="DG29" i="7"/>
  <c r="DF29" i="7"/>
  <c r="DB29" i="7"/>
  <c r="CX29" i="7"/>
  <c r="CS29" i="7"/>
  <c r="CR29" i="7"/>
  <c r="CN29" i="7"/>
  <c r="CJ29" i="7"/>
  <c r="H29" i="7"/>
  <c r="F29" i="7"/>
  <c r="D29" i="7"/>
  <c r="HT28" i="7"/>
  <c r="HN28" i="7"/>
  <c r="HH28" i="7"/>
  <c r="GX28" i="7"/>
  <c r="GV28" i="7"/>
  <c r="GT28" i="7"/>
  <c r="GR28" i="7"/>
  <c r="GM28" i="7"/>
  <c r="GL28" i="7"/>
  <c r="GH28" i="7"/>
  <c r="GF28" i="7"/>
  <c r="GD28" i="7"/>
  <c r="FY28" i="7"/>
  <c r="FX28" i="7"/>
  <c r="FT28" i="7"/>
  <c r="FR28" i="7"/>
  <c r="FP28" i="7"/>
  <c r="FK28" i="7"/>
  <c r="FJ28" i="7"/>
  <c r="FF28" i="7"/>
  <c r="FD28" i="7"/>
  <c r="FB28" i="7"/>
  <c r="EW28" i="7"/>
  <c r="EV28" i="7"/>
  <c r="ER28" i="7"/>
  <c r="EP28" i="7"/>
  <c r="EN28" i="7"/>
  <c r="EI28" i="7"/>
  <c r="EH28" i="7"/>
  <c r="ED28" i="7"/>
  <c r="EB28" i="7"/>
  <c r="DZ28" i="7"/>
  <c r="DU28" i="7"/>
  <c r="DT28" i="7"/>
  <c r="DP28" i="7"/>
  <c r="DN28" i="7"/>
  <c r="DL28" i="7"/>
  <c r="DF28" i="7"/>
  <c r="DG28" i="7"/>
  <c r="DB28" i="7"/>
  <c r="CZ28" i="7"/>
  <c r="CX28" i="7"/>
  <c r="CS28" i="7"/>
  <c r="CR28" i="7"/>
  <c r="CN28" i="7"/>
  <c r="CL28" i="7"/>
  <c r="CJ28" i="7"/>
  <c r="H28" i="7"/>
  <c r="F28" i="7"/>
  <c r="D28" i="7"/>
  <c r="HT27" i="7"/>
  <c r="HN27" i="7"/>
  <c r="HH27" i="7"/>
  <c r="GX27" i="7"/>
  <c r="GV27" i="7"/>
  <c r="GT27" i="7"/>
  <c r="GR27" i="7"/>
  <c r="GL27" i="7"/>
  <c r="GM27" i="7"/>
  <c r="GH27" i="7"/>
  <c r="GF27" i="7"/>
  <c r="GD27" i="7"/>
  <c r="FX27" i="7"/>
  <c r="FY27" i="7"/>
  <c r="FT27" i="7"/>
  <c r="FR27" i="7"/>
  <c r="FP27" i="7"/>
  <c r="FK27" i="7"/>
  <c r="FJ27" i="7"/>
  <c r="FF27" i="7"/>
  <c r="FD27" i="7"/>
  <c r="FB27" i="7"/>
  <c r="EW27" i="7"/>
  <c r="EV27" i="7"/>
  <c r="ER27" i="7"/>
  <c r="EP27" i="7"/>
  <c r="EN27" i="7"/>
  <c r="EI27" i="7"/>
  <c r="EH27" i="7"/>
  <c r="ED27" i="7"/>
  <c r="EB27" i="7"/>
  <c r="DZ27" i="7"/>
  <c r="DU27" i="7"/>
  <c r="DT27" i="7"/>
  <c r="DP27" i="7"/>
  <c r="DN27" i="7"/>
  <c r="DL27" i="7"/>
  <c r="DG27" i="7"/>
  <c r="DF27" i="7"/>
  <c r="DB27" i="7"/>
  <c r="CZ27" i="7"/>
  <c r="CX27" i="7"/>
  <c r="CR27" i="7"/>
  <c r="CS27" i="7"/>
  <c r="CN27" i="7"/>
  <c r="CL27" i="7"/>
  <c r="CJ27" i="7"/>
  <c r="BT27" i="7"/>
  <c r="BF27" i="7"/>
  <c r="AR27" i="7"/>
  <c r="AD27" i="7"/>
  <c r="P27" i="7"/>
  <c r="H27" i="7"/>
  <c r="F27" i="7"/>
  <c r="D27" i="7"/>
  <c r="HT26" i="7"/>
  <c r="HN26" i="7"/>
  <c r="HH26" i="7"/>
  <c r="GX26" i="7"/>
  <c r="GT26" i="7"/>
  <c r="GR26" i="7"/>
  <c r="GM26" i="7"/>
  <c r="GL26" i="7"/>
  <c r="GH26" i="7"/>
  <c r="GD26" i="7"/>
  <c r="FY26" i="7"/>
  <c r="FX26" i="7"/>
  <c r="FT26" i="7"/>
  <c r="FP26" i="7"/>
  <c r="FJ26" i="7"/>
  <c r="FK26" i="7"/>
  <c r="FF26" i="7"/>
  <c r="FB26" i="7"/>
  <c r="EW26" i="7"/>
  <c r="EV26" i="7"/>
  <c r="ER26" i="7"/>
  <c r="EN26" i="7"/>
  <c r="EH26" i="7"/>
  <c r="EI26" i="7"/>
  <c r="ED26" i="7"/>
  <c r="DZ26" i="7"/>
  <c r="DT26" i="7"/>
  <c r="DU26" i="7"/>
  <c r="DP26" i="7"/>
  <c r="DL26" i="7"/>
  <c r="DG26" i="7"/>
  <c r="DF26" i="7"/>
  <c r="DB26" i="7"/>
  <c r="CX26" i="7"/>
  <c r="CS26" i="7"/>
  <c r="CR26" i="7"/>
  <c r="CN26" i="7"/>
  <c r="CJ26" i="7"/>
  <c r="H26" i="7"/>
  <c r="F26" i="7"/>
  <c r="D26" i="7"/>
  <c r="HT25" i="7"/>
  <c r="HN25" i="7"/>
  <c r="HH25" i="7"/>
  <c r="GX25" i="7"/>
  <c r="GV25" i="7"/>
  <c r="GT25" i="7"/>
  <c r="GR25" i="7"/>
  <c r="GL25" i="7"/>
  <c r="GM25" i="7"/>
  <c r="GH25" i="7"/>
  <c r="GF25" i="7"/>
  <c r="GD25" i="7"/>
  <c r="FY25" i="7"/>
  <c r="FX25" i="7"/>
  <c r="FT25" i="7"/>
  <c r="FR25" i="7"/>
  <c r="FP25" i="7"/>
  <c r="FJ25" i="7"/>
  <c r="FK25" i="7"/>
  <c r="FF25" i="7"/>
  <c r="FD25" i="7"/>
  <c r="FB25" i="7"/>
  <c r="EW25" i="7"/>
  <c r="EV25" i="7"/>
  <c r="ER25" i="7"/>
  <c r="EP25" i="7"/>
  <c r="EN25" i="7"/>
  <c r="EI25" i="7"/>
  <c r="EH25" i="7"/>
  <c r="ED25" i="7"/>
  <c r="EB25" i="7"/>
  <c r="DZ25" i="7"/>
  <c r="DU25" i="7"/>
  <c r="DT25" i="7"/>
  <c r="DP25" i="7"/>
  <c r="DN25" i="7"/>
  <c r="DL25" i="7"/>
  <c r="DG25" i="7"/>
  <c r="DF25" i="7"/>
  <c r="DB25" i="7"/>
  <c r="CZ25" i="7"/>
  <c r="CX25" i="7"/>
  <c r="CS25" i="7"/>
  <c r="CR25" i="7"/>
  <c r="CN25" i="7"/>
  <c r="CL25" i="7"/>
  <c r="CJ25" i="7"/>
  <c r="H25" i="7"/>
  <c r="F25" i="7"/>
  <c r="D25" i="7"/>
  <c r="HT24" i="7"/>
  <c r="HN24" i="7"/>
  <c r="HH24" i="7"/>
  <c r="GX24" i="7"/>
  <c r="GV24" i="7"/>
  <c r="GT24" i="7"/>
  <c r="GR24" i="7"/>
  <c r="GM24" i="7"/>
  <c r="GL24" i="7"/>
  <c r="GH24" i="7"/>
  <c r="GF24" i="7"/>
  <c r="GD24" i="7"/>
  <c r="FY24" i="7"/>
  <c r="FX24" i="7"/>
  <c r="FT24" i="7"/>
  <c r="FR24" i="7"/>
  <c r="FP24" i="7"/>
  <c r="FK24" i="7"/>
  <c r="FJ24" i="7"/>
  <c r="FF24" i="7"/>
  <c r="FD24" i="7"/>
  <c r="FB24" i="7"/>
  <c r="EW24" i="7"/>
  <c r="EV24" i="7"/>
  <c r="ER24" i="7"/>
  <c r="EP24" i="7"/>
  <c r="EN24" i="7"/>
  <c r="EI24" i="7"/>
  <c r="EH24" i="7"/>
  <c r="ED24" i="7"/>
  <c r="EB24" i="7"/>
  <c r="DZ24" i="7"/>
  <c r="DU24" i="7"/>
  <c r="DT24" i="7"/>
  <c r="DP24" i="7"/>
  <c r="DN24" i="7"/>
  <c r="DL24" i="7"/>
  <c r="DF24" i="7"/>
  <c r="DG24" i="7"/>
  <c r="DB24" i="7"/>
  <c r="CZ24" i="7"/>
  <c r="CX24" i="7"/>
  <c r="CS24" i="7"/>
  <c r="CR24" i="7"/>
  <c r="CN24" i="7"/>
  <c r="CL24" i="7"/>
  <c r="CJ24" i="7"/>
  <c r="H24" i="7"/>
  <c r="F24" i="7"/>
  <c r="D24" i="7"/>
  <c r="HT23" i="7"/>
  <c r="HN23" i="7"/>
  <c r="HH23" i="7"/>
  <c r="GX23" i="7"/>
  <c r="GV23" i="7"/>
  <c r="GT23" i="7"/>
  <c r="GR23" i="7"/>
  <c r="GL23" i="7"/>
  <c r="GM23" i="7"/>
  <c r="GK23" i="7"/>
  <c r="GH23" i="7"/>
  <c r="GF23" i="7"/>
  <c r="GD23" i="7"/>
  <c r="FY23" i="7"/>
  <c r="FW23" i="7"/>
  <c r="FX23" i="7"/>
  <c r="FT23" i="7"/>
  <c r="FR23" i="7"/>
  <c r="FP23" i="7"/>
  <c r="FJ23" i="7"/>
  <c r="FK23" i="7"/>
  <c r="FI23" i="7"/>
  <c r="FF23" i="7"/>
  <c r="FD23" i="7"/>
  <c r="FB23" i="7"/>
  <c r="EU23" i="7"/>
  <c r="EV23" i="7"/>
  <c r="EW23" i="7"/>
  <c r="ER23" i="7"/>
  <c r="EP23" i="7"/>
  <c r="EN23" i="7"/>
  <c r="EH23" i="7"/>
  <c r="EI23" i="7"/>
  <c r="EG23" i="7"/>
  <c r="ED23" i="7"/>
  <c r="EB23" i="7"/>
  <c r="DZ23" i="7"/>
  <c r="DU23" i="7"/>
  <c r="DS23" i="7"/>
  <c r="DT23" i="7"/>
  <c r="DP23" i="7"/>
  <c r="DN23" i="7"/>
  <c r="DL23" i="7"/>
  <c r="DF23" i="7"/>
  <c r="DG23" i="7"/>
  <c r="DE23" i="7"/>
  <c r="DB23" i="7"/>
  <c r="CZ23" i="7"/>
  <c r="CX23" i="7"/>
  <c r="CS23" i="7"/>
  <c r="CQ23" i="7"/>
  <c r="CR23" i="7"/>
  <c r="CN23" i="7"/>
  <c r="CL23" i="7"/>
  <c r="CJ23" i="7"/>
  <c r="BT23" i="7"/>
  <c r="BF23" i="7"/>
  <c r="AR23" i="7"/>
  <c r="AD23" i="7"/>
  <c r="P23" i="7"/>
  <c r="H23" i="7"/>
  <c r="F23" i="7"/>
  <c r="D23" i="7"/>
  <c r="HT22" i="7"/>
  <c r="HR22" i="7"/>
  <c r="HN22" i="7"/>
  <c r="HL22" i="7"/>
  <c r="HH22" i="7"/>
  <c r="HF22" i="7"/>
  <c r="GX22" i="7"/>
  <c r="GV22" i="7"/>
  <c r="GT22" i="7"/>
  <c r="GR22" i="7"/>
  <c r="GP22" i="7"/>
  <c r="GK22" i="7"/>
  <c r="GL22" i="7"/>
  <c r="GM22" i="7"/>
  <c r="GJ22" i="7"/>
  <c r="GH22" i="7"/>
  <c r="GF22" i="7"/>
  <c r="GD22" i="7"/>
  <c r="GB22" i="7"/>
  <c r="FY22" i="7"/>
  <c r="FX22" i="7"/>
  <c r="FW22" i="7"/>
  <c r="FV22" i="7"/>
  <c r="FT22" i="7"/>
  <c r="FR22" i="7"/>
  <c r="FP22" i="7"/>
  <c r="FN22" i="7"/>
  <c r="FJ22" i="7"/>
  <c r="FK22" i="7"/>
  <c r="FI22" i="7"/>
  <c r="FH22" i="7"/>
  <c r="FF22" i="7"/>
  <c r="FD22" i="7"/>
  <c r="FB22" i="7"/>
  <c r="EZ22" i="7"/>
  <c r="EV22" i="7"/>
  <c r="EW22" i="7"/>
  <c r="EU22" i="7"/>
  <c r="ET22" i="7"/>
  <c r="ER22" i="7"/>
  <c r="EP22" i="7"/>
  <c r="EN22" i="7"/>
  <c r="EL22" i="7"/>
  <c r="EH22" i="7"/>
  <c r="EI22" i="7"/>
  <c r="EG22" i="7"/>
  <c r="EF22" i="7"/>
  <c r="ED22" i="7"/>
  <c r="EB22" i="7"/>
  <c r="DZ22" i="7"/>
  <c r="DX22" i="7"/>
  <c r="DT22" i="7"/>
  <c r="DU22" i="7"/>
  <c r="DS22" i="7"/>
  <c r="DR22" i="7"/>
  <c r="DP22" i="7"/>
  <c r="DN22" i="7"/>
  <c r="DL22" i="7"/>
  <c r="DJ22" i="7"/>
  <c r="DG22" i="7"/>
  <c r="DE22" i="7"/>
  <c r="DF22" i="7"/>
  <c r="DD22" i="7"/>
  <c r="DB22" i="7"/>
  <c r="CZ22" i="7"/>
  <c r="CX22" i="7"/>
  <c r="CV22" i="7"/>
  <c r="CQ22" i="7"/>
  <c r="CR22" i="7"/>
  <c r="CS22" i="7"/>
  <c r="CP22" i="7"/>
  <c r="CN22" i="7"/>
  <c r="CL22" i="7"/>
  <c r="CJ22" i="7"/>
  <c r="CH22" i="7"/>
  <c r="H22" i="7"/>
  <c r="F22" i="7"/>
  <c r="D22" i="7"/>
  <c r="HT21" i="7"/>
  <c r="HR21" i="7"/>
  <c r="HN21" i="7"/>
  <c r="HL21" i="7"/>
  <c r="HH21" i="7"/>
  <c r="HF21" i="7"/>
  <c r="GX21" i="7"/>
  <c r="GV21" i="7"/>
  <c r="GT21" i="7"/>
  <c r="GR21" i="7"/>
  <c r="GP21" i="7"/>
  <c r="GM21" i="7"/>
  <c r="GL21" i="7"/>
  <c r="GK21" i="7"/>
  <c r="GJ21" i="7"/>
  <c r="GH21" i="7"/>
  <c r="GF21" i="7"/>
  <c r="GD21" i="7"/>
  <c r="GB21" i="7"/>
  <c r="FW21" i="7"/>
  <c r="FX21" i="7"/>
  <c r="FY21" i="7"/>
  <c r="FV21" i="7"/>
  <c r="FT21" i="7"/>
  <c r="FR21" i="7"/>
  <c r="FP21" i="7"/>
  <c r="FN21" i="7"/>
  <c r="FJ21" i="7"/>
  <c r="FK21" i="7"/>
  <c r="FI21" i="7"/>
  <c r="FH21" i="7"/>
  <c r="FF21" i="7"/>
  <c r="FD21" i="7"/>
  <c r="FB21" i="7"/>
  <c r="EZ21" i="7"/>
  <c r="EV21" i="7"/>
  <c r="EW21" i="7"/>
  <c r="EU21" i="7"/>
  <c r="ET21" i="7"/>
  <c r="ER21" i="7"/>
  <c r="EP21" i="7"/>
  <c r="EN21" i="7"/>
  <c r="EL21" i="7"/>
  <c r="EG21" i="7"/>
  <c r="EH21" i="7"/>
  <c r="EI21" i="7"/>
  <c r="EF21" i="7"/>
  <c r="ED21" i="7"/>
  <c r="EB21" i="7"/>
  <c r="DZ21" i="7"/>
  <c r="DX21" i="7"/>
  <c r="DT21" i="7"/>
  <c r="DU21" i="7"/>
  <c r="DS21" i="7"/>
  <c r="DR21" i="7"/>
  <c r="DP21" i="7"/>
  <c r="DN21" i="7"/>
  <c r="DL21" i="7"/>
  <c r="DJ21" i="7"/>
  <c r="DF21" i="7"/>
  <c r="DG21" i="7"/>
  <c r="DE21" i="7"/>
  <c r="DD21" i="7"/>
  <c r="DB21" i="7"/>
  <c r="CZ21" i="7"/>
  <c r="CX21" i="7"/>
  <c r="CV21" i="7"/>
  <c r="CR21" i="7"/>
  <c r="CS21" i="7"/>
  <c r="CQ21" i="7"/>
  <c r="CP21" i="7"/>
  <c r="CN21" i="7"/>
  <c r="CL21" i="7"/>
  <c r="CJ21" i="7"/>
  <c r="CH21" i="7"/>
  <c r="H21" i="7"/>
  <c r="F21" i="7"/>
  <c r="D21" i="7"/>
  <c r="HT20" i="7"/>
  <c r="HN20" i="7"/>
  <c r="HH20" i="7"/>
  <c r="GX20" i="7"/>
  <c r="GV20" i="7"/>
  <c r="GT20" i="7"/>
  <c r="GR20" i="7"/>
  <c r="GK20" i="7"/>
  <c r="GL20" i="7"/>
  <c r="GM20" i="7"/>
  <c r="GJ20" i="7"/>
  <c r="GH20" i="7"/>
  <c r="GF20" i="7"/>
  <c r="GD20" i="7"/>
  <c r="FW20" i="7"/>
  <c r="FX20" i="7"/>
  <c r="FY20" i="7"/>
  <c r="FV20" i="7"/>
  <c r="FT20" i="7"/>
  <c r="FR20" i="7"/>
  <c r="FP20" i="7"/>
  <c r="FI20" i="7"/>
  <c r="FJ20" i="7"/>
  <c r="FK20" i="7"/>
  <c r="FH20" i="7"/>
  <c r="FF20" i="7"/>
  <c r="FD20" i="7"/>
  <c r="FB20" i="7"/>
  <c r="EU20" i="7"/>
  <c r="EV20" i="7"/>
  <c r="EW20" i="7"/>
  <c r="ET20" i="7"/>
  <c r="ER20" i="7"/>
  <c r="EP20" i="7"/>
  <c r="EN20" i="7"/>
  <c r="EG20" i="7"/>
  <c r="EH20" i="7"/>
  <c r="EI20" i="7"/>
  <c r="EF20" i="7"/>
  <c r="ED20" i="7"/>
  <c r="EB20" i="7"/>
  <c r="DZ20" i="7"/>
  <c r="DS20" i="7"/>
  <c r="DT20" i="7"/>
  <c r="DU20" i="7"/>
  <c r="DR20" i="7"/>
  <c r="DP20" i="7"/>
  <c r="DN20" i="7"/>
  <c r="DL20" i="7"/>
  <c r="DE20" i="7"/>
  <c r="DF20" i="7"/>
  <c r="DG20" i="7"/>
  <c r="DD20" i="7"/>
  <c r="DB20" i="7"/>
  <c r="CZ20" i="7"/>
  <c r="CX20" i="7"/>
  <c r="CQ20" i="7"/>
  <c r="CR20" i="7"/>
  <c r="CS20" i="7"/>
  <c r="CP20" i="7"/>
  <c r="CN20" i="7"/>
  <c r="CL20" i="7"/>
  <c r="CJ20" i="7"/>
  <c r="H20" i="7"/>
  <c r="F20" i="7"/>
  <c r="D20" i="7"/>
  <c r="HT19" i="7"/>
  <c r="HN19" i="7"/>
  <c r="HH19" i="7"/>
  <c r="GX19" i="7"/>
  <c r="GV19" i="7"/>
  <c r="GT19" i="7"/>
  <c r="GR19" i="7"/>
  <c r="GK19" i="7"/>
  <c r="GL19" i="7"/>
  <c r="GM19" i="7"/>
  <c r="GJ19" i="7"/>
  <c r="GH19" i="7"/>
  <c r="GF19" i="7"/>
  <c r="GD19" i="7"/>
  <c r="FW19" i="7"/>
  <c r="FX19" i="7"/>
  <c r="FY19" i="7"/>
  <c r="FV19" i="7"/>
  <c r="FT19" i="7"/>
  <c r="FR19" i="7"/>
  <c r="FP19" i="7"/>
  <c r="FI19" i="7"/>
  <c r="FJ19" i="7"/>
  <c r="FK19" i="7"/>
  <c r="FH19" i="7"/>
  <c r="FF19" i="7"/>
  <c r="FD19" i="7"/>
  <c r="FB19" i="7"/>
  <c r="EU19" i="7"/>
  <c r="EV19" i="7"/>
  <c r="EW19" i="7"/>
  <c r="ET19" i="7"/>
  <c r="ER19" i="7"/>
  <c r="EP19" i="7"/>
  <c r="EN19" i="7"/>
  <c r="EG19" i="7"/>
  <c r="EH19" i="7"/>
  <c r="EI19" i="7"/>
  <c r="EF19" i="7"/>
  <c r="ED19" i="7"/>
  <c r="EB19" i="7"/>
  <c r="DZ19" i="7"/>
  <c r="DS19" i="7"/>
  <c r="DT19" i="7"/>
  <c r="DU19" i="7"/>
  <c r="DR19" i="7"/>
  <c r="DP19" i="7"/>
  <c r="DN19" i="7"/>
  <c r="DL19" i="7"/>
  <c r="DE19" i="7"/>
  <c r="DF19" i="7"/>
  <c r="DG19" i="7"/>
  <c r="DD19" i="7"/>
  <c r="DB19" i="7"/>
  <c r="CZ19" i="7"/>
  <c r="CX19" i="7"/>
  <c r="CQ19" i="7"/>
  <c r="CR19" i="7"/>
  <c r="CS19" i="7"/>
  <c r="CP19" i="7"/>
  <c r="CN19" i="7"/>
  <c r="CL19" i="7"/>
  <c r="CJ19" i="7"/>
  <c r="BT19" i="7"/>
  <c r="BF19" i="7"/>
  <c r="AR19" i="7"/>
  <c r="AD19" i="7"/>
  <c r="P19" i="7"/>
  <c r="H19" i="7"/>
  <c r="F19" i="7"/>
  <c r="D19" i="7"/>
  <c r="HT18" i="7"/>
  <c r="HN18" i="7"/>
  <c r="HH18" i="7"/>
  <c r="GX18" i="7"/>
  <c r="GV18" i="7"/>
  <c r="GT18" i="7"/>
  <c r="GR18" i="7"/>
  <c r="GK18" i="7"/>
  <c r="GL18" i="7"/>
  <c r="GM18" i="7"/>
  <c r="GJ18" i="7"/>
  <c r="GH18" i="7"/>
  <c r="GF18" i="7"/>
  <c r="GD18" i="7"/>
  <c r="FW18" i="7"/>
  <c r="FX18" i="7"/>
  <c r="FY18" i="7"/>
  <c r="FV18" i="7"/>
  <c r="FT18" i="7"/>
  <c r="FR18" i="7"/>
  <c r="FP18" i="7"/>
  <c r="FI18" i="7"/>
  <c r="FJ18" i="7"/>
  <c r="FK18" i="7"/>
  <c r="FH18" i="7"/>
  <c r="FF18" i="7"/>
  <c r="FD18" i="7"/>
  <c r="FB18" i="7"/>
  <c r="EU18" i="7"/>
  <c r="EV18" i="7"/>
  <c r="EW18" i="7"/>
  <c r="ET18" i="7"/>
  <c r="ER18" i="7"/>
  <c r="EP18" i="7"/>
  <c r="EN18" i="7"/>
  <c r="EG18" i="7"/>
  <c r="EH18" i="7"/>
  <c r="EI18" i="7"/>
  <c r="EF18" i="7"/>
  <c r="ED18" i="7"/>
  <c r="EB18" i="7"/>
  <c r="DZ18" i="7"/>
  <c r="DS18" i="7"/>
  <c r="DT18" i="7"/>
  <c r="DU18" i="7"/>
  <c r="DR18" i="7"/>
  <c r="DP18" i="7"/>
  <c r="DN18" i="7"/>
  <c r="DL18" i="7"/>
  <c r="DE18" i="7"/>
  <c r="DF18" i="7"/>
  <c r="DG18" i="7"/>
  <c r="DD18" i="7"/>
  <c r="DB18" i="7"/>
  <c r="CZ18" i="7"/>
  <c r="CX18" i="7"/>
  <c r="CQ18" i="7"/>
  <c r="CR18" i="7"/>
  <c r="CS18" i="7"/>
  <c r="CP18" i="7"/>
  <c r="CN18" i="7"/>
  <c r="CL18" i="7"/>
  <c r="CJ18" i="7"/>
  <c r="H18" i="7"/>
  <c r="F18" i="7"/>
  <c r="D18" i="7"/>
  <c r="GM17" i="7"/>
  <c r="GJ17" i="7"/>
  <c r="FY17" i="7"/>
  <c r="FV17" i="7"/>
  <c r="FK17" i="7"/>
  <c r="FH17" i="7"/>
  <c r="EW17" i="7"/>
  <c r="ET17" i="7"/>
  <c r="EI17" i="7"/>
  <c r="EF17" i="7"/>
  <c r="DU17" i="7"/>
  <c r="DR17" i="7"/>
  <c r="DG17" i="7"/>
  <c r="DD17" i="7"/>
  <c r="CS17" i="7"/>
  <c r="CP17" i="7"/>
  <c r="H17" i="7"/>
  <c r="F17" i="7"/>
  <c r="D17" i="7"/>
  <c r="HT16" i="7"/>
  <c r="HR16" i="7"/>
  <c r="HN16" i="7"/>
  <c r="HL16" i="7"/>
  <c r="HH16" i="7"/>
  <c r="HF16" i="7"/>
  <c r="GX16" i="7"/>
  <c r="GV16" i="7"/>
  <c r="GT16" i="7"/>
  <c r="GR16" i="7"/>
  <c r="GP16" i="7"/>
  <c r="GK16" i="7"/>
  <c r="GL16" i="7"/>
  <c r="GM16" i="7"/>
  <c r="GJ16" i="7"/>
  <c r="GH16" i="7"/>
  <c r="GF16" i="7"/>
  <c r="GD16" i="7"/>
  <c r="GB16" i="7"/>
  <c r="FW16" i="7"/>
  <c r="FX16" i="7"/>
  <c r="FY16" i="7"/>
  <c r="FV16" i="7"/>
  <c r="FT16" i="7"/>
  <c r="FR16" i="7"/>
  <c r="FP16" i="7"/>
  <c r="FN16" i="7"/>
  <c r="FI16" i="7"/>
  <c r="FJ16" i="7"/>
  <c r="FK16" i="7"/>
  <c r="FH16" i="7"/>
  <c r="FF16" i="7"/>
  <c r="FD16" i="7"/>
  <c r="FB16" i="7"/>
  <c r="EZ16" i="7"/>
  <c r="EU16" i="7"/>
  <c r="EV16" i="7"/>
  <c r="EW16" i="7"/>
  <c r="ET16" i="7"/>
  <c r="ER16" i="7"/>
  <c r="EP16" i="7"/>
  <c r="EN16" i="7"/>
  <c r="EL16" i="7"/>
  <c r="EG16" i="7"/>
  <c r="EH16" i="7"/>
  <c r="EI16" i="7"/>
  <c r="EF16" i="7"/>
  <c r="ED16" i="7"/>
  <c r="EB16" i="7"/>
  <c r="DZ16" i="7"/>
  <c r="DX16" i="7"/>
  <c r="DS16" i="7"/>
  <c r="DT16" i="7"/>
  <c r="DU16" i="7"/>
  <c r="DR16" i="7"/>
  <c r="DP16" i="7"/>
  <c r="DN16" i="7"/>
  <c r="DL16" i="7"/>
  <c r="DJ16" i="7"/>
  <c r="DE16" i="7"/>
  <c r="DF16" i="7"/>
  <c r="DG16" i="7"/>
  <c r="DD16" i="7"/>
  <c r="DB16" i="7"/>
  <c r="CZ16" i="7"/>
  <c r="CX16" i="7"/>
  <c r="CV16" i="7"/>
  <c r="CQ16" i="7"/>
  <c r="CR16" i="7"/>
  <c r="CS16" i="7"/>
  <c r="CP16" i="7"/>
  <c r="CN16" i="7"/>
  <c r="CL16" i="7"/>
  <c r="CJ16" i="7"/>
  <c r="CH16" i="7"/>
  <c r="H16" i="7"/>
  <c r="F16" i="7"/>
  <c r="D16" i="7"/>
  <c r="HT15" i="7"/>
  <c r="HR15" i="7"/>
  <c r="HN15" i="7"/>
  <c r="HL15" i="7"/>
  <c r="HH15" i="7"/>
  <c r="HF15" i="7"/>
  <c r="GX15" i="7"/>
  <c r="GV15" i="7"/>
  <c r="GT15" i="7"/>
  <c r="GR15" i="7"/>
  <c r="GP15" i="7"/>
  <c r="GK15" i="7"/>
  <c r="GL15" i="7"/>
  <c r="GM15" i="7"/>
  <c r="GJ15" i="7"/>
  <c r="GH15" i="7"/>
  <c r="GF15" i="7"/>
  <c r="GD15" i="7"/>
  <c r="GB15" i="7"/>
  <c r="FW15" i="7"/>
  <c r="FX15" i="7"/>
  <c r="FY15" i="7"/>
  <c r="FV15" i="7"/>
  <c r="FT15" i="7"/>
  <c r="FR15" i="7"/>
  <c r="FP15" i="7"/>
  <c r="FN15" i="7"/>
  <c r="FI15" i="7"/>
  <c r="FJ15" i="7"/>
  <c r="FK15" i="7"/>
  <c r="FH15" i="7"/>
  <c r="FF15" i="7"/>
  <c r="FD15" i="7"/>
  <c r="FB15" i="7"/>
  <c r="EZ15" i="7"/>
  <c r="EU15" i="7"/>
  <c r="EV15" i="7"/>
  <c r="EW15" i="7"/>
  <c r="ET15" i="7"/>
  <c r="ER15" i="7"/>
  <c r="EP15" i="7"/>
  <c r="EN15" i="7"/>
  <c r="EL15" i="7"/>
  <c r="EG15" i="7"/>
  <c r="EH15" i="7"/>
  <c r="EI15" i="7"/>
  <c r="EF15" i="7"/>
  <c r="ED15" i="7"/>
  <c r="EB15" i="7"/>
  <c r="DZ15" i="7"/>
  <c r="DX15" i="7"/>
  <c r="DS15" i="7"/>
  <c r="DT15" i="7"/>
  <c r="DU15" i="7"/>
  <c r="DR15" i="7"/>
  <c r="DP15" i="7"/>
  <c r="DN15" i="7"/>
  <c r="DL15" i="7"/>
  <c r="DJ15" i="7"/>
  <c r="DE15" i="7"/>
  <c r="DF15" i="7"/>
  <c r="DG15" i="7"/>
  <c r="DD15" i="7"/>
  <c r="DB15" i="7"/>
  <c r="CZ15" i="7"/>
  <c r="CX15" i="7"/>
  <c r="CV15" i="7"/>
  <c r="CQ15" i="7"/>
  <c r="CR15" i="7"/>
  <c r="CS15" i="7"/>
  <c r="CP15" i="7"/>
  <c r="CN15" i="7"/>
  <c r="CL15" i="7"/>
  <c r="CJ15" i="7"/>
  <c r="CH15" i="7"/>
  <c r="BT15" i="7"/>
  <c r="BF15" i="7"/>
  <c r="AR15" i="7"/>
  <c r="AD15" i="7"/>
  <c r="P15" i="7"/>
  <c r="H15" i="7"/>
  <c r="F15" i="7"/>
  <c r="D15" i="7"/>
  <c r="HT14" i="7"/>
  <c r="HR14" i="7"/>
  <c r="HN14" i="7"/>
  <c r="HL14" i="7"/>
  <c r="HH14" i="7"/>
  <c r="HF14" i="7"/>
  <c r="GX14" i="7"/>
  <c r="GV14" i="7"/>
  <c r="GT14" i="7"/>
  <c r="GR14" i="7"/>
  <c r="GP14" i="7"/>
  <c r="GK14" i="7"/>
  <c r="GL14" i="7"/>
  <c r="GM14" i="7"/>
  <c r="GJ14" i="7"/>
  <c r="GH14" i="7"/>
  <c r="GF14" i="7"/>
  <c r="GD14" i="7"/>
  <c r="GB14" i="7"/>
  <c r="FW14" i="7"/>
  <c r="FX14" i="7"/>
  <c r="FY14" i="7"/>
  <c r="FV14" i="7"/>
  <c r="FT14" i="7"/>
  <c r="FR14" i="7"/>
  <c r="FP14" i="7"/>
  <c r="FN14" i="7"/>
  <c r="FI14" i="7"/>
  <c r="FJ14" i="7"/>
  <c r="FK14" i="7"/>
  <c r="FH14" i="7"/>
  <c r="FF14" i="7"/>
  <c r="FD14" i="7"/>
  <c r="FB14" i="7"/>
  <c r="EZ14" i="7"/>
  <c r="EU14" i="7"/>
  <c r="EV14" i="7"/>
  <c r="EW14" i="7"/>
  <c r="ET14" i="7"/>
  <c r="ER14" i="7"/>
  <c r="EP14" i="7"/>
  <c r="EN14" i="7"/>
  <c r="EL14" i="7"/>
  <c r="EG14" i="7"/>
  <c r="EH14" i="7"/>
  <c r="EI14" i="7"/>
  <c r="EF14" i="7"/>
  <c r="ED14" i="7"/>
  <c r="EB14" i="7"/>
  <c r="DZ14" i="7"/>
  <c r="DX14" i="7"/>
  <c r="DS14" i="7"/>
  <c r="DT14" i="7"/>
  <c r="DU14" i="7"/>
  <c r="DR14" i="7"/>
  <c r="DP14" i="7"/>
  <c r="DN14" i="7"/>
  <c r="DL14" i="7"/>
  <c r="DJ14" i="7"/>
  <c r="DE14" i="7"/>
  <c r="DF14" i="7"/>
  <c r="DG14" i="7"/>
  <c r="DD14" i="7"/>
  <c r="DB14" i="7"/>
  <c r="CZ14" i="7"/>
  <c r="CX14" i="7"/>
  <c r="CV14" i="7"/>
  <c r="CQ14" i="7"/>
  <c r="CR14" i="7"/>
  <c r="CS14" i="7"/>
  <c r="CP14" i="7"/>
  <c r="CN14" i="7"/>
  <c r="CL14" i="7"/>
  <c r="CJ14" i="7"/>
  <c r="CH14" i="7"/>
  <c r="H14" i="7"/>
  <c r="F14" i="7"/>
  <c r="D14" i="7"/>
  <c r="HT13" i="7"/>
  <c r="HR13" i="7"/>
  <c r="HN13" i="7"/>
  <c r="HL13" i="7"/>
  <c r="HH13" i="7"/>
  <c r="HF13" i="7"/>
  <c r="GX13" i="7"/>
  <c r="GV13" i="7"/>
  <c r="GT13" i="7"/>
  <c r="GR13" i="7"/>
  <c r="GP13" i="7"/>
  <c r="GK13" i="7"/>
  <c r="GL13" i="7"/>
  <c r="GM13" i="7"/>
  <c r="GJ13" i="7"/>
  <c r="GH13" i="7"/>
  <c r="GF13" i="7"/>
  <c r="GD13" i="7"/>
  <c r="GB13" i="7"/>
  <c r="FW13" i="7"/>
  <c r="FX13" i="7"/>
  <c r="FY13" i="7"/>
  <c r="FV13" i="7"/>
  <c r="FT13" i="7"/>
  <c r="FR13" i="7"/>
  <c r="FP13" i="7"/>
  <c r="FN13" i="7"/>
  <c r="FI13" i="7"/>
  <c r="FJ13" i="7"/>
  <c r="FK13" i="7"/>
  <c r="FH13" i="7"/>
  <c r="FF13" i="7"/>
  <c r="FD13" i="7"/>
  <c r="FB13" i="7"/>
  <c r="EZ13" i="7"/>
  <c r="EU13" i="7"/>
  <c r="EV13" i="7"/>
  <c r="EW13" i="7"/>
  <c r="ET13" i="7"/>
  <c r="ER13" i="7"/>
  <c r="EP13" i="7"/>
  <c r="EN13" i="7"/>
  <c r="EL13" i="7"/>
  <c r="EG13" i="7"/>
  <c r="EH13" i="7"/>
  <c r="EI13" i="7"/>
  <c r="EF13" i="7"/>
  <c r="ED13" i="7"/>
  <c r="EB13" i="7"/>
  <c r="DZ13" i="7"/>
  <c r="DX13" i="7"/>
  <c r="DS13" i="7"/>
  <c r="DT13" i="7"/>
  <c r="DU13" i="7"/>
  <c r="DR13" i="7"/>
  <c r="DP13" i="7"/>
  <c r="DN13" i="7"/>
  <c r="DL13" i="7"/>
  <c r="DJ13" i="7"/>
  <c r="DE13" i="7"/>
  <c r="DF13" i="7"/>
  <c r="DG13" i="7"/>
  <c r="DD13" i="7"/>
  <c r="DB13" i="7"/>
  <c r="CZ13" i="7"/>
  <c r="CX13" i="7"/>
  <c r="CV13" i="7"/>
  <c r="CQ13" i="7"/>
  <c r="CR13" i="7"/>
  <c r="CS13" i="7"/>
  <c r="CP13" i="7"/>
  <c r="CN13" i="7"/>
  <c r="CL13" i="7"/>
  <c r="CJ13" i="7"/>
  <c r="CH13" i="7"/>
  <c r="H13" i="7"/>
  <c r="F13" i="7"/>
  <c r="D13" i="7"/>
  <c r="HT12" i="7"/>
  <c r="HR12" i="7"/>
  <c r="HN12" i="7"/>
  <c r="HL12" i="7"/>
  <c r="HH12" i="7"/>
  <c r="HF12" i="7"/>
  <c r="GP12" i="7"/>
  <c r="GB12" i="7"/>
  <c r="FN12" i="7"/>
  <c r="EZ12" i="7"/>
  <c r="EL12" i="7"/>
  <c r="DX12" i="7"/>
  <c r="DJ12" i="7"/>
  <c r="CV12" i="7"/>
  <c r="CN12" i="7"/>
  <c r="CL12" i="7"/>
  <c r="CJ12" i="7"/>
  <c r="CH12" i="7"/>
  <c r="H12" i="7"/>
  <c r="F12" i="7"/>
  <c r="D12" i="7"/>
  <c r="HT11" i="7"/>
  <c r="HR11" i="7"/>
  <c r="HN11" i="7"/>
  <c r="HL11" i="7"/>
  <c r="HH11" i="7"/>
  <c r="HF11" i="7"/>
  <c r="GP11" i="7"/>
  <c r="GB11" i="7"/>
  <c r="FN11" i="7"/>
  <c r="EZ11" i="7"/>
  <c r="EL11" i="7"/>
  <c r="DX11" i="7"/>
  <c r="DJ11" i="7"/>
  <c r="CV11" i="7"/>
  <c r="CN11" i="7"/>
  <c r="CL11" i="7"/>
  <c r="CJ11" i="7"/>
  <c r="CH11" i="7"/>
  <c r="BT11" i="7"/>
  <c r="BF11" i="7"/>
  <c r="AR11" i="7"/>
  <c r="AD11" i="7"/>
  <c r="P11" i="7"/>
  <c r="H11" i="7"/>
  <c r="F11" i="7"/>
  <c r="D11" i="7"/>
  <c r="HT10" i="7"/>
  <c r="HR10" i="7"/>
  <c r="HN10" i="7"/>
  <c r="HL10" i="7"/>
  <c r="HH10" i="7"/>
  <c r="HF10" i="7"/>
  <c r="GP10" i="7"/>
  <c r="GB10" i="7"/>
  <c r="FN10" i="7"/>
  <c r="EZ10" i="7"/>
  <c r="EL10" i="7"/>
  <c r="DX10" i="7"/>
  <c r="DJ10" i="7"/>
  <c r="CV10" i="7"/>
  <c r="CN10" i="7"/>
  <c r="CL10" i="7"/>
  <c r="CJ10" i="7"/>
  <c r="CH10" i="7"/>
  <c r="J14" i="7"/>
  <c r="J18" i="7"/>
  <c r="J22" i="7"/>
  <c r="J26" i="7"/>
  <c r="J30" i="7"/>
  <c r="HT9" i="7"/>
  <c r="HR9" i="7"/>
  <c r="HN9" i="7"/>
  <c r="HL9" i="7"/>
  <c r="HH9" i="7"/>
  <c r="HF9" i="7"/>
  <c r="GP9" i="7"/>
  <c r="GB9" i="7"/>
  <c r="FN9" i="7"/>
  <c r="EZ9" i="7"/>
  <c r="EL9" i="7"/>
  <c r="DX9" i="7"/>
  <c r="DJ9" i="7"/>
  <c r="CV9" i="7"/>
  <c r="CN9" i="7"/>
  <c r="CL9" i="7"/>
  <c r="CJ9" i="7"/>
  <c r="CH9" i="7"/>
  <c r="J13" i="7"/>
  <c r="J17" i="7"/>
  <c r="J21" i="7"/>
  <c r="J25" i="7"/>
  <c r="J29" i="7"/>
  <c r="J41" i="7"/>
  <c r="HT8" i="7"/>
  <c r="HR8" i="7"/>
  <c r="HN8" i="7"/>
  <c r="HL8" i="7"/>
  <c r="HH8" i="7"/>
  <c r="HF8" i="7"/>
  <c r="GP8" i="7"/>
  <c r="GB8" i="7"/>
  <c r="FN8" i="7"/>
  <c r="EZ8" i="7"/>
  <c r="EL8" i="7"/>
  <c r="DX8" i="7"/>
  <c r="DJ8" i="7"/>
  <c r="CV8" i="7"/>
  <c r="CN8" i="7"/>
  <c r="CL8" i="7"/>
  <c r="CJ8" i="7"/>
  <c r="CH8" i="7"/>
  <c r="J12" i="7"/>
  <c r="J16" i="7"/>
  <c r="J20" i="7"/>
  <c r="J24" i="7"/>
  <c r="J28" i="7"/>
  <c r="J40" i="7"/>
  <c r="HT7" i="7"/>
  <c r="HR7" i="7"/>
  <c r="HN7" i="7"/>
  <c r="HL7" i="7"/>
  <c r="HH7" i="7"/>
  <c r="HF7" i="7"/>
  <c r="GP7" i="7"/>
  <c r="GB7" i="7"/>
  <c r="FN7" i="7"/>
  <c r="EZ7" i="7"/>
  <c r="EL7" i="7"/>
  <c r="DX7" i="7"/>
  <c r="DJ7" i="7"/>
  <c r="CV7" i="7"/>
  <c r="CN7" i="7"/>
  <c r="CL7" i="7"/>
  <c r="CJ7" i="7"/>
  <c r="CH7" i="7"/>
  <c r="J11" i="7"/>
  <c r="J15" i="7"/>
  <c r="J19" i="7"/>
  <c r="J23" i="7"/>
  <c r="J27" i="7"/>
  <c r="J39" i="7"/>
  <c r="HT6" i="7"/>
  <c r="HR6" i="7"/>
  <c r="HN6" i="7"/>
  <c r="HL6" i="7"/>
  <c r="HH6" i="7"/>
  <c r="HF6" i="7"/>
  <c r="GP6" i="7"/>
  <c r="GB6" i="7"/>
  <c r="FN6" i="7"/>
  <c r="EZ6" i="7"/>
  <c r="EL6" i="7"/>
  <c r="DX6" i="7"/>
  <c r="DJ6" i="7"/>
  <c r="CV6" i="7"/>
  <c r="CN6" i="7"/>
  <c r="CL6" i="7"/>
  <c r="CJ6" i="7"/>
  <c r="CH6" i="7"/>
  <c r="HT5" i="7"/>
  <c r="HR5" i="7"/>
  <c r="HN5" i="7"/>
  <c r="HL5" i="7"/>
  <c r="HH5" i="7"/>
  <c r="HF5" i="7"/>
  <c r="GP5" i="7"/>
  <c r="GB5" i="7"/>
  <c r="FN5" i="7"/>
  <c r="EZ5" i="7"/>
  <c r="EL5" i="7"/>
  <c r="DX5" i="7"/>
  <c r="DJ5" i="7"/>
  <c r="CQ5" i="7"/>
  <c r="CN5" i="7"/>
  <c r="CL5" i="7"/>
  <c r="CJ5" i="7"/>
  <c r="CH5" i="7"/>
  <c r="FP59" i="7"/>
  <c r="CP5" i="7"/>
  <c r="CP6" i="7"/>
  <c r="CP7" i="7"/>
  <c r="CP8" i="7"/>
  <c r="CP9" i="7"/>
  <c r="CP10" i="7"/>
  <c r="CP11" i="7"/>
  <c r="CP12" i="7"/>
  <c r="AF105" i="7"/>
  <c r="AF100" i="7"/>
  <c r="A138" i="7"/>
  <c r="GK78" i="7"/>
  <c r="GK79" i="7"/>
  <c r="GH83" i="7"/>
  <c r="GD83" i="7"/>
  <c r="FW78" i="7"/>
  <c r="FW79" i="7"/>
  <c r="FW80" i="7"/>
  <c r="FW81" i="7"/>
  <c r="FW82" i="7"/>
  <c r="FT83" i="7"/>
  <c r="FI78" i="7"/>
  <c r="FI79" i="7"/>
  <c r="FF83" i="7"/>
  <c r="AF104" i="7"/>
  <c r="D101" i="7"/>
  <c r="D102" i="7"/>
  <c r="D103" i="7"/>
  <c r="D104" i="7"/>
  <c r="R101" i="7"/>
  <c r="R102" i="7"/>
  <c r="R103" i="7"/>
  <c r="R104" i="7"/>
  <c r="AF101" i="7"/>
  <c r="AF102" i="7"/>
  <c r="AF103" i="7"/>
  <c r="AT101" i="7"/>
  <c r="AT102" i="7"/>
  <c r="AT103" i="7"/>
  <c r="AT104" i="7"/>
  <c r="CJ83" i="7"/>
  <c r="CX83" i="7"/>
  <c r="DL83" i="7"/>
  <c r="DZ83" i="7"/>
  <c r="EN83" i="7"/>
  <c r="FB83" i="7"/>
  <c r="FP83" i="7"/>
  <c r="GR83" i="7"/>
  <c r="HH83" i="7"/>
  <c r="HN83" i="7"/>
  <c r="HT83" i="7"/>
  <c r="BH101" i="7"/>
  <c r="BH102" i="7"/>
  <c r="BH103" i="7"/>
  <c r="BH104" i="7"/>
  <c r="BV101" i="7"/>
  <c r="BV102" i="7"/>
  <c r="EU78" i="7"/>
  <c r="EU79" i="7"/>
  <c r="DE78" i="7"/>
  <c r="DE79" i="7"/>
  <c r="DE80" i="7"/>
  <c r="DE81" i="7"/>
  <c r="DE82" i="7"/>
  <c r="DF82" i="7"/>
  <c r="DE83" i="7"/>
  <c r="DS81" i="7"/>
  <c r="DS82" i="7"/>
  <c r="EG78" i="7"/>
  <c r="CQ78" i="7"/>
  <c r="CQ79" i="7"/>
  <c r="CQ80" i="7"/>
  <c r="AL90" i="7"/>
  <c r="AL94" i="7"/>
  <c r="AL98" i="7"/>
  <c r="AL102" i="7"/>
  <c r="AL106" i="7"/>
  <c r="DZ226" i="7"/>
  <c r="DZ227" i="7"/>
  <c r="DZ228" i="7"/>
  <c r="DZ229" i="7"/>
  <c r="DZ230" i="7"/>
  <c r="DZ231" i="7"/>
  <c r="DZ232" i="7"/>
  <c r="DZ234" i="7"/>
  <c r="DZ235" i="7"/>
  <c r="DZ236" i="7"/>
  <c r="DZ237" i="7"/>
  <c r="DZ238" i="7"/>
  <c r="DZ240" i="7"/>
  <c r="DZ241" i="7"/>
  <c r="DZ242" i="7"/>
  <c r="DZ243" i="7"/>
  <c r="DZ244" i="7"/>
  <c r="DZ245" i="7"/>
  <c r="DZ246" i="7"/>
  <c r="DZ247" i="7"/>
  <c r="DZ248" i="7"/>
  <c r="DZ249" i="7"/>
  <c r="DZ250" i="7"/>
  <c r="DZ251" i="7"/>
  <c r="DZ252" i="7"/>
  <c r="DZ253" i="7"/>
  <c r="DZ254" i="7"/>
  <c r="DZ255" i="7"/>
  <c r="DZ256" i="7"/>
  <c r="DZ261" i="7"/>
  <c r="DZ262" i="7"/>
  <c r="DZ263" i="7"/>
  <c r="DZ264" i="7"/>
  <c r="DZ265" i="7"/>
  <c r="DZ266" i="7"/>
  <c r="DZ267" i="7"/>
  <c r="DZ268" i="7"/>
  <c r="DZ269" i="7"/>
  <c r="DZ270" i="7"/>
  <c r="DZ271" i="7"/>
  <c r="DZ272" i="7"/>
  <c r="DZ274" i="7"/>
  <c r="DZ275" i="7"/>
  <c r="DZ276" i="7"/>
  <c r="DZ152" i="7"/>
  <c r="DZ153" i="7"/>
  <c r="DZ154" i="7"/>
  <c r="DZ155" i="7"/>
  <c r="DZ156" i="7"/>
  <c r="DZ157" i="7"/>
  <c r="DZ158" i="7"/>
  <c r="DZ159" i="7"/>
  <c r="DZ160" i="7"/>
  <c r="DZ162" i="7"/>
  <c r="DZ163" i="7"/>
  <c r="DZ164" i="7"/>
  <c r="DZ166" i="7"/>
  <c r="DZ167" i="7"/>
  <c r="DZ168" i="7"/>
  <c r="DZ169" i="7"/>
  <c r="DZ170" i="7"/>
  <c r="DZ171" i="7"/>
  <c r="DZ172" i="7"/>
  <c r="DZ173" i="7"/>
  <c r="DZ174" i="7"/>
  <c r="DZ175" i="7"/>
  <c r="DZ176" i="7"/>
  <c r="DZ177" i="7"/>
  <c r="DZ178" i="7"/>
  <c r="DZ179" i="7"/>
  <c r="DZ180" i="7"/>
  <c r="DZ181" i="7"/>
  <c r="DZ182" i="7"/>
  <c r="DZ183" i="7"/>
  <c r="DZ184" i="7"/>
  <c r="DZ185" i="7"/>
  <c r="DZ186" i="7"/>
  <c r="DZ187" i="7"/>
  <c r="DZ188" i="7"/>
  <c r="DZ189" i="7"/>
  <c r="DZ190" i="7"/>
  <c r="DZ191" i="7"/>
  <c r="DZ192" i="7"/>
  <c r="DZ193" i="7"/>
  <c r="DZ194" i="7"/>
  <c r="DZ195" i="7"/>
  <c r="DZ196" i="7"/>
  <c r="DZ197" i="7"/>
  <c r="DZ198" i="7"/>
  <c r="DZ200" i="7"/>
  <c r="DZ201" i="7"/>
  <c r="DZ202" i="7"/>
  <c r="P93" i="7"/>
  <c r="DR81" i="7"/>
  <c r="DR82" i="7"/>
  <c r="DR83" i="7"/>
  <c r="FH83" i="7"/>
  <c r="FV78" i="7"/>
  <c r="FV79" i="7"/>
  <c r="FV80" i="7"/>
  <c r="FV81" i="7"/>
  <c r="FV82" i="7"/>
  <c r="GD78" i="7"/>
  <c r="GF78" i="7"/>
  <c r="GH78" i="7"/>
  <c r="GJ78" i="7"/>
  <c r="GJ79" i="7"/>
  <c r="GD79" i="7"/>
  <c r="GF79" i="7"/>
  <c r="GH79" i="7"/>
  <c r="GD80" i="7"/>
  <c r="GF80" i="7"/>
  <c r="GH80" i="7"/>
  <c r="GJ80" i="7"/>
  <c r="GJ81" i="7"/>
  <c r="GD81" i="7"/>
  <c r="GF81" i="7"/>
  <c r="GH81" i="7"/>
  <c r="BF81" i="7"/>
  <c r="GD82" i="7"/>
  <c r="GF82" i="7"/>
  <c r="GH82" i="7"/>
  <c r="GJ82" i="7"/>
  <c r="GF83" i="7"/>
  <c r="GD84" i="7"/>
  <c r="GF84" i="7"/>
  <c r="GH84" i="7"/>
  <c r="GJ84" i="7"/>
  <c r="BF85" i="7"/>
  <c r="GD87" i="7"/>
  <c r="GF87" i="7"/>
  <c r="GH87" i="7"/>
  <c r="GJ87" i="7"/>
  <c r="GK87" i="7"/>
  <c r="GL87" i="7"/>
  <c r="GM87" i="7"/>
  <c r="BT117" i="7"/>
  <c r="BF117" i="7"/>
  <c r="BZ81" i="7"/>
  <c r="CB81" i="7"/>
  <c r="CB85" i="7"/>
  <c r="CB89" i="7"/>
  <c r="BV81" i="7"/>
  <c r="CC81" i="7"/>
  <c r="BZ82" i="7"/>
  <c r="CB82" i="7"/>
  <c r="BV82" i="7"/>
  <c r="CC82" i="7"/>
  <c r="CD82" i="7"/>
  <c r="CE82" i="7"/>
  <c r="BZ83" i="7"/>
  <c r="CE83" i="7"/>
  <c r="CB83" i="7"/>
  <c r="BV83" i="7"/>
  <c r="CC83" i="7"/>
  <c r="CD83" i="7"/>
  <c r="BZ84" i="7"/>
  <c r="CB84" i="7"/>
  <c r="BV84" i="7"/>
  <c r="CC84" i="7"/>
  <c r="CD84" i="7"/>
  <c r="CE84" i="7"/>
  <c r="BZ85" i="7"/>
  <c r="BV85" i="7"/>
  <c r="BZ86" i="7"/>
  <c r="CB86" i="7"/>
  <c r="BV86" i="7"/>
  <c r="CC86" i="7"/>
  <c r="BZ87" i="7"/>
  <c r="CE87" i="7"/>
  <c r="CB87" i="7"/>
  <c r="BV87" i="7"/>
  <c r="CC87" i="7"/>
  <c r="CD87" i="7"/>
  <c r="BZ88" i="7"/>
  <c r="CB88" i="7"/>
  <c r="BV88" i="7"/>
  <c r="CC88" i="7"/>
  <c r="CD88" i="7"/>
  <c r="CE88" i="7"/>
  <c r="BZ89" i="7"/>
  <c r="BV89" i="7"/>
  <c r="BZ90" i="7"/>
  <c r="CB90" i="7"/>
  <c r="CB94" i="7"/>
  <c r="CB98" i="7"/>
  <c r="CB102" i="7"/>
  <c r="CB106" i="7"/>
  <c r="BV90" i="7"/>
  <c r="BZ91" i="7"/>
  <c r="CE91" i="7"/>
  <c r="CB91" i="7"/>
  <c r="BV91" i="7"/>
  <c r="CC91" i="7"/>
  <c r="CD91" i="7"/>
  <c r="BZ92" i="7"/>
  <c r="CB92" i="7"/>
  <c r="BV92" i="7"/>
  <c r="CC92" i="7"/>
  <c r="CD92" i="7"/>
  <c r="CE92" i="7"/>
  <c r="BZ93" i="7"/>
  <c r="CB93" i="7"/>
  <c r="BV93" i="7"/>
  <c r="BZ94" i="7"/>
  <c r="BV94" i="7"/>
  <c r="BZ95" i="7"/>
  <c r="CB95" i="7"/>
  <c r="BV95" i="7"/>
  <c r="CC95" i="7"/>
  <c r="CD95" i="7"/>
  <c r="BZ96" i="7"/>
  <c r="CB96" i="7"/>
  <c r="BV96" i="7"/>
  <c r="CC96" i="7"/>
  <c r="CD96" i="7"/>
  <c r="CE96" i="7"/>
  <c r="BZ97" i="7"/>
  <c r="CB97" i="7"/>
  <c r="CB101" i="7"/>
  <c r="CB105" i="7"/>
  <c r="BV97" i="7"/>
  <c r="BZ98" i="7"/>
  <c r="BV98" i="7"/>
  <c r="BZ99" i="7"/>
  <c r="CE99" i="7"/>
  <c r="CB99" i="7"/>
  <c r="BV99" i="7"/>
  <c r="CC99" i="7"/>
  <c r="CD99" i="7"/>
  <c r="BZ100" i="7"/>
  <c r="CB100" i="7"/>
  <c r="BV100" i="7"/>
  <c r="CC100" i="7"/>
  <c r="CD100" i="7"/>
  <c r="CE100" i="7"/>
  <c r="BZ101" i="7"/>
  <c r="BZ102" i="7"/>
  <c r="BZ103" i="7"/>
  <c r="CB103" i="7"/>
  <c r="BV103" i="7"/>
  <c r="CC103" i="7"/>
  <c r="CD103" i="7"/>
  <c r="CE103" i="7"/>
  <c r="BZ104" i="7"/>
  <c r="CB104" i="7"/>
  <c r="BV104" i="7"/>
  <c r="CC104" i="7"/>
  <c r="CD104" i="7"/>
  <c r="CE104" i="7"/>
  <c r="BZ105" i="7"/>
  <c r="BV105" i="7"/>
  <c r="BZ106" i="7"/>
  <c r="BV106" i="7"/>
  <c r="BZ107" i="7"/>
  <c r="CB107" i="7"/>
  <c r="BV107" i="7"/>
  <c r="CC107" i="7"/>
  <c r="CD107" i="7"/>
  <c r="CE107" i="7"/>
  <c r="BZ108" i="7"/>
  <c r="CB108" i="7"/>
  <c r="BV108" i="7"/>
  <c r="CC108" i="7"/>
  <c r="CD108" i="7"/>
  <c r="CE108" i="7"/>
  <c r="BZ117" i="7"/>
  <c r="CE117" i="7"/>
  <c r="CB117" i="7"/>
  <c r="BV117" i="7"/>
  <c r="CC117" i="7"/>
  <c r="CD117" i="7"/>
  <c r="BZ118" i="7"/>
  <c r="CE118" i="7"/>
  <c r="CB118" i="7"/>
  <c r="BV118" i="7"/>
  <c r="BV140" i="7"/>
  <c r="CC118" i="7"/>
  <c r="CD118" i="7"/>
  <c r="BZ119" i="7"/>
  <c r="CE119" i="7"/>
  <c r="CB119" i="7"/>
  <c r="BV119" i="7"/>
  <c r="CC119" i="7"/>
  <c r="CD119" i="7"/>
  <c r="CD141" i="7"/>
  <c r="CE141" i="7"/>
  <c r="BZ120" i="7"/>
  <c r="CE120" i="7"/>
  <c r="CB120" i="7"/>
  <c r="BV120" i="7"/>
  <c r="BV142" i="7"/>
  <c r="BY142" i="7"/>
  <c r="CC120" i="7"/>
  <c r="CD120" i="7"/>
  <c r="BN81" i="7"/>
  <c r="BN85" i="7"/>
  <c r="BH81" i="7"/>
  <c r="BN82" i="7"/>
  <c r="BH82" i="7"/>
  <c r="BO82" i="7"/>
  <c r="BN83" i="7"/>
  <c r="BH83" i="7"/>
  <c r="BO83" i="7"/>
  <c r="BP83" i="7"/>
  <c r="BN84" i="7"/>
  <c r="BH84" i="7"/>
  <c r="BO84" i="7"/>
  <c r="BH85" i="7"/>
  <c r="BN86" i="7"/>
  <c r="BN90" i="7"/>
  <c r="BH86" i="7"/>
  <c r="BN87" i="7"/>
  <c r="BH87" i="7"/>
  <c r="BN88" i="7"/>
  <c r="BN92" i="7"/>
  <c r="BN96" i="7"/>
  <c r="BN100" i="7"/>
  <c r="BN104" i="7"/>
  <c r="BN108" i="7"/>
  <c r="BH88" i="7"/>
  <c r="BO88" i="7"/>
  <c r="BN89" i="7"/>
  <c r="BN93" i="7"/>
  <c r="BN97" i="7"/>
  <c r="BN101" i="7"/>
  <c r="BN105" i="7"/>
  <c r="BH89" i="7"/>
  <c r="BH90" i="7"/>
  <c r="BN91" i="7"/>
  <c r="BH91" i="7"/>
  <c r="BH92" i="7"/>
  <c r="BH93" i="7"/>
  <c r="BN94" i="7"/>
  <c r="BN98" i="7"/>
  <c r="BN102" i="7"/>
  <c r="BN106" i="7"/>
  <c r="BH94" i="7"/>
  <c r="BN95" i="7"/>
  <c r="BH95" i="7"/>
  <c r="BH96" i="7"/>
  <c r="BH97" i="7"/>
  <c r="BH98" i="7"/>
  <c r="BN99" i="7"/>
  <c r="BH99" i="7"/>
  <c r="BH100" i="7"/>
  <c r="BN103" i="7"/>
  <c r="BN107" i="7"/>
  <c r="BH105" i="7"/>
  <c r="BH106" i="7"/>
  <c r="BH107" i="7"/>
  <c r="BH108" i="7"/>
  <c r="BN117" i="7"/>
  <c r="BH117" i="7"/>
  <c r="BO117" i="7"/>
  <c r="BL117" i="7"/>
  <c r="BQ117" i="7"/>
  <c r="BN118" i="7"/>
  <c r="BH118" i="7"/>
  <c r="BH140" i="7"/>
  <c r="BO118" i="7"/>
  <c r="BL118" i="7"/>
  <c r="BQ118" i="7"/>
  <c r="BN119" i="7"/>
  <c r="BH119" i="7"/>
  <c r="BO119" i="7"/>
  <c r="BL119" i="7"/>
  <c r="BQ119" i="7"/>
  <c r="BN120" i="7"/>
  <c r="BH120" i="7"/>
  <c r="BO120" i="7"/>
  <c r="BL120" i="7"/>
  <c r="BQ120" i="7"/>
  <c r="AV81" i="7"/>
  <c r="AV82" i="7"/>
  <c r="AL92" i="7"/>
  <c r="AL96" i="7"/>
  <c r="AL100" i="7"/>
  <c r="AL104" i="7"/>
  <c r="AL108" i="7"/>
  <c r="AF96" i="7"/>
  <c r="AF92" i="7"/>
  <c r="AM92" i="7"/>
  <c r="AF106" i="7"/>
  <c r="AF108" i="7"/>
  <c r="X81" i="7"/>
  <c r="R81" i="7"/>
  <c r="Y81" i="7"/>
  <c r="X82" i="7"/>
  <c r="R82" i="7"/>
  <c r="Y82" i="7"/>
  <c r="X83" i="7"/>
  <c r="R92" i="7"/>
  <c r="X103" i="7"/>
  <c r="X107" i="7"/>
  <c r="D108" i="7"/>
  <c r="D100" i="7"/>
  <c r="D96" i="7"/>
  <c r="D92" i="7"/>
  <c r="D88" i="7"/>
  <c r="D84" i="7"/>
  <c r="J82" i="7"/>
  <c r="J86" i="7"/>
  <c r="J90" i="7"/>
  <c r="J94" i="7"/>
  <c r="J98" i="7"/>
  <c r="J102" i="7"/>
  <c r="J106" i="7"/>
  <c r="D106" i="7"/>
  <c r="D98" i="7"/>
  <c r="D94" i="7"/>
  <c r="D90" i="7"/>
  <c r="D86" i="7"/>
  <c r="D82" i="7"/>
  <c r="K82" i="7"/>
  <c r="K86" i="7"/>
  <c r="K90" i="7"/>
  <c r="J81" i="7"/>
  <c r="J85" i="7"/>
  <c r="J89" i="7"/>
  <c r="J93" i="7"/>
  <c r="J97" i="7"/>
  <c r="J101" i="7"/>
  <c r="J105" i="7"/>
  <c r="D105" i="7"/>
  <c r="D97" i="7"/>
  <c r="D93" i="7"/>
  <c r="D89" i="7"/>
  <c r="D85" i="7"/>
  <c r="K85" i="7"/>
  <c r="D81" i="7"/>
  <c r="K81" i="7"/>
  <c r="J83" i="7"/>
  <c r="J87" i="7"/>
  <c r="J91" i="7"/>
  <c r="J95" i="7"/>
  <c r="J99" i="7"/>
  <c r="J103" i="7"/>
  <c r="J107" i="7"/>
  <c r="D99" i="7"/>
  <c r="D95" i="7"/>
  <c r="D91" i="7"/>
  <c r="D87" i="7"/>
  <c r="D83" i="7"/>
  <c r="K83" i="7"/>
  <c r="K87" i="7"/>
  <c r="K91" i="7"/>
  <c r="K95" i="7"/>
  <c r="K99" i="7"/>
  <c r="K103" i="7"/>
  <c r="R83" i="7"/>
  <c r="R84" i="7"/>
  <c r="AF81" i="7"/>
  <c r="AF82" i="7"/>
  <c r="AF83" i="7"/>
  <c r="AF84" i="7"/>
  <c r="AT81" i="7"/>
  <c r="BA81" i="7"/>
  <c r="AT82" i="7"/>
  <c r="AT83" i="7"/>
  <c r="AT84" i="7"/>
  <c r="CJ78" i="7"/>
  <c r="CX78" i="7"/>
  <c r="DL78" i="7"/>
  <c r="DZ78" i="7"/>
  <c r="EN78" i="7"/>
  <c r="FB78" i="7"/>
  <c r="FP78" i="7"/>
  <c r="GR78" i="7"/>
  <c r="HH78" i="7"/>
  <c r="HN78" i="7"/>
  <c r="HT78" i="7"/>
  <c r="R85" i="7"/>
  <c r="R86" i="7"/>
  <c r="R87" i="7"/>
  <c r="R88" i="7"/>
  <c r="AF85" i="7"/>
  <c r="AF86" i="7"/>
  <c r="AF87" i="7"/>
  <c r="AF88" i="7"/>
  <c r="AT85" i="7"/>
  <c r="BA85" i="7"/>
  <c r="AT86" i="7"/>
  <c r="AT87" i="7"/>
  <c r="BC87" i="7"/>
  <c r="AT88" i="7"/>
  <c r="CJ79" i="7"/>
  <c r="CX79" i="7"/>
  <c r="DL79" i="7"/>
  <c r="DZ79" i="7"/>
  <c r="EN79" i="7"/>
  <c r="FB79" i="7"/>
  <c r="FP79" i="7"/>
  <c r="GR79" i="7"/>
  <c r="HH79" i="7"/>
  <c r="HN79" i="7"/>
  <c r="HT79" i="7"/>
  <c r="R89" i="7"/>
  <c r="R90" i="7"/>
  <c r="R91" i="7"/>
  <c r="AF89" i="7"/>
  <c r="AF90" i="7"/>
  <c r="AF91" i="7"/>
  <c r="AT89" i="7"/>
  <c r="AT90" i="7"/>
  <c r="AT91" i="7"/>
  <c r="AT92" i="7"/>
  <c r="CJ80" i="7"/>
  <c r="CX80" i="7"/>
  <c r="DL80" i="7"/>
  <c r="DZ80" i="7"/>
  <c r="EN80" i="7"/>
  <c r="FB80" i="7"/>
  <c r="FP80" i="7"/>
  <c r="GR80" i="7"/>
  <c r="HH80" i="7"/>
  <c r="HN80" i="7"/>
  <c r="HT80" i="7"/>
  <c r="R93" i="7"/>
  <c r="R94" i="7"/>
  <c r="R95" i="7"/>
  <c r="Y95" i="7"/>
  <c r="R96" i="7"/>
  <c r="Y96" i="7"/>
  <c r="AF93" i="7"/>
  <c r="AF94" i="7"/>
  <c r="AF95" i="7"/>
  <c r="AT93" i="7"/>
  <c r="AT94" i="7"/>
  <c r="AT95" i="7"/>
  <c r="AT96" i="7"/>
  <c r="CJ81" i="7"/>
  <c r="CX81" i="7"/>
  <c r="DL81" i="7"/>
  <c r="DZ81" i="7"/>
  <c r="EN81" i="7"/>
  <c r="FB81" i="7"/>
  <c r="FP81" i="7"/>
  <c r="GR81" i="7"/>
  <c r="HH81" i="7"/>
  <c r="HN81" i="7"/>
  <c r="HT81" i="7"/>
  <c r="R97" i="7"/>
  <c r="R98" i="7"/>
  <c r="R99" i="7"/>
  <c r="R100" i="7"/>
  <c r="Y100" i="7"/>
  <c r="AF97" i="7"/>
  <c r="AF98" i="7"/>
  <c r="AF99" i="7"/>
  <c r="AT97" i="7"/>
  <c r="AT98" i="7"/>
  <c r="AT99" i="7"/>
  <c r="AT100" i="7"/>
  <c r="CJ82" i="7"/>
  <c r="CX82" i="7"/>
  <c r="DG82" i="7"/>
  <c r="DL82" i="7"/>
  <c r="DZ82" i="7"/>
  <c r="EN82" i="7"/>
  <c r="FB82" i="7"/>
  <c r="FP82" i="7"/>
  <c r="GR82" i="7"/>
  <c r="HH82" i="7"/>
  <c r="HN82" i="7"/>
  <c r="HT82" i="7"/>
  <c r="D107" i="7"/>
  <c r="R105" i="7"/>
  <c r="R106" i="7"/>
  <c r="R107" i="7"/>
  <c r="R108" i="7"/>
  <c r="AF107" i="7"/>
  <c r="AT105" i="7"/>
  <c r="AT106" i="7"/>
  <c r="AT107" i="7"/>
  <c r="AT108" i="7"/>
  <c r="CJ84" i="7"/>
  <c r="CX84" i="7"/>
  <c r="DL84" i="7"/>
  <c r="DZ84" i="7"/>
  <c r="EN84" i="7"/>
  <c r="FB84" i="7"/>
  <c r="FP84" i="7"/>
  <c r="GR84" i="7"/>
  <c r="HH84" i="7"/>
  <c r="HN84" i="7"/>
  <c r="HT84" i="7"/>
  <c r="D117" i="7"/>
  <c r="D118" i="7"/>
  <c r="K118" i="7"/>
  <c r="D119" i="7"/>
  <c r="K119" i="7"/>
  <c r="D120" i="7"/>
  <c r="R117" i="7"/>
  <c r="Y117" i="7"/>
  <c r="R118" i="7"/>
  <c r="Y118" i="7"/>
  <c r="R119" i="7"/>
  <c r="R141" i="7"/>
  <c r="R120" i="7"/>
  <c r="Y120" i="7"/>
  <c r="AF117" i="7"/>
  <c r="AM117" i="7"/>
  <c r="AF118" i="7"/>
  <c r="AF119" i="7"/>
  <c r="AF120" i="7"/>
  <c r="AT117" i="7"/>
  <c r="AT118" i="7"/>
  <c r="BA118" i="7"/>
  <c r="AT119" i="7"/>
  <c r="BA119" i="7"/>
  <c r="AT120" i="7"/>
  <c r="BA120" i="7"/>
  <c r="CJ87" i="7"/>
  <c r="CX87" i="7"/>
  <c r="DL87" i="7"/>
  <c r="DZ87" i="7"/>
  <c r="EN87" i="7"/>
  <c r="FB87" i="7"/>
  <c r="FP87" i="7"/>
  <c r="GR87" i="7"/>
  <c r="HH87" i="7"/>
  <c r="HN87" i="7"/>
  <c r="HT87" i="7"/>
  <c r="D121" i="7"/>
  <c r="D122" i="7"/>
  <c r="D123" i="7"/>
  <c r="D124" i="7"/>
  <c r="R121" i="7"/>
  <c r="Y121" i="7"/>
  <c r="R122" i="7"/>
  <c r="R123" i="7"/>
  <c r="R124" i="7"/>
  <c r="AF121" i="7"/>
  <c r="AF122" i="7"/>
  <c r="AF123" i="7"/>
  <c r="AM123" i="7"/>
  <c r="AF124" i="7"/>
  <c r="AM124" i="7"/>
  <c r="AT121" i="7"/>
  <c r="AT122" i="7"/>
  <c r="AT123" i="7"/>
  <c r="AT124" i="7"/>
  <c r="CJ115" i="7"/>
  <c r="DL115" i="7"/>
  <c r="DZ115" i="7"/>
  <c r="EN115" i="7"/>
  <c r="FB115" i="7"/>
  <c r="FP115" i="7"/>
  <c r="GD115" i="7"/>
  <c r="GR115" i="7"/>
  <c r="HH115" i="7"/>
  <c r="HN115" i="7"/>
  <c r="HT115" i="7"/>
  <c r="BH121" i="7"/>
  <c r="BH122" i="7"/>
  <c r="BV121" i="7"/>
  <c r="BV122" i="7"/>
  <c r="D125" i="7"/>
  <c r="D126" i="7"/>
  <c r="D127" i="7"/>
  <c r="D128" i="7"/>
  <c r="R125" i="7"/>
  <c r="R126" i="7"/>
  <c r="R127" i="7"/>
  <c r="R128" i="7"/>
  <c r="AF125" i="7"/>
  <c r="AM125" i="7"/>
  <c r="AF126" i="7"/>
  <c r="AF127" i="7"/>
  <c r="AF128" i="7"/>
  <c r="AT125" i="7"/>
  <c r="AT126" i="7"/>
  <c r="AT127" i="7"/>
  <c r="BA127" i="7"/>
  <c r="AT128" i="7"/>
  <c r="CJ119" i="7"/>
  <c r="DL119" i="7"/>
  <c r="DZ119" i="7"/>
  <c r="EN119" i="7"/>
  <c r="FB119" i="7"/>
  <c r="FP119" i="7"/>
  <c r="GD119" i="7"/>
  <c r="GR119" i="7"/>
  <c r="HH119" i="7"/>
  <c r="HN119" i="7"/>
  <c r="HT119" i="7"/>
  <c r="BH125" i="7"/>
  <c r="BH126" i="7"/>
  <c r="BV125" i="7"/>
  <c r="BV126" i="7"/>
  <c r="D129" i="7"/>
  <c r="K129" i="7"/>
  <c r="D130" i="7"/>
  <c r="D131" i="7"/>
  <c r="D132" i="7"/>
  <c r="R129" i="7"/>
  <c r="R130" i="7"/>
  <c r="R131" i="7"/>
  <c r="R132" i="7"/>
  <c r="Y132" i="7"/>
  <c r="AF129" i="7"/>
  <c r="AM129" i="7"/>
  <c r="AF130" i="7"/>
  <c r="AF131" i="7"/>
  <c r="AF132" i="7"/>
  <c r="AT129" i="7"/>
  <c r="AT130" i="7"/>
  <c r="AT131" i="7"/>
  <c r="AT132" i="7"/>
  <c r="CJ123" i="7"/>
  <c r="DL123" i="7"/>
  <c r="DZ123" i="7"/>
  <c r="EN123" i="7"/>
  <c r="FB123" i="7"/>
  <c r="FP123" i="7"/>
  <c r="GD123" i="7"/>
  <c r="GR123" i="7"/>
  <c r="HH123" i="7"/>
  <c r="HN123" i="7"/>
  <c r="HT123" i="7"/>
  <c r="BH129" i="7"/>
  <c r="BH130" i="7"/>
  <c r="BV129" i="7"/>
  <c r="BV130" i="7"/>
  <c r="H81" i="7"/>
  <c r="L81" i="7"/>
  <c r="H82" i="7"/>
  <c r="L82" i="7"/>
  <c r="H83" i="7"/>
  <c r="L83" i="7"/>
  <c r="H84" i="7"/>
  <c r="H85" i="7"/>
  <c r="L85" i="7"/>
  <c r="H86" i="7"/>
  <c r="H87" i="7"/>
  <c r="H88" i="7"/>
  <c r="H89" i="7"/>
  <c r="H90" i="7"/>
  <c r="L90" i="7"/>
  <c r="M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V81" i="7"/>
  <c r="V82" i="7"/>
  <c r="Z82" i="7"/>
  <c r="V83" i="7"/>
  <c r="Y83" i="7"/>
  <c r="V84" i="7"/>
  <c r="Y84" i="7"/>
  <c r="Z84" i="7"/>
  <c r="V85" i="7"/>
  <c r="V86" i="7"/>
  <c r="Y86" i="7"/>
  <c r="Y90" i="7"/>
  <c r="V87" i="7"/>
  <c r="Z87" i="7"/>
  <c r="Y87" i="7"/>
  <c r="V88" i="7"/>
  <c r="Y88" i="7"/>
  <c r="Z88" i="7"/>
  <c r="AA88" i="7"/>
  <c r="V89" i="7"/>
  <c r="V90" i="7"/>
  <c r="V91" i="7"/>
  <c r="Y91" i="7"/>
  <c r="V92" i="7"/>
  <c r="Z92" i="7"/>
  <c r="V93" i="7"/>
  <c r="V94" i="7"/>
  <c r="V95" i="7"/>
  <c r="V96" i="7"/>
  <c r="Z96" i="7"/>
  <c r="V97" i="7"/>
  <c r="V98" i="7"/>
  <c r="V99" i="7"/>
  <c r="Z99" i="7"/>
  <c r="V100" i="7"/>
  <c r="V101" i="7"/>
  <c r="V102" i="7"/>
  <c r="V103" i="7"/>
  <c r="Z103" i="7"/>
  <c r="Y103" i="7"/>
  <c r="V104" i="7"/>
  <c r="V105" i="7"/>
  <c r="V106" i="7"/>
  <c r="V107" i="7"/>
  <c r="Y107" i="7"/>
  <c r="Z107" i="7"/>
  <c r="V108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AX81" i="7"/>
  <c r="BB81" i="7"/>
  <c r="AX82" i="7"/>
  <c r="BA82" i="7"/>
  <c r="AX83" i="7"/>
  <c r="BA83" i="7"/>
  <c r="BB83" i="7"/>
  <c r="AX84" i="7"/>
  <c r="BA84" i="7"/>
  <c r="BB84" i="7"/>
  <c r="AX85" i="7"/>
  <c r="BB85" i="7"/>
  <c r="AX86" i="7"/>
  <c r="AX87" i="7"/>
  <c r="BB87" i="7"/>
  <c r="AX88" i="7"/>
  <c r="BB88" i="7"/>
  <c r="AX89" i="7"/>
  <c r="BA89" i="7"/>
  <c r="AX90" i="7"/>
  <c r="AX91" i="7"/>
  <c r="BA91" i="7"/>
  <c r="BB91" i="7"/>
  <c r="AX92" i="7"/>
  <c r="AX93" i="7"/>
  <c r="BA93" i="7"/>
  <c r="BA97" i="7"/>
  <c r="AX94" i="7"/>
  <c r="AX95" i="7"/>
  <c r="BA95" i="7"/>
  <c r="BB95" i="7"/>
  <c r="AX96" i="7"/>
  <c r="AX97" i="7"/>
  <c r="AX98" i="7"/>
  <c r="AX99" i="7"/>
  <c r="BA99" i="7"/>
  <c r="BA103" i="7"/>
  <c r="BB103" i="7"/>
  <c r="BC103" i="7"/>
  <c r="AX100" i="7"/>
  <c r="BB100" i="7"/>
  <c r="AX101" i="7"/>
  <c r="BA101" i="7"/>
  <c r="AX102" i="7"/>
  <c r="AX103" i="7"/>
  <c r="AX104" i="7"/>
  <c r="BA104" i="7"/>
  <c r="BA108" i="7"/>
  <c r="BB104" i="7"/>
  <c r="BC104" i="7"/>
  <c r="AX105" i="7"/>
  <c r="AX106" i="7"/>
  <c r="AX107" i="7"/>
  <c r="BA107" i="7"/>
  <c r="AX108" i="7"/>
  <c r="BB117" i="7"/>
  <c r="BB118" i="7"/>
  <c r="BB119" i="7"/>
  <c r="BB120" i="7"/>
  <c r="BB121" i="7"/>
  <c r="BB122" i="7"/>
  <c r="BB123" i="7"/>
  <c r="BB124" i="7"/>
  <c r="BB125" i="7"/>
  <c r="BB126" i="7"/>
  <c r="BB127" i="7"/>
  <c r="BB128" i="7"/>
  <c r="BB129" i="7"/>
  <c r="CN78" i="7"/>
  <c r="CR78" i="7"/>
  <c r="CN79" i="7"/>
  <c r="CR79" i="7"/>
  <c r="CN80" i="7"/>
  <c r="CN81" i="7"/>
  <c r="CN82" i="7"/>
  <c r="CN83" i="7"/>
  <c r="CN84" i="7"/>
  <c r="CQ87" i="7"/>
  <c r="CR87" i="7"/>
  <c r="CS87" i="7"/>
  <c r="CQ88" i="7"/>
  <c r="CR88" i="7"/>
  <c r="CS88" i="7"/>
  <c r="CQ89" i="7"/>
  <c r="CR89" i="7"/>
  <c r="CQ90" i="7"/>
  <c r="CR90" i="7"/>
  <c r="CS90" i="7"/>
  <c r="CQ92" i="7"/>
  <c r="CR92" i="7"/>
  <c r="CQ93" i="7"/>
  <c r="CR93" i="7"/>
  <c r="CQ94" i="7"/>
  <c r="CR94" i="7"/>
  <c r="CS94" i="7"/>
  <c r="CQ95" i="7"/>
  <c r="CR95" i="7"/>
  <c r="CQ96" i="7"/>
  <c r="CR96" i="7"/>
  <c r="CQ97" i="7"/>
  <c r="CR97" i="7"/>
  <c r="CS97" i="7"/>
  <c r="CR98" i="7"/>
  <c r="CR99" i="7"/>
  <c r="CR100" i="7"/>
  <c r="CR101" i="7"/>
  <c r="CR102" i="7"/>
  <c r="CR103" i="7"/>
  <c r="CR104" i="7"/>
  <c r="CS104" i="7"/>
  <c r="CR105" i="7"/>
  <c r="CR106" i="7"/>
  <c r="CR107" i="7"/>
  <c r="CR108" i="7"/>
  <c r="CR109" i="7"/>
  <c r="CR110" i="7"/>
  <c r="CR111" i="7"/>
  <c r="CR112" i="7"/>
  <c r="CR113" i="7"/>
  <c r="CR114" i="7"/>
  <c r="CR115" i="7"/>
  <c r="CR116" i="7"/>
  <c r="CR117" i="7"/>
  <c r="CS117" i="7"/>
  <c r="CR118" i="7"/>
  <c r="CS118" i="7"/>
  <c r="CR119" i="7"/>
  <c r="CR120" i="7"/>
  <c r="CS120" i="7"/>
  <c r="CR121" i="7"/>
  <c r="CR122" i="7"/>
  <c r="CR123" i="7"/>
  <c r="CR124" i="7"/>
  <c r="CR126" i="7"/>
  <c r="CR127" i="7"/>
  <c r="CR128" i="7"/>
  <c r="CR129" i="7"/>
  <c r="CS129" i="7"/>
  <c r="DB78" i="7"/>
  <c r="DF78" i="7"/>
  <c r="DB79" i="7"/>
  <c r="DF79" i="7"/>
  <c r="DG79" i="7"/>
  <c r="DB80" i="7"/>
  <c r="DF80" i="7"/>
  <c r="DG80" i="7"/>
  <c r="DB81" i="7"/>
  <c r="DF81" i="7"/>
  <c r="DG81" i="7"/>
  <c r="DB82" i="7"/>
  <c r="DB83" i="7"/>
  <c r="DF83" i="7"/>
  <c r="DE84" i="7"/>
  <c r="DB84" i="7"/>
  <c r="DE87" i="7"/>
  <c r="DF87" i="7"/>
  <c r="DG87" i="7"/>
  <c r="DE88" i="7"/>
  <c r="DF88" i="7"/>
  <c r="DG88" i="7"/>
  <c r="DE89" i="7"/>
  <c r="DF89" i="7"/>
  <c r="DG89" i="7"/>
  <c r="DE90" i="7"/>
  <c r="DF90" i="7"/>
  <c r="DG90" i="7"/>
  <c r="DE92" i="7"/>
  <c r="DF92" i="7"/>
  <c r="DG92" i="7"/>
  <c r="DE93" i="7"/>
  <c r="DF93" i="7"/>
  <c r="DG93" i="7"/>
  <c r="DE94" i="7"/>
  <c r="DF94" i="7"/>
  <c r="DG94" i="7"/>
  <c r="DE95" i="7"/>
  <c r="DF95" i="7"/>
  <c r="DG95" i="7"/>
  <c r="DE96" i="7"/>
  <c r="DF96" i="7"/>
  <c r="DG96" i="7"/>
  <c r="DE97" i="7"/>
  <c r="DF97" i="7"/>
  <c r="DF98" i="7"/>
  <c r="DF99" i="7"/>
  <c r="DF100" i="7"/>
  <c r="DG100" i="7"/>
  <c r="DF101" i="7"/>
  <c r="DF102" i="7"/>
  <c r="DG102" i="7"/>
  <c r="DF103" i="7"/>
  <c r="DF104" i="7"/>
  <c r="DF105" i="7"/>
  <c r="DF106" i="7"/>
  <c r="DG106" i="7"/>
  <c r="DF107" i="7"/>
  <c r="DF108" i="7"/>
  <c r="DF109" i="7"/>
  <c r="DF110" i="7"/>
  <c r="DF111" i="7"/>
  <c r="DF112" i="7"/>
  <c r="DG112" i="7"/>
  <c r="DF113" i="7"/>
  <c r="DF114" i="7"/>
  <c r="DG114" i="7"/>
  <c r="DF115" i="7"/>
  <c r="DF116" i="7"/>
  <c r="DF117" i="7"/>
  <c r="DF118" i="7"/>
  <c r="DF119" i="7"/>
  <c r="DF120" i="7"/>
  <c r="DF121" i="7"/>
  <c r="DF122" i="7"/>
  <c r="DF123" i="7"/>
  <c r="DG123" i="7"/>
  <c r="DF124" i="7"/>
  <c r="DG124" i="7"/>
  <c r="DF126" i="7"/>
  <c r="DF127" i="7"/>
  <c r="DG127" i="7"/>
  <c r="DF128" i="7"/>
  <c r="DG128" i="7"/>
  <c r="DF129" i="7"/>
  <c r="DS78" i="7"/>
  <c r="DP78" i="7"/>
  <c r="DT78" i="7"/>
  <c r="DU78" i="7"/>
  <c r="DS79" i="7"/>
  <c r="DT79" i="7"/>
  <c r="DU79" i="7"/>
  <c r="DP79" i="7"/>
  <c r="DP80" i="7"/>
  <c r="DT80" i="7"/>
  <c r="DU80" i="7"/>
  <c r="DP81" i="7"/>
  <c r="DT81" i="7"/>
  <c r="DU81" i="7"/>
  <c r="DP82" i="7"/>
  <c r="DP83" i="7"/>
  <c r="DP84" i="7"/>
  <c r="DS87" i="7"/>
  <c r="DT87" i="7"/>
  <c r="DU87" i="7"/>
  <c r="DS88" i="7"/>
  <c r="DT88" i="7"/>
  <c r="DU88" i="7"/>
  <c r="DS89" i="7"/>
  <c r="DT89" i="7"/>
  <c r="DU89" i="7"/>
  <c r="DS90" i="7"/>
  <c r="DT90" i="7"/>
  <c r="DU90" i="7"/>
  <c r="DS92" i="7"/>
  <c r="DT92" i="7"/>
  <c r="DU92" i="7"/>
  <c r="DS93" i="7"/>
  <c r="DT93" i="7"/>
  <c r="DU93" i="7"/>
  <c r="DS94" i="7"/>
  <c r="DT94" i="7"/>
  <c r="DU94" i="7"/>
  <c r="DS95" i="7"/>
  <c r="DT95" i="7"/>
  <c r="DS96" i="7"/>
  <c r="DT96" i="7"/>
  <c r="DS97" i="7"/>
  <c r="DT97" i="7"/>
  <c r="DU97" i="7"/>
  <c r="DT98" i="7"/>
  <c r="DT99" i="7"/>
  <c r="DT100" i="7"/>
  <c r="DU100" i="7"/>
  <c r="DT101" i="7"/>
  <c r="DT102" i="7"/>
  <c r="DT103" i="7"/>
  <c r="DT104" i="7"/>
  <c r="DT105" i="7"/>
  <c r="DT106" i="7"/>
  <c r="DT107" i="7"/>
  <c r="DT108" i="7"/>
  <c r="DU108" i="7"/>
  <c r="DT109" i="7"/>
  <c r="DU109" i="7"/>
  <c r="DT110" i="7"/>
  <c r="DT111" i="7"/>
  <c r="DT112" i="7"/>
  <c r="DU112" i="7"/>
  <c r="DT113" i="7"/>
  <c r="DT114" i="7"/>
  <c r="DT115" i="7"/>
  <c r="DT116" i="7"/>
  <c r="DU116" i="7"/>
  <c r="DT117" i="7"/>
  <c r="DT118" i="7"/>
  <c r="DT119" i="7"/>
  <c r="DU119" i="7"/>
  <c r="DT120" i="7"/>
  <c r="DT121" i="7"/>
  <c r="DT122" i="7"/>
  <c r="DU122" i="7"/>
  <c r="DT123" i="7"/>
  <c r="DT124" i="7"/>
  <c r="DU124" i="7"/>
  <c r="DT126" i="7"/>
  <c r="DT127" i="7"/>
  <c r="DT128" i="7"/>
  <c r="DT129" i="7"/>
  <c r="ED78" i="7"/>
  <c r="ED79" i="7"/>
  <c r="ED80" i="7"/>
  <c r="ED81" i="7"/>
  <c r="ED82" i="7"/>
  <c r="ED83" i="7"/>
  <c r="ED84" i="7"/>
  <c r="EG87" i="7"/>
  <c r="EH87" i="7"/>
  <c r="EI87" i="7"/>
  <c r="EG88" i="7"/>
  <c r="EH88" i="7"/>
  <c r="EI88" i="7"/>
  <c r="EG89" i="7"/>
  <c r="EH89" i="7"/>
  <c r="EG90" i="7"/>
  <c r="EH90" i="7"/>
  <c r="EI90" i="7"/>
  <c r="EG92" i="7"/>
  <c r="EH92" i="7"/>
  <c r="EI92" i="7"/>
  <c r="EG93" i="7"/>
  <c r="EH93" i="7"/>
  <c r="EG94" i="7"/>
  <c r="EH94" i="7"/>
  <c r="EI94" i="7"/>
  <c r="EG95" i="7"/>
  <c r="EH95" i="7"/>
  <c r="EI95" i="7"/>
  <c r="EG96" i="7"/>
  <c r="EH96" i="7"/>
  <c r="EG97" i="7"/>
  <c r="EH97" i="7"/>
  <c r="EI97" i="7"/>
  <c r="EH98" i="7"/>
  <c r="EI98" i="7"/>
  <c r="EH99" i="7"/>
  <c r="EI99" i="7"/>
  <c r="EH100" i="7"/>
  <c r="EH101" i="7"/>
  <c r="EI101" i="7"/>
  <c r="EH102" i="7"/>
  <c r="EI102" i="7"/>
  <c r="EH103" i="7"/>
  <c r="EI103" i="7"/>
  <c r="EH104" i="7"/>
  <c r="EH105" i="7"/>
  <c r="EH106" i="7"/>
  <c r="EI106" i="7"/>
  <c r="EH107" i="7"/>
  <c r="EH108" i="7"/>
  <c r="EH109" i="7"/>
  <c r="EH110" i="7"/>
  <c r="EI110" i="7"/>
  <c r="EH111" i="7"/>
  <c r="EI111" i="7"/>
  <c r="EH112" i="7"/>
  <c r="EH113" i="7"/>
  <c r="EI113" i="7"/>
  <c r="EH114" i="7"/>
  <c r="EI114" i="7"/>
  <c r="EH115" i="7"/>
  <c r="EI115" i="7"/>
  <c r="EH116" i="7"/>
  <c r="EH117" i="7"/>
  <c r="EH118" i="7"/>
  <c r="EI118" i="7"/>
  <c r="EH119" i="7"/>
  <c r="EH120" i="7"/>
  <c r="EH121" i="7"/>
  <c r="EH122" i="7"/>
  <c r="EI122" i="7"/>
  <c r="EH123" i="7"/>
  <c r="EI123" i="7"/>
  <c r="EH124" i="7"/>
  <c r="EH126" i="7"/>
  <c r="EI126" i="7"/>
  <c r="EH127" i="7"/>
  <c r="EI127" i="7"/>
  <c r="EH128" i="7"/>
  <c r="EH129" i="7"/>
  <c r="ER78" i="7"/>
  <c r="EV78" i="7"/>
  <c r="ER79" i="7"/>
  <c r="ER80" i="7"/>
  <c r="ER81" i="7"/>
  <c r="ER82" i="7"/>
  <c r="ER83" i="7"/>
  <c r="ER84" i="7"/>
  <c r="EU87" i="7"/>
  <c r="EV87" i="7"/>
  <c r="EW87" i="7"/>
  <c r="EU88" i="7"/>
  <c r="EV88" i="7"/>
  <c r="EU89" i="7"/>
  <c r="EV89" i="7"/>
  <c r="EW89" i="7"/>
  <c r="EU90" i="7"/>
  <c r="EV90" i="7"/>
  <c r="EU92" i="7"/>
  <c r="EV92" i="7"/>
  <c r="EW92" i="7"/>
  <c r="EU93" i="7"/>
  <c r="EV93" i="7"/>
  <c r="EW93" i="7"/>
  <c r="EU94" i="7"/>
  <c r="EV94" i="7"/>
  <c r="EW94" i="7"/>
  <c r="EU95" i="7"/>
  <c r="EV95" i="7"/>
  <c r="EU96" i="7"/>
  <c r="EV96" i="7"/>
  <c r="EU97" i="7"/>
  <c r="EV97" i="7"/>
  <c r="EV98" i="7"/>
  <c r="EW98" i="7"/>
  <c r="EV99" i="7"/>
  <c r="EW99" i="7"/>
  <c r="EV100" i="7"/>
  <c r="EW100" i="7"/>
  <c r="EV101" i="7"/>
  <c r="EW101" i="7"/>
  <c r="EV102" i="7"/>
  <c r="EV103" i="7"/>
  <c r="EV104" i="7"/>
  <c r="EV105" i="7"/>
  <c r="EV106" i="7"/>
  <c r="EV107" i="7"/>
  <c r="EV108" i="7"/>
  <c r="EV109" i="7"/>
  <c r="EV110" i="7"/>
  <c r="EW110" i="7"/>
  <c r="EV111" i="7"/>
  <c r="EV112" i="7"/>
  <c r="EV113" i="7"/>
  <c r="EV114" i="7"/>
  <c r="EV115" i="7"/>
  <c r="EV116" i="7"/>
  <c r="EV117" i="7"/>
  <c r="EW117" i="7"/>
  <c r="EV118" i="7"/>
  <c r="EW118" i="7"/>
  <c r="EV119" i="7"/>
  <c r="EV120" i="7"/>
  <c r="EW120" i="7"/>
  <c r="EV121" i="7"/>
  <c r="EV122" i="7"/>
  <c r="EW122" i="7"/>
  <c r="EV123" i="7"/>
  <c r="EV124" i="7"/>
  <c r="EV126" i="7"/>
  <c r="EW126" i="7"/>
  <c r="EV127" i="7"/>
  <c r="EV128" i="7"/>
  <c r="EV129" i="7"/>
  <c r="FF78" i="7"/>
  <c r="FJ78" i="7"/>
  <c r="FK78" i="7"/>
  <c r="FF79" i="7"/>
  <c r="FF80" i="7"/>
  <c r="FF81" i="7"/>
  <c r="FF82" i="7"/>
  <c r="FF84" i="7"/>
  <c r="FI87" i="7"/>
  <c r="FJ87" i="7"/>
  <c r="FK87" i="7"/>
  <c r="FI88" i="7"/>
  <c r="FJ88" i="7"/>
  <c r="FK88" i="7"/>
  <c r="FI89" i="7"/>
  <c r="FJ89" i="7"/>
  <c r="FK89" i="7"/>
  <c r="FI90" i="7"/>
  <c r="FJ90" i="7"/>
  <c r="FK90" i="7"/>
  <c r="FI92" i="7"/>
  <c r="FJ92" i="7"/>
  <c r="FK92" i="7"/>
  <c r="FI93" i="7"/>
  <c r="FJ93" i="7"/>
  <c r="FK93" i="7"/>
  <c r="FI94" i="7"/>
  <c r="FJ94" i="7"/>
  <c r="FK94" i="7"/>
  <c r="FI95" i="7"/>
  <c r="FJ95" i="7"/>
  <c r="FK95" i="7"/>
  <c r="FI96" i="7"/>
  <c r="FJ96" i="7"/>
  <c r="FI97" i="7"/>
  <c r="FJ97" i="7"/>
  <c r="FJ98" i="7"/>
  <c r="FK98" i="7"/>
  <c r="FJ99" i="7"/>
  <c r="FJ100" i="7"/>
  <c r="FJ101" i="7"/>
  <c r="FK101" i="7"/>
  <c r="FJ102" i="7"/>
  <c r="FJ103" i="7"/>
  <c r="FJ104" i="7"/>
  <c r="FJ105" i="7"/>
  <c r="FJ106" i="7"/>
  <c r="FK106" i="7"/>
  <c r="FJ107" i="7"/>
  <c r="FJ108" i="7"/>
  <c r="FK108" i="7"/>
  <c r="FJ109" i="7"/>
  <c r="FJ110" i="7"/>
  <c r="FJ111" i="7"/>
  <c r="FJ112" i="7"/>
  <c r="FK112" i="7"/>
  <c r="FJ113" i="7"/>
  <c r="FJ114" i="7"/>
  <c r="FJ115" i="7"/>
  <c r="FJ116" i="7"/>
  <c r="FJ117" i="7"/>
  <c r="FJ118" i="7"/>
  <c r="FJ119" i="7"/>
  <c r="FJ120" i="7"/>
  <c r="FK120" i="7"/>
  <c r="FJ121" i="7"/>
  <c r="FK121" i="7"/>
  <c r="FJ122" i="7"/>
  <c r="FK122" i="7"/>
  <c r="FJ123" i="7"/>
  <c r="FK123" i="7"/>
  <c r="FJ124" i="7"/>
  <c r="FK124" i="7"/>
  <c r="FJ126" i="7"/>
  <c r="FJ127" i="7"/>
  <c r="FJ128" i="7"/>
  <c r="FJ129" i="7"/>
  <c r="FT78" i="7"/>
  <c r="FX78" i="7"/>
  <c r="FT79" i="7"/>
  <c r="FX79" i="7"/>
  <c r="FT80" i="7"/>
  <c r="FX80" i="7"/>
  <c r="FY80" i="7"/>
  <c r="FT81" i="7"/>
  <c r="FX81" i="7"/>
  <c r="FY81" i="7"/>
  <c r="FT82" i="7"/>
  <c r="FT84" i="7"/>
  <c r="FW87" i="7"/>
  <c r="FX87" i="7"/>
  <c r="FY87" i="7"/>
  <c r="FW88" i="7"/>
  <c r="FX88" i="7"/>
  <c r="FY88" i="7"/>
  <c r="FW89" i="7"/>
  <c r="FX89" i="7"/>
  <c r="FY89" i="7"/>
  <c r="FW90" i="7"/>
  <c r="FX90" i="7"/>
  <c r="FY90" i="7"/>
  <c r="FW92" i="7"/>
  <c r="FX92" i="7"/>
  <c r="FY92" i="7"/>
  <c r="FW93" i="7"/>
  <c r="FX93" i="7"/>
  <c r="FW94" i="7"/>
  <c r="FX94" i="7"/>
  <c r="FY94" i="7"/>
  <c r="FW95" i="7"/>
  <c r="FX95" i="7"/>
  <c r="FY95" i="7"/>
  <c r="FW96" i="7"/>
  <c r="FX96" i="7"/>
  <c r="FW97" i="7"/>
  <c r="FX97" i="7"/>
  <c r="FY97" i="7"/>
  <c r="FX98" i="7"/>
  <c r="FX99" i="7"/>
  <c r="FY99" i="7"/>
  <c r="FX100" i="7"/>
  <c r="FY100" i="7"/>
  <c r="FX101" i="7"/>
  <c r="FX102" i="7"/>
  <c r="FX103" i="7"/>
  <c r="FX104" i="7"/>
  <c r="FX105" i="7"/>
  <c r="FY105" i="7"/>
  <c r="FX106" i="7"/>
  <c r="FX107" i="7"/>
  <c r="FX108" i="7"/>
  <c r="FY108" i="7"/>
  <c r="FX109" i="7"/>
  <c r="FY109" i="7"/>
  <c r="FX110" i="7"/>
  <c r="FX111" i="7"/>
  <c r="FX112" i="7"/>
  <c r="FY112" i="7"/>
  <c r="FX113" i="7"/>
  <c r="FX114" i="7"/>
  <c r="FX115" i="7"/>
  <c r="FX116" i="7"/>
  <c r="FX117" i="7"/>
  <c r="FX118" i="7"/>
  <c r="FX119" i="7"/>
  <c r="FX120" i="7"/>
  <c r="FX121" i="7"/>
  <c r="FX122" i="7"/>
  <c r="FY122" i="7"/>
  <c r="FX123" i="7"/>
  <c r="FX124" i="7"/>
  <c r="FX126" i="7"/>
  <c r="FX127" i="7"/>
  <c r="FX128" i="7"/>
  <c r="FX129" i="7"/>
  <c r="GK88" i="7"/>
  <c r="GL88" i="7"/>
  <c r="GM88" i="7"/>
  <c r="GK89" i="7"/>
  <c r="GL89" i="7"/>
  <c r="GM89" i="7"/>
  <c r="GK90" i="7"/>
  <c r="GL90" i="7"/>
  <c r="GM90" i="7"/>
  <c r="GK92" i="7"/>
  <c r="GL92" i="7"/>
  <c r="GM92" i="7"/>
  <c r="GK93" i="7"/>
  <c r="GL93" i="7"/>
  <c r="GM93" i="7"/>
  <c r="GK94" i="7"/>
  <c r="GL94" i="7"/>
  <c r="GM94" i="7"/>
  <c r="GK95" i="7"/>
  <c r="GL95" i="7"/>
  <c r="GM95" i="7"/>
  <c r="GK96" i="7"/>
  <c r="GL96" i="7"/>
  <c r="GM96" i="7"/>
  <c r="GK97" i="7"/>
  <c r="GL97" i="7"/>
  <c r="GL98" i="7"/>
  <c r="GL99" i="7"/>
  <c r="GL100" i="7"/>
  <c r="GM100" i="7"/>
  <c r="GL101" i="7"/>
  <c r="GL102" i="7"/>
  <c r="GL103" i="7"/>
  <c r="GM103" i="7"/>
  <c r="GL104" i="7"/>
  <c r="GM104" i="7"/>
  <c r="GL105" i="7"/>
  <c r="GM105" i="7"/>
  <c r="GL106" i="7"/>
  <c r="GM106" i="7"/>
  <c r="GL107" i="7"/>
  <c r="GL108" i="7"/>
  <c r="GL109" i="7"/>
  <c r="GL110" i="7"/>
  <c r="GL111" i="7"/>
  <c r="GM111" i="7"/>
  <c r="GL112" i="7"/>
  <c r="GM112" i="7"/>
  <c r="GL113" i="7"/>
  <c r="GL114" i="7"/>
  <c r="GM114" i="7"/>
  <c r="GL115" i="7"/>
  <c r="GL116" i="7"/>
  <c r="GM116" i="7"/>
  <c r="GL117" i="7"/>
  <c r="GM117" i="7"/>
  <c r="GL118" i="7"/>
  <c r="GM118" i="7"/>
  <c r="GL119" i="7"/>
  <c r="GL120" i="7"/>
  <c r="GL121" i="7"/>
  <c r="GL122" i="7"/>
  <c r="GL123" i="7"/>
  <c r="GM123" i="7"/>
  <c r="GL124" i="7"/>
  <c r="GL126" i="7"/>
  <c r="GL127" i="7"/>
  <c r="GM127" i="7"/>
  <c r="GL128" i="7"/>
  <c r="GL129" i="7"/>
  <c r="GM129" i="7"/>
  <c r="BL81" i="7"/>
  <c r="BL82" i="7"/>
  <c r="BL83" i="7"/>
  <c r="BL84" i="7"/>
  <c r="BP84" i="7"/>
  <c r="BL85" i="7"/>
  <c r="BL86" i="7"/>
  <c r="BL87" i="7"/>
  <c r="BL88" i="7"/>
  <c r="BL89" i="7"/>
  <c r="BL90" i="7"/>
  <c r="BL91" i="7"/>
  <c r="BL92" i="7"/>
  <c r="BL93" i="7"/>
  <c r="BL94" i="7"/>
  <c r="BL95" i="7"/>
  <c r="BL96" i="7"/>
  <c r="BL97" i="7"/>
  <c r="BL98" i="7"/>
  <c r="BL99" i="7"/>
  <c r="BL100" i="7"/>
  <c r="BL101" i="7"/>
  <c r="BL102" i="7"/>
  <c r="BL103" i="7"/>
  <c r="BL104" i="7"/>
  <c r="BL105" i="7"/>
  <c r="BL106" i="7"/>
  <c r="BL107" i="7"/>
  <c r="BL108" i="7"/>
  <c r="BP117" i="7"/>
  <c r="BP118" i="7"/>
  <c r="BP119" i="7"/>
  <c r="BP120" i="7"/>
  <c r="BP121" i="7"/>
  <c r="BP122" i="7"/>
  <c r="BP123" i="7"/>
  <c r="BP124" i="7"/>
  <c r="BP125" i="7"/>
  <c r="BP126" i="7"/>
  <c r="BP127" i="7"/>
  <c r="BP128" i="7"/>
  <c r="BP129" i="7"/>
  <c r="CD121" i="7"/>
  <c r="CD122" i="7"/>
  <c r="CD125" i="7"/>
  <c r="CD126" i="7"/>
  <c r="CD129" i="7"/>
  <c r="HA78" i="7"/>
  <c r="HB78" i="7"/>
  <c r="GX78" i="7"/>
  <c r="GX79" i="7"/>
  <c r="GX80" i="7"/>
  <c r="GX81" i="7"/>
  <c r="GX82" i="7"/>
  <c r="GX83" i="7"/>
  <c r="GX84" i="7"/>
  <c r="HA87" i="7"/>
  <c r="HB87" i="7"/>
  <c r="HA88" i="7"/>
  <c r="HB88" i="7"/>
  <c r="HA89" i="7"/>
  <c r="HB89" i="7"/>
  <c r="HC89" i="7"/>
  <c r="HA90" i="7"/>
  <c r="HB90" i="7"/>
  <c r="HA92" i="7"/>
  <c r="HB92" i="7"/>
  <c r="HA93" i="7"/>
  <c r="HB93" i="7"/>
  <c r="HC93" i="7"/>
  <c r="HA94" i="7"/>
  <c r="HB94" i="7"/>
  <c r="HC94" i="7"/>
  <c r="HA95" i="7"/>
  <c r="HB95" i="7"/>
  <c r="HA96" i="7"/>
  <c r="HB96" i="7"/>
  <c r="HC96" i="7"/>
  <c r="HA97" i="7"/>
  <c r="HB97" i="7"/>
  <c r="HC97" i="7"/>
  <c r="HB98" i="7"/>
  <c r="HB99" i="7"/>
  <c r="HB100" i="7"/>
  <c r="HB101" i="7"/>
  <c r="HB102" i="7"/>
  <c r="HB103" i="7"/>
  <c r="HC103" i="7"/>
  <c r="HB104" i="7"/>
  <c r="HB105" i="7"/>
  <c r="HC105" i="7"/>
  <c r="HB106" i="7"/>
  <c r="HB107" i="7"/>
  <c r="HB108" i="7"/>
  <c r="HB109" i="7"/>
  <c r="HC109" i="7"/>
  <c r="HB110" i="7"/>
  <c r="HB111" i="7"/>
  <c r="HB112" i="7"/>
  <c r="HB113" i="7"/>
  <c r="HB114" i="7"/>
  <c r="HB115" i="7"/>
  <c r="HC115" i="7"/>
  <c r="HB116" i="7"/>
  <c r="HB117" i="7"/>
  <c r="HB118" i="7"/>
  <c r="HB119" i="7"/>
  <c r="HC119" i="7"/>
  <c r="HB120" i="7"/>
  <c r="HC120" i="7"/>
  <c r="HB121" i="7"/>
  <c r="HB122" i="7"/>
  <c r="HB123" i="7"/>
  <c r="HB124" i="7"/>
  <c r="HB126" i="7"/>
  <c r="HB127" i="7"/>
  <c r="HC127" i="7"/>
  <c r="HB128" i="7"/>
  <c r="HB129" i="7"/>
  <c r="AJ81" i="7"/>
  <c r="AM81" i="7"/>
  <c r="AN81" i="7"/>
  <c r="AJ82" i="7"/>
  <c r="AJ140" i="7"/>
  <c r="AM82" i="7"/>
  <c r="AJ83" i="7"/>
  <c r="AN83" i="7"/>
  <c r="AM83" i="7"/>
  <c r="AJ84" i="7"/>
  <c r="AM84" i="7"/>
  <c r="AJ85" i="7"/>
  <c r="AM85" i="7"/>
  <c r="AM89" i="7"/>
  <c r="AN85" i="7"/>
  <c r="AJ86" i="7"/>
  <c r="AN86" i="7"/>
  <c r="AJ87" i="7"/>
  <c r="AM87" i="7"/>
  <c r="AJ88" i="7"/>
  <c r="AN88" i="7"/>
  <c r="AO88" i="7"/>
  <c r="AJ89" i="7"/>
  <c r="AN89" i="7"/>
  <c r="AJ90" i="7"/>
  <c r="AM90" i="7"/>
  <c r="AN90" i="7"/>
  <c r="AO90" i="7"/>
  <c r="AJ91" i="7"/>
  <c r="AN91" i="7"/>
  <c r="AM91" i="7"/>
  <c r="AJ92" i="7"/>
  <c r="AN92" i="7"/>
  <c r="AO92" i="7"/>
  <c r="AJ93" i="7"/>
  <c r="AN93" i="7"/>
  <c r="AJ94" i="7"/>
  <c r="AM94" i="7"/>
  <c r="AM98" i="7"/>
  <c r="AM102" i="7"/>
  <c r="AM106" i="7"/>
  <c r="AN94" i="7"/>
  <c r="AJ95" i="7"/>
  <c r="AM95" i="7"/>
  <c r="AJ96" i="7"/>
  <c r="AJ97" i="7"/>
  <c r="AM97" i="7"/>
  <c r="AN97" i="7"/>
  <c r="AO97" i="7"/>
  <c r="AJ98" i="7"/>
  <c r="AN98" i="7"/>
  <c r="AJ99" i="7"/>
  <c r="AM99" i="7"/>
  <c r="AN99" i="7"/>
  <c r="AO99" i="7"/>
  <c r="AJ100" i="7"/>
  <c r="AJ101" i="7"/>
  <c r="AN101" i="7"/>
  <c r="AO101" i="7"/>
  <c r="AM101" i="7"/>
  <c r="AJ102" i="7"/>
  <c r="AJ103" i="7"/>
  <c r="AJ104" i="7"/>
  <c r="AJ105" i="7"/>
  <c r="AJ106" i="7"/>
  <c r="AN106" i="7"/>
  <c r="AJ107" i="7"/>
  <c r="AJ108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F146" i="7"/>
  <c r="CH78" i="7"/>
  <c r="CL78" i="7"/>
  <c r="CP78" i="7"/>
  <c r="CV78" i="7"/>
  <c r="CZ78" i="7"/>
  <c r="DD78" i="7"/>
  <c r="DJ78" i="7"/>
  <c r="DN78" i="7"/>
  <c r="DR78" i="7"/>
  <c r="DR79" i="7"/>
  <c r="DX78" i="7"/>
  <c r="EB78" i="7"/>
  <c r="EF78" i="7"/>
  <c r="EF79" i="7"/>
  <c r="EF80" i="7"/>
  <c r="EF81" i="7"/>
  <c r="EF82" i="7"/>
  <c r="EL78" i="7"/>
  <c r="EP78" i="7"/>
  <c r="ET78" i="7"/>
  <c r="EZ78" i="7"/>
  <c r="FD78" i="7"/>
  <c r="FH78" i="7"/>
  <c r="FN78" i="7"/>
  <c r="FR78" i="7"/>
  <c r="FY78" i="7"/>
  <c r="GB78" i="7"/>
  <c r="GP78" i="7"/>
  <c r="GT78" i="7"/>
  <c r="GV78" i="7"/>
  <c r="GZ78" i="7"/>
  <c r="HF78" i="7"/>
  <c r="HL78" i="7"/>
  <c r="HR78" i="7"/>
  <c r="CH79" i="7"/>
  <c r="CL79" i="7"/>
  <c r="CP79" i="7"/>
  <c r="CP80" i="7"/>
  <c r="CP81" i="7"/>
  <c r="CP82" i="7"/>
  <c r="CP83" i="7"/>
  <c r="CP84" i="7"/>
  <c r="CS79" i="7"/>
  <c r="CV79" i="7"/>
  <c r="CZ79" i="7"/>
  <c r="DD79" i="7"/>
  <c r="DJ79" i="7"/>
  <c r="DN79" i="7"/>
  <c r="DX79" i="7"/>
  <c r="EB79" i="7"/>
  <c r="EL79" i="7"/>
  <c r="EP79" i="7"/>
  <c r="ET79" i="7"/>
  <c r="EZ79" i="7"/>
  <c r="FD79" i="7"/>
  <c r="FH79" i="7"/>
  <c r="FN79" i="7"/>
  <c r="FR79" i="7"/>
  <c r="FY79" i="7"/>
  <c r="GB79" i="7"/>
  <c r="GP79" i="7"/>
  <c r="GT79" i="7"/>
  <c r="GV79" i="7"/>
  <c r="GZ79" i="7"/>
  <c r="HF79" i="7"/>
  <c r="HL79" i="7"/>
  <c r="HR79" i="7"/>
  <c r="CH80" i="7"/>
  <c r="CL80" i="7"/>
  <c r="CV80" i="7"/>
  <c r="CZ80" i="7"/>
  <c r="DD80" i="7"/>
  <c r="DJ80" i="7"/>
  <c r="DN80" i="7"/>
  <c r="DX80" i="7"/>
  <c r="EB80" i="7"/>
  <c r="EL80" i="7"/>
  <c r="EP80" i="7"/>
  <c r="ET80" i="7"/>
  <c r="ET81" i="7"/>
  <c r="ET82" i="7"/>
  <c r="EZ80" i="7"/>
  <c r="FD80" i="7"/>
  <c r="FH80" i="7"/>
  <c r="FH81" i="7"/>
  <c r="FN80" i="7"/>
  <c r="FR80" i="7"/>
  <c r="GB80" i="7"/>
  <c r="GP80" i="7"/>
  <c r="GT80" i="7"/>
  <c r="GV80" i="7"/>
  <c r="GZ80" i="7"/>
  <c r="GZ81" i="7"/>
  <c r="GZ82" i="7"/>
  <c r="GZ83" i="7"/>
  <c r="GZ84" i="7"/>
  <c r="HF80" i="7"/>
  <c r="HL80" i="7"/>
  <c r="HR80" i="7"/>
  <c r="F81" i="7"/>
  <c r="M81" i="7"/>
  <c r="P81" i="7"/>
  <c r="T81" i="7"/>
  <c r="AD81" i="7"/>
  <c r="AH81" i="7"/>
  <c r="AR81" i="7"/>
  <c r="AZ81" i="7"/>
  <c r="BC81" i="7"/>
  <c r="CH81" i="7"/>
  <c r="CL81" i="7"/>
  <c r="CV81" i="7"/>
  <c r="CZ81" i="7"/>
  <c r="DD81" i="7"/>
  <c r="DJ81" i="7"/>
  <c r="DN81" i="7"/>
  <c r="DX81" i="7"/>
  <c r="EB81" i="7"/>
  <c r="EL81" i="7"/>
  <c r="EP81" i="7"/>
  <c r="EZ81" i="7"/>
  <c r="FD81" i="7"/>
  <c r="FN81" i="7"/>
  <c r="FR81" i="7"/>
  <c r="GB81" i="7"/>
  <c r="BJ81" i="7"/>
  <c r="BT81" i="7"/>
  <c r="BX81" i="7"/>
  <c r="GP81" i="7"/>
  <c r="GT81" i="7"/>
  <c r="GV81" i="7"/>
  <c r="HF81" i="7"/>
  <c r="HL81" i="7"/>
  <c r="HR81" i="7"/>
  <c r="F82" i="7"/>
  <c r="M82" i="7"/>
  <c r="T82" i="7"/>
  <c r="AH82" i="7"/>
  <c r="AL82" i="7"/>
  <c r="AZ82" i="7"/>
  <c r="CH82" i="7"/>
  <c r="CL82" i="7"/>
  <c r="CV82" i="7"/>
  <c r="CZ82" i="7"/>
  <c r="DJ82" i="7"/>
  <c r="DN82" i="7"/>
  <c r="DX82" i="7"/>
  <c r="EB82" i="7"/>
  <c r="EL82" i="7"/>
  <c r="EP82" i="7"/>
  <c r="EZ82" i="7"/>
  <c r="FD82" i="7"/>
  <c r="FN82" i="7"/>
  <c r="FR82" i="7"/>
  <c r="GB82" i="7"/>
  <c r="BJ82" i="7"/>
  <c r="BX82" i="7"/>
  <c r="GP82" i="7"/>
  <c r="GT82" i="7"/>
  <c r="GV82" i="7"/>
  <c r="HF82" i="7"/>
  <c r="HL82" i="7"/>
  <c r="HR82" i="7"/>
  <c r="F83" i="7"/>
  <c r="T83" i="7"/>
  <c r="AH83" i="7"/>
  <c r="AL83" i="7"/>
  <c r="AV83" i="7"/>
  <c r="AZ83" i="7"/>
  <c r="CH83" i="7"/>
  <c r="CL83" i="7"/>
  <c r="CV83" i="7"/>
  <c r="CZ83" i="7"/>
  <c r="DD83" i="7"/>
  <c r="DJ83" i="7"/>
  <c r="DN83" i="7"/>
  <c r="DX83" i="7"/>
  <c r="EB83" i="7"/>
  <c r="EF83" i="7"/>
  <c r="EF84" i="7"/>
  <c r="EL83" i="7"/>
  <c r="EP83" i="7"/>
  <c r="ET83" i="7"/>
  <c r="ET84" i="7"/>
  <c r="EZ83" i="7"/>
  <c r="FD83" i="7"/>
  <c r="FN83" i="7"/>
  <c r="FR83" i="7"/>
  <c r="FV83" i="7"/>
  <c r="FV84" i="7"/>
  <c r="GB83" i="7"/>
  <c r="BJ83" i="7"/>
  <c r="BQ83" i="7"/>
  <c r="BX83" i="7"/>
  <c r="GP83" i="7"/>
  <c r="GT83" i="7"/>
  <c r="GV83" i="7"/>
  <c r="HF83" i="7"/>
  <c r="HL83" i="7"/>
  <c r="HR83" i="7"/>
  <c r="F84" i="7"/>
  <c r="J84" i="7"/>
  <c r="J88" i="7"/>
  <c r="J92" i="7"/>
  <c r="J96" i="7"/>
  <c r="J100" i="7"/>
  <c r="J104" i="7"/>
  <c r="T84" i="7"/>
  <c r="X84" i="7"/>
  <c r="X88" i="7"/>
  <c r="AA84" i="7"/>
  <c r="AH84" i="7"/>
  <c r="AL84" i="7"/>
  <c r="AV84" i="7"/>
  <c r="AZ84" i="7"/>
  <c r="CH84" i="7"/>
  <c r="CL84" i="7"/>
  <c r="CV84" i="7"/>
  <c r="CZ84" i="7"/>
  <c r="DJ84" i="7"/>
  <c r="DN84" i="7"/>
  <c r="DR84" i="7"/>
  <c r="DX84" i="7"/>
  <c r="EB84" i="7"/>
  <c r="EL84" i="7"/>
  <c r="EP84" i="7"/>
  <c r="EZ84" i="7"/>
  <c r="FD84" i="7"/>
  <c r="FH84" i="7"/>
  <c r="FN84" i="7"/>
  <c r="FR84" i="7"/>
  <c r="GB84" i="7"/>
  <c r="BJ84" i="7"/>
  <c r="BX84" i="7"/>
  <c r="GP84" i="7"/>
  <c r="GT84" i="7"/>
  <c r="GV84" i="7"/>
  <c r="HF84" i="7"/>
  <c r="HL84" i="7"/>
  <c r="HR84" i="7"/>
  <c r="F85" i="7"/>
  <c r="P85" i="7"/>
  <c r="T85" i="7"/>
  <c r="X85" i="7"/>
  <c r="AD85" i="7"/>
  <c r="AH85" i="7"/>
  <c r="AL85" i="7"/>
  <c r="AR85" i="7"/>
  <c r="AV85" i="7"/>
  <c r="AZ85" i="7"/>
  <c r="AZ89" i="7"/>
  <c r="AZ93" i="7"/>
  <c r="AZ97" i="7"/>
  <c r="AZ101" i="7"/>
  <c r="AZ105" i="7"/>
  <c r="BC85" i="7"/>
  <c r="CH85" i="7"/>
  <c r="BJ85" i="7"/>
  <c r="BT85" i="7"/>
  <c r="BX85" i="7"/>
  <c r="F86" i="7"/>
  <c r="T86" i="7"/>
  <c r="X86" i="7"/>
  <c r="AH86" i="7"/>
  <c r="AV86" i="7"/>
  <c r="AZ86" i="7"/>
  <c r="CH86" i="7"/>
  <c r="BJ86" i="7"/>
  <c r="BX86" i="7"/>
  <c r="F87" i="7"/>
  <c r="T87" i="7"/>
  <c r="X87" i="7"/>
  <c r="X91" i="7"/>
  <c r="X95" i="7"/>
  <c r="AA87" i="7"/>
  <c r="AH87" i="7"/>
  <c r="AL87" i="7"/>
  <c r="AV87" i="7"/>
  <c r="CH87" i="7"/>
  <c r="CL87" i="7"/>
  <c r="CN87" i="7"/>
  <c r="CP87" i="7"/>
  <c r="CV87" i="7"/>
  <c r="CZ87" i="7"/>
  <c r="DB87" i="7"/>
  <c r="DD87" i="7"/>
  <c r="DJ87" i="7"/>
  <c r="DN87" i="7"/>
  <c r="DP87" i="7"/>
  <c r="DR87" i="7"/>
  <c r="DX87" i="7"/>
  <c r="EB87" i="7"/>
  <c r="ED87" i="7"/>
  <c r="EF87" i="7"/>
  <c r="EL87" i="7"/>
  <c r="EP87" i="7"/>
  <c r="ER87" i="7"/>
  <c r="ET87" i="7"/>
  <c r="EZ87" i="7"/>
  <c r="FD87" i="7"/>
  <c r="FF87" i="7"/>
  <c r="FH87" i="7"/>
  <c r="FN87" i="7"/>
  <c r="FR87" i="7"/>
  <c r="FT87" i="7"/>
  <c r="FV87" i="7"/>
  <c r="GB87" i="7"/>
  <c r="BJ87" i="7"/>
  <c r="BX87" i="7"/>
  <c r="GP87" i="7"/>
  <c r="GT87" i="7"/>
  <c r="GV87" i="7"/>
  <c r="GX87" i="7"/>
  <c r="GZ87" i="7"/>
  <c r="HC87" i="7"/>
  <c r="HF87" i="7"/>
  <c r="HL87" i="7"/>
  <c r="HR87" i="7"/>
  <c r="F88" i="7"/>
  <c r="T88" i="7"/>
  <c r="AH88" i="7"/>
  <c r="AV88" i="7"/>
  <c r="BC88" i="7"/>
  <c r="CH88" i="7"/>
  <c r="CJ88" i="7"/>
  <c r="CL88" i="7"/>
  <c r="CN88" i="7"/>
  <c r="CP88" i="7"/>
  <c r="CV88" i="7"/>
  <c r="CX88" i="7"/>
  <c r="CZ88" i="7"/>
  <c r="DB88" i="7"/>
  <c r="DD88" i="7"/>
  <c r="DJ88" i="7"/>
  <c r="DL88" i="7"/>
  <c r="DN88" i="7"/>
  <c r="DP88" i="7"/>
  <c r="DR88" i="7"/>
  <c r="DX88" i="7"/>
  <c r="DZ88" i="7"/>
  <c r="EB88" i="7"/>
  <c r="ED88" i="7"/>
  <c r="EF88" i="7"/>
  <c r="EL88" i="7"/>
  <c r="EN88" i="7"/>
  <c r="EP88" i="7"/>
  <c r="ER88" i="7"/>
  <c r="ET88" i="7"/>
  <c r="EW88" i="7"/>
  <c r="EZ88" i="7"/>
  <c r="FB88" i="7"/>
  <c r="FD88" i="7"/>
  <c r="FF88" i="7"/>
  <c r="FH88" i="7"/>
  <c r="FN88" i="7"/>
  <c r="FP88" i="7"/>
  <c r="FR88" i="7"/>
  <c r="FT88" i="7"/>
  <c r="FV88" i="7"/>
  <c r="GB88" i="7"/>
  <c r="GD88" i="7"/>
  <c r="GF88" i="7"/>
  <c r="GH88" i="7"/>
  <c r="GJ88" i="7"/>
  <c r="BJ88" i="7"/>
  <c r="BX88" i="7"/>
  <c r="GP88" i="7"/>
  <c r="GR88" i="7"/>
  <c r="GT88" i="7"/>
  <c r="GV88" i="7"/>
  <c r="GX88" i="7"/>
  <c r="GZ88" i="7"/>
  <c r="HC88" i="7"/>
  <c r="HF88" i="7"/>
  <c r="HH88" i="7"/>
  <c r="HL88" i="7"/>
  <c r="HN88" i="7"/>
  <c r="HR88" i="7"/>
  <c r="HT88" i="7"/>
  <c r="F89" i="7"/>
  <c r="P89" i="7"/>
  <c r="T89" i="7"/>
  <c r="X89" i="7"/>
  <c r="X93" i="7"/>
  <c r="X97" i="7"/>
  <c r="X101" i="7"/>
  <c r="X105" i="7"/>
  <c r="AD89" i="7"/>
  <c r="AH89" i="7"/>
  <c r="AL89" i="7"/>
  <c r="AR89" i="7"/>
  <c r="AV89" i="7"/>
  <c r="CH89" i="7"/>
  <c r="CJ89" i="7"/>
  <c r="CL89" i="7"/>
  <c r="CN89" i="7"/>
  <c r="CP89" i="7"/>
  <c r="CS89" i="7"/>
  <c r="CV89" i="7"/>
  <c r="CX89" i="7"/>
  <c r="CZ89" i="7"/>
  <c r="DB89" i="7"/>
  <c r="DD89" i="7"/>
  <c r="DJ89" i="7"/>
  <c r="DL89" i="7"/>
  <c r="DN89" i="7"/>
  <c r="DP89" i="7"/>
  <c r="DR89" i="7"/>
  <c r="DX89" i="7"/>
  <c r="DZ89" i="7"/>
  <c r="EB89" i="7"/>
  <c r="ED89" i="7"/>
  <c r="EF89" i="7"/>
  <c r="EI89" i="7"/>
  <c r="EL89" i="7"/>
  <c r="EN89" i="7"/>
  <c r="EP89" i="7"/>
  <c r="ER89" i="7"/>
  <c r="ET89" i="7"/>
  <c r="EZ89" i="7"/>
  <c r="FB89" i="7"/>
  <c r="FD89" i="7"/>
  <c r="FF89" i="7"/>
  <c r="FH89" i="7"/>
  <c r="FN89" i="7"/>
  <c r="FP89" i="7"/>
  <c r="FR89" i="7"/>
  <c r="FT89" i="7"/>
  <c r="FV89" i="7"/>
  <c r="GB89" i="7"/>
  <c r="GD89" i="7"/>
  <c r="GF89" i="7"/>
  <c r="GH89" i="7"/>
  <c r="GJ89" i="7"/>
  <c r="BF89" i="7"/>
  <c r="BJ89" i="7"/>
  <c r="BT89" i="7"/>
  <c r="BX89" i="7"/>
  <c r="GP89" i="7"/>
  <c r="GR89" i="7"/>
  <c r="GT89" i="7"/>
  <c r="GV89" i="7"/>
  <c r="GX89" i="7"/>
  <c r="GZ89" i="7"/>
  <c r="HF89" i="7"/>
  <c r="HH89" i="7"/>
  <c r="HL89" i="7"/>
  <c r="HN89" i="7"/>
  <c r="HR89" i="7"/>
  <c r="HT89" i="7"/>
  <c r="F90" i="7"/>
  <c r="T90" i="7"/>
  <c r="X90" i="7"/>
  <c r="X94" i="7"/>
  <c r="X98" i="7"/>
  <c r="X102" i="7"/>
  <c r="X106" i="7"/>
  <c r="AH90" i="7"/>
  <c r="AV90" i="7"/>
  <c r="AZ90" i="7"/>
  <c r="CH90" i="7"/>
  <c r="CJ90" i="7"/>
  <c r="CL90" i="7"/>
  <c r="CN90" i="7"/>
  <c r="CP90" i="7"/>
  <c r="CV90" i="7"/>
  <c r="CX90" i="7"/>
  <c r="CZ90" i="7"/>
  <c r="DB90" i="7"/>
  <c r="DD90" i="7"/>
  <c r="DJ90" i="7"/>
  <c r="DL90" i="7"/>
  <c r="DN90" i="7"/>
  <c r="DP90" i="7"/>
  <c r="DR90" i="7"/>
  <c r="DX90" i="7"/>
  <c r="DZ90" i="7"/>
  <c r="EB90" i="7"/>
  <c r="ED90" i="7"/>
  <c r="EF90" i="7"/>
  <c r="EL90" i="7"/>
  <c r="EN90" i="7"/>
  <c r="EP90" i="7"/>
  <c r="ER90" i="7"/>
  <c r="ET90" i="7"/>
  <c r="EW90" i="7"/>
  <c r="EZ90" i="7"/>
  <c r="FB90" i="7"/>
  <c r="FD90" i="7"/>
  <c r="FF90" i="7"/>
  <c r="FH90" i="7"/>
  <c r="FN90" i="7"/>
  <c r="FP90" i="7"/>
  <c r="FR90" i="7"/>
  <c r="FT90" i="7"/>
  <c r="FV90" i="7"/>
  <c r="GB90" i="7"/>
  <c r="GD90" i="7"/>
  <c r="GF90" i="7"/>
  <c r="GH90" i="7"/>
  <c r="GJ90" i="7"/>
  <c r="BJ90" i="7"/>
  <c r="BX90" i="7"/>
  <c r="GP90" i="7"/>
  <c r="GR90" i="7"/>
  <c r="GT90" i="7"/>
  <c r="GV90" i="7"/>
  <c r="GX90" i="7"/>
  <c r="GZ90" i="7"/>
  <c r="HC90" i="7"/>
  <c r="HF90" i="7"/>
  <c r="HH90" i="7"/>
  <c r="HL90" i="7"/>
  <c r="HN90" i="7"/>
  <c r="HR90" i="7"/>
  <c r="HT90" i="7"/>
  <c r="F91" i="7"/>
  <c r="T91" i="7"/>
  <c r="AH91" i="7"/>
  <c r="AL91" i="7"/>
  <c r="AO91" i="7"/>
  <c r="AV91" i="7"/>
  <c r="AZ91" i="7"/>
  <c r="CP91" i="7"/>
  <c r="CS91" i="7"/>
  <c r="DD91" i="7"/>
  <c r="DG91" i="7"/>
  <c r="DR91" i="7"/>
  <c r="DU91" i="7"/>
  <c r="EF91" i="7"/>
  <c r="EI91" i="7"/>
  <c r="ET91" i="7"/>
  <c r="EW91" i="7"/>
  <c r="FH91" i="7"/>
  <c r="FK91" i="7"/>
  <c r="FV91" i="7"/>
  <c r="FY91" i="7"/>
  <c r="GJ91" i="7"/>
  <c r="GM91" i="7"/>
  <c r="BJ91" i="7"/>
  <c r="BX91" i="7"/>
  <c r="GZ91" i="7"/>
  <c r="HC91" i="7"/>
  <c r="F92" i="7"/>
  <c r="T92" i="7"/>
  <c r="AA92" i="7"/>
  <c r="AH92" i="7"/>
  <c r="AV92" i="7"/>
  <c r="AZ92" i="7"/>
  <c r="CJ92" i="7"/>
  <c r="CL92" i="7"/>
  <c r="CN92" i="7"/>
  <c r="CP92" i="7"/>
  <c r="CS92" i="7"/>
  <c r="CX92" i="7"/>
  <c r="CZ92" i="7"/>
  <c r="DB92" i="7"/>
  <c r="DD92" i="7"/>
  <c r="DL92" i="7"/>
  <c r="DN92" i="7"/>
  <c r="DP92" i="7"/>
  <c r="DR92" i="7"/>
  <c r="DZ92" i="7"/>
  <c r="EB92" i="7"/>
  <c r="ED92" i="7"/>
  <c r="EF92" i="7"/>
  <c r="EN92" i="7"/>
  <c r="EP92" i="7"/>
  <c r="ER92" i="7"/>
  <c r="ET92" i="7"/>
  <c r="FB92" i="7"/>
  <c r="FD92" i="7"/>
  <c r="FF92" i="7"/>
  <c r="FH92" i="7"/>
  <c r="FP92" i="7"/>
  <c r="FR92" i="7"/>
  <c r="FT92" i="7"/>
  <c r="FV92" i="7"/>
  <c r="GD92" i="7"/>
  <c r="GF92" i="7"/>
  <c r="GH92" i="7"/>
  <c r="GJ92" i="7"/>
  <c r="BJ92" i="7"/>
  <c r="BX92" i="7"/>
  <c r="GR92" i="7"/>
  <c r="GT92" i="7"/>
  <c r="GV92" i="7"/>
  <c r="GX92" i="7"/>
  <c r="GZ92" i="7"/>
  <c r="HC92" i="7"/>
  <c r="HH92" i="7"/>
  <c r="HN92" i="7"/>
  <c r="HT92" i="7"/>
  <c r="F93" i="7"/>
  <c r="T93" i="7"/>
  <c r="AD93" i="7"/>
  <c r="AH93" i="7"/>
  <c r="AR93" i="7"/>
  <c r="AV93" i="7"/>
  <c r="CJ93" i="7"/>
  <c r="CL93" i="7"/>
  <c r="CN93" i="7"/>
  <c r="CP93" i="7"/>
  <c r="CS93" i="7"/>
  <c r="CX93" i="7"/>
  <c r="CZ93" i="7"/>
  <c r="DB93" i="7"/>
  <c r="DD93" i="7"/>
  <c r="DL93" i="7"/>
  <c r="DN93" i="7"/>
  <c r="DP93" i="7"/>
  <c r="DR93" i="7"/>
  <c r="DZ93" i="7"/>
  <c r="EB93" i="7"/>
  <c r="ED93" i="7"/>
  <c r="EF93" i="7"/>
  <c r="EI93" i="7"/>
  <c r="EN93" i="7"/>
  <c r="EP93" i="7"/>
  <c r="ER93" i="7"/>
  <c r="ET93" i="7"/>
  <c r="FB93" i="7"/>
  <c r="FD93" i="7"/>
  <c r="FF93" i="7"/>
  <c r="FH93" i="7"/>
  <c r="FP93" i="7"/>
  <c r="FR93" i="7"/>
  <c r="FT93" i="7"/>
  <c r="FV93" i="7"/>
  <c r="FY93" i="7"/>
  <c r="GD93" i="7"/>
  <c r="GF93" i="7"/>
  <c r="GH93" i="7"/>
  <c r="GJ93" i="7"/>
  <c r="BF93" i="7"/>
  <c r="BJ93" i="7"/>
  <c r="BT93" i="7"/>
  <c r="BX93" i="7"/>
  <c r="GR93" i="7"/>
  <c r="GT93" i="7"/>
  <c r="GV93" i="7"/>
  <c r="GX93" i="7"/>
  <c r="GZ93" i="7"/>
  <c r="HH93" i="7"/>
  <c r="HN93" i="7"/>
  <c r="HT93" i="7"/>
  <c r="F94" i="7"/>
  <c r="T94" i="7"/>
  <c r="AH94" i="7"/>
  <c r="AO94" i="7"/>
  <c r="AV94" i="7"/>
  <c r="AZ94" i="7"/>
  <c r="CJ94" i="7"/>
  <c r="CL94" i="7"/>
  <c r="CN94" i="7"/>
  <c r="CP94" i="7"/>
  <c r="CX94" i="7"/>
  <c r="CZ94" i="7"/>
  <c r="DB94" i="7"/>
  <c r="DD94" i="7"/>
  <c r="DL94" i="7"/>
  <c r="DN94" i="7"/>
  <c r="DP94" i="7"/>
  <c r="DR94" i="7"/>
  <c r="DZ94" i="7"/>
  <c r="EB94" i="7"/>
  <c r="ED94" i="7"/>
  <c r="EF94" i="7"/>
  <c r="EN94" i="7"/>
  <c r="EP94" i="7"/>
  <c r="ER94" i="7"/>
  <c r="ET94" i="7"/>
  <c r="FB94" i="7"/>
  <c r="FD94" i="7"/>
  <c r="FF94" i="7"/>
  <c r="FH94" i="7"/>
  <c r="FP94" i="7"/>
  <c r="FR94" i="7"/>
  <c r="FT94" i="7"/>
  <c r="FV94" i="7"/>
  <c r="GD94" i="7"/>
  <c r="GF94" i="7"/>
  <c r="GH94" i="7"/>
  <c r="GJ94" i="7"/>
  <c r="BJ94" i="7"/>
  <c r="BX94" i="7"/>
  <c r="GR94" i="7"/>
  <c r="GT94" i="7"/>
  <c r="GV94" i="7"/>
  <c r="GX94" i="7"/>
  <c r="GZ94" i="7"/>
  <c r="HH94" i="7"/>
  <c r="HN94" i="7"/>
  <c r="HT94" i="7"/>
  <c r="F95" i="7"/>
  <c r="T95" i="7"/>
  <c r="AH95" i="7"/>
  <c r="AL95" i="7"/>
  <c r="AL99" i="7"/>
  <c r="AL103" i="7"/>
  <c r="AL107" i="7"/>
  <c r="AV95" i="7"/>
  <c r="AZ95" i="7"/>
  <c r="CH95" i="7"/>
  <c r="CJ95" i="7"/>
  <c r="CL95" i="7"/>
  <c r="CN95" i="7"/>
  <c r="CP95" i="7"/>
  <c r="CS95" i="7"/>
  <c r="CV95" i="7"/>
  <c r="CX95" i="7"/>
  <c r="CZ95" i="7"/>
  <c r="DB95" i="7"/>
  <c r="DD95" i="7"/>
  <c r="DJ95" i="7"/>
  <c r="DL95" i="7"/>
  <c r="DN95" i="7"/>
  <c r="DP95" i="7"/>
  <c r="DR95" i="7"/>
  <c r="DU95" i="7"/>
  <c r="DX95" i="7"/>
  <c r="DZ95" i="7"/>
  <c r="EB95" i="7"/>
  <c r="ED95" i="7"/>
  <c r="EF95" i="7"/>
  <c r="EL95" i="7"/>
  <c r="EN95" i="7"/>
  <c r="EP95" i="7"/>
  <c r="ER95" i="7"/>
  <c r="ET95" i="7"/>
  <c r="EW95" i="7"/>
  <c r="EZ95" i="7"/>
  <c r="FB95" i="7"/>
  <c r="FD95" i="7"/>
  <c r="FF95" i="7"/>
  <c r="FH95" i="7"/>
  <c r="FN95" i="7"/>
  <c r="FP95" i="7"/>
  <c r="FR95" i="7"/>
  <c r="FT95" i="7"/>
  <c r="FV95" i="7"/>
  <c r="GB95" i="7"/>
  <c r="GD95" i="7"/>
  <c r="GF95" i="7"/>
  <c r="GH95" i="7"/>
  <c r="GJ95" i="7"/>
  <c r="BJ95" i="7"/>
  <c r="BX95" i="7"/>
  <c r="GP95" i="7"/>
  <c r="GR95" i="7"/>
  <c r="GT95" i="7"/>
  <c r="GV95" i="7"/>
  <c r="GX95" i="7"/>
  <c r="GZ95" i="7"/>
  <c r="HC95" i="7"/>
  <c r="HF95" i="7"/>
  <c r="HH95" i="7"/>
  <c r="HL95" i="7"/>
  <c r="HN95" i="7"/>
  <c r="HR95" i="7"/>
  <c r="HT95" i="7"/>
  <c r="F96" i="7"/>
  <c r="T96" i="7"/>
  <c r="X96" i="7"/>
  <c r="AA96" i="7"/>
  <c r="AH96" i="7"/>
  <c r="AV96" i="7"/>
  <c r="CH96" i="7"/>
  <c r="CJ96" i="7"/>
  <c r="CL96" i="7"/>
  <c r="CN96" i="7"/>
  <c r="CP96" i="7"/>
  <c r="CS96" i="7"/>
  <c r="CV96" i="7"/>
  <c r="CX96" i="7"/>
  <c r="CZ96" i="7"/>
  <c r="DB96" i="7"/>
  <c r="DD96" i="7"/>
  <c r="DJ96" i="7"/>
  <c r="DL96" i="7"/>
  <c r="DN96" i="7"/>
  <c r="DP96" i="7"/>
  <c r="DR96" i="7"/>
  <c r="DU96" i="7"/>
  <c r="DX96" i="7"/>
  <c r="DZ96" i="7"/>
  <c r="EB96" i="7"/>
  <c r="ED96" i="7"/>
  <c r="EF96" i="7"/>
  <c r="EI96" i="7"/>
  <c r="EL96" i="7"/>
  <c r="EN96" i="7"/>
  <c r="EP96" i="7"/>
  <c r="ER96" i="7"/>
  <c r="ET96" i="7"/>
  <c r="EW96" i="7"/>
  <c r="EZ96" i="7"/>
  <c r="FB96" i="7"/>
  <c r="FD96" i="7"/>
  <c r="FF96" i="7"/>
  <c r="FH96" i="7"/>
  <c r="FK96" i="7"/>
  <c r="FN96" i="7"/>
  <c r="FP96" i="7"/>
  <c r="FR96" i="7"/>
  <c r="FT96" i="7"/>
  <c r="FV96" i="7"/>
  <c r="FY96" i="7"/>
  <c r="GB96" i="7"/>
  <c r="GD96" i="7"/>
  <c r="GF96" i="7"/>
  <c r="GH96" i="7"/>
  <c r="GJ96" i="7"/>
  <c r="BJ96" i="7"/>
  <c r="BX96" i="7"/>
  <c r="GP96" i="7"/>
  <c r="GR96" i="7"/>
  <c r="GT96" i="7"/>
  <c r="GV96" i="7"/>
  <c r="GX96" i="7"/>
  <c r="GZ96" i="7"/>
  <c r="HF96" i="7"/>
  <c r="HH96" i="7"/>
  <c r="HL96" i="7"/>
  <c r="HN96" i="7"/>
  <c r="HR96" i="7"/>
  <c r="HT96" i="7"/>
  <c r="F97" i="7"/>
  <c r="P97" i="7"/>
  <c r="T97" i="7"/>
  <c r="AD97" i="7"/>
  <c r="AH97" i="7"/>
  <c r="AL97" i="7"/>
  <c r="AL101" i="7"/>
  <c r="AR97" i="7"/>
  <c r="AV97" i="7"/>
  <c r="CJ97" i="7"/>
  <c r="CL97" i="7"/>
  <c r="CN97" i="7"/>
  <c r="CX97" i="7"/>
  <c r="CZ97" i="7"/>
  <c r="DB97" i="7"/>
  <c r="DG97" i="7"/>
  <c r="DL97" i="7"/>
  <c r="DN97" i="7"/>
  <c r="DP97" i="7"/>
  <c r="DZ97" i="7"/>
  <c r="EB97" i="7"/>
  <c r="ED97" i="7"/>
  <c r="EN97" i="7"/>
  <c r="EP97" i="7"/>
  <c r="ER97" i="7"/>
  <c r="EW97" i="7"/>
  <c r="FB97" i="7"/>
  <c r="FD97" i="7"/>
  <c r="FF97" i="7"/>
  <c r="FK97" i="7"/>
  <c r="FP97" i="7"/>
  <c r="FR97" i="7"/>
  <c r="FT97" i="7"/>
  <c r="GD97" i="7"/>
  <c r="GF97" i="7"/>
  <c r="GH97" i="7"/>
  <c r="GM97" i="7"/>
  <c r="BF97" i="7"/>
  <c r="BJ97" i="7"/>
  <c r="BT97" i="7"/>
  <c r="BX97" i="7"/>
  <c r="GR97" i="7"/>
  <c r="GT97" i="7"/>
  <c r="GV97" i="7"/>
  <c r="GX97" i="7"/>
  <c r="GZ97" i="7"/>
  <c r="HH97" i="7"/>
  <c r="HN97" i="7"/>
  <c r="HT97" i="7"/>
  <c r="F98" i="7"/>
  <c r="T98" i="7"/>
  <c r="AH98" i="7"/>
  <c r="AV98" i="7"/>
  <c r="AZ98" i="7"/>
  <c r="AZ102" i="7"/>
  <c r="CJ98" i="7"/>
  <c r="CL98" i="7"/>
  <c r="CN98" i="7"/>
  <c r="CS98" i="7"/>
  <c r="CX98" i="7"/>
  <c r="CZ98" i="7"/>
  <c r="DB98" i="7"/>
  <c r="DG98" i="7"/>
  <c r="DL98" i="7"/>
  <c r="DN98" i="7"/>
  <c r="DP98" i="7"/>
  <c r="DU98" i="7"/>
  <c r="DZ98" i="7"/>
  <c r="EB98" i="7"/>
  <c r="ED98" i="7"/>
  <c r="EN98" i="7"/>
  <c r="EP98" i="7"/>
  <c r="ER98" i="7"/>
  <c r="FB98" i="7"/>
  <c r="FD98" i="7"/>
  <c r="FF98" i="7"/>
  <c r="FP98" i="7"/>
  <c r="FR98" i="7"/>
  <c r="FT98" i="7"/>
  <c r="FY98" i="7"/>
  <c r="GD98" i="7"/>
  <c r="GF98" i="7"/>
  <c r="GH98" i="7"/>
  <c r="GM98" i="7"/>
  <c r="BJ98" i="7"/>
  <c r="BX98" i="7"/>
  <c r="GR98" i="7"/>
  <c r="GT98" i="7"/>
  <c r="GV98" i="7"/>
  <c r="GX98" i="7"/>
  <c r="GZ98" i="7"/>
  <c r="HC98" i="7"/>
  <c r="HH98" i="7"/>
  <c r="HN98" i="7"/>
  <c r="HT98" i="7"/>
  <c r="F99" i="7"/>
  <c r="T99" i="7"/>
  <c r="AA99" i="7"/>
  <c r="AH99" i="7"/>
  <c r="AV99" i="7"/>
  <c r="AZ99" i="7"/>
  <c r="AZ103" i="7"/>
  <c r="AZ107" i="7"/>
  <c r="CJ99" i="7"/>
  <c r="CL99" i="7"/>
  <c r="CN99" i="7"/>
  <c r="CS99" i="7"/>
  <c r="CX99" i="7"/>
  <c r="CZ99" i="7"/>
  <c r="DB99" i="7"/>
  <c r="DG99" i="7"/>
  <c r="DL99" i="7"/>
  <c r="DN99" i="7"/>
  <c r="DP99" i="7"/>
  <c r="DU99" i="7"/>
  <c r="DZ99" i="7"/>
  <c r="EB99" i="7"/>
  <c r="ED99" i="7"/>
  <c r="EN99" i="7"/>
  <c r="EP99" i="7"/>
  <c r="ER99" i="7"/>
  <c r="FB99" i="7"/>
  <c r="FD99" i="7"/>
  <c r="FF99" i="7"/>
  <c r="FK99" i="7"/>
  <c r="FP99" i="7"/>
  <c r="FR99" i="7"/>
  <c r="FT99" i="7"/>
  <c r="GD99" i="7"/>
  <c r="GF99" i="7"/>
  <c r="GH99" i="7"/>
  <c r="GM99" i="7"/>
  <c r="BJ99" i="7"/>
  <c r="BX99" i="7"/>
  <c r="GR99" i="7"/>
  <c r="GT99" i="7"/>
  <c r="GV99" i="7"/>
  <c r="GX99" i="7"/>
  <c r="GZ99" i="7"/>
  <c r="HC99" i="7"/>
  <c r="HH99" i="7"/>
  <c r="HN99" i="7"/>
  <c r="HT99" i="7"/>
  <c r="F100" i="7"/>
  <c r="T100" i="7"/>
  <c r="X100" i="7"/>
  <c r="X104" i="7"/>
  <c r="X108" i="7"/>
  <c r="AH100" i="7"/>
  <c r="AV100" i="7"/>
  <c r="CJ100" i="7"/>
  <c r="CN100" i="7"/>
  <c r="CS100" i="7"/>
  <c r="CX100" i="7"/>
  <c r="DB100" i="7"/>
  <c r="DL100" i="7"/>
  <c r="DP100" i="7"/>
  <c r="DZ100" i="7"/>
  <c r="ED100" i="7"/>
  <c r="EI100" i="7"/>
  <c r="EN100" i="7"/>
  <c r="ER100" i="7"/>
  <c r="FB100" i="7"/>
  <c r="FF100" i="7"/>
  <c r="FK100" i="7"/>
  <c r="FP100" i="7"/>
  <c r="FT100" i="7"/>
  <c r="GD100" i="7"/>
  <c r="GH100" i="7"/>
  <c r="BJ100" i="7"/>
  <c r="BX100" i="7"/>
  <c r="GR100" i="7"/>
  <c r="GT100" i="7"/>
  <c r="GX100" i="7"/>
  <c r="GZ100" i="7"/>
  <c r="HC100" i="7"/>
  <c r="HH100" i="7"/>
  <c r="HN100" i="7"/>
  <c r="HT100" i="7"/>
  <c r="F101" i="7"/>
  <c r="P101" i="7"/>
  <c r="T101" i="7"/>
  <c r="AD101" i="7"/>
  <c r="AH101" i="7"/>
  <c r="AR101" i="7"/>
  <c r="AV101" i="7"/>
  <c r="CJ101" i="7"/>
  <c r="CL101" i="7"/>
  <c r="CN101" i="7"/>
  <c r="CS101" i="7"/>
  <c r="CX101" i="7"/>
  <c r="CZ101" i="7"/>
  <c r="DB101" i="7"/>
  <c r="DG101" i="7"/>
  <c r="DL101" i="7"/>
  <c r="DN101" i="7"/>
  <c r="DP101" i="7"/>
  <c r="DU101" i="7"/>
  <c r="DZ101" i="7"/>
  <c r="EB101" i="7"/>
  <c r="ED101" i="7"/>
  <c r="EN101" i="7"/>
  <c r="EP101" i="7"/>
  <c r="ER101" i="7"/>
  <c r="FB101" i="7"/>
  <c r="FD101" i="7"/>
  <c r="FF101" i="7"/>
  <c r="FP101" i="7"/>
  <c r="FR101" i="7"/>
  <c r="FT101" i="7"/>
  <c r="FY101" i="7"/>
  <c r="GD101" i="7"/>
  <c r="GF101" i="7"/>
  <c r="GH101" i="7"/>
  <c r="GM101" i="7"/>
  <c r="BF101" i="7"/>
  <c r="BJ101" i="7"/>
  <c r="BT101" i="7"/>
  <c r="BX101" i="7"/>
  <c r="GR101" i="7"/>
  <c r="GT101" i="7"/>
  <c r="GV101" i="7"/>
  <c r="GX101" i="7"/>
  <c r="HC101" i="7"/>
  <c r="HH101" i="7"/>
  <c r="HN101" i="7"/>
  <c r="HT101" i="7"/>
  <c r="F102" i="7"/>
  <c r="T102" i="7"/>
  <c r="AH102" i="7"/>
  <c r="AV102" i="7"/>
  <c r="CJ102" i="7"/>
  <c r="CL102" i="7"/>
  <c r="CN102" i="7"/>
  <c r="CS102" i="7"/>
  <c r="CX102" i="7"/>
  <c r="CZ102" i="7"/>
  <c r="DB102" i="7"/>
  <c r="DL102" i="7"/>
  <c r="DN102" i="7"/>
  <c r="DP102" i="7"/>
  <c r="DU102" i="7"/>
  <c r="DZ102" i="7"/>
  <c r="EB102" i="7"/>
  <c r="ED102" i="7"/>
  <c r="EN102" i="7"/>
  <c r="EP102" i="7"/>
  <c r="ER102" i="7"/>
  <c r="EW102" i="7"/>
  <c r="FB102" i="7"/>
  <c r="FD102" i="7"/>
  <c r="FF102" i="7"/>
  <c r="FK102" i="7"/>
  <c r="FP102" i="7"/>
  <c r="FR102" i="7"/>
  <c r="FT102" i="7"/>
  <c r="FY102" i="7"/>
  <c r="GD102" i="7"/>
  <c r="GF102" i="7"/>
  <c r="GH102" i="7"/>
  <c r="GM102" i="7"/>
  <c r="BJ102" i="7"/>
  <c r="BX102" i="7"/>
  <c r="GR102" i="7"/>
  <c r="GT102" i="7"/>
  <c r="GV102" i="7"/>
  <c r="GX102" i="7"/>
  <c r="HC102" i="7"/>
  <c r="HH102" i="7"/>
  <c r="HN102" i="7"/>
  <c r="HT102" i="7"/>
  <c r="F103" i="7"/>
  <c r="T103" i="7"/>
  <c r="AA103" i="7"/>
  <c r="AH103" i="7"/>
  <c r="AV103" i="7"/>
  <c r="CJ103" i="7"/>
  <c r="CN103" i="7"/>
  <c r="CS103" i="7"/>
  <c r="CX103" i="7"/>
  <c r="DB103" i="7"/>
  <c r="DG103" i="7"/>
  <c r="DL103" i="7"/>
  <c r="DP103" i="7"/>
  <c r="DU103" i="7"/>
  <c r="DZ103" i="7"/>
  <c r="ED103" i="7"/>
  <c r="EN103" i="7"/>
  <c r="ER103" i="7"/>
  <c r="EW103" i="7"/>
  <c r="FB103" i="7"/>
  <c r="FF103" i="7"/>
  <c r="FK103" i="7"/>
  <c r="FP103" i="7"/>
  <c r="FT103" i="7"/>
  <c r="FY103" i="7"/>
  <c r="GD103" i="7"/>
  <c r="GH103" i="7"/>
  <c r="BJ103" i="7"/>
  <c r="BX103" i="7"/>
  <c r="GR103" i="7"/>
  <c r="GT103" i="7"/>
  <c r="GX103" i="7"/>
  <c r="HH103" i="7"/>
  <c r="HN103" i="7"/>
  <c r="HT103" i="7"/>
  <c r="F104" i="7"/>
  <c r="T104" i="7"/>
  <c r="AH104" i="7"/>
  <c r="AV104" i="7"/>
  <c r="AZ104" i="7"/>
  <c r="CJ104" i="7"/>
  <c r="CN104" i="7"/>
  <c r="CX104" i="7"/>
  <c r="DB104" i="7"/>
  <c r="DG104" i="7"/>
  <c r="DL104" i="7"/>
  <c r="DP104" i="7"/>
  <c r="DU104" i="7"/>
  <c r="DZ104" i="7"/>
  <c r="ED104" i="7"/>
  <c r="EI104" i="7"/>
  <c r="EN104" i="7"/>
  <c r="ER104" i="7"/>
  <c r="EW104" i="7"/>
  <c r="FB104" i="7"/>
  <c r="FF104" i="7"/>
  <c r="FK104" i="7"/>
  <c r="FP104" i="7"/>
  <c r="FT104" i="7"/>
  <c r="FY104" i="7"/>
  <c r="GD104" i="7"/>
  <c r="GH104" i="7"/>
  <c r="BJ104" i="7"/>
  <c r="BX104" i="7"/>
  <c r="GR104" i="7"/>
  <c r="GT104" i="7"/>
  <c r="GX104" i="7"/>
  <c r="HC104" i="7"/>
  <c r="HH104" i="7"/>
  <c r="HN104" i="7"/>
  <c r="HT104" i="7"/>
  <c r="F105" i="7"/>
  <c r="P105" i="7"/>
  <c r="T105" i="7"/>
  <c r="AD105" i="7"/>
  <c r="AH105" i="7"/>
  <c r="AL105" i="7"/>
  <c r="AM105" i="7"/>
  <c r="AR105" i="7"/>
  <c r="AV105" i="7"/>
  <c r="CJ105" i="7"/>
  <c r="CN105" i="7"/>
  <c r="CS105" i="7"/>
  <c r="CX105" i="7"/>
  <c r="DB105" i="7"/>
  <c r="DG105" i="7"/>
  <c r="DL105" i="7"/>
  <c r="DP105" i="7"/>
  <c r="DU105" i="7"/>
  <c r="DZ105" i="7"/>
  <c r="ED105" i="7"/>
  <c r="EI105" i="7"/>
  <c r="EN105" i="7"/>
  <c r="ER105" i="7"/>
  <c r="EW105" i="7"/>
  <c r="FB105" i="7"/>
  <c r="FF105" i="7"/>
  <c r="FK105" i="7"/>
  <c r="FP105" i="7"/>
  <c r="FT105" i="7"/>
  <c r="GD105" i="7"/>
  <c r="GH105" i="7"/>
  <c r="BF105" i="7"/>
  <c r="BJ105" i="7"/>
  <c r="BT105" i="7"/>
  <c r="BX105" i="7"/>
  <c r="GR105" i="7"/>
  <c r="GT105" i="7"/>
  <c r="GX105" i="7"/>
  <c r="HH105" i="7"/>
  <c r="HN105" i="7"/>
  <c r="HT105" i="7"/>
  <c r="F106" i="7"/>
  <c r="T106" i="7"/>
  <c r="AH106" i="7"/>
  <c r="AO106" i="7"/>
  <c r="AV106" i="7"/>
  <c r="CJ106" i="7"/>
  <c r="CN106" i="7"/>
  <c r="CS106" i="7"/>
  <c r="CX106" i="7"/>
  <c r="DB106" i="7"/>
  <c r="DL106" i="7"/>
  <c r="DP106" i="7"/>
  <c r="DU106" i="7"/>
  <c r="DZ106" i="7"/>
  <c r="ED106" i="7"/>
  <c r="EN106" i="7"/>
  <c r="ER106" i="7"/>
  <c r="EW106" i="7"/>
  <c r="FB106" i="7"/>
  <c r="FF106" i="7"/>
  <c r="FP106" i="7"/>
  <c r="FT106" i="7"/>
  <c r="FY106" i="7"/>
  <c r="GD106" i="7"/>
  <c r="GH106" i="7"/>
  <c r="BJ106" i="7"/>
  <c r="BX106" i="7"/>
  <c r="GR106" i="7"/>
  <c r="GX106" i="7"/>
  <c r="HC106" i="7"/>
  <c r="HH106" i="7"/>
  <c r="HN106" i="7"/>
  <c r="HT106" i="7"/>
  <c r="F107" i="7"/>
  <c r="T107" i="7"/>
  <c r="AA107" i="7"/>
  <c r="AH107" i="7"/>
  <c r="AV107" i="7"/>
  <c r="CJ107" i="7"/>
  <c r="CN107" i="7"/>
  <c r="CS107" i="7"/>
  <c r="CX107" i="7"/>
  <c r="DB107" i="7"/>
  <c r="DG107" i="7"/>
  <c r="DL107" i="7"/>
  <c r="DP107" i="7"/>
  <c r="DU107" i="7"/>
  <c r="DZ107" i="7"/>
  <c r="ED107" i="7"/>
  <c r="EI107" i="7"/>
  <c r="EN107" i="7"/>
  <c r="ER107" i="7"/>
  <c r="EW107" i="7"/>
  <c r="FB107" i="7"/>
  <c r="FF107" i="7"/>
  <c r="FK107" i="7"/>
  <c r="FP107" i="7"/>
  <c r="FT107" i="7"/>
  <c r="FY107" i="7"/>
  <c r="GD107" i="7"/>
  <c r="GH107" i="7"/>
  <c r="GM107" i="7"/>
  <c r="BJ107" i="7"/>
  <c r="BX107" i="7"/>
  <c r="GR107" i="7"/>
  <c r="GX107" i="7"/>
  <c r="HC107" i="7"/>
  <c r="HH107" i="7"/>
  <c r="HN107" i="7"/>
  <c r="HT107" i="7"/>
  <c r="F108" i="7"/>
  <c r="T108" i="7"/>
  <c r="AH108" i="7"/>
  <c r="AV108" i="7"/>
  <c r="AZ108" i="7"/>
  <c r="CJ108" i="7"/>
  <c r="CN108" i="7"/>
  <c r="CS108" i="7"/>
  <c r="CX108" i="7"/>
  <c r="DB108" i="7"/>
  <c r="DG108" i="7"/>
  <c r="DL108" i="7"/>
  <c r="DP108" i="7"/>
  <c r="DZ108" i="7"/>
  <c r="ED108" i="7"/>
  <c r="EI108" i="7"/>
  <c r="EN108" i="7"/>
  <c r="ER108" i="7"/>
  <c r="EW108" i="7"/>
  <c r="FB108" i="7"/>
  <c r="FF108" i="7"/>
  <c r="FP108" i="7"/>
  <c r="FT108" i="7"/>
  <c r="GD108" i="7"/>
  <c r="GH108" i="7"/>
  <c r="GM108" i="7"/>
  <c r="BJ108" i="7"/>
  <c r="BX108" i="7"/>
  <c r="GR108" i="7"/>
  <c r="GX108" i="7"/>
  <c r="HC108" i="7"/>
  <c r="HH108" i="7"/>
  <c r="HN108" i="7"/>
  <c r="HT108" i="7"/>
  <c r="CJ109" i="7"/>
  <c r="CN109" i="7"/>
  <c r="CS109" i="7"/>
  <c r="CX109" i="7"/>
  <c r="DB109" i="7"/>
  <c r="DG109" i="7"/>
  <c r="DL109" i="7"/>
  <c r="DP109" i="7"/>
  <c r="DZ109" i="7"/>
  <c r="ED109" i="7"/>
  <c r="EI109" i="7"/>
  <c r="EN109" i="7"/>
  <c r="ER109" i="7"/>
  <c r="EW109" i="7"/>
  <c r="FB109" i="7"/>
  <c r="FF109" i="7"/>
  <c r="FK109" i="7"/>
  <c r="FP109" i="7"/>
  <c r="FT109" i="7"/>
  <c r="GD109" i="7"/>
  <c r="GH109" i="7"/>
  <c r="GM109" i="7"/>
  <c r="GR109" i="7"/>
  <c r="GX109" i="7"/>
  <c r="HH109" i="7"/>
  <c r="HN109" i="7"/>
  <c r="HT109" i="7"/>
  <c r="CJ110" i="7"/>
  <c r="CN110" i="7"/>
  <c r="CS110" i="7"/>
  <c r="CX110" i="7"/>
  <c r="DB110" i="7"/>
  <c r="DG110" i="7"/>
  <c r="DL110" i="7"/>
  <c r="DP110" i="7"/>
  <c r="DU110" i="7"/>
  <c r="DZ110" i="7"/>
  <c r="ED110" i="7"/>
  <c r="EN110" i="7"/>
  <c r="ER110" i="7"/>
  <c r="FB110" i="7"/>
  <c r="FF110" i="7"/>
  <c r="FK110" i="7"/>
  <c r="FP110" i="7"/>
  <c r="FT110" i="7"/>
  <c r="FY110" i="7"/>
  <c r="GD110" i="7"/>
  <c r="GH110" i="7"/>
  <c r="GM110" i="7"/>
  <c r="GR110" i="7"/>
  <c r="GX110" i="7"/>
  <c r="HC110" i="7"/>
  <c r="HH110" i="7"/>
  <c r="HN110" i="7"/>
  <c r="HT110" i="7"/>
  <c r="CJ111" i="7"/>
  <c r="CN111" i="7"/>
  <c r="CS111" i="7"/>
  <c r="CX111" i="7"/>
  <c r="DB111" i="7"/>
  <c r="DG111" i="7"/>
  <c r="DL111" i="7"/>
  <c r="DP111" i="7"/>
  <c r="DU111" i="7"/>
  <c r="DZ111" i="7"/>
  <c r="ED111" i="7"/>
  <c r="EN111" i="7"/>
  <c r="ER111" i="7"/>
  <c r="EW111" i="7"/>
  <c r="FB111" i="7"/>
  <c r="FF111" i="7"/>
  <c r="FK111" i="7"/>
  <c r="FP111" i="7"/>
  <c r="FT111" i="7"/>
  <c r="FY111" i="7"/>
  <c r="GD111" i="7"/>
  <c r="GH111" i="7"/>
  <c r="GR111" i="7"/>
  <c r="GX111" i="7"/>
  <c r="HC111" i="7"/>
  <c r="HH111" i="7"/>
  <c r="HN111" i="7"/>
  <c r="HT111" i="7"/>
  <c r="CJ112" i="7"/>
  <c r="CN112" i="7"/>
  <c r="CS112" i="7"/>
  <c r="CX112" i="7"/>
  <c r="DB112" i="7"/>
  <c r="DL112" i="7"/>
  <c r="DP112" i="7"/>
  <c r="DZ112" i="7"/>
  <c r="ED112" i="7"/>
  <c r="EI112" i="7"/>
  <c r="EN112" i="7"/>
  <c r="ER112" i="7"/>
  <c r="EW112" i="7"/>
  <c r="FB112" i="7"/>
  <c r="FF112" i="7"/>
  <c r="FP112" i="7"/>
  <c r="FT112" i="7"/>
  <c r="GD112" i="7"/>
  <c r="GH112" i="7"/>
  <c r="GR112" i="7"/>
  <c r="GX112" i="7"/>
  <c r="HC112" i="7"/>
  <c r="HH112" i="7"/>
  <c r="HN112" i="7"/>
  <c r="HT112" i="7"/>
  <c r="CJ113" i="7"/>
  <c r="CN113" i="7"/>
  <c r="CS113" i="7"/>
  <c r="CX113" i="7"/>
  <c r="DB113" i="7"/>
  <c r="DG113" i="7"/>
  <c r="DL113" i="7"/>
  <c r="DP113" i="7"/>
  <c r="DU113" i="7"/>
  <c r="DZ113" i="7"/>
  <c r="ED113" i="7"/>
  <c r="EN113" i="7"/>
  <c r="ER113" i="7"/>
  <c r="EW113" i="7"/>
  <c r="FB113" i="7"/>
  <c r="FF113" i="7"/>
  <c r="FK113" i="7"/>
  <c r="FP113" i="7"/>
  <c r="FT113" i="7"/>
  <c r="FY113" i="7"/>
  <c r="GD113" i="7"/>
  <c r="GH113" i="7"/>
  <c r="GM113" i="7"/>
  <c r="GR113" i="7"/>
  <c r="GX113" i="7"/>
  <c r="HC113" i="7"/>
  <c r="HH113" i="7"/>
  <c r="HN113" i="7"/>
  <c r="HT113" i="7"/>
  <c r="CJ114" i="7"/>
  <c r="CN114" i="7"/>
  <c r="CS114" i="7"/>
  <c r="CX114" i="7"/>
  <c r="DB114" i="7"/>
  <c r="DL114" i="7"/>
  <c r="DP114" i="7"/>
  <c r="DU114" i="7"/>
  <c r="DZ114" i="7"/>
  <c r="ED114" i="7"/>
  <c r="EN114" i="7"/>
  <c r="ER114" i="7"/>
  <c r="EW114" i="7"/>
  <c r="FB114" i="7"/>
  <c r="FF114" i="7"/>
  <c r="FK114" i="7"/>
  <c r="FP114" i="7"/>
  <c r="FT114" i="7"/>
  <c r="FY114" i="7"/>
  <c r="GD114" i="7"/>
  <c r="GH114" i="7"/>
  <c r="GR114" i="7"/>
  <c r="GX114" i="7"/>
  <c r="HC114" i="7"/>
  <c r="HH114" i="7"/>
  <c r="HN114" i="7"/>
  <c r="HT114" i="7"/>
  <c r="CN115" i="7"/>
  <c r="CS115" i="7"/>
  <c r="CX115" i="7"/>
  <c r="DB115" i="7"/>
  <c r="DG115" i="7"/>
  <c r="DP115" i="7"/>
  <c r="DU115" i="7"/>
  <c r="ED115" i="7"/>
  <c r="ER115" i="7"/>
  <c r="EW115" i="7"/>
  <c r="FF115" i="7"/>
  <c r="FK115" i="7"/>
  <c r="FT115" i="7"/>
  <c r="FY115" i="7"/>
  <c r="GH115" i="7"/>
  <c r="GM115" i="7"/>
  <c r="GX115" i="7"/>
  <c r="CJ116" i="7"/>
  <c r="CN116" i="7"/>
  <c r="CS116" i="7"/>
  <c r="CX116" i="7"/>
  <c r="DB116" i="7"/>
  <c r="DG116" i="7"/>
  <c r="DL116" i="7"/>
  <c r="DP116" i="7"/>
  <c r="DZ116" i="7"/>
  <c r="ED116" i="7"/>
  <c r="EI116" i="7"/>
  <c r="EN116" i="7"/>
  <c r="ER116" i="7"/>
  <c r="EW116" i="7"/>
  <c r="FB116" i="7"/>
  <c r="FF116" i="7"/>
  <c r="FK116" i="7"/>
  <c r="FP116" i="7"/>
  <c r="FT116" i="7"/>
  <c r="FY116" i="7"/>
  <c r="GD116" i="7"/>
  <c r="GH116" i="7"/>
  <c r="GR116" i="7"/>
  <c r="GX116" i="7"/>
  <c r="HC116" i="7"/>
  <c r="HH116" i="7"/>
  <c r="HN116" i="7"/>
  <c r="HT116" i="7"/>
  <c r="F117" i="7"/>
  <c r="H117" i="7"/>
  <c r="J117" i="7"/>
  <c r="K117" i="7"/>
  <c r="M117" i="7"/>
  <c r="P117" i="7"/>
  <c r="T117" i="7"/>
  <c r="V117" i="7"/>
  <c r="AA117" i="7"/>
  <c r="X117" i="7"/>
  <c r="AD117" i="7"/>
  <c r="AH117" i="7"/>
  <c r="AJ117" i="7"/>
  <c r="AL117" i="7"/>
  <c r="AO117" i="7"/>
  <c r="AR117" i="7"/>
  <c r="AV117" i="7"/>
  <c r="AX117" i="7"/>
  <c r="BC117" i="7"/>
  <c r="AZ117" i="7"/>
  <c r="BA117" i="7"/>
  <c r="CJ117" i="7"/>
  <c r="CN117" i="7"/>
  <c r="CX117" i="7"/>
  <c r="DB117" i="7"/>
  <c r="DG117" i="7"/>
  <c r="DL117" i="7"/>
  <c r="DP117" i="7"/>
  <c r="DU117" i="7"/>
  <c r="DZ117" i="7"/>
  <c r="ED117" i="7"/>
  <c r="EI117" i="7"/>
  <c r="EN117" i="7"/>
  <c r="ER117" i="7"/>
  <c r="FB117" i="7"/>
  <c r="FF117" i="7"/>
  <c r="FK117" i="7"/>
  <c r="FP117" i="7"/>
  <c r="FT117" i="7"/>
  <c r="FY117" i="7"/>
  <c r="GD117" i="7"/>
  <c r="GH117" i="7"/>
  <c r="BJ117" i="7"/>
  <c r="BX117" i="7"/>
  <c r="GR117" i="7"/>
  <c r="GX117" i="7"/>
  <c r="HC117" i="7"/>
  <c r="HH117" i="7"/>
  <c r="HN117" i="7"/>
  <c r="HT117" i="7"/>
  <c r="F118" i="7"/>
  <c r="H118" i="7"/>
  <c r="M118" i="7"/>
  <c r="J118" i="7"/>
  <c r="T118" i="7"/>
  <c r="V118" i="7"/>
  <c r="X118" i="7"/>
  <c r="AA118" i="7"/>
  <c r="AH118" i="7"/>
  <c r="AJ118" i="7"/>
  <c r="AO118" i="7"/>
  <c r="AL118" i="7"/>
  <c r="AM118" i="7"/>
  <c r="AV118" i="7"/>
  <c r="AX118" i="7"/>
  <c r="BC118" i="7"/>
  <c r="AZ118" i="7"/>
  <c r="CJ118" i="7"/>
  <c r="CN118" i="7"/>
  <c r="CX118" i="7"/>
  <c r="DB118" i="7"/>
  <c r="DG118" i="7"/>
  <c r="DL118" i="7"/>
  <c r="DP118" i="7"/>
  <c r="DU118" i="7"/>
  <c r="DZ118" i="7"/>
  <c r="ED118" i="7"/>
  <c r="EN118" i="7"/>
  <c r="ER118" i="7"/>
  <c r="FB118" i="7"/>
  <c r="FF118" i="7"/>
  <c r="FK118" i="7"/>
  <c r="FP118" i="7"/>
  <c r="FT118" i="7"/>
  <c r="FY118" i="7"/>
  <c r="GD118" i="7"/>
  <c r="GH118" i="7"/>
  <c r="BJ118" i="7"/>
  <c r="BX118" i="7"/>
  <c r="GR118" i="7"/>
  <c r="GX118" i="7"/>
  <c r="HC118" i="7"/>
  <c r="HH118" i="7"/>
  <c r="HN118" i="7"/>
  <c r="HT118" i="7"/>
  <c r="F119" i="7"/>
  <c r="H119" i="7"/>
  <c r="J119" i="7"/>
  <c r="M119" i="7"/>
  <c r="T119" i="7"/>
  <c r="V119" i="7"/>
  <c r="AA119" i="7"/>
  <c r="X119" i="7"/>
  <c r="AH119" i="7"/>
  <c r="AJ119" i="7"/>
  <c r="AO119" i="7"/>
  <c r="AL119" i="7"/>
  <c r="AM119" i="7"/>
  <c r="AV119" i="7"/>
  <c r="AX119" i="7"/>
  <c r="AX141" i="7"/>
  <c r="AW141" i="7"/>
  <c r="AZ119" i="7"/>
  <c r="BC119" i="7"/>
  <c r="CN119" i="7"/>
  <c r="CS119" i="7"/>
  <c r="CX119" i="7"/>
  <c r="DB119" i="7"/>
  <c r="DG119" i="7"/>
  <c r="DP119" i="7"/>
  <c r="ED119" i="7"/>
  <c r="EI119" i="7"/>
  <c r="ER119" i="7"/>
  <c r="EW119" i="7"/>
  <c r="FF119" i="7"/>
  <c r="FK119" i="7"/>
  <c r="FT119" i="7"/>
  <c r="FY119" i="7"/>
  <c r="GH119" i="7"/>
  <c r="GM119" i="7"/>
  <c r="BJ119" i="7"/>
  <c r="BX119" i="7"/>
  <c r="GX119" i="7"/>
  <c r="F120" i="7"/>
  <c r="H120" i="7"/>
  <c r="H142" i="7"/>
  <c r="J120" i="7"/>
  <c r="K120" i="7"/>
  <c r="M120" i="7"/>
  <c r="T120" i="7"/>
  <c r="V120" i="7"/>
  <c r="AA120" i="7"/>
  <c r="X120" i="7"/>
  <c r="AH120" i="7"/>
  <c r="AJ120" i="7"/>
  <c r="AO120" i="7"/>
  <c r="AL120" i="7"/>
  <c r="AM120" i="7"/>
  <c r="AV120" i="7"/>
  <c r="AX120" i="7"/>
  <c r="AZ120" i="7"/>
  <c r="BC120" i="7"/>
  <c r="CJ120" i="7"/>
  <c r="CN120" i="7"/>
  <c r="CX120" i="7"/>
  <c r="DB120" i="7"/>
  <c r="DG120" i="7"/>
  <c r="DL120" i="7"/>
  <c r="DP120" i="7"/>
  <c r="DU120" i="7"/>
  <c r="DZ120" i="7"/>
  <c r="ED120" i="7"/>
  <c r="EI120" i="7"/>
  <c r="EN120" i="7"/>
  <c r="ER120" i="7"/>
  <c r="FB120" i="7"/>
  <c r="FF120" i="7"/>
  <c r="FP120" i="7"/>
  <c r="FT120" i="7"/>
  <c r="FY120" i="7"/>
  <c r="GD120" i="7"/>
  <c r="GH120" i="7"/>
  <c r="GM120" i="7"/>
  <c r="BJ120" i="7"/>
  <c r="BX120" i="7"/>
  <c r="GR120" i="7"/>
  <c r="GX120" i="7"/>
  <c r="HH120" i="7"/>
  <c r="HN120" i="7"/>
  <c r="HT120" i="7"/>
  <c r="F121" i="7"/>
  <c r="H121" i="7"/>
  <c r="M121" i="7"/>
  <c r="J121" i="7"/>
  <c r="K121" i="7"/>
  <c r="P121" i="7"/>
  <c r="T121" i="7"/>
  <c r="V121" i="7"/>
  <c r="AA121" i="7"/>
  <c r="X121" i="7"/>
  <c r="AD121" i="7"/>
  <c r="AH121" i="7"/>
  <c r="AJ121" i="7"/>
  <c r="AO121" i="7"/>
  <c r="AL121" i="7"/>
  <c r="AM121" i="7"/>
  <c r="AR121" i="7"/>
  <c r="AV121" i="7"/>
  <c r="AX121" i="7"/>
  <c r="AZ121" i="7"/>
  <c r="BA121" i="7"/>
  <c r="BC121" i="7"/>
  <c r="CJ121" i="7"/>
  <c r="CN121" i="7"/>
  <c r="CS121" i="7"/>
  <c r="CX121" i="7"/>
  <c r="DB121" i="7"/>
  <c r="DG121" i="7"/>
  <c r="DL121" i="7"/>
  <c r="DP121" i="7"/>
  <c r="DU121" i="7"/>
  <c r="DZ121" i="7"/>
  <c r="ED121" i="7"/>
  <c r="EI121" i="7"/>
  <c r="EN121" i="7"/>
  <c r="ER121" i="7"/>
  <c r="EW121" i="7"/>
  <c r="FB121" i="7"/>
  <c r="FF121" i="7"/>
  <c r="FP121" i="7"/>
  <c r="FT121" i="7"/>
  <c r="FY121" i="7"/>
  <c r="GD121" i="7"/>
  <c r="GH121" i="7"/>
  <c r="GM121" i="7"/>
  <c r="BF121" i="7"/>
  <c r="BJ121" i="7"/>
  <c r="BL121" i="7"/>
  <c r="BQ121" i="7"/>
  <c r="BN121" i="7"/>
  <c r="BO121" i="7"/>
  <c r="BT121" i="7"/>
  <c r="BX121" i="7"/>
  <c r="BZ121" i="7"/>
  <c r="CE121" i="7"/>
  <c r="CB121" i="7"/>
  <c r="CC121" i="7"/>
  <c r="GR121" i="7"/>
  <c r="GX121" i="7"/>
  <c r="HC121" i="7"/>
  <c r="HH121" i="7"/>
  <c r="HN121" i="7"/>
  <c r="HT121" i="7"/>
  <c r="F122" i="7"/>
  <c r="H122" i="7"/>
  <c r="J122" i="7"/>
  <c r="K122" i="7"/>
  <c r="M122" i="7"/>
  <c r="T122" i="7"/>
  <c r="V122" i="7"/>
  <c r="AA122" i="7"/>
  <c r="X122" i="7"/>
  <c r="Y122" i="7"/>
  <c r="AH122" i="7"/>
  <c r="AJ122" i="7"/>
  <c r="AL122" i="7"/>
  <c r="AM122" i="7"/>
  <c r="AO122" i="7"/>
  <c r="AV122" i="7"/>
  <c r="AX122" i="7"/>
  <c r="AZ122" i="7"/>
  <c r="BA122" i="7"/>
  <c r="BC122" i="7"/>
  <c r="CJ122" i="7"/>
  <c r="CN122" i="7"/>
  <c r="CS122" i="7"/>
  <c r="CX122" i="7"/>
  <c r="DB122" i="7"/>
  <c r="DG122" i="7"/>
  <c r="DL122" i="7"/>
  <c r="DP122" i="7"/>
  <c r="DZ122" i="7"/>
  <c r="ED122" i="7"/>
  <c r="EN122" i="7"/>
  <c r="ER122" i="7"/>
  <c r="FB122" i="7"/>
  <c r="FF122" i="7"/>
  <c r="FP122" i="7"/>
  <c r="FT122" i="7"/>
  <c r="GD122" i="7"/>
  <c r="GH122" i="7"/>
  <c r="GM122" i="7"/>
  <c r="BJ122" i="7"/>
  <c r="BL122" i="7"/>
  <c r="BQ122" i="7"/>
  <c r="BN122" i="7"/>
  <c r="BO122" i="7"/>
  <c r="BX122" i="7"/>
  <c r="BZ122" i="7"/>
  <c r="CE122" i="7"/>
  <c r="CB122" i="7"/>
  <c r="CC122" i="7"/>
  <c r="GR122" i="7"/>
  <c r="GX122" i="7"/>
  <c r="HC122" i="7"/>
  <c r="HH122" i="7"/>
  <c r="HN122" i="7"/>
  <c r="HT122" i="7"/>
  <c r="F123" i="7"/>
  <c r="H123" i="7"/>
  <c r="J123" i="7"/>
  <c r="K123" i="7"/>
  <c r="M123" i="7"/>
  <c r="T123" i="7"/>
  <c r="V123" i="7"/>
  <c r="AA123" i="7"/>
  <c r="X123" i="7"/>
  <c r="Y123" i="7"/>
  <c r="AH123" i="7"/>
  <c r="AJ123" i="7"/>
  <c r="AL123" i="7"/>
  <c r="AO123" i="7"/>
  <c r="AV123" i="7"/>
  <c r="AX123" i="7"/>
  <c r="AZ123" i="7"/>
  <c r="BA123" i="7"/>
  <c r="BC123" i="7"/>
  <c r="CN123" i="7"/>
  <c r="CS123" i="7"/>
  <c r="CX123" i="7"/>
  <c r="DB123" i="7"/>
  <c r="DP123" i="7"/>
  <c r="DU123" i="7"/>
  <c r="ED123" i="7"/>
  <c r="ER123" i="7"/>
  <c r="EW123" i="7"/>
  <c r="FF123" i="7"/>
  <c r="FT123" i="7"/>
  <c r="FY123" i="7"/>
  <c r="GH123" i="7"/>
  <c r="BH123" i="7"/>
  <c r="BJ123" i="7"/>
  <c r="BL123" i="7"/>
  <c r="BN123" i="7"/>
  <c r="BO123" i="7"/>
  <c r="BV123" i="7"/>
  <c r="BV141" i="7"/>
  <c r="BX123" i="7"/>
  <c r="GX123" i="7"/>
  <c r="HC123" i="7"/>
  <c r="F124" i="7"/>
  <c r="H124" i="7"/>
  <c r="J124" i="7"/>
  <c r="K124" i="7"/>
  <c r="M124" i="7"/>
  <c r="T124" i="7"/>
  <c r="V124" i="7"/>
  <c r="AA124" i="7"/>
  <c r="X124" i="7"/>
  <c r="Y124" i="7"/>
  <c r="AH124" i="7"/>
  <c r="AJ124" i="7"/>
  <c r="AO124" i="7"/>
  <c r="AL124" i="7"/>
  <c r="AV124" i="7"/>
  <c r="AX124" i="7"/>
  <c r="AZ124" i="7"/>
  <c r="BA124" i="7"/>
  <c r="BC124" i="7"/>
  <c r="CJ124" i="7"/>
  <c r="CN124" i="7"/>
  <c r="CS124" i="7"/>
  <c r="CX124" i="7"/>
  <c r="DB124" i="7"/>
  <c r="DL124" i="7"/>
  <c r="DP124" i="7"/>
  <c r="DZ124" i="7"/>
  <c r="ED124" i="7"/>
  <c r="EI124" i="7"/>
  <c r="EN124" i="7"/>
  <c r="ER124" i="7"/>
  <c r="EW124" i="7"/>
  <c r="FB124" i="7"/>
  <c r="FF124" i="7"/>
  <c r="FP124" i="7"/>
  <c r="FT124" i="7"/>
  <c r="FY124" i="7"/>
  <c r="GD124" i="7"/>
  <c r="GH124" i="7"/>
  <c r="GM124" i="7"/>
  <c r="BH124" i="7"/>
  <c r="BJ124" i="7"/>
  <c r="BL124" i="7"/>
  <c r="BQ124" i="7"/>
  <c r="BN124" i="7"/>
  <c r="BO124" i="7"/>
  <c r="BV124" i="7"/>
  <c r="BX124" i="7"/>
  <c r="GR124" i="7"/>
  <c r="GX124" i="7"/>
  <c r="HC124" i="7"/>
  <c r="HH124" i="7"/>
  <c r="HN124" i="7"/>
  <c r="HT124" i="7"/>
  <c r="F125" i="7"/>
  <c r="H125" i="7"/>
  <c r="M125" i="7"/>
  <c r="J125" i="7"/>
  <c r="K125" i="7"/>
  <c r="P125" i="7"/>
  <c r="T125" i="7"/>
  <c r="V125" i="7"/>
  <c r="X125" i="7"/>
  <c r="Y125" i="7"/>
  <c r="AA125" i="7"/>
  <c r="AD125" i="7"/>
  <c r="AH125" i="7"/>
  <c r="AJ125" i="7"/>
  <c r="AO125" i="7"/>
  <c r="AL125" i="7"/>
  <c r="AR125" i="7"/>
  <c r="AV125" i="7"/>
  <c r="AX125" i="7"/>
  <c r="AZ125" i="7"/>
  <c r="BA125" i="7"/>
  <c r="BC125" i="7"/>
  <c r="BJ125" i="7"/>
  <c r="BL125" i="7"/>
  <c r="BQ125" i="7"/>
  <c r="BN125" i="7"/>
  <c r="BO125" i="7"/>
  <c r="BX125" i="7"/>
  <c r="BZ125" i="7"/>
  <c r="CE125" i="7"/>
  <c r="CB125" i="7"/>
  <c r="CC125" i="7"/>
  <c r="F126" i="7"/>
  <c r="H126" i="7"/>
  <c r="M126" i="7"/>
  <c r="J126" i="7"/>
  <c r="K126" i="7"/>
  <c r="T126" i="7"/>
  <c r="V126" i="7"/>
  <c r="X126" i="7"/>
  <c r="Y126" i="7"/>
  <c r="AA126" i="7"/>
  <c r="AH126" i="7"/>
  <c r="AJ126" i="7"/>
  <c r="AL126" i="7"/>
  <c r="AM126" i="7"/>
  <c r="AO126" i="7"/>
  <c r="AV126" i="7"/>
  <c r="AX126" i="7"/>
  <c r="BC126" i="7"/>
  <c r="AZ126" i="7"/>
  <c r="BA126" i="7"/>
  <c r="CJ126" i="7"/>
  <c r="CN126" i="7"/>
  <c r="CS126" i="7"/>
  <c r="CX126" i="7"/>
  <c r="DB126" i="7"/>
  <c r="DG126" i="7"/>
  <c r="DL126" i="7"/>
  <c r="DP126" i="7"/>
  <c r="DU126" i="7"/>
  <c r="DZ126" i="7"/>
  <c r="ED126" i="7"/>
  <c r="EN126" i="7"/>
  <c r="ER126" i="7"/>
  <c r="FB126" i="7"/>
  <c r="FF126" i="7"/>
  <c r="FK126" i="7"/>
  <c r="FP126" i="7"/>
  <c r="FT126" i="7"/>
  <c r="FY126" i="7"/>
  <c r="GD126" i="7"/>
  <c r="GH126" i="7"/>
  <c r="GM126" i="7"/>
  <c r="BJ126" i="7"/>
  <c r="BL126" i="7"/>
  <c r="BQ126" i="7"/>
  <c r="BN126" i="7"/>
  <c r="BO126" i="7"/>
  <c r="BX126" i="7"/>
  <c r="BZ126" i="7"/>
  <c r="CE126" i="7"/>
  <c r="CB126" i="7"/>
  <c r="CC126" i="7"/>
  <c r="GR126" i="7"/>
  <c r="GX126" i="7"/>
  <c r="HC126" i="7"/>
  <c r="HH126" i="7"/>
  <c r="HN126" i="7"/>
  <c r="HT126" i="7"/>
  <c r="F127" i="7"/>
  <c r="H127" i="7"/>
  <c r="M127" i="7"/>
  <c r="J127" i="7"/>
  <c r="K127" i="7"/>
  <c r="T127" i="7"/>
  <c r="V127" i="7"/>
  <c r="X127" i="7"/>
  <c r="Y127" i="7"/>
  <c r="AA127" i="7"/>
  <c r="AH127" i="7"/>
  <c r="AJ127" i="7"/>
  <c r="AO127" i="7"/>
  <c r="AL127" i="7"/>
  <c r="AM127" i="7"/>
  <c r="AV127" i="7"/>
  <c r="AX127" i="7"/>
  <c r="BC127" i="7"/>
  <c r="AZ127" i="7"/>
  <c r="CJ127" i="7"/>
  <c r="CN127" i="7"/>
  <c r="CS127" i="7"/>
  <c r="CX127" i="7"/>
  <c r="DB127" i="7"/>
  <c r="DL127" i="7"/>
  <c r="DP127" i="7"/>
  <c r="DU127" i="7"/>
  <c r="DZ127" i="7"/>
  <c r="ED127" i="7"/>
  <c r="EN127" i="7"/>
  <c r="ER127" i="7"/>
  <c r="EW127" i="7"/>
  <c r="FB127" i="7"/>
  <c r="FF127" i="7"/>
  <c r="FK127" i="7"/>
  <c r="FP127" i="7"/>
  <c r="FT127" i="7"/>
  <c r="FY127" i="7"/>
  <c r="GD127" i="7"/>
  <c r="GH127" i="7"/>
  <c r="BH127" i="7"/>
  <c r="BJ127" i="7"/>
  <c r="BL127" i="7"/>
  <c r="BN127" i="7"/>
  <c r="BO127" i="7"/>
  <c r="BQ127" i="7"/>
  <c r="BV127" i="7"/>
  <c r="BX127" i="7"/>
  <c r="GR127" i="7"/>
  <c r="GX127" i="7"/>
  <c r="HH127" i="7"/>
  <c r="HN127" i="7"/>
  <c r="HT127" i="7"/>
  <c r="F128" i="7"/>
  <c r="J128" i="7"/>
  <c r="K128" i="7"/>
  <c r="M128" i="7"/>
  <c r="T128" i="7"/>
  <c r="V128" i="7"/>
  <c r="AA128" i="7"/>
  <c r="X128" i="7"/>
  <c r="Y128" i="7"/>
  <c r="AH128" i="7"/>
  <c r="AJ128" i="7"/>
  <c r="AO128" i="7"/>
  <c r="AL128" i="7"/>
  <c r="AM128" i="7"/>
  <c r="AV128" i="7"/>
  <c r="AX128" i="7"/>
  <c r="BC128" i="7"/>
  <c r="AZ128" i="7"/>
  <c r="BA128" i="7"/>
  <c r="CJ128" i="7"/>
  <c r="CN128" i="7"/>
  <c r="CS128" i="7"/>
  <c r="CX128" i="7"/>
  <c r="DB128" i="7"/>
  <c r="DL128" i="7"/>
  <c r="DP128" i="7"/>
  <c r="DU128" i="7"/>
  <c r="DZ128" i="7"/>
  <c r="ED128" i="7"/>
  <c r="EI128" i="7"/>
  <c r="EN128" i="7"/>
  <c r="ER128" i="7"/>
  <c r="EW128" i="7"/>
  <c r="FB128" i="7"/>
  <c r="FF128" i="7"/>
  <c r="FK128" i="7"/>
  <c r="FP128" i="7"/>
  <c r="FT128" i="7"/>
  <c r="FY128" i="7"/>
  <c r="GD128" i="7"/>
  <c r="GH128" i="7"/>
  <c r="GM128" i="7"/>
  <c r="BH128" i="7"/>
  <c r="BJ128" i="7"/>
  <c r="BL128" i="7"/>
  <c r="BN128" i="7"/>
  <c r="BO128" i="7"/>
  <c r="BQ128" i="7"/>
  <c r="BV128" i="7"/>
  <c r="BX128" i="7"/>
  <c r="GR128" i="7"/>
  <c r="GX128" i="7"/>
  <c r="HC128" i="7"/>
  <c r="HH128" i="7"/>
  <c r="HN128" i="7"/>
  <c r="HT128" i="7"/>
  <c r="F129" i="7"/>
  <c r="H129" i="7"/>
  <c r="J129" i="7"/>
  <c r="M129" i="7"/>
  <c r="P129" i="7"/>
  <c r="T129" i="7"/>
  <c r="V129" i="7"/>
  <c r="AA129" i="7"/>
  <c r="X129" i="7"/>
  <c r="Y129" i="7"/>
  <c r="AD129" i="7"/>
  <c r="AH129" i="7"/>
  <c r="AJ129" i="7"/>
  <c r="AO129" i="7"/>
  <c r="AL129" i="7"/>
  <c r="AR129" i="7"/>
  <c r="AV129" i="7"/>
  <c r="AX129" i="7"/>
  <c r="BC129" i="7"/>
  <c r="AZ129" i="7"/>
  <c r="BA129" i="7"/>
  <c r="CN129" i="7"/>
  <c r="DB129" i="7"/>
  <c r="DG129" i="7"/>
  <c r="DP129" i="7"/>
  <c r="DU129" i="7"/>
  <c r="ED129" i="7"/>
  <c r="EI129" i="7"/>
  <c r="ER129" i="7"/>
  <c r="EW129" i="7"/>
  <c r="FF129" i="7"/>
  <c r="FK129" i="7"/>
  <c r="FT129" i="7"/>
  <c r="FY129" i="7"/>
  <c r="GH129" i="7"/>
  <c r="BF129" i="7"/>
  <c r="BJ129" i="7"/>
  <c r="BL129" i="7"/>
  <c r="BQ129" i="7"/>
  <c r="BN129" i="7"/>
  <c r="BO129" i="7"/>
  <c r="BT129" i="7"/>
  <c r="BX129" i="7"/>
  <c r="BZ129" i="7"/>
  <c r="CB129" i="7"/>
  <c r="CC129" i="7"/>
  <c r="CE129" i="7"/>
  <c r="GX129" i="7"/>
  <c r="HC129" i="7"/>
  <c r="F130" i="7"/>
  <c r="H130" i="7"/>
  <c r="M130" i="7"/>
  <c r="J130" i="7"/>
  <c r="K130" i="7"/>
  <c r="L130" i="7"/>
  <c r="T130" i="7"/>
  <c r="V130" i="7"/>
  <c r="X130" i="7"/>
  <c r="Y130" i="7"/>
  <c r="Z130" i="7"/>
  <c r="AA130" i="7"/>
  <c r="AH130" i="7"/>
  <c r="AJ130" i="7"/>
  <c r="AO130" i="7"/>
  <c r="AL130" i="7"/>
  <c r="AM130" i="7"/>
  <c r="AN130" i="7"/>
  <c r="AV130" i="7"/>
  <c r="AX130" i="7"/>
  <c r="AZ130" i="7"/>
  <c r="BA130" i="7"/>
  <c r="BB130" i="7"/>
  <c r="BC130" i="7"/>
  <c r="BJ130" i="7"/>
  <c r="BL130" i="7"/>
  <c r="BQ130" i="7"/>
  <c r="BN130" i="7"/>
  <c r="BO130" i="7"/>
  <c r="BP130" i="7"/>
  <c r="BX130" i="7"/>
  <c r="BZ130" i="7"/>
  <c r="CB130" i="7"/>
  <c r="CC130" i="7"/>
  <c r="CD130" i="7"/>
  <c r="CE130" i="7"/>
  <c r="F131" i="7"/>
  <c r="H131" i="7"/>
  <c r="M131" i="7"/>
  <c r="J131" i="7"/>
  <c r="K131" i="7"/>
  <c r="L131" i="7"/>
  <c r="T131" i="7"/>
  <c r="V131" i="7"/>
  <c r="X131" i="7"/>
  <c r="Y131" i="7"/>
  <c r="Z131" i="7"/>
  <c r="AA131" i="7"/>
  <c r="AH131" i="7"/>
  <c r="AJ131" i="7"/>
  <c r="AO131" i="7"/>
  <c r="AL131" i="7"/>
  <c r="AM131" i="7"/>
  <c r="AN131" i="7"/>
  <c r="AV131" i="7"/>
  <c r="AX131" i="7"/>
  <c r="AZ131" i="7"/>
  <c r="BA131" i="7"/>
  <c r="BB131" i="7"/>
  <c r="BC131" i="7"/>
  <c r="BH131" i="7"/>
  <c r="BO131" i="7"/>
  <c r="BJ131" i="7"/>
  <c r="BL131" i="7"/>
  <c r="BQ131" i="7"/>
  <c r="BN131" i="7"/>
  <c r="BP131" i="7"/>
  <c r="BV131" i="7"/>
  <c r="BX131" i="7"/>
  <c r="F132" i="7"/>
  <c r="H132" i="7"/>
  <c r="J132" i="7"/>
  <c r="K132" i="7"/>
  <c r="L132" i="7"/>
  <c r="M132" i="7"/>
  <c r="T132" i="7"/>
  <c r="V132" i="7"/>
  <c r="AA132" i="7"/>
  <c r="X132" i="7"/>
  <c r="Z132" i="7"/>
  <c r="AH132" i="7"/>
  <c r="AJ132" i="7"/>
  <c r="AL132" i="7"/>
  <c r="AM132" i="7"/>
  <c r="AN132" i="7"/>
  <c r="AO132" i="7"/>
  <c r="AV132" i="7"/>
  <c r="AX132" i="7"/>
  <c r="BC132" i="7"/>
  <c r="AZ132" i="7"/>
  <c r="BA132" i="7"/>
  <c r="BB132" i="7"/>
  <c r="BH132" i="7"/>
  <c r="BO132" i="7"/>
  <c r="BN132" i="7"/>
  <c r="BP132" i="7"/>
  <c r="BQ132" i="7"/>
  <c r="BV132" i="7"/>
  <c r="FP133" i="7"/>
  <c r="CJ136" i="7"/>
  <c r="CX136" i="7"/>
  <c r="DL136" i="7"/>
  <c r="EN136" i="7"/>
  <c r="FB136" i="7"/>
  <c r="FP136" i="7"/>
  <c r="GD136" i="7"/>
  <c r="BH136" i="7"/>
  <c r="BV136" i="7"/>
  <c r="GR136" i="7"/>
  <c r="HH136" i="7"/>
  <c r="HN136" i="7"/>
  <c r="HT136" i="7"/>
  <c r="DC137" i="7"/>
  <c r="DQ137" i="7"/>
  <c r="FU137" i="7"/>
  <c r="D139" i="7"/>
  <c r="J139" i="7"/>
  <c r="K139" i="7"/>
  <c r="X139" i="7"/>
  <c r="Y139" i="7"/>
  <c r="AL139" i="7"/>
  <c r="AM139" i="7"/>
  <c r="AT139" i="7"/>
  <c r="AX139" i="7"/>
  <c r="AZ139" i="7"/>
  <c r="BA139" i="7"/>
  <c r="BN139" i="7"/>
  <c r="BO139" i="7"/>
  <c r="CB139" i="7"/>
  <c r="CC139" i="7"/>
  <c r="J140" i="7"/>
  <c r="K140" i="7"/>
  <c r="X140" i="7"/>
  <c r="Y140" i="7"/>
  <c r="AF140" i="7"/>
  <c r="AL140" i="7"/>
  <c r="AM140" i="7"/>
  <c r="AZ140" i="7"/>
  <c r="BA140" i="7"/>
  <c r="BN140" i="7"/>
  <c r="BO140" i="7"/>
  <c r="CB140" i="7"/>
  <c r="CC140" i="7"/>
  <c r="D141" i="7"/>
  <c r="J141" i="7"/>
  <c r="K141" i="7"/>
  <c r="V141" i="7"/>
  <c r="X141" i="7"/>
  <c r="Y141" i="7"/>
  <c r="AL141" i="7"/>
  <c r="AM141" i="7"/>
  <c r="AT141" i="7"/>
  <c r="AZ141" i="7"/>
  <c r="BA141" i="7"/>
  <c r="BN141" i="7"/>
  <c r="BO141" i="7"/>
  <c r="CB141" i="7"/>
  <c r="CC141" i="7"/>
  <c r="J142" i="7"/>
  <c r="K142" i="7"/>
  <c r="X142" i="7"/>
  <c r="Y142" i="7"/>
  <c r="AF142" i="7"/>
  <c r="AL142" i="7"/>
  <c r="AM142" i="7"/>
  <c r="AZ142" i="7"/>
  <c r="BA142" i="7"/>
  <c r="BN142" i="7"/>
  <c r="BO142" i="7"/>
  <c r="BZ142" i="7"/>
  <c r="CB142" i="7"/>
  <c r="CC142" i="7"/>
  <c r="D195" i="7"/>
  <c r="D196" i="7"/>
  <c r="D197" i="7"/>
  <c r="D198" i="7"/>
  <c r="R195" i="7"/>
  <c r="R196" i="7"/>
  <c r="R197" i="7"/>
  <c r="R198" i="7"/>
  <c r="AF195" i="7"/>
  <c r="AF196" i="7"/>
  <c r="AF197" i="7"/>
  <c r="AF198" i="7"/>
  <c r="AT195" i="7"/>
  <c r="AT196" i="7"/>
  <c r="AT197" i="7"/>
  <c r="AT198" i="7"/>
  <c r="BH195" i="7"/>
  <c r="BH196" i="7"/>
  <c r="BV195" i="7"/>
  <c r="BV196" i="7"/>
  <c r="CJ189" i="7"/>
  <c r="DL189" i="7"/>
  <c r="EN189" i="7"/>
  <c r="FB189" i="7"/>
  <c r="FP189" i="7"/>
  <c r="GD189" i="7"/>
  <c r="GR189" i="7"/>
  <c r="HH189" i="7"/>
  <c r="HN189" i="7"/>
  <c r="HT189" i="7"/>
  <c r="D155" i="7"/>
  <c r="D156" i="7"/>
  <c r="D157" i="7"/>
  <c r="B155" i="7"/>
  <c r="D158" i="7"/>
  <c r="K158" i="7"/>
  <c r="L158" i="7"/>
  <c r="R155" i="7"/>
  <c r="R156" i="7"/>
  <c r="R157" i="7"/>
  <c r="R158" i="7"/>
  <c r="AF155" i="7"/>
  <c r="AF156" i="7"/>
  <c r="AF157" i="7"/>
  <c r="AF158" i="7"/>
  <c r="AT155" i="7"/>
  <c r="AT156" i="7"/>
  <c r="BA156" i="7"/>
  <c r="BA160" i="7"/>
  <c r="AT157" i="7"/>
  <c r="BA157" i="7"/>
  <c r="BA161" i="7"/>
  <c r="AT158" i="7"/>
  <c r="CJ152" i="7"/>
  <c r="CX152" i="7"/>
  <c r="DL152" i="7"/>
  <c r="EN152" i="7"/>
  <c r="FB152" i="7"/>
  <c r="FP152" i="7"/>
  <c r="GD152" i="7"/>
  <c r="GR152" i="7"/>
  <c r="HH152" i="7"/>
  <c r="HN152" i="7"/>
  <c r="HT152" i="7"/>
  <c r="BH155" i="7"/>
  <c r="BH156" i="7"/>
  <c r="BH157" i="7"/>
  <c r="BH158" i="7"/>
  <c r="BV155" i="7"/>
  <c r="BV156" i="7"/>
  <c r="D159" i="7"/>
  <c r="D160" i="7"/>
  <c r="D161" i="7"/>
  <c r="D162" i="7"/>
  <c r="R159" i="7"/>
  <c r="Y159" i="7"/>
  <c r="Z159" i="7"/>
  <c r="R160" i="7"/>
  <c r="R161" i="7"/>
  <c r="Y161" i="7"/>
  <c r="R162" i="7"/>
  <c r="Y162" i="7"/>
  <c r="AF159" i="7"/>
  <c r="AF160" i="7"/>
  <c r="AF161" i="7"/>
  <c r="AF162" i="7"/>
  <c r="AT159" i="7"/>
  <c r="AT160" i="7"/>
  <c r="AT161" i="7"/>
  <c r="AT162" i="7"/>
  <c r="CJ153" i="7"/>
  <c r="CX153" i="7"/>
  <c r="DL153" i="7"/>
  <c r="EN153" i="7"/>
  <c r="FB153" i="7"/>
  <c r="FP153" i="7"/>
  <c r="GD153" i="7"/>
  <c r="GR153" i="7"/>
  <c r="HH153" i="7"/>
  <c r="HN153" i="7"/>
  <c r="HT153" i="7"/>
  <c r="BH159" i="7"/>
  <c r="BH160" i="7"/>
  <c r="BH161" i="7"/>
  <c r="BH162" i="7"/>
  <c r="BV159" i="7"/>
  <c r="BV160" i="7"/>
  <c r="D163" i="7"/>
  <c r="D164" i="7"/>
  <c r="B163" i="7"/>
  <c r="D165" i="7"/>
  <c r="D166" i="7"/>
  <c r="R163" i="7"/>
  <c r="R164" i="7"/>
  <c r="R165" i="7"/>
  <c r="R166" i="7"/>
  <c r="AF163" i="7"/>
  <c r="AF164" i="7"/>
  <c r="AF165" i="7"/>
  <c r="AF166" i="7"/>
  <c r="AT163" i="7"/>
  <c r="AT164" i="7"/>
  <c r="AT165" i="7"/>
  <c r="AT166" i="7"/>
  <c r="CJ154" i="7"/>
  <c r="CX154" i="7"/>
  <c r="DL154" i="7"/>
  <c r="EN154" i="7"/>
  <c r="FB154" i="7"/>
  <c r="FP154" i="7"/>
  <c r="GD154" i="7"/>
  <c r="GR154" i="7"/>
  <c r="HH154" i="7"/>
  <c r="HN154" i="7"/>
  <c r="HT154" i="7"/>
  <c r="BH163" i="7"/>
  <c r="BH164" i="7"/>
  <c r="BH165" i="7"/>
  <c r="BH166" i="7"/>
  <c r="BV163" i="7"/>
  <c r="BV164" i="7"/>
  <c r="D167" i="7"/>
  <c r="D168" i="7"/>
  <c r="D169" i="7"/>
  <c r="D170" i="7"/>
  <c r="R167" i="7"/>
  <c r="R168" i="7"/>
  <c r="R169" i="7"/>
  <c r="R170" i="7"/>
  <c r="AF167" i="7"/>
  <c r="AF168" i="7"/>
  <c r="AF169" i="7"/>
  <c r="AF170" i="7"/>
  <c r="AT167" i="7"/>
  <c r="AT168" i="7"/>
  <c r="AT169" i="7"/>
  <c r="AT170" i="7"/>
  <c r="CJ155" i="7"/>
  <c r="CX155" i="7"/>
  <c r="DL155" i="7"/>
  <c r="EN155" i="7"/>
  <c r="FB155" i="7"/>
  <c r="FP155" i="7"/>
  <c r="GD155" i="7"/>
  <c r="GR155" i="7"/>
  <c r="HH155" i="7"/>
  <c r="HN155" i="7"/>
  <c r="HT155" i="7"/>
  <c r="BH167" i="7"/>
  <c r="BH168" i="7"/>
  <c r="BH169" i="7"/>
  <c r="BH170" i="7"/>
  <c r="BV167" i="7"/>
  <c r="BV168" i="7"/>
  <c r="D171" i="7"/>
  <c r="D172" i="7"/>
  <c r="D173" i="7"/>
  <c r="D174" i="7"/>
  <c r="R171" i="7"/>
  <c r="R172" i="7"/>
  <c r="R173" i="7"/>
  <c r="R174" i="7"/>
  <c r="AF171" i="7"/>
  <c r="AF172" i="7"/>
  <c r="AF173" i="7"/>
  <c r="AF174" i="7"/>
  <c r="AT171" i="7"/>
  <c r="AT172" i="7"/>
  <c r="AT173" i="7"/>
  <c r="AT174" i="7"/>
  <c r="CJ156" i="7"/>
  <c r="CX156" i="7"/>
  <c r="DL156" i="7"/>
  <c r="EN156" i="7"/>
  <c r="FB156" i="7"/>
  <c r="FP156" i="7"/>
  <c r="GD156" i="7"/>
  <c r="GR156" i="7"/>
  <c r="HH156" i="7"/>
  <c r="HN156" i="7"/>
  <c r="HT156" i="7"/>
  <c r="BH171" i="7"/>
  <c r="BH172" i="7"/>
  <c r="BH173" i="7"/>
  <c r="BH174" i="7"/>
  <c r="BV171" i="7"/>
  <c r="BV172" i="7"/>
  <c r="BV214" i="7"/>
  <c r="D175" i="7"/>
  <c r="D176" i="7"/>
  <c r="D177" i="7"/>
  <c r="D178" i="7"/>
  <c r="R175" i="7"/>
  <c r="R176" i="7"/>
  <c r="R177" i="7"/>
  <c r="R178" i="7"/>
  <c r="AF175" i="7"/>
  <c r="AF176" i="7"/>
  <c r="AF177" i="7"/>
  <c r="AF215" i="7"/>
  <c r="AF178" i="7"/>
  <c r="AT175" i="7"/>
  <c r="AT176" i="7"/>
  <c r="AT177" i="7"/>
  <c r="AT178" i="7"/>
  <c r="CJ157" i="7"/>
  <c r="CX157" i="7"/>
  <c r="DL157" i="7"/>
  <c r="EN157" i="7"/>
  <c r="FB157" i="7"/>
  <c r="FP157" i="7"/>
  <c r="GD157" i="7"/>
  <c r="GR157" i="7"/>
  <c r="HH157" i="7"/>
  <c r="HN157" i="7"/>
  <c r="HT157" i="7"/>
  <c r="BH175" i="7"/>
  <c r="BH176" i="7"/>
  <c r="BH177" i="7"/>
  <c r="BH178" i="7"/>
  <c r="BV175" i="7"/>
  <c r="BV176" i="7"/>
  <c r="D179" i="7"/>
  <c r="D180" i="7"/>
  <c r="D181" i="7"/>
  <c r="D182" i="7"/>
  <c r="R179" i="7"/>
  <c r="R180" i="7"/>
  <c r="R181" i="7"/>
  <c r="R182" i="7"/>
  <c r="AF179" i="7"/>
  <c r="AF180" i="7"/>
  <c r="AF181" i="7"/>
  <c r="AF182" i="7"/>
  <c r="AT179" i="7"/>
  <c r="AT180" i="7"/>
  <c r="AT181" i="7"/>
  <c r="AT182" i="7"/>
  <c r="CJ158" i="7"/>
  <c r="CX158" i="7"/>
  <c r="DL158" i="7"/>
  <c r="EN158" i="7"/>
  <c r="FB158" i="7"/>
  <c r="FP158" i="7"/>
  <c r="GD158" i="7"/>
  <c r="GR158" i="7"/>
  <c r="HH158" i="7"/>
  <c r="HN158" i="7"/>
  <c r="HT158" i="7"/>
  <c r="BH179" i="7"/>
  <c r="BH180" i="7"/>
  <c r="BH181" i="7"/>
  <c r="BH182" i="7"/>
  <c r="BV179" i="7"/>
  <c r="BV180" i="7"/>
  <c r="D183" i="7"/>
  <c r="D184" i="7"/>
  <c r="D185" i="7"/>
  <c r="D186" i="7"/>
  <c r="R183" i="7"/>
  <c r="R184" i="7"/>
  <c r="R185" i="7"/>
  <c r="R186" i="7"/>
  <c r="AF183" i="7"/>
  <c r="AF184" i="7"/>
  <c r="AF185" i="7"/>
  <c r="AF186" i="7"/>
  <c r="AT183" i="7"/>
  <c r="AT184" i="7"/>
  <c r="AT185" i="7"/>
  <c r="AT186" i="7"/>
  <c r="CJ159" i="7"/>
  <c r="CX159" i="7"/>
  <c r="DL159" i="7"/>
  <c r="EN159" i="7"/>
  <c r="FB159" i="7"/>
  <c r="FP159" i="7"/>
  <c r="GD159" i="7"/>
  <c r="GR159" i="7"/>
  <c r="HH159" i="7"/>
  <c r="HN159" i="7"/>
  <c r="HT159" i="7"/>
  <c r="BH183" i="7"/>
  <c r="BH184" i="7"/>
  <c r="BH185" i="7"/>
  <c r="BH186" i="7"/>
  <c r="BV183" i="7"/>
  <c r="BV184" i="7"/>
  <c r="D187" i="7"/>
  <c r="D188" i="7"/>
  <c r="D189" i="7"/>
  <c r="D190" i="7"/>
  <c r="R187" i="7"/>
  <c r="R188" i="7"/>
  <c r="R189" i="7"/>
  <c r="R190" i="7"/>
  <c r="AF187" i="7"/>
  <c r="AF188" i="7"/>
  <c r="AF189" i="7"/>
  <c r="AF190" i="7"/>
  <c r="AT187" i="7"/>
  <c r="AT188" i="7"/>
  <c r="AT189" i="7"/>
  <c r="AT190" i="7"/>
  <c r="CJ160" i="7"/>
  <c r="CX160" i="7"/>
  <c r="DL160" i="7"/>
  <c r="EN160" i="7"/>
  <c r="FB160" i="7"/>
  <c r="FP160" i="7"/>
  <c r="GD160" i="7"/>
  <c r="GR160" i="7"/>
  <c r="HH160" i="7"/>
  <c r="HN160" i="7"/>
  <c r="HN207" i="7"/>
  <c r="HT160" i="7"/>
  <c r="BH187" i="7"/>
  <c r="BH188" i="7"/>
  <c r="BH189" i="7"/>
  <c r="BH190" i="7"/>
  <c r="BV187" i="7"/>
  <c r="BV188" i="7"/>
  <c r="D199" i="7"/>
  <c r="D200" i="7"/>
  <c r="D201" i="7"/>
  <c r="D202" i="7"/>
  <c r="R199" i="7"/>
  <c r="R200" i="7"/>
  <c r="R201" i="7"/>
  <c r="R202" i="7"/>
  <c r="AF199" i="7"/>
  <c r="AF200" i="7"/>
  <c r="AF201" i="7"/>
  <c r="AF202" i="7"/>
  <c r="AT199" i="7"/>
  <c r="AT200" i="7"/>
  <c r="AT201" i="7"/>
  <c r="AT202" i="7"/>
  <c r="BA202" i="7"/>
  <c r="CJ193" i="7"/>
  <c r="DL193" i="7"/>
  <c r="EN193" i="7"/>
  <c r="FB193" i="7"/>
  <c r="FP193" i="7"/>
  <c r="GD193" i="7"/>
  <c r="GR193" i="7"/>
  <c r="HH193" i="7"/>
  <c r="HN193" i="7"/>
  <c r="HT193" i="7"/>
  <c r="BH199" i="7"/>
  <c r="BH200" i="7"/>
  <c r="BH214" i="7"/>
  <c r="BV199" i="7"/>
  <c r="BV200" i="7"/>
  <c r="D203" i="7"/>
  <c r="D204" i="7"/>
  <c r="D205" i="7"/>
  <c r="D206" i="7"/>
  <c r="R203" i="7"/>
  <c r="R204" i="7"/>
  <c r="R205" i="7"/>
  <c r="R206" i="7"/>
  <c r="AF203" i="7"/>
  <c r="AF204" i="7"/>
  <c r="AF205" i="7"/>
  <c r="AF206" i="7"/>
  <c r="AT203" i="7"/>
  <c r="AT204" i="7"/>
  <c r="AT205" i="7"/>
  <c r="AT206" i="7"/>
  <c r="CJ197" i="7"/>
  <c r="DL197" i="7"/>
  <c r="EN197" i="7"/>
  <c r="FB197" i="7"/>
  <c r="FP197" i="7"/>
  <c r="GD197" i="7"/>
  <c r="GR197" i="7"/>
  <c r="HH197" i="7"/>
  <c r="HN197" i="7"/>
  <c r="HT197" i="7"/>
  <c r="BH203" i="7"/>
  <c r="BH204" i="7"/>
  <c r="BV203" i="7"/>
  <c r="BV204" i="7"/>
  <c r="A212" i="7"/>
  <c r="EF170" i="7"/>
  <c r="EF169" i="7"/>
  <c r="EF168" i="7"/>
  <c r="EF167" i="7"/>
  <c r="EF166" i="7"/>
  <c r="EF165" i="7"/>
  <c r="EF164" i="7"/>
  <c r="EF163" i="7"/>
  <c r="EF162" i="7"/>
  <c r="EF152" i="7"/>
  <c r="EF153" i="7"/>
  <c r="EF154" i="7"/>
  <c r="EF155" i="7"/>
  <c r="EF156" i="7"/>
  <c r="EF157" i="7"/>
  <c r="EF158" i="7"/>
  <c r="EF159" i="7"/>
  <c r="EF160" i="7"/>
  <c r="H155" i="7"/>
  <c r="K155" i="7"/>
  <c r="L155" i="7"/>
  <c r="M155" i="7"/>
  <c r="H159" i="7"/>
  <c r="H156" i="7"/>
  <c r="L156" i="7"/>
  <c r="K156" i="7"/>
  <c r="H157" i="7"/>
  <c r="H158" i="7"/>
  <c r="H162" i="7"/>
  <c r="H160" i="7"/>
  <c r="K160" i="7"/>
  <c r="K164" i="7"/>
  <c r="K168" i="7"/>
  <c r="K172" i="7"/>
  <c r="L172" i="7"/>
  <c r="M172" i="7"/>
  <c r="H161" i="7"/>
  <c r="H163" i="7"/>
  <c r="H167" i="7"/>
  <c r="H164" i="7"/>
  <c r="H165" i="7"/>
  <c r="H166" i="7"/>
  <c r="H168" i="7"/>
  <c r="H169" i="7"/>
  <c r="H170" i="7"/>
  <c r="H171" i="7"/>
  <c r="H172" i="7"/>
  <c r="H173" i="7"/>
  <c r="H174" i="7"/>
  <c r="H175" i="7"/>
  <c r="H176" i="7"/>
  <c r="L176" i="7"/>
  <c r="M176" i="7"/>
  <c r="H177" i="7"/>
  <c r="L177" i="7"/>
  <c r="M177" i="7"/>
  <c r="H178" i="7"/>
  <c r="H179" i="7"/>
  <c r="L179" i="7"/>
  <c r="H180" i="7"/>
  <c r="K180" i="7"/>
  <c r="L180" i="7"/>
  <c r="H181" i="7"/>
  <c r="K181" i="7"/>
  <c r="L181" i="7"/>
  <c r="H182" i="7"/>
  <c r="H183" i="7"/>
  <c r="K183" i="7"/>
  <c r="K187" i="7"/>
  <c r="H184" i="7"/>
  <c r="L184" i="7"/>
  <c r="H185" i="7"/>
  <c r="L185" i="7"/>
  <c r="K185" i="7"/>
  <c r="K189" i="7"/>
  <c r="H186" i="7"/>
  <c r="L186" i="7"/>
  <c r="H187" i="7"/>
  <c r="L187" i="7"/>
  <c r="M187" i="7"/>
  <c r="H188" i="7"/>
  <c r="H189" i="7"/>
  <c r="H190" i="7"/>
  <c r="K190" i="7"/>
  <c r="L195" i="7"/>
  <c r="L196" i="7"/>
  <c r="L197" i="7"/>
  <c r="L198" i="7"/>
  <c r="L199" i="7"/>
  <c r="L200" i="7"/>
  <c r="L201" i="7"/>
  <c r="L202" i="7"/>
  <c r="L203" i="7"/>
  <c r="V155" i="7"/>
  <c r="Z155" i="7"/>
  <c r="Y155" i="7"/>
  <c r="V156" i="7"/>
  <c r="Y156" i="7"/>
  <c r="Z156" i="7"/>
  <c r="V157" i="7"/>
  <c r="Y157" i="7"/>
  <c r="V161" i="7"/>
  <c r="Z161" i="7"/>
  <c r="V158" i="7"/>
  <c r="Y158" i="7"/>
  <c r="Z158" i="7"/>
  <c r="AA158" i="7"/>
  <c r="V159" i="7"/>
  <c r="V160" i="7"/>
  <c r="V162" i="7"/>
  <c r="Z162" i="7"/>
  <c r="V163" i="7"/>
  <c r="V164" i="7"/>
  <c r="V165" i="7"/>
  <c r="Y165" i="7"/>
  <c r="V166" i="7"/>
  <c r="V167" i="7"/>
  <c r="V168" i="7"/>
  <c r="V169" i="7"/>
  <c r="V170" i="7"/>
  <c r="V171" i="7"/>
  <c r="V172" i="7"/>
  <c r="V173" i="7"/>
  <c r="V174" i="7"/>
  <c r="Y170" i="7"/>
  <c r="Y174" i="7"/>
  <c r="Z174" i="7"/>
  <c r="AA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Z195" i="7"/>
  <c r="Z196" i="7"/>
  <c r="Z197" i="7"/>
  <c r="Z198" i="7"/>
  <c r="Z199" i="7"/>
  <c r="Z200" i="7"/>
  <c r="Z201" i="7"/>
  <c r="Z202" i="7"/>
  <c r="Z203" i="7"/>
  <c r="AX155" i="7"/>
  <c r="BA155" i="7"/>
  <c r="BB155" i="7"/>
  <c r="AX156" i="7"/>
  <c r="AX157" i="7"/>
  <c r="AX161" i="7"/>
  <c r="BB161" i="7"/>
  <c r="AX158" i="7"/>
  <c r="BA158" i="7"/>
  <c r="BA162" i="7"/>
  <c r="BB158" i="7"/>
  <c r="AX159" i="7"/>
  <c r="BA159" i="7"/>
  <c r="BA163" i="7"/>
  <c r="BA167" i="7"/>
  <c r="BA171" i="7"/>
  <c r="AX160" i="7"/>
  <c r="AX162" i="7"/>
  <c r="AX163" i="7"/>
  <c r="AX164" i="7"/>
  <c r="AX165" i="7"/>
  <c r="AX166" i="7"/>
  <c r="AX215" i="7"/>
  <c r="AW215" i="7"/>
  <c r="AX167" i="7"/>
  <c r="AX213" i="7"/>
  <c r="AX168" i="7"/>
  <c r="AX169" i="7"/>
  <c r="AX170" i="7"/>
  <c r="AX216" i="7"/>
  <c r="AX171" i="7"/>
  <c r="BB171" i="7"/>
  <c r="BC171" i="7"/>
  <c r="AX172" i="7"/>
  <c r="AX173" i="7"/>
  <c r="BA165" i="7"/>
  <c r="BA169" i="7"/>
  <c r="BA173" i="7"/>
  <c r="BA177" i="7"/>
  <c r="BA181" i="7"/>
  <c r="AX174" i="7"/>
  <c r="AX175" i="7"/>
  <c r="BA175" i="7"/>
  <c r="BB175" i="7"/>
  <c r="BC175" i="7"/>
  <c r="AX176" i="7"/>
  <c r="AX177" i="7"/>
  <c r="AX178" i="7"/>
  <c r="AX179" i="7"/>
  <c r="BA179" i="7"/>
  <c r="BB179" i="7"/>
  <c r="AX180" i="7"/>
  <c r="AX181" i="7"/>
  <c r="AX182" i="7"/>
  <c r="AX183" i="7"/>
  <c r="BA183" i="7"/>
  <c r="AX184" i="7"/>
  <c r="AX185" i="7"/>
  <c r="BA185" i="7"/>
  <c r="BA189" i="7"/>
  <c r="AX186" i="7"/>
  <c r="AX187" i="7"/>
  <c r="AX188" i="7"/>
  <c r="AX189" i="7"/>
  <c r="AX190" i="7"/>
  <c r="BB195" i="7"/>
  <c r="BB196" i="7"/>
  <c r="BB197" i="7"/>
  <c r="BB198" i="7"/>
  <c r="BB199" i="7"/>
  <c r="BB200" i="7"/>
  <c r="BB201" i="7"/>
  <c r="BB202" i="7"/>
  <c r="BB203" i="7"/>
  <c r="CQ152" i="7"/>
  <c r="CQ153" i="7"/>
  <c r="CQ154" i="7"/>
  <c r="CQ155" i="7"/>
  <c r="CQ156" i="7"/>
  <c r="CN152" i="7"/>
  <c r="CN153" i="7"/>
  <c r="CN154" i="7"/>
  <c r="CN155" i="7"/>
  <c r="CN156" i="7"/>
  <c r="CN157" i="7"/>
  <c r="CN158" i="7"/>
  <c r="CN159" i="7"/>
  <c r="CN160" i="7"/>
  <c r="CQ162" i="7"/>
  <c r="CR162" i="7"/>
  <c r="CS162" i="7"/>
  <c r="CQ163" i="7"/>
  <c r="CR163" i="7"/>
  <c r="CS163" i="7"/>
  <c r="CQ164" i="7"/>
  <c r="CR164" i="7"/>
  <c r="CS164" i="7"/>
  <c r="CQ166" i="7"/>
  <c r="CR166" i="7"/>
  <c r="CS166" i="7"/>
  <c r="CQ167" i="7"/>
  <c r="CR167" i="7"/>
  <c r="CS167" i="7"/>
  <c r="CQ168" i="7"/>
  <c r="CR168" i="7"/>
  <c r="CS168" i="7"/>
  <c r="CQ169" i="7"/>
  <c r="CR169" i="7"/>
  <c r="CS169" i="7"/>
  <c r="CQ170" i="7"/>
  <c r="CR170" i="7"/>
  <c r="CS170" i="7"/>
  <c r="CQ171" i="7"/>
  <c r="CR171" i="7"/>
  <c r="CR172" i="7"/>
  <c r="CR173" i="7"/>
  <c r="CS173" i="7"/>
  <c r="CR174" i="7"/>
  <c r="CR175" i="7"/>
  <c r="CR176" i="7"/>
  <c r="CR177" i="7"/>
  <c r="CS177" i="7"/>
  <c r="CR178" i="7"/>
  <c r="CR179" i="7"/>
  <c r="CR180" i="7"/>
  <c r="CR181" i="7"/>
  <c r="CR182" i="7"/>
  <c r="CR183" i="7"/>
  <c r="CR184" i="7"/>
  <c r="CR185" i="7"/>
  <c r="CS185" i="7"/>
  <c r="CR186" i="7"/>
  <c r="CR187" i="7"/>
  <c r="CR188" i="7"/>
  <c r="CR189" i="7"/>
  <c r="CS189" i="7"/>
  <c r="CR190" i="7"/>
  <c r="CR191" i="7"/>
  <c r="CR192" i="7"/>
  <c r="CR193" i="7"/>
  <c r="CR194" i="7"/>
  <c r="CR195" i="7"/>
  <c r="CR196" i="7"/>
  <c r="CR197" i="7"/>
  <c r="CS197" i="7"/>
  <c r="CR198" i="7"/>
  <c r="CR200" i="7"/>
  <c r="CR201" i="7"/>
  <c r="CR202" i="7"/>
  <c r="CS202" i="7"/>
  <c r="CR203" i="7"/>
  <c r="DE152" i="7"/>
  <c r="DF152" i="7"/>
  <c r="DG152" i="7"/>
  <c r="DB152" i="7"/>
  <c r="DB153" i="7"/>
  <c r="DB154" i="7"/>
  <c r="DB155" i="7"/>
  <c r="DE153" i="7"/>
  <c r="DE154" i="7"/>
  <c r="DE155" i="7"/>
  <c r="DE156" i="7"/>
  <c r="DB156" i="7"/>
  <c r="DB157" i="7"/>
  <c r="DB158" i="7"/>
  <c r="DB159" i="7"/>
  <c r="DB160" i="7"/>
  <c r="DE162" i="7"/>
  <c r="DF162" i="7"/>
  <c r="DG162" i="7"/>
  <c r="DE163" i="7"/>
  <c r="DF163" i="7"/>
  <c r="DE164" i="7"/>
  <c r="DF164" i="7"/>
  <c r="DG164" i="7"/>
  <c r="DE166" i="7"/>
  <c r="DF166" i="7"/>
  <c r="DE167" i="7"/>
  <c r="DF167" i="7"/>
  <c r="DG167" i="7"/>
  <c r="DE168" i="7"/>
  <c r="DF168" i="7"/>
  <c r="DE169" i="7"/>
  <c r="DF169" i="7"/>
  <c r="DE170" i="7"/>
  <c r="DF170" i="7"/>
  <c r="DE171" i="7"/>
  <c r="DF171" i="7"/>
  <c r="DG171" i="7"/>
  <c r="DF172" i="7"/>
  <c r="DF173" i="7"/>
  <c r="DF174" i="7"/>
  <c r="DF175" i="7"/>
  <c r="DF176" i="7"/>
  <c r="DF177" i="7"/>
  <c r="DF178" i="7"/>
  <c r="DF179" i="7"/>
  <c r="DF180" i="7"/>
  <c r="DF181" i="7"/>
  <c r="DF182" i="7"/>
  <c r="DG182" i="7"/>
  <c r="DF183" i="7"/>
  <c r="DF184" i="7"/>
  <c r="DF185" i="7"/>
  <c r="DF186" i="7"/>
  <c r="DF187" i="7"/>
  <c r="DF188" i="7"/>
  <c r="DF189" i="7"/>
  <c r="DF190" i="7"/>
  <c r="DG190" i="7"/>
  <c r="DF191" i="7"/>
  <c r="DF192" i="7"/>
  <c r="DF193" i="7"/>
  <c r="DF194" i="7"/>
  <c r="DG194" i="7"/>
  <c r="DF195" i="7"/>
  <c r="DF196" i="7"/>
  <c r="DF197" i="7"/>
  <c r="DF198" i="7"/>
  <c r="DF200" i="7"/>
  <c r="DF201" i="7"/>
  <c r="DF202" i="7"/>
  <c r="DG202" i="7"/>
  <c r="DF203" i="7"/>
  <c r="DS152" i="7"/>
  <c r="DS153" i="7"/>
  <c r="DP152" i="7"/>
  <c r="DT152" i="7"/>
  <c r="DU152" i="7"/>
  <c r="DP153" i="7"/>
  <c r="DP154" i="7"/>
  <c r="DP155" i="7"/>
  <c r="DP156" i="7"/>
  <c r="DP157" i="7"/>
  <c r="DT157" i="7"/>
  <c r="DS158" i="7"/>
  <c r="DP158" i="7"/>
  <c r="DT158" i="7"/>
  <c r="DU158" i="7"/>
  <c r="DS159" i="7"/>
  <c r="DP159" i="7"/>
  <c r="DT159" i="7"/>
  <c r="DS160" i="7"/>
  <c r="DT160" i="7"/>
  <c r="DP160" i="7"/>
  <c r="DU160" i="7"/>
  <c r="DS162" i="7"/>
  <c r="DT162" i="7"/>
  <c r="DU162" i="7"/>
  <c r="DS163" i="7"/>
  <c r="DT163" i="7"/>
  <c r="DU163" i="7"/>
  <c r="DS164" i="7"/>
  <c r="DT164" i="7"/>
  <c r="DU164" i="7"/>
  <c r="DS166" i="7"/>
  <c r="DT166" i="7"/>
  <c r="DU166" i="7"/>
  <c r="DS167" i="7"/>
  <c r="DT167" i="7"/>
  <c r="DS168" i="7"/>
  <c r="DT168" i="7"/>
  <c r="DU168" i="7"/>
  <c r="DS169" i="7"/>
  <c r="DT169" i="7"/>
  <c r="DU169" i="7"/>
  <c r="DS170" i="7"/>
  <c r="DT170" i="7"/>
  <c r="DU170" i="7"/>
  <c r="DS171" i="7"/>
  <c r="DT171" i="7"/>
  <c r="DU171" i="7"/>
  <c r="DT172" i="7"/>
  <c r="DT173" i="7"/>
  <c r="DT174" i="7"/>
  <c r="DT175" i="7"/>
  <c r="DT176" i="7"/>
  <c r="DU176" i="7"/>
  <c r="DT177" i="7"/>
  <c r="DU177" i="7"/>
  <c r="DT178" i="7"/>
  <c r="DT179" i="7"/>
  <c r="DT180" i="7"/>
  <c r="DT181" i="7"/>
  <c r="DU181" i="7"/>
  <c r="DT182" i="7"/>
  <c r="DT183" i="7"/>
  <c r="DU183" i="7"/>
  <c r="DT184" i="7"/>
  <c r="DT185" i="7"/>
  <c r="DT186" i="7"/>
  <c r="DT187" i="7"/>
  <c r="DT188" i="7"/>
  <c r="DU188" i="7"/>
  <c r="DT189" i="7"/>
  <c r="DT190" i="7"/>
  <c r="DU190" i="7"/>
  <c r="DT191" i="7"/>
  <c r="DT192" i="7"/>
  <c r="DT193" i="7"/>
  <c r="DT194" i="7"/>
  <c r="DT195" i="7"/>
  <c r="DU195" i="7"/>
  <c r="DT196" i="7"/>
  <c r="DT197" i="7"/>
  <c r="DT198" i="7"/>
  <c r="DT200" i="7"/>
  <c r="DT201" i="7"/>
  <c r="DU201" i="7"/>
  <c r="DT202" i="7"/>
  <c r="DU202" i="7"/>
  <c r="DT203" i="7"/>
  <c r="EG152" i="7"/>
  <c r="EG153" i="7"/>
  <c r="ED152" i="7"/>
  <c r="EH152" i="7"/>
  <c r="ED153" i="7"/>
  <c r="ED154" i="7"/>
  <c r="ED155" i="7"/>
  <c r="ED156" i="7"/>
  <c r="ED157" i="7"/>
  <c r="ED158" i="7"/>
  <c r="ED159" i="7"/>
  <c r="ED160" i="7"/>
  <c r="EG162" i="7"/>
  <c r="EH162" i="7"/>
  <c r="EG163" i="7"/>
  <c r="EH163" i="7"/>
  <c r="EI163" i="7"/>
  <c r="EG164" i="7"/>
  <c r="EH164" i="7"/>
  <c r="EI164" i="7"/>
  <c r="EG166" i="7"/>
  <c r="EH166" i="7"/>
  <c r="EG167" i="7"/>
  <c r="EH167" i="7"/>
  <c r="EG168" i="7"/>
  <c r="EH168" i="7"/>
  <c r="EG169" i="7"/>
  <c r="EH169" i="7"/>
  <c r="EI169" i="7"/>
  <c r="EG170" i="7"/>
  <c r="EH170" i="7"/>
  <c r="EI170" i="7"/>
  <c r="EG171" i="7"/>
  <c r="EH171" i="7"/>
  <c r="EH172" i="7"/>
  <c r="EI172" i="7"/>
  <c r="EH173" i="7"/>
  <c r="EH174" i="7"/>
  <c r="EI174" i="7"/>
  <c r="EH175" i="7"/>
  <c r="EH176" i="7"/>
  <c r="EH177" i="7"/>
  <c r="EH178" i="7"/>
  <c r="EI178" i="7"/>
  <c r="EH179" i="7"/>
  <c r="EH180" i="7"/>
  <c r="EI180" i="7"/>
  <c r="EH181" i="7"/>
  <c r="EI181" i="7"/>
  <c r="EH182" i="7"/>
  <c r="EI182" i="7"/>
  <c r="EH183" i="7"/>
  <c r="EH184" i="7"/>
  <c r="EH185" i="7"/>
  <c r="EH186" i="7"/>
  <c r="EI186" i="7"/>
  <c r="EH187" i="7"/>
  <c r="EH188" i="7"/>
  <c r="EI188" i="7"/>
  <c r="EH189" i="7"/>
  <c r="EI189" i="7"/>
  <c r="EH190" i="7"/>
  <c r="EI190" i="7"/>
  <c r="EH191" i="7"/>
  <c r="EH192" i="7"/>
  <c r="EH193" i="7"/>
  <c r="EI193" i="7"/>
  <c r="EH194" i="7"/>
  <c r="EH195" i="7"/>
  <c r="EH196" i="7"/>
  <c r="EH197" i="7"/>
  <c r="EH198" i="7"/>
  <c r="EI198" i="7"/>
  <c r="EH200" i="7"/>
  <c r="EI200" i="7"/>
  <c r="EH201" i="7"/>
  <c r="EH202" i="7"/>
  <c r="EH203" i="7"/>
  <c r="EI203" i="7"/>
  <c r="EU152" i="7"/>
  <c r="ER152" i="7"/>
  <c r="ER153" i="7"/>
  <c r="ER154" i="7"/>
  <c r="ER155" i="7"/>
  <c r="EU153" i="7"/>
  <c r="EU154" i="7"/>
  <c r="EU155" i="7"/>
  <c r="EU156" i="7"/>
  <c r="ER156" i="7"/>
  <c r="ER157" i="7"/>
  <c r="ER158" i="7"/>
  <c r="ER159" i="7"/>
  <c r="ER160" i="7"/>
  <c r="EU162" i="7"/>
  <c r="EV162" i="7"/>
  <c r="EU163" i="7"/>
  <c r="EV163" i="7"/>
  <c r="EW163" i="7"/>
  <c r="EU164" i="7"/>
  <c r="EV164" i="7"/>
  <c r="EU166" i="7"/>
  <c r="EV166" i="7"/>
  <c r="EW166" i="7"/>
  <c r="EU167" i="7"/>
  <c r="EV167" i="7"/>
  <c r="EU168" i="7"/>
  <c r="EV168" i="7"/>
  <c r="EW168" i="7"/>
  <c r="EU169" i="7"/>
  <c r="EV169" i="7"/>
  <c r="EU170" i="7"/>
  <c r="EV170" i="7"/>
  <c r="EW170" i="7"/>
  <c r="EU171" i="7"/>
  <c r="EV171" i="7"/>
  <c r="EW171" i="7"/>
  <c r="EV172" i="7"/>
  <c r="EV173" i="7"/>
  <c r="EV174" i="7"/>
  <c r="EV175" i="7"/>
  <c r="EV176" i="7"/>
  <c r="EW176" i="7"/>
  <c r="EV177" i="7"/>
  <c r="EW177" i="7"/>
  <c r="EV178" i="7"/>
  <c r="EV179" i="7"/>
  <c r="EW179" i="7"/>
  <c r="EV180" i="7"/>
  <c r="EW180" i="7"/>
  <c r="EV181" i="7"/>
  <c r="EV182" i="7"/>
  <c r="EV183" i="7"/>
  <c r="EV184" i="7"/>
  <c r="EV185" i="7"/>
  <c r="EV186" i="7"/>
  <c r="EV187" i="7"/>
  <c r="EV188" i="7"/>
  <c r="EW188" i="7"/>
  <c r="EV189" i="7"/>
  <c r="EW189" i="7"/>
  <c r="EV190" i="7"/>
  <c r="EV191" i="7"/>
  <c r="EV192" i="7"/>
  <c r="EV193" i="7"/>
  <c r="EV194" i="7"/>
  <c r="EV195" i="7"/>
  <c r="EV196" i="7"/>
  <c r="EV197" i="7"/>
  <c r="EV198" i="7"/>
  <c r="EV200" i="7"/>
  <c r="EV201" i="7"/>
  <c r="EV202" i="7"/>
  <c r="EW202" i="7"/>
  <c r="EV203" i="7"/>
  <c r="FI152" i="7"/>
  <c r="FF152" i="7"/>
  <c r="FF153" i="7"/>
  <c r="FF154" i="7"/>
  <c r="FF155" i="7"/>
  <c r="FF156" i="7"/>
  <c r="FF157" i="7"/>
  <c r="FJ157" i="7"/>
  <c r="FK157" i="7"/>
  <c r="FI158" i="7"/>
  <c r="FF158" i="7"/>
  <c r="FJ158" i="7"/>
  <c r="FK158" i="7"/>
  <c r="FI159" i="7"/>
  <c r="FF159" i="7"/>
  <c r="FJ159" i="7"/>
  <c r="FI160" i="7"/>
  <c r="FJ160" i="7"/>
  <c r="FK160" i="7"/>
  <c r="FF160" i="7"/>
  <c r="FI162" i="7"/>
  <c r="FJ162" i="7"/>
  <c r="FK162" i="7"/>
  <c r="FI163" i="7"/>
  <c r="FJ163" i="7"/>
  <c r="FI164" i="7"/>
  <c r="FJ164" i="7"/>
  <c r="FK164" i="7"/>
  <c r="FI166" i="7"/>
  <c r="FJ166" i="7"/>
  <c r="FI167" i="7"/>
  <c r="FJ167" i="7"/>
  <c r="FK167" i="7"/>
  <c r="FI168" i="7"/>
  <c r="FJ168" i="7"/>
  <c r="FK168" i="7"/>
  <c r="FI169" i="7"/>
  <c r="FJ169" i="7"/>
  <c r="FI170" i="7"/>
  <c r="FJ170" i="7"/>
  <c r="FK170" i="7"/>
  <c r="FI171" i="7"/>
  <c r="FJ171" i="7"/>
  <c r="FJ172" i="7"/>
  <c r="FJ173" i="7"/>
  <c r="FJ174" i="7"/>
  <c r="FJ175" i="7"/>
  <c r="FK175" i="7"/>
  <c r="FJ176" i="7"/>
  <c r="FK176" i="7"/>
  <c r="FJ177" i="7"/>
  <c r="FK177" i="7"/>
  <c r="FJ178" i="7"/>
  <c r="FJ179" i="7"/>
  <c r="FJ180" i="7"/>
  <c r="FJ181" i="7"/>
  <c r="FJ182" i="7"/>
  <c r="FK182" i="7"/>
  <c r="FJ183" i="7"/>
  <c r="FJ184" i="7"/>
  <c r="FJ185" i="7"/>
  <c r="FJ186" i="7"/>
  <c r="FK186" i="7"/>
  <c r="FJ187" i="7"/>
  <c r="FK187" i="7"/>
  <c r="FJ188" i="7"/>
  <c r="FJ189" i="7"/>
  <c r="FK189" i="7"/>
  <c r="FJ190" i="7"/>
  <c r="FJ191" i="7"/>
  <c r="FJ192" i="7"/>
  <c r="FJ193" i="7"/>
  <c r="FJ194" i="7"/>
  <c r="FK194" i="7"/>
  <c r="FJ195" i="7"/>
  <c r="FK195" i="7"/>
  <c r="FJ196" i="7"/>
  <c r="FJ197" i="7"/>
  <c r="FJ198" i="7"/>
  <c r="FJ200" i="7"/>
  <c r="FK200" i="7"/>
  <c r="FJ201" i="7"/>
  <c r="FK201" i="7"/>
  <c r="FJ202" i="7"/>
  <c r="FK202" i="7"/>
  <c r="FJ203" i="7"/>
  <c r="FW152" i="7"/>
  <c r="FW153" i="7"/>
  <c r="FW154" i="7"/>
  <c r="FW155" i="7"/>
  <c r="FT154" i="7"/>
  <c r="FX154" i="7"/>
  <c r="FT152" i="7"/>
  <c r="FT153" i="7"/>
  <c r="FT155" i="7"/>
  <c r="FX155" i="7"/>
  <c r="FT156" i="7"/>
  <c r="FX156" i="7"/>
  <c r="FY156" i="7"/>
  <c r="FW157" i="7"/>
  <c r="FT157" i="7"/>
  <c r="FT158" i="7"/>
  <c r="FT159" i="7"/>
  <c r="FT160" i="7"/>
  <c r="FW162" i="7"/>
  <c r="FX162" i="7"/>
  <c r="FW163" i="7"/>
  <c r="FX163" i="7"/>
  <c r="FW164" i="7"/>
  <c r="FX164" i="7"/>
  <c r="FY164" i="7"/>
  <c r="FW166" i="7"/>
  <c r="FX166" i="7"/>
  <c r="FY166" i="7"/>
  <c r="FW167" i="7"/>
  <c r="FX167" i="7"/>
  <c r="FY167" i="7"/>
  <c r="FW168" i="7"/>
  <c r="FX168" i="7"/>
  <c r="FY168" i="7"/>
  <c r="FW169" i="7"/>
  <c r="FX169" i="7"/>
  <c r="FY169" i="7"/>
  <c r="FW170" i="7"/>
  <c r="FX170" i="7"/>
  <c r="FY170" i="7"/>
  <c r="FW171" i="7"/>
  <c r="FX171" i="7"/>
  <c r="FY171" i="7"/>
  <c r="FX172" i="7"/>
  <c r="FX173" i="7"/>
  <c r="FY173" i="7"/>
  <c r="FX174" i="7"/>
  <c r="FX175" i="7"/>
  <c r="FY175" i="7"/>
  <c r="FX176" i="7"/>
  <c r="FY176" i="7"/>
  <c r="FX177" i="7"/>
  <c r="FX178" i="7"/>
  <c r="FY178" i="7"/>
  <c r="FX179" i="7"/>
  <c r="FY179" i="7"/>
  <c r="FX180" i="7"/>
  <c r="FX181" i="7"/>
  <c r="FX182" i="7"/>
  <c r="FY182" i="7"/>
  <c r="FX183" i="7"/>
  <c r="FX184" i="7"/>
  <c r="FX185" i="7"/>
  <c r="FX186" i="7"/>
  <c r="FX187" i="7"/>
  <c r="FX188" i="7"/>
  <c r="FY188" i="7"/>
  <c r="FX189" i="7"/>
  <c r="FX190" i="7"/>
  <c r="FX191" i="7"/>
  <c r="FX192" i="7"/>
  <c r="FY192" i="7"/>
  <c r="FX193" i="7"/>
  <c r="FX194" i="7"/>
  <c r="FX195" i="7"/>
  <c r="FX196" i="7"/>
  <c r="FX197" i="7"/>
  <c r="FX198" i="7"/>
  <c r="FX200" i="7"/>
  <c r="FX201" i="7"/>
  <c r="FY201" i="7"/>
  <c r="FX202" i="7"/>
  <c r="FX203" i="7"/>
  <c r="GK152" i="7"/>
  <c r="GH152" i="7"/>
  <c r="GH153" i="7"/>
  <c r="GH154" i="7"/>
  <c r="GH155" i="7"/>
  <c r="GH156" i="7"/>
  <c r="GH157" i="7"/>
  <c r="GL157" i="7"/>
  <c r="GK158" i="7"/>
  <c r="GK159" i="7"/>
  <c r="GH158" i="7"/>
  <c r="GH159" i="7"/>
  <c r="GL159" i="7"/>
  <c r="GK160" i="7"/>
  <c r="GL160" i="7"/>
  <c r="GM160" i="7"/>
  <c r="GH160" i="7"/>
  <c r="GK162" i="7"/>
  <c r="GL162" i="7"/>
  <c r="GM162" i="7"/>
  <c r="GK163" i="7"/>
  <c r="GL163" i="7"/>
  <c r="GM163" i="7"/>
  <c r="GK164" i="7"/>
  <c r="GL164" i="7"/>
  <c r="GM164" i="7"/>
  <c r="GK166" i="7"/>
  <c r="GL166" i="7"/>
  <c r="GM166" i="7"/>
  <c r="GK167" i="7"/>
  <c r="GL167" i="7"/>
  <c r="GK168" i="7"/>
  <c r="GL168" i="7"/>
  <c r="GM168" i="7"/>
  <c r="GK169" i="7"/>
  <c r="GL169" i="7"/>
  <c r="GK170" i="7"/>
  <c r="GL170" i="7"/>
  <c r="GK171" i="7"/>
  <c r="GL171" i="7"/>
  <c r="GM171" i="7"/>
  <c r="GL172" i="7"/>
  <c r="GM172" i="7"/>
  <c r="GL173" i="7"/>
  <c r="GL174" i="7"/>
  <c r="GL175" i="7"/>
  <c r="GM175" i="7"/>
  <c r="GL176" i="7"/>
  <c r="GM176" i="7"/>
  <c r="GL177" i="7"/>
  <c r="GL178" i="7"/>
  <c r="GM178" i="7"/>
  <c r="GL179" i="7"/>
  <c r="GL180" i="7"/>
  <c r="GL181" i="7"/>
  <c r="GL182" i="7"/>
  <c r="GL183" i="7"/>
  <c r="GM183" i="7"/>
  <c r="GL184" i="7"/>
  <c r="GL185" i="7"/>
  <c r="GL186" i="7"/>
  <c r="GM186" i="7"/>
  <c r="GL187" i="7"/>
  <c r="GM187" i="7"/>
  <c r="GL188" i="7"/>
  <c r="GM188" i="7"/>
  <c r="GL189" i="7"/>
  <c r="GL190" i="7"/>
  <c r="GM190" i="7"/>
  <c r="GL191" i="7"/>
  <c r="GL192" i="7"/>
  <c r="GL193" i="7"/>
  <c r="GM193" i="7"/>
  <c r="GL194" i="7"/>
  <c r="GL195" i="7"/>
  <c r="GM195" i="7"/>
  <c r="GL196" i="7"/>
  <c r="GL197" i="7"/>
  <c r="GM197" i="7"/>
  <c r="GL198" i="7"/>
  <c r="GL200" i="7"/>
  <c r="GL201" i="7"/>
  <c r="GL202" i="7"/>
  <c r="GL203" i="7"/>
  <c r="GM203" i="7"/>
  <c r="BL155" i="7"/>
  <c r="BO155" i="7"/>
  <c r="BP155" i="7"/>
  <c r="BL156" i="7"/>
  <c r="BO156" i="7"/>
  <c r="BO160" i="7"/>
  <c r="BL157" i="7"/>
  <c r="BP157" i="7"/>
  <c r="BQ157" i="7"/>
  <c r="BO157" i="7"/>
  <c r="BL158" i="7"/>
  <c r="BO158" i="7"/>
  <c r="BL159" i="7"/>
  <c r="BO159" i="7"/>
  <c r="BL160" i="7"/>
  <c r="BL161" i="7"/>
  <c r="BP161" i="7"/>
  <c r="BO161" i="7"/>
  <c r="BL162" i="7"/>
  <c r="BO162" i="7"/>
  <c r="BO166" i="7"/>
  <c r="BO170" i="7"/>
  <c r="BL163" i="7"/>
  <c r="BO163" i="7"/>
  <c r="BL164" i="7"/>
  <c r="BL165" i="7"/>
  <c r="BO165" i="7"/>
  <c r="BL166" i="7"/>
  <c r="BL167" i="7"/>
  <c r="BL168" i="7"/>
  <c r="BL169" i="7"/>
  <c r="BL170" i="7"/>
  <c r="BL171" i="7"/>
  <c r="BO167" i="7"/>
  <c r="BO171" i="7"/>
  <c r="BL172" i="7"/>
  <c r="BL173" i="7"/>
  <c r="BO169" i="7"/>
  <c r="BO173" i="7"/>
  <c r="BO177" i="7"/>
  <c r="BL174" i="7"/>
  <c r="BO174" i="7"/>
  <c r="BO178" i="7"/>
  <c r="BO182" i="7"/>
  <c r="BO186" i="7"/>
  <c r="BO190" i="7"/>
  <c r="BP174" i="7"/>
  <c r="BL175" i="7"/>
  <c r="BO175" i="7"/>
  <c r="BO179" i="7"/>
  <c r="BL176" i="7"/>
  <c r="BL177" i="7"/>
  <c r="BL178" i="7"/>
  <c r="BL179" i="7"/>
  <c r="BL180" i="7"/>
  <c r="BL181" i="7"/>
  <c r="BO181" i="7"/>
  <c r="BO185" i="7"/>
  <c r="BL182" i="7"/>
  <c r="BL183" i="7"/>
  <c r="BL184" i="7"/>
  <c r="BL185" i="7"/>
  <c r="BL186" i="7"/>
  <c r="BL187" i="7"/>
  <c r="BL188" i="7"/>
  <c r="BL189" i="7"/>
  <c r="BO189" i="7"/>
  <c r="BL190" i="7"/>
  <c r="BP195" i="7"/>
  <c r="BP196" i="7"/>
  <c r="BP197" i="7"/>
  <c r="BP198" i="7"/>
  <c r="BP199" i="7"/>
  <c r="BP200" i="7"/>
  <c r="BP201" i="7"/>
  <c r="BP202" i="7"/>
  <c r="BP203" i="7"/>
  <c r="BZ155" i="7"/>
  <c r="CD155" i="7"/>
  <c r="CC155" i="7"/>
  <c r="CC159" i="7"/>
  <c r="CC163" i="7"/>
  <c r="BZ156" i="7"/>
  <c r="CC156" i="7"/>
  <c r="BZ159" i="7"/>
  <c r="BZ163" i="7"/>
  <c r="BZ160" i="7"/>
  <c r="CD160" i="7"/>
  <c r="CC160" i="7"/>
  <c r="CC164" i="7"/>
  <c r="CC168" i="7"/>
  <c r="BZ168" i="7"/>
  <c r="CD168" i="7"/>
  <c r="BZ164" i="7"/>
  <c r="BZ167" i="7"/>
  <c r="BZ171" i="7"/>
  <c r="BZ172" i="7"/>
  <c r="CC172" i="7"/>
  <c r="CC176" i="7"/>
  <c r="CC180" i="7"/>
  <c r="BZ175" i="7"/>
  <c r="BZ176" i="7"/>
  <c r="BZ179" i="7"/>
  <c r="BZ180" i="7"/>
  <c r="CD180" i="7"/>
  <c r="CE180" i="7"/>
  <c r="BZ183" i="7"/>
  <c r="BZ184" i="7"/>
  <c r="CC184" i="7"/>
  <c r="CC188" i="7"/>
  <c r="CD188" i="7"/>
  <c r="CE188" i="7"/>
  <c r="BZ187" i="7"/>
  <c r="BZ188" i="7"/>
  <c r="CD195" i="7"/>
  <c r="CD196" i="7"/>
  <c r="CD199" i="7"/>
  <c r="CD200" i="7"/>
  <c r="CD203" i="7"/>
  <c r="HA152" i="7"/>
  <c r="HA153" i="7"/>
  <c r="GX152" i="7"/>
  <c r="GX153" i="7"/>
  <c r="HB153" i="7"/>
  <c r="HC153" i="7"/>
  <c r="HA154" i="7"/>
  <c r="HA155" i="7"/>
  <c r="HA156" i="7"/>
  <c r="GX154" i="7"/>
  <c r="GX155" i="7"/>
  <c r="GX156" i="7"/>
  <c r="GX157" i="7"/>
  <c r="GX158" i="7"/>
  <c r="GX159" i="7"/>
  <c r="GX160" i="7"/>
  <c r="HA162" i="7"/>
  <c r="HB162" i="7"/>
  <c r="HA163" i="7"/>
  <c r="HB163" i="7"/>
  <c r="HC163" i="7"/>
  <c r="HA164" i="7"/>
  <c r="HB164" i="7"/>
  <c r="HC164" i="7"/>
  <c r="HA166" i="7"/>
  <c r="HB166" i="7"/>
  <c r="HC166" i="7"/>
  <c r="HA167" i="7"/>
  <c r="HB167" i="7"/>
  <c r="HC167" i="7"/>
  <c r="HA168" i="7"/>
  <c r="HB168" i="7"/>
  <c r="HA169" i="7"/>
  <c r="HB169" i="7"/>
  <c r="HA170" i="7"/>
  <c r="HB170" i="7"/>
  <c r="HC170" i="7"/>
  <c r="HA171" i="7"/>
  <c r="HB171" i="7"/>
  <c r="HC171" i="7"/>
  <c r="HB172" i="7"/>
  <c r="HB173" i="7"/>
  <c r="HC173" i="7"/>
  <c r="HB174" i="7"/>
  <c r="HC174" i="7"/>
  <c r="HB175" i="7"/>
  <c r="HC175" i="7"/>
  <c r="HB176" i="7"/>
  <c r="HB177" i="7"/>
  <c r="HB178" i="7"/>
  <c r="HC178" i="7"/>
  <c r="HB179" i="7"/>
  <c r="HB180" i="7"/>
  <c r="HB181" i="7"/>
  <c r="HB182" i="7"/>
  <c r="HC182" i="7"/>
  <c r="HB183" i="7"/>
  <c r="HC183" i="7"/>
  <c r="HB184" i="7"/>
  <c r="HC184" i="7"/>
  <c r="HB185" i="7"/>
  <c r="HB186" i="7"/>
  <c r="HC186" i="7"/>
  <c r="HB187" i="7"/>
  <c r="HB188" i="7"/>
  <c r="HC188" i="7"/>
  <c r="HB189" i="7"/>
  <c r="HB190" i="7"/>
  <c r="HB191" i="7"/>
  <c r="HC191" i="7"/>
  <c r="HB192" i="7"/>
  <c r="HC192" i="7"/>
  <c r="HB193" i="7"/>
  <c r="HC193" i="7"/>
  <c r="HB194" i="7"/>
  <c r="HC194" i="7"/>
  <c r="HB195" i="7"/>
  <c r="HB196" i="7"/>
  <c r="HB197" i="7"/>
  <c r="HB198" i="7"/>
  <c r="HB200" i="7"/>
  <c r="HB201" i="7"/>
  <c r="HC201" i="7"/>
  <c r="HB202" i="7"/>
  <c r="HB203" i="7"/>
  <c r="HC203" i="7"/>
  <c r="AJ155" i="7"/>
  <c r="AM155" i="7"/>
  <c r="AM159" i="7"/>
  <c r="AJ156" i="7"/>
  <c r="AM156" i="7"/>
  <c r="AJ157" i="7"/>
  <c r="AM157" i="7"/>
  <c r="AM161" i="7"/>
  <c r="AM165" i="7"/>
  <c r="AM169" i="7"/>
  <c r="AM173" i="7"/>
  <c r="AJ158" i="7"/>
  <c r="AN158" i="7"/>
  <c r="AO158" i="7"/>
  <c r="AM158" i="7"/>
  <c r="AJ159" i="7"/>
  <c r="AJ160" i="7"/>
  <c r="AM160" i="7"/>
  <c r="AM164" i="7"/>
  <c r="AJ161" i="7"/>
  <c r="AJ169" i="7"/>
  <c r="AJ173" i="7"/>
  <c r="AN173" i="7"/>
  <c r="AJ177" i="7"/>
  <c r="AM177" i="7"/>
  <c r="AJ181" i="7"/>
  <c r="AM181" i="7"/>
  <c r="AJ185" i="7"/>
  <c r="AJ189" i="7"/>
  <c r="AN197" i="7"/>
  <c r="AN201" i="7"/>
  <c r="AJ162" i="7"/>
  <c r="AM162" i="7"/>
  <c r="AM166" i="7"/>
  <c r="AM170" i="7"/>
  <c r="AM174" i="7"/>
  <c r="AJ163" i="7"/>
  <c r="AJ164" i="7"/>
  <c r="AJ165" i="7"/>
  <c r="AJ166" i="7"/>
  <c r="AJ167" i="7"/>
  <c r="AJ168" i="7"/>
  <c r="AJ170" i="7"/>
  <c r="AJ171" i="7"/>
  <c r="AM163" i="7"/>
  <c r="AM167" i="7"/>
  <c r="AM171" i="7"/>
  <c r="AM175" i="7"/>
  <c r="AJ172" i="7"/>
  <c r="AJ174" i="7"/>
  <c r="AJ175" i="7"/>
  <c r="AJ176" i="7"/>
  <c r="AJ178" i="7"/>
  <c r="AN178" i="7"/>
  <c r="AJ179" i="7"/>
  <c r="AJ180" i="7"/>
  <c r="AJ182" i="7"/>
  <c r="AJ183" i="7"/>
  <c r="AJ184" i="7"/>
  <c r="AJ186" i="7"/>
  <c r="AM186" i="7"/>
  <c r="AN186" i="7"/>
  <c r="AJ187" i="7"/>
  <c r="AJ188" i="7"/>
  <c r="AJ190" i="7"/>
  <c r="AM190" i="7"/>
  <c r="AN195" i="7"/>
  <c r="AN196" i="7"/>
  <c r="AN198" i="7"/>
  <c r="AN199" i="7"/>
  <c r="AN200" i="7"/>
  <c r="AN202" i="7"/>
  <c r="AN203" i="7"/>
  <c r="CP152" i="7"/>
  <c r="CP153" i="7"/>
  <c r="CP154" i="7"/>
  <c r="CP155" i="7"/>
  <c r="CP156" i="7"/>
  <c r="CP157" i="7"/>
  <c r="CP158" i="7"/>
  <c r="CP159" i="7"/>
  <c r="CP160" i="7"/>
  <c r="CP162" i="7"/>
  <c r="CP163" i="7"/>
  <c r="CP164" i="7"/>
  <c r="CP165" i="7"/>
  <c r="CP166" i="7"/>
  <c r="CP167" i="7"/>
  <c r="CP168" i="7"/>
  <c r="CP169" i="7"/>
  <c r="CP170" i="7"/>
  <c r="DD152" i="7"/>
  <c r="DD153" i="7"/>
  <c r="DD154" i="7"/>
  <c r="DD155" i="7"/>
  <c r="DD156" i="7"/>
  <c r="DD157" i="7"/>
  <c r="DD158" i="7"/>
  <c r="DD159" i="7"/>
  <c r="DD162" i="7"/>
  <c r="DD163" i="7"/>
  <c r="DD164" i="7"/>
  <c r="DD165" i="7"/>
  <c r="DD166" i="7"/>
  <c r="DD167" i="7"/>
  <c r="DD168" i="7"/>
  <c r="DD169" i="7"/>
  <c r="DD170" i="7"/>
  <c r="DR152" i="7"/>
  <c r="DR153" i="7"/>
  <c r="DR154" i="7"/>
  <c r="DR155" i="7"/>
  <c r="DR156" i="7"/>
  <c r="DR158" i="7"/>
  <c r="DR159" i="7"/>
  <c r="DR160" i="7"/>
  <c r="DR162" i="7"/>
  <c r="DR163" i="7"/>
  <c r="DR164" i="7"/>
  <c r="DR165" i="7"/>
  <c r="DR166" i="7"/>
  <c r="DR167" i="7"/>
  <c r="DR168" i="7"/>
  <c r="DR169" i="7"/>
  <c r="DR170" i="7"/>
  <c r="ET152" i="7"/>
  <c r="ET153" i="7"/>
  <c r="ET154" i="7"/>
  <c r="ET155" i="7"/>
  <c r="ET156" i="7"/>
  <c r="ET157" i="7"/>
  <c r="ET158" i="7"/>
  <c r="ET159" i="7"/>
  <c r="ET162" i="7"/>
  <c r="ET163" i="7"/>
  <c r="ET164" i="7"/>
  <c r="ET165" i="7"/>
  <c r="ET166" i="7"/>
  <c r="ET167" i="7"/>
  <c r="ET168" i="7"/>
  <c r="ET169" i="7"/>
  <c r="ET170" i="7"/>
  <c r="FH152" i="7"/>
  <c r="FH153" i="7"/>
  <c r="FH154" i="7"/>
  <c r="FH155" i="7"/>
  <c r="FH156" i="7"/>
  <c r="FH158" i="7"/>
  <c r="FH159" i="7"/>
  <c r="FH160" i="7"/>
  <c r="FH162" i="7"/>
  <c r="FH163" i="7"/>
  <c r="FH164" i="7"/>
  <c r="FH165" i="7"/>
  <c r="FH166" i="7"/>
  <c r="FH167" i="7"/>
  <c r="FH168" i="7"/>
  <c r="FH169" i="7"/>
  <c r="FH170" i="7"/>
  <c r="FV152" i="7"/>
  <c r="FV153" i="7"/>
  <c r="FV154" i="7"/>
  <c r="FV155" i="7"/>
  <c r="FV157" i="7"/>
  <c r="FV158" i="7"/>
  <c r="FV159" i="7"/>
  <c r="FV160" i="7"/>
  <c r="FV162" i="7"/>
  <c r="FV163" i="7"/>
  <c r="FV164" i="7"/>
  <c r="FV165" i="7"/>
  <c r="FV166" i="7"/>
  <c r="FV167" i="7"/>
  <c r="FV168" i="7"/>
  <c r="FV169" i="7"/>
  <c r="FV170" i="7"/>
  <c r="GJ152" i="7"/>
  <c r="GJ153" i="7"/>
  <c r="GJ154" i="7"/>
  <c r="GJ155" i="7"/>
  <c r="GJ156" i="7"/>
  <c r="GJ158" i="7"/>
  <c r="GJ159" i="7"/>
  <c r="GJ160" i="7"/>
  <c r="GJ162" i="7"/>
  <c r="GJ163" i="7"/>
  <c r="GJ164" i="7"/>
  <c r="GJ165" i="7"/>
  <c r="GJ166" i="7"/>
  <c r="GJ167" i="7"/>
  <c r="GJ168" i="7"/>
  <c r="GJ169" i="7"/>
  <c r="GJ170" i="7"/>
  <c r="GZ152" i="7"/>
  <c r="GZ153" i="7"/>
  <c r="GZ154" i="7"/>
  <c r="GZ155" i="7"/>
  <c r="GZ156" i="7"/>
  <c r="GZ157" i="7"/>
  <c r="GZ158" i="7"/>
  <c r="GZ159" i="7"/>
  <c r="GZ160" i="7"/>
  <c r="GZ162" i="7"/>
  <c r="GZ163" i="7"/>
  <c r="GZ164" i="7"/>
  <c r="GZ165" i="7"/>
  <c r="GZ166" i="7"/>
  <c r="GZ167" i="7"/>
  <c r="GZ168" i="7"/>
  <c r="GZ169" i="7"/>
  <c r="GZ170" i="7"/>
  <c r="GZ171" i="7"/>
  <c r="GZ172" i="7"/>
  <c r="GZ173" i="7"/>
  <c r="GZ174" i="7"/>
  <c r="BQ154" i="7"/>
  <c r="BQ153" i="7"/>
  <c r="BQ152" i="7"/>
  <c r="BQ151" i="7"/>
  <c r="BQ155" i="7"/>
  <c r="BQ161" i="7"/>
  <c r="AV156" i="7"/>
  <c r="BX155" i="7"/>
  <c r="BX156" i="7"/>
  <c r="BV157" i="7"/>
  <c r="BX157" i="7"/>
  <c r="BV158" i="7"/>
  <c r="BX158" i="7"/>
  <c r="CB155" i="7"/>
  <c r="CB159" i="7"/>
  <c r="CB163" i="7"/>
  <c r="CB167" i="7"/>
  <c r="CB171" i="7"/>
  <c r="CB175" i="7"/>
  <c r="CB179" i="7"/>
  <c r="CB183" i="7"/>
  <c r="CB187" i="7"/>
  <c r="CB156" i="7"/>
  <c r="CB160" i="7"/>
  <c r="CB164" i="7"/>
  <c r="CB168" i="7"/>
  <c r="CB172" i="7"/>
  <c r="CB176" i="7"/>
  <c r="CB180" i="7"/>
  <c r="CB184" i="7"/>
  <c r="CB188" i="7"/>
  <c r="BJ159" i="7"/>
  <c r="BN155" i="7"/>
  <c r="BN159" i="7"/>
  <c r="BN163" i="7"/>
  <c r="BN167" i="7"/>
  <c r="BN171" i="7"/>
  <c r="BJ160" i="7"/>
  <c r="BN156" i="7"/>
  <c r="BN160" i="7"/>
  <c r="BJ161" i="7"/>
  <c r="BN157" i="7"/>
  <c r="BN161" i="7"/>
  <c r="BJ162" i="7"/>
  <c r="BN158" i="7"/>
  <c r="BN162" i="7"/>
  <c r="BN166" i="7"/>
  <c r="BN170" i="7"/>
  <c r="BN174" i="7"/>
  <c r="BN178" i="7"/>
  <c r="BN182" i="7"/>
  <c r="BN186" i="7"/>
  <c r="BN190" i="7"/>
  <c r="BJ155" i="7"/>
  <c r="BJ156" i="7"/>
  <c r="BJ157" i="7"/>
  <c r="BJ158" i="7"/>
  <c r="GF152" i="7"/>
  <c r="GF153" i="7"/>
  <c r="GF154" i="7"/>
  <c r="GF155" i="7"/>
  <c r="GF156" i="7"/>
  <c r="GF157" i="7"/>
  <c r="GM157" i="7"/>
  <c r="GF158" i="7"/>
  <c r="GF159" i="7"/>
  <c r="GM159" i="7"/>
  <c r="FR152" i="7"/>
  <c r="FR153" i="7"/>
  <c r="FP162" i="7"/>
  <c r="FP163" i="7"/>
  <c r="FP164" i="7"/>
  <c r="FP166" i="7"/>
  <c r="FP167" i="7"/>
  <c r="FP168" i="7"/>
  <c r="FP169" i="7"/>
  <c r="FP170" i="7"/>
  <c r="FP171" i="7"/>
  <c r="FP172" i="7"/>
  <c r="FP173" i="7"/>
  <c r="FP174" i="7"/>
  <c r="FP175" i="7"/>
  <c r="FP176" i="7"/>
  <c r="FP177" i="7"/>
  <c r="FP178" i="7"/>
  <c r="FP179" i="7"/>
  <c r="FP180" i="7"/>
  <c r="FP181" i="7"/>
  <c r="FP182" i="7"/>
  <c r="FP183" i="7"/>
  <c r="FP184" i="7"/>
  <c r="FP185" i="7"/>
  <c r="FP186" i="7"/>
  <c r="FP187" i="7"/>
  <c r="FP188" i="7"/>
  <c r="FP190" i="7"/>
  <c r="FP191" i="7"/>
  <c r="FP192" i="7"/>
  <c r="FP194" i="7"/>
  <c r="FP195" i="7"/>
  <c r="FP196" i="7"/>
  <c r="FP198" i="7"/>
  <c r="FP200" i="7"/>
  <c r="FP201" i="7"/>
  <c r="FP202" i="7"/>
  <c r="FR154" i="7"/>
  <c r="FR155" i="7"/>
  <c r="FR156" i="7"/>
  <c r="FR157" i="7"/>
  <c r="FR158" i="7"/>
  <c r="FR159" i="7"/>
  <c r="FD152" i="7"/>
  <c r="FD153" i="7"/>
  <c r="FD154" i="7"/>
  <c r="FD155" i="7"/>
  <c r="FD156" i="7"/>
  <c r="FD157" i="7"/>
  <c r="FD158" i="7"/>
  <c r="FD159" i="7"/>
  <c r="FK159" i="7"/>
  <c r="EP152" i="7"/>
  <c r="EP153" i="7"/>
  <c r="EP154" i="7"/>
  <c r="EP155" i="7"/>
  <c r="EP156" i="7"/>
  <c r="EP157" i="7"/>
  <c r="EP158" i="7"/>
  <c r="EP159" i="7"/>
  <c r="EB152" i="7"/>
  <c r="EB153" i="7"/>
  <c r="EB154" i="7"/>
  <c r="EB155" i="7"/>
  <c r="EB156" i="7"/>
  <c r="EB157" i="7"/>
  <c r="EB158" i="7"/>
  <c r="EB159" i="7"/>
  <c r="DN152" i="7"/>
  <c r="DN153" i="7"/>
  <c r="DN154" i="7"/>
  <c r="DN155" i="7"/>
  <c r="DN156" i="7"/>
  <c r="DN157" i="7"/>
  <c r="DU157" i="7"/>
  <c r="DN158" i="7"/>
  <c r="DN159" i="7"/>
  <c r="DU159" i="7"/>
  <c r="CZ152" i="7"/>
  <c r="CZ153" i="7"/>
  <c r="CZ154" i="7"/>
  <c r="CZ155" i="7"/>
  <c r="CZ156" i="7"/>
  <c r="CZ157" i="7"/>
  <c r="CZ158" i="7"/>
  <c r="CZ159" i="7"/>
  <c r="CL155" i="7"/>
  <c r="CL156" i="7"/>
  <c r="AV155" i="7"/>
  <c r="AZ155" i="7"/>
  <c r="AZ159" i="7"/>
  <c r="AZ163" i="7"/>
  <c r="AZ167" i="7"/>
  <c r="AZ171" i="7"/>
  <c r="AZ156" i="7"/>
  <c r="AZ160" i="7"/>
  <c r="AZ164" i="7"/>
  <c r="AZ168" i="7"/>
  <c r="AZ172" i="7"/>
  <c r="AZ176" i="7"/>
  <c r="AZ180" i="7"/>
  <c r="AZ184" i="7"/>
  <c r="AZ188" i="7"/>
  <c r="AV157" i="7"/>
  <c r="AZ157" i="7"/>
  <c r="AV158" i="7"/>
  <c r="AZ158" i="7"/>
  <c r="AZ162" i="7"/>
  <c r="AZ166" i="7"/>
  <c r="AZ170" i="7"/>
  <c r="AZ174" i="7"/>
  <c r="AZ178" i="7"/>
  <c r="AZ182" i="7"/>
  <c r="AZ186" i="7"/>
  <c r="AZ190" i="7"/>
  <c r="BC158" i="7"/>
  <c r="AV159" i="7"/>
  <c r="AV160" i="7"/>
  <c r="AV161" i="7"/>
  <c r="AZ161" i="7"/>
  <c r="AZ165" i="7"/>
  <c r="AZ169" i="7"/>
  <c r="AZ173" i="7"/>
  <c r="AZ177" i="7"/>
  <c r="AZ181" i="7"/>
  <c r="AZ185" i="7"/>
  <c r="AV162" i="7"/>
  <c r="AV163" i="7"/>
  <c r="AV164" i="7"/>
  <c r="AV165" i="7"/>
  <c r="AV166" i="7"/>
  <c r="AV167" i="7"/>
  <c r="AV168" i="7"/>
  <c r="AV169" i="7"/>
  <c r="AV170" i="7"/>
  <c r="AV171" i="7"/>
  <c r="AV172" i="7"/>
  <c r="AV173" i="7"/>
  <c r="AV174" i="7"/>
  <c r="AV175" i="7"/>
  <c r="AZ175" i="7"/>
  <c r="AZ179" i="7"/>
  <c r="AZ183" i="7"/>
  <c r="AV176" i="7"/>
  <c r="AV177" i="7"/>
  <c r="AV178" i="7"/>
  <c r="AV179" i="7"/>
  <c r="BC179" i="7"/>
  <c r="AV180" i="7"/>
  <c r="AV181" i="7"/>
  <c r="AV182" i="7"/>
  <c r="AV183" i="7"/>
  <c r="AV184" i="7"/>
  <c r="AV185" i="7"/>
  <c r="AV186" i="7"/>
  <c r="AH155" i="7"/>
  <c r="AL155" i="7"/>
  <c r="AL159" i="7"/>
  <c r="AL163" i="7"/>
  <c r="AL167" i="7"/>
  <c r="AL171" i="7"/>
  <c r="AL175" i="7"/>
  <c r="AL179" i="7"/>
  <c r="AL183" i="7"/>
  <c r="AL187" i="7"/>
  <c r="AH156" i="7"/>
  <c r="AL156" i="7"/>
  <c r="AL160" i="7"/>
  <c r="AL164" i="7"/>
  <c r="AL168" i="7"/>
  <c r="AL172" i="7"/>
  <c r="AL176" i="7"/>
  <c r="AL180" i="7"/>
  <c r="AL184" i="7"/>
  <c r="AL188" i="7"/>
  <c r="AH157" i="7"/>
  <c r="AL157" i="7"/>
  <c r="AH158" i="7"/>
  <c r="AL158" i="7"/>
  <c r="AH159" i="7"/>
  <c r="AH160" i="7"/>
  <c r="AH161" i="7"/>
  <c r="AL161" i="7"/>
  <c r="AL165" i="7"/>
  <c r="AL169" i="7"/>
  <c r="AL173" i="7"/>
  <c r="AL177" i="7"/>
  <c r="AL181" i="7"/>
  <c r="AL185" i="7"/>
  <c r="AL189" i="7"/>
  <c r="AH162" i="7"/>
  <c r="AL162" i="7"/>
  <c r="AL166" i="7"/>
  <c r="AL170" i="7"/>
  <c r="AL174" i="7"/>
  <c r="AH163" i="7"/>
  <c r="AH164" i="7"/>
  <c r="AH165" i="7"/>
  <c r="AH166" i="7"/>
  <c r="AH167" i="7"/>
  <c r="AH168" i="7"/>
  <c r="AH169" i="7"/>
  <c r="AH170" i="7"/>
  <c r="AH171" i="7"/>
  <c r="AH172" i="7"/>
  <c r="AH173" i="7"/>
  <c r="AO173" i="7"/>
  <c r="AH174" i="7"/>
  <c r="AH175" i="7"/>
  <c r="AH176" i="7"/>
  <c r="AH177" i="7"/>
  <c r="AH178" i="7"/>
  <c r="AO178" i="7"/>
  <c r="AH179" i="7"/>
  <c r="AH180" i="7"/>
  <c r="AH181" i="7"/>
  <c r="AH182" i="7"/>
  <c r="AH183" i="7"/>
  <c r="AH184" i="7"/>
  <c r="AH185" i="7"/>
  <c r="AH186" i="7"/>
  <c r="AL186" i="7"/>
  <c r="AL190" i="7"/>
  <c r="AO186" i="7"/>
  <c r="T155" i="7"/>
  <c r="X155" i="7"/>
  <c r="X159" i="7"/>
  <c r="X163" i="7"/>
  <c r="X167" i="7"/>
  <c r="X171" i="7"/>
  <c r="X175" i="7"/>
  <c r="X179" i="7"/>
  <c r="X183" i="7"/>
  <c r="X187" i="7"/>
  <c r="T156" i="7"/>
  <c r="X156" i="7"/>
  <c r="X160" i="7"/>
  <c r="X164" i="7"/>
  <c r="X168" i="7"/>
  <c r="X172" i="7"/>
  <c r="T157" i="7"/>
  <c r="T158" i="7"/>
  <c r="X158" i="7"/>
  <c r="X162" i="7"/>
  <c r="T159" i="7"/>
  <c r="T160" i="7"/>
  <c r="T161" i="7"/>
  <c r="X161" i="7"/>
  <c r="X165" i="7"/>
  <c r="X169" i="7"/>
  <c r="AA161" i="7"/>
  <c r="T162" i="7"/>
  <c r="AA162" i="7"/>
  <c r="T163" i="7"/>
  <c r="T164" i="7"/>
  <c r="T165" i="7"/>
  <c r="T166" i="7"/>
  <c r="T167" i="7"/>
  <c r="T168" i="7"/>
  <c r="T169" i="7"/>
  <c r="T170" i="7"/>
  <c r="X170" i="7"/>
  <c r="X174" i="7"/>
  <c r="T171" i="7"/>
  <c r="T172" i="7"/>
  <c r="T173" i="7"/>
  <c r="X173" i="7"/>
  <c r="T174" i="7"/>
  <c r="T175" i="7"/>
  <c r="T176" i="7"/>
  <c r="X176" i="7"/>
  <c r="X180" i="7"/>
  <c r="X184" i="7"/>
  <c r="X188" i="7"/>
  <c r="T177" i="7"/>
  <c r="X177" i="7"/>
  <c r="T178" i="7"/>
  <c r="X178" i="7"/>
  <c r="T179" i="7"/>
  <c r="T180" i="7"/>
  <c r="T181" i="7"/>
  <c r="X181" i="7"/>
  <c r="T182" i="7"/>
  <c r="X182" i="7"/>
  <c r="X186" i="7"/>
  <c r="X190" i="7"/>
  <c r="T183" i="7"/>
  <c r="T184" i="7"/>
  <c r="T185" i="7"/>
  <c r="T186" i="7"/>
  <c r="J155" i="7"/>
  <c r="J159" i="7"/>
  <c r="J163" i="7"/>
  <c r="J167" i="7"/>
  <c r="J171" i="7"/>
  <c r="J175" i="7"/>
  <c r="J156" i="7"/>
  <c r="J160" i="7"/>
  <c r="J164" i="7"/>
  <c r="J168" i="7"/>
  <c r="J172" i="7"/>
  <c r="J157" i="7"/>
  <c r="J161" i="7"/>
  <c r="J165" i="7"/>
  <c r="J169" i="7"/>
  <c r="J173" i="7"/>
  <c r="J158" i="7"/>
  <c r="J162" i="7"/>
  <c r="J166" i="7"/>
  <c r="J170" i="7"/>
  <c r="J174" i="7"/>
  <c r="J178" i="7"/>
  <c r="J182" i="7"/>
  <c r="M156" i="7"/>
  <c r="M158" i="7"/>
  <c r="CJ173" i="7"/>
  <c r="DL173" i="7"/>
  <c r="EN173" i="7"/>
  <c r="FB173" i="7"/>
  <c r="GD173" i="7"/>
  <c r="GR173" i="7"/>
  <c r="HH173" i="7"/>
  <c r="HN173" i="7"/>
  <c r="HT173" i="7"/>
  <c r="CJ177" i="7"/>
  <c r="DL177" i="7"/>
  <c r="EN177" i="7"/>
  <c r="FB177" i="7"/>
  <c r="GD177" i="7"/>
  <c r="GR177" i="7"/>
  <c r="HH177" i="7"/>
  <c r="HN177" i="7"/>
  <c r="HT177" i="7"/>
  <c r="CJ181" i="7"/>
  <c r="DL181" i="7"/>
  <c r="EN181" i="7"/>
  <c r="FB181" i="7"/>
  <c r="GD181" i="7"/>
  <c r="GR181" i="7"/>
  <c r="HH181" i="7"/>
  <c r="HN181" i="7"/>
  <c r="HT181" i="7"/>
  <c r="CJ185" i="7"/>
  <c r="DL185" i="7"/>
  <c r="EN185" i="7"/>
  <c r="FB185" i="7"/>
  <c r="GD185" i="7"/>
  <c r="GR185" i="7"/>
  <c r="HH185" i="7"/>
  <c r="HN185" i="7"/>
  <c r="HT185" i="7"/>
  <c r="Y198" i="7"/>
  <c r="BA196" i="7"/>
  <c r="Y200" i="7"/>
  <c r="K204" i="7"/>
  <c r="AM204" i="7"/>
  <c r="BA204" i="7"/>
  <c r="CJ162" i="7"/>
  <c r="CJ163" i="7"/>
  <c r="CJ164" i="7"/>
  <c r="CJ166" i="7"/>
  <c r="CJ167" i="7"/>
  <c r="CJ168" i="7"/>
  <c r="CJ169" i="7"/>
  <c r="CJ170" i="7"/>
  <c r="CJ171" i="7"/>
  <c r="CJ172" i="7"/>
  <c r="CJ174" i="7"/>
  <c r="CJ175" i="7"/>
  <c r="CJ176" i="7"/>
  <c r="CJ178" i="7"/>
  <c r="CJ179" i="7"/>
  <c r="CJ180" i="7"/>
  <c r="CJ182" i="7"/>
  <c r="CJ183" i="7"/>
  <c r="CJ184" i="7"/>
  <c r="CJ186" i="7"/>
  <c r="CJ187" i="7"/>
  <c r="CJ188" i="7"/>
  <c r="CJ190" i="7"/>
  <c r="CJ191" i="7"/>
  <c r="CJ192" i="7"/>
  <c r="CJ194" i="7"/>
  <c r="CJ195" i="7"/>
  <c r="CJ196" i="7"/>
  <c r="CJ198" i="7"/>
  <c r="CJ200" i="7"/>
  <c r="CJ201" i="7"/>
  <c r="CJ202" i="7"/>
  <c r="CX162" i="7"/>
  <c r="CX163" i="7"/>
  <c r="CX164" i="7"/>
  <c r="CX166" i="7"/>
  <c r="CX167" i="7"/>
  <c r="CX168" i="7"/>
  <c r="CX169" i="7"/>
  <c r="CX170" i="7"/>
  <c r="CX171" i="7"/>
  <c r="CX172" i="7"/>
  <c r="CX173" i="7"/>
  <c r="CX174" i="7"/>
  <c r="CX175" i="7"/>
  <c r="CX176" i="7"/>
  <c r="CX177" i="7"/>
  <c r="CX178" i="7"/>
  <c r="CX179" i="7"/>
  <c r="CX180" i="7"/>
  <c r="CX181" i="7"/>
  <c r="CX182" i="7"/>
  <c r="CX183" i="7"/>
  <c r="CX184" i="7"/>
  <c r="CX185" i="7"/>
  <c r="CX186" i="7"/>
  <c r="CX187" i="7"/>
  <c r="CX188" i="7"/>
  <c r="CX189" i="7"/>
  <c r="CX190" i="7"/>
  <c r="CX191" i="7"/>
  <c r="CX192" i="7"/>
  <c r="CX193" i="7"/>
  <c r="CX194" i="7"/>
  <c r="CX195" i="7"/>
  <c r="CX196" i="7"/>
  <c r="CX197" i="7"/>
  <c r="CX198" i="7"/>
  <c r="CX200" i="7"/>
  <c r="CX201" i="7"/>
  <c r="CX202" i="7"/>
  <c r="DL162" i="7"/>
  <c r="DL163" i="7"/>
  <c r="DL164" i="7"/>
  <c r="DL166" i="7"/>
  <c r="DL167" i="7"/>
  <c r="DL168" i="7"/>
  <c r="DL169" i="7"/>
  <c r="DL170" i="7"/>
  <c r="DL171" i="7"/>
  <c r="DL172" i="7"/>
  <c r="DL174" i="7"/>
  <c r="DL175" i="7"/>
  <c r="DL176" i="7"/>
  <c r="DL178" i="7"/>
  <c r="DL179" i="7"/>
  <c r="DL180" i="7"/>
  <c r="DL182" i="7"/>
  <c r="DL183" i="7"/>
  <c r="DL184" i="7"/>
  <c r="DL186" i="7"/>
  <c r="DL187" i="7"/>
  <c r="DL188" i="7"/>
  <c r="DL190" i="7"/>
  <c r="DL191" i="7"/>
  <c r="DL192" i="7"/>
  <c r="DL194" i="7"/>
  <c r="DL195" i="7"/>
  <c r="DL196" i="7"/>
  <c r="DL198" i="7"/>
  <c r="DL200" i="7"/>
  <c r="DL201" i="7"/>
  <c r="DL202" i="7"/>
  <c r="EN162" i="7"/>
  <c r="EN163" i="7"/>
  <c r="EN164" i="7"/>
  <c r="EN166" i="7"/>
  <c r="EN167" i="7"/>
  <c r="EN168" i="7"/>
  <c r="EN169" i="7"/>
  <c r="EN170" i="7"/>
  <c r="EN171" i="7"/>
  <c r="EN172" i="7"/>
  <c r="EN174" i="7"/>
  <c r="EN175" i="7"/>
  <c r="EN176" i="7"/>
  <c r="EN178" i="7"/>
  <c r="EN179" i="7"/>
  <c r="EN180" i="7"/>
  <c r="EN182" i="7"/>
  <c r="EN183" i="7"/>
  <c r="EN184" i="7"/>
  <c r="EN186" i="7"/>
  <c r="EN187" i="7"/>
  <c r="EN188" i="7"/>
  <c r="EN190" i="7"/>
  <c r="EN191" i="7"/>
  <c r="EN192" i="7"/>
  <c r="EN194" i="7"/>
  <c r="EN195" i="7"/>
  <c r="EN196" i="7"/>
  <c r="EN198" i="7"/>
  <c r="EN200" i="7"/>
  <c r="EN201" i="7"/>
  <c r="EN202" i="7"/>
  <c r="FB162" i="7"/>
  <c r="FB163" i="7"/>
  <c r="FB164" i="7"/>
  <c r="FB166" i="7"/>
  <c r="FB167" i="7"/>
  <c r="FB168" i="7"/>
  <c r="FB169" i="7"/>
  <c r="FB170" i="7"/>
  <c r="FB171" i="7"/>
  <c r="FB172" i="7"/>
  <c r="FB174" i="7"/>
  <c r="FB175" i="7"/>
  <c r="FB176" i="7"/>
  <c r="FB178" i="7"/>
  <c r="FB179" i="7"/>
  <c r="FB180" i="7"/>
  <c r="FB182" i="7"/>
  <c r="FB183" i="7"/>
  <c r="FB184" i="7"/>
  <c r="FB186" i="7"/>
  <c r="FB187" i="7"/>
  <c r="FB188" i="7"/>
  <c r="FB190" i="7"/>
  <c r="FB191" i="7"/>
  <c r="FB192" i="7"/>
  <c r="FB194" i="7"/>
  <c r="FB195" i="7"/>
  <c r="FB196" i="7"/>
  <c r="FB198" i="7"/>
  <c r="FB200" i="7"/>
  <c r="FB201" i="7"/>
  <c r="FB202" i="7"/>
  <c r="GD162" i="7"/>
  <c r="GD163" i="7"/>
  <c r="GD164" i="7"/>
  <c r="GD166" i="7"/>
  <c r="GD167" i="7"/>
  <c r="GD168" i="7"/>
  <c r="GD169" i="7"/>
  <c r="GD170" i="7"/>
  <c r="GD171" i="7"/>
  <c r="GD172" i="7"/>
  <c r="GD174" i="7"/>
  <c r="GD175" i="7"/>
  <c r="GD176" i="7"/>
  <c r="GD178" i="7"/>
  <c r="GD179" i="7"/>
  <c r="GD180" i="7"/>
  <c r="GD182" i="7"/>
  <c r="GD183" i="7"/>
  <c r="GD184" i="7"/>
  <c r="GD186" i="7"/>
  <c r="GD187" i="7"/>
  <c r="GD188" i="7"/>
  <c r="GD190" i="7"/>
  <c r="GD191" i="7"/>
  <c r="GD192" i="7"/>
  <c r="GD194" i="7"/>
  <c r="GD195" i="7"/>
  <c r="GD196" i="7"/>
  <c r="GD198" i="7"/>
  <c r="GD200" i="7"/>
  <c r="GD201" i="7"/>
  <c r="GD202" i="7"/>
  <c r="GR162" i="7"/>
  <c r="GR163" i="7"/>
  <c r="GR164" i="7"/>
  <c r="GR166" i="7"/>
  <c r="GR167" i="7"/>
  <c r="GR168" i="7"/>
  <c r="GR169" i="7"/>
  <c r="GR170" i="7"/>
  <c r="GR171" i="7"/>
  <c r="GR172" i="7"/>
  <c r="GR174" i="7"/>
  <c r="GR175" i="7"/>
  <c r="GR176" i="7"/>
  <c r="GR178" i="7"/>
  <c r="GR179" i="7"/>
  <c r="GR180" i="7"/>
  <c r="GR182" i="7"/>
  <c r="GR183" i="7"/>
  <c r="GR184" i="7"/>
  <c r="GR186" i="7"/>
  <c r="GR187" i="7"/>
  <c r="GR188" i="7"/>
  <c r="GR190" i="7"/>
  <c r="GR191" i="7"/>
  <c r="GR192" i="7"/>
  <c r="GR194" i="7"/>
  <c r="GR195" i="7"/>
  <c r="GR196" i="7"/>
  <c r="GR198" i="7"/>
  <c r="GR200" i="7"/>
  <c r="GR201" i="7"/>
  <c r="GR202" i="7"/>
  <c r="F220" i="7"/>
  <c r="CH152" i="7"/>
  <c r="CL152" i="7"/>
  <c r="CV152" i="7"/>
  <c r="DJ152" i="7"/>
  <c r="DX152" i="7"/>
  <c r="EL152" i="7"/>
  <c r="EZ152" i="7"/>
  <c r="FN152" i="7"/>
  <c r="GB152" i="7"/>
  <c r="GP152" i="7"/>
  <c r="GT152" i="7"/>
  <c r="GV152" i="7"/>
  <c r="HF152" i="7"/>
  <c r="HL152" i="7"/>
  <c r="HR152" i="7"/>
  <c r="CH153" i="7"/>
  <c r="CL153" i="7"/>
  <c r="CV153" i="7"/>
  <c r="DJ153" i="7"/>
  <c r="DX153" i="7"/>
  <c r="EL153" i="7"/>
  <c r="EZ153" i="7"/>
  <c r="FN153" i="7"/>
  <c r="GB153" i="7"/>
  <c r="GP153" i="7"/>
  <c r="GT153" i="7"/>
  <c r="GV153" i="7"/>
  <c r="HF153" i="7"/>
  <c r="HL153" i="7"/>
  <c r="HR153" i="7"/>
  <c r="CH154" i="7"/>
  <c r="CL154" i="7"/>
  <c r="CV154" i="7"/>
  <c r="DJ154" i="7"/>
  <c r="DX154" i="7"/>
  <c r="EL154" i="7"/>
  <c r="EZ154" i="7"/>
  <c r="FN154" i="7"/>
  <c r="GB154" i="7"/>
  <c r="GP154" i="7"/>
  <c r="GT154" i="7"/>
  <c r="GV154" i="7"/>
  <c r="HF154" i="7"/>
  <c r="HL154" i="7"/>
  <c r="HR154" i="7"/>
  <c r="F155" i="7"/>
  <c r="P155" i="7"/>
  <c r="AD155" i="7"/>
  <c r="AR155" i="7"/>
  <c r="CH155" i="7"/>
  <c r="CV155" i="7"/>
  <c r="DJ155" i="7"/>
  <c r="DX155" i="7"/>
  <c r="EL155" i="7"/>
  <c r="EZ155" i="7"/>
  <c r="FN155" i="7"/>
  <c r="GB155" i="7"/>
  <c r="BT155" i="7"/>
  <c r="GP155" i="7"/>
  <c r="GT155" i="7"/>
  <c r="GV155" i="7"/>
  <c r="HF155" i="7"/>
  <c r="HL155" i="7"/>
  <c r="HR155" i="7"/>
  <c r="F156" i="7"/>
  <c r="CH156" i="7"/>
  <c r="CV156" i="7"/>
  <c r="DJ156" i="7"/>
  <c r="DX156" i="7"/>
  <c r="EL156" i="7"/>
  <c r="EZ156" i="7"/>
  <c r="FN156" i="7"/>
  <c r="GB156" i="7"/>
  <c r="GP156" i="7"/>
  <c r="GT156" i="7"/>
  <c r="GV156" i="7"/>
  <c r="HF156" i="7"/>
  <c r="HL156" i="7"/>
  <c r="HR156" i="7"/>
  <c r="F157" i="7"/>
  <c r="CH157" i="7"/>
  <c r="CL157" i="7"/>
  <c r="CV157" i="7"/>
  <c r="DJ157" i="7"/>
  <c r="DX157" i="7"/>
  <c r="EL157" i="7"/>
  <c r="EZ157" i="7"/>
  <c r="FN157" i="7"/>
  <c r="GB157" i="7"/>
  <c r="GP157" i="7"/>
  <c r="GT157" i="7"/>
  <c r="GV157" i="7"/>
  <c r="HF157" i="7"/>
  <c r="HL157" i="7"/>
  <c r="HR157" i="7"/>
  <c r="F158" i="7"/>
  <c r="CH158" i="7"/>
  <c r="CL158" i="7"/>
  <c r="CV158" i="7"/>
  <c r="DJ158" i="7"/>
  <c r="DX158" i="7"/>
  <c r="EL158" i="7"/>
  <c r="EZ158" i="7"/>
  <c r="FN158" i="7"/>
  <c r="GB158" i="7"/>
  <c r="GP158" i="7"/>
  <c r="GT158" i="7"/>
  <c r="GV158" i="7"/>
  <c r="HF158" i="7"/>
  <c r="HL158" i="7"/>
  <c r="HR158" i="7"/>
  <c r="F159" i="7"/>
  <c r="P159" i="7"/>
  <c r="AD159" i="7"/>
  <c r="AR159" i="7"/>
  <c r="CH159" i="7"/>
  <c r="CL159" i="7"/>
  <c r="CV159" i="7"/>
  <c r="DJ159" i="7"/>
  <c r="DX159" i="7"/>
  <c r="EL159" i="7"/>
  <c r="EZ159" i="7"/>
  <c r="FN159" i="7"/>
  <c r="GB159" i="7"/>
  <c r="BF159" i="7"/>
  <c r="BT159" i="7"/>
  <c r="BX159" i="7"/>
  <c r="GP159" i="7"/>
  <c r="GT159" i="7"/>
  <c r="GV159" i="7"/>
  <c r="HF159" i="7"/>
  <c r="HL159" i="7"/>
  <c r="HR159" i="7"/>
  <c r="F160" i="7"/>
  <c r="CH160" i="7"/>
  <c r="CL160" i="7"/>
  <c r="CV160" i="7"/>
  <c r="CZ160" i="7"/>
  <c r="DJ160" i="7"/>
  <c r="DN160" i="7"/>
  <c r="DX160" i="7"/>
  <c r="EB160" i="7"/>
  <c r="EL160" i="7"/>
  <c r="EP160" i="7"/>
  <c r="EZ160" i="7"/>
  <c r="FD160" i="7"/>
  <c r="FN160" i="7"/>
  <c r="FR160" i="7"/>
  <c r="GB160" i="7"/>
  <c r="GF160" i="7"/>
  <c r="BX160" i="7"/>
  <c r="CE160" i="7"/>
  <c r="GP160" i="7"/>
  <c r="GT160" i="7"/>
  <c r="GV160" i="7"/>
  <c r="HF160" i="7"/>
  <c r="HL160" i="7"/>
  <c r="HR160" i="7"/>
  <c r="F161" i="7"/>
  <c r="CH161" i="7"/>
  <c r="BV161" i="7"/>
  <c r="BX161" i="7"/>
  <c r="F162" i="7"/>
  <c r="CH162" i="7"/>
  <c r="CL162" i="7"/>
  <c r="CN162" i="7"/>
  <c r="CV162" i="7"/>
  <c r="CZ162" i="7"/>
  <c r="DB162" i="7"/>
  <c r="DJ162" i="7"/>
  <c r="DN162" i="7"/>
  <c r="DP162" i="7"/>
  <c r="DX162" i="7"/>
  <c r="EB162" i="7"/>
  <c r="ED162" i="7"/>
  <c r="EI162" i="7"/>
  <c r="EL162" i="7"/>
  <c r="EP162" i="7"/>
  <c r="ER162" i="7"/>
  <c r="EW162" i="7"/>
  <c r="EZ162" i="7"/>
  <c r="FD162" i="7"/>
  <c r="FF162" i="7"/>
  <c r="FN162" i="7"/>
  <c r="FR162" i="7"/>
  <c r="FT162" i="7"/>
  <c r="FY162" i="7"/>
  <c r="GB162" i="7"/>
  <c r="GF162" i="7"/>
  <c r="GH162" i="7"/>
  <c r="BV162" i="7"/>
  <c r="BX162" i="7"/>
  <c r="GP162" i="7"/>
  <c r="GT162" i="7"/>
  <c r="GV162" i="7"/>
  <c r="GX162" i="7"/>
  <c r="HC162" i="7"/>
  <c r="HF162" i="7"/>
  <c r="HH162" i="7"/>
  <c r="HL162" i="7"/>
  <c r="HN162" i="7"/>
  <c r="HR162" i="7"/>
  <c r="HT162" i="7"/>
  <c r="F163" i="7"/>
  <c r="P163" i="7"/>
  <c r="AD163" i="7"/>
  <c r="AR163" i="7"/>
  <c r="CH163" i="7"/>
  <c r="CL163" i="7"/>
  <c r="CN163" i="7"/>
  <c r="CV163" i="7"/>
  <c r="CZ163" i="7"/>
  <c r="DB163" i="7"/>
  <c r="DG163" i="7"/>
  <c r="DJ163" i="7"/>
  <c r="DN163" i="7"/>
  <c r="DP163" i="7"/>
  <c r="DX163" i="7"/>
  <c r="EB163" i="7"/>
  <c r="ED163" i="7"/>
  <c r="EL163" i="7"/>
  <c r="EP163" i="7"/>
  <c r="ER163" i="7"/>
  <c r="EZ163" i="7"/>
  <c r="FD163" i="7"/>
  <c r="FF163" i="7"/>
  <c r="FK163" i="7"/>
  <c r="FN163" i="7"/>
  <c r="FR163" i="7"/>
  <c r="FT163" i="7"/>
  <c r="FY163" i="7"/>
  <c r="GB163" i="7"/>
  <c r="GF163" i="7"/>
  <c r="GH163" i="7"/>
  <c r="BF163" i="7"/>
  <c r="BJ163" i="7"/>
  <c r="BT163" i="7"/>
  <c r="BX163" i="7"/>
  <c r="GP163" i="7"/>
  <c r="GT163" i="7"/>
  <c r="GV163" i="7"/>
  <c r="GX163" i="7"/>
  <c r="HF163" i="7"/>
  <c r="HH163" i="7"/>
  <c r="HH207" i="7"/>
  <c r="HH209" i="7"/>
  <c r="HL163" i="7"/>
  <c r="HN163" i="7"/>
  <c r="HR163" i="7"/>
  <c r="HT163" i="7"/>
  <c r="F164" i="7"/>
  <c r="CH164" i="7"/>
  <c r="CL164" i="7"/>
  <c r="CN164" i="7"/>
  <c r="CV164" i="7"/>
  <c r="CZ164" i="7"/>
  <c r="DB164" i="7"/>
  <c r="DJ164" i="7"/>
  <c r="DN164" i="7"/>
  <c r="DP164" i="7"/>
  <c r="DX164" i="7"/>
  <c r="EB164" i="7"/>
  <c r="ED164" i="7"/>
  <c r="EL164" i="7"/>
  <c r="EP164" i="7"/>
  <c r="ER164" i="7"/>
  <c r="EW164" i="7"/>
  <c r="EZ164" i="7"/>
  <c r="FD164" i="7"/>
  <c r="FF164" i="7"/>
  <c r="FN164" i="7"/>
  <c r="FR164" i="7"/>
  <c r="FT164" i="7"/>
  <c r="GB164" i="7"/>
  <c r="GF164" i="7"/>
  <c r="GH164" i="7"/>
  <c r="BJ164" i="7"/>
  <c r="BN164" i="7"/>
  <c r="BN168" i="7"/>
  <c r="BX164" i="7"/>
  <c r="GP164" i="7"/>
  <c r="GT164" i="7"/>
  <c r="GV164" i="7"/>
  <c r="GX164" i="7"/>
  <c r="HF164" i="7"/>
  <c r="HH164" i="7"/>
  <c r="HL164" i="7"/>
  <c r="HN164" i="7"/>
  <c r="HR164" i="7"/>
  <c r="HT164" i="7"/>
  <c r="F165" i="7"/>
  <c r="CS165" i="7"/>
  <c r="DG165" i="7"/>
  <c r="DU165" i="7"/>
  <c r="EI165" i="7"/>
  <c r="EW165" i="7"/>
  <c r="FK165" i="7"/>
  <c r="FY165" i="7"/>
  <c r="GM165" i="7"/>
  <c r="BJ165" i="7"/>
  <c r="BN165" i="7"/>
  <c r="BN169" i="7"/>
  <c r="BV165" i="7"/>
  <c r="BX165" i="7"/>
  <c r="HC165" i="7"/>
  <c r="F166" i="7"/>
  <c r="CL166" i="7"/>
  <c r="CN166" i="7"/>
  <c r="CZ166" i="7"/>
  <c r="DB166" i="7"/>
  <c r="DG166" i="7"/>
  <c r="DN166" i="7"/>
  <c r="DP166" i="7"/>
  <c r="EB166" i="7"/>
  <c r="ED166" i="7"/>
  <c r="EI166" i="7"/>
  <c r="EP166" i="7"/>
  <c r="ER166" i="7"/>
  <c r="FD166" i="7"/>
  <c r="FF166" i="7"/>
  <c r="FK166" i="7"/>
  <c r="FR166" i="7"/>
  <c r="FT166" i="7"/>
  <c r="GF166" i="7"/>
  <c r="GH166" i="7"/>
  <c r="BJ166" i="7"/>
  <c r="BV166" i="7"/>
  <c r="BX166" i="7"/>
  <c r="GT166" i="7"/>
  <c r="GV166" i="7"/>
  <c r="GX166" i="7"/>
  <c r="HH166" i="7"/>
  <c r="HN166" i="7"/>
  <c r="HT166" i="7"/>
  <c r="F167" i="7"/>
  <c r="AD167" i="7"/>
  <c r="AR167" i="7"/>
  <c r="CL167" i="7"/>
  <c r="CN167" i="7"/>
  <c r="CZ167" i="7"/>
  <c r="DB167" i="7"/>
  <c r="DN167" i="7"/>
  <c r="DP167" i="7"/>
  <c r="DU167" i="7"/>
  <c r="EB167" i="7"/>
  <c r="ED167" i="7"/>
  <c r="EI167" i="7"/>
  <c r="EP167" i="7"/>
  <c r="ER167" i="7"/>
  <c r="EW167" i="7"/>
  <c r="FD167" i="7"/>
  <c r="FF167" i="7"/>
  <c r="FR167" i="7"/>
  <c r="FT167" i="7"/>
  <c r="GF167" i="7"/>
  <c r="GH167" i="7"/>
  <c r="GM167" i="7"/>
  <c r="BF167" i="7"/>
  <c r="BJ167" i="7"/>
  <c r="BT167" i="7"/>
  <c r="BX167" i="7"/>
  <c r="GT167" i="7"/>
  <c r="GV167" i="7"/>
  <c r="GX167" i="7"/>
  <c r="HH167" i="7"/>
  <c r="HN167" i="7"/>
  <c r="HT167" i="7"/>
  <c r="F168" i="7"/>
  <c r="CL168" i="7"/>
  <c r="CN168" i="7"/>
  <c r="CZ168" i="7"/>
  <c r="DB168" i="7"/>
  <c r="DG168" i="7"/>
  <c r="DN168" i="7"/>
  <c r="DP168" i="7"/>
  <c r="EB168" i="7"/>
  <c r="ED168" i="7"/>
  <c r="EI168" i="7"/>
  <c r="EP168" i="7"/>
  <c r="ER168" i="7"/>
  <c r="FD168" i="7"/>
  <c r="FF168" i="7"/>
  <c r="FR168" i="7"/>
  <c r="FT168" i="7"/>
  <c r="GF168" i="7"/>
  <c r="GH168" i="7"/>
  <c r="BJ168" i="7"/>
  <c r="BX168" i="7"/>
  <c r="GT168" i="7"/>
  <c r="GV168" i="7"/>
  <c r="GX168" i="7"/>
  <c r="HC168" i="7"/>
  <c r="HH168" i="7"/>
  <c r="HN168" i="7"/>
  <c r="HT168" i="7"/>
  <c r="F169" i="7"/>
  <c r="CH169" i="7"/>
  <c r="CL169" i="7"/>
  <c r="CN169" i="7"/>
  <c r="CV169" i="7"/>
  <c r="CZ169" i="7"/>
  <c r="DB169" i="7"/>
  <c r="DG169" i="7"/>
  <c r="DJ169" i="7"/>
  <c r="DN169" i="7"/>
  <c r="DP169" i="7"/>
  <c r="DX169" i="7"/>
  <c r="EB169" i="7"/>
  <c r="ED169" i="7"/>
  <c r="EL169" i="7"/>
  <c r="EP169" i="7"/>
  <c r="ER169" i="7"/>
  <c r="EW169" i="7"/>
  <c r="EZ169" i="7"/>
  <c r="FD169" i="7"/>
  <c r="FF169" i="7"/>
  <c r="FK169" i="7"/>
  <c r="FN169" i="7"/>
  <c r="FR169" i="7"/>
  <c r="FT169" i="7"/>
  <c r="GB169" i="7"/>
  <c r="GF169" i="7"/>
  <c r="GH169" i="7"/>
  <c r="GM169" i="7"/>
  <c r="BJ169" i="7"/>
  <c r="BP169" i="7"/>
  <c r="BQ169" i="7"/>
  <c r="BV169" i="7"/>
  <c r="BX169" i="7"/>
  <c r="GP169" i="7"/>
  <c r="GT169" i="7"/>
  <c r="GV169" i="7"/>
  <c r="GX169" i="7"/>
  <c r="HC169" i="7"/>
  <c r="HF169" i="7"/>
  <c r="HH169" i="7"/>
  <c r="HL169" i="7"/>
  <c r="HN169" i="7"/>
  <c r="HR169" i="7"/>
  <c r="HT169" i="7"/>
  <c r="F170" i="7"/>
  <c r="CH170" i="7"/>
  <c r="CL170" i="7"/>
  <c r="CN170" i="7"/>
  <c r="CV170" i="7"/>
  <c r="CZ170" i="7"/>
  <c r="DB170" i="7"/>
  <c r="DG170" i="7"/>
  <c r="DJ170" i="7"/>
  <c r="DN170" i="7"/>
  <c r="DP170" i="7"/>
  <c r="DX170" i="7"/>
  <c r="EB170" i="7"/>
  <c r="ED170" i="7"/>
  <c r="EL170" i="7"/>
  <c r="EP170" i="7"/>
  <c r="ER170" i="7"/>
  <c r="EZ170" i="7"/>
  <c r="FD170" i="7"/>
  <c r="FF170" i="7"/>
  <c r="FN170" i="7"/>
  <c r="FR170" i="7"/>
  <c r="FT170" i="7"/>
  <c r="GB170" i="7"/>
  <c r="GF170" i="7"/>
  <c r="GH170" i="7"/>
  <c r="GM170" i="7"/>
  <c r="BJ170" i="7"/>
  <c r="BV170" i="7"/>
  <c r="BV174" i="7"/>
  <c r="BV178" i="7"/>
  <c r="BV182" i="7"/>
  <c r="BV186" i="7"/>
  <c r="BV190" i="7"/>
  <c r="BV198" i="7"/>
  <c r="BV202" i="7"/>
  <c r="BZ216" i="7"/>
  <c r="BX170" i="7"/>
  <c r="GP170" i="7"/>
  <c r="GT170" i="7"/>
  <c r="GV170" i="7"/>
  <c r="GX170" i="7"/>
  <c r="HF170" i="7"/>
  <c r="HH170" i="7"/>
  <c r="HL170" i="7"/>
  <c r="HN170" i="7"/>
  <c r="HR170" i="7"/>
  <c r="HT170" i="7"/>
  <c r="F171" i="7"/>
  <c r="P171" i="7"/>
  <c r="AD171" i="7"/>
  <c r="AR171" i="7"/>
  <c r="CL171" i="7"/>
  <c r="CN171" i="7"/>
  <c r="CS171" i="7"/>
  <c r="CZ171" i="7"/>
  <c r="DB171" i="7"/>
  <c r="DN171" i="7"/>
  <c r="DP171" i="7"/>
  <c r="EB171" i="7"/>
  <c r="ED171" i="7"/>
  <c r="EI171" i="7"/>
  <c r="EP171" i="7"/>
  <c r="ER171" i="7"/>
  <c r="FD171" i="7"/>
  <c r="FF171" i="7"/>
  <c r="FK171" i="7"/>
  <c r="FR171" i="7"/>
  <c r="FT171" i="7"/>
  <c r="GF171" i="7"/>
  <c r="GH171" i="7"/>
  <c r="BF171" i="7"/>
  <c r="BJ171" i="7"/>
  <c r="BT171" i="7"/>
  <c r="BX171" i="7"/>
  <c r="GT171" i="7"/>
  <c r="GV171" i="7"/>
  <c r="GX171" i="7"/>
  <c r="HH171" i="7"/>
  <c r="HN171" i="7"/>
  <c r="HT171" i="7"/>
  <c r="HT207" i="7"/>
  <c r="F172" i="7"/>
  <c r="CL172" i="7"/>
  <c r="CN172" i="7"/>
  <c r="CS172" i="7"/>
  <c r="CZ172" i="7"/>
  <c r="DB172" i="7"/>
  <c r="DG172" i="7"/>
  <c r="DN172" i="7"/>
  <c r="DP172" i="7"/>
  <c r="DU172" i="7"/>
  <c r="EB172" i="7"/>
  <c r="ED172" i="7"/>
  <c r="EP172" i="7"/>
  <c r="ER172" i="7"/>
  <c r="EW172" i="7"/>
  <c r="FD172" i="7"/>
  <c r="FF172" i="7"/>
  <c r="FK172" i="7"/>
  <c r="FR172" i="7"/>
  <c r="FT172" i="7"/>
  <c r="FY172" i="7"/>
  <c r="GF172" i="7"/>
  <c r="GH172" i="7"/>
  <c r="BJ172" i="7"/>
  <c r="BN172" i="7"/>
  <c r="BN176" i="7"/>
  <c r="BN180" i="7"/>
  <c r="BN184" i="7"/>
  <c r="BN188" i="7"/>
  <c r="BX172" i="7"/>
  <c r="GT172" i="7"/>
  <c r="GV172" i="7"/>
  <c r="GX172" i="7"/>
  <c r="HC172" i="7"/>
  <c r="HH172" i="7"/>
  <c r="HN172" i="7"/>
  <c r="HT172" i="7"/>
  <c r="F173" i="7"/>
  <c r="CL173" i="7"/>
  <c r="CN173" i="7"/>
  <c r="CZ173" i="7"/>
  <c r="DB173" i="7"/>
  <c r="DG173" i="7"/>
  <c r="DN173" i="7"/>
  <c r="DP173" i="7"/>
  <c r="DU173" i="7"/>
  <c r="EB173" i="7"/>
  <c r="ED173" i="7"/>
  <c r="EI173" i="7"/>
  <c r="EP173" i="7"/>
  <c r="ER173" i="7"/>
  <c r="EW173" i="7"/>
  <c r="FD173" i="7"/>
  <c r="FF173" i="7"/>
  <c r="FK173" i="7"/>
  <c r="FR173" i="7"/>
  <c r="FT173" i="7"/>
  <c r="GF173" i="7"/>
  <c r="GH173" i="7"/>
  <c r="GM173" i="7"/>
  <c r="BJ173" i="7"/>
  <c r="BN173" i="7"/>
  <c r="BN177" i="7"/>
  <c r="BN181" i="7"/>
  <c r="BN185" i="7"/>
  <c r="BV173" i="7"/>
  <c r="BX173" i="7"/>
  <c r="GT173" i="7"/>
  <c r="GV173" i="7"/>
  <c r="GX173" i="7"/>
  <c r="F174" i="7"/>
  <c r="CN174" i="7"/>
  <c r="CS174" i="7"/>
  <c r="DB174" i="7"/>
  <c r="DG174" i="7"/>
  <c r="DP174" i="7"/>
  <c r="DU174" i="7"/>
  <c r="ED174" i="7"/>
  <c r="ER174" i="7"/>
  <c r="EW174" i="7"/>
  <c r="FF174" i="7"/>
  <c r="FK174" i="7"/>
  <c r="FT174" i="7"/>
  <c r="FY174" i="7"/>
  <c r="GH174" i="7"/>
  <c r="GM174" i="7"/>
  <c r="BJ174" i="7"/>
  <c r="BX174" i="7"/>
  <c r="GT174" i="7"/>
  <c r="GX174" i="7"/>
  <c r="HH174" i="7"/>
  <c r="HN174" i="7"/>
  <c r="HT174" i="7"/>
  <c r="F175" i="7"/>
  <c r="P175" i="7"/>
  <c r="AD175" i="7"/>
  <c r="AR175" i="7"/>
  <c r="CL175" i="7"/>
  <c r="CN175" i="7"/>
  <c r="CS175" i="7"/>
  <c r="CZ175" i="7"/>
  <c r="DB175" i="7"/>
  <c r="DG175" i="7"/>
  <c r="DN175" i="7"/>
  <c r="DP175" i="7"/>
  <c r="DU175" i="7"/>
  <c r="EB175" i="7"/>
  <c r="ED175" i="7"/>
  <c r="EI175" i="7"/>
  <c r="EP175" i="7"/>
  <c r="ER175" i="7"/>
  <c r="EW175" i="7"/>
  <c r="FD175" i="7"/>
  <c r="FF175" i="7"/>
  <c r="FR175" i="7"/>
  <c r="FT175" i="7"/>
  <c r="GF175" i="7"/>
  <c r="GH175" i="7"/>
  <c r="BF175" i="7"/>
  <c r="BJ175" i="7"/>
  <c r="BN175" i="7"/>
  <c r="BN179" i="7"/>
  <c r="BT175" i="7"/>
  <c r="BX175" i="7"/>
  <c r="GT175" i="7"/>
  <c r="GV175" i="7"/>
  <c r="GX175" i="7"/>
  <c r="HH175" i="7"/>
  <c r="HN175" i="7"/>
  <c r="HT175" i="7"/>
  <c r="F176" i="7"/>
  <c r="CL176" i="7"/>
  <c r="CN176" i="7"/>
  <c r="CS176" i="7"/>
  <c r="CZ176" i="7"/>
  <c r="DB176" i="7"/>
  <c r="DG176" i="7"/>
  <c r="DN176" i="7"/>
  <c r="DP176" i="7"/>
  <c r="EB176" i="7"/>
  <c r="ED176" i="7"/>
  <c r="EI176" i="7"/>
  <c r="EP176" i="7"/>
  <c r="ER176" i="7"/>
  <c r="FD176" i="7"/>
  <c r="FF176" i="7"/>
  <c r="FR176" i="7"/>
  <c r="FT176" i="7"/>
  <c r="GF176" i="7"/>
  <c r="GH176" i="7"/>
  <c r="BJ176" i="7"/>
  <c r="BX176" i="7"/>
  <c r="GT176" i="7"/>
  <c r="GV176" i="7"/>
  <c r="GX176" i="7"/>
  <c r="HC176" i="7"/>
  <c r="HH176" i="7"/>
  <c r="HN176" i="7"/>
  <c r="HT176" i="7"/>
  <c r="F177" i="7"/>
  <c r="CN177" i="7"/>
  <c r="DB177" i="7"/>
  <c r="DG177" i="7"/>
  <c r="DP177" i="7"/>
  <c r="ED177" i="7"/>
  <c r="EI177" i="7"/>
  <c r="ER177" i="7"/>
  <c r="FF177" i="7"/>
  <c r="FT177" i="7"/>
  <c r="FY177" i="7"/>
  <c r="GH177" i="7"/>
  <c r="GM177" i="7"/>
  <c r="BJ177" i="7"/>
  <c r="BV177" i="7"/>
  <c r="BX177" i="7"/>
  <c r="GT177" i="7"/>
  <c r="GX177" i="7"/>
  <c r="HC177" i="7"/>
  <c r="F178" i="7"/>
  <c r="CN178" i="7"/>
  <c r="CS178" i="7"/>
  <c r="DB178" i="7"/>
  <c r="DG178" i="7"/>
  <c r="DP178" i="7"/>
  <c r="DU178" i="7"/>
  <c r="ED178" i="7"/>
  <c r="ER178" i="7"/>
  <c r="EW178" i="7"/>
  <c r="FF178" i="7"/>
  <c r="FK178" i="7"/>
  <c r="FT178" i="7"/>
  <c r="GH178" i="7"/>
  <c r="BJ178" i="7"/>
  <c r="BX178" i="7"/>
  <c r="GT178" i="7"/>
  <c r="GX178" i="7"/>
  <c r="HH178" i="7"/>
  <c r="HN178" i="7"/>
  <c r="HT178" i="7"/>
  <c r="F179" i="7"/>
  <c r="M179" i="7"/>
  <c r="P179" i="7"/>
  <c r="AD179" i="7"/>
  <c r="AR179" i="7"/>
  <c r="CN179" i="7"/>
  <c r="CS179" i="7"/>
  <c r="DB179" i="7"/>
  <c r="DG179" i="7"/>
  <c r="DP179" i="7"/>
  <c r="DU179" i="7"/>
  <c r="ED179" i="7"/>
  <c r="EI179" i="7"/>
  <c r="ER179" i="7"/>
  <c r="FF179" i="7"/>
  <c r="FK179" i="7"/>
  <c r="FT179" i="7"/>
  <c r="GH179" i="7"/>
  <c r="GM179" i="7"/>
  <c r="BF179" i="7"/>
  <c r="BJ179" i="7"/>
  <c r="BT179" i="7"/>
  <c r="BX179" i="7"/>
  <c r="GT179" i="7"/>
  <c r="GX179" i="7"/>
  <c r="HC179" i="7"/>
  <c r="HH179" i="7"/>
  <c r="HN179" i="7"/>
  <c r="HT179" i="7"/>
  <c r="F180" i="7"/>
  <c r="M180" i="7"/>
  <c r="J180" i="7"/>
  <c r="CN180" i="7"/>
  <c r="CS180" i="7"/>
  <c r="DB180" i="7"/>
  <c r="DG180" i="7"/>
  <c r="DP180" i="7"/>
  <c r="DU180" i="7"/>
  <c r="ED180" i="7"/>
  <c r="ER180" i="7"/>
  <c r="FF180" i="7"/>
  <c r="FK180" i="7"/>
  <c r="FT180" i="7"/>
  <c r="FY180" i="7"/>
  <c r="GH180" i="7"/>
  <c r="GM180" i="7"/>
  <c r="BJ180" i="7"/>
  <c r="BX180" i="7"/>
  <c r="GX180" i="7"/>
  <c r="HC180" i="7"/>
  <c r="HH180" i="7"/>
  <c r="HN180" i="7"/>
  <c r="HT180" i="7"/>
  <c r="F181" i="7"/>
  <c r="J181" i="7"/>
  <c r="CN181" i="7"/>
  <c r="CS181" i="7"/>
  <c r="DB181" i="7"/>
  <c r="DG181" i="7"/>
  <c r="DP181" i="7"/>
  <c r="ED181" i="7"/>
  <c r="ER181" i="7"/>
  <c r="EW181" i="7"/>
  <c r="FF181" i="7"/>
  <c r="FK181" i="7"/>
  <c r="FT181" i="7"/>
  <c r="FY181" i="7"/>
  <c r="GH181" i="7"/>
  <c r="GM181" i="7"/>
  <c r="BJ181" i="7"/>
  <c r="BV181" i="7"/>
  <c r="BX181" i="7"/>
  <c r="GX181" i="7"/>
  <c r="HC181" i="7"/>
  <c r="F182" i="7"/>
  <c r="CN182" i="7"/>
  <c r="CS182" i="7"/>
  <c r="DB182" i="7"/>
  <c r="DP182" i="7"/>
  <c r="DU182" i="7"/>
  <c r="ED182" i="7"/>
  <c r="ER182" i="7"/>
  <c r="EW182" i="7"/>
  <c r="FF182" i="7"/>
  <c r="FT182" i="7"/>
  <c r="GH182" i="7"/>
  <c r="GM182" i="7"/>
  <c r="BJ182" i="7"/>
  <c r="BX182" i="7"/>
  <c r="GX182" i="7"/>
  <c r="HH182" i="7"/>
  <c r="HN182" i="7"/>
  <c r="HT182" i="7"/>
  <c r="F183" i="7"/>
  <c r="J183" i="7"/>
  <c r="P183" i="7"/>
  <c r="AD183" i="7"/>
  <c r="AR183" i="7"/>
  <c r="CN183" i="7"/>
  <c r="CS183" i="7"/>
  <c r="DB183" i="7"/>
  <c r="DG183" i="7"/>
  <c r="DP183" i="7"/>
  <c r="ED183" i="7"/>
  <c r="EI183" i="7"/>
  <c r="ER183" i="7"/>
  <c r="EW183" i="7"/>
  <c r="FF183" i="7"/>
  <c r="FK183" i="7"/>
  <c r="FT183" i="7"/>
  <c r="FY183" i="7"/>
  <c r="GH183" i="7"/>
  <c r="BF183" i="7"/>
  <c r="BJ183" i="7"/>
  <c r="BN183" i="7"/>
  <c r="BN187" i="7"/>
  <c r="BT183" i="7"/>
  <c r="BX183" i="7"/>
  <c r="GX183" i="7"/>
  <c r="HH183" i="7"/>
  <c r="HN183" i="7"/>
  <c r="HT183" i="7"/>
  <c r="F184" i="7"/>
  <c r="M184" i="7"/>
  <c r="CN184" i="7"/>
  <c r="CS184" i="7"/>
  <c r="DB184" i="7"/>
  <c r="DG184" i="7"/>
  <c r="DP184" i="7"/>
  <c r="DU184" i="7"/>
  <c r="ED184" i="7"/>
  <c r="EI184" i="7"/>
  <c r="ER184" i="7"/>
  <c r="EW184" i="7"/>
  <c r="FF184" i="7"/>
  <c r="FK184" i="7"/>
  <c r="FT184" i="7"/>
  <c r="FY184" i="7"/>
  <c r="GH184" i="7"/>
  <c r="GM184" i="7"/>
  <c r="BJ184" i="7"/>
  <c r="BX184" i="7"/>
  <c r="GX184" i="7"/>
  <c r="HH184" i="7"/>
  <c r="HN184" i="7"/>
  <c r="HT184" i="7"/>
  <c r="F185" i="7"/>
  <c r="M185" i="7"/>
  <c r="J185" i="7"/>
  <c r="J189" i="7"/>
  <c r="CN185" i="7"/>
  <c r="DB185" i="7"/>
  <c r="DG185" i="7"/>
  <c r="DP185" i="7"/>
  <c r="DU185" i="7"/>
  <c r="ED185" i="7"/>
  <c r="EI185" i="7"/>
  <c r="ER185" i="7"/>
  <c r="EW185" i="7"/>
  <c r="FF185" i="7"/>
  <c r="FK185" i="7"/>
  <c r="FT185" i="7"/>
  <c r="FY185" i="7"/>
  <c r="GH185" i="7"/>
  <c r="GM185" i="7"/>
  <c r="BJ185" i="7"/>
  <c r="BV185" i="7"/>
  <c r="BX185" i="7"/>
  <c r="GX185" i="7"/>
  <c r="HC185" i="7"/>
  <c r="F186" i="7"/>
  <c r="M186" i="7"/>
  <c r="CN186" i="7"/>
  <c r="CS186" i="7"/>
  <c r="DB186" i="7"/>
  <c r="DG186" i="7"/>
  <c r="DP186" i="7"/>
  <c r="DU186" i="7"/>
  <c r="ED186" i="7"/>
  <c r="ER186" i="7"/>
  <c r="EW186" i="7"/>
  <c r="FF186" i="7"/>
  <c r="FT186" i="7"/>
  <c r="FY186" i="7"/>
  <c r="GH186" i="7"/>
  <c r="BJ186" i="7"/>
  <c r="BX186" i="7"/>
  <c r="GX186" i="7"/>
  <c r="HH186" i="7"/>
  <c r="HN186" i="7"/>
  <c r="HT186" i="7"/>
  <c r="F187" i="7"/>
  <c r="J187" i="7"/>
  <c r="P187" i="7"/>
  <c r="T187" i="7"/>
  <c r="AD187" i="7"/>
  <c r="AH187" i="7"/>
  <c r="AR187" i="7"/>
  <c r="AV187" i="7"/>
  <c r="CN187" i="7"/>
  <c r="CS187" i="7"/>
  <c r="DB187" i="7"/>
  <c r="DG187" i="7"/>
  <c r="DP187" i="7"/>
  <c r="DU187" i="7"/>
  <c r="ED187" i="7"/>
  <c r="EI187" i="7"/>
  <c r="ER187" i="7"/>
  <c r="EW187" i="7"/>
  <c r="FF187" i="7"/>
  <c r="FT187" i="7"/>
  <c r="FY187" i="7"/>
  <c r="GH187" i="7"/>
  <c r="BJ187" i="7"/>
  <c r="BX187" i="7"/>
  <c r="GX187" i="7"/>
  <c r="HC187" i="7"/>
  <c r="HH187" i="7"/>
  <c r="HN187" i="7"/>
  <c r="HT187" i="7"/>
  <c r="F188" i="7"/>
  <c r="J188" i="7"/>
  <c r="T188" i="7"/>
  <c r="AH188" i="7"/>
  <c r="AV188" i="7"/>
  <c r="CN188" i="7"/>
  <c r="CS188" i="7"/>
  <c r="DB188" i="7"/>
  <c r="DG188" i="7"/>
  <c r="DP188" i="7"/>
  <c r="ED188" i="7"/>
  <c r="ER188" i="7"/>
  <c r="FF188" i="7"/>
  <c r="FK188" i="7"/>
  <c r="FT188" i="7"/>
  <c r="GH188" i="7"/>
  <c r="BJ188" i="7"/>
  <c r="BX188" i="7"/>
  <c r="GX188" i="7"/>
  <c r="HH188" i="7"/>
  <c r="HN188" i="7"/>
  <c r="HT188" i="7"/>
  <c r="F189" i="7"/>
  <c r="T189" i="7"/>
  <c r="X189" i="7"/>
  <c r="AH189" i="7"/>
  <c r="AV189" i="7"/>
  <c r="AZ189" i="7"/>
  <c r="CN189" i="7"/>
  <c r="DB189" i="7"/>
  <c r="DG189" i="7"/>
  <c r="DP189" i="7"/>
  <c r="DU189" i="7"/>
  <c r="ED189" i="7"/>
  <c r="ER189" i="7"/>
  <c r="FF189" i="7"/>
  <c r="FT189" i="7"/>
  <c r="FY189" i="7"/>
  <c r="GH189" i="7"/>
  <c r="GM189" i="7"/>
  <c r="BJ189" i="7"/>
  <c r="BN189" i="7"/>
  <c r="BV189" i="7"/>
  <c r="BX189" i="7"/>
  <c r="GX189" i="7"/>
  <c r="HC189" i="7"/>
  <c r="F190" i="7"/>
  <c r="J190" i="7"/>
  <c r="T190" i="7"/>
  <c r="AH190" i="7"/>
  <c r="AV190" i="7"/>
  <c r="CN190" i="7"/>
  <c r="CS190" i="7"/>
  <c r="DB190" i="7"/>
  <c r="DP190" i="7"/>
  <c r="ED190" i="7"/>
  <c r="ER190" i="7"/>
  <c r="EW190" i="7"/>
  <c r="FF190" i="7"/>
  <c r="FK190" i="7"/>
  <c r="FT190" i="7"/>
  <c r="FY190" i="7"/>
  <c r="GH190" i="7"/>
  <c r="BJ190" i="7"/>
  <c r="BX190" i="7"/>
  <c r="GX190" i="7"/>
  <c r="HC190" i="7"/>
  <c r="HH190" i="7"/>
  <c r="HN190" i="7"/>
  <c r="HT190" i="7"/>
  <c r="CN191" i="7"/>
  <c r="CS191" i="7"/>
  <c r="DB191" i="7"/>
  <c r="DG191" i="7"/>
  <c r="DP191" i="7"/>
  <c r="DU191" i="7"/>
  <c r="ED191" i="7"/>
  <c r="EI191" i="7"/>
  <c r="ER191" i="7"/>
  <c r="EW191" i="7"/>
  <c r="FF191" i="7"/>
  <c r="FK191" i="7"/>
  <c r="FT191" i="7"/>
  <c r="FY191" i="7"/>
  <c r="GH191" i="7"/>
  <c r="GM191" i="7"/>
  <c r="GX191" i="7"/>
  <c r="HH191" i="7"/>
  <c r="HN191" i="7"/>
  <c r="HT191" i="7"/>
  <c r="CN192" i="7"/>
  <c r="CS192" i="7"/>
  <c r="DB192" i="7"/>
  <c r="DG192" i="7"/>
  <c r="DP192" i="7"/>
  <c r="DU192" i="7"/>
  <c r="ED192" i="7"/>
  <c r="EI192" i="7"/>
  <c r="ER192" i="7"/>
  <c r="EW192" i="7"/>
  <c r="FF192" i="7"/>
  <c r="FK192" i="7"/>
  <c r="FT192" i="7"/>
  <c r="GH192" i="7"/>
  <c r="GM192" i="7"/>
  <c r="GX192" i="7"/>
  <c r="HH192" i="7"/>
  <c r="HN192" i="7"/>
  <c r="HT192" i="7"/>
  <c r="CN193" i="7"/>
  <c r="CS193" i="7"/>
  <c r="DB193" i="7"/>
  <c r="DG193" i="7"/>
  <c r="DP193" i="7"/>
  <c r="DU193" i="7"/>
  <c r="ED193" i="7"/>
  <c r="ER193" i="7"/>
  <c r="EW193" i="7"/>
  <c r="FF193" i="7"/>
  <c r="FK193" i="7"/>
  <c r="FT193" i="7"/>
  <c r="FY193" i="7"/>
  <c r="GH193" i="7"/>
  <c r="GX193" i="7"/>
  <c r="CN194" i="7"/>
  <c r="CS194" i="7"/>
  <c r="DB194" i="7"/>
  <c r="DP194" i="7"/>
  <c r="DU194" i="7"/>
  <c r="ED194" i="7"/>
  <c r="EI194" i="7"/>
  <c r="ER194" i="7"/>
  <c r="EW194" i="7"/>
  <c r="FF194" i="7"/>
  <c r="FT194" i="7"/>
  <c r="FY194" i="7"/>
  <c r="GH194" i="7"/>
  <c r="GM194" i="7"/>
  <c r="GX194" i="7"/>
  <c r="HH194" i="7"/>
  <c r="HN194" i="7"/>
  <c r="HT194" i="7"/>
  <c r="F195" i="7"/>
  <c r="H195" i="7"/>
  <c r="M195" i="7"/>
  <c r="J195" i="7"/>
  <c r="K195" i="7"/>
  <c r="P195" i="7"/>
  <c r="T195" i="7"/>
  <c r="V195" i="7"/>
  <c r="X195" i="7"/>
  <c r="Y195" i="7"/>
  <c r="AA195" i="7"/>
  <c r="AD195" i="7"/>
  <c r="AH195" i="7"/>
  <c r="AJ195" i="7"/>
  <c r="AO195" i="7"/>
  <c r="AL195" i="7"/>
  <c r="AM195" i="7"/>
  <c r="AR195" i="7"/>
  <c r="AV195" i="7"/>
  <c r="AX195" i="7"/>
  <c r="AZ195" i="7"/>
  <c r="BA195" i="7"/>
  <c r="BC195" i="7"/>
  <c r="CN195" i="7"/>
  <c r="CS195" i="7"/>
  <c r="DB195" i="7"/>
  <c r="DG195" i="7"/>
  <c r="DP195" i="7"/>
  <c r="ED195" i="7"/>
  <c r="EI195" i="7"/>
  <c r="ER195" i="7"/>
  <c r="EW195" i="7"/>
  <c r="FF195" i="7"/>
  <c r="FT195" i="7"/>
  <c r="FY195" i="7"/>
  <c r="GH195" i="7"/>
  <c r="BF195" i="7"/>
  <c r="BJ195" i="7"/>
  <c r="BL195" i="7"/>
  <c r="BQ195" i="7"/>
  <c r="BN195" i="7"/>
  <c r="BO195" i="7"/>
  <c r="BT195" i="7"/>
  <c r="BX195" i="7"/>
  <c r="BZ195" i="7"/>
  <c r="CE195" i="7"/>
  <c r="CB195" i="7"/>
  <c r="CC195" i="7"/>
  <c r="GX195" i="7"/>
  <c r="HC195" i="7"/>
  <c r="HH195" i="7"/>
  <c r="HN195" i="7"/>
  <c r="HT195" i="7"/>
  <c r="F196" i="7"/>
  <c r="H196" i="7"/>
  <c r="M196" i="7"/>
  <c r="J196" i="7"/>
  <c r="K196" i="7"/>
  <c r="T196" i="7"/>
  <c r="V196" i="7"/>
  <c r="X196" i="7"/>
  <c r="AA196" i="7"/>
  <c r="AH196" i="7"/>
  <c r="AJ196" i="7"/>
  <c r="AL196" i="7"/>
  <c r="AM196" i="7"/>
  <c r="AO196" i="7"/>
  <c r="AV196" i="7"/>
  <c r="AX196" i="7"/>
  <c r="BC196" i="7"/>
  <c r="AZ196" i="7"/>
  <c r="CN196" i="7"/>
  <c r="CS196" i="7"/>
  <c r="DB196" i="7"/>
  <c r="DG196" i="7"/>
  <c r="DP196" i="7"/>
  <c r="DU196" i="7"/>
  <c r="ED196" i="7"/>
  <c r="EI196" i="7"/>
  <c r="ER196" i="7"/>
  <c r="EW196" i="7"/>
  <c r="FF196" i="7"/>
  <c r="FK196" i="7"/>
  <c r="FT196" i="7"/>
  <c r="FY196" i="7"/>
  <c r="GH196" i="7"/>
  <c r="GM196" i="7"/>
  <c r="BJ196" i="7"/>
  <c r="BL196" i="7"/>
  <c r="BQ196" i="7"/>
  <c r="BN196" i="7"/>
  <c r="BO196" i="7"/>
  <c r="BX196" i="7"/>
  <c r="BZ196" i="7"/>
  <c r="CE196" i="7"/>
  <c r="CB196" i="7"/>
  <c r="CC196" i="7"/>
  <c r="GX196" i="7"/>
  <c r="HC196" i="7"/>
  <c r="HH196" i="7"/>
  <c r="HN196" i="7"/>
  <c r="HT196" i="7"/>
  <c r="F197" i="7"/>
  <c r="H197" i="7"/>
  <c r="M197" i="7"/>
  <c r="J197" i="7"/>
  <c r="K197" i="7"/>
  <c r="T197" i="7"/>
  <c r="V197" i="7"/>
  <c r="AA197" i="7"/>
  <c r="X197" i="7"/>
  <c r="Y197" i="7"/>
  <c r="AH197" i="7"/>
  <c r="AJ197" i="7"/>
  <c r="AO197" i="7"/>
  <c r="AL197" i="7"/>
  <c r="AM197" i="7"/>
  <c r="AV197" i="7"/>
  <c r="AX197" i="7"/>
  <c r="AZ197" i="7"/>
  <c r="BA197" i="7"/>
  <c r="BC197" i="7"/>
  <c r="CN197" i="7"/>
  <c r="DB197" i="7"/>
  <c r="DG197" i="7"/>
  <c r="DP197" i="7"/>
  <c r="DU197" i="7"/>
  <c r="ED197" i="7"/>
  <c r="EI197" i="7"/>
  <c r="ER197" i="7"/>
  <c r="EW197" i="7"/>
  <c r="FF197" i="7"/>
  <c r="FK197" i="7"/>
  <c r="FT197" i="7"/>
  <c r="FY197" i="7"/>
  <c r="GH197" i="7"/>
  <c r="BH197" i="7"/>
  <c r="BJ197" i="7"/>
  <c r="BL197" i="7"/>
  <c r="BN197" i="7"/>
  <c r="BO197" i="7"/>
  <c r="BQ197" i="7"/>
  <c r="BV197" i="7"/>
  <c r="BX197" i="7"/>
  <c r="GX197" i="7"/>
  <c r="HC197" i="7"/>
  <c r="F198" i="7"/>
  <c r="H198" i="7"/>
  <c r="M198" i="7"/>
  <c r="J198" i="7"/>
  <c r="K198" i="7"/>
  <c r="T198" i="7"/>
  <c r="V198" i="7"/>
  <c r="X198" i="7"/>
  <c r="AH198" i="7"/>
  <c r="AJ198" i="7"/>
  <c r="AO198" i="7"/>
  <c r="AL198" i="7"/>
  <c r="AM198" i="7"/>
  <c r="AV198" i="7"/>
  <c r="AX198" i="7"/>
  <c r="AZ198" i="7"/>
  <c r="BA198" i="7"/>
  <c r="BC198" i="7"/>
  <c r="CN198" i="7"/>
  <c r="CS198" i="7"/>
  <c r="DB198" i="7"/>
  <c r="DG198" i="7"/>
  <c r="DP198" i="7"/>
  <c r="DU198" i="7"/>
  <c r="ED198" i="7"/>
  <c r="ER198" i="7"/>
  <c r="EW198" i="7"/>
  <c r="FF198" i="7"/>
  <c r="FK198" i="7"/>
  <c r="FT198" i="7"/>
  <c r="FY198" i="7"/>
  <c r="GH198" i="7"/>
  <c r="GM198" i="7"/>
  <c r="BH198" i="7"/>
  <c r="BJ198" i="7"/>
  <c r="BL198" i="7"/>
  <c r="BN198" i="7"/>
  <c r="BO198" i="7"/>
  <c r="BX198" i="7"/>
  <c r="GX198" i="7"/>
  <c r="HC198" i="7"/>
  <c r="HH198" i="7"/>
  <c r="HN198" i="7"/>
  <c r="HT198" i="7"/>
  <c r="F199" i="7"/>
  <c r="H199" i="7"/>
  <c r="M199" i="7"/>
  <c r="J199" i="7"/>
  <c r="K199" i="7"/>
  <c r="P199" i="7"/>
  <c r="T199" i="7"/>
  <c r="V199" i="7"/>
  <c r="X199" i="7"/>
  <c r="Y199" i="7"/>
  <c r="AA199" i="7"/>
  <c r="AD199" i="7"/>
  <c r="AH199" i="7"/>
  <c r="AJ199" i="7"/>
  <c r="AO199" i="7"/>
  <c r="AL199" i="7"/>
  <c r="AM199" i="7"/>
  <c r="AR199" i="7"/>
  <c r="AV199" i="7"/>
  <c r="AX199" i="7"/>
  <c r="AZ199" i="7"/>
  <c r="BA199" i="7"/>
  <c r="BC199" i="7"/>
  <c r="BJ199" i="7"/>
  <c r="BL199" i="7"/>
  <c r="BQ199" i="7"/>
  <c r="BN199" i="7"/>
  <c r="BO199" i="7"/>
  <c r="BX199" i="7"/>
  <c r="BZ199" i="7"/>
  <c r="CB199" i="7"/>
  <c r="CC199" i="7"/>
  <c r="CE199" i="7"/>
  <c r="F200" i="7"/>
  <c r="H200" i="7"/>
  <c r="J200" i="7"/>
  <c r="K200" i="7"/>
  <c r="M200" i="7"/>
  <c r="T200" i="7"/>
  <c r="V200" i="7"/>
  <c r="AA200" i="7"/>
  <c r="X200" i="7"/>
  <c r="AH200" i="7"/>
  <c r="AJ200" i="7"/>
  <c r="AL200" i="7"/>
  <c r="AO200" i="7"/>
  <c r="AV200" i="7"/>
  <c r="AX200" i="7"/>
  <c r="BC200" i="7"/>
  <c r="AZ200" i="7"/>
  <c r="BA200" i="7"/>
  <c r="CN200" i="7"/>
  <c r="CS200" i="7"/>
  <c r="DB200" i="7"/>
  <c r="DG200" i="7"/>
  <c r="DP200" i="7"/>
  <c r="DU200" i="7"/>
  <c r="ED200" i="7"/>
  <c r="ER200" i="7"/>
  <c r="EW200" i="7"/>
  <c r="FF200" i="7"/>
  <c r="FT200" i="7"/>
  <c r="FY200" i="7"/>
  <c r="GH200" i="7"/>
  <c r="GM200" i="7"/>
  <c r="BJ200" i="7"/>
  <c r="BL200" i="7"/>
  <c r="BQ200" i="7"/>
  <c r="BN200" i="7"/>
  <c r="BO200" i="7"/>
  <c r="BX200" i="7"/>
  <c r="BZ200" i="7"/>
  <c r="CE200" i="7"/>
  <c r="CB200" i="7"/>
  <c r="CC200" i="7"/>
  <c r="GX200" i="7"/>
  <c r="HC200" i="7"/>
  <c r="HH200" i="7"/>
  <c r="HN200" i="7"/>
  <c r="HT200" i="7"/>
  <c r="F201" i="7"/>
  <c r="H201" i="7"/>
  <c r="M201" i="7"/>
  <c r="J201" i="7"/>
  <c r="K201" i="7"/>
  <c r="T201" i="7"/>
  <c r="V201" i="7"/>
  <c r="AA201" i="7"/>
  <c r="X201" i="7"/>
  <c r="Y201" i="7"/>
  <c r="AH201" i="7"/>
  <c r="AJ201" i="7"/>
  <c r="AO201" i="7"/>
  <c r="AL201" i="7"/>
  <c r="AM201" i="7"/>
  <c r="AV201" i="7"/>
  <c r="AX201" i="7"/>
  <c r="BC201" i="7"/>
  <c r="AZ201" i="7"/>
  <c r="BA201" i="7"/>
  <c r="CN201" i="7"/>
  <c r="CS201" i="7"/>
  <c r="DB201" i="7"/>
  <c r="DG201" i="7"/>
  <c r="DP201" i="7"/>
  <c r="ED201" i="7"/>
  <c r="EI201" i="7"/>
  <c r="ER201" i="7"/>
  <c r="EW201" i="7"/>
  <c r="FF201" i="7"/>
  <c r="FT201" i="7"/>
  <c r="GH201" i="7"/>
  <c r="GM201" i="7"/>
  <c r="BH201" i="7"/>
  <c r="BJ201" i="7"/>
  <c r="BL201" i="7"/>
  <c r="BQ201" i="7"/>
  <c r="BN201" i="7"/>
  <c r="BO201" i="7"/>
  <c r="BV201" i="7"/>
  <c r="BX201" i="7"/>
  <c r="GX201" i="7"/>
  <c r="HH201" i="7"/>
  <c r="HN201" i="7"/>
  <c r="HT201" i="7"/>
  <c r="F202" i="7"/>
  <c r="J202" i="7"/>
  <c r="K202" i="7"/>
  <c r="M202" i="7"/>
  <c r="T202" i="7"/>
  <c r="V202" i="7"/>
  <c r="AA202" i="7"/>
  <c r="X202" i="7"/>
  <c r="Y202" i="7"/>
  <c r="AH202" i="7"/>
  <c r="AJ202" i="7"/>
  <c r="AO202" i="7"/>
  <c r="AL202" i="7"/>
  <c r="AM202" i="7"/>
  <c r="AV202" i="7"/>
  <c r="AX202" i="7"/>
  <c r="AZ202" i="7"/>
  <c r="BC202" i="7"/>
  <c r="CN202" i="7"/>
  <c r="DB202" i="7"/>
  <c r="DP202" i="7"/>
  <c r="ED202" i="7"/>
  <c r="EI202" i="7"/>
  <c r="ER202" i="7"/>
  <c r="FF202" i="7"/>
  <c r="FT202" i="7"/>
  <c r="FY202" i="7"/>
  <c r="GH202" i="7"/>
  <c r="GM202" i="7"/>
  <c r="BH202" i="7"/>
  <c r="BJ202" i="7"/>
  <c r="BL202" i="7"/>
  <c r="BQ202" i="7"/>
  <c r="BN202" i="7"/>
  <c r="BO202" i="7"/>
  <c r="BX202" i="7"/>
  <c r="GX202" i="7"/>
  <c r="HC202" i="7"/>
  <c r="HH202" i="7"/>
  <c r="HN202" i="7"/>
  <c r="HT202" i="7"/>
  <c r="F203" i="7"/>
  <c r="H203" i="7"/>
  <c r="M203" i="7"/>
  <c r="J203" i="7"/>
  <c r="K203" i="7"/>
  <c r="P203" i="7"/>
  <c r="T203" i="7"/>
  <c r="V203" i="7"/>
  <c r="X203" i="7"/>
  <c r="Y203" i="7"/>
  <c r="AA203" i="7"/>
  <c r="AD203" i="7"/>
  <c r="AH203" i="7"/>
  <c r="AJ203" i="7"/>
  <c r="AO203" i="7"/>
  <c r="AL203" i="7"/>
  <c r="AM203" i="7"/>
  <c r="AR203" i="7"/>
  <c r="AV203" i="7"/>
  <c r="AX203" i="7"/>
  <c r="AZ203" i="7"/>
  <c r="BA203" i="7"/>
  <c r="BC203" i="7"/>
  <c r="CN203" i="7"/>
  <c r="CS203" i="7"/>
  <c r="DB203" i="7"/>
  <c r="DG203" i="7"/>
  <c r="DP203" i="7"/>
  <c r="DU203" i="7"/>
  <c r="ED203" i="7"/>
  <c r="ER203" i="7"/>
  <c r="EW203" i="7"/>
  <c r="FF203" i="7"/>
  <c r="FK203" i="7"/>
  <c r="FT203" i="7"/>
  <c r="FY203" i="7"/>
  <c r="GH203" i="7"/>
  <c r="BF203" i="7"/>
  <c r="BJ203" i="7"/>
  <c r="BL203" i="7"/>
  <c r="BQ203" i="7"/>
  <c r="BN203" i="7"/>
  <c r="BO203" i="7"/>
  <c r="BT203" i="7"/>
  <c r="BX203" i="7"/>
  <c r="BZ203" i="7"/>
  <c r="CE203" i="7"/>
  <c r="CB203" i="7"/>
  <c r="CC203" i="7"/>
  <c r="GX203" i="7"/>
  <c r="F204" i="7"/>
  <c r="H204" i="7"/>
  <c r="J204" i="7"/>
  <c r="L204" i="7"/>
  <c r="M204" i="7"/>
  <c r="T204" i="7"/>
  <c r="V204" i="7"/>
  <c r="AA204" i="7"/>
  <c r="X204" i="7"/>
  <c r="Y204" i="7"/>
  <c r="Z204" i="7"/>
  <c r="AH204" i="7"/>
  <c r="AJ204" i="7"/>
  <c r="AL204" i="7"/>
  <c r="AN204" i="7"/>
  <c r="AO204" i="7"/>
  <c r="AV204" i="7"/>
  <c r="AX204" i="7"/>
  <c r="BC204" i="7"/>
  <c r="AZ204" i="7"/>
  <c r="BB204" i="7"/>
  <c r="BJ204" i="7"/>
  <c r="BL204" i="7"/>
  <c r="BN204" i="7"/>
  <c r="BO204" i="7"/>
  <c r="BP204" i="7"/>
  <c r="BQ204" i="7"/>
  <c r="BX204" i="7"/>
  <c r="BZ204" i="7"/>
  <c r="CE204" i="7"/>
  <c r="CB204" i="7"/>
  <c r="CC204" i="7"/>
  <c r="CD204" i="7"/>
  <c r="F205" i="7"/>
  <c r="H205" i="7"/>
  <c r="J205" i="7"/>
  <c r="K205" i="7"/>
  <c r="L205" i="7"/>
  <c r="M205" i="7"/>
  <c r="T205" i="7"/>
  <c r="V205" i="7"/>
  <c r="AA205" i="7"/>
  <c r="X205" i="7"/>
  <c r="Y205" i="7"/>
  <c r="Z205" i="7"/>
  <c r="AH205" i="7"/>
  <c r="AJ205" i="7"/>
  <c r="AL205" i="7"/>
  <c r="AM205" i="7"/>
  <c r="AN205" i="7"/>
  <c r="AO205" i="7"/>
  <c r="AV205" i="7"/>
  <c r="AX205" i="7"/>
  <c r="BC205" i="7"/>
  <c r="AZ205" i="7"/>
  <c r="BA205" i="7"/>
  <c r="BB205" i="7"/>
  <c r="BH205" i="7"/>
  <c r="BO205" i="7"/>
  <c r="BJ205" i="7"/>
  <c r="BL205" i="7"/>
  <c r="BN205" i="7"/>
  <c r="BP205" i="7"/>
  <c r="BQ205" i="7"/>
  <c r="BV205" i="7"/>
  <c r="BX205" i="7"/>
  <c r="F206" i="7"/>
  <c r="H206" i="7"/>
  <c r="M206" i="7"/>
  <c r="J206" i="7"/>
  <c r="K206" i="7"/>
  <c r="L206" i="7"/>
  <c r="T206" i="7"/>
  <c r="V206" i="7"/>
  <c r="AA206" i="7"/>
  <c r="X206" i="7"/>
  <c r="Y206" i="7"/>
  <c r="Z206" i="7"/>
  <c r="AH206" i="7"/>
  <c r="AJ206" i="7"/>
  <c r="AO206" i="7"/>
  <c r="AL206" i="7"/>
  <c r="AM206" i="7"/>
  <c r="AN206" i="7"/>
  <c r="AV206" i="7"/>
  <c r="AX206" i="7"/>
  <c r="BC206" i="7"/>
  <c r="AZ206" i="7"/>
  <c r="BA206" i="7"/>
  <c r="BB206" i="7"/>
  <c r="BH206" i="7"/>
  <c r="BN206" i="7"/>
  <c r="BO206" i="7"/>
  <c r="BP206" i="7"/>
  <c r="BQ206" i="7"/>
  <c r="BV206" i="7"/>
  <c r="CJ210" i="7"/>
  <c r="CX210" i="7"/>
  <c r="DL210" i="7"/>
  <c r="EN210" i="7"/>
  <c r="FB210" i="7"/>
  <c r="FP210" i="7"/>
  <c r="GD210" i="7"/>
  <c r="BH210" i="7"/>
  <c r="BV210" i="7"/>
  <c r="GR210" i="7"/>
  <c r="HH210" i="7"/>
  <c r="HN210" i="7"/>
  <c r="HT210" i="7"/>
  <c r="FU211" i="7"/>
  <c r="GY211" i="7"/>
  <c r="D213" i="7"/>
  <c r="J213" i="7"/>
  <c r="K213" i="7"/>
  <c r="R213" i="7"/>
  <c r="X213" i="7"/>
  <c r="Y213" i="7"/>
  <c r="AL213" i="7"/>
  <c r="AM213" i="7"/>
  <c r="AT213" i="7"/>
  <c r="AZ213" i="7"/>
  <c r="BA213" i="7"/>
  <c r="BN213" i="7"/>
  <c r="BO213" i="7"/>
  <c r="CB213" i="7"/>
  <c r="CC213" i="7"/>
  <c r="J214" i="7"/>
  <c r="K214" i="7"/>
  <c r="X214" i="7"/>
  <c r="Y214" i="7"/>
  <c r="AL214" i="7"/>
  <c r="AM214" i="7"/>
  <c r="AZ214" i="7"/>
  <c r="BA214" i="7"/>
  <c r="BN214" i="7"/>
  <c r="BO214" i="7"/>
  <c r="CB214" i="7"/>
  <c r="CC214" i="7"/>
  <c r="D215" i="7"/>
  <c r="J215" i="7"/>
  <c r="K215" i="7"/>
  <c r="X215" i="7"/>
  <c r="Y215" i="7"/>
  <c r="AL215" i="7"/>
  <c r="AM215" i="7"/>
  <c r="AT215" i="7"/>
  <c r="AZ215" i="7"/>
  <c r="BA215" i="7"/>
  <c r="BN215" i="7"/>
  <c r="BO215" i="7"/>
  <c r="BZ215" i="7"/>
  <c r="CB215" i="7"/>
  <c r="CC215" i="7"/>
  <c r="CD215" i="7"/>
  <c r="J216" i="7"/>
  <c r="K216" i="7"/>
  <c r="R216" i="7"/>
  <c r="X216" i="7"/>
  <c r="Y216" i="7"/>
  <c r="AL216" i="7"/>
  <c r="AM216" i="7"/>
  <c r="AZ216" i="7"/>
  <c r="BA216" i="7"/>
  <c r="BN216" i="7"/>
  <c r="BO216" i="7"/>
  <c r="CB216" i="7"/>
  <c r="CC216" i="7"/>
  <c r="CD216" i="7"/>
  <c r="D303" i="7"/>
  <c r="D304" i="7"/>
  <c r="D305" i="7"/>
  <c r="D306" i="7"/>
  <c r="R303" i="7"/>
  <c r="R304" i="7"/>
  <c r="R305" i="7"/>
  <c r="R306" i="7"/>
  <c r="AF303" i="7"/>
  <c r="AF304" i="7"/>
  <c r="AF305" i="7"/>
  <c r="AF306" i="7"/>
  <c r="AT303" i="7"/>
  <c r="AT304" i="7"/>
  <c r="AT305" i="7"/>
  <c r="AT306" i="7"/>
  <c r="D307" i="7"/>
  <c r="D308" i="7"/>
  <c r="D309" i="7"/>
  <c r="D310" i="7"/>
  <c r="R307" i="7"/>
  <c r="R308" i="7"/>
  <c r="R309" i="7"/>
  <c r="Y309" i="7"/>
  <c r="R310" i="7"/>
  <c r="AF307" i="7"/>
  <c r="AF308" i="7"/>
  <c r="AF309" i="7"/>
  <c r="AF310" i="7"/>
  <c r="AT307" i="7"/>
  <c r="AT308" i="7"/>
  <c r="AT309" i="7"/>
  <c r="AT310" i="7"/>
  <c r="D311" i="7"/>
  <c r="D312" i="7"/>
  <c r="D313" i="7"/>
  <c r="D314" i="7"/>
  <c r="R311" i="7"/>
  <c r="R312" i="7"/>
  <c r="R313" i="7"/>
  <c r="R314" i="7"/>
  <c r="AF311" i="7"/>
  <c r="AF312" i="7"/>
  <c r="AF313" i="7"/>
  <c r="AF314" i="7"/>
  <c r="AT311" i="7"/>
  <c r="AT312" i="7"/>
  <c r="AT313" i="7"/>
  <c r="AT363" i="7"/>
  <c r="AT314" i="7"/>
  <c r="D315" i="7"/>
  <c r="D316" i="7"/>
  <c r="D317" i="7"/>
  <c r="D318" i="7"/>
  <c r="R315" i="7"/>
  <c r="R316" i="7"/>
  <c r="R317" i="7"/>
  <c r="R318" i="7"/>
  <c r="AF315" i="7"/>
  <c r="AF316" i="7"/>
  <c r="AF317" i="7"/>
  <c r="AF318" i="7"/>
  <c r="AT315" i="7"/>
  <c r="AT316" i="7"/>
  <c r="AT317" i="7"/>
  <c r="AT318" i="7"/>
  <c r="D319" i="7"/>
  <c r="D320" i="7"/>
  <c r="D321" i="7"/>
  <c r="D322" i="7"/>
  <c r="R319" i="7"/>
  <c r="R320" i="7"/>
  <c r="R321" i="7"/>
  <c r="R322" i="7"/>
  <c r="AF319" i="7"/>
  <c r="AF320" i="7"/>
  <c r="AF321" i="7"/>
  <c r="AF322" i="7"/>
  <c r="AT319" i="7"/>
  <c r="AT320" i="7"/>
  <c r="AT321" i="7"/>
  <c r="AT322" i="7"/>
  <c r="D323" i="7"/>
  <c r="D324" i="7"/>
  <c r="D325" i="7"/>
  <c r="D326" i="7"/>
  <c r="R323" i="7"/>
  <c r="R324" i="7"/>
  <c r="R325" i="7"/>
  <c r="R326" i="7"/>
  <c r="AF323" i="7"/>
  <c r="AF324" i="7"/>
  <c r="AF325" i="7"/>
  <c r="AF326" i="7"/>
  <c r="AT323" i="7"/>
  <c r="AT361" i="7"/>
  <c r="AT324" i="7"/>
  <c r="AT325" i="7"/>
  <c r="AT326" i="7"/>
  <c r="D327" i="7"/>
  <c r="D328" i="7"/>
  <c r="D329" i="7"/>
  <c r="D330" i="7"/>
  <c r="R327" i="7"/>
  <c r="R328" i="7"/>
  <c r="R329" i="7"/>
  <c r="R330" i="7"/>
  <c r="AF327" i="7"/>
  <c r="AF328" i="7"/>
  <c r="AF332" i="7"/>
  <c r="AF336" i="7"/>
  <c r="AF344" i="7"/>
  <c r="AF348" i="7"/>
  <c r="AF329" i="7"/>
  <c r="AF330" i="7"/>
  <c r="AT327" i="7"/>
  <c r="AT328" i="7"/>
  <c r="AT329" i="7"/>
  <c r="AT330" i="7"/>
  <c r="D331" i="7"/>
  <c r="D332" i="7"/>
  <c r="D333" i="7"/>
  <c r="D334" i="7"/>
  <c r="R331" i="7"/>
  <c r="R332" i="7"/>
  <c r="R333" i="7"/>
  <c r="R334" i="7"/>
  <c r="AF331" i="7"/>
  <c r="AF333" i="7"/>
  <c r="AF334" i="7"/>
  <c r="AT331" i="7"/>
  <c r="AT332" i="7"/>
  <c r="AT333" i="7"/>
  <c r="AT334" i="7"/>
  <c r="D335" i="7"/>
  <c r="D336" i="7"/>
  <c r="D337" i="7"/>
  <c r="D338" i="7"/>
  <c r="R335" i="7"/>
  <c r="R336" i="7"/>
  <c r="R337" i="7"/>
  <c r="R338" i="7"/>
  <c r="AF335" i="7"/>
  <c r="B335" i="7"/>
  <c r="AF337" i="7"/>
  <c r="AF338" i="7"/>
  <c r="AT335" i="7"/>
  <c r="AT336" i="7"/>
  <c r="AT337" i="7"/>
  <c r="AT338" i="7"/>
  <c r="D343" i="7"/>
  <c r="D344" i="7"/>
  <c r="D345" i="7"/>
  <c r="D346" i="7"/>
  <c r="D364" i="7"/>
  <c r="R343" i="7"/>
  <c r="R344" i="7"/>
  <c r="Y344" i="7"/>
  <c r="R345" i="7"/>
  <c r="R346" i="7"/>
  <c r="AF343" i="7"/>
  <c r="AF345" i="7"/>
  <c r="AF346" i="7"/>
  <c r="AT343" i="7"/>
  <c r="AT344" i="7"/>
  <c r="AT345" i="7"/>
  <c r="AT346" i="7"/>
  <c r="D347" i="7"/>
  <c r="K347" i="7"/>
  <c r="D348" i="7"/>
  <c r="D349" i="7"/>
  <c r="D350" i="7"/>
  <c r="R347" i="7"/>
  <c r="Y347" i="7"/>
  <c r="R348" i="7"/>
  <c r="R349" i="7"/>
  <c r="R350" i="7"/>
  <c r="AF347" i="7"/>
  <c r="AF349" i="7"/>
  <c r="AF350" i="7"/>
  <c r="AT347" i="7"/>
  <c r="AT348" i="7"/>
  <c r="BA348" i="7"/>
  <c r="AT349" i="7"/>
  <c r="AT350" i="7"/>
  <c r="D351" i="7"/>
  <c r="D352" i="7"/>
  <c r="K352" i="7"/>
  <c r="D353" i="7"/>
  <c r="D354" i="7"/>
  <c r="R351" i="7"/>
  <c r="R352" i="7"/>
  <c r="R353" i="7"/>
  <c r="R354" i="7"/>
  <c r="AF351" i="7"/>
  <c r="AF352" i="7"/>
  <c r="AM352" i="7"/>
  <c r="AF353" i="7"/>
  <c r="AF354" i="7"/>
  <c r="AM354" i="7"/>
  <c r="AT351" i="7"/>
  <c r="AT352" i="7"/>
  <c r="AT353" i="7"/>
  <c r="AT354" i="7"/>
  <c r="V241" i="7"/>
  <c r="R241" i="7"/>
  <c r="R233" i="7"/>
  <c r="Y233" i="7"/>
  <c r="V233" i="7"/>
  <c r="Z233" i="7"/>
  <c r="Y237" i="7"/>
  <c r="V242" i="7"/>
  <c r="R242" i="7"/>
  <c r="R238" i="7"/>
  <c r="R234" i="7"/>
  <c r="Y234" i="7"/>
  <c r="V243" i="7"/>
  <c r="R243" i="7"/>
  <c r="R239" i="7"/>
  <c r="R235" i="7"/>
  <c r="Y235" i="7"/>
  <c r="Y239" i="7"/>
  <c r="R247" i="7"/>
  <c r="V244" i="7"/>
  <c r="R244" i="7"/>
  <c r="R240" i="7"/>
  <c r="R236" i="7"/>
  <c r="Y236" i="7"/>
  <c r="V236" i="7"/>
  <c r="Z236" i="7"/>
  <c r="AA236" i="7"/>
  <c r="H241" i="7"/>
  <c r="H242" i="7"/>
  <c r="H243" i="7"/>
  <c r="H244" i="7"/>
  <c r="D241" i="7"/>
  <c r="D237" i="7"/>
  <c r="D233" i="7"/>
  <c r="D242" i="7"/>
  <c r="D238" i="7"/>
  <c r="D234" i="7"/>
  <c r="K234" i="7"/>
  <c r="H234" i="7"/>
  <c r="L234" i="7"/>
  <c r="D243" i="7"/>
  <c r="D239" i="7"/>
  <c r="D235" i="7"/>
  <c r="K235" i="7"/>
  <c r="L235" i="7"/>
  <c r="M235" i="7"/>
  <c r="H239" i="7"/>
  <c r="D244" i="7"/>
  <c r="D240" i="7"/>
  <c r="D236" i="7"/>
  <c r="K236" i="7"/>
  <c r="K240" i="7"/>
  <c r="L240" i="7"/>
  <c r="H240" i="7"/>
  <c r="A286" i="7"/>
  <c r="R248" i="7"/>
  <c r="DL229" i="7"/>
  <c r="CJ229" i="7"/>
  <c r="AR241" i="7"/>
  <c r="AT241" i="7"/>
  <c r="AV241" i="7"/>
  <c r="AX241" i="7"/>
  <c r="AZ241" i="7"/>
  <c r="AT237" i="7"/>
  <c r="AT233" i="7"/>
  <c r="AT229" i="7"/>
  <c r="BA229" i="7"/>
  <c r="BB229" i="7"/>
  <c r="AT242" i="7"/>
  <c r="AV242" i="7"/>
  <c r="AX242" i="7"/>
  <c r="AZ242" i="7"/>
  <c r="AT238" i="7"/>
  <c r="AT234" i="7"/>
  <c r="AT230" i="7"/>
  <c r="BA230" i="7"/>
  <c r="BB230" i="7"/>
  <c r="AT243" i="7"/>
  <c r="AV243" i="7"/>
  <c r="AX243" i="7"/>
  <c r="AZ231" i="7"/>
  <c r="AZ235" i="7"/>
  <c r="AZ239" i="7"/>
  <c r="AZ243" i="7"/>
  <c r="AZ247" i="7"/>
  <c r="AZ251" i="7"/>
  <c r="AZ255" i="7"/>
  <c r="AT239" i="7"/>
  <c r="AT235" i="7"/>
  <c r="AT231" i="7"/>
  <c r="BA231" i="7"/>
  <c r="AT244" i="7"/>
  <c r="AV244" i="7"/>
  <c r="AX244" i="7"/>
  <c r="AZ240" i="7"/>
  <c r="AZ244" i="7"/>
  <c r="AT240" i="7"/>
  <c r="AT236" i="7"/>
  <c r="AT232" i="7"/>
  <c r="BA232" i="7"/>
  <c r="AX236" i="7"/>
  <c r="AD241" i="7"/>
  <c r="AF241" i="7"/>
  <c r="AH241" i="7"/>
  <c r="AJ241" i="7"/>
  <c r="AL229" i="7"/>
  <c r="AL233" i="7"/>
  <c r="AL237" i="7"/>
  <c r="AL241" i="7"/>
  <c r="AL245" i="7"/>
  <c r="AL249" i="7"/>
  <c r="AL253" i="7"/>
  <c r="AF229" i="7"/>
  <c r="AM229" i="7"/>
  <c r="AN229" i="7"/>
  <c r="AF233" i="7"/>
  <c r="AF237" i="7"/>
  <c r="AF242" i="7"/>
  <c r="AJ242" i="7"/>
  <c r="AO242" i="7"/>
  <c r="AN242" i="7"/>
  <c r="AH242" i="7"/>
  <c r="AF243" i="7"/>
  <c r="AO243" i="7"/>
  <c r="AH243" i="7"/>
  <c r="AJ243" i="7"/>
  <c r="AN243" i="7"/>
  <c r="AF244" i="7"/>
  <c r="AH244" i="7"/>
  <c r="AJ244" i="7"/>
  <c r="AL232" i="7"/>
  <c r="AL236" i="7"/>
  <c r="AL240" i="7"/>
  <c r="AL244" i="7"/>
  <c r="AF232" i="7"/>
  <c r="AM232" i="7"/>
  <c r="AF236" i="7"/>
  <c r="AM236" i="7"/>
  <c r="AF240" i="7"/>
  <c r="AM240" i="7"/>
  <c r="AN240" i="7"/>
  <c r="AF248" i="7"/>
  <c r="T241" i="7"/>
  <c r="T242" i="7"/>
  <c r="T243" i="7"/>
  <c r="T244" i="7"/>
  <c r="F241" i="7"/>
  <c r="F242" i="7"/>
  <c r="F243" i="7"/>
  <c r="F244" i="7"/>
  <c r="AV240" i="7"/>
  <c r="H229" i="7"/>
  <c r="H230" i="7"/>
  <c r="L230" i="7"/>
  <c r="H231" i="7"/>
  <c r="L231" i="7"/>
  <c r="H232" i="7"/>
  <c r="H233" i="7"/>
  <c r="H235" i="7"/>
  <c r="H236" i="7"/>
  <c r="H237" i="7"/>
  <c r="H238" i="7"/>
  <c r="H245" i="7"/>
  <c r="D245" i="7"/>
  <c r="H246" i="7"/>
  <c r="D246" i="7"/>
  <c r="H247" i="7"/>
  <c r="D247" i="7"/>
  <c r="H248" i="7"/>
  <c r="D248" i="7"/>
  <c r="H249" i="7"/>
  <c r="D249" i="7"/>
  <c r="H250" i="7"/>
  <c r="D250" i="7"/>
  <c r="H251" i="7"/>
  <c r="D251" i="7"/>
  <c r="H252" i="7"/>
  <c r="D252" i="7"/>
  <c r="H253" i="7"/>
  <c r="D253" i="7"/>
  <c r="H254" i="7"/>
  <c r="D254" i="7"/>
  <c r="H255" i="7"/>
  <c r="D255" i="7"/>
  <c r="H256" i="7"/>
  <c r="D256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Z229" i="7"/>
  <c r="Z230" i="7"/>
  <c r="Z231" i="7"/>
  <c r="Z232" i="7"/>
  <c r="V234" i="7"/>
  <c r="Z234" i="7"/>
  <c r="V235" i="7"/>
  <c r="V237" i="7"/>
  <c r="Z237" i="7"/>
  <c r="AA237" i="7"/>
  <c r="V238" i="7"/>
  <c r="V239" i="7"/>
  <c r="V240" i="7"/>
  <c r="V245" i="7"/>
  <c r="R245" i="7"/>
  <c r="V246" i="7"/>
  <c r="R246" i="7"/>
  <c r="V247" i="7"/>
  <c r="V248" i="7"/>
  <c r="V249" i="7"/>
  <c r="R249" i="7"/>
  <c r="V250" i="7"/>
  <c r="R250" i="7"/>
  <c r="V251" i="7"/>
  <c r="R251" i="7"/>
  <c r="V252" i="7"/>
  <c r="R252" i="7"/>
  <c r="V253" i="7"/>
  <c r="R253" i="7"/>
  <c r="V254" i="7"/>
  <c r="R254" i="7"/>
  <c r="V255" i="7"/>
  <c r="R255" i="7"/>
  <c r="V256" i="7"/>
  <c r="R256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AX233" i="7"/>
  <c r="AX234" i="7"/>
  <c r="AX235" i="7"/>
  <c r="AX237" i="7"/>
  <c r="AX238" i="7"/>
  <c r="AX239" i="7"/>
  <c r="AX240" i="7"/>
  <c r="AX245" i="7"/>
  <c r="AT245" i="7"/>
  <c r="AX246" i="7"/>
  <c r="AT246" i="7"/>
  <c r="AX247" i="7"/>
  <c r="AT247" i="7"/>
  <c r="AX248" i="7"/>
  <c r="AT248" i="7"/>
  <c r="AX249" i="7"/>
  <c r="AT249" i="7"/>
  <c r="AX250" i="7"/>
  <c r="AT250" i="7"/>
  <c r="AX251" i="7"/>
  <c r="AT251" i="7"/>
  <c r="AX252" i="7"/>
  <c r="AT252" i="7"/>
  <c r="AX253" i="7"/>
  <c r="AT253" i="7"/>
  <c r="AX254" i="7"/>
  <c r="AT254" i="7"/>
  <c r="AX255" i="7"/>
  <c r="AT255" i="7"/>
  <c r="AX256" i="7"/>
  <c r="AT256" i="7"/>
  <c r="BB261" i="7"/>
  <c r="BB262" i="7"/>
  <c r="BB263" i="7"/>
  <c r="BB264" i="7"/>
  <c r="BB265" i="7"/>
  <c r="BB266" i="7"/>
  <c r="BB267" i="7"/>
  <c r="BB268" i="7"/>
  <c r="BB269" i="7"/>
  <c r="BB270" i="7"/>
  <c r="BB271" i="7"/>
  <c r="BB272" i="7"/>
  <c r="BB273" i="7"/>
  <c r="BB274" i="7"/>
  <c r="BB275" i="7"/>
  <c r="BB276" i="7"/>
  <c r="BB277" i="7"/>
  <c r="CQ226" i="7"/>
  <c r="CR226" i="7"/>
  <c r="CN226" i="7"/>
  <c r="CQ227" i="7"/>
  <c r="CQ228" i="7"/>
  <c r="CN228" i="7"/>
  <c r="CR228" i="7"/>
  <c r="CS228" i="7"/>
  <c r="CN227" i="7"/>
  <c r="CR227" i="7"/>
  <c r="CQ229" i="7"/>
  <c r="CN229" i="7"/>
  <c r="CN230" i="7"/>
  <c r="CN231" i="7"/>
  <c r="CN232" i="7"/>
  <c r="CQ234" i="7"/>
  <c r="CR234" i="7"/>
  <c r="CQ235" i="7"/>
  <c r="CR235" i="7"/>
  <c r="CQ236" i="7"/>
  <c r="CR236" i="7"/>
  <c r="CS236" i="7"/>
  <c r="CQ237" i="7"/>
  <c r="CR237" i="7"/>
  <c r="CS237" i="7"/>
  <c r="CQ238" i="7"/>
  <c r="CR238" i="7"/>
  <c r="CQ240" i="7"/>
  <c r="CR240" i="7"/>
  <c r="CQ241" i="7"/>
  <c r="CR241" i="7"/>
  <c r="CS241" i="7"/>
  <c r="CQ242" i="7"/>
  <c r="CR242" i="7"/>
  <c r="CQ243" i="7"/>
  <c r="CR243" i="7"/>
  <c r="CQ244" i="7"/>
  <c r="CR244" i="7"/>
  <c r="CQ245" i="7"/>
  <c r="CR245" i="7"/>
  <c r="CS245" i="7"/>
  <c r="CR246" i="7"/>
  <c r="CS246" i="7"/>
  <c r="CR247" i="7"/>
  <c r="CS247" i="7"/>
  <c r="CR248" i="7"/>
  <c r="CR249" i="7"/>
  <c r="CR250" i="7"/>
  <c r="CR251" i="7"/>
  <c r="CR252" i="7"/>
  <c r="CR253" i="7"/>
  <c r="CR254" i="7"/>
  <c r="CR255" i="7"/>
  <c r="CR256" i="7"/>
  <c r="CR261" i="7"/>
  <c r="CR262" i="7"/>
  <c r="CR263" i="7"/>
  <c r="CS263" i="7"/>
  <c r="CR264" i="7"/>
  <c r="CS264" i="7"/>
  <c r="CR265" i="7"/>
  <c r="CR266" i="7"/>
  <c r="CR267" i="7"/>
  <c r="CR268" i="7"/>
  <c r="CR269" i="7"/>
  <c r="CR270" i="7"/>
  <c r="CR271" i="7"/>
  <c r="CR272" i="7"/>
  <c r="CR274" i="7"/>
  <c r="CR275" i="7"/>
  <c r="CR276" i="7"/>
  <c r="CS276" i="7"/>
  <c r="CR277" i="7"/>
  <c r="CS277" i="7"/>
  <c r="CJ226" i="7"/>
  <c r="CJ227" i="7"/>
  <c r="CJ228" i="7"/>
  <c r="CJ230" i="7"/>
  <c r="CJ231" i="7"/>
  <c r="CJ232" i="7"/>
  <c r="CJ234" i="7"/>
  <c r="CJ235" i="7"/>
  <c r="CJ236" i="7"/>
  <c r="CJ237" i="7"/>
  <c r="CJ238" i="7"/>
  <c r="CJ240" i="7"/>
  <c r="CJ241" i="7"/>
  <c r="CJ242" i="7"/>
  <c r="CJ243" i="7"/>
  <c r="CJ244" i="7"/>
  <c r="CJ245" i="7"/>
  <c r="CJ246" i="7"/>
  <c r="CJ247" i="7"/>
  <c r="CJ248" i="7"/>
  <c r="CJ249" i="7"/>
  <c r="CJ250" i="7"/>
  <c r="CJ251" i="7"/>
  <c r="CJ252" i="7"/>
  <c r="CJ253" i="7"/>
  <c r="CJ254" i="7"/>
  <c r="CJ255" i="7"/>
  <c r="CJ256" i="7"/>
  <c r="CJ261" i="7"/>
  <c r="CJ262" i="7"/>
  <c r="CJ263" i="7"/>
  <c r="CJ264" i="7"/>
  <c r="CJ265" i="7"/>
  <c r="CJ266" i="7"/>
  <c r="CJ267" i="7"/>
  <c r="B273" i="7"/>
  <c r="CJ268" i="7"/>
  <c r="CJ269" i="7"/>
  <c r="CJ270" i="7"/>
  <c r="CJ271" i="7"/>
  <c r="CJ272" i="7"/>
  <c r="CJ274" i="7"/>
  <c r="CJ275" i="7"/>
  <c r="CJ276" i="7"/>
  <c r="DE226" i="7"/>
  <c r="DB226" i="7"/>
  <c r="DF226" i="7"/>
  <c r="DE227" i="7"/>
  <c r="DF227" i="7"/>
  <c r="DG227" i="7"/>
  <c r="DB227" i="7"/>
  <c r="DB228" i="7"/>
  <c r="DB229" i="7"/>
  <c r="DB230" i="7"/>
  <c r="DB231" i="7"/>
  <c r="DB232" i="7"/>
  <c r="DE234" i="7"/>
  <c r="DF234" i="7"/>
  <c r="DE235" i="7"/>
  <c r="DF235" i="7"/>
  <c r="DE236" i="7"/>
  <c r="DF236" i="7"/>
  <c r="DG236" i="7"/>
  <c r="DE237" i="7"/>
  <c r="DF237" i="7"/>
  <c r="DE238" i="7"/>
  <c r="DF238" i="7"/>
  <c r="DE240" i="7"/>
  <c r="DF240" i="7"/>
  <c r="DG240" i="7"/>
  <c r="DE241" i="7"/>
  <c r="DF241" i="7"/>
  <c r="DG241" i="7"/>
  <c r="DE242" i="7"/>
  <c r="DF242" i="7"/>
  <c r="DE243" i="7"/>
  <c r="DF243" i="7"/>
  <c r="DG243" i="7"/>
  <c r="DE244" i="7"/>
  <c r="DF244" i="7"/>
  <c r="DE245" i="7"/>
  <c r="DF245" i="7"/>
  <c r="DG245" i="7"/>
  <c r="DF246" i="7"/>
  <c r="DG246" i="7"/>
  <c r="DF247" i="7"/>
  <c r="DG247" i="7"/>
  <c r="DF248" i="7"/>
  <c r="DF249" i="7"/>
  <c r="DG249" i="7"/>
  <c r="DF250" i="7"/>
  <c r="DG250" i="7"/>
  <c r="DF251" i="7"/>
  <c r="DF252" i="7"/>
  <c r="DG252" i="7"/>
  <c r="DF253" i="7"/>
  <c r="DF254" i="7"/>
  <c r="DF255" i="7"/>
  <c r="DF256" i="7"/>
  <c r="DF261" i="7"/>
  <c r="DG261" i="7"/>
  <c r="DF262" i="7"/>
  <c r="DG262" i="7"/>
  <c r="DF263" i="7"/>
  <c r="DF264" i="7"/>
  <c r="DF265" i="7"/>
  <c r="DF266" i="7"/>
  <c r="DF267" i="7"/>
  <c r="DF268" i="7"/>
  <c r="DG268" i="7"/>
  <c r="DF269" i="7"/>
  <c r="DG269" i="7"/>
  <c r="DF270" i="7"/>
  <c r="DF271" i="7"/>
  <c r="DF272" i="7"/>
  <c r="DF274" i="7"/>
  <c r="DG274" i="7"/>
  <c r="DF275" i="7"/>
  <c r="DG275" i="7"/>
  <c r="DF276" i="7"/>
  <c r="DF277" i="7"/>
  <c r="DG277" i="7"/>
  <c r="CX226" i="7"/>
  <c r="CX227" i="7"/>
  <c r="CX228" i="7"/>
  <c r="CX229" i="7"/>
  <c r="CX230" i="7"/>
  <c r="CX231" i="7"/>
  <c r="CX232" i="7"/>
  <c r="CX234" i="7"/>
  <c r="CX235" i="7"/>
  <c r="CX236" i="7"/>
  <c r="CX237" i="7"/>
  <c r="CX238" i="7"/>
  <c r="CX240" i="7"/>
  <c r="CX241" i="7"/>
  <c r="CX242" i="7"/>
  <c r="CX243" i="7"/>
  <c r="CX244" i="7"/>
  <c r="CX245" i="7"/>
  <c r="CX246" i="7"/>
  <c r="CX247" i="7"/>
  <c r="CX248" i="7"/>
  <c r="CX249" i="7"/>
  <c r="CX250" i="7"/>
  <c r="CX251" i="7"/>
  <c r="CX252" i="7"/>
  <c r="CX253" i="7"/>
  <c r="CX254" i="7"/>
  <c r="CX255" i="7"/>
  <c r="CX256" i="7"/>
  <c r="CX261" i="7"/>
  <c r="CX262" i="7"/>
  <c r="CX263" i="7"/>
  <c r="CX264" i="7"/>
  <c r="CX265" i="7"/>
  <c r="CX266" i="7"/>
  <c r="CX267" i="7"/>
  <c r="CX268" i="7"/>
  <c r="CX269" i="7"/>
  <c r="CX270" i="7"/>
  <c r="CX271" i="7"/>
  <c r="CX272" i="7"/>
  <c r="CX274" i="7"/>
  <c r="CX275" i="7"/>
  <c r="CX276" i="7"/>
  <c r="DS226" i="7"/>
  <c r="DP226" i="7"/>
  <c r="DP227" i="7"/>
  <c r="DP228" i="7"/>
  <c r="DP229" i="7"/>
  <c r="DP230" i="7"/>
  <c r="DP231" i="7"/>
  <c r="DP232" i="7"/>
  <c r="DS234" i="7"/>
  <c r="DT234" i="7"/>
  <c r="DS235" i="7"/>
  <c r="DT235" i="7"/>
  <c r="DU235" i="7"/>
  <c r="DS236" i="7"/>
  <c r="DT236" i="7"/>
  <c r="DU236" i="7"/>
  <c r="DS237" i="7"/>
  <c r="DT237" i="7"/>
  <c r="DS238" i="7"/>
  <c r="DT238" i="7"/>
  <c r="DU238" i="7"/>
  <c r="DS240" i="7"/>
  <c r="DT240" i="7"/>
  <c r="DU240" i="7"/>
  <c r="DS241" i="7"/>
  <c r="DT241" i="7"/>
  <c r="DS242" i="7"/>
  <c r="DT242" i="7"/>
  <c r="DU242" i="7"/>
  <c r="DS243" i="7"/>
  <c r="DT243" i="7"/>
  <c r="DU243" i="7"/>
  <c r="DS244" i="7"/>
  <c r="DT244" i="7"/>
  <c r="DU244" i="7"/>
  <c r="DS245" i="7"/>
  <c r="DT245" i="7"/>
  <c r="DU245" i="7"/>
  <c r="DT246" i="7"/>
  <c r="DT247" i="7"/>
  <c r="DT248" i="7"/>
  <c r="DT249" i="7"/>
  <c r="DT250" i="7"/>
  <c r="DT251" i="7"/>
  <c r="DT252" i="7"/>
  <c r="DT253" i="7"/>
  <c r="DU253" i="7"/>
  <c r="DT254" i="7"/>
  <c r="DU254" i="7"/>
  <c r="DT255" i="7"/>
  <c r="DT256" i="7"/>
  <c r="DT261" i="7"/>
  <c r="DT262" i="7"/>
  <c r="DT263" i="7"/>
  <c r="DT264" i="7"/>
  <c r="DT265" i="7"/>
  <c r="DT266" i="7"/>
  <c r="DT267" i="7"/>
  <c r="DT268" i="7"/>
  <c r="DT269" i="7"/>
  <c r="DU269" i="7"/>
  <c r="DT270" i="7"/>
  <c r="DU270" i="7"/>
  <c r="DT271" i="7"/>
  <c r="DU271" i="7"/>
  <c r="DT272" i="7"/>
  <c r="DT274" i="7"/>
  <c r="DT275" i="7"/>
  <c r="DT276" i="7"/>
  <c r="DT277" i="7"/>
  <c r="DL226" i="7"/>
  <c r="DL227" i="7"/>
  <c r="DL228" i="7"/>
  <c r="DL230" i="7"/>
  <c r="DL231" i="7"/>
  <c r="DL232" i="7"/>
  <c r="DL234" i="7"/>
  <c r="DL235" i="7"/>
  <c r="DL236" i="7"/>
  <c r="DL237" i="7"/>
  <c r="DL238" i="7"/>
  <c r="DL240" i="7"/>
  <c r="DL241" i="7"/>
  <c r="DL242" i="7"/>
  <c r="DL243" i="7"/>
  <c r="DL244" i="7"/>
  <c r="DL245" i="7"/>
  <c r="DL246" i="7"/>
  <c r="DL247" i="7"/>
  <c r="DL248" i="7"/>
  <c r="DL249" i="7"/>
  <c r="DL250" i="7"/>
  <c r="DL251" i="7"/>
  <c r="DL252" i="7"/>
  <c r="DL253" i="7"/>
  <c r="DL254" i="7"/>
  <c r="DL255" i="7"/>
  <c r="DL256" i="7"/>
  <c r="DL261" i="7"/>
  <c r="DL262" i="7"/>
  <c r="DL263" i="7"/>
  <c r="DL264" i="7"/>
  <c r="DL265" i="7"/>
  <c r="DL266" i="7"/>
  <c r="DL267" i="7"/>
  <c r="DL268" i="7"/>
  <c r="DL269" i="7"/>
  <c r="DL270" i="7"/>
  <c r="DL271" i="7"/>
  <c r="DL272" i="7"/>
  <c r="DL274" i="7"/>
  <c r="DL275" i="7"/>
  <c r="DL276" i="7"/>
  <c r="EG226" i="7"/>
  <c r="ED226" i="7"/>
  <c r="EH226" i="7"/>
  <c r="EG227" i="7"/>
  <c r="ED227" i="7"/>
  <c r="ED228" i="7"/>
  <c r="ED229" i="7"/>
  <c r="ED230" i="7"/>
  <c r="ED231" i="7"/>
  <c r="ED232" i="7"/>
  <c r="EG234" i="7"/>
  <c r="EH234" i="7"/>
  <c r="EI234" i="7"/>
  <c r="EG235" i="7"/>
  <c r="EH235" i="7"/>
  <c r="EG236" i="7"/>
  <c r="EH236" i="7"/>
  <c r="EI236" i="7"/>
  <c r="EG237" i="7"/>
  <c r="EH237" i="7"/>
  <c r="EI237" i="7"/>
  <c r="EG238" i="7"/>
  <c r="EH238" i="7"/>
  <c r="EG240" i="7"/>
  <c r="EH240" i="7"/>
  <c r="EI240" i="7"/>
  <c r="EG241" i="7"/>
  <c r="EH241" i="7"/>
  <c r="EI241" i="7"/>
  <c r="EG242" i="7"/>
  <c r="EH242" i="7"/>
  <c r="EI242" i="7"/>
  <c r="EG243" i="7"/>
  <c r="EH243" i="7"/>
  <c r="EG244" i="7"/>
  <c r="EH244" i="7"/>
  <c r="EI244" i="7"/>
  <c r="EG245" i="7"/>
  <c r="EH245" i="7"/>
  <c r="EI245" i="7"/>
  <c r="EH246" i="7"/>
  <c r="EH247" i="7"/>
  <c r="EH248" i="7"/>
  <c r="EH249" i="7"/>
  <c r="EI249" i="7"/>
  <c r="EH250" i="7"/>
  <c r="EI250" i="7"/>
  <c r="EH251" i="7"/>
  <c r="EI251" i="7"/>
  <c r="EH252" i="7"/>
  <c r="EH253" i="7"/>
  <c r="EH254" i="7"/>
  <c r="EH255" i="7"/>
  <c r="EI255" i="7"/>
  <c r="EH256" i="7"/>
  <c r="EH261" i="7"/>
  <c r="EH262" i="7"/>
  <c r="EH263" i="7"/>
  <c r="EI263" i="7"/>
  <c r="EH264" i="7"/>
  <c r="EH265" i="7"/>
  <c r="EI265" i="7"/>
  <c r="EH266" i="7"/>
  <c r="EH267" i="7"/>
  <c r="EH268" i="7"/>
  <c r="EH269" i="7"/>
  <c r="EH270" i="7"/>
  <c r="EH271" i="7"/>
  <c r="EI271" i="7"/>
  <c r="EH272" i="7"/>
  <c r="EI272" i="7"/>
  <c r="EH274" i="7"/>
  <c r="EI274" i="7"/>
  <c r="EH275" i="7"/>
  <c r="EH276" i="7"/>
  <c r="EH277" i="7"/>
  <c r="EI277" i="7"/>
  <c r="EU226" i="7"/>
  <c r="EU227" i="7"/>
  <c r="ER227" i="7"/>
  <c r="EV227" i="7"/>
  <c r="ER226" i="7"/>
  <c r="EV226" i="7"/>
  <c r="EU228" i="7"/>
  <c r="ER228" i="7"/>
  <c r="ER229" i="7"/>
  <c r="ER230" i="7"/>
  <c r="ER231" i="7"/>
  <c r="ER232" i="7"/>
  <c r="EU234" i="7"/>
  <c r="EV234" i="7"/>
  <c r="EU235" i="7"/>
  <c r="EV235" i="7"/>
  <c r="EU236" i="7"/>
  <c r="EV236" i="7"/>
  <c r="EU237" i="7"/>
  <c r="EV237" i="7"/>
  <c r="EW237" i="7"/>
  <c r="EU238" i="7"/>
  <c r="EV238" i="7"/>
  <c r="EU240" i="7"/>
  <c r="EV240" i="7"/>
  <c r="EW240" i="7"/>
  <c r="EU241" i="7"/>
  <c r="EV241" i="7"/>
  <c r="EW241" i="7"/>
  <c r="EU242" i="7"/>
  <c r="EV242" i="7"/>
  <c r="EW242" i="7"/>
  <c r="EU243" i="7"/>
  <c r="EV243" i="7"/>
  <c r="EW243" i="7"/>
  <c r="EU244" i="7"/>
  <c r="EV244" i="7"/>
  <c r="EW244" i="7"/>
  <c r="EU245" i="7"/>
  <c r="EV245" i="7"/>
  <c r="EW245" i="7"/>
  <c r="EV246" i="7"/>
  <c r="EV247" i="7"/>
  <c r="EV248" i="7"/>
  <c r="EV249" i="7"/>
  <c r="EV250" i="7"/>
  <c r="EW250" i="7"/>
  <c r="EV251" i="7"/>
  <c r="EV252" i="7"/>
  <c r="EV253" i="7"/>
  <c r="EV254" i="7"/>
  <c r="EV255" i="7"/>
  <c r="EV256" i="7"/>
  <c r="EV261" i="7"/>
  <c r="EW261" i="7"/>
  <c r="EV262" i="7"/>
  <c r="EV263" i="7"/>
  <c r="EW263" i="7"/>
  <c r="EV264" i="7"/>
  <c r="EV265" i="7"/>
  <c r="EV266" i="7"/>
  <c r="EW266" i="7"/>
  <c r="EV267" i="7"/>
  <c r="EV268" i="7"/>
  <c r="EV269" i="7"/>
  <c r="EV270" i="7"/>
  <c r="EV271" i="7"/>
  <c r="EV272" i="7"/>
  <c r="EV274" i="7"/>
  <c r="EW274" i="7"/>
  <c r="EV275" i="7"/>
  <c r="EV276" i="7"/>
  <c r="EV277" i="7"/>
  <c r="EN226" i="7"/>
  <c r="EN227" i="7"/>
  <c r="EW227" i="7"/>
  <c r="EN228" i="7"/>
  <c r="EN229" i="7"/>
  <c r="EN230" i="7"/>
  <c r="EN231" i="7"/>
  <c r="EN232" i="7"/>
  <c r="EN234" i="7"/>
  <c r="EN235" i="7"/>
  <c r="EN236" i="7"/>
  <c r="EN237" i="7"/>
  <c r="EN238" i="7"/>
  <c r="EN240" i="7"/>
  <c r="EN241" i="7"/>
  <c r="EN242" i="7"/>
  <c r="EN243" i="7"/>
  <c r="EN244" i="7"/>
  <c r="EN245" i="7"/>
  <c r="EN246" i="7"/>
  <c r="EN247" i="7"/>
  <c r="EN248" i="7"/>
  <c r="EN249" i="7"/>
  <c r="EN250" i="7"/>
  <c r="EN251" i="7"/>
  <c r="EN252" i="7"/>
  <c r="EN253" i="7"/>
  <c r="EN254" i="7"/>
  <c r="EN255" i="7"/>
  <c r="EN256" i="7"/>
  <c r="EN261" i="7"/>
  <c r="EN262" i="7"/>
  <c r="EN263" i="7"/>
  <c r="EN264" i="7"/>
  <c r="EN265" i="7"/>
  <c r="EN266" i="7"/>
  <c r="EN267" i="7"/>
  <c r="EN268" i="7"/>
  <c r="EN269" i="7"/>
  <c r="EN270" i="7"/>
  <c r="EN271" i="7"/>
  <c r="EN272" i="7"/>
  <c r="EN274" i="7"/>
  <c r="EN275" i="7"/>
  <c r="EN276" i="7"/>
  <c r="FI226" i="7"/>
  <c r="FF226" i="7"/>
  <c r="FJ226" i="7"/>
  <c r="FI227" i="7"/>
  <c r="FF227" i="7"/>
  <c r="FF228" i="7"/>
  <c r="FF229" i="7"/>
  <c r="FF230" i="7"/>
  <c r="FF231" i="7"/>
  <c r="FF232" i="7"/>
  <c r="FI234" i="7"/>
  <c r="FJ234" i="7"/>
  <c r="FI235" i="7"/>
  <c r="FJ235" i="7"/>
  <c r="FI236" i="7"/>
  <c r="FJ236" i="7"/>
  <c r="FI237" i="7"/>
  <c r="FJ237" i="7"/>
  <c r="FK237" i="7"/>
  <c r="FI238" i="7"/>
  <c r="FJ238" i="7"/>
  <c r="FK238" i="7"/>
  <c r="FI240" i="7"/>
  <c r="FJ240" i="7"/>
  <c r="FK240" i="7"/>
  <c r="FI241" i="7"/>
  <c r="FJ241" i="7"/>
  <c r="FK241" i="7"/>
  <c r="FI242" i="7"/>
  <c r="FJ242" i="7"/>
  <c r="FK242" i="7"/>
  <c r="FI243" i="7"/>
  <c r="FJ243" i="7"/>
  <c r="FI244" i="7"/>
  <c r="FJ244" i="7"/>
  <c r="FI245" i="7"/>
  <c r="FJ245" i="7"/>
  <c r="FJ246" i="7"/>
  <c r="FJ247" i="7"/>
  <c r="FK247" i="7"/>
  <c r="FJ248" i="7"/>
  <c r="FK248" i="7"/>
  <c r="FJ249" i="7"/>
  <c r="FJ250" i="7"/>
  <c r="FK250" i="7"/>
  <c r="FJ251" i="7"/>
  <c r="FK251" i="7"/>
  <c r="FJ252" i="7"/>
  <c r="FK252" i="7"/>
  <c r="FJ253" i="7"/>
  <c r="FJ254" i="7"/>
  <c r="FK254" i="7"/>
  <c r="FJ255" i="7"/>
  <c r="FJ256" i="7"/>
  <c r="FJ261" i="7"/>
  <c r="FJ262" i="7"/>
  <c r="FK262" i="7"/>
  <c r="FJ263" i="7"/>
  <c r="FK263" i="7"/>
  <c r="FJ264" i="7"/>
  <c r="FK264" i="7"/>
  <c r="FJ265" i="7"/>
  <c r="FJ266" i="7"/>
  <c r="FK266" i="7"/>
  <c r="FJ267" i="7"/>
  <c r="FK267" i="7"/>
  <c r="FJ268" i="7"/>
  <c r="FJ269" i="7"/>
  <c r="FJ270" i="7"/>
  <c r="FK270" i="7"/>
  <c r="FJ271" i="7"/>
  <c r="FJ272" i="7"/>
  <c r="FJ274" i="7"/>
  <c r="FJ275" i="7"/>
  <c r="FK275" i="7"/>
  <c r="FJ276" i="7"/>
  <c r="FK276" i="7"/>
  <c r="FJ277" i="7"/>
  <c r="FB226" i="7"/>
  <c r="FB227" i="7"/>
  <c r="FK227" i="7"/>
  <c r="FB228" i="7"/>
  <c r="FB229" i="7"/>
  <c r="FB230" i="7"/>
  <c r="FB231" i="7"/>
  <c r="FB232" i="7"/>
  <c r="FB234" i="7"/>
  <c r="FB235" i="7"/>
  <c r="FB236" i="7"/>
  <c r="FB237" i="7"/>
  <c r="FB238" i="7"/>
  <c r="FB240" i="7"/>
  <c r="FB241" i="7"/>
  <c r="FB242" i="7"/>
  <c r="FB243" i="7"/>
  <c r="FB244" i="7"/>
  <c r="FB245" i="7"/>
  <c r="FB246" i="7"/>
  <c r="FB247" i="7"/>
  <c r="FB248" i="7"/>
  <c r="FB249" i="7"/>
  <c r="FB250" i="7"/>
  <c r="FB251" i="7"/>
  <c r="FB252" i="7"/>
  <c r="FB253" i="7"/>
  <c r="FB254" i="7"/>
  <c r="FB255" i="7"/>
  <c r="FB256" i="7"/>
  <c r="FB261" i="7"/>
  <c r="FB262" i="7"/>
  <c r="FB263" i="7"/>
  <c r="FB264" i="7"/>
  <c r="FB265" i="7"/>
  <c r="FB266" i="7"/>
  <c r="FB267" i="7"/>
  <c r="FB268" i="7"/>
  <c r="FB269" i="7"/>
  <c r="FB270" i="7"/>
  <c r="FB271" i="7"/>
  <c r="FB272" i="7"/>
  <c r="FB274" i="7"/>
  <c r="FB275" i="7"/>
  <c r="FB276" i="7"/>
  <c r="FW226" i="7"/>
  <c r="FT226" i="7"/>
  <c r="FT227" i="7"/>
  <c r="FT228" i="7"/>
  <c r="FT229" i="7"/>
  <c r="FT230" i="7"/>
  <c r="FT231" i="7"/>
  <c r="FT232" i="7"/>
  <c r="FW234" i="7"/>
  <c r="FX234" i="7"/>
  <c r="FW235" i="7"/>
  <c r="FX235" i="7"/>
  <c r="FW236" i="7"/>
  <c r="FX236" i="7"/>
  <c r="FY236" i="7"/>
  <c r="FW237" i="7"/>
  <c r="FX237" i="7"/>
  <c r="FY237" i="7"/>
  <c r="FW238" i="7"/>
  <c r="FX238" i="7"/>
  <c r="FY238" i="7"/>
  <c r="FW240" i="7"/>
  <c r="FX240" i="7"/>
  <c r="FW241" i="7"/>
  <c r="FX241" i="7"/>
  <c r="FW242" i="7"/>
  <c r="FX242" i="7"/>
  <c r="FW243" i="7"/>
  <c r="FX243" i="7"/>
  <c r="FY243" i="7"/>
  <c r="FW244" i="7"/>
  <c r="FX244" i="7"/>
  <c r="FW245" i="7"/>
  <c r="FX245" i="7"/>
  <c r="FY245" i="7"/>
  <c r="FX246" i="7"/>
  <c r="FY246" i="7"/>
  <c r="FX247" i="7"/>
  <c r="FX248" i="7"/>
  <c r="FX249" i="7"/>
  <c r="FX250" i="7"/>
  <c r="FX251" i="7"/>
  <c r="FX252" i="7"/>
  <c r="FX253" i="7"/>
  <c r="FX254" i="7"/>
  <c r="FX255" i="7"/>
  <c r="FX256" i="7"/>
  <c r="FX261" i="7"/>
  <c r="FY261" i="7"/>
  <c r="FX262" i="7"/>
  <c r="FY262" i="7"/>
  <c r="FX263" i="7"/>
  <c r="FX264" i="7"/>
  <c r="FX265" i="7"/>
  <c r="FX266" i="7"/>
  <c r="FY266" i="7"/>
  <c r="FX267" i="7"/>
  <c r="FX268" i="7"/>
  <c r="FX269" i="7"/>
  <c r="FX270" i="7"/>
  <c r="FX271" i="7"/>
  <c r="FX272" i="7"/>
  <c r="FY272" i="7"/>
  <c r="FX274" i="7"/>
  <c r="FY274" i="7"/>
  <c r="FX275" i="7"/>
  <c r="FY275" i="7"/>
  <c r="FX276" i="7"/>
  <c r="FX277" i="7"/>
  <c r="FP227" i="7"/>
  <c r="FP228" i="7"/>
  <c r="FP229" i="7"/>
  <c r="FP230" i="7"/>
  <c r="FP231" i="7"/>
  <c r="FP232" i="7"/>
  <c r="FP234" i="7"/>
  <c r="FP235" i="7"/>
  <c r="FP236" i="7"/>
  <c r="FP237" i="7"/>
  <c r="FP238" i="7"/>
  <c r="FP240" i="7"/>
  <c r="FP241" i="7"/>
  <c r="FP242" i="7"/>
  <c r="FP243" i="7"/>
  <c r="FP244" i="7"/>
  <c r="FP245" i="7"/>
  <c r="FP246" i="7"/>
  <c r="FP247" i="7"/>
  <c r="FP248" i="7"/>
  <c r="FP249" i="7"/>
  <c r="FP250" i="7"/>
  <c r="FP251" i="7"/>
  <c r="FP252" i="7"/>
  <c r="FP253" i="7"/>
  <c r="FP254" i="7"/>
  <c r="FP255" i="7"/>
  <c r="FP256" i="7"/>
  <c r="FP261" i="7"/>
  <c r="FP262" i="7"/>
  <c r="FP263" i="7"/>
  <c r="FP264" i="7"/>
  <c r="FP265" i="7"/>
  <c r="FP266" i="7"/>
  <c r="FP267" i="7"/>
  <c r="FP268" i="7"/>
  <c r="FP269" i="7"/>
  <c r="FP270" i="7"/>
  <c r="FP271" i="7"/>
  <c r="FP272" i="7"/>
  <c r="FP274" i="7"/>
  <c r="FP275" i="7"/>
  <c r="FP276" i="7"/>
  <c r="GK226" i="7"/>
  <c r="GH226" i="7"/>
  <c r="GH227" i="7"/>
  <c r="GH228" i="7"/>
  <c r="GH229" i="7"/>
  <c r="GH230" i="7"/>
  <c r="GH231" i="7"/>
  <c r="GH232" i="7"/>
  <c r="GK234" i="7"/>
  <c r="GL234" i="7"/>
  <c r="GM234" i="7"/>
  <c r="GK235" i="7"/>
  <c r="GL235" i="7"/>
  <c r="GM235" i="7"/>
  <c r="GK236" i="7"/>
  <c r="GL236" i="7"/>
  <c r="GK237" i="7"/>
  <c r="GL237" i="7"/>
  <c r="GK238" i="7"/>
  <c r="GL238" i="7"/>
  <c r="GM238" i="7"/>
  <c r="GK240" i="7"/>
  <c r="GL240" i="7"/>
  <c r="GM240" i="7"/>
  <c r="GK241" i="7"/>
  <c r="GL241" i="7"/>
  <c r="GK242" i="7"/>
  <c r="GL242" i="7"/>
  <c r="GM242" i="7"/>
  <c r="GK243" i="7"/>
  <c r="GL243" i="7"/>
  <c r="GM243" i="7"/>
  <c r="GK244" i="7"/>
  <c r="GL244" i="7"/>
  <c r="GK245" i="7"/>
  <c r="GL245" i="7"/>
  <c r="GL246" i="7"/>
  <c r="GM246" i="7"/>
  <c r="GL247" i="7"/>
  <c r="GL248" i="7"/>
  <c r="GM248" i="7"/>
  <c r="GL249" i="7"/>
  <c r="GM249" i="7"/>
  <c r="GL250" i="7"/>
  <c r="GL251" i="7"/>
  <c r="GM251" i="7"/>
  <c r="GL252" i="7"/>
  <c r="GL253" i="7"/>
  <c r="GL254" i="7"/>
  <c r="GL255" i="7"/>
  <c r="GM255" i="7"/>
  <c r="GL256" i="7"/>
  <c r="GL261" i="7"/>
  <c r="GM261" i="7"/>
  <c r="GL262" i="7"/>
  <c r="GM262" i="7"/>
  <c r="GL263" i="7"/>
  <c r="GM263" i="7"/>
  <c r="GL264" i="7"/>
  <c r="GM264" i="7"/>
  <c r="GL265" i="7"/>
  <c r="GL266" i="7"/>
  <c r="GL267" i="7"/>
  <c r="GM267" i="7"/>
  <c r="GL268" i="7"/>
  <c r="GL269" i="7"/>
  <c r="GM269" i="7"/>
  <c r="GL270" i="7"/>
  <c r="GM270" i="7"/>
  <c r="GL271" i="7"/>
  <c r="GL272" i="7"/>
  <c r="GL274" i="7"/>
  <c r="GM274" i="7"/>
  <c r="GL275" i="7"/>
  <c r="GL276" i="7"/>
  <c r="GL277" i="7"/>
  <c r="GM277" i="7"/>
  <c r="GD227" i="7"/>
  <c r="GD228" i="7"/>
  <c r="GD229" i="7"/>
  <c r="GD230" i="7"/>
  <c r="GD231" i="7"/>
  <c r="GD232" i="7"/>
  <c r="GD234" i="7"/>
  <c r="GD235" i="7"/>
  <c r="GD281" i="7"/>
  <c r="GD283" i="7"/>
  <c r="GD236" i="7"/>
  <c r="GD237" i="7"/>
  <c r="GD238" i="7"/>
  <c r="GD240" i="7"/>
  <c r="GD241" i="7"/>
  <c r="GD242" i="7"/>
  <c r="GD243" i="7"/>
  <c r="GD244" i="7"/>
  <c r="GD245" i="7"/>
  <c r="GD246" i="7"/>
  <c r="GD247" i="7"/>
  <c r="GD248" i="7"/>
  <c r="GD249" i="7"/>
  <c r="GD250" i="7"/>
  <c r="GD251" i="7"/>
  <c r="GD252" i="7"/>
  <c r="GD253" i="7"/>
  <c r="GD254" i="7"/>
  <c r="GD255" i="7"/>
  <c r="GD256" i="7"/>
  <c r="GD261" i="7"/>
  <c r="GD262" i="7"/>
  <c r="GD263" i="7"/>
  <c r="GD264" i="7"/>
  <c r="GD265" i="7"/>
  <c r="GD266" i="7"/>
  <c r="GD267" i="7"/>
  <c r="GD268" i="7"/>
  <c r="GD269" i="7"/>
  <c r="GD270" i="7"/>
  <c r="GD271" i="7"/>
  <c r="GD272" i="7"/>
  <c r="GD274" i="7"/>
  <c r="GD275" i="7"/>
  <c r="GD276" i="7"/>
  <c r="BL229" i="7"/>
  <c r="BL287" i="7"/>
  <c r="BK287" i="7"/>
  <c r="BO229" i="7"/>
  <c r="BO233" i="7"/>
  <c r="BL237" i="7"/>
  <c r="BH237" i="7"/>
  <c r="BH287" i="7"/>
  <c r="BL230" i="7"/>
  <c r="BO230" i="7"/>
  <c r="BO234" i="7"/>
  <c r="BL231" i="7"/>
  <c r="BO231" i="7"/>
  <c r="BO235" i="7"/>
  <c r="BO239" i="7"/>
  <c r="BO243" i="7"/>
  <c r="BO247" i="7"/>
  <c r="BP247" i="7"/>
  <c r="BQ247" i="7"/>
  <c r="BL232" i="7"/>
  <c r="BO232" i="7"/>
  <c r="BO236" i="7"/>
  <c r="BO240" i="7"/>
  <c r="BO244" i="7"/>
  <c r="BO248" i="7"/>
  <c r="BO252" i="7"/>
  <c r="BL233" i="7"/>
  <c r="BH233" i="7"/>
  <c r="BL234" i="7"/>
  <c r="BL235" i="7"/>
  <c r="BP235" i="7"/>
  <c r="BL236" i="7"/>
  <c r="BL238" i="7"/>
  <c r="BL239" i="7"/>
  <c r="BP239" i="7"/>
  <c r="BL240" i="7"/>
  <c r="BL241" i="7"/>
  <c r="BL242" i="7"/>
  <c r="BL243" i="7"/>
  <c r="BP243" i="7"/>
  <c r="BQ243" i="7"/>
  <c r="BL244" i="7"/>
  <c r="BL245" i="7"/>
  <c r="BL246" i="7"/>
  <c r="BL247" i="7"/>
  <c r="BL248" i="7"/>
  <c r="BO256" i="7"/>
  <c r="BL249" i="7"/>
  <c r="BL250" i="7"/>
  <c r="BL251" i="7"/>
  <c r="BO251" i="7"/>
  <c r="BO255" i="7"/>
  <c r="BP255" i="7"/>
  <c r="BQ255" i="7"/>
  <c r="BP251" i="7"/>
  <c r="BQ251" i="7"/>
  <c r="BL252" i="7"/>
  <c r="BL253" i="7"/>
  <c r="BL254" i="7"/>
  <c r="BL255" i="7"/>
  <c r="BH254" i="7"/>
  <c r="BL256" i="7"/>
  <c r="BP261" i="7"/>
  <c r="BP262" i="7"/>
  <c r="BP263" i="7"/>
  <c r="BP264" i="7"/>
  <c r="BP265" i="7"/>
  <c r="BP266" i="7"/>
  <c r="BP267" i="7"/>
  <c r="BP268" i="7"/>
  <c r="BP269" i="7"/>
  <c r="BP270" i="7"/>
  <c r="BP271" i="7"/>
  <c r="BP272" i="7"/>
  <c r="BP273" i="7"/>
  <c r="BP274" i="7"/>
  <c r="BP275" i="7"/>
  <c r="BP276" i="7"/>
  <c r="BP277" i="7"/>
  <c r="BZ229" i="7"/>
  <c r="CC229" i="7"/>
  <c r="CD229" i="7"/>
  <c r="BZ230" i="7"/>
  <c r="CC230" i="7"/>
  <c r="BZ233" i="7"/>
  <c r="CC233" i="7"/>
  <c r="CD233" i="7"/>
  <c r="BV233" i="7"/>
  <c r="BZ234" i="7"/>
  <c r="CC234" i="7"/>
  <c r="CC238" i="7"/>
  <c r="CC242" i="7"/>
  <c r="BZ237" i="7"/>
  <c r="CD237" i="7"/>
  <c r="BZ238" i="7"/>
  <c r="BZ241" i="7"/>
  <c r="CC241" i="7"/>
  <c r="CD241" i="7"/>
  <c r="BZ242" i="7"/>
  <c r="CD242" i="7"/>
  <c r="BZ245" i="7"/>
  <c r="CC245" i="7"/>
  <c r="CC249" i="7"/>
  <c r="BZ246" i="7"/>
  <c r="BZ249" i="7"/>
  <c r="BV249" i="7"/>
  <c r="BZ250" i="7"/>
  <c r="BZ253" i="7"/>
  <c r="BV253" i="7"/>
  <c r="BV287" i="7"/>
  <c r="BZ254" i="7"/>
  <c r="CD261" i="7"/>
  <c r="CD262" i="7"/>
  <c r="CD265" i="7"/>
  <c r="CD266" i="7"/>
  <c r="CD269" i="7"/>
  <c r="CD270" i="7"/>
  <c r="CD273" i="7"/>
  <c r="CD274" i="7"/>
  <c r="CD277" i="7"/>
  <c r="GX226" i="7"/>
  <c r="HB226" i="7"/>
  <c r="HA227" i="7"/>
  <c r="HA228" i="7"/>
  <c r="GX227" i="7"/>
  <c r="HB227" i="7"/>
  <c r="HC227" i="7"/>
  <c r="GX228" i="7"/>
  <c r="HB228" i="7"/>
  <c r="HC228" i="7"/>
  <c r="GX229" i="7"/>
  <c r="GX230" i="7"/>
  <c r="GX231" i="7"/>
  <c r="GX232" i="7"/>
  <c r="HA234" i="7"/>
  <c r="HB234" i="7"/>
  <c r="HC234" i="7"/>
  <c r="HA235" i="7"/>
  <c r="HB235" i="7"/>
  <c r="HC235" i="7"/>
  <c r="HA236" i="7"/>
  <c r="HB236" i="7"/>
  <c r="HC236" i="7"/>
  <c r="HA237" i="7"/>
  <c r="HB237" i="7"/>
  <c r="HC237" i="7"/>
  <c r="HA238" i="7"/>
  <c r="HB238" i="7"/>
  <c r="HC238" i="7"/>
  <c r="HA240" i="7"/>
  <c r="HB240" i="7"/>
  <c r="HC240" i="7"/>
  <c r="HA241" i="7"/>
  <c r="HB241" i="7"/>
  <c r="HC241" i="7"/>
  <c r="HA242" i="7"/>
  <c r="HB242" i="7"/>
  <c r="HC242" i="7"/>
  <c r="HA243" i="7"/>
  <c r="HB243" i="7"/>
  <c r="HC243" i="7"/>
  <c r="HA244" i="7"/>
  <c r="HB244" i="7"/>
  <c r="HA245" i="7"/>
  <c r="HB245" i="7"/>
  <c r="HC245" i="7"/>
  <c r="HB246" i="7"/>
  <c r="HC246" i="7"/>
  <c r="HB247" i="7"/>
  <c r="HC247" i="7"/>
  <c r="HB248" i="7"/>
  <c r="HB249" i="7"/>
  <c r="HC249" i="7"/>
  <c r="HB250" i="7"/>
  <c r="HC250" i="7"/>
  <c r="HB251" i="7"/>
  <c r="HC251" i="7"/>
  <c r="HB252" i="7"/>
  <c r="HC252" i="7"/>
  <c r="HB253" i="7"/>
  <c r="HC253" i="7"/>
  <c r="HB254" i="7"/>
  <c r="HB255" i="7"/>
  <c r="HC255" i="7"/>
  <c r="HB256" i="7"/>
  <c r="HC256" i="7"/>
  <c r="HB257" i="7"/>
  <c r="HB258" i="7"/>
  <c r="HB259" i="7"/>
  <c r="HC259" i="7"/>
  <c r="HB260" i="7"/>
  <c r="HB261" i="7"/>
  <c r="HB262" i="7"/>
  <c r="HC262" i="7"/>
  <c r="HB263" i="7"/>
  <c r="HB264" i="7"/>
  <c r="HB265" i="7"/>
  <c r="HC265" i="7"/>
  <c r="HB266" i="7"/>
  <c r="HC266" i="7"/>
  <c r="HB267" i="7"/>
  <c r="HB268" i="7"/>
  <c r="HB269" i="7"/>
  <c r="HB270" i="7"/>
  <c r="HB271" i="7"/>
  <c r="HC271" i="7"/>
  <c r="HB272" i="7"/>
  <c r="HB274" i="7"/>
  <c r="HC274" i="7"/>
  <c r="HB275" i="7"/>
  <c r="HB276" i="7"/>
  <c r="HB277" i="7"/>
  <c r="HC277" i="7"/>
  <c r="GR226" i="7"/>
  <c r="GR227" i="7"/>
  <c r="GR228" i="7"/>
  <c r="GR229" i="7"/>
  <c r="GR230" i="7"/>
  <c r="GR231" i="7"/>
  <c r="GR232" i="7"/>
  <c r="GR234" i="7"/>
  <c r="GR235" i="7"/>
  <c r="GR236" i="7"/>
  <c r="GR237" i="7"/>
  <c r="GR238" i="7"/>
  <c r="GR240" i="7"/>
  <c r="GR241" i="7"/>
  <c r="GR242" i="7"/>
  <c r="GR243" i="7"/>
  <c r="GR244" i="7"/>
  <c r="GR245" i="7"/>
  <c r="GR246" i="7"/>
  <c r="GR247" i="7"/>
  <c r="GR248" i="7"/>
  <c r="GR249" i="7"/>
  <c r="GR250" i="7"/>
  <c r="GR251" i="7"/>
  <c r="GR252" i="7"/>
  <c r="GR253" i="7"/>
  <c r="GR254" i="7"/>
  <c r="GR255" i="7"/>
  <c r="GR256" i="7"/>
  <c r="GR257" i="7"/>
  <c r="GR258" i="7"/>
  <c r="GR259" i="7"/>
  <c r="GR260" i="7"/>
  <c r="GR261" i="7"/>
  <c r="GR262" i="7"/>
  <c r="GR263" i="7"/>
  <c r="GR264" i="7"/>
  <c r="GR265" i="7"/>
  <c r="GR266" i="7"/>
  <c r="GR267" i="7"/>
  <c r="GR268" i="7"/>
  <c r="GR269" i="7"/>
  <c r="GR270" i="7"/>
  <c r="GR271" i="7"/>
  <c r="GR272" i="7"/>
  <c r="GR274" i="7"/>
  <c r="GR275" i="7"/>
  <c r="GR276" i="7"/>
  <c r="D229" i="7"/>
  <c r="D230" i="7"/>
  <c r="D231" i="7"/>
  <c r="D232" i="7"/>
  <c r="R229" i="7"/>
  <c r="R230" i="7"/>
  <c r="R231" i="7"/>
  <c r="R232" i="7"/>
  <c r="AF230" i="7"/>
  <c r="AF231" i="7"/>
  <c r="HH226" i="7"/>
  <c r="HN226" i="7"/>
  <c r="HT226" i="7"/>
  <c r="BV229" i="7"/>
  <c r="BV230" i="7"/>
  <c r="AF234" i="7"/>
  <c r="AM234" i="7"/>
  <c r="AF235" i="7"/>
  <c r="HH227" i="7"/>
  <c r="HN227" i="7"/>
  <c r="HT227" i="7"/>
  <c r="BH234" i="7"/>
  <c r="BH235" i="7"/>
  <c r="BH236" i="7"/>
  <c r="BV234" i="7"/>
  <c r="AF238" i="7"/>
  <c r="AM238" i="7"/>
  <c r="AN238" i="7"/>
  <c r="AF239" i="7"/>
  <c r="HH228" i="7"/>
  <c r="HN228" i="7"/>
  <c r="HT228" i="7"/>
  <c r="BH238" i="7"/>
  <c r="BH239" i="7"/>
  <c r="BH240" i="7"/>
  <c r="BV237" i="7"/>
  <c r="BV238" i="7"/>
  <c r="HH229" i="7"/>
  <c r="HN229" i="7"/>
  <c r="HT229" i="7"/>
  <c r="BH241" i="7"/>
  <c r="BH245" i="7"/>
  <c r="BH249" i="7"/>
  <c r="BH253" i="7"/>
  <c r="BH261" i="7"/>
  <c r="BH265" i="7"/>
  <c r="BH269" i="7"/>
  <c r="BH273" i="7"/>
  <c r="BH242" i="7"/>
  <c r="BH243" i="7"/>
  <c r="BH244" i="7"/>
  <c r="BV241" i="7"/>
  <c r="BV242" i="7"/>
  <c r="AF245" i="7"/>
  <c r="AF246" i="7"/>
  <c r="AF247" i="7"/>
  <c r="HH230" i="7"/>
  <c r="HN230" i="7"/>
  <c r="HT230" i="7"/>
  <c r="BH246" i="7"/>
  <c r="BH247" i="7"/>
  <c r="BH248" i="7"/>
  <c r="BV245" i="7"/>
  <c r="BV246" i="7"/>
  <c r="AF249" i="7"/>
  <c r="AF250" i="7"/>
  <c r="AF251" i="7"/>
  <c r="AM251" i="7"/>
  <c r="AF252" i="7"/>
  <c r="HH231" i="7"/>
  <c r="HN231" i="7"/>
  <c r="HT231" i="7"/>
  <c r="BH250" i="7"/>
  <c r="BH251" i="7"/>
  <c r="BH252" i="7"/>
  <c r="BV250" i="7"/>
  <c r="AF253" i="7"/>
  <c r="AF254" i="7"/>
  <c r="AF255" i="7"/>
  <c r="AF263" i="7"/>
  <c r="AF267" i="7"/>
  <c r="AF271" i="7"/>
  <c r="AF275" i="7"/>
  <c r="AF256" i="7"/>
  <c r="HH247" i="7"/>
  <c r="HN247" i="7"/>
  <c r="HT247" i="7"/>
  <c r="BV254" i="7"/>
  <c r="HH251" i="7"/>
  <c r="HN251" i="7"/>
  <c r="HT251" i="7"/>
  <c r="D261" i="7"/>
  <c r="D262" i="7"/>
  <c r="D263" i="7"/>
  <c r="D264" i="7"/>
  <c r="R261" i="7"/>
  <c r="R262" i="7"/>
  <c r="R263" i="7"/>
  <c r="Y263" i="7"/>
  <c r="R264" i="7"/>
  <c r="AF261" i="7"/>
  <c r="AF262" i="7"/>
  <c r="AF264" i="7"/>
  <c r="AT261" i="7"/>
  <c r="AT262" i="7"/>
  <c r="AT263" i="7"/>
  <c r="AT264" i="7"/>
  <c r="HH255" i="7"/>
  <c r="HN255" i="7"/>
  <c r="HT255" i="7"/>
  <c r="BH262" i="7"/>
  <c r="BV261" i="7"/>
  <c r="BV262" i="7"/>
  <c r="D265" i="7"/>
  <c r="D266" i="7"/>
  <c r="D267" i="7"/>
  <c r="D268" i="7"/>
  <c r="R265" i="7"/>
  <c r="R266" i="7"/>
  <c r="R267" i="7"/>
  <c r="R268" i="7"/>
  <c r="AF265" i="7"/>
  <c r="AF266" i="7"/>
  <c r="AM266" i="7"/>
  <c r="AF268" i="7"/>
  <c r="AT265" i="7"/>
  <c r="AT266" i="7"/>
  <c r="AT267" i="7"/>
  <c r="AT268" i="7"/>
  <c r="HH259" i="7"/>
  <c r="HN259" i="7"/>
  <c r="HT259" i="7"/>
  <c r="BH266" i="7"/>
  <c r="BV265" i="7"/>
  <c r="BV266" i="7"/>
  <c r="D269" i="7"/>
  <c r="D270" i="7"/>
  <c r="D271" i="7"/>
  <c r="D272" i="7"/>
  <c r="R269" i="7"/>
  <c r="R270" i="7"/>
  <c r="R271" i="7"/>
  <c r="R272" i="7"/>
  <c r="AF269" i="7"/>
  <c r="AF270" i="7"/>
  <c r="AF272" i="7"/>
  <c r="AT269" i="7"/>
  <c r="AT270" i="7"/>
  <c r="AT271" i="7"/>
  <c r="AT272" i="7"/>
  <c r="HH263" i="7"/>
  <c r="HN263" i="7"/>
  <c r="HT263" i="7"/>
  <c r="BH270" i="7"/>
  <c r="BV269" i="7"/>
  <c r="BV270" i="7"/>
  <c r="D273" i="7"/>
  <c r="D274" i="7"/>
  <c r="D275" i="7"/>
  <c r="D276" i="7"/>
  <c r="R273" i="7"/>
  <c r="R274" i="7"/>
  <c r="R275" i="7"/>
  <c r="R276" i="7"/>
  <c r="AF273" i="7"/>
  <c r="AF274" i="7"/>
  <c r="AF276" i="7"/>
  <c r="AT273" i="7"/>
  <c r="AT274" i="7"/>
  <c r="AT275" i="7"/>
  <c r="AT276" i="7"/>
  <c r="HH267" i="7"/>
  <c r="HN267" i="7"/>
  <c r="HT267" i="7"/>
  <c r="BH274" i="7"/>
  <c r="BV273" i="7"/>
  <c r="BV274" i="7"/>
  <c r="D277" i="7"/>
  <c r="D278" i="7"/>
  <c r="D279" i="7"/>
  <c r="D280" i="7"/>
  <c r="R277" i="7"/>
  <c r="R278" i="7"/>
  <c r="R279" i="7"/>
  <c r="Y279" i="7"/>
  <c r="R280" i="7"/>
  <c r="Y280" i="7"/>
  <c r="AF277" i="7"/>
  <c r="AF278" i="7"/>
  <c r="AF279" i="7"/>
  <c r="AF280" i="7"/>
  <c r="AT277" i="7"/>
  <c r="AT278" i="7"/>
  <c r="AT279" i="7"/>
  <c r="AT280" i="7"/>
  <c r="HH271" i="7"/>
  <c r="HN271" i="7"/>
  <c r="HT271" i="7"/>
  <c r="BH277" i="7"/>
  <c r="BH278" i="7"/>
  <c r="BV277" i="7"/>
  <c r="BV278" i="7"/>
  <c r="F294" i="7"/>
  <c r="BL261" i="7"/>
  <c r="BL265" i="7"/>
  <c r="BQ265" i="7"/>
  <c r="BL269" i="7"/>
  <c r="BQ269" i="7"/>
  <c r="BL273" i="7"/>
  <c r="BZ261" i="7"/>
  <c r="BZ265" i="7"/>
  <c r="CE265" i="7"/>
  <c r="BZ269" i="7"/>
  <c r="BZ273" i="7"/>
  <c r="CE273" i="7"/>
  <c r="GV231" i="7"/>
  <c r="GT240" i="7"/>
  <c r="GT241" i="7"/>
  <c r="GT242" i="7"/>
  <c r="GT243" i="7"/>
  <c r="GT244" i="7"/>
  <c r="GT245" i="7"/>
  <c r="GT246" i="7"/>
  <c r="GT247" i="7"/>
  <c r="GT248" i="7"/>
  <c r="GT249" i="7"/>
  <c r="GT250" i="7"/>
  <c r="GT251" i="7"/>
  <c r="GT252" i="7"/>
  <c r="GT253" i="7"/>
  <c r="GT226" i="7"/>
  <c r="GT227" i="7"/>
  <c r="GT228" i="7"/>
  <c r="GT229" i="7"/>
  <c r="GT230" i="7"/>
  <c r="GT231" i="7"/>
  <c r="GT232" i="7"/>
  <c r="GT234" i="7"/>
  <c r="GT235" i="7"/>
  <c r="GT236" i="7"/>
  <c r="GT237" i="7"/>
  <c r="GT238" i="7"/>
  <c r="X241" i="7"/>
  <c r="X242" i="7"/>
  <c r="X243" i="7"/>
  <c r="X244" i="7"/>
  <c r="X248" i="7"/>
  <c r="J233" i="7"/>
  <c r="J237" i="7"/>
  <c r="J241" i="7"/>
  <c r="J245" i="7"/>
  <c r="J234" i="7"/>
  <c r="J238" i="7"/>
  <c r="J242" i="7"/>
  <c r="J246" i="7"/>
  <c r="J235" i="7"/>
  <c r="J239" i="7"/>
  <c r="J243" i="7"/>
  <c r="J247" i="7"/>
  <c r="J251" i="7"/>
  <c r="J255" i="7"/>
  <c r="J236" i="7"/>
  <c r="J240" i="7"/>
  <c r="J244" i="7"/>
  <c r="J248" i="7"/>
  <c r="J252" i="7"/>
  <c r="J256" i="7"/>
  <c r="GB226" i="7"/>
  <c r="FN226" i="7"/>
  <c r="HT232" i="7"/>
  <c r="HT234" i="7"/>
  <c r="HT235" i="7"/>
  <c r="HT236" i="7"/>
  <c r="HT237" i="7"/>
  <c r="HT238" i="7"/>
  <c r="HT240" i="7"/>
  <c r="HT241" i="7"/>
  <c r="HT242" i="7"/>
  <c r="HT243" i="7"/>
  <c r="HT244" i="7"/>
  <c r="HT245" i="7"/>
  <c r="HT246" i="7"/>
  <c r="HT248" i="7"/>
  <c r="HT249" i="7"/>
  <c r="HT250" i="7"/>
  <c r="HT252" i="7"/>
  <c r="HT253" i="7"/>
  <c r="HT254" i="7"/>
  <c r="HT256" i="7"/>
  <c r="HT257" i="7"/>
  <c r="HT258" i="7"/>
  <c r="HT260" i="7"/>
  <c r="HT261" i="7"/>
  <c r="HT262" i="7"/>
  <c r="HT264" i="7"/>
  <c r="HT265" i="7"/>
  <c r="HT266" i="7"/>
  <c r="HT268" i="7"/>
  <c r="HT269" i="7"/>
  <c r="HT270" i="7"/>
  <c r="HT272" i="7"/>
  <c r="HT274" i="7"/>
  <c r="HT275" i="7"/>
  <c r="HT276" i="7"/>
  <c r="HN232" i="7"/>
  <c r="HN234" i="7"/>
  <c r="HN235" i="7"/>
  <c r="HN236" i="7"/>
  <c r="HN237" i="7"/>
  <c r="HN238" i="7"/>
  <c r="HN240" i="7"/>
  <c r="HN241" i="7"/>
  <c r="HN242" i="7"/>
  <c r="HN243" i="7"/>
  <c r="HN244" i="7"/>
  <c r="HN245" i="7"/>
  <c r="HN246" i="7"/>
  <c r="HN248" i="7"/>
  <c r="HN249" i="7"/>
  <c r="HN250" i="7"/>
  <c r="HN252" i="7"/>
  <c r="HN253" i="7"/>
  <c r="HN254" i="7"/>
  <c r="HN256" i="7"/>
  <c r="HN257" i="7"/>
  <c r="HN258" i="7"/>
  <c r="HN260" i="7"/>
  <c r="HN261" i="7"/>
  <c r="HN262" i="7"/>
  <c r="HN264" i="7"/>
  <c r="HN265" i="7"/>
  <c r="HN266" i="7"/>
  <c r="HN268" i="7"/>
  <c r="HN269" i="7"/>
  <c r="HN270" i="7"/>
  <c r="HN272" i="7"/>
  <c r="HN274" i="7"/>
  <c r="HN275" i="7"/>
  <c r="HN276" i="7"/>
  <c r="HH232" i="7"/>
  <c r="HH234" i="7"/>
  <c r="HH235" i="7"/>
  <c r="HH236" i="7"/>
  <c r="HH237" i="7"/>
  <c r="HH238" i="7"/>
  <c r="HH240" i="7"/>
  <c r="HH241" i="7"/>
  <c r="HH242" i="7"/>
  <c r="HH243" i="7"/>
  <c r="HH244" i="7"/>
  <c r="HH245" i="7"/>
  <c r="HH246" i="7"/>
  <c r="HH248" i="7"/>
  <c r="HH249" i="7"/>
  <c r="HH250" i="7"/>
  <c r="HH252" i="7"/>
  <c r="HH253" i="7"/>
  <c r="HH254" i="7"/>
  <c r="HH256" i="7"/>
  <c r="HH257" i="7"/>
  <c r="HH258" i="7"/>
  <c r="HH260" i="7"/>
  <c r="HH261" i="7"/>
  <c r="HH262" i="7"/>
  <c r="HH264" i="7"/>
  <c r="HH265" i="7"/>
  <c r="HH266" i="7"/>
  <c r="HH268" i="7"/>
  <c r="HH269" i="7"/>
  <c r="HH270" i="7"/>
  <c r="HH272" i="7"/>
  <c r="HH274" i="7"/>
  <c r="HH275" i="7"/>
  <c r="HH276" i="7"/>
  <c r="BX230" i="7"/>
  <c r="BX229" i="7"/>
  <c r="BT253" i="7"/>
  <c r="BT249" i="7"/>
  <c r="BT245" i="7"/>
  <c r="BV231" i="7"/>
  <c r="BV232" i="7"/>
  <c r="BV235" i="7"/>
  <c r="BV236" i="7"/>
  <c r="BV239" i="7"/>
  <c r="BV240" i="7"/>
  <c r="BV243" i="7"/>
  <c r="BV244" i="7"/>
  <c r="BV247" i="7"/>
  <c r="BV248" i="7"/>
  <c r="BV251" i="7"/>
  <c r="BV252" i="7"/>
  <c r="BV255" i="7"/>
  <c r="BV256" i="7"/>
  <c r="BV263" i="7"/>
  <c r="BV264" i="7"/>
  <c r="BV267" i="7"/>
  <c r="BV268" i="7"/>
  <c r="BV271" i="7"/>
  <c r="BV272" i="7"/>
  <c r="BV275" i="7"/>
  <c r="BV276" i="7"/>
  <c r="BH255" i="7"/>
  <c r="BH256" i="7"/>
  <c r="BH263" i="7"/>
  <c r="BH264" i="7"/>
  <c r="BH267" i="7"/>
  <c r="BH268" i="7"/>
  <c r="BH271" i="7"/>
  <c r="BH272" i="7"/>
  <c r="BH275" i="7"/>
  <c r="BH276" i="7"/>
  <c r="BT241" i="7"/>
  <c r="BT237" i="7"/>
  <c r="BT233" i="7"/>
  <c r="BT229" i="7"/>
  <c r="BF253" i="7"/>
  <c r="BF249" i="7"/>
  <c r="BF245" i="7"/>
  <c r="BF241" i="7"/>
  <c r="BF237" i="7"/>
  <c r="BJ233" i="7"/>
  <c r="BJ234" i="7"/>
  <c r="BJ235" i="7"/>
  <c r="BF233" i="7"/>
  <c r="BF229" i="7"/>
  <c r="AH236" i="7"/>
  <c r="AH235" i="7"/>
  <c r="CX284" i="7"/>
  <c r="DB277" i="7"/>
  <c r="DG276" i="7"/>
  <c r="DB276" i="7"/>
  <c r="DB275" i="7"/>
  <c r="DB274" i="7"/>
  <c r="DG272" i="7"/>
  <c r="DB272" i="7"/>
  <c r="DG271" i="7"/>
  <c r="DB271" i="7"/>
  <c r="DG270" i="7"/>
  <c r="DB270" i="7"/>
  <c r="DB269" i="7"/>
  <c r="DB268" i="7"/>
  <c r="DG267" i="7"/>
  <c r="DB267" i="7"/>
  <c r="DG266" i="7"/>
  <c r="DB266" i="7"/>
  <c r="DG265" i="7"/>
  <c r="DB265" i="7"/>
  <c r="DG264" i="7"/>
  <c r="DB264" i="7"/>
  <c r="DG263" i="7"/>
  <c r="DB263" i="7"/>
  <c r="DB262" i="7"/>
  <c r="DB261" i="7"/>
  <c r="DG256" i="7"/>
  <c r="DB256" i="7"/>
  <c r="DG255" i="7"/>
  <c r="DB255" i="7"/>
  <c r="DG254" i="7"/>
  <c r="DB254" i="7"/>
  <c r="DG253" i="7"/>
  <c r="DB253" i="7"/>
  <c r="DB252" i="7"/>
  <c r="DG251" i="7"/>
  <c r="DB251" i="7"/>
  <c r="DB250" i="7"/>
  <c r="CZ250" i="7"/>
  <c r="DB249" i="7"/>
  <c r="CZ249" i="7"/>
  <c r="DG248" i="7"/>
  <c r="DB248" i="7"/>
  <c r="DB247" i="7"/>
  <c r="CZ247" i="7"/>
  <c r="DB246" i="7"/>
  <c r="CZ246" i="7"/>
  <c r="DB245" i="7"/>
  <c r="CZ245" i="7"/>
  <c r="DG244" i="7"/>
  <c r="DB244" i="7"/>
  <c r="CZ244" i="7"/>
  <c r="CV244" i="7"/>
  <c r="DB243" i="7"/>
  <c r="CZ243" i="7"/>
  <c r="CV243" i="7"/>
  <c r="DG242" i="7"/>
  <c r="DB242" i="7"/>
  <c r="CZ242" i="7"/>
  <c r="DB241" i="7"/>
  <c r="CZ241" i="7"/>
  <c r="DB240" i="7"/>
  <c r="CZ240" i="7"/>
  <c r="DG239" i="7"/>
  <c r="DG238" i="7"/>
  <c r="DB238" i="7"/>
  <c r="CZ238" i="7"/>
  <c r="CV238" i="7"/>
  <c r="DG237" i="7"/>
  <c r="DB237" i="7"/>
  <c r="CZ237" i="7"/>
  <c r="CV237" i="7"/>
  <c r="DB236" i="7"/>
  <c r="CZ236" i="7"/>
  <c r="CV236" i="7"/>
  <c r="DG235" i="7"/>
  <c r="DB235" i="7"/>
  <c r="CZ235" i="7"/>
  <c r="CV235" i="7"/>
  <c r="DG234" i="7"/>
  <c r="DB234" i="7"/>
  <c r="CZ234" i="7"/>
  <c r="CV234" i="7"/>
  <c r="CZ232" i="7"/>
  <c r="CV232" i="7"/>
  <c r="CZ231" i="7"/>
  <c r="CV231" i="7"/>
  <c r="CZ230" i="7"/>
  <c r="CV230" i="7"/>
  <c r="CZ229" i="7"/>
  <c r="CV229" i="7"/>
  <c r="CZ228" i="7"/>
  <c r="CV228" i="7"/>
  <c r="CZ227" i="7"/>
  <c r="CV227" i="7"/>
  <c r="CZ226" i="7"/>
  <c r="CV226" i="7"/>
  <c r="HT284" i="7"/>
  <c r="HR244" i="7"/>
  <c r="HR243" i="7"/>
  <c r="HR238" i="7"/>
  <c r="HR237" i="7"/>
  <c r="HR236" i="7"/>
  <c r="HR235" i="7"/>
  <c r="HR234" i="7"/>
  <c r="HR232" i="7"/>
  <c r="HR231" i="7"/>
  <c r="HR230" i="7"/>
  <c r="HR229" i="7"/>
  <c r="HR228" i="7"/>
  <c r="HR227" i="7"/>
  <c r="HR226" i="7"/>
  <c r="HN284" i="7"/>
  <c r="HL244" i="7"/>
  <c r="HL243" i="7"/>
  <c r="HL238" i="7"/>
  <c r="HL237" i="7"/>
  <c r="HL236" i="7"/>
  <c r="HL235" i="7"/>
  <c r="HL234" i="7"/>
  <c r="HL232" i="7"/>
  <c r="HL231" i="7"/>
  <c r="HL230" i="7"/>
  <c r="HL229" i="7"/>
  <c r="HL228" i="7"/>
  <c r="HL227" i="7"/>
  <c r="HL226" i="7"/>
  <c r="HH284" i="7"/>
  <c r="HF244" i="7"/>
  <c r="HF243" i="7"/>
  <c r="HF238" i="7"/>
  <c r="HF237" i="7"/>
  <c r="HF236" i="7"/>
  <c r="HF235" i="7"/>
  <c r="HF234" i="7"/>
  <c r="HF232" i="7"/>
  <c r="HF231" i="7"/>
  <c r="HF230" i="7"/>
  <c r="HF229" i="7"/>
  <c r="HF228" i="7"/>
  <c r="HF227" i="7"/>
  <c r="HF226" i="7"/>
  <c r="CD278" i="7"/>
  <c r="CC278" i="7"/>
  <c r="CB278" i="7"/>
  <c r="BZ278" i="7"/>
  <c r="CE278" i="7"/>
  <c r="CC277" i="7"/>
  <c r="CB277" i="7"/>
  <c r="BZ277" i="7"/>
  <c r="CE277" i="7"/>
  <c r="CC274" i="7"/>
  <c r="CB274" i="7"/>
  <c r="BZ274" i="7"/>
  <c r="CC273" i="7"/>
  <c r="CB273" i="7"/>
  <c r="CC270" i="7"/>
  <c r="CB270" i="7"/>
  <c r="BZ270" i="7"/>
  <c r="CE270" i="7"/>
  <c r="CC269" i="7"/>
  <c r="CB269" i="7"/>
  <c r="CE269" i="7"/>
  <c r="CC266" i="7"/>
  <c r="CB266" i="7"/>
  <c r="BZ266" i="7"/>
  <c r="CE266" i="7"/>
  <c r="CC265" i="7"/>
  <c r="CB265" i="7"/>
  <c r="CC262" i="7"/>
  <c r="CB262" i="7"/>
  <c r="BZ262" i="7"/>
  <c r="CE262" i="7"/>
  <c r="CC261" i="7"/>
  <c r="CB261" i="7"/>
  <c r="CE261" i="7"/>
  <c r="CB230" i="7"/>
  <c r="CB234" i="7"/>
  <c r="CB238" i="7"/>
  <c r="CB242" i="7"/>
  <c r="CB246" i="7"/>
  <c r="CB250" i="7"/>
  <c r="CB254" i="7"/>
  <c r="CB241" i="7"/>
  <c r="CB245" i="7"/>
  <c r="CB249" i="7"/>
  <c r="CB253" i="7"/>
  <c r="CE241" i="7"/>
  <c r="CB229" i="7"/>
  <c r="CB233" i="7"/>
  <c r="CC290" i="7"/>
  <c r="CB290" i="7"/>
  <c r="CC289" i="7"/>
  <c r="CB289" i="7"/>
  <c r="CC288" i="7"/>
  <c r="CB288" i="7"/>
  <c r="CC287" i="7"/>
  <c r="CB287" i="7"/>
  <c r="BV284" i="7"/>
  <c r="BV280" i="7"/>
  <c r="BX279" i="7"/>
  <c r="BV279" i="7"/>
  <c r="BX278" i="7"/>
  <c r="BX277" i="7"/>
  <c r="BT277" i="7"/>
  <c r="BX276" i="7"/>
  <c r="BX275" i="7"/>
  <c r="BX274" i="7"/>
  <c r="BX273" i="7"/>
  <c r="BX272" i="7"/>
  <c r="BX271" i="7"/>
  <c r="BX270" i="7"/>
  <c r="BX269" i="7"/>
  <c r="BT269" i="7"/>
  <c r="BX268" i="7"/>
  <c r="BX267" i="7"/>
  <c r="BX266" i="7"/>
  <c r="BX265" i="7"/>
  <c r="BT265" i="7"/>
  <c r="BX264" i="7"/>
  <c r="BX263" i="7"/>
  <c r="BX262" i="7"/>
  <c r="BX261" i="7"/>
  <c r="BT261" i="7"/>
  <c r="BX256" i="7"/>
  <c r="BX255" i="7"/>
  <c r="BX254" i="7"/>
  <c r="BX253" i="7"/>
  <c r="BX252" i="7"/>
  <c r="BX251" i="7"/>
  <c r="BX250" i="7"/>
  <c r="BX249" i="7"/>
  <c r="BX248" i="7"/>
  <c r="BX247" i="7"/>
  <c r="BX246" i="7"/>
  <c r="BX245" i="7"/>
  <c r="BX244" i="7"/>
  <c r="BX243" i="7"/>
  <c r="BX242" i="7"/>
  <c r="BX241" i="7"/>
  <c r="BX240" i="7"/>
  <c r="BX239" i="7"/>
  <c r="BX238" i="7"/>
  <c r="BX237" i="7"/>
  <c r="BX236" i="7"/>
  <c r="BX235" i="7"/>
  <c r="BX234" i="7"/>
  <c r="BX233" i="7"/>
  <c r="BX232" i="7"/>
  <c r="BX231" i="7"/>
  <c r="CE229" i="7"/>
  <c r="GR284" i="7"/>
  <c r="GX277" i="7"/>
  <c r="HC276" i="7"/>
  <c r="GX276" i="7"/>
  <c r="HC275" i="7"/>
  <c r="GX275" i="7"/>
  <c r="GX274" i="7"/>
  <c r="HC272" i="7"/>
  <c r="GX272" i="7"/>
  <c r="GX271" i="7"/>
  <c r="HC270" i="7"/>
  <c r="GX270" i="7"/>
  <c r="HC269" i="7"/>
  <c r="GX269" i="7"/>
  <c r="HC268" i="7"/>
  <c r="GX268" i="7"/>
  <c r="HC267" i="7"/>
  <c r="GX267" i="7"/>
  <c r="GX266" i="7"/>
  <c r="GX265" i="7"/>
  <c r="HC264" i="7"/>
  <c r="GX264" i="7"/>
  <c r="HC263" i="7"/>
  <c r="GX263" i="7"/>
  <c r="GX262" i="7"/>
  <c r="HC261" i="7"/>
  <c r="GX261" i="7"/>
  <c r="HC260" i="7"/>
  <c r="GX260" i="7"/>
  <c r="GX259" i="7"/>
  <c r="HC258" i="7"/>
  <c r="GX258" i="7"/>
  <c r="HC257" i="7"/>
  <c r="GX257" i="7"/>
  <c r="GX256" i="7"/>
  <c r="GX255" i="7"/>
  <c r="HC254" i="7"/>
  <c r="GX254" i="7"/>
  <c r="GX253" i="7"/>
  <c r="GX252" i="7"/>
  <c r="GX251" i="7"/>
  <c r="GX250" i="7"/>
  <c r="GV250" i="7"/>
  <c r="GX249" i="7"/>
  <c r="GV249" i="7"/>
  <c r="HC248" i="7"/>
  <c r="GX248" i="7"/>
  <c r="GX247" i="7"/>
  <c r="GV247" i="7"/>
  <c r="GX246" i="7"/>
  <c r="GV246" i="7"/>
  <c r="GX245" i="7"/>
  <c r="GV245" i="7"/>
  <c r="HC244" i="7"/>
  <c r="GX244" i="7"/>
  <c r="GV244" i="7"/>
  <c r="GP244" i="7"/>
  <c r="GX243" i="7"/>
  <c r="GV243" i="7"/>
  <c r="GP243" i="7"/>
  <c r="GX242" i="7"/>
  <c r="GV242" i="7"/>
  <c r="GX241" i="7"/>
  <c r="GV241" i="7"/>
  <c r="GX240" i="7"/>
  <c r="GV240" i="7"/>
  <c r="HC239" i="7"/>
  <c r="GX238" i="7"/>
  <c r="GV238" i="7"/>
  <c r="GP238" i="7"/>
  <c r="GX237" i="7"/>
  <c r="GV237" i="7"/>
  <c r="GP237" i="7"/>
  <c r="GX236" i="7"/>
  <c r="GV236" i="7"/>
  <c r="GP236" i="7"/>
  <c r="GX235" i="7"/>
  <c r="GV235" i="7"/>
  <c r="GP235" i="7"/>
  <c r="GX234" i="7"/>
  <c r="GV234" i="7"/>
  <c r="GP234" i="7"/>
  <c r="GP233" i="7"/>
  <c r="GV232" i="7"/>
  <c r="GP232" i="7"/>
  <c r="GP231" i="7"/>
  <c r="GV230" i="7"/>
  <c r="GP230" i="7"/>
  <c r="GV229" i="7"/>
  <c r="GP229" i="7"/>
  <c r="GV228" i="7"/>
  <c r="GP228" i="7"/>
  <c r="GV227" i="7"/>
  <c r="GP227" i="7"/>
  <c r="GV226" i="7"/>
  <c r="GP226" i="7"/>
  <c r="BN232" i="7"/>
  <c r="BN236" i="7"/>
  <c r="BN240" i="7"/>
  <c r="BN244" i="7"/>
  <c r="BN248" i="7"/>
  <c r="BN252" i="7"/>
  <c r="BN256" i="7"/>
  <c r="BN231" i="7"/>
  <c r="BN235" i="7"/>
  <c r="BN239" i="7"/>
  <c r="BN243" i="7"/>
  <c r="BN247" i="7"/>
  <c r="BN251" i="7"/>
  <c r="BN255" i="7"/>
  <c r="BN230" i="7"/>
  <c r="BN234" i="7"/>
  <c r="BN238" i="7"/>
  <c r="BN242" i="7"/>
  <c r="BN246" i="7"/>
  <c r="BN250" i="7"/>
  <c r="BN254" i="7"/>
  <c r="BN229" i="7"/>
  <c r="BN233" i="7"/>
  <c r="BN237" i="7"/>
  <c r="BN241" i="7"/>
  <c r="BN245" i="7"/>
  <c r="BN249" i="7"/>
  <c r="BN253" i="7"/>
  <c r="BO290" i="7"/>
  <c r="BN290" i="7"/>
  <c r="BO289" i="7"/>
  <c r="BN289" i="7"/>
  <c r="BO288" i="7"/>
  <c r="BN288" i="7"/>
  <c r="BO287" i="7"/>
  <c r="BN287" i="7"/>
  <c r="BH284" i="7"/>
  <c r="BQ280" i="7"/>
  <c r="BP280" i="7"/>
  <c r="BN280" i="7"/>
  <c r="BH280" i="7"/>
  <c r="BO280" i="7"/>
  <c r="BP279" i="7"/>
  <c r="BN279" i="7"/>
  <c r="BL279" i="7"/>
  <c r="BQ279" i="7"/>
  <c r="BJ279" i="7"/>
  <c r="BH279" i="7"/>
  <c r="BO279" i="7"/>
  <c r="BP278" i="7"/>
  <c r="BN278" i="7"/>
  <c r="BL278" i="7"/>
  <c r="BQ278" i="7"/>
  <c r="BJ278" i="7"/>
  <c r="BO278" i="7"/>
  <c r="BN277" i="7"/>
  <c r="BL277" i="7"/>
  <c r="BQ277" i="7"/>
  <c r="BJ277" i="7"/>
  <c r="BO277" i="7"/>
  <c r="BF277" i="7"/>
  <c r="BO276" i="7"/>
  <c r="BN276" i="7"/>
  <c r="BL276" i="7"/>
  <c r="BQ276" i="7"/>
  <c r="BJ276" i="7"/>
  <c r="BO275" i="7"/>
  <c r="BN275" i="7"/>
  <c r="BL275" i="7"/>
  <c r="BQ275" i="7"/>
  <c r="BJ275" i="7"/>
  <c r="BO274" i="7"/>
  <c r="BN274" i="7"/>
  <c r="BL274" i="7"/>
  <c r="BQ274" i="7"/>
  <c r="BJ274" i="7"/>
  <c r="BO273" i="7"/>
  <c r="BN273" i="7"/>
  <c r="BQ273" i="7"/>
  <c r="BJ273" i="7"/>
  <c r="BO272" i="7"/>
  <c r="BN272" i="7"/>
  <c r="BL272" i="7"/>
  <c r="BQ272" i="7"/>
  <c r="BJ272" i="7"/>
  <c r="BO271" i="7"/>
  <c r="BN271" i="7"/>
  <c r="BL271" i="7"/>
  <c r="BQ271" i="7"/>
  <c r="BJ271" i="7"/>
  <c r="BO270" i="7"/>
  <c r="BN270" i="7"/>
  <c r="BL270" i="7"/>
  <c r="BQ270" i="7"/>
  <c r="BJ270" i="7"/>
  <c r="BO269" i="7"/>
  <c r="BN269" i="7"/>
  <c r="BJ269" i="7"/>
  <c r="BF269" i="7"/>
  <c r="BO268" i="7"/>
  <c r="BN268" i="7"/>
  <c r="BL268" i="7"/>
  <c r="BQ268" i="7"/>
  <c r="BJ268" i="7"/>
  <c r="BO267" i="7"/>
  <c r="BN267" i="7"/>
  <c r="BL267" i="7"/>
  <c r="BQ267" i="7"/>
  <c r="BJ267" i="7"/>
  <c r="BO266" i="7"/>
  <c r="BN266" i="7"/>
  <c r="BL266" i="7"/>
  <c r="BQ266" i="7"/>
  <c r="BJ266" i="7"/>
  <c r="BO265" i="7"/>
  <c r="BN265" i="7"/>
  <c r="BJ265" i="7"/>
  <c r="BF265" i="7"/>
  <c r="BO264" i="7"/>
  <c r="BN264" i="7"/>
  <c r="BL264" i="7"/>
  <c r="BQ264" i="7"/>
  <c r="BJ264" i="7"/>
  <c r="BO263" i="7"/>
  <c r="BN263" i="7"/>
  <c r="BL263" i="7"/>
  <c r="BQ263" i="7"/>
  <c r="BJ263" i="7"/>
  <c r="BO262" i="7"/>
  <c r="BN262" i="7"/>
  <c r="BL262" i="7"/>
  <c r="BQ262" i="7"/>
  <c r="BJ262" i="7"/>
  <c r="BO261" i="7"/>
  <c r="BN261" i="7"/>
  <c r="BQ261" i="7"/>
  <c r="BJ261" i="7"/>
  <c r="BF261" i="7"/>
  <c r="BJ256" i="7"/>
  <c r="BJ255" i="7"/>
  <c r="BJ254" i="7"/>
  <c r="BJ253" i="7"/>
  <c r="BJ252" i="7"/>
  <c r="BJ251" i="7"/>
  <c r="BJ250" i="7"/>
  <c r="BJ249" i="7"/>
  <c r="BJ248" i="7"/>
  <c r="BJ247" i="7"/>
  <c r="BJ246" i="7"/>
  <c r="BJ245" i="7"/>
  <c r="BJ244" i="7"/>
  <c r="BJ243" i="7"/>
  <c r="BJ242" i="7"/>
  <c r="BJ241" i="7"/>
  <c r="BJ240" i="7"/>
  <c r="BQ239" i="7"/>
  <c r="BJ239" i="7"/>
  <c r="BJ238" i="7"/>
  <c r="BJ237" i="7"/>
  <c r="BJ236" i="7"/>
  <c r="GH277" i="7"/>
  <c r="GM276" i="7"/>
  <c r="GH276" i="7"/>
  <c r="GM275" i="7"/>
  <c r="GH275" i="7"/>
  <c r="GH274" i="7"/>
  <c r="GM272" i="7"/>
  <c r="GH272" i="7"/>
  <c r="GM271" i="7"/>
  <c r="GH271" i="7"/>
  <c r="GH270" i="7"/>
  <c r="GH269" i="7"/>
  <c r="GM268" i="7"/>
  <c r="GH268" i="7"/>
  <c r="GH267" i="7"/>
  <c r="GM266" i="7"/>
  <c r="GH266" i="7"/>
  <c r="GM265" i="7"/>
  <c r="GH265" i="7"/>
  <c r="GH264" i="7"/>
  <c r="GH263" i="7"/>
  <c r="GH262" i="7"/>
  <c r="GH261" i="7"/>
  <c r="GM256" i="7"/>
  <c r="GH256" i="7"/>
  <c r="GH255" i="7"/>
  <c r="GM254" i="7"/>
  <c r="GH254" i="7"/>
  <c r="GM253" i="7"/>
  <c r="GH253" i="7"/>
  <c r="GM252" i="7"/>
  <c r="GH252" i="7"/>
  <c r="GH251" i="7"/>
  <c r="GM250" i="7"/>
  <c r="GH250" i="7"/>
  <c r="GF250" i="7"/>
  <c r="GH249" i="7"/>
  <c r="GF249" i="7"/>
  <c r="GH248" i="7"/>
  <c r="GM247" i="7"/>
  <c r="GH247" i="7"/>
  <c r="GF247" i="7"/>
  <c r="GH246" i="7"/>
  <c r="GF246" i="7"/>
  <c r="GM245" i="7"/>
  <c r="GH245" i="7"/>
  <c r="GF245" i="7"/>
  <c r="GM244" i="7"/>
  <c r="GH244" i="7"/>
  <c r="GF244" i="7"/>
  <c r="GB244" i="7"/>
  <c r="GH243" i="7"/>
  <c r="GF243" i="7"/>
  <c r="GB243" i="7"/>
  <c r="GH242" i="7"/>
  <c r="GF242" i="7"/>
  <c r="GM241" i="7"/>
  <c r="GH241" i="7"/>
  <c r="GF241" i="7"/>
  <c r="GH240" i="7"/>
  <c r="GF240" i="7"/>
  <c r="GM239" i="7"/>
  <c r="GH238" i="7"/>
  <c r="GF238" i="7"/>
  <c r="GB238" i="7"/>
  <c r="GM237" i="7"/>
  <c r="GH237" i="7"/>
  <c r="GF237" i="7"/>
  <c r="GB237" i="7"/>
  <c r="GM236" i="7"/>
  <c r="GH236" i="7"/>
  <c r="GF236" i="7"/>
  <c r="GB236" i="7"/>
  <c r="GH235" i="7"/>
  <c r="GF235" i="7"/>
  <c r="GB235" i="7"/>
  <c r="GH234" i="7"/>
  <c r="GF234" i="7"/>
  <c r="GB234" i="7"/>
  <c r="GF232" i="7"/>
  <c r="GB232" i="7"/>
  <c r="GF231" i="7"/>
  <c r="GB231" i="7"/>
  <c r="GF230" i="7"/>
  <c r="GB230" i="7"/>
  <c r="GF229" i="7"/>
  <c r="GB229" i="7"/>
  <c r="GF228" i="7"/>
  <c r="GB228" i="7"/>
  <c r="GF227" i="7"/>
  <c r="GB227" i="7"/>
  <c r="GF226" i="7"/>
  <c r="FY277" i="7"/>
  <c r="FT277" i="7"/>
  <c r="FY276" i="7"/>
  <c r="FT276" i="7"/>
  <c r="FT275" i="7"/>
  <c r="FT274" i="7"/>
  <c r="FT272" i="7"/>
  <c r="FY271" i="7"/>
  <c r="FT271" i="7"/>
  <c r="FY270" i="7"/>
  <c r="FT270" i="7"/>
  <c r="FY269" i="7"/>
  <c r="FT269" i="7"/>
  <c r="FY268" i="7"/>
  <c r="FT268" i="7"/>
  <c r="FY267" i="7"/>
  <c r="FT267" i="7"/>
  <c r="FT266" i="7"/>
  <c r="FY265" i="7"/>
  <c r="FT265" i="7"/>
  <c r="FY264" i="7"/>
  <c r="FT264" i="7"/>
  <c r="FY263" i="7"/>
  <c r="FT263" i="7"/>
  <c r="FT262" i="7"/>
  <c r="FT261" i="7"/>
  <c r="FY256" i="7"/>
  <c r="FT256" i="7"/>
  <c r="FY255" i="7"/>
  <c r="FT255" i="7"/>
  <c r="FY254" i="7"/>
  <c r="FT254" i="7"/>
  <c r="FY253" i="7"/>
  <c r="FT253" i="7"/>
  <c r="FY252" i="7"/>
  <c r="FT252" i="7"/>
  <c r="FY251" i="7"/>
  <c r="FT251" i="7"/>
  <c r="FY250" i="7"/>
  <c r="FT250" i="7"/>
  <c r="FR250" i="7"/>
  <c r="FY249" i="7"/>
  <c r="FT249" i="7"/>
  <c r="FR249" i="7"/>
  <c r="FY248" i="7"/>
  <c r="FT248" i="7"/>
  <c r="FY247" i="7"/>
  <c r="FT247" i="7"/>
  <c r="FR247" i="7"/>
  <c r="FT246" i="7"/>
  <c r="FR246" i="7"/>
  <c r="FT245" i="7"/>
  <c r="FR245" i="7"/>
  <c r="FY244" i="7"/>
  <c r="FT244" i="7"/>
  <c r="FR244" i="7"/>
  <c r="FN244" i="7"/>
  <c r="FT243" i="7"/>
  <c r="FR243" i="7"/>
  <c r="FN243" i="7"/>
  <c r="FY242" i="7"/>
  <c r="FT242" i="7"/>
  <c r="FR242" i="7"/>
  <c r="FY241" i="7"/>
  <c r="FT241" i="7"/>
  <c r="FR241" i="7"/>
  <c r="FY240" i="7"/>
  <c r="FT240" i="7"/>
  <c r="FR240" i="7"/>
  <c r="FY239" i="7"/>
  <c r="FT238" i="7"/>
  <c r="FR238" i="7"/>
  <c r="FN238" i="7"/>
  <c r="FT237" i="7"/>
  <c r="FR237" i="7"/>
  <c r="FN237" i="7"/>
  <c r="FT236" i="7"/>
  <c r="FR236" i="7"/>
  <c r="FN236" i="7"/>
  <c r="FY235" i="7"/>
  <c r="FT235" i="7"/>
  <c r="FR235" i="7"/>
  <c r="FN235" i="7"/>
  <c r="FY234" i="7"/>
  <c r="FT234" i="7"/>
  <c r="FR234" i="7"/>
  <c r="FN234" i="7"/>
  <c r="FR232" i="7"/>
  <c r="FN232" i="7"/>
  <c r="FR231" i="7"/>
  <c r="FN231" i="7"/>
  <c r="FR230" i="7"/>
  <c r="FN230" i="7"/>
  <c r="FR229" i="7"/>
  <c r="FN229" i="7"/>
  <c r="FR228" i="7"/>
  <c r="FN228" i="7"/>
  <c r="FR227" i="7"/>
  <c r="FN227" i="7"/>
  <c r="FK277" i="7"/>
  <c r="FF277" i="7"/>
  <c r="FF276" i="7"/>
  <c r="FF275" i="7"/>
  <c r="FK274" i="7"/>
  <c r="FF274" i="7"/>
  <c r="FK272" i="7"/>
  <c r="FF272" i="7"/>
  <c r="FK271" i="7"/>
  <c r="FF271" i="7"/>
  <c r="FF270" i="7"/>
  <c r="FK269" i="7"/>
  <c r="FF269" i="7"/>
  <c r="FK268" i="7"/>
  <c r="FF268" i="7"/>
  <c r="FF267" i="7"/>
  <c r="FF266" i="7"/>
  <c r="FK265" i="7"/>
  <c r="FF265" i="7"/>
  <c r="FF264" i="7"/>
  <c r="FF263" i="7"/>
  <c r="FF262" i="7"/>
  <c r="FK261" i="7"/>
  <c r="FF261" i="7"/>
  <c r="FK256" i="7"/>
  <c r="FF256" i="7"/>
  <c r="FK255" i="7"/>
  <c r="FF255" i="7"/>
  <c r="FF254" i="7"/>
  <c r="FK253" i="7"/>
  <c r="FF253" i="7"/>
  <c r="FF252" i="7"/>
  <c r="FF251" i="7"/>
  <c r="FF250" i="7"/>
  <c r="FD250" i="7"/>
  <c r="FK249" i="7"/>
  <c r="FF249" i="7"/>
  <c r="FD249" i="7"/>
  <c r="FF248" i="7"/>
  <c r="FF247" i="7"/>
  <c r="FD247" i="7"/>
  <c r="FK246" i="7"/>
  <c r="FF246" i="7"/>
  <c r="FD246" i="7"/>
  <c r="FK245" i="7"/>
  <c r="FF245" i="7"/>
  <c r="FD245" i="7"/>
  <c r="FK244" i="7"/>
  <c r="FF244" i="7"/>
  <c r="FD244" i="7"/>
  <c r="EZ244" i="7"/>
  <c r="FK243" i="7"/>
  <c r="FF243" i="7"/>
  <c r="FD243" i="7"/>
  <c r="EZ243" i="7"/>
  <c r="FF242" i="7"/>
  <c r="FD242" i="7"/>
  <c r="FF241" i="7"/>
  <c r="FD241" i="7"/>
  <c r="FF240" i="7"/>
  <c r="FD240" i="7"/>
  <c r="FK239" i="7"/>
  <c r="FF238" i="7"/>
  <c r="FD238" i="7"/>
  <c r="EZ238" i="7"/>
  <c r="FF237" i="7"/>
  <c r="FD237" i="7"/>
  <c r="EZ237" i="7"/>
  <c r="FK236" i="7"/>
  <c r="FF236" i="7"/>
  <c r="FD236" i="7"/>
  <c r="EZ236" i="7"/>
  <c r="FK235" i="7"/>
  <c r="FF235" i="7"/>
  <c r="FD235" i="7"/>
  <c r="EZ235" i="7"/>
  <c r="FK234" i="7"/>
  <c r="FF234" i="7"/>
  <c r="FD234" i="7"/>
  <c r="EZ234" i="7"/>
  <c r="FD232" i="7"/>
  <c r="EZ232" i="7"/>
  <c r="FD231" i="7"/>
  <c r="EZ231" i="7"/>
  <c r="FD230" i="7"/>
  <c r="EZ230" i="7"/>
  <c r="FD229" i="7"/>
  <c r="EZ229" i="7"/>
  <c r="FD228" i="7"/>
  <c r="EZ228" i="7"/>
  <c r="FD227" i="7"/>
  <c r="EZ227" i="7"/>
  <c r="EZ226" i="7"/>
  <c r="EW277" i="7"/>
  <c r="ER277" i="7"/>
  <c r="EW276" i="7"/>
  <c r="ER276" i="7"/>
  <c r="EW275" i="7"/>
  <c r="ER275" i="7"/>
  <c r="ER274" i="7"/>
  <c r="EW272" i="7"/>
  <c r="ER272" i="7"/>
  <c r="EW271" i="7"/>
  <c r="ER271" i="7"/>
  <c r="EW270" i="7"/>
  <c r="ER270" i="7"/>
  <c r="EW269" i="7"/>
  <c r="ER269" i="7"/>
  <c r="EW268" i="7"/>
  <c r="ER268" i="7"/>
  <c r="EW267" i="7"/>
  <c r="ER267" i="7"/>
  <c r="ER266" i="7"/>
  <c r="EW265" i="7"/>
  <c r="ER265" i="7"/>
  <c r="EW264" i="7"/>
  <c r="ER264" i="7"/>
  <c r="ER263" i="7"/>
  <c r="EW262" i="7"/>
  <c r="ER262" i="7"/>
  <c r="ER261" i="7"/>
  <c r="EW256" i="7"/>
  <c r="ER256" i="7"/>
  <c r="EW255" i="7"/>
  <c r="ER255" i="7"/>
  <c r="EW254" i="7"/>
  <c r="ER254" i="7"/>
  <c r="EW253" i="7"/>
  <c r="ER253" i="7"/>
  <c r="EW252" i="7"/>
  <c r="ER252" i="7"/>
  <c r="EW251" i="7"/>
  <c r="ER251" i="7"/>
  <c r="ER250" i="7"/>
  <c r="EP250" i="7"/>
  <c r="EW249" i="7"/>
  <c r="ER249" i="7"/>
  <c r="EP249" i="7"/>
  <c r="EW248" i="7"/>
  <c r="ER248" i="7"/>
  <c r="EW247" i="7"/>
  <c r="ER247" i="7"/>
  <c r="EP247" i="7"/>
  <c r="EW246" i="7"/>
  <c r="ER246" i="7"/>
  <c r="EP246" i="7"/>
  <c r="ER245" i="7"/>
  <c r="EP245" i="7"/>
  <c r="ER244" i="7"/>
  <c r="EP244" i="7"/>
  <c r="EL244" i="7"/>
  <c r="ER243" i="7"/>
  <c r="EP243" i="7"/>
  <c r="EL243" i="7"/>
  <c r="ER242" i="7"/>
  <c r="EP242" i="7"/>
  <c r="ER241" i="7"/>
  <c r="EP241" i="7"/>
  <c r="ER240" i="7"/>
  <c r="EP240" i="7"/>
  <c r="EW239" i="7"/>
  <c r="EW238" i="7"/>
  <c r="ER238" i="7"/>
  <c r="EP238" i="7"/>
  <c r="EL238" i="7"/>
  <c r="ER237" i="7"/>
  <c r="EP237" i="7"/>
  <c r="EL237" i="7"/>
  <c r="EW236" i="7"/>
  <c r="ER236" i="7"/>
  <c r="EP236" i="7"/>
  <c r="EL236" i="7"/>
  <c r="EW235" i="7"/>
  <c r="ER235" i="7"/>
  <c r="EP235" i="7"/>
  <c r="EL235" i="7"/>
  <c r="EW234" i="7"/>
  <c r="ER234" i="7"/>
  <c r="EP234" i="7"/>
  <c r="EL234" i="7"/>
  <c r="EP232" i="7"/>
  <c r="EL232" i="7"/>
  <c r="EP231" i="7"/>
  <c r="EL231" i="7"/>
  <c r="EP230" i="7"/>
  <c r="EL230" i="7"/>
  <c r="EP229" i="7"/>
  <c r="EL229" i="7"/>
  <c r="EP228" i="7"/>
  <c r="EL228" i="7"/>
  <c r="EP227" i="7"/>
  <c r="EL227" i="7"/>
  <c r="EP226" i="7"/>
  <c r="EL226" i="7"/>
  <c r="ED277" i="7"/>
  <c r="EI276" i="7"/>
  <c r="ED276" i="7"/>
  <c r="EI275" i="7"/>
  <c r="ED275" i="7"/>
  <c r="ED274" i="7"/>
  <c r="ED272" i="7"/>
  <c r="ED271" i="7"/>
  <c r="EI270" i="7"/>
  <c r="ED270" i="7"/>
  <c r="EI269" i="7"/>
  <c r="ED269" i="7"/>
  <c r="EI268" i="7"/>
  <c r="ED268" i="7"/>
  <c r="EI267" i="7"/>
  <c r="ED267" i="7"/>
  <c r="EI266" i="7"/>
  <c r="ED266" i="7"/>
  <c r="ED265" i="7"/>
  <c r="EI264" i="7"/>
  <c r="ED264" i="7"/>
  <c r="ED263" i="7"/>
  <c r="EI262" i="7"/>
  <c r="ED262" i="7"/>
  <c r="EI261" i="7"/>
  <c r="ED261" i="7"/>
  <c r="EI256" i="7"/>
  <c r="ED256" i="7"/>
  <c r="ED255" i="7"/>
  <c r="EI254" i="7"/>
  <c r="ED254" i="7"/>
  <c r="EI253" i="7"/>
  <c r="ED253" i="7"/>
  <c r="EI252" i="7"/>
  <c r="ED252" i="7"/>
  <c r="ED251" i="7"/>
  <c r="ED250" i="7"/>
  <c r="EB250" i="7"/>
  <c r="ED249" i="7"/>
  <c r="EB249" i="7"/>
  <c r="EI248" i="7"/>
  <c r="ED248" i="7"/>
  <c r="EI247" i="7"/>
  <c r="ED247" i="7"/>
  <c r="EB247" i="7"/>
  <c r="EI246" i="7"/>
  <c r="ED246" i="7"/>
  <c r="EB246" i="7"/>
  <c r="ED245" i="7"/>
  <c r="EB245" i="7"/>
  <c r="ED244" i="7"/>
  <c r="EB244" i="7"/>
  <c r="DX244" i="7"/>
  <c r="EI243" i="7"/>
  <c r="ED243" i="7"/>
  <c r="EB243" i="7"/>
  <c r="DX243" i="7"/>
  <c r="ED242" i="7"/>
  <c r="EB242" i="7"/>
  <c r="ED241" i="7"/>
  <c r="EB241" i="7"/>
  <c r="ED240" i="7"/>
  <c r="EB240" i="7"/>
  <c r="EI239" i="7"/>
  <c r="EI238" i="7"/>
  <c r="ED238" i="7"/>
  <c r="EB238" i="7"/>
  <c r="DX238" i="7"/>
  <c r="ED237" i="7"/>
  <c r="EB237" i="7"/>
  <c r="DX237" i="7"/>
  <c r="ED236" i="7"/>
  <c r="EB236" i="7"/>
  <c r="DX236" i="7"/>
  <c r="EI235" i="7"/>
  <c r="ED235" i="7"/>
  <c r="EB235" i="7"/>
  <c r="DX235" i="7"/>
  <c r="ED234" i="7"/>
  <c r="EB234" i="7"/>
  <c r="DX234" i="7"/>
  <c r="EB232" i="7"/>
  <c r="DX232" i="7"/>
  <c r="EB231" i="7"/>
  <c r="DX231" i="7"/>
  <c r="EB230" i="7"/>
  <c r="DX230" i="7"/>
  <c r="EB229" i="7"/>
  <c r="DX229" i="7"/>
  <c r="EB228" i="7"/>
  <c r="DX228" i="7"/>
  <c r="EB227" i="7"/>
  <c r="DX227" i="7"/>
  <c r="EB226" i="7"/>
  <c r="DX226" i="7"/>
  <c r="DU277" i="7"/>
  <c r="DP277" i="7"/>
  <c r="DU276" i="7"/>
  <c r="DP276" i="7"/>
  <c r="DU275" i="7"/>
  <c r="DP275" i="7"/>
  <c r="DU274" i="7"/>
  <c r="DP274" i="7"/>
  <c r="DU272" i="7"/>
  <c r="DP272" i="7"/>
  <c r="DP271" i="7"/>
  <c r="DP270" i="7"/>
  <c r="DP269" i="7"/>
  <c r="DU268" i="7"/>
  <c r="DP268" i="7"/>
  <c r="DU267" i="7"/>
  <c r="DP267" i="7"/>
  <c r="DU266" i="7"/>
  <c r="DP266" i="7"/>
  <c r="DU265" i="7"/>
  <c r="DP265" i="7"/>
  <c r="DU264" i="7"/>
  <c r="DP264" i="7"/>
  <c r="DU263" i="7"/>
  <c r="DP263" i="7"/>
  <c r="DU262" i="7"/>
  <c r="DP262" i="7"/>
  <c r="DU261" i="7"/>
  <c r="DP261" i="7"/>
  <c r="DU256" i="7"/>
  <c r="DP256" i="7"/>
  <c r="DU255" i="7"/>
  <c r="DP255" i="7"/>
  <c r="DP254" i="7"/>
  <c r="DP253" i="7"/>
  <c r="DU252" i="7"/>
  <c r="DP252" i="7"/>
  <c r="DU251" i="7"/>
  <c r="DP251" i="7"/>
  <c r="DU250" i="7"/>
  <c r="DP250" i="7"/>
  <c r="DN250" i="7"/>
  <c r="DU249" i="7"/>
  <c r="DP249" i="7"/>
  <c r="DN249" i="7"/>
  <c r="DU248" i="7"/>
  <c r="DP248" i="7"/>
  <c r="DU247" i="7"/>
  <c r="DP247" i="7"/>
  <c r="DN247" i="7"/>
  <c r="DU246" i="7"/>
  <c r="DP246" i="7"/>
  <c r="DN246" i="7"/>
  <c r="DP245" i="7"/>
  <c r="DN245" i="7"/>
  <c r="DP244" i="7"/>
  <c r="DN244" i="7"/>
  <c r="DJ244" i="7"/>
  <c r="DP243" i="7"/>
  <c r="DN243" i="7"/>
  <c r="DJ243" i="7"/>
  <c r="DP242" i="7"/>
  <c r="DN242" i="7"/>
  <c r="DU241" i="7"/>
  <c r="DP241" i="7"/>
  <c r="DN241" i="7"/>
  <c r="DP240" i="7"/>
  <c r="DN240" i="7"/>
  <c r="DU239" i="7"/>
  <c r="DP238" i="7"/>
  <c r="DN238" i="7"/>
  <c r="DJ238" i="7"/>
  <c r="DU237" i="7"/>
  <c r="DP237" i="7"/>
  <c r="DN237" i="7"/>
  <c r="DJ237" i="7"/>
  <c r="DP236" i="7"/>
  <c r="DN236" i="7"/>
  <c r="DJ236" i="7"/>
  <c r="DP235" i="7"/>
  <c r="DN235" i="7"/>
  <c r="DJ235" i="7"/>
  <c r="DU234" i="7"/>
  <c r="DP234" i="7"/>
  <c r="DN234" i="7"/>
  <c r="DJ234" i="7"/>
  <c r="DN232" i="7"/>
  <c r="DJ232" i="7"/>
  <c r="DN231" i="7"/>
  <c r="DJ231" i="7"/>
  <c r="DN230" i="7"/>
  <c r="DJ230" i="7"/>
  <c r="DN229" i="7"/>
  <c r="DJ229" i="7"/>
  <c r="DN228" i="7"/>
  <c r="DJ228" i="7"/>
  <c r="DN227" i="7"/>
  <c r="DJ227" i="7"/>
  <c r="DN226" i="7"/>
  <c r="DJ226" i="7"/>
  <c r="AZ248" i="7"/>
  <c r="AZ252" i="7"/>
  <c r="AZ256" i="7"/>
  <c r="AV256" i="7"/>
  <c r="AV255" i="7"/>
  <c r="AZ246" i="7"/>
  <c r="AZ250" i="7"/>
  <c r="AZ254" i="7"/>
  <c r="AV254" i="7"/>
  <c r="AZ245" i="7"/>
  <c r="AZ249" i="7"/>
  <c r="AZ253" i="7"/>
  <c r="AV253" i="7"/>
  <c r="AV252" i="7"/>
  <c r="AV251" i="7"/>
  <c r="AV250" i="7"/>
  <c r="AV249" i="7"/>
  <c r="AV248" i="7"/>
  <c r="AV247" i="7"/>
  <c r="AV246" i="7"/>
  <c r="AV245" i="7"/>
  <c r="AV239" i="7"/>
  <c r="AV238" i="7"/>
  <c r="AZ229" i="7"/>
  <c r="AZ233" i="7"/>
  <c r="AV237" i="7"/>
  <c r="AV236" i="7"/>
  <c r="AV235" i="7"/>
  <c r="AZ230" i="7"/>
  <c r="AZ234" i="7"/>
  <c r="AV234" i="7"/>
  <c r="AV233" i="7"/>
  <c r="AZ232" i="7"/>
  <c r="BC232" i="7"/>
  <c r="AV232" i="7"/>
  <c r="BC231" i="7"/>
  <c r="AV231" i="7"/>
  <c r="BC230" i="7"/>
  <c r="AV230" i="7"/>
  <c r="BC229" i="7"/>
  <c r="AV229" i="7"/>
  <c r="AJ256" i="7"/>
  <c r="AL248" i="7"/>
  <c r="AL252" i="7"/>
  <c r="AL256" i="7"/>
  <c r="AH256" i="7"/>
  <c r="AJ255" i="7"/>
  <c r="AM247" i="7"/>
  <c r="AL247" i="7"/>
  <c r="AL251" i="7"/>
  <c r="AL255" i="7"/>
  <c r="AH255" i="7"/>
  <c r="AJ254" i="7"/>
  <c r="AM246" i="7"/>
  <c r="AM250" i="7"/>
  <c r="AN250" i="7"/>
  <c r="AO250" i="7"/>
  <c r="AM254" i="7"/>
  <c r="AN254" i="7"/>
  <c r="AO254" i="7"/>
  <c r="AL246" i="7"/>
  <c r="AL250" i="7"/>
  <c r="AL254" i="7"/>
  <c r="AH254" i="7"/>
  <c r="AJ253" i="7"/>
  <c r="AH253" i="7"/>
  <c r="AJ252" i="7"/>
  <c r="AH252" i="7"/>
  <c r="AJ251" i="7"/>
  <c r="AH251" i="7"/>
  <c r="AJ250" i="7"/>
  <c r="AH250" i="7"/>
  <c r="AJ249" i="7"/>
  <c r="AH249" i="7"/>
  <c r="AJ248" i="7"/>
  <c r="AH248" i="7"/>
  <c r="AJ247" i="7"/>
  <c r="AH247" i="7"/>
  <c r="AJ246" i="7"/>
  <c r="AN246" i="7"/>
  <c r="AH246" i="7"/>
  <c r="AJ245" i="7"/>
  <c r="AH245" i="7"/>
  <c r="AJ240" i="7"/>
  <c r="AH240" i="7"/>
  <c r="AJ239" i="7"/>
  <c r="AM231" i="7"/>
  <c r="AL231" i="7"/>
  <c r="AL235" i="7"/>
  <c r="AL239" i="7"/>
  <c r="AH239" i="7"/>
  <c r="AJ238" i="7"/>
  <c r="AM230" i="7"/>
  <c r="AO238" i="7"/>
  <c r="AL230" i="7"/>
  <c r="AL234" i="7"/>
  <c r="AL238" i="7"/>
  <c r="AH238" i="7"/>
  <c r="AJ237" i="7"/>
  <c r="AH237" i="7"/>
  <c r="AJ236" i="7"/>
  <c r="AN236" i="7"/>
  <c r="AO236" i="7"/>
  <c r="AJ235" i="7"/>
  <c r="AJ234" i="7"/>
  <c r="AH234" i="7"/>
  <c r="AJ233" i="7"/>
  <c r="AH233" i="7"/>
  <c r="AN232" i="7"/>
  <c r="AO232" i="7"/>
  <c r="AH232" i="7"/>
  <c r="AO231" i="7"/>
  <c r="AH231" i="7"/>
  <c r="AN230" i="7"/>
  <c r="AO230" i="7"/>
  <c r="AH230" i="7"/>
  <c r="AO229" i="7"/>
  <c r="AH229" i="7"/>
  <c r="X256" i="7"/>
  <c r="T256" i="7"/>
  <c r="X247" i="7"/>
  <c r="X251" i="7"/>
  <c r="X255" i="7"/>
  <c r="T255" i="7"/>
  <c r="X254" i="7"/>
  <c r="T254" i="7"/>
  <c r="X245" i="7"/>
  <c r="X249" i="7"/>
  <c r="X253" i="7"/>
  <c r="T253" i="7"/>
  <c r="T252" i="7"/>
  <c r="T251" i="7"/>
  <c r="T250" i="7"/>
  <c r="T249" i="7"/>
  <c r="T248" i="7"/>
  <c r="T247" i="7"/>
  <c r="X246" i="7"/>
  <c r="T246" i="7"/>
  <c r="T245" i="7"/>
  <c r="T240" i="7"/>
  <c r="T239" i="7"/>
  <c r="T238" i="7"/>
  <c r="T237" i="7"/>
  <c r="T236" i="7"/>
  <c r="T235" i="7"/>
  <c r="AA234" i="7"/>
  <c r="T234" i="7"/>
  <c r="T233" i="7"/>
  <c r="X232" i="7"/>
  <c r="V232" i="7"/>
  <c r="AA232" i="7"/>
  <c r="T232" i="7"/>
  <c r="X231" i="7"/>
  <c r="V231" i="7"/>
  <c r="T231" i="7"/>
  <c r="X230" i="7"/>
  <c r="V230" i="7"/>
  <c r="AA230" i="7"/>
  <c r="T230" i="7"/>
  <c r="X229" i="7"/>
  <c r="V229" i="7"/>
  <c r="AA229" i="7"/>
  <c r="T229" i="7"/>
  <c r="BA512" i="7"/>
  <c r="AZ512" i="7"/>
  <c r="AM512" i="7"/>
  <c r="AL512" i="7"/>
  <c r="Y512" i="7"/>
  <c r="X512" i="7"/>
  <c r="K512" i="7"/>
  <c r="J512" i="7"/>
  <c r="BA511" i="7"/>
  <c r="AZ511" i="7"/>
  <c r="AM511" i="7"/>
  <c r="AL511" i="7"/>
  <c r="Y511" i="7"/>
  <c r="X511" i="7"/>
  <c r="K511" i="7"/>
  <c r="J511" i="7"/>
  <c r="BA510" i="7"/>
  <c r="AZ510" i="7"/>
  <c r="AM510" i="7"/>
  <c r="AL510" i="7"/>
  <c r="Y510" i="7"/>
  <c r="X510" i="7"/>
  <c r="K510" i="7"/>
  <c r="J510" i="7"/>
  <c r="BA509" i="7"/>
  <c r="AZ509" i="7"/>
  <c r="AM509" i="7"/>
  <c r="AL509" i="7"/>
  <c r="Y509" i="7"/>
  <c r="X509" i="7"/>
  <c r="K509" i="7"/>
  <c r="J509" i="7"/>
  <c r="A508" i="7"/>
  <c r="BB502" i="7"/>
  <c r="AZ502" i="7"/>
  <c r="AX502" i="7"/>
  <c r="BC502" i="7"/>
  <c r="AV502" i="7"/>
  <c r="AT502" i="7"/>
  <c r="BA502" i="7"/>
  <c r="AN502" i="7"/>
  <c r="AL502" i="7"/>
  <c r="AJ502" i="7"/>
  <c r="AO502" i="7"/>
  <c r="AH502" i="7"/>
  <c r="AF502" i="7"/>
  <c r="AM502" i="7"/>
  <c r="Z502" i="7"/>
  <c r="X502" i="7"/>
  <c r="V502" i="7"/>
  <c r="AA502" i="7"/>
  <c r="T502" i="7"/>
  <c r="R502" i="7"/>
  <c r="Y502" i="7"/>
  <c r="L502" i="7"/>
  <c r="J502" i="7"/>
  <c r="H502" i="7"/>
  <c r="M502" i="7"/>
  <c r="F502" i="7"/>
  <c r="D502" i="7"/>
  <c r="K502" i="7"/>
  <c r="BB501" i="7"/>
  <c r="AZ501" i="7"/>
  <c r="AX501" i="7"/>
  <c r="BC501" i="7"/>
  <c r="AV501" i="7"/>
  <c r="AT501" i="7"/>
  <c r="BA501" i="7"/>
  <c r="AN501" i="7"/>
  <c r="AL501" i="7"/>
  <c r="AJ501" i="7"/>
  <c r="AO501" i="7"/>
  <c r="AH501" i="7"/>
  <c r="AF501" i="7"/>
  <c r="AM501" i="7"/>
  <c r="Z501" i="7"/>
  <c r="X501" i="7"/>
  <c r="V501" i="7"/>
  <c r="AA501" i="7"/>
  <c r="T501" i="7"/>
  <c r="R501" i="7"/>
  <c r="Y501" i="7"/>
  <c r="L501" i="7"/>
  <c r="J501" i="7"/>
  <c r="H501" i="7"/>
  <c r="M501" i="7"/>
  <c r="F501" i="7"/>
  <c r="D501" i="7"/>
  <c r="K501" i="7"/>
  <c r="BB500" i="7"/>
  <c r="AZ500" i="7"/>
  <c r="AX500" i="7"/>
  <c r="BC500" i="7"/>
  <c r="AV500" i="7"/>
  <c r="AT500" i="7"/>
  <c r="BA500" i="7"/>
  <c r="AN500" i="7"/>
  <c r="AL500" i="7"/>
  <c r="AJ500" i="7"/>
  <c r="AO500" i="7"/>
  <c r="AH500" i="7"/>
  <c r="AF500" i="7"/>
  <c r="AM500" i="7"/>
  <c r="Z500" i="7"/>
  <c r="X500" i="7"/>
  <c r="V500" i="7"/>
  <c r="AA500" i="7"/>
  <c r="T500" i="7"/>
  <c r="R500" i="7"/>
  <c r="Y500" i="7"/>
  <c r="L500" i="7"/>
  <c r="J500" i="7"/>
  <c r="H500" i="7"/>
  <c r="M500" i="7"/>
  <c r="F500" i="7"/>
  <c r="D500" i="7"/>
  <c r="K500" i="7"/>
  <c r="BB499" i="7"/>
  <c r="AZ499" i="7"/>
  <c r="AX499" i="7"/>
  <c r="BC499" i="7"/>
  <c r="AV499" i="7"/>
  <c r="AT499" i="7"/>
  <c r="AR499" i="7"/>
  <c r="AN499" i="7"/>
  <c r="AL499" i="7"/>
  <c r="AJ499" i="7"/>
  <c r="AO499" i="7"/>
  <c r="AH499" i="7"/>
  <c r="AF499" i="7"/>
  <c r="AM499" i="7"/>
  <c r="AD499" i="7"/>
  <c r="Z499" i="7"/>
  <c r="X499" i="7"/>
  <c r="V499" i="7"/>
  <c r="AA499" i="7"/>
  <c r="T499" i="7"/>
  <c r="R499" i="7"/>
  <c r="Y499" i="7"/>
  <c r="P499" i="7"/>
  <c r="L499" i="7"/>
  <c r="J499" i="7"/>
  <c r="H499" i="7"/>
  <c r="M499" i="7"/>
  <c r="F499" i="7"/>
  <c r="D499" i="7"/>
  <c r="K499" i="7"/>
  <c r="BB498" i="7"/>
  <c r="AZ498" i="7"/>
  <c r="AX498" i="7"/>
  <c r="BC498" i="7"/>
  <c r="AV498" i="7"/>
  <c r="AT498" i="7"/>
  <c r="BA498" i="7"/>
  <c r="AN498" i="7"/>
  <c r="AL498" i="7"/>
  <c r="AJ498" i="7"/>
  <c r="AO498" i="7"/>
  <c r="AH498" i="7"/>
  <c r="AF498" i="7"/>
  <c r="AM498" i="7"/>
  <c r="Z498" i="7"/>
  <c r="X498" i="7"/>
  <c r="V498" i="7"/>
  <c r="AA498" i="7"/>
  <c r="T498" i="7"/>
  <c r="R498" i="7"/>
  <c r="Y498" i="7"/>
  <c r="M498" i="7"/>
  <c r="L498" i="7"/>
  <c r="J498" i="7"/>
  <c r="F498" i="7"/>
  <c r="D498" i="7"/>
  <c r="K498" i="7"/>
  <c r="BB497" i="7"/>
  <c r="AZ497" i="7"/>
  <c r="AX497" i="7"/>
  <c r="BC497" i="7"/>
  <c r="AV497" i="7"/>
  <c r="AT497" i="7"/>
  <c r="BA497" i="7"/>
  <c r="AN497" i="7"/>
  <c r="AL497" i="7"/>
  <c r="AJ497" i="7"/>
  <c r="AO497" i="7"/>
  <c r="AH497" i="7"/>
  <c r="AF497" i="7"/>
  <c r="AM497" i="7"/>
  <c r="Z497" i="7"/>
  <c r="X497" i="7"/>
  <c r="V497" i="7"/>
  <c r="AA497" i="7"/>
  <c r="T497" i="7"/>
  <c r="R497" i="7"/>
  <c r="Y497" i="7"/>
  <c r="L497" i="7"/>
  <c r="J497" i="7"/>
  <c r="H497" i="7"/>
  <c r="M497" i="7"/>
  <c r="F497" i="7"/>
  <c r="D497" i="7"/>
  <c r="BB496" i="7"/>
  <c r="AZ496" i="7"/>
  <c r="AX496" i="7"/>
  <c r="BC496" i="7"/>
  <c r="AV496" i="7"/>
  <c r="AT496" i="7"/>
  <c r="BA496" i="7"/>
  <c r="AN496" i="7"/>
  <c r="AL496" i="7"/>
  <c r="AJ496" i="7"/>
  <c r="AO496" i="7"/>
  <c r="AH496" i="7"/>
  <c r="AF496" i="7"/>
  <c r="AM496" i="7"/>
  <c r="Z496" i="7"/>
  <c r="X496" i="7"/>
  <c r="V496" i="7"/>
  <c r="AA496" i="7"/>
  <c r="T496" i="7"/>
  <c r="R496" i="7"/>
  <c r="Y496" i="7"/>
  <c r="L496" i="7"/>
  <c r="J496" i="7"/>
  <c r="H496" i="7"/>
  <c r="M496" i="7"/>
  <c r="F496" i="7"/>
  <c r="D496" i="7"/>
  <c r="BB495" i="7"/>
  <c r="AZ495" i="7"/>
  <c r="AX495" i="7"/>
  <c r="BC495" i="7"/>
  <c r="AV495" i="7"/>
  <c r="AT495" i="7"/>
  <c r="AR495" i="7"/>
  <c r="AN495" i="7"/>
  <c r="AL495" i="7"/>
  <c r="AJ495" i="7"/>
  <c r="AO495" i="7"/>
  <c r="AH495" i="7"/>
  <c r="AF495" i="7"/>
  <c r="AM495" i="7"/>
  <c r="AD495" i="7"/>
  <c r="Z495" i="7"/>
  <c r="X495" i="7"/>
  <c r="V495" i="7"/>
  <c r="AA495" i="7"/>
  <c r="T495" i="7"/>
  <c r="R495" i="7"/>
  <c r="Y495" i="7"/>
  <c r="P495" i="7"/>
  <c r="L495" i="7"/>
  <c r="J495" i="7"/>
  <c r="H495" i="7"/>
  <c r="M495" i="7"/>
  <c r="F495" i="7"/>
  <c r="D495" i="7"/>
  <c r="K495" i="7"/>
  <c r="BB494" i="7"/>
  <c r="AZ494" i="7"/>
  <c r="AX494" i="7"/>
  <c r="BC494" i="7"/>
  <c r="AV494" i="7"/>
  <c r="AT494" i="7"/>
  <c r="BA494" i="7"/>
  <c r="AN494" i="7"/>
  <c r="AL494" i="7"/>
  <c r="AJ494" i="7"/>
  <c r="AO494" i="7"/>
  <c r="AH494" i="7"/>
  <c r="AF494" i="7"/>
  <c r="AM494" i="7"/>
  <c r="Z494" i="7"/>
  <c r="X494" i="7"/>
  <c r="V494" i="7"/>
  <c r="AA494" i="7"/>
  <c r="T494" i="7"/>
  <c r="R494" i="7"/>
  <c r="Y494" i="7"/>
  <c r="L494" i="7"/>
  <c r="J494" i="7"/>
  <c r="H494" i="7"/>
  <c r="M494" i="7"/>
  <c r="F494" i="7"/>
  <c r="D494" i="7"/>
  <c r="K494" i="7"/>
  <c r="BB493" i="7"/>
  <c r="AZ493" i="7"/>
  <c r="AX493" i="7"/>
  <c r="BC493" i="7"/>
  <c r="AV493" i="7"/>
  <c r="AT493" i="7"/>
  <c r="BA493" i="7"/>
  <c r="AN493" i="7"/>
  <c r="AL493" i="7"/>
  <c r="AJ493" i="7"/>
  <c r="AO493" i="7"/>
  <c r="AH493" i="7"/>
  <c r="AF493" i="7"/>
  <c r="AM493" i="7"/>
  <c r="Z493" i="7"/>
  <c r="X493" i="7"/>
  <c r="V493" i="7"/>
  <c r="V511" i="7"/>
  <c r="AA493" i="7"/>
  <c r="T493" i="7"/>
  <c r="R493" i="7"/>
  <c r="Y493" i="7"/>
  <c r="L493" i="7"/>
  <c r="J493" i="7"/>
  <c r="H493" i="7"/>
  <c r="M493" i="7"/>
  <c r="F493" i="7"/>
  <c r="D493" i="7"/>
  <c r="K493" i="7"/>
  <c r="BB492" i="7"/>
  <c r="AZ492" i="7"/>
  <c r="AX492" i="7"/>
  <c r="BC492" i="7"/>
  <c r="AV492" i="7"/>
  <c r="AT492" i="7"/>
  <c r="BA492" i="7"/>
  <c r="AN492" i="7"/>
  <c r="AL492" i="7"/>
  <c r="AJ492" i="7"/>
  <c r="AO492" i="7"/>
  <c r="AH492" i="7"/>
  <c r="AF492" i="7"/>
  <c r="AM492" i="7"/>
  <c r="Z492" i="7"/>
  <c r="X492" i="7"/>
  <c r="V492" i="7"/>
  <c r="AA492" i="7"/>
  <c r="T492" i="7"/>
  <c r="R492" i="7"/>
  <c r="Y492" i="7"/>
  <c r="L492" i="7"/>
  <c r="J492" i="7"/>
  <c r="H492" i="7"/>
  <c r="M492" i="7"/>
  <c r="F492" i="7"/>
  <c r="D492" i="7"/>
  <c r="K492" i="7"/>
  <c r="BB491" i="7"/>
  <c r="AZ491" i="7"/>
  <c r="AX491" i="7"/>
  <c r="BC491" i="7"/>
  <c r="AV491" i="7"/>
  <c r="AT491" i="7"/>
  <c r="BA491" i="7"/>
  <c r="AR491" i="7"/>
  <c r="AN491" i="7"/>
  <c r="AL491" i="7"/>
  <c r="AJ491" i="7"/>
  <c r="AO491" i="7"/>
  <c r="AH491" i="7"/>
  <c r="AF491" i="7"/>
  <c r="AM491" i="7"/>
  <c r="AD491" i="7"/>
  <c r="Z491" i="7"/>
  <c r="X491" i="7"/>
  <c r="V491" i="7"/>
  <c r="AA491" i="7"/>
  <c r="T491" i="7"/>
  <c r="R491" i="7"/>
  <c r="Y491" i="7"/>
  <c r="P491" i="7"/>
  <c r="L491" i="7"/>
  <c r="J491" i="7"/>
  <c r="H491" i="7"/>
  <c r="M491" i="7"/>
  <c r="F491" i="7"/>
  <c r="D491" i="7"/>
  <c r="K491" i="7"/>
  <c r="BB490" i="7"/>
  <c r="AZ490" i="7"/>
  <c r="AX490" i="7"/>
  <c r="BC490" i="7"/>
  <c r="AV490" i="7"/>
  <c r="AT490" i="7"/>
  <c r="BA490" i="7"/>
  <c r="AN490" i="7"/>
  <c r="AL490" i="7"/>
  <c r="AJ490" i="7"/>
  <c r="AO490" i="7"/>
  <c r="AH490" i="7"/>
  <c r="AF490" i="7"/>
  <c r="AM490" i="7"/>
  <c r="Z490" i="7"/>
  <c r="X490" i="7"/>
  <c r="V490" i="7"/>
  <c r="AA490" i="7"/>
  <c r="T490" i="7"/>
  <c r="R490" i="7"/>
  <c r="L490" i="7"/>
  <c r="J490" i="7"/>
  <c r="H490" i="7"/>
  <c r="M490" i="7"/>
  <c r="F490" i="7"/>
  <c r="D490" i="7"/>
  <c r="K490" i="7"/>
  <c r="BB489" i="7"/>
  <c r="AZ489" i="7"/>
  <c r="AX489" i="7"/>
  <c r="BC489" i="7"/>
  <c r="AV489" i="7"/>
  <c r="AT489" i="7"/>
  <c r="BA489" i="7"/>
  <c r="AN489" i="7"/>
  <c r="AL489" i="7"/>
  <c r="AJ489" i="7"/>
  <c r="AO489" i="7"/>
  <c r="AH489" i="7"/>
  <c r="AF489" i="7"/>
  <c r="AM489" i="7"/>
  <c r="Z489" i="7"/>
  <c r="X489" i="7"/>
  <c r="V489" i="7"/>
  <c r="AA489" i="7"/>
  <c r="T489" i="7"/>
  <c r="R489" i="7"/>
  <c r="Y489" i="7"/>
  <c r="L489" i="7"/>
  <c r="J489" i="7"/>
  <c r="H489" i="7"/>
  <c r="M489" i="7"/>
  <c r="F489" i="7"/>
  <c r="D489" i="7"/>
  <c r="BB488" i="7"/>
  <c r="AZ488" i="7"/>
  <c r="AX488" i="7"/>
  <c r="BC488" i="7"/>
  <c r="AV488" i="7"/>
  <c r="AT488" i="7"/>
  <c r="BA488" i="7"/>
  <c r="AN488" i="7"/>
  <c r="AL488" i="7"/>
  <c r="AJ488" i="7"/>
  <c r="AO488" i="7"/>
  <c r="AH488" i="7"/>
  <c r="AF488" i="7"/>
  <c r="AM488" i="7"/>
  <c r="Z488" i="7"/>
  <c r="X488" i="7"/>
  <c r="V488" i="7"/>
  <c r="AA488" i="7"/>
  <c r="T488" i="7"/>
  <c r="R488" i="7"/>
  <c r="Y488" i="7"/>
  <c r="L488" i="7"/>
  <c r="J488" i="7"/>
  <c r="H488" i="7"/>
  <c r="M488" i="7"/>
  <c r="F488" i="7"/>
  <c r="D488" i="7"/>
  <c r="K488" i="7"/>
  <c r="BB487" i="7"/>
  <c r="AZ487" i="7"/>
  <c r="AX487" i="7"/>
  <c r="BC487" i="7"/>
  <c r="AV487" i="7"/>
  <c r="AT487" i="7"/>
  <c r="BA487" i="7"/>
  <c r="AR487" i="7"/>
  <c r="AN487" i="7"/>
  <c r="AL487" i="7"/>
  <c r="AJ487" i="7"/>
  <c r="AO487" i="7"/>
  <c r="AH487" i="7"/>
  <c r="AF487" i="7"/>
  <c r="AM487" i="7"/>
  <c r="AD487" i="7"/>
  <c r="Z487" i="7"/>
  <c r="X487" i="7"/>
  <c r="V487" i="7"/>
  <c r="AA487" i="7"/>
  <c r="T487" i="7"/>
  <c r="R487" i="7"/>
  <c r="Y487" i="7"/>
  <c r="P487" i="7"/>
  <c r="L487" i="7"/>
  <c r="J487" i="7"/>
  <c r="H487" i="7"/>
  <c r="M487" i="7"/>
  <c r="F487" i="7"/>
  <c r="D487" i="7"/>
  <c r="K487" i="7"/>
  <c r="BB486" i="7"/>
  <c r="AZ486" i="7"/>
  <c r="AX486" i="7"/>
  <c r="BC486" i="7"/>
  <c r="AV486" i="7"/>
  <c r="AT486" i="7"/>
  <c r="BA486" i="7"/>
  <c r="AN486" i="7"/>
  <c r="AL486" i="7"/>
  <c r="AJ486" i="7"/>
  <c r="AO486" i="7"/>
  <c r="AH486" i="7"/>
  <c r="AF486" i="7"/>
  <c r="AM486" i="7"/>
  <c r="Z486" i="7"/>
  <c r="X486" i="7"/>
  <c r="V486" i="7"/>
  <c r="AA486" i="7"/>
  <c r="T486" i="7"/>
  <c r="R486" i="7"/>
  <c r="L486" i="7"/>
  <c r="J486" i="7"/>
  <c r="H486" i="7"/>
  <c r="M486" i="7"/>
  <c r="F486" i="7"/>
  <c r="D486" i="7"/>
  <c r="K486" i="7"/>
  <c r="BB485" i="7"/>
  <c r="AZ485" i="7"/>
  <c r="AX485" i="7"/>
  <c r="BC485" i="7"/>
  <c r="AV485" i="7"/>
  <c r="AT485" i="7"/>
  <c r="BA485" i="7"/>
  <c r="AN485" i="7"/>
  <c r="AL485" i="7"/>
  <c r="AJ485" i="7"/>
  <c r="AO485" i="7"/>
  <c r="AH485" i="7"/>
  <c r="AF485" i="7"/>
  <c r="AM485" i="7"/>
  <c r="Z485" i="7"/>
  <c r="X485" i="7"/>
  <c r="V485" i="7"/>
  <c r="AA485" i="7"/>
  <c r="T485" i="7"/>
  <c r="R485" i="7"/>
  <c r="Y485" i="7"/>
  <c r="L485" i="7"/>
  <c r="J485" i="7"/>
  <c r="H485" i="7"/>
  <c r="M485" i="7"/>
  <c r="F485" i="7"/>
  <c r="D485" i="7"/>
  <c r="K485" i="7"/>
  <c r="BB484" i="7"/>
  <c r="AZ484" i="7"/>
  <c r="AX484" i="7"/>
  <c r="BC484" i="7"/>
  <c r="AV484" i="7"/>
  <c r="AT484" i="7"/>
  <c r="AN484" i="7"/>
  <c r="AL484" i="7"/>
  <c r="AJ484" i="7"/>
  <c r="AO484" i="7"/>
  <c r="AH484" i="7"/>
  <c r="AF484" i="7"/>
  <c r="AM484" i="7"/>
  <c r="Z484" i="7"/>
  <c r="X484" i="7"/>
  <c r="V484" i="7"/>
  <c r="AA484" i="7"/>
  <c r="T484" i="7"/>
  <c r="R484" i="7"/>
  <c r="Y484" i="7"/>
  <c r="L484" i="7"/>
  <c r="J484" i="7"/>
  <c r="H484" i="7"/>
  <c r="M484" i="7"/>
  <c r="F484" i="7"/>
  <c r="D484" i="7"/>
  <c r="BB483" i="7"/>
  <c r="AZ483" i="7"/>
  <c r="AX483" i="7"/>
  <c r="BC483" i="7"/>
  <c r="AV483" i="7"/>
  <c r="AT483" i="7"/>
  <c r="BA483" i="7"/>
  <c r="AR483" i="7"/>
  <c r="AN483" i="7"/>
  <c r="AL483" i="7"/>
  <c r="AJ483" i="7"/>
  <c r="AO483" i="7"/>
  <c r="AH483" i="7"/>
  <c r="AF483" i="7"/>
  <c r="AM483" i="7"/>
  <c r="AD483" i="7"/>
  <c r="Z483" i="7"/>
  <c r="X483" i="7"/>
  <c r="V483" i="7"/>
  <c r="AA483" i="7"/>
  <c r="T483" i="7"/>
  <c r="R483" i="7"/>
  <c r="Y483" i="7"/>
  <c r="P483" i="7"/>
  <c r="L483" i="7"/>
  <c r="J483" i="7"/>
  <c r="H483" i="7"/>
  <c r="M483" i="7"/>
  <c r="F483" i="7"/>
  <c r="D483" i="7"/>
  <c r="K483" i="7"/>
  <c r="BB482" i="7"/>
  <c r="AZ482" i="7"/>
  <c r="AX482" i="7"/>
  <c r="BC482" i="7"/>
  <c r="AV482" i="7"/>
  <c r="AT482" i="7"/>
  <c r="AN482" i="7"/>
  <c r="AL482" i="7"/>
  <c r="AJ482" i="7"/>
  <c r="AO482" i="7"/>
  <c r="AH482" i="7"/>
  <c r="AF482" i="7"/>
  <c r="AM482" i="7"/>
  <c r="Z482" i="7"/>
  <c r="X482" i="7"/>
  <c r="V482" i="7"/>
  <c r="AA482" i="7"/>
  <c r="T482" i="7"/>
  <c r="R482" i="7"/>
  <c r="Y482" i="7"/>
  <c r="L482" i="7"/>
  <c r="J482" i="7"/>
  <c r="H482" i="7"/>
  <c r="M482" i="7"/>
  <c r="F482" i="7"/>
  <c r="D482" i="7"/>
  <c r="K482" i="7"/>
  <c r="BB481" i="7"/>
  <c r="AZ481" i="7"/>
  <c r="AX481" i="7"/>
  <c r="BC481" i="7"/>
  <c r="AV481" i="7"/>
  <c r="AT481" i="7"/>
  <c r="BA481" i="7"/>
  <c r="AN481" i="7"/>
  <c r="AL481" i="7"/>
  <c r="AJ481" i="7"/>
  <c r="AO481" i="7"/>
  <c r="AH481" i="7"/>
  <c r="AF481" i="7"/>
  <c r="AM481" i="7"/>
  <c r="Z481" i="7"/>
  <c r="X481" i="7"/>
  <c r="V481" i="7"/>
  <c r="V449" i="7"/>
  <c r="V453" i="7"/>
  <c r="V457" i="7"/>
  <c r="V462" i="7"/>
  <c r="V477" i="7"/>
  <c r="AA477" i="7"/>
  <c r="AA481" i="7"/>
  <c r="T481" i="7"/>
  <c r="R481" i="7"/>
  <c r="Y481" i="7"/>
  <c r="L481" i="7"/>
  <c r="J481" i="7"/>
  <c r="H481" i="7"/>
  <c r="M481" i="7"/>
  <c r="F481" i="7"/>
  <c r="D481" i="7"/>
  <c r="K481" i="7"/>
  <c r="BB480" i="7"/>
  <c r="AZ480" i="7"/>
  <c r="AX480" i="7"/>
  <c r="BC480" i="7"/>
  <c r="AV480" i="7"/>
  <c r="AT480" i="7"/>
  <c r="BA480" i="7"/>
  <c r="AN480" i="7"/>
  <c r="AL480" i="7"/>
  <c r="AJ480" i="7"/>
  <c r="AO480" i="7"/>
  <c r="AH480" i="7"/>
  <c r="AF480" i="7"/>
  <c r="AM480" i="7"/>
  <c r="Z480" i="7"/>
  <c r="V452" i="7"/>
  <c r="Z452" i="7"/>
  <c r="V456" i="7"/>
  <c r="Z456" i="7"/>
  <c r="R456" i="7"/>
  <c r="Y456" i="7"/>
  <c r="V460" i="7"/>
  <c r="R460" i="7"/>
  <c r="Y460" i="7"/>
  <c r="Z460" i="7"/>
  <c r="AA460" i="7"/>
  <c r="Z476" i="7"/>
  <c r="X480" i="7"/>
  <c r="V480" i="7"/>
  <c r="T480" i="7"/>
  <c r="R480" i="7"/>
  <c r="Y480" i="7"/>
  <c r="L480" i="7"/>
  <c r="J480" i="7"/>
  <c r="H480" i="7"/>
  <c r="M480" i="7"/>
  <c r="F480" i="7"/>
  <c r="D480" i="7"/>
  <c r="BB479" i="7"/>
  <c r="AZ479" i="7"/>
  <c r="AX479" i="7"/>
  <c r="BC479" i="7"/>
  <c r="AV479" i="7"/>
  <c r="AT479" i="7"/>
  <c r="BA479" i="7"/>
  <c r="AR479" i="7"/>
  <c r="AN479" i="7"/>
  <c r="AL479" i="7"/>
  <c r="AJ479" i="7"/>
  <c r="AO479" i="7"/>
  <c r="AH479" i="7"/>
  <c r="AF479" i="7"/>
  <c r="AD479" i="7"/>
  <c r="Z479" i="7"/>
  <c r="X479" i="7"/>
  <c r="V479" i="7"/>
  <c r="AA479" i="7"/>
  <c r="T479" i="7"/>
  <c r="R479" i="7"/>
  <c r="Y479" i="7"/>
  <c r="P479" i="7"/>
  <c r="L479" i="7"/>
  <c r="J479" i="7"/>
  <c r="H479" i="7"/>
  <c r="M479" i="7"/>
  <c r="F479" i="7"/>
  <c r="D479" i="7"/>
  <c r="BB478" i="7"/>
  <c r="AZ478" i="7"/>
  <c r="AX478" i="7"/>
  <c r="AV478" i="7"/>
  <c r="AT478" i="7"/>
  <c r="BA478" i="7"/>
  <c r="AN478" i="7"/>
  <c r="AL478" i="7"/>
  <c r="AJ478" i="7"/>
  <c r="AO478" i="7"/>
  <c r="AH478" i="7"/>
  <c r="AF478" i="7"/>
  <c r="AM478" i="7"/>
  <c r="Z478" i="7"/>
  <c r="X478" i="7"/>
  <c r="V478" i="7"/>
  <c r="AA478" i="7"/>
  <c r="T478" i="7"/>
  <c r="R478" i="7"/>
  <c r="Y478" i="7"/>
  <c r="L478" i="7"/>
  <c r="J478" i="7"/>
  <c r="H478" i="7"/>
  <c r="M478" i="7"/>
  <c r="F478" i="7"/>
  <c r="D478" i="7"/>
  <c r="K478" i="7"/>
  <c r="BB477" i="7"/>
  <c r="AZ477" i="7"/>
  <c r="AX477" i="7"/>
  <c r="BC477" i="7"/>
  <c r="AX453" i="7"/>
  <c r="AX462" i="7"/>
  <c r="AV477" i="7"/>
  <c r="AT477" i="7"/>
  <c r="BA477" i="7"/>
  <c r="AN477" i="7"/>
  <c r="AL477" i="7"/>
  <c r="AJ477" i="7"/>
  <c r="AJ511" i="7"/>
  <c r="AO477" i="7"/>
  <c r="AH477" i="7"/>
  <c r="AF477" i="7"/>
  <c r="Z477" i="7"/>
  <c r="X477" i="7"/>
  <c r="T477" i="7"/>
  <c r="R477" i="7"/>
  <c r="Y477" i="7"/>
  <c r="H477" i="7"/>
  <c r="M477" i="7"/>
  <c r="L477" i="7"/>
  <c r="J477" i="7"/>
  <c r="F477" i="7"/>
  <c r="D477" i="7"/>
  <c r="BB476" i="7"/>
  <c r="AZ476" i="7"/>
  <c r="AX476" i="7"/>
  <c r="BC476" i="7"/>
  <c r="AV476" i="7"/>
  <c r="AT476" i="7"/>
  <c r="BA476" i="7"/>
  <c r="AN476" i="7"/>
  <c r="AL476" i="7"/>
  <c r="AJ476" i="7"/>
  <c r="AJ510" i="7"/>
  <c r="AO476" i="7"/>
  <c r="AH476" i="7"/>
  <c r="AF476" i="7"/>
  <c r="AM476" i="7"/>
  <c r="X476" i="7"/>
  <c r="V476" i="7"/>
  <c r="AA476" i="7"/>
  <c r="T476" i="7"/>
  <c r="R476" i="7"/>
  <c r="Y476" i="7"/>
  <c r="L476" i="7"/>
  <c r="J476" i="7"/>
  <c r="H476" i="7"/>
  <c r="M476" i="7"/>
  <c r="F476" i="7"/>
  <c r="D476" i="7"/>
  <c r="K476" i="7"/>
  <c r="BB475" i="7"/>
  <c r="AZ475" i="7"/>
  <c r="AX475" i="7"/>
  <c r="BC475" i="7"/>
  <c r="AV475" i="7"/>
  <c r="AT475" i="7"/>
  <c r="BA475" i="7"/>
  <c r="AR475" i="7"/>
  <c r="AN475" i="7"/>
  <c r="AL475" i="7"/>
  <c r="AJ475" i="7"/>
  <c r="AO475" i="7"/>
  <c r="AH475" i="7"/>
  <c r="AF475" i="7"/>
  <c r="AM475" i="7"/>
  <c r="AD475" i="7"/>
  <c r="Z475" i="7"/>
  <c r="X475" i="7"/>
  <c r="V475" i="7"/>
  <c r="AA475" i="7"/>
  <c r="T475" i="7"/>
  <c r="R475" i="7"/>
  <c r="P475" i="7"/>
  <c r="L475" i="7"/>
  <c r="J475" i="7"/>
  <c r="H475" i="7"/>
  <c r="M475" i="7"/>
  <c r="F475" i="7"/>
  <c r="D475" i="7"/>
  <c r="BB474" i="7"/>
  <c r="AZ474" i="7"/>
  <c r="AX474" i="7"/>
  <c r="BC474" i="7"/>
  <c r="AV474" i="7"/>
  <c r="AT474" i="7"/>
  <c r="BA474" i="7"/>
  <c r="AN474" i="7"/>
  <c r="AL474" i="7"/>
  <c r="AJ474" i="7"/>
  <c r="AO474" i="7"/>
  <c r="AH474" i="7"/>
  <c r="AF474" i="7"/>
  <c r="AM474" i="7"/>
  <c r="Z474" i="7"/>
  <c r="X474" i="7"/>
  <c r="V474" i="7"/>
  <c r="AA474" i="7"/>
  <c r="T474" i="7"/>
  <c r="R474" i="7"/>
  <c r="Y474" i="7"/>
  <c r="L474" i="7"/>
  <c r="J474" i="7"/>
  <c r="H474" i="7"/>
  <c r="M474" i="7"/>
  <c r="F474" i="7"/>
  <c r="D474" i="7"/>
  <c r="K474" i="7"/>
  <c r="AV462" i="7"/>
  <c r="AT462" i="7"/>
  <c r="AJ462" i="7"/>
  <c r="AH462" i="7"/>
  <c r="AF462" i="7"/>
  <c r="T462" i="7"/>
  <c r="R462" i="7"/>
  <c r="H462" i="7"/>
  <c r="F462" i="7"/>
  <c r="D462" i="7"/>
  <c r="AX461" i="7"/>
  <c r="AV461" i="7"/>
  <c r="AT461" i="7"/>
  <c r="AJ461" i="7"/>
  <c r="AH461" i="7"/>
  <c r="AF461" i="7"/>
  <c r="V461" i="7"/>
  <c r="T461" i="7"/>
  <c r="R461" i="7"/>
  <c r="H461" i="7"/>
  <c r="F461" i="7"/>
  <c r="D461" i="7"/>
  <c r="AX460" i="7"/>
  <c r="AX510" i="7"/>
  <c r="AV460" i="7"/>
  <c r="AT460" i="7"/>
  <c r="AJ460" i="7"/>
  <c r="AH460" i="7"/>
  <c r="AF460" i="7"/>
  <c r="T460" i="7"/>
  <c r="H460" i="7"/>
  <c r="F460" i="7"/>
  <c r="D460" i="7"/>
  <c r="AX459" i="7"/>
  <c r="AV459" i="7"/>
  <c r="AT459" i="7"/>
  <c r="BA459" i="7"/>
  <c r="AR459" i="7"/>
  <c r="AJ459" i="7"/>
  <c r="AH459" i="7"/>
  <c r="AF459" i="7"/>
  <c r="AD459" i="7"/>
  <c r="V459" i="7"/>
  <c r="T459" i="7"/>
  <c r="R459" i="7"/>
  <c r="P459" i="7"/>
  <c r="H459" i="7"/>
  <c r="F459" i="7"/>
  <c r="D459" i="7"/>
  <c r="V458" i="7"/>
  <c r="Z458" i="7"/>
  <c r="T458" i="7"/>
  <c r="R458" i="7"/>
  <c r="J458" i="7"/>
  <c r="J462" i="7"/>
  <c r="H458" i="7"/>
  <c r="F458" i="7"/>
  <c r="D458" i="7"/>
  <c r="K458" i="7"/>
  <c r="T457" i="7"/>
  <c r="R457" i="7"/>
  <c r="H457" i="7"/>
  <c r="H511" i="7"/>
  <c r="F457" i="7"/>
  <c r="D457" i="7"/>
  <c r="X456" i="7"/>
  <c r="X460" i="7"/>
  <c r="T456" i="7"/>
  <c r="H456" i="7"/>
  <c r="H448" i="7"/>
  <c r="H452" i="7"/>
  <c r="F456" i="7"/>
  <c r="D456" i="7"/>
  <c r="AR455" i="7"/>
  <c r="AD455" i="7"/>
  <c r="V455" i="7"/>
  <c r="T455" i="7"/>
  <c r="R455" i="7"/>
  <c r="P455" i="7"/>
  <c r="J455" i="7"/>
  <c r="J459" i="7"/>
  <c r="H455" i="7"/>
  <c r="F455" i="7"/>
  <c r="D455" i="7"/>
  <c r="AZ454" i="7"/>
  <c r="AZ458" i="7"/>
  <c r="AZ462" i="7"/>
  <c r="AX454" i="7"/>
  <c r="AV454" i="7"/>
  <c r="AT454" i="7"/>
  <c r="AL454" i="7"/>
  <c r="AL458" i="7"/>
  <c r="AL462" i="7"/>
  <c r="AJ454" i="7"/>
  <c r="AH454" i="7"/>
  <c r="AF454" i="7"/>
  <c r="AM454" i="7"/>
  <c r="X454" i="7"/>
  <c r="X458" i="7"/>
  <c r="X462" i="7"/>
  <c r="V454" i="7"/>
  <c r="T454" i="7"/>
  <c r="R454" i="7"/>
  <c r="Y454" i="7"/>
  <c r="H454" i="7"/>
  <c r="F454" i="7"/>
  <c r="D454" i="7"/>
  <c r="AZ453" i="7"/>
  <c r="AZ457" i="7"/>
  <c r="AZ461" i="7"/>
  <c r="AV453" i="7"/>
  <c r="AT453" i="7"/>
  <c r="AL453" i="7"/>
  <c r="AL457" i="7"/>
  <c r="AL461" i="7"/>
  <c r="AJ453" i="7"/>
  <c r="AH453" i="7"/>
  <c r="AF453" i="7"/>
  <c r="AM453" i="7"/>
  <c r="AN453" i="7"/>
  <c r="AM457" i="7"/>
  <c r="AM461" i="7"/>
  <c r="AN457" i="7"/>
  <c r="AO457" i="7"/>
  <c r="X453" i="7"/>
  <c r="X457" i="7"/>
  <c r="X461" i="7"/>
  <c r="T453" i="7"/>
  <c r="R453" i="7"/>
  <c r="Y453" i="7"/>
  <c r="J453" i="7"/>
  <c r="J457" i="7"/>
  <c r="J461" i="7"/>
  <c r="H453" i="7"/>
  <c r="F453" i="7"/>
  <c r="D453" i="7"/>
  <c r="K453" i="7"/>
  <c r="AZ452" i="7"/>
  <c r="AZ456" i="7"/>
  <c r="AZ460" i="7"/>
  <c r="AX452" i="7"/>
  <c r="AV452" i="7"/>
  <c r="AT452" i="7"/>
  <c r="AL452" i="7"/>
  <c r="AL456" i="7"/>
  <c r="AL460" i="7"/>
  <c r="AJ452" i="7"/>
  <c r="AH452" i="7"/>
  <c r="AF452" i="7"/>
  <c r="T452" i="7"/>
  <c r="R452" i="7"/>
  <c r="J452" i="7"/>
  <c r="J456" i="7"/>
  <c r="J460" i="7"/>
  <c r="F452" i="7"/>
  <c r="D452" i="7"/>
  <c r="K452" i="7"/>
  <c r="AZ451" i="7"/>
  <c r="AZ455" i="7"/>
  <c r="AZ459" i="7"/>
  <c r="AX451" i="7"/>
  <c r="AV451" i="7"/>
  <c r="AT451" i="7"/>
  <c r="BA451" i="7"/>
  <c r="AR451" i="7"/>
  <c r="AL451" i="7"/>
  <c r="AL455" i="7"/>
  <c r="AL459" i="7"/>
  <c r="AJ451" i="7"/>
  <c r="AH451" i="7"/>
  <c r="AF451" i="7"/>
  <c r="AD451" i="7"/>
  <c r="X451" i="7"/>
  <c r="X455" i="7"/>
  <c r="X459" i="7"/>
  <c r="V451" i="7"/>
  <c r="Z451" i="7"/>
  <c r="T451" i="7"/>
  <c r="R451" i="7"/>
  <c r="Y451" i="7"/>
  <c r="P451" i="7"/>
  <c r="H451" i="7"/>
  <c r="D451" i="7"/>
  <c r="K451" i="7"/>
  <c r="F451" i="7"/>
  <c r="V450" i="7"/>
  <c r="T450" i="7"/>
  <c r="R450" i="7"/>
  <c r="H450" i="7"/>
  <c r="H512" i="7"/>
  <c r="F450" i="7"/>
  <c r="D450" i="7"/>
  <c r="T449" i="7"/>
  <c r="R449" i="7"/>
  <c r="H449" i="7"/>
  <c r="L449" i="7"/>
  <c r="F449" i="7"/>
  <c r="D449" i="7"/>
  <c r="V448" i="7"/>
  <c r="T448" i="7"/>
  <c r="R448" i="7"/>
  <c r="R503" i="7"/>
  <c r="R504" i="7"/>
  <c r="S504" i="7"/>
  <c r="F448" i="7"/>
  <c r="D448" i="7"/>
  <c r="V447" i="7"/>
  <c r="T447" i="7"/>
  <c r="R447" i="7"/>
  <c r="H447" i="7"/>
  <c r="F447" i="7"/>
  <c r="D447" i="7"/>
  <c r="BA438" i="7"/>
  <c r="AZ438" i="7"/>
  <c r="AM438" i="7"/>
  <c r="AL438" i="7"/>
  <c r="Y438" i="7"/>
  <c r="X438" i="7"/>
  <c r="K438" i="7"/>
  <c r="J438" i="7"/>
  <c r="BA437" i="7"/>
  <c r="AZ437" i="7"/>
  <c r="AM437" i="7"/>
  <c r="AL437" i="7"/>
  <c r="Y437" i="7"/>
  <c r="X437" i="7"/>
  <c r="K437" i="7"/>
  <c r="J437" i="7"/>
  <c r="BA436" i="7"/>
  <c r="AZ436" i="7"/>
  <c r="AM436" i="7"/>
  <c r="AL436" i="7"/>
  <c r="Y436" i="7"/>
  <c r="X436" i="7"/>
  <c r="K436" i="7"/>
  <c r="J436" i="7"/>
  <c r="BA435" i="7"/>
  <c r="AZ435" i="7"/>
  <c r="AM435" i="7"/>
  <c r="AL435" i="7"/>
  <c r="Y435" i="7"/>
  <c r="X435" i="7"/>
  <c r="K435" i="7"/>
  <c r="J435" i="7"/>
  <c r="A434" i="7"/>
  <c r="BB428" i="7"/>
  <c r="AZ428" i="7"/>
  <c r="AX428" i="7"/>
  <c r="BC428" i="7"/>
  <c r="AV428" i="7"/>
  <c r="AT428" i="7"/>
  <c r="BA428" i="7"/>
  <c r="AN428" i="7"/>
  <c r="AL428" i="7"/>
  <c r="AJ428" i="7"/>
  <c r="AO428" i="7"/>
  <c r="AH428" i="7"/>
  <c r="AF428" i="7"/>
  <c r="AM428" i="7"/>
  <c r="Z428" i="7"/>
  <c r="X428" i="7"/>
  <c r="V428" i="7"/>
  <c r="AA428" i="7"/>
  <c r="T428" i="7"/>
  <c r="R428" i="7"/>
  <c r="Y428" i="7"/>
  <c r="L428" i="7"/>
  <c r="J428" i="7"/>
  <c r="H428" i="7"/>
  <c r="M428" i="7"/>
  <c r="F428" i="7"/>
  <c r="D428" i="7"/>
  <c r="K428" i="7"/>
  <c r="BB427" i="7"/>
  <c r="AZ427" i="7"/>
  <c r="AX427" i="7"/>
  <c r="BC427" i="7"/>
  <c r="AV427" i="7"/>
  <c r="AT427" i="7"/>
  <c r="BA427" i="7"/>
  <c r="AN427" i="7"/>
  <c r="AL427" i="7"/>
  <c r="AJ427" i="7"/>
  <c r="AO427" i="7"/>
  <c r="AH427" i="7"/>
  <c r="AF427" i="7"/>
  <c r="AM427" i="7"/>
  <c r="Z427" i="7"/>
  <c r="X427" i="7"/>
  <c r="V427" i="7"/>
  <c r="AA427" i="7"/>
  <c r="T427" i="7"/>
  <c r="R427" i="7"/>
  <c r="Y427" i="7"/>
  <c r="L427" i="7"/>
  <c r="J427" i="7"/>
  <c r="H427" i="7"/>
  <c r="M427" i="7"/>
  <c r="F427" i="7"/>
  <c r="D427" i="7"/>
  <c r="K427" i="7"/>
  <c r="BB426" i="7"/>
  <c r="AZ426" i="7"/>
  <c r="AX426" i="7"/>
  <c r="BC426" i="7"/>
  <c r="AV426" i="7"/>
  <c r="AT426" i="7"/>
  <c r="BA426" i="7"/>
  <c r="AN426" i="7"/>
  <c r="AL426" i="7"/>
  <c r="AJ426" i="7"/>
  <c r="AO426" i="7"/>
  <c r="AH426" i="7"/>
  <c r="AF426" i="7"/>
  <c r="AM426" i="7"/>
  <c r="Z426" i="7"/>
  <c r="X426" i="7"/>
  <c r="V426" i="7"/>
  <c r="AA426" i="7"/>
  <c r="T426" i="7"/>
  <c r="R426" i="7"/>
  <c r="Y426" i="7"/>
  <c r="L426" i="7"/>
  <c r="J426" i="7"/>
  <c r="H426" i="7"/>
  <c r="M426" i="7"/>
  <c r="F426" i="7"/>
  <c r="D426" i="7"/>
  <c r="K426" i="7"/>
  <c r="BB425" i="7"/>
  <c r="AZ425" i="7"/>
  <c r="AX425" i="7"/>
  <c r="BC425" i="7"/>
  <c r="AV425" i="7"/>
  <c r="AT425" i="7"/>
  <c r="BA425" i="7"/>
  <c r="AR425" i="7"/>
  <c r="AN425" i="7"/>
  <c r="AL425" i="7"/>
  <c r="AJ425" i="7"/>
  <c r="AO425" i="7"/>
  <c r="AH425" i="7"/>
  <c r="AF425" i="7"/>
  <c r="AM425" i="7"/>
  <c r="AD425" i="7"/>
  <c r="Z425" i="7"/>
  <c r="X425" i="7"/>
  <c r="V425" i="7"/>
  <c r="AA425" i="7"/>
  <c r="T425" i="7"/>
  <c r="R425" i="7"/>
  <c r="Y425" i="7"/>
  <c r="P425" i="7"/>
  <c r="L425" i="7"/>
  <c r="J425" i="7"/>
  <c r="H425" i="7"/>
  <c r="M425" i="7"/>
  <c r="F425" i="7"/>
  <c r="D425" i="7"/>
  <c r="B425" i="7"/>
  <c r="BB424" i="7"/>
  <c r="AZ424" i="7"/>
  <c r="AX424" i="7"/>
  <c r="BC424" i="7"/>
  <c r="AV424" i="7"/>
  <c r="AT424" i="7"/>
  <c r="BA424" i="7"/>
  <c r="AN424" i="7"/>
  <c r="AL424" i="7"/>
  <c r="AJ424" i="7"/>
  <c r="AO424" i="7"/>
  <c r="AH424" i="7"/>
  <c r="AF424" i="7"/>
  <c r="AM424" i="7"/>
  <c r="Z424" i="7"/>
  <c r="X424" i="7"/>
  <c r="V424" i="7"/>
  <c r="AA424" i="7"/>
  <c r="T424" i="7"/>
  <c r="R424" i="7"/>
  <c r="Y424" i="7"/>
  <c r="M424" i="7"/>
  <c r="L424" i="7"/>
  <c r="J424" i="7"/>
  <c r="F424" i="7"/>
  <c r="D424" i="7"/>
  <c r="K424" i="7"/>
  <c r="BB423" i="7"/>
  <c r="AZ423" i="7"/>
  <c r="AX423" i="7"/>
  <c r="BC423" i="7"/>
  <c r="AV423" i="7"/>
  <c r="AT423" i="7"/>
  <c r="BA423" i="7"/>
  <c r="AN423" i="7"/>
  <c r="AL423" i="7"/>
  <c r="AJ423" i="7"/>
  <c r="AO423" i="7"/>
  <c r="AH423" i="7"/>
  <c r="AF423" i="7"/>
  <c r="AM423" i="7"/>
  <c r="Z423" i="7"/>
  <c r="X423" i="7"/>
  <c r="V423" i="7"/>
  <c r="AA423" i="7"/>
  <c r="T423" i="7"/>
  <c r="R423" i="7"/>
  <c r="Y423" i="7"/>
  <c r="L423" i="7"/>
  <c r="J423" i="7"/>
  <c r="H423" i="7"/>
  <c r="M423" i="7"/>
  <c r="F423" i="7"/>
  <c r="D423" i="7"/>
  <c r="BB422" i="7"/>
  <c r="AZ422" i="7"/>
  <c r="AX422" i="7"/>
  <c r="AV422" i="7"/>
  <c r="AT422" i="7"/>
  <c r="BA422" i="7"/>
  <c r="AN422" i="7"/>
  <c r="AL422" i="7"/>
  <c r="AJ422" i="7"/>
  <c r="AO422" i="7"/>
  <c r="AH422" i="7"/>
  <c r="AF422" i="7"/>
  <c r="AM422" i="7"/>
  <c r="Z422" i="7"/>
  <c r="X422" i="7"/>
  <c r="V422" i="7"/>
  <c r="AA422" i="7"/>
  <c r="T422" i="7"/>
  <c r="R422" i="7"/>
  <c r="Y422" i="7"/>
  <c r="L422" i="7"/>
  <c r="J422" i="7"/>
  <c r="H422" i="7"/>
  <c r="M422" i="7"/>
  <c r="H378" i="7"/>
  <c r="H386" i="7"/>
  <c r="H394" i="7"/>
  <c r="H397" i="7"/>
  <c r="H402" i="7"/>
  <c r="H406" i="7"/>
  <c r="H418" i="7"/>
  <c r="F422" i="7"/>
  <c r="D422" i="7"/>
  <c r="K422" i="7"/>
  <c r="BB421" i="7"/>
  <c r="AZ421" i="7"/>
  <c r="AX421" i="7"/>
  <c r="AX435" i="7"/>
  <c r="BC421" i="7"/>
  <c r="AV421" i="7"/>
  <c r="AT421" i="7"/>
  <c r="BA421" i="7"/>
  <c r="AR421" i="7"/>
  <c r="AN421" i="7"/>
  <c r="AL421" i="7"/>
  <c r="AJ421" i="7"/>
  <c r="AO421" i="7"/>
  <c r="AH421" i="7"/>
  <c r="AF421" i="7"/>
  <c r="AM421" i="7"/>
  <c r="AD421" i="7"/>
  <c r="Z421" i="7"/>
  <c r="X421" i="7"/>
  <c r="V421" i="7"/>
  <c r="AA421" i="7"/>
  <c r="T421" i="7"/>
  <c r="R421" i="7"/>
  <c r="Y421" i="7"/>
  <c r="P421" i="7"/>
  <c r="L421" i="7"/>
  <c r="J421" i="7"/>
  <c r="H421" i="7"/>
  <c r="M421" i="7"/>
  <c r="F421" i="7"/>
  <c r="D421" i="7"/>
  <c r="BB420" i="7"/>
  <c r="AZ420" i="7"/>
  <c r="AX420" i="7"/>
  <c r="AV420" i="7"/>
  <c r="AT420" i="7"/>
  <c r="BA420" i="7"/>
  <c r="AN420" i="7"/>
  <c r="AL420" i="7"/>
  <c r="AJ420" i="7"/>
  <c r="AJ438" i="7"/>
  <c r="AO420" i="7"/>
  <c r="AH420" i="7"/>
  <c r="AF420" i="7"/>
  <c r="AM420" i="7"/>
  <c r="Z420" i="7"/>
  <c r="X420" i="7"/>
  <c r="V420" i="7"/>
  <c r="AA420" i="7"/>
  <c r="T420" i="7"/>
  <c r="R420" i="7"/>
  <c r="Y420" i="7"/>
  <c r="L420" i="7"/>
  <c r="J420" i="7"/>
  <c r="H420" i="7"/>
  <c r="M420" i="7"/>
  <c r="F420" i="7"/>
  <c r="D420" i="7"/>
  <c r="K420" i="7"/>
  <c r="BB419" i="7"/>
  <c r="AZ419" i="7"/>
  <c r="AX419" i="7"/>
  <c r="BC419" i="7"/>
  <c r="AV419" i="7"/>
  <c r="AT419" i="7"/>
  <c r="BA419" i="7"/>
  <c r="AN419" i="7"/>
  <c r="AL419" i="7"/>
  <c r="AJ419" i="7"/>
  <c r="AO419" i="7"/>
  <c r="AH419" i="7"/>
  <c r="AF419" i="7"/>
  <c r="AM419" i="7"/>
  <c r="Z419" i="7"/>
  <c r="X419" i="7"/>
  <c r="V419" i="7"/>
  <c r="AA419" i="7"/>
  <c r="T419" i="7"/>
  <c r="R419" i="7"/>
  <c r="Y419" i="7"/>
  <c r="L419" i="7"/>
  <c r="J419" i="7"/>
  <c r="H419" i="7"/>
  <c r="M419" i="7"/>
  <c r="F419" i="7"/>
  <c r="D419" i="7"/>
  <c r="BB418" i="7"/>
  <c r="AZ418" i="7"/>
  <c r="AX418" i="7"/>
  <c r="BC418" i="7"/>
  <c r="AV418" i="7"/>
  <c r="AT418" i="7"/>
  <c r="BA418" i="7"/>
  <c r="AN418" i="7"/>
  <c r="AL418" i="7"/>
  <c r="AJ418" i="7"/>
  <c r="AO418" i="7"/>
  <c r="AH418" i="7"/>
  <c r="AF418" i="7"/>
  <c r="AM418" i="7"/>
  <c r="Z418" i="7"/>
  <c r="X418" i="7"/>
  <c r="V418" i="7"/>
  <c r="AA418" i="7"/>
  <c r="T418" i="7"/>
  <c r="R418" i="7"/>
  <c r="Y418" i="7"/>
  <c r="L418" i="7"/>
  <c r="J418" i="7"/>
  <c r="M418" i="7"/>
  <c r="F418" i="7"/>
  <c r="D418" i="7"/>
  <c r="K418" i="7"/>
  <c r="BB417" i="7"/>
  <c r="AZ417" i="7"/>
  <c r="AX417" i="7"/>
  <c r="BC417" i="7"/>
  <c r="AV417" i="7"/>
  <c r="AT417" i="7"/>
  <c r="BA417" i="7"/>
  <c r="AR417" i="7"/>
  <c r="AN417" i="7"/>
  <c r="AL417" i="7"/>
  <c r="AJ417" i="7"/>
  <c r="AO417" i="7"/>
  <c r="AH417" i="7"/>
  <c r="AF417" i="7"/>
  <c r="AM417" i="7"/>
  <c r="AF377" i="7"/>
  <c r="AF385" i="7"/>
  <c r="AF393" i="7"/>
  <c r="AF397" i="7"/>
  <c r="AF401" i="7"/>
  <c r="AF405" i="7"/>
  <c r="AF435" i="7"/>
  <c r="AD417" i="7"/>
  <c r="Z417" i="7"/>
  <c r="X417" i="7"/>
  <c r="V417" i="7"/>
  <c r="AA417" i="7"/>
  <c r="T417" i="7"/>
  <c r="R417" i="7"/>
  <c r="Y417" i="7"/>
  <c r="P417" i="7"/>
  <c r="L417" i="7"/>
  <c r="J417" i="7"/>
  <c r="H417" i="7"/>
  <c r="M417" i="7"/>
  <c r="F417" i="7"/>
  <c r="D417" i="7"/>
  <c r="K417" i="7"/>
  <c r="AX408" i="7"/>
  <c r="AV408" i="7"/>
  <c r="AT408" i="7"/>
  <c r="AJ408" i="7"/>
  <c r="AH408" i="7"/>
  <c r="AF408" i="7"/>
  <c r="V408" i="7"/>
  <c r="T408" i="7"/>
  <c r="R408" i="7"/>
  <c r="H408" i="7"/>
  <c r="F408" i="7"/>
  <c r="D408" i="7"/>
  <c r="AX407" i="7"/>
  <c r="AV407" i="7"/>
  <c r="AT407" i="7"/>
  <c r="AJ407" i="7"/>
  <c r="AH407" i="7"/>
  <c r="AF407" i="7"/>
  <c r="V407" i="7"/>
  <c r="T407" i="7"/>
  <c r="R407" i="7"/>
  <c r="H407" i="7"/>
  <c r="F407" i="7"/>
  <c r="D407" i="7"/>
  <c r="AX406" i="7"/>
  <c r="AV406" i="7"/>
  <c r="AT406" i="7"/>
  <c r="AJ406" i="7"/>
  <c r="AH406" i="7"/>
  <c r="AF406" i="7"/>
  <c r="V406" i="7"/>
  <c r="T406" i="7"/>
  <c r="R406" i="7"/>
  <c r="F406" i="7"/>
  <c r="D406" i="7"/>
  <c r="AX405" i="7"/>
  <c r="AV405" i="7"/>
  <c r="AT405" i="7"/>
  <c r="AR405" i="7"/>
  <c r="AJ405" i="7"/>
  <c r="AH405" i="7"/>
  <c r="AD405" i="7"/>
  <c r="V405" i="7"/>
  <c r="T405" i="7"/>
  <c r="R405" i="7"/>
  <c r="P405" i="7"/>
  <c r="H405" i="7"/>
  <c r="F405" i="7"/>
  <c r="D405" i="7"/>
  <c r="AX404" i="7"/>
  <c r="AV404" i="7"/>
  <c r="AT404" i="7"/>
  <c r="AJ404" i="7"/>
  <c r="AH404" i="7"/>
  <c r="AF404" i="7"/>
  <c r="V404" i="7"/>
  <c r="T404" i="7"/>
  <c r="R404" i="7"/>
  <c r="H404" i="7"/>
  <c r="F404" i="7"/>
  <c r="D404" i="7"/>
  <c r="AX403" i="7"/>
  <c r="AV403" i="7"/>
  <c r="AT403" i="7"/>
  <c r="AJ403" i="7"/>
  <c r="AH403" i="7"/>
  <c r="AF403" i="7"/>
  <c r="AM403" i="7"/>
  <c r="AM407" i="7"/>
  <c r="V403" i="7"/>
  <c r="T403" i="7"/>
  <c r="R403" i="7"/>
  <c r="R399" i="7"/>
  <c r="R395" i="7"/>
  <c r="Y395" i="7"/>
  <c r="H403" i="7"/>
  <c r="F403" i="7"/>
  <c r="D403" i="7"/>
  <c r="AX402" i="7"/>
  <c r="AV402" i="7"/>
  <c r="AT402" i="7"/>
  <c r="AJ402" i="7"/>
  <c r="AH402" i="7"/>
  <c r="AF402" i="7"/>
  <c r="V402" i="7"/>
  <c r="T402" i="7"/>
  <c r="R402" i="7"/>
  <c r="D401" i="7"/>
  <c r="D402" i="7"/>
  <c r="R401" i="7"/>
  <c r="AT401" i="7"/>
  <c r="F402" i="7"/>
  <c r="AX401" i="7"/>
  <c r="AV401" i="7"/>
  <c r="AR401" i="7"/>
  <c r="AJ401" i="7"/>
  <c r="AH401" i="7"/>
  <c r="AD401" i="7"/>
  <c r="X401" i="7"/>
  <c r="X405" i="7"/>
  <c r="V401" i="7"/>
  <c r="T401" i="7"/>
  <c r="Y401" i="7"/>
  <c r="P401" i="7"/>
  <c r="H401" i="7"/>
  <c r="F401" i="7"/>
  <c r="AX400" i="7"/>
  <c r="BB400" i="7"/>
  <c r="BC400" i="7"/>
  <c r="AV400" i="7"/>
  <c r="AT400" i="7"/>
  <c r="AJ400" i="7"/>
  <c r="AH400" i="7"/>
  <c r="AF400" i="7"/>
  <c r="V400" i="7"/>
  <c r="T400" i="7"/>
  <c r="R400" i="7"/>
  <c r="H400" i="7"/>
  <c r="F400" i="7"/>
  <c r="D400" i="7"/>
  <c r="AX399" i="7"/>
  <c r="AV399" i="7"/>
  <c r="AT399" i="7"/>
  <c r="AT379" i="7"/>
  <c r="AT437" i="7"/>
  <c r="AT387" i="7"/>
  <c r="AT395" i="7"/>
  <c r="AJ399" i="7"/>
  <c r="AH399" i="7"/>
  <c r="AF399" i="7"/>
  <c r="V399" i="7"/>
  <c r="T399" i="7"/>
  <c r="H399" i="7"/>
  <c r="F399" i="7"/>
  <c r="D399" i="7"/>
  <c r="AX398" i="7"/>
  <c r="AV398" i="7"/>
  <c r="AT398" i="7"/>
  <c r="AJ398" i="7"/>
  <c r="AH398" i="7"/>
  <c r="AF398" i="7"/>
  <c r="V398" i="7"/>
  <c r="T398" i="7"/>
  <c r="R398" i="7"/>
  <c r="H398" i="7"/>
  <c r="F398" i="7"/>
  <c r="D398" i="7"/>
  <c r="AX397" i="7"/>
  <c r="AV397" i="7"/>
  <c r="AT397" i="7"/>
  <c r="AR397" i="7"/>
  <c r="AJ397" i="7"/>
  <c r="AH397" i="7"/>
  <c r="AD397" i="7"/>
  <c r="V397" i="7"/>
  <c r="T397" i="7"/>
  <c r="R397" i="7"/>
  <c r="P397" i="7"/>
  <c r="F397" i="7"/>
  <c r="D397" i="7"/>
  <c r="AZ396" i="7"/>
  <c r="AZ400" i="7"/>
  <c r="AZ404" i="7"/>
  <c r="AZ408" i="7"/>
  <c r="AX396" i="7"/>
  <c r="BB396" i="7"/>
  <c r="AV396" i="7"/>
  <c r="AT396" i="7"/>
  <c r="AL396" i="7"/>
  <c r="AL400" i="7"/>
  <c r="AL404" i="7"/>
  <c r="AL408" i="7"/>
  <c r="AJ396" i="7"/>
  <c r="AH396" i="7"/>
  <c r="AF396" i="7"/>
  <c r="AM396" i="7"/>
  <c r="AN396" i="7"/>
  <c r="X396" i="7"/>
  <c r="X400" i="7"/>
  <c r="X404" i="7"/>
  <c r="X408" i="7"/>
  <c r="V396" i="7"/>
  <c r="T396" i="7"/>
  <c r="R396" i="7"/>
  <c r="Y396" i="7"/>
  <c r="H396" i="7"/>
  <c r="F396" i="7"/>
  <c r="D396" i="7"/>
  <c r="K392" i="7"/>
  <c r="L392" i="7"/>
  <c r="M392" i="7"/>
  <c r="AZ395" i="7"/>
  <c r="AZ399" i="7"/>
  <c r="AZ403" i="7"/>
  <c r="AZ407" i="7"/>
  <c r="AX395" i="7"/>
  <c r="AV395" i="7"/>
  <c r="AL395" i="7"/>
  <c r="AL399" i="7"/>
  <c r="AL403" i="7"/>
  <c r="AL407" i="7"/>
  <c r="AJ395" i="7"/>
  <c r="AH395" i="7"/>
  <c r="AF395" i="7"/>
  <c r="X395" i="7"/>
  <c r="X399" i="7"/>
  <c r="X403" i="7"/>
  <c r="X407" i="7"/>
  <c r="V395" i="7"/>
  <c r="T395" i="7"/>
  <c r="J395" i="7"/>
  <c r="J399" i="7"/>
  <c r="J403" i="7"/>
  <c r="J407" i="7"/>
  <c r="H395" i="7"/>
  <c r="L395" i="7"/>
  <c r="F395" i="7"/>
  <c r="D395" i="7"/>
  <c r="K395" i="7"/>
  <c r="K399" i="7"/>
  <c r="AZ394" i="7"/>
  <c r="AZ398" i="7"/>
  <c r="AZ402" i="7"/>
  <c r="AZ406" i="7"/>
  <c r="AX394" i="7"/>
  <c r="AV394" i="7"/>
  <c r="AT394" i="7"/>
  <c r="AL394" i="7"/>
  <c r="AL398" i="7"/>
  <c r="AL402" i="7"/>
  <c r="AL406" i="7"/>
  <c r="AJ394" i="7"/>
  <c r="AH394" i="7"/>
  <c r="AF394" i="7"/>
  <c r="X394" i="7"/>
  <c r="X398" i="7"/>
  <c r="X402" i="7"/>
  <c r="X406" i="7"/>
  <c r="V394" i="7"/>
  <c r="T394" i="7"/>
  <c r="R394" i="7"/>
  <c r="Y394" i="7"/>
  <c r="F394" i="7"/>
  <c r="D394" i="7"/>
  <c r="AZ393" i="7"/>
  <c r="AZ397" i="7"/>
  <c r="AZ401" i="7"/>
  <c r="AZ405" i="7"/>
  <c r="AX393" i="7"/>
  <c r="AV393" i="7"/>
  <c r="AT393" i="7"/>
  <c r="AR393" i="7"/>
  <c r="AL393" i="7"/>
  <c r="AL397" i="7"/>
  <c r="AL401" i="7"/>
  <c r="AL405" i="7"/>
  <c r="AJ393" i="7"/>
  <c r="AH393" i="7"/>
  <c r="AD393" i="7"/>
  <c r="X393" i="7"/>
  <c r="V393" i="7"/>
  <c r="T393" i="7"/>
  <c r="R393" i="7"/>
  <c r="Y393" i="7"/>
  <c r="Z393" i="7"/>
  <c r="AA393" i="7"/>
  <c r="P393" i="7"/>
  <c r="H393" i="7"/>
  <c r="F393" i="7"/>
  <c r="D393" i="7"/>
  <c r="AN392" i="7"/>
  <c r="AO392" i="7"/>
  <c r="J392" i="7"/>
  <c r="J396" i="7"/>
  <c r="J400" i="7"/>
  <c r="J404" i="7"/>
  <c r="J408" i="7"/>
  <c r="L391" i="7"/>
  <c r="M391" i="7"/>
  <c r="AR389" i="7"/>
  <c r="AN389" i="7"/>
  <c r="AO389" i="7"/>
  <c r="AD389" i="7"/>
  <c r="P389" i="7"/>
  <c r="K389" i="7"/>
  <c r="K393" i="7"/>
  <c r="J389" i="7"/>
  <c r="J393" i="7"/>
  <c r="J397" i="7"/>
  <c r="J401" i="7"/>
  <c r="J405" i="7"/>
  <c r="B389" i="7"/>
  <c r="AZ388" i="7"/>
  <c r="AX388" i="7"/>
  <c r="AV388" i="7"/>
  <c r="AT388" i="7"/>
  <c r="AL388" i="7"/>
  <c r="AJ388" i="7"/>
  <c r="AH388" i="7"/>
  <c r="AF388" i="7"/>
  <c r="AF380" i="7"/>
  <c r="AM380" i="7"/>
  <c r="AM384" i="7"/>
  <c r="X388" i="7"/>
  <c r="V388" i="7"/>
  <c r="Z388" i="7"/>
  <c r="T388" i="7"/>
  <c r="R388" i="7"/>
  <c r="Y388" i="7"/>
  <c r="H388" i="7"/>
  <c r="F388" i="7"/>
  <c r="D388" i="7"/>
  <c r="AZ387" i="7"/>
  <c r="AX387" i="7"/>
  <c r="AV387" i="7"/>
  <c r="AL387" i="7"/>
  <c r="AJ387" i="7"/>
  <c r="AH387" i="7"/>
  <c r="AF387" i="7"/>
  <c r="X387" i="7"/>
  <c r="V387" i="7"/>
  <c r="T387" i="7"/>
  <c r="R387" i="7"/>
  <c r="J387" i="7"/>
  <c r="H387" i="7"/>
  <c r="F387" i="7"/>
  <c r="D387" i="7"/>
  <c r="K387" i="7"/>
  <c r="L387" i="7"/>
  <c r="M387" i="7"/>
  <c r="AZ386" i="7"/>
  <c r="AX386" i="7"/>
  <c r="AV386" i="7"/>
  <c r="AT386" i="7"/>
  <c r="AL386" i="7"/>
  <c r="AJ386" i="7"/>
  <c r="AH386" i="7"/>
  <c r="AF386" i="7"/>
  <c r="X386" i="7"/>
  <c r="V386" i="7"/>
  <c r="T386" i="7"/>
  <c r="R386" i="7"/>
  <c r="J386" i="7"/>
  <c r="J390" i="7"/>
  <c r="J394" i="7"/>
  <c r="J398" i="7"/>
  <c r="J402" i="7"/>
  <c r="J406" i="7"/>
  <c r="F386" i="7"/>
  <c r="D386" i="7"/>
  <c r="K386" i="7"/>
  <c r="AZ385" i="7"/>
  <c r="AX385" i="7"/>
  <c r="AV385" i="7"/>
  <c r="AT385" i="7"/>
  <c r="AR385" i="7"/>
  <c r="AJ385" i="7"/>
  <c r="AH385" i="7"/>
  <c r="AD385" i="7"/>
  <c r="X385" i="7"/>
  <c r="V385" i="7"/>
  <c r="T385" i="7"/>
  <c r="R385" i="7"/>
  <c r="Y385" i="7"/>
  <c r="Z385" i="7"/>
  <c r="AA385" i="7"/>
  <c r="P385" i="7"/>
  <c r="H385" i="7"/>
  <c r="F385" i="7"/>
  <c r="D385" i="7"/>
  <c r="AD381" i="7"/>
  <c r="P381" i="7"/>
  <c r="B381" i="7"/>
  <c r="BB380" i="7"/>
  <c r="AZ380" i="7"/>
  <c r="AX380" i="7"/>
  <c r="BC380" i="7"/>
  <c r="AV380" i="7"/>
  <c r="AT380" i="7"/>
  <c r="BA380" i="7"/>
  <c r="BA384" i="7"/>
  <c r="AL380" i="7"/>
  <c r="AJ380" i="7"/>
  <c r="AH380" i="7"/>
  <c r="X380" i="7"/>
  <c r="V380" i="7"/>
  <c r="T380" i="7"/>
  <c r="R380" i="7"/>
  <c r="Y380" i="7"/>
  <c r="J380" i="7"/>
  <c r="H380" i="7"/>
  <c r="F380" i="7"/>
  <c r="D380" i="7"/>
  <c r="BB379" i="7"/>
  <c r="AZ379" i="7"/>
  <c r="AX379" i="7"/>
  <c r="AV379" i="7"/>
  <c r="BA379" i="7"/>
  <c r="BA383" i="7"/>
  <c r="BA387" i="7"/>
  <c r="BA391" i="7"/>
  <c r="AL379" i="7"/>
  <c r="AJ379" i="7"/>
  <c r="AF379" i="7"/>
  <c r="AM379" i="7"/>
  <c r="AN379" i="7"/>
  <c r="AO379" i="7"/>
  <c r="AH379" i="7"/>
  <c r="X379" i="7"/>
  <c r="V379" i="7"/>
  <c r="T379" i="7"/>
  <c r="R379" i="7"/>
  <c r="J379" i="7"/>
  <c r="H379" i="7"/>
  <c r="F379" i="7"/>
  <c r="D379" i="7"/>
  <c r="K379" i="7"/>
  <c r="BB378" i="7"/>
  <c r="AZ378" i="7"/>
  <c r="AX378" i="7"/>
  <c r="AV378" i="7"/>
  <c r="AT378" i="7"/>
  <c r="AL378" i="7"/>
  <c r="AJ378" i="7"/>
  <c r="AH378" i="7"/>
  <c r="AF378" i="7"/>
  <c r="AM378" i="7"/>
  <c r="AM382" i="7"/>
  <c r="X378" i="7"/>
  <c r="V378" i="7"/>
  <c r="T378" i="7"/>
  <c r="R378" i="7"/>
  <c r="J378" i="7"/>
  <c r="F378" i="7"/>
  <c r="D378" i="7"/>
  <c r="K378" i="7"/>
  <c r="L378" i="7"/>
  <c r="BB377" i="7"/>
  <c r="AZ377" i="7"/>
  <c r="AX377" i="7"/>
  <c r="AV377" i="7"/>
  <c r="AT377" i="7"/>
  <c r="BA377" i="7"/>
  <c r="AR377" i="7"/>
  <c r="AL377" i="7"/>
  <c r="AJ377" i="7"/>
  <c r="AH377" i="7"/>
  <c r="AM377" i="7"/>
  <c r="AN377" i="7"/>
  <c r="AM381" i="7"/>
  <c r="AD377" i="7"/>
  <c r="X377" i="7"/>
  <c r="V377" i="7"/>
  <c r="T377" i="7"/>
  <c r="R377" i="7"/>
  <c r="P377" i="7"/>
  <c r="J377" i="7"/>
  <c r="H377" i="7"/>
  <c r="F377" i="7"/>
  <c r="D377" i="7"/>
  <c r="BA364" i="7"/>
  <c r="AZ364" i="7"/>
  <c r="AM364" i="7"/>
  <c r="AL364" i="7"/>
  <c r="Y364" i="7"/>
  <c r="X364" i="7"/>
  <c r="K364" i="7"/>
  <c r="J364" i="7"/>
  <c r="BA363" i="7"/>
  <c r="AZ363" i="7"/>
  <c r="AM363" i="7"/>
  <c r="AL363" i="7"/>
  <c r="Y363" i="7"/>
  <c r="X363" i="7"/>
  <c r="K363" i="7"/>
  <c r="J363" i="7"/>
  <c r="BA362" i="7"/>
  <c r="AZ362" i="7"/>
  <c r="AM362" i="7"/>
  <c r="AL362" i="7"/>
  <c r="Y362" i="7"/>
  <c r="X362" i="7"/>
  <c r="K362" i="7"/>
  <c r="J362" i="7"/>
  <c r="BA361" i="7"/>
  <c r="AZ361" i="7"/>
  <c r="AM361" i="7"/>
  <c r="AL361" i="7"/>
  <c r="Y361" i="7"/>
  <c r="X361" i="7"/>
  <c r="K361" i="7"/>
  <c r="J361" i="7"/>
  <c r="A360" i="7"/>
  <c r="BB354" i="7"/>
  <c r="AZ354" i="7"/>
  <c r="AX354" i="7"/>
  <c r="BC354" i="7"/>
  <c r="AV354" i="7"/>
  <c r="BA354" i="7"/>
  <c r="AN354" i="7"/>
  <c r="AL354" i="7"/>
  <c r="AJ354" i="7"/>
  <c r="AO354" i="7"/>
  <c r="AH354" i="7"/>
  <c r="Z354" i="7"/>
  <c r="X354" i="7"/>
  <c r="V354" i="7"/>
  <c r="AA354" i="7"/>
  <c r="T354" i="7"/>
  <c r="Y354" i="7"/>
  <c r="L354" i="7"/>
  <c r="J354" i="7"/>
  <c r="H354" i="7"/>
  <c r="M354" i="7"/>
  <c r="F354" i="7"/>
  <c r="K354" i="7"/>
  <c r="BB353" i="7"/>
  <c r="AZ353" i="7"/>
  <c r="AX353" i="7"/>
  <c r="BC353" i="7"/>
  <c r="AV353" i="7"/>
  <c r="BA353" i="7"/>
  <c r="AN353" i="7"/>
  <c r="AL353" i="7"/>
  <c r="AJ353" i="7"/>
  <c r="AO353" i="7"/>
  <c r="AH353" i="7"/>
  <c r="AM353" i="7"/>
  <c r="Z353" i="7"/>
  <c r="X353" i="7"/>
  <c r="V353" i="7"/>
  <c r="AA353" i="7"/>
  <c r="T353" i="7"/>
  <c r="Y353" i="7"/>
  <c r="L353" i="7"/>
  <c r="J353" i="7"/>
  <c r="H353" i="7"/>
  <c r="M353" i="7"/>
  <c r="F353" i="7"/>
  <c r="K353" i="7"/>
  <c r="BB352" i="7"/>
  <c r="AZ352" i="7"/>
  <c r="AX352" i="7"/>
  <c r="BC352" i="7"/>
  <c r="AV352" i="7"/>
  <c r="BA352" i="7"/>
  <c r="AN352" i="7"/>
  <c r="AL352" i="7"/>
  <c r="AJ352" i="7"/>
  <c r="AO352" i="7"/>
  <c r="AH352" i="7"/>
  <c r="Z352" i="7"/>
  <c r="X352" i="7"/>
  <c r="V352" i="7"/>
  <c r="AA352" i="7"/>
  <c r="T352" i="7"/>
  <c r="Y352" i="7"/>
  <c r="L352" i="7"/>
  <c r="J352" i="7"/>
  <c r="H352" i="7"/>
  <c r="M352" i="7"/>
  <c r="F352" i="7"/>
  <c r="BB351" i="7"/>
  <c r="AZ351" i="7"/>
  <c r="AX351" i="7"/>
  <c r="BC351" i="7"/>
  <c r="AV351" i="7"/>
  <c r="BA351" i="7"/>
  <c r="AR351" i="7"/>
  <c r="AN351" i="7"/>
  <c r="AL351" i="7"/>
  <c r="AJ351" i="7"/>
  <c r="AO351" i="7"/>
  <c r="AH351" i="7"/>
  <c r="AM351" i="7"/>
  <c r="AD351" i="7"/>
  <c r="Z351" i="7"/>
  <c r="X351" i="7"/>
  <c r="V351" i="7"/>
  <c r="AA351" i="7"/>
  <c r="T351" i="7"/>
  <c r="Y351" i="7"/>
  <c r="P351" i="7"/>
  <c r="L351" i="7"/>
  <c r="J351" i="7"/>
  <c r="H351" i="7"/>
  <c r="M351" i="7"/>
  <c r="F351" i="7"/>
  <c r="BB350" i="7"/>
  <c r="AZ350" i="7"/>
  <c r="AX350" i="7"/>
  <c r="BC350" i="7"/>
  <c r="AV350" i="7"/>
  <c r="AN350" i="7"/>
  <c r="AL350" i="7"/>
  <c r="AJ350" i="7"/>
  <c r="AO350" i="7"/>
  <c r="AH350" i="7"/>
  <c r="AM350" i="7"/>
  <c r="Z350" i="7"/>
  <c r="X350" i="7"/>
  <c r="V350" i="7"/>
  <c r="AA350" i="7"/>
  <c r="T350" i="7"/>
  <c r="Y350" i="7"/>
  <c r="M350" i="7"/>
  <c r="L350" i="7"/>
  <c r="J350" i="7"/>
  <c r="F350" i="7"/>
  <c r="BB349" i="7"/>
  <c r="AZ349" i="7"/>
  <c r="AX349" i="7"/>
  <c r="BC349" i="7"/>
  <c r="AV349" i="7"/>
  <c r="BA349" i="7"/>
  <c r="AN349" i="7"/>
  <c r="AL349" i="7"/>
  <c r="AJ349" i="7"/>
  <c r="AO349" i="7"/>
  <c r="AH349" i="7"/>
  <c r="AM349" i="7"/>
  <c r="Z349" i="7"/>
  <c r="X349" i="7"/>
  <c r="V349" i="7"/>
  <c r="AA349" i="7"/>
  <c r="T349" i="7"/>
  <c r="Y349" i="7"/>
  <c r="L349" i="7"/>
  <c r="J349" i="7"/>
  <c r="H349" i="7"/>
  <c r="M349" i="7"/>
  <c r="F349" i="7"/>
  <c r="K349" i="7"/>
  <c r="BB348" i="7"/>
  <c r="AZ348" i="7"/>
  <c r="AX348" i="7"/>
  <c r="BC348" i="7"/>
  <c r="AV348" i="7"/>
  <c r="AN348" i="7"/>
  <c r="AL348" i="7"/>
  <c r="AJ348" i="7"/>
  <c r="AO348" i="7"/>
  <c r="AH348" i="7"/>
  <c r="AM348" i="7"/>
  <c r="Z348" i="7"/>
  <c r="X348" i="7"/>
  <c r="V348" i="7"/>
  <c r="V362" i="7"/>
  <c r="AA348" i="7"/>
  <c r="T348" i="7"/>
  <c r="Y348" i="7"/>
  <c r="L348" i="7"/>
  <c r="J348" i="7"/>
  <c r="H348" i="7"/>
  <c r="M348" i="7"/>
  <c r="F348" i="7"/>
  <c r="K348" i="7"/>
  <c r="BB347" i="7"/>
  <c r="AZ347" i="7"/>
  <c r="AX347" i="7"/>
  <c r="BC347" i="7"/>
  <c r="AV347" i="7"/>
  <c r="BA347" i="7"/>
  <c r="AR347" i="7"/>
  <c r="AN347" i="7"/>
  <c r="AL347" i="7"/>
  <c r="AJ347" i="7"/>
  <c r="AO347" i="7"/>
  <c r="AH347" i="7"/>
  <c r="AM347" i="7"/>
  <c r="AD347" i="7"/>
  <c r="Z347" i="7"/>
  <c r="X347" i="7"/>
  <c r="V347" i="7"/>
  <c r="AA347" i="7"/>
  <c r="T347" i="7"/>
  <c r="P347" i="7"/>
  <c r="L347" i="7"/>
  <c r="J347" i="7"/>
  <c r="H347" i="7"/>
  <c r="M347" i="7"/>
  <c r="F347" i="7"/>
  <c r="BB346" i="7"/>
  <c r="AZ346" i="7"/>
  <c r="AX346" i="7"/>
  <c r="BC346" i="7"/>
  <c r="AV346" i="7"/>
  <c r="BA346" i="7"/>
  <c r="AN346" i="7"/>
  <c r="AL346" i="7"/>
  <c r="AJ346" i="7"/>
  <c r="AO346" i="7"/>
  <c r="AH346" i="7"/>
  <c r="AM346" i="7"/>
  <c r="Z346" i="7"/>
  <c r="X346" i="7"/>
  <c r="V346" i="7"/>
  <c r="AA346" i="7"/>
  <c r="T346" i="7"/>
  <c r="L346" i="7"/>
  <c r="J346" i="7"/>
  <c r="H346" i="7"/>
  <c r="M346" i="7"/>
  <c r="F346" i="7"/>
  <c r="K346" i="7"/>
  <c r="BB345" i="7"/>
  <c r="AZ345" i="7"/>
  <c r="AX345" i="7"/>
  <c r="BC345" i="7"/>
  <c r="AV345" i="7"/>
  <c r="BA345" i="7"/>
  <c r="AN345" i="7"/>
  <c r="AL345" i="7"/>
  <c r="AJ345" i="7"/>
  <c r="AO345" i="7"/>
  <c r="AH345" i="7"/>
  <c r="AM345" i="7"/>
  <c r="Z345" i="7"/>
  <c r="X345" i="7"/>
  <c r="V345" i="7"/>
  <c r="AA345" i="7"/>
  <c r="T345" i="7"/>
  <c r="Y345" i="7"/>
  <c r="L345" i="7"/>
  <c r="J345" i="7"/>
  <c r="H345" i="7"/>
  <c r="M345" i="7"/>
  <c r="F345" i="7"/>
  <c r="K345" i="7"/>
  <c r="BB344" i="7"/>
  <c r="AZ344" i="7"/>
  <c r="AX344" i="7"/>
  <c r="BC344" i="7"/>
  <c r="AV344" i="7"/>
  <c r="BA344" i="7"/>
  <c r="AN344" i="7"/>
  <c r="AL344" i="7"/>
  <c r="AJ344" i="7"/>
  <c r="AO344" i="7"/>
  <c r="AH344" i="7"/>
  <c r="AM344" i="7"/>
  <c r="Z344" i="7"/>
  <c r="X344" i="7"/>
  <c r="V344" i="7"/>
  <c r="AA344" i="7"/>
  <c r="T344" i="7"/>
  <c r="L344" i="7"/>
  <c r="J344" i="7"/>
  <c r="H344" i="7"/>
  <c r="M344" i="7"/>
  <c r="F344" i="7"/>
  <c r="K344" i="7"/>
  <c r="BB343" i="7"/>
  <c r="AZ343" i="7"/>
  <c r="AX343" i="7"/>
  <c r="BC343" i="7"/>
  <c r="AV343" i="7"/>
  <c r="BA343" i="7"/>
  <c r="AR343" i="7"/>
  <c r="AN343" i="7"/>
  <c r="AL343" i="7"/>
  <c r="AJ343" i="7"/>
  <c r="AO343" i="7"/>
  <c r="AH343" i="7"/>
  <c r="AM343" i="7"/>
  <c r="AD343" i="7"/>
  <c r="Z343" i="7"/>
  <c r="X343" i="7"/>
  <c r="V343" i="7"/>
  <c r="AA343" i="7"/>
  <c r="T343" i="7"/>
  <c r="Y343" i="7"/>
  <c r="P343" i="7"/>
  <c r="L343" i="7"/>
  <c r="J343" i="7"/>
  <c r="H343" i="7"/>
  <c r="M343" i="7"/>
  <c r="F343" i="7"/>
  <c r="AX338" i="7"/>
  <c r="AV338" i="7"/>
  <c r="AJ338" i="7"/>
  <c r="AH338" i="7"/>
  <c r="V338" i="7"/>
  <c r="T338" i="7"/>
  <c r="H338" i="7"/>
  <c r="F338" i="7"/>
  <c r="AZ337" i="7"/>
  <c r="AX337" i="7"/>
  <c r="AV337" i="7"/>
  <c r="AJ337" i="7"/>
  <c r="AH337" i="7"/>
  <c r="V337" i="7"/>
  <c r="T337" i="7"/>
  <c r="H337" i="7"/>
  <c r="F337" i="7"/>
  <c r="AZ336" i="7"/>
  <c r="AX336" i="7"/>
  <c r="AV336" i="7"/>
  <c r="AJ336" i="7"/>
  <c r="AH336" i="7"/>
  <c r="V336" i="7"/>
  <c r="T336" i="7"/>
  <c r="H336" i="7"/>
  <c r="F336" i="7"/>
  <c r="AX335" i="7"/>
  <c r="AV335" i="7"/>
  <c r="AR335" i="7"/>
  <c r="AJ335" i="7"/>
  <c r="AH335" i="7"/>
  <c r="AD335" i="7"/>
  <c r="V335" i="7"/>
  <c r="T335" i="7"/>
  <c r="P335" i="7"/>
  <c r="H335" i="7"/>
  <c r="F335" i="7"/>
  <c r="AX334" i="7"/>
  <c r="AV334" i="7"/>
  <c r="AJ334" i="7"/>
  <c r="AH334" i="7"/>
  <c r="V334" i="7"/>
  <c r="T334" i="7"/>
  <c r="H334" i="7"/>
  <c r="F334" i="7"/>
  <c r="AX333" i="7"/>
  <c r="AV333" i="7"/>
  <c r="AJ333" i="7"/>
  <c r="AH333" i="7"/>
  <c r="V333" i="7"/>
  <c r="T333" i="7"/>
  <c r="H333" i="7"/>
  <c r="F333" i="7"/>
  <c r="AX332" i="7"/>
  <c r="AV332" i="7"/>
  <c r="AJ332" i="7"/>
  <c r="AH332" i="7"/>
  <c r="V332" i="7"/>
  <c r="T332" i="7"/>
  <c r="H332" i="7"/>
  <c r="F332" i="7"/>
  <c r="AX331" i="7"/>
  <c r="AV331" i="7"/>
  <c r="AR331" i="7"/>
  <c r="AJ331" i="7"/>
  <c r="AH331" i="7"/>
  <c r="AD331" i="7"/>
  <c r="V331" i="7"/>
  <c r="T331" i="7"/>
  <c r="P331" i="7"/>
  <c r="H331" i="7"/>
  <c r="F331" i="7"/>
  <c r="AX330" i="7"/>
  <c r="AV330" i="7"/>
  <c r="AJ330" i="7"/>
  <c r="AH330" i="7"/>
  <c r="V330" i="7"/>
  <c r="T330" i="7"/>
  <c r="H330" i="7"/>
  <c r="F330" i="7"/>
  <c r="AX329" i="7"/>
  <c r="AV329" i="7"/>
  <c r="AJ329" i="7"/>
  <c r="AH329" i="7"/>
  <c r="V329" i="7"/>
  <c r="T329" i="7"/>
  <c r="H329" i="7"/>
  <c r="F329" i="7"/>
  <c r="AX328" i="7"/>
  <c r="AV328" i="7"/>
  <c r="AJ328" i="7"/>
  <c r="AH328" i="7"/>
  <c r="V328" i="7"/>
  <c r="T328" i="7"/>
  <c r="H328" i="7"/>
  <c r="F328" i="7"/>
  <c r="AX327" i="7"/>
  <c r="AV327" i="7"/>
  <c r="AR327" i="7"/>
  <c r="AJ327" i="7"/>
  <c r="AH327" i="7"/>
  <c r="AD327" i="7"/>
  <c r="V327" i="7"/>
  <c r="T327" i="7"/>
  <c r="P327" i="7"/>
  <c r="H327" i="7"/>
  <c r="F327" i="7"/>
  <c r="AX326" i="7"/>
  <c r="AV326" i="7"/>
  <c r="AJ326" i="7"/>
  <c r="AH326" i="7"/>
  <c r="X326" i="7"/>
  <c r="X330" i="7"/>
  <c r="X334" i="7"/>
  <c r="X338" i="7"/>
  <c r="V326" i="7"/>
  <c r="T326" i="7"/>
  <c r="H326" i="7"/>
  <c r="F326" i="7"/>
  <c r="AX325" i="7"/>
  <c r="AV325" i="7"/>
  <c r="AJ325" i="7"/>
  <c r="AH325" i="7"/>
  <c r="V325" i="7"/>
  <c r="T325" i="7"/>
  <c r="H325" i="7"/>
  <c r="F325" i="7"/>
  <c r="AX324" i="7"/>
  <c r="AV324" i="7"/>
  <c r="AJ324" i="7"/>
  <c r="AH324" i="7"/>
  <c r="V324" i="7"/>
  <c r="T324" i="7"/>
  <c r="H324" i="7"/>
  <c r="F324" i="7"/>
  <c r="AX323" i="7"/>
  <c r="AV323" i="7"/>
  <c r="AR323" i="7"/>
  <c r="AL323" i="7"/>
  <c r="AL327" i="7"/>
  <c r="AL331" i="7"/>
  <c r="AL335" i="7"/>
  <c r="AJ323" i="7"/>
  <c r="AH323" i="7"/>
  <c r="AD323" i="7"/>
  <c r="V323" i="7"/>
  <c r="T323" i="7"/>
  <c r="P323" i="7"/>
  <c r="J323" i="7"/>
  <c r="J327" i="7"/>
  <c r="J331" i="7"/>
  <c r="J335" i="7"/>
  <c r="H323" i="7"/>
  <c r="F323" i="7"/>
  <c r="AZ322" i="7"/>
  <c r="AZ326" i="7"/>
  <c r="AZ330" i="7"/>
  <c r="AZ334" i="7"/>
  <c r="AZ338" i="7"/>
  <c r="AX322" i="7"/>
  <c r="AV322" i="7"/>
  <c r="AJ322" i="7"/>
  <c r="AH322" i="7"/>
  <c r="V322" i="7"/>
  <c r="T322" i="7"/>
  <c r="H322" i="7"/>
  <c r="F322" i="7"/>
  <c r="AX321" i="7"/>
  <c r="AV321" i="7"/>
  <c r="AJ321" i="7"/>
  <c r="AH321" i="7"/>
  <c r="V321" i="7"/>
  <c r="T321" i="7"/>
  <c r="H321" i="7"/>
  <c r="F321" i="7"/>
  <c r="AX320" i="7"/>
  <c r="AV320" i="7"/>
  <c r="AJ320" i="7"/>
  <c r="AH320" i="7"/>
  <c r="V320" i="7"/>
  <c r="T320" i="7"/>
  <c r="H320" i="7"/>
  <c r="F320" i="7"/>
  <c r="AX319" i="7"/>
  <c r="AV319" i="7"/>
  <c r="AR319" i="7"/>
  <c r="AJ319" i="7"/>
  <c r="AH319" i="7"/>
  <c r="AD319" i="7"/>
  <c r="V319" i="7"/>
  <c r="T319" i="7"/>
  <c r="P319" i="7"/>
  <c r="H319" i="7"/>
  <c r="F319" i="7"/>
  <c r="AX318" i="7"/>
  <c r="AV318" i="7"/>
  <c r="AJ318" i="7"/>
  <c r="AH318" i="7"/>
  <c r="V318" i="7"/>
  <c r="T318" i="7"/>
  <c r="H318" i="7"/>
  <c r="F318" i="7"/>
  <c r="AX317" i="7"/>
  <c r="AV317" i="7"/>
  <c r="AJ317" i="7"/>
  <c r="AH317" i="7"/>
  <c r="V317" i="7"/>
  <c r="T317" i="7"/>
  <c r="H317" i="7"/>
  <c r="F317" i="7"/>
  <c r="AX316" i="7"/>
  <c r="AV316" i="7"/>
  <c r="AJ316" i="7"/>
  <c r="AH316" i="7"/>
  <c r="V316" i="7"/>
  <c r="T316" i="7"/>
  <c r="H316" i="7"/>
  <c r="F316" i="7"/>
  <c r="AX315" i="7"/>
  <c r="AV315" i="7"/>
  <c r="AR315" i="7"/>
  <c r="AJ315" i="7"/>
  <c r="AH315" i="7"/>
  <c r="AD315" i="7"/>
  <c r="V315" i="7"/>
  <c r="T315" i="7"/>
  <c r="P315" i="7"/>
  <c r="H315" i="7"/>
  <c r="F315" i="7"/>
  <c r="AX314" i="7"/>
  <c r="AV314" i="7"/>
  <c r="AJ314" i="7"/>
  <c r="AH314" i="7"/>
  <c r="V314" i="7"/>
  <c r="T314" i="7"/>
  <c r="H314" i="7"/>
  <c r="F314" i="7"/>
  <c r="AX313" i="7"/>
  <c r="AV313" i="7"/>
  <c r="AL313" i="7"/>
  <c r="AL317" i="7"/>
  <c r="AL321" i="7"/>
  <c r="AL325" i="7"/>
  <c r="AL329" i="7"/>
  <c r="AL333" i="7"/>
  <c r="AL337" i="7"/>
  <c r="AJ313" i="7"/>
  <c r="AH313" i="7"/>
  <c r="V313" i="7"/>
  <c r="T313" i="7"/>
  <c r="H313" i="7"/>
  <c r="F313" i="7"/>
  <c r="AX312" i="7"/>
  <c r="AV312" i="7"/>
  <c r="AJ312" i="7"/>
  <c r="AH312" i="7"/>
  <c r="V312" i="7"/>
  <c r="T312" i="7"/>
  <c r="H312" i="7"/>
  <c r="F312" i="7"/>
  <c r="AX311" i="7"/>
  <c r="AV311" i="7"/>
  <c r="AR311" i="7"/>
  <c r="AJ311" i="7"/>
  <c r="AH311" i="7"/>
  <c r="AD311" i="7"/>
  <c r="V311" i="7"/>
  <c r="T311" i="7"/>
  <c r="P311" i="7"/>
  <c r="H311" i="7"/>
  <c r="F311" i="7"/>
  <c r="AX310" i="7"/>
  <c r="AV310" i="7"/>
  <c r="AJ310" i="7"/>
  <c r="AH310" i="7"/>
  <c r="V310" i="7"/>
  <c r="T310" i="7"/>
  <c r="H310" i="7"/>
  <c r="F310" i="7"/>
  <c r="AX309" i="7"/>
  <c r="AV309" i="7"/>
  <c r="AJ309" i="7"/>
  <c r="AH309" i="7"/>
  <c r="V309" i="7"/>
  <c r="T309" i="7"/>
  <c r="H309" i="7"/>
  <c r="F309" i="7"/>
  <c r="AX308" i="7"/>
  <c r="BB308" i="7"/>
  <c r="AV308" i="7"/>
  <c r="AJ308" i="7"/>
  <c r="AH308" i="7"/>
  <c r="V308" i="7"/>
  <c r="T308" i="7"/>
  <c r="H308" i="7"/>
  <c r="F308" i="7"/>
  <c r="AX307" i="7"/>
  <c r="BB307" i="7"/>
  <c r="BC307" i="7"/>
  <c r="AV307" i="7"/>
  <c r="AR307" i="7"/>
  <c r="AJ307" i="7"/>
  <c r="AM303" i="7"/>
  <c r="AM307" i="7"/>
  <c r="AH307" i="7"/>
  <c r="AD307" i="7"/>
  <c r="V307" i="7"/>
  <c r="T307" i="7"/>
  <c r="P307" i="7"/>
  <c r="H307" i="7"/>
  <c r="F307" i="7"/>
  <c r="AZ306" i="7"/>
  <c r="AZ310" i="7"/>
  <c r="AZ314" i="7"/>
  <c r="AX306" i="7"/>
  <c r="AX364" i="7"/>
  <c r="AV306" i="7"/>
  <c r="BA306" i="7"/>
  <c r="AL306" i="7"/>
  <c r="AL310" i="7"/>
  <c r="AL314" i="7"/>
  <c r="AL318" i="7"/>
  <c r="AL322" i="7"/>
  <c r="AL326" i="7"/>
  <c r="AL330" i="7"/>
  <c r="AL334" i="7"/>
  <c r="AL338" i="7"/>
  <c r="AJ306" i="7"/>
  <c r="AH306" i="7"/>
  <c r="AM306" i="7"/>
  <c r="X306" i="7"/>
  <c r="X310" i="7"/>
  <c r="X314" i="7"/>
  <c r="X318" i="7"/>
  <c r="V306" i="7"/>
  <c r="T306" i="7"/>
  <c r="Y306" i="7"/>
  <c r="J306" i="7"/>
  <c r="J310" i="7"/>
  <c r="J314" i="7"/>
  <c r="J318" i="7"/>
  <c r="J322" i="7"/>
  <c r="J326" i="7"/>
  <c r="J330" i="7"/>
  <c r="J334" i="7"/>
  <c r="J338" i="7"/>
  <c r="H306" i="7"/>
  <c r="H364" i="7"/>
  <c r="G364" i="7"/>
  <c r="F306" i="7"/>
  <c r="AZ305" i="7"/>
  <c r="AZ309" i="7"/>
  <c r="AZ313" i="7"/>
  <c r="AZ317" i="7"/>
  <c r="AZ321" i="7"/>
  <c r="AZ325" i="7"/>
  <c r="AZ329" i="7"/>
  <c r="AX305" i="7"/>
  <c r="AV305" i="7"/>
  <c r="AL305" i="7"/>
  <c r="AJ305" i="7"/>
  <c r="AH305" i="7"/>
  <c r="X305" i="7"/>
  <c r="X309" i="7"/>
  <c r="X313" i="7"/>
  <c r="X317" i="7"/>
  <c r="X321" i="7"/>
  <c r="X325" i="7"/>
  <c r="X329" i="7"/>
  <c r="X333" i="7"/>
  <c r="X337" i="7"/>
  <c r="V305" i="7"/>
  <c r="T305" i="7"/>
  <c r="J305" i="7"/>
  <c r="J309" i="7"/>
  <c r="J313" i="7"/>
  <c r="J317" i="7"/>
  <c r="J321" i="7"/>
  <c r="J325" i="7"/>
  <c r="J329" i="7"/>
  <c r="J333" i="7"/>
  <c r="J337" i="7"/>
  <c r="H305" i="7"/>
  <c r="F305" i="7"/>
  <c r="AZ304" i="7"/>
  <c r="AZ308" i="7"/>
  <c r="AZ312" i="7"/>
  <c r="AZ316" i="7"/>
  <c r="AZ320" i="7"/>
  <c r="AZ324" i="7"/>
  <c r="AZ328" i="7"/>
  <c r="AX304" i="7"/>
  <c r="AV304" i="7"/>
  <c r="BA304" i="7"/>
  <c r="BA308" i="7"/>
  <c r="AL304" i="7"/>
  <c r="AL308" i="7"/>
  <c r="AL312" i="7"/>
  <c r="AL316" i="7"/>
  <c r="AL320" i="7"/>
  <c r="AL324" i="7"/>
  <c r="AL328" i="7"/>
  <c r="AL332" i="7"/>
  <c r="AL336" i="7"/>
  <c r="AJ304" i="7"/>
  <c r="AH304" i="7"/>
  <c r="X304" i="7"/>
  <c r="X308" i="7"/>
  <c r="X312" i="7"/>
  <c r="X316" i="7"/>
  <c r="X320" i="7"/>
  <c r="X324" i="7"/>
  <c r="X328" i="7"/>
  <c r="X332" i="7"/>
  <c r="X336" i="7"/>
  <c r="V304" i="7"/>
  <c r="T304" i="7"/>
  <c r="Y304" i="7"/>
  <c r="J304" i="7"/>
  <c r="J308" i="7"/>
  <c r="J312" i="7"/>
  <c r="J316" i="7"/>
  <c r="J320" i="7"/>
  <c r="J324" i="7"/>
  <c r="J328" i="7"/>
  <c r="J332" i="7"/>
  <c r="J336" i="7"/>
  <c r="H304" i="7"/>
  <c r="F304" i="7"/>
  <c r="K304" i="7"/>
  <c r="AZ303" i="7"/>
  <c r="AZ307" i="7"/>
  <c r="AZ311" i="7"/>
  <c r="AZ315" i="7"/>
  <c r="AZ319" i="7"/>
  <c r="AZ323" i="7"/>
  <c r="AZ327" i="7"/>
  <c r="AZ331" i="7"/>
  <c r="AZ335" i="7"/>
  <c r="AX303" i="7"/>
  <c r="AV303" i="7"/>
  <c r="BA303" i="7"/>
  <c r="AR303" i="7"/>
  <c r="AL303" i="7"/>
  <c r="AL307" i="7"/>
  <c r="AL311" i="7"/>
  <c r="AJ303" i="7"/>
  <c r="AH303" i="7"/>
  <c r="AD303" i="7"/>
  <c r="X303" i="7"/>
  <c r="X307" i="7"/>
  <c r="X311" i="7"/>
  <c r="X315" i="7"/>
  <c r="X319" i="7"/>
  <c r="X323" i="7"/>
  <c r="X327" i="7"/>
  <c r="X331" i="7"/>
  <c r="X335" i="7"/>
  <c r="V303" i="7"/>
  <c r="T303" i="7"/>
  <c r="Y303" i="7"/>
  <c r="P303" i="7"/>
  <c r="J303" i="7"/>
  <c r="J307" i="7"/>
  <c r="J311" i="7"/>
  <c r="J315" i="7"/>
  <c r="H303" i="7"/>
  <c r="F303" i="7"/>
  <c r="K303" i="7"/>
  <c r="BA290" i="7"/>
  <c r="AZ290" i="7"/>
  <c r="AM290" i="7"/>
  <c r="AL290" i="7"/>
  <c r="Y290" i="7"/>
  <c r="X290" i="7"/>
  <c r="K290" i="7"/>
  <c r="J290" i="7"/>
  <c r="BA289" i="7"/>
  <c r="AZ289" i="7"/>
  <c r="AM289" i="7"/>
  <c r="AL289" i="7"/>
  <c r="Y289" i="7"/>
  <c r="X289" i="7"/>
  <c r="K289" i="7"/>
  <c r="J289" i="7"/>
  <c r="BA288" i="7"/>
  <c r="AZ288" i="7"/>
  <c r="AM288" i="7"/>
  <c r="AL288" i="7"/>
  <c r="Y288" i="7"/>
  <c r="X288" i="7"/>
  <c r="K288" i="7"/>
  <c r="J288" i="7"/>
  <c r="BA287" i="7"/>
  <c r="AZ287" i="7"/>
  <c r="AM287" i="7"/>
  <c r="AL287" i="7"/>
  <c r="Y287" i="7"/>
  <c r="X287" i="7"/>
  <c r="K287" i="7"/>
  <c r="J287" i="7"/>
  <c r="BB280" i="7"/>
  <c r="AZ280" i="7"/>
  <c r="AX280" i="7"/>
  <c r="BC280" i="7"/>
  <c r="AV280" i="7"/>
  <c r="BA280" i="7"/>
  <c r="AN280" i="7"/>
  <c r="AL280" i="7"/>
  <c r="AJ280" i="7"/>
  <c r="AO280" i="7"/>
  <c r="AH280" i="7"/>
  <c r="AM280" i="7"/>
  <c r="Z280" i="7"/>
  <c r="X280" i="7"/>
  <c r="V280" i="7"/>
  <c r="AA280" i="7"/>
  <c r="T280" i="7"/>
  <c r="L280" i="7"/>
  <c r="J280" i="7"/>
  <c r="H280" i="7"/>
  <c r="M280" i="7"/>
  <c r="F280" i="7"/>
  <c r="K280" i="7"/>
  <c r="BB279" i="7"/>
  <c r="AZ279" i="7"/>
  <c r="AX279" i="7"/>
  <c r="BC279" i="7"/>
  <c r="AV279" i="7"/>
  <c r="BA279" i="7"/>
  <c r="AN279" i="7"/>
  <c r="AL279" i="7"/>
  <c r="AJ279" i="7"/>
  <c r="AO279" i="7"/>
  <c r="AH279" i="7"/>
  <c r="AM279" i="7"/>
  <c r="Z279" i="7"/>
  <c r="X279" i="7"/>
  <c r="V279" i="7"/>
  <c r="AA279" i="7"/>
  <c r="T279" i="7"/>
  <c r="L279" i="7"/>
  <c r="J279" i="7"/>
  <c r="H279" i="7"/>
  <c r="M279" i="7"/>
  <c r="F279" i="7"/>
  <c r="BB278" i="7"/>
  <c r="AZ278" i="7"/>
  <c r="AX278" i="7"/>
  <c r="BC278" i="7"/>
  <c r="AV278" i="7"/>
  <c r="BA278" i="7"/>
  <c r="AN278" i="7"/>
  <c r="AL278" i="7"/>
  <c r="AJ278" i="7"/>
  <c r="AO278" i="7"/>
  <c r="AH278" i="7"/>
  <c r="AM278" i="7"/>
  <c r="Z278" i="7"/>
  <c r="X278" i="7"/>
  <c r="V278" i="7"/>
  <c r="AA278" i="7"/>
  <c r="T278" i="7"/>
  <c r="Y278" i="7"/>
  <c r="L278" i="7"/>
  <c r="J278" i="7"/>
  <c r="H278" i="7"/>
  <c r="M278" i="7"/>
  <c r="F278" i="7"/>
  <c r="K278" i="7"/>
  <c r="CN277" i="7"/>
  <c r="AZ277" i="7"/>
  <c r="AX277" i="7"/>
  <c r="BC277" i="7"/>
  <c r="AV277" i="7"/>
  <c r="BA277" i="7"/>
  <c r="AR277" i="7"/>
  <c r="AN277" i="7"/>
  <c r="AL277" i="7"/>
  <c r="AJ277" i="7"/>
  <c r="AO277" i="7"/>
  <c r="AH277" i="7"/>
  <c r="AM277" i="7"/>
  <c r="AD277" i="7"/>
  <c r="X277" i="7"/>
  <c r="V277" i="7"/>
  <c r="AA277" i="7"/>
  <c r="T277" i="7"/>
  <c r="Y277" i="7"/>
  <c r="P277" i="7"/>
  <c r="J277" i="7"/>
  <c r="H277" i="7"/>
  <c r="M277" i="7"/>
  <c r="F277" i="7"/>
  <c r="K277" i="7"/>
  <c r="CN276" i="7"/>
  <c r="AZ276" i="7"/>
  <c r="AX276" i="7"/>
  <c r="BC276" i="7"/>
  <c r="AV276" i="7"/>
  <c r="BA276" i="7"/>
  <c r="AN276" i="7"/>
  <c r="AL276" i="7"/>
  <c r="AJ276" i="7"/>
  <c r="AO276" i="7"/>
  <c r="AH276" i="7"/>
  <c r="AM276" i="7"/>
  <c r="X276" i="7"/>
  <c r="V276" i="7"/>
  <c r="AA276" i="7"/>
  <c r="T276" i="7"/>
  <c r="Y276" i="7"/>
  <c r="M276" i="7"/>
  <c r="J276" i="7"/>
  <c r="F276" i="7"/>
  <c r="K276" i="7"/>
  <c r="CS275" i="7"/>
  <c r="CN275" i="7"/>
  <c r="AZ275" i="7"/>
  <c r="AX275" i="7"/>
  <c r="BC275" i="7"/>
  <c r="AV275" i="7"/>
  <c r="AN275" i="7"/>
  <c r="AL275" i="7"/>
  <c r="AJ275" i="7"/>
  <c r="AO275" i="7"/>
  <c r="AH275" i="7"/>
  <c r="AM275" i="7"/>
  <c r="X275" i="7"/>
  <c r="V275" i="7"/>
  <c r="AA275" i="7"/>
  <c r="T275" i="7"/>
  <c r="Y275" i="7"/>
  <c r="J275" i="7"/>
  <c r="H275" i="7"/>
  <c r="M275" i="7"/>
  <c r="F275" i="7"/>
  <c r="CS274" i="7"/>
  <c r="CN274" i="7"/>
  <c r="AZ274" i="7"/>
  <c r="AX274" i="7"/>
  <c r="BC274" i="7"/>
  <c r="AV274" i="7"/>
  <c r="BA274" i="7"/>
  <c r="AN274" i="7"/>
  <c r="AL274" i="7"/>
  <c r="AJ274" i="7"/>
  <c r="AO274" i="7"/>
  <c r="AH274" i="7"/>
  <c r="AM274" i="7"/>
  <c r="X274" i="7"/>
  <c r="V274" i="7"/>
  <c r="AA274" i="7"/>
  <c r="V262" i="7"/>
  <c r="V266" i="7"/>
  <c r="AA266" i="7"/>
  <c r="V270" i="7"/>
  <c r="T274" i="7"/>
  <c r="Y274" i="7"/>
  <c r="J274" i="7"/>
  <c r="H274" i="7"/>
  <c r="M274" i="7"/>
  <c r="F274" i="7"/>
  <c r="K274" i="7"/>
  <c r="AZ273" i="7"/>
  <c r="AX273" i="7"/>
  <c r="BC273" i="7"/>
  <c r="AV273" i="7"/>
  <c r="BA273" i="7"/>
  <c r="AR273" i="7"/>
  <c r="AN273" i="7"/>
  <c r="AL273" i="7"/>
  <c r="AJ273" i="7"/>
  <c r="AO273" i="7"/>
  <c r="AH273" i="7"/>
  <c r="AM273" i="7"/>
  <c r="AD273" i="7"/>
  <c r="X273" i="7"/>
  <c r="V273" i="7"/>
  <c r="AA273" i="7"/>
  <c r="T273" i="7"/>
  <c r="Y273" i="7"/>
  <c r="P273" i="7"/>
  <c r="J273" i="7"/>
  <c r="H273" i="7"/>
  <c r="M273" i="7"/>
  <c r="F273" i="7"/>
  <c r="K273" i="7"/>
  <c r="CS272" i="7"/>
  <c r="CN272" i="7"/>
  <c r="AZ272" i="7"/>
  <c r="AX272" i="7"/>
  <c r="BC272" i="7"/>
  <c r="AV272" i="7"/>
  <c r="BA272" i="7"/>
  <c r="AN272" i="7"/>
  <c r="AL272" i="7"/>
  <c r="AJ272" i="7"/>
  <c r="AO272" i="7"/>
  <c r="AH272" i="7"/>
  <c r="AM272" i="7"/>
  <c r="X272" i="7"/>
  <c r="V272" i="7"/>
  <c r="AA272" i="7"/>
  <c r="T272" i="7"/>
  <c r="Y272" i="7"/>
  <c r="J272" i="7"/>
  <c r="H272" i="7"/>
  <c r="M272" i="7"/>
  <c r="F272" i="7"/>
  <c r="K272" i="7"/>
  <c r="CS271" i="7"/>
  <c r="CN271" i="7"/>
  <c r="AZ271" i="7"/>
  <c r="AX271" i="7"/>
  <c r="BC271" i="7"/>
  <c r="AV271" i="7"/>
  <c r="BA271" i="7"/>
  <c r="AN271" i="7"/>
  <c r="AL271" i="7"/>
  <c r="AJ271" i="7"/>
  <c r="AO271" i="7"/>
  <c r="AH271" i="7"/>
  <c r="AM271" i="7"/>
  <c r="X271" i="7"/>
  <c r="V271" i="7"/>
  <c r="AA271" i="7"/>
  <c r="T271" i="7"/>
  <c r="Y271" i="7"/>
  <c r="J271" i="7"/>
  <c r="H271" i="7"/>
  <c r="M271" i="7"/>
  <c r="F271" i="7"/>
  <c r="K271" i="7"/>
  <c r="CS270" i="7"/>
  <c r="CN270" i="7"/>
  <c r="AZ270" i="7"/>
  <c r="AX270" i="7"/>
  <c r="BC270" i="7"/>
  <c r="AV270" i="7"/>
  <c r="BA270" i="7"/>
  <c r="AN270" i="7"/>
  <c r="AL270" i="7"/>
  <c r="AJ270" i="7"/>
  <c r="AO270" i="7"/>
  <c r="AH270" i="7"/>
  <c r="AM270" i="7"/>
  <c r="X270" i="7"/>
  <c r="AA270" i="7"/>
  <c r="T270" i="7"/>
  <c r="Y270" i="7"/>
  <c r="J270" i="7"/>
  <c r="H270" i="7"/>
  <c r="M270" i="7"/>
  <c r="F270" i="7"/>
  <c r="K270" i="7"/>
  <c r="CS269" i="7"/>
  <c r="CN269" i="7"/>
  <c r="AZ269" i="7"/>
  <c r="AX269" i="7"/>
  <c r="AV269" i="7"/>
  <c r="BA269" i="7"/>
  <c r="AR269" i="7"/>
  <c r="AN269" i="7"/>
  <c r="AL269" i="7"/>
  <c r="AJ269" i="7"/>
  <c r="AO269" i="7"/>
  <c r="AH269" i="7"/>
  <c r="AM269" i="7"/>
  <c r="AD269" i="7"/>
  <c r="X269" i="7"/>
  <c r="V269" i="7"/>
  <c r="AA269" i="7"/>
  <c r="T269" i="7"/>
  <c r="Y269" i="7"/>
  <c r="P269" i="7"/>
  <c r="J269" i="7"/>
  <c r="H269" i="7"/>
  <c r="M269" i="7"/>
  <c r="F269" i="7"/>
  <c r="CS268" i="7"/>
  <c r="CN268" i="7"/>
  <c r="AZ268" i="7"/>
  <c r="AX268" i="7"/>
  <c r="BC268" i="7"/>
  <c r="AV268" i="7"/>
  <c r="BA268" i="7"/>
  <c r="AN268" i="7"/>
  <c r="AL268" i="7"/>
  <c r="AJ268" i="7"/>
  <c r="AO268" i="7"/>
  <c r="AH268" i="7"/>
  <c r="AM268" i="7"/>
  <c r="X268" i="7"/>
  <c r="V268" i="7"/>
  <c r="AA268" i="7"/>
  <c r="T268" i="7"/>
  <c r="Y268" i="7"/>
  <c r="J268" i="7"/>
  <c r="H268" i="7"/>
  <c r="M268" i="7"/>
  <c r="F268" i="7"/>
  <c r="K268" i="7"/>
  <c r="CS267" i="7"/>
  <c r="CN267" i="7"/>
  <c r="AZ267" i="7"/>
  <c r="AX267" i="7"/>
  <c r="BC267" i="7"/>
  <c r="AV267" i="7"/>
  <c r="BA267" i="7"/>
  <c r="AN267" i="7"/>
  <c r="AL267" i="7"/>
  <c r="AJ267" i="7"/>
  <c r="AO267" i="7"/>
  <c r="AH267" i="7"/>
  <c r="AM267" i="7"/>
  <c r="X267" i="7"/>
  <c r="V267" i="7"/>
  <c r="AA267" i="7"/>
  <c r="T267" i="7"/>
  <c r="Y267" i="7"/>
  <c r="J267" i="7"/>
  <c r="H267" i="7"/>
  <c r="M267" i="7"/>
  <c r="F267" i="7"/>
  <c r="K267" i="7"/>
  <c r="CS266" i="7"/>
  <c r="CN266" i="7"/>
  <c r="AZ266" i="7"/>
  <c r="AX266" i="7"/>
  <c r="AX288" i="7"/>
  <c r="BC266" i="7"/>
  <c r="AV266" i="7"/>
  <c r="BA266" i="7"/>
  <c r="AN266" i="7"/>
  <c r="AL266" i="7"/>
  <c r="AJ266" i="7"/>
  <c r="AO266" i="7"/>
  <c r="AH266" i="7"/>
  <c r="X266" i="7"/>
  <c r="T266" i="7"/>
  <c r="Y266" i="7"/>
  <c r="J266" i="7"/>
  <c r="H266" i="7"/>
  <c r="H288" i="7"/>
  <c r="G288" i="7"/>
  <c r="M266" i="7"/>
  <c r="F266" i="7"/>
  <c r="CS265" i="7"/>
  <c r="CN265" i="7"/>
  <c r="AZ265" i="7"/>
  <c r="AX265" i="7"/>
  <c r="BC265" i="7"/>
  <c r="AV265" i="7"/>
  <c r="BA265" i="7"/>
  <c r="AR265" i="7"/>
  <c r="AN265" i="7"/>
  <c r="AL265" i="7"/>
  <c r="AJ265" i="7"/>
  <c r="AJ287" i="7"/>
  <c r="AO265" i="7"/>
  <c r="AH265" i="7"/>
  <c r="AM265" i="7"/>
  <c r="AD265" i="7"/>
  <c r="X265" i="7"/>
  <c r="V265" i="7"/>
  <c r="V261" i="7"/>
  <c r="V287" i="7"/>
  <c r="AA265" i="7"/>
  <c r="T265" i="7"/>
  <c r="Y265" i="7"/>
  <c r="P265" i="7"/>
  <c r="J265" i="7"/>
  <c r="H265" i="7"/>
  <c r="F265" i="7"/>
  <c r="K265" i="7"/>
  <c r="CN264" i="7"/>
  <c r="AZ264" i="7"/>
  <c r="AX264" i="7"/>
  <c r="BC264" i="7"/>
  <c r="AV264" i="7"/>
  <c r="BA264" i="7"/>
  <c r="AN264" i="7"/>
  <c r="AL264" i="7"/>
  <c r="AJ264" i="7"/>
  <c r="AO264" i="7"/>
  <c r="AH264" i="7"/>
  <c r="AM264" i="7"/>
  <c r="X264" i="7"/>
  <c r="V264" i="7"/>
  <c r="T264" i="7"/>
  <c r="Y264" i="7"/>
  <c r="J264" i="7"/>
  <c r="H264" i="7"/>
  <c r="M264" i="7"/>
  <c r="F264" i="7"/>
  <c r="K264" i="7"/>
  <c r="CN263" i="7"/>
  <c r="AZ263" i="7"/>
  <c r="AX263" i="7"/>
  <c r="AV263" i="7"/>
  <c r="BA263" i="7"/>
  <c r="AN263" i="7"/>
  <c r="AL263" i="7"/>
  <c r="AJ263" i="7"/>
  <c r="AO263" i="7"/>
  <c r="AH263" i="7"/>
  <c r="AM263" i="7"/>
  <c r="X263" i="7"/>
  <c r="V263" i="7"/>
  <c r="AA263" i="7"/>
  <c r="T263" i="7"/>
  <c r="J263" i="7"/>
  <c r="H263" i="7"/>
  <c r="M263" i="7"/>
  <c r="F263" i="7"/>
  <c r="K263" i="7"/>
  <c r="CS262" i="7"/>
  <c r="CN262" i="7"/>
  <c r="AZ262" i="7"/>
  <c r="AX262" i="7"/>
  <c r="BC262" i="7"/>
  <c r="AV262" i="7"/>
  <c r="BA262" i="7"/>
  <c r="AN262" i="7"/>
  <c r="AL262" i="7"/>
  <c r="AJ262" i="7"/>
  <c r="AH262" i="7"/>
  <c r="AM262" i="7"/>
  <c r="X262" i="7"/>
  <c r="AA262" i="7"/>
  <c r="T262" i="7"/>
  <c r="Y262" i="7"/>
  <c r="J262" i="7"/>
  <c r="H262" i="7"/>
  <c r="M262" i="7"/>
  <c r="F262" i="7"/>
  <c r="K262" i="7"/>
  <c r="CS261" i="7"/>
  <c r="CN261" i="7"/>
  <c r="AZ261" i="7"/>
  <c r="AX261" i="7"/>
  <c r="BC261" i="7"/>
  <c r="AV261" i="7"/>
  <c r="BA261" i="7"/>
  <c r="AR261" i="7"/>
  <c r="AN261" i="7"/>
  <c r="AL261" i="7"/>
  <c r="AJ261" i="7"/>
  <c r="AO261" i="7"/>
  <c r="AH261" i="7"/>
  <c r="AM261" i="7"/>
  <c r="AD261" i="7"/>
  <c r="X261" i="7"/>
  <c r="AA261" i="7"/>
  <c r="T261" i="7"/>
  <c r="Y261" i="7"/>
  <c r="P261" i="7"/>
  <c r="J261" i="7"/>
  <c r="H261" i="7"/>
  <c r="M261" i="7"/>
  <c r="F261" i="7"/>
  <c r="CS256" i="7"/>
  <c r="CN256" i="7"/>
  <c r="F256" i="7"/>
  <c r="CS255" i="7"/>
  <c r="CN255" i="7"/>
  <c r="F255" i="7"/>
  <c r="CS254" i="7"/>
  <c r="CN254" i="7"/>
  <c r="J254" i="7"/>
  <c r="F254" i="7"/>
  <c r="CS253" i="7"/>
  <c r="CN253" i="7"/>
  <c r="AR253" i="7"/>
  <c r="AD253" i="7"/>
  <c r="P253" i="7"/>
  <c r="J249" i="7"/>
  <c r="J253" i="7"/>
  <c r="F253" i="7"/>
  <c r="CS252" i="7"/>
  <c r="CN252" i="7"/>
  <c r="F252" i="7"/>
  <c r="CS251" i="7"/>
  <c r="CN251" i="7"/>
  <c r="F251" i="7"/>
  <c r="CS250" i="7"/>
  <c r="CN250" i="7"/>
  <c r="CL250" i="7"/>
  <c r="F250" i="7"/>
  <c r="CS249" i="7"/>
  <c r="CN249" i="7"/>
  <c r="CL249" i="7"/>
  <c r="AR249" i="7"/>
  <c r="AD249" i="7"/>
  <c r="P249" i="7"/>
  <c r="F249" i="7"/>
  <c r="CS248" i="7"/>
  <c r="CN248" i="7"/>
  <c r="F248" i="7"/>
  <c r="CN247" i="7"/>
  <c r="CL247" i="7"/>
  <c r="F247" i="7"/>
  <c r="CN246" i="7"/>
  <c r="CL246" i="7"/>
  <c r="F246" i="7"/>
  <c r="CN245" i="7"/>
  <c r="CL245" i="7"/>
  <c r="AR245" i="7"/>
  <c r="AD245" i="7"/>
  <c r="P245" i="7"/>
  <c r="F245" i="7"/>
  <c r="CS244" i="7"/>
  <c r="CN244" i="7"/>
  <c r="CL244" i="7"/>
  <c r="CH244" i="7"/>
  <c r="CS243" i="7"/>
  <c r="CN243" i="7"/>
  <c r="CL243" i="7"/>
  <c r="CH243" i="7"/>
  <c r="CS242" i="7"/>
  <c r="CN242" i="7"/>
  <c r="CL242" i="7"/>
  <c r="CN241" i="7"/>
  <c r="CL241" i="7"/>
  <c r="CS240" i="7"/>
  <c r="CN240" i="7"/>
  <c r="CL240" i="7"/>
  <c r="F240" i="7"/>
  <c r="CS239" i="7"/>
  <c r="F239" i="7"/>
  <c r="CS238" i="7"/>
  <c r="CN238" i="7"/>
  <c r="CL238" i="7"/>
  <c r="CH238" i="7"/>
  <c r="F238" i="7"/>
  <c r="CN237" i="7"/>
  <c r="CL237" i="7"/>
  <c r="CH237" i="7"/>
  <c r="AR237" i="7"/>
  <c r="AD237" i="7"/>
  <c r="P237" i="7"/>
  <c r="F237" i="7"/>
  <c r="CN236" i="7"/>
  <c r="CL236" i="7"/>
  <c r="CH236" i="7"/>
  <c r="F236" i="7"/>
  <c r="CS235" i="7"/>
  <c r="CN235" i="7"/>
  <c r="CL235" i="7"/>
  <c r="CH235" i="7"/>
  <c r="F235" i="7"/>
  <c r="CS234" i="7"/>
  <c r="CN234" i="7"/>
  <c r="CL234" i="7"/>
  <c r="CH234" i="7"/>
  <c r="F234" i="7"/>
  <c r="CH233" i="7"/>
  <c r="AR233" i="7"/>
  <c r="AD233" i="7"/>
  <c r="P233" i="7"/>
  <c r="F233" i="7"/>
  <c r="CL232" i="7"/>
  <c r="CH232" i="7"/>
  <c r="F232" i="7"/>
  <c r="CL231" i="7"/>
  <c r="CH231" i="7"/>
  <c r="F231" i="7"/>
  <c r="CL230" i="7"/>
  <c r="CH230" i="7"/>
  <c r="F230" i="7"/>
  <c r="CH229" i="7"/>
  <c r="AR229" i="7"/>
  <c r="AD229" i="7"/>
  <c r="P229" i="7"/>
  <c r="F229" i="7"/>
  <c r="CL228" i="7"/>
  <c r="CH228" i="7"/>
  <c r="CL227" i="7"/>
  <c r="CH227" i="7"/>
  <c r="CL226" i="7"/>
  <c r="CH226" i="7"/>
  <c r="K455" i="7"/>
  <c r="BV288" i="7"/>
  <c r="BV290" i="7"/>
  <c r="BZ290" i="7"/>
  <c r="BZ289" i="7"/>
  <c r="CD290" i="7"/>
  <c r="CD289" i="7"/>
  <c r="CD284" i="7"/>
  <c r="AO396" i="7"/>
  <c r="AA388" i="7"/>
  <c r="BB304" i="7"/>
  <c r="BC304" i="7"/>
  <c r="AF363" i="7"/>
  <c r="AM400" i="7"/>
  <c r="AN400" i="7"/>
  <c r="AO400" i="7"/>
  <c r="AM404" i="7"/>
  <c r="D512" i="7"/>
  <c r="K457" i="7"/>
  <c r="K461" i="7"/>
  <c r="L461" i="7"/>
  <c r="AF436" i="7"/>
  <c r="L458" i="7"/>
  <c r="M458" i="7"/>
  <c r="K462" i="7"/>
  <c r="L462" i="7"/>
  <c r="M462" i="7"/>
  <c r="R289" i="7"/>
  <c r="M240" i="7"/>
  <c r="AT287" i="7"/>
  <c r="Y457" i="7"/>
  <c r="Y461" i="7"/>
  <c r="Z461" i="7"/>
  <c r="AA461" i="7"/>
  <c r="Z457" i="7"/>
  <c r="AA456" i="7"/>
  <c r="Y308" i="7"/>
  <c r="Z308" i="7"/>
  <c r="AA308" i="7"/>
  <c r="BA455" i="7"/>
  <c r="BB455" i="7"/>
  <c r="BC455" i="7"/>
  <c r="BA453" i="7"/>
  <c r="BB453" i="7"/>
  <c r="BC453" i="7"/>
  <c r="AT511" i="7"/>
  <c r="AN461" i="7"/>
  <c r="AO461" i="7"/>
  <c r="V509" i="7"/>
  <c r="BP284" i="7"/>
  <c r="BH288" i="7"/>
  <c r="BK288" i="7"/>
  <c r="BH289" i="7"/>
  <c r="FP284" i="7"/>
  <c r="FB284" i="7"/>
  <c r="EN284" i="7"/>
  <c r="EW226" i="7"/>
  <c r="DZ284" i="7"/>
  <c r="EI226" i="7"/>
  <c r="DL284" i="7"/>
  <c r="Y307" i="7"/>
  <c r="AF281" i="7"/>
  <c r="R511" i="7"/>
  <c r="U511" i="7"/>
  <c r="AF290" i="7"/>
  <c r="K261" i="7"/>
  <c r="M230" i="7"/>
  <c r="AT290" i="7"/>
  <c r="M234" i="7"/>
  <c r="R290" i="7"/>
  <c r="D287" i="7"/>
  <c r="K306" i="7"/>
  <c r="K310" i="7"/>
  <c r="K314" i="7"/>
  <c r="L306" i="7"/>
  <c r="Y310" i="7"/>
  <c r="CS226" i="7"/>
  <c r="D288" i="7"/>
  <c r="K266" i="7"/>
  <c r="K351" i="7"/>
  <c r="BC378" i="7"/>
  <c r="Y378" i="7"/>
  <c r="Z378" i="7"/>
  <c r="AA378" i="7"/>
  <c r="AF288" i="7"/>
  <c r="BA452" i="7"/>
  <c r="BB452" i="7"/>
  <c r="AM305" i="7"/>
  <c r="AN305" i="7"/>
  <c r="AM309" i="7"/>
  <c r="AM313" i="7"/>
  <c r="M449" i="7"/>
  <c r="BA305" i="7"/>
  <c r="BA309" i="7"/>
  <c r="BA313" i="7"/>
  <c r="BA317" i="7"/>
  <c r="K308" i="7"/>
  <c r="L308" i="7"/>
  <c r="M308" i="7"/>
  <c r="K312" i="7"/>
  <c r="Y312" i="7"/>
  <c r="Y316" i="7"/>
  <c r="K343" i="7"/>
  <c r="AF287" i="7"/>
  <c r="K305" i="7"/>
  <c r="Y490" i="7"/>
  <c r="BC396" i="7"/>
  <c r="BC377" i="7"/>
  <c r="AM458" i="7"/>
  <c r="AN458" i="7"/>
  <c r="AO458" i="7"/>
  <c r="M395" i="7"/>
  <c r="K479" i="7"/>
  <c r="R287" i="7"/>
  <c r="R281" i="7"/>
  <c r="AT288" i="7"/>
  <c r="Y305" i="7"/>
  <c r="Z305" i="7"/>
  <c r="AA305" i="7"/>
  <c r="BA400" i="7"/>
  <c r="D361" i="7"/>
  <c r="K307" i="7"/>
  <c r="K311" i="7"/>
  <c r="K315" i="7"/>
  <c r="K319" i="7"/>
  <c r="L307" i="7"/>
  <c r="L379" i="7"/>
  <c r="AA451" i="7"/>
  <c r="B455" i="7"/>
  <c r="Z450" i="7"/>
  <c r="AF512" i="7"/>
  <c r="Z453" i="7"/>
  <c r="K419" i="7"/>
  <c r="K475" i="7"/>
  <c r="BA310" i="7"/>
  <c r="AM452" i="7"/>
  <c r="BA454" i="7"/>
  <c r="BB454" i="7"/>
  <c r="BC454" i="7"/>
  <c r="BA458" i="7"/>
  <c r="Y455" i="7"/>
  <c r="Z455" i="7"/>
  <c r="AA455" i="7"/>
  <c r="BB387" i="7"/>
  <c r="BB451" i="7"/>
  <c r="BC451" i="7"/>
  <c r="GD284" i="7"/>
  <c r="AM383" i="7"/>
  <c r="AM387" i="7"/>
  <c r="AM391" i="7"/>
  <c r="AN391" i="7"/>
  <c r="AA453" i="7"/>
  <c r="Y314" i="7"/>
  <c r="Z314" i="7"/>
  <c r="CO285" i="7"/>
  <c r="CS227" i="7"/>
  <c r="AM456" i="7"/>
  <c r="AN452" i="7"/>
  <c r="AN456" i="7"/>
  <c r="AO456" i="7"/>
  <c r="AM460" i="7"/>
  <c r="AN460" i="7"/>
  <c r="BA456" i="7"/>
  <c r="BB456" i="7"/>
  <c r="M379" i="7"/>
  <c r="CJ284" i="7"/>
  <c r="AA314" i="7"/>
  <c r="Y318" i="7"/>
  <c r="Z318" i="7"/>
  <c r="AA318" i="7"/>
  <c r="Y322" i="7"/>
  <c r="BC456" i="7"/>
  <c r="AO460" i="7"/>
  <c r="AX363" i="7"/>
  <c r="K350" i="7"/>
  <c r="AO391" i="7"/>
  <c r="AM395" i="7"/>
  <c r="AM408" i="7"/>
  <c r="AN404" i="7"/>
  <c r="AO404" i="7"/>
  <c r="BB309" i="7"/>
  <c r="BC309" i="7"/>
  <c r="L385" i="7"/>
  <c r="M385" i="7"/>
  <c r="Y458" i="7"/>
  <c r="Z454" i="7"/>
  <c r="AA454" i="7"/>
  <c r="K489" i="7"/>
  <c r="BA495" i="7"/>
  <c r="AT509" i="7"/>
  <c r="H214" i="7"/>
  <c r="H217" i="7"/>
  <c r="AA159" i="7"/>
  <c r="R505" i="7"/>
  <c r="AO453" i="7"/>
  <c r="BA484" i="7"/>
  <c r="Y486" i="7"/>
  <c r="R512" i="7"/>
  <c r="BC263" i="7"/>
  <c r="L399" i="7"/>
  <c r="M399" i="7"/>
  <c r="K403" i="7"/>
  <c r="K407" i="7"/>
  <c r="L407" i="7"/>
  <c r="L403" i="7"/>
  <c r="M403" i="7"/>
  <c r="BA350" i="7"/>
  <c r="AT364" i="7"/>
  <c r="BA499" i="7"/>
  <c r="BB305" i="7"/>
  <c r="Y320" i="7"/>
  <c r="Y324" i="7"/>
  <c r="Y328" i="7"/>
  <c r="Y332" i="7"/>
  <c r="Y336" i="7"/>
  <c r="Z336" i="7"/>
  <c r="AA336" i="7"/>
  <c r="Z316" i="7"/>
  <c r="AA316" i="7"/>
  <c r="Z165" i="7"/>
  <c r="L164" i="7"/>
  <c r="M164" i="7"/>
  <c r="L168" i="7"/>
  <c r="M168" i="7"/>
  <c r="CE242" i="7"/>
  <c r="CC246" i="7"/>
  <c r="CC250" i="7"/>
  <c r="Z304" i="7"/>
  <c r="BA275" i="7"/>
  <c r="K275" i="7"/>
  <c r="CE237" i="7"/>
  <c r="BP236" i="7"/>
  <c r="BQ236" i="7"/>
  <c r="BC269" i="7"/>
  <c r="CD164" i="7"/>
  <c r="CE164" i="7"/>
  <c r="BA312" i="7"/>
  <c r="BA316" i="7"/>
  <c r="AA264" i="7"/>
  <c r="Y387" i="7"/>
  <c r="Z387" i="7"/>
  <c r="AA387" i="7"/>
  <c r="BA388" i="7"/>
  <c r="AT438" i="7"/>
  <c r="B405" i="7"/>
  <c r="Y386" i="7"/>
  <c r="Z386" i="7"/>
  <c r="AA386" i="7"/>
  <c r="K480" i="7"/>
  <c r="D503" i="7"/>
  <c r="B479" i="7"/>
  <c r="L303" i="7"/>
  <c r="BC420" i="7"/>
  <c r="L452" i="7"/>
  <c r="M452" i="7"/>
  <c r="K456" i="7"/>
  <c r="L456" i="7"/>
  <c r="M456" i="7"/>
  <c r="R510" i="7"/>
  <c r="AM479" i="7"/>
  <c r="Y240" i="7"/>
  <c r="D510" i="7"/>
  <c r="K377" i="7"/>
  <c r="L377" i="7"/>
  <c r="K497" i="7"/>
  <c r="B277" i="7"/>
  <c r="K279" i="7"/>
  <c r="R282" i="7"/>
  <c r="S282" i="7"/>
  <c r="R283" i="7"/>
  <c r="BA381" i="7"/>
  <c r="EU229" i="7"/>
  <c r="EV229" i="7"/>
  <c r="EV228" i="7"/>
  <c r="EW228" i="7"/>
  <c r="ES285" i="7"/>
  <c r="L232" i="7"/>
  <c r="M232" i="7"/>
  <c r="M231" i="7"/>
  <c r="BB165" i="7"/>
  <c r="BC165" i="7"/>
  <c r="AA156" i="7"/>
  <c r="BC422" i="7"/>
  <c r="AX436" i="7"/>
  <c r="BC478" i="7"/>
  <c r="AA450" i="7"/>
  <c r="BL288" i="7"/>
  <c r="Z303" i="7"/>
  <c r="BA307" i="7"/>
  <c r="BA482" i="7"/>
  <c r="CX281" i="7"/>
  <c r="CX282" i="7"/>
  <c r="CY282" i="7"/>
  <c r="AJ216" i="7"/>
  <c r="AI216" i="7"/>
  <c r="AJ215" i="7"/>
  <c r="AI215" i="7"/>
  <c r="BH207" i="7"/>
  <c r="BH213" i="7"/>
  <c r="D216" i="7"/>
  <c r="V363" i="7"/>
  <c r="AM386" i="7"/>
  <c r="AN386" i="7"/>
  <c r="AO386" i="7"/>
  <c r="AM390" i="7"/>
  <c r="AN390" i="7"/>
  <c r="AO390" i="7"/>
  <c r="AN234" i="7"/>
  <c r="AO234" i="7"/>
  <c r="AT281" i="7"/>
  <c r="AT283" i="7"/>
  <c r="K484" i="7"/>
  <c r="DG226" i="7"/>
  <c r="K238" i="7"/>
  <c r="L238" i="7"/>
  <c r="EN281" i="7"/>
  <c r="R207" i="7"/>
  <c r="R209" i="7"/>
  <c r="Y196" i="7"/>
  <c r="Y459" i="7"/>
  <c r="Z506" i="7"/>
  <c r="M265" i="7"/>
  <c r="B451" i="7"/>
  <c r="CD246" i="7"/>
  <c r="CE246" i="7"/>
  <c r="K233" i="7"/>
  <c r="K237" i="7"/>
  <c r="CD230" i="7"/>
  <c r="CE230" i="7"/>
  <c r="GL226" i="7"/>
  <c r="GK227" i="7"/>
  <c r="AM233" i="7"/>
  <c r="AN233" i="7"/>
  <c r="AO233" i="7"/>
  <c r="BA457" i="7"/>
  <c r="BB457" i="7"/>
  <c r="BC457" i="7"/>
  <c r="L310" i="7"/>
  <c r="M310" i="7"/>
  <c r="FW227" i="7"/>
  <c r="FX226" i="7"/>
  <c r="FY226" i="7"/>
  <c r="AM200" i="7"/>
  <c r="AF214" i="7"/>
  <c r="AJ214" i="7"/>
  <c r="AI214" i="7"/>
  <c r="AN231" i="7"/>
  <c r="AM235" i="7"/>
  <c r="AM239" i="7"/>
  <c r="BB231" i="7"/>
  <c r="BA235" i="7"/>
  <c r="BA239" i="7"/>
  <c r="K242" i="7"/>
  <c r="L242" i="7"/>
  <c r="M242" i="7"/>
  <c r="CD238" i="7"/>
  <c r="CE238" i="7"/>
  <c r="AN251" i="7"/>
  <c r="AO251" i="7"/>
  <c r="BP248" i="7"/>
  <c r="BQ248" i="7"/>
  <c r="FI228" i="7"/>
  <c r="FI229" i="7"/>
  <c r="FI230" i="7"/>
  <c r="FJ227" i="7"/>
  <c r="AO240" i="7"/>
  <c r="BP229" i="7"/>
  <c r="FK226" i="7"/>
  <c r="B343" i="7"/>
  <c r="BV207" i="7"/>
  <c r="BV213" i="7"/>
  <c r="B261" i="7"/>
  <c r="HA229" i="7"/>
  <c r="GY285" i="7"/>
  <c r="BP244" i="7"/>
  <c r="AT216" i="7"/>
  <c r="AW216" i="7"/>
  <c r="BQ244" i="7"/>
  <c r="B265" i="7"/>
  <c r="AF207" i="7"/>
  <c r="AF209" i="7"/>
  <c r="CD234" i="7"/>
  <c r="CE234" i="7"/>
  <c r="DL207" i="7"/>
  <c r="GR281" i="7"/>
  <c r="GR282" i="7"/>
  <c r="GU282" i="7"/>
  <c r="BP252" i="7"/>
  <c r="BQ252" i="7"/>
  <c r="BA233" i="7"/>
  <c r="BB233" i="7"/>
  <c r="BC233" i="7"/>
  <c r="BP167" i="7"/>
  <c r="BQ167" i="7"/>
  <c r="EH227" i="7"/>
  <c r="EG228" i="7"/>
  <c r="Y241" i="7"/>
  <c r="BQ198" i="7"/>
  <c r="GR207" i="7"/>
  <c r="GR208" i="7"/>
  <c r="AF216" i="7"/>
  <c r="BZ287" i="7"/>
  <c r="BP232" i="7"/>
  <c r="DT226" i="7"/>
  <c r="DS227" i="7"/>
  <c r="DS228" i="7"/>
  <c r="DS229" i="7"/>
  <c r="DS230" i="7"/>
  <c r="DT230" i="7"/>
  <c r="B253" i="7"/>
  <c r="L236" i="7"/>
  <c r="M236" i="7"/>
  <c r="BA234" i="7"/>
  <c r="BA238" i="7"/>
  <c r="FB207" i="7"/>
  <c r="B245" i="7"/>
  <c r="K244" i="7"/>
  <c r="K248" i="7"/>
  <c r="K246" i="7"/>
  <c r="K250" i="7"/>
  <c r="K254" i="7"/>
  <c r="L254" i="7"/>
  <c r="M254" i="7"/>
  <c r="Y244" i="7"/>
  <c r="BP240" i="7"/>
  <c r="BQ240" i="7"/>
  <c r="BP230" i="7"/>
  <c r="BQ230" i="7"/>
  <c r="BB235" i="7"/>
  <c r="BC235" i="7"/>
  <c r="AN156" i="7"/>
  <c r="AO156" i="7"/>
  <c r="FY155" i="7"/>
  <c r="BB157" i="7"/>
  <c r="L160" i="7"/>
  <c r="V214" i="7"/>
  <c r="M181" i="7"/>
  <c r="H215" i="7"/>
  <c r="G215" i="7"/>
  <c r="AF213" i="7"/>
  <c r="EV152" i="7"/>
  <c r="CR153" i="7"/>
  <c r="CS153" i="7"/>
  <c r="AN170" i="7"/>
  <c r="AO170" i="7"/>
  <c r="GD207" i="7"/>
  <c r="GD208" i="7"/>
  <c r="GE208" i="7"/>
  <c r="BL215" i="7"/>
  <c r="BK215" i="7"/>
  <c r="BP165" i="7"/>
  <c r="BQ165" i="7"/>
  <c r="BP159" i="7"/>
  <c r="BQ159" i="7"/>
  <c r="H213" i="7"/>
  <c r="H216" i="7"/>
  <c r="G216" i="7"/>
  <c r="BP158" i="7"/>
  <c r="BQ158" i="7"/>
  <c r="FY154" i="7"/>
  <c r="R214" i="7"/>
  <c r="CJ207" i="7"/>
  <c r="BP162" i="7"/>
  <c r="BQ162" i="7"/>
  <c r="V213" i="7"/>
  <c r="BZ213" i="7"/>
  <c r="BH215" i="7"/>
  <c r="EN207" i="7"/>
  <c r="EN208" i="7"/>
  <c r="EO208" i="7"/>
  <c r="BP156" i="7"/>
  <c r="AN157" i="7"/>
  <c r="BP166" i="7"/>
  <c r="BQ166" i="7"/>
  <c r="EI152" i="7"/>
  <c r="HB155" i="7"/>
  <c r="HC155" i="7"/>
  <c r="Z170" i="7"/>
  <c r="AA170" i="7"/>
  <c r="Z157" i="7"/>
  <c r="FX152" i="7"/>
  <c r="AN166" i="7"/>
  <c r="AO166" i="7"/>
  <c r="HB152" i="7"/>
  <c r="HC152" i="7"/>
  <c r="AA155" i="7"/>
  <c r="CE155" i="7"/>
  <c r="FX153" i="7"/>
  <c r="FY153" i="7"/>
  <c r="Z166" i="7"/>
  <c r="AA166" i="7"/>
  <c r="BB163" i="7"/>
  <c r="BC155" i="7"/>
  <c r="BC163" i="7"/>
  <c r="BA243" i="7"/>
  <c r="BB239" i="7"/>
  <c r="BC239" i="7"/>
  <c r="EW152" i="7"/>
  <c r="AM399" i="7"/>
  <c r="AN399" i="7"/>
  <c r="AO399" i="7"/>
  <c r="AN395" i="7"/>
  <c r="AO395" i="7"/>
  <c r="AN161" i="7"/>
  <c r="AO161" i="7"/>
  <c r="BY213" i="7"/>
  <c r="FJ228" i="7"/>
  <c r="FK228" i="7"/>
  <c r="FG285" i="7"/>
  <c r="AM237" i="7"/>
  <c r="AM241" i="7"/>
  <c r="AM245" i="7"/>
  <c r="BC452" i="7"/>
  <c r="EI227" i="7"/>
  <c r="GD209" i="7"/>
  <c r="BA311" i="7"/>
  <c r="GR283" i="7"/>
  <c r="GD282" i="7"/>
  <c r="GE282" i="7"/>
  <c r="AT282" i="7"/>
  <c r="AU282" i="7"/>
  <c r="M303" i="7"/>
  <c r="HB229" i="7"/>
  <c r="HC229" i="7"/>
  <c r="HA230" i="7"/>
  <c r="AN159" i="7"/>
  <c r="AO159" i="7"/>
  <c r="EV153" i="7"/>
  <c r="EW153" i="7"/>
  <c r="G213" i="7"/>
  <c r="GL227" i="7"/>
  <c r="GM227" i="7"/>
  <c r="GK228" i="7"/>
  <c r="DT227" i="7"/>
  <c r="DU227" i="7"/>
  <c r="BH209" i="7"/>
  <c r="BH208" i="7"/>
  <c r="BI208" i="7"/>
  <c r="Y462" i="7"/>
  <c r="Z462" i="7"/>
  <c r="AA462" i="7"/>
  <c r="BC157" i="7"/>
  <c r="GU208" i="7"/>
  <c r="GR209" i="7"/>
  <c r="BQ156" i="7"/>
  <c r="U214" i="7"/>
  <c r="FB208" i="7"/>
  <c r="FC208" i="7"/>
  <c r="FB209" i="7"/>
  <c r="AF208" i="7"/>
  <c r="AG208" i="7"/>
  <c r="K397" i="7"/>
  <c r="K401" i="7"/>
  <c r="DF153" i="7"/>
  <c r="EN209" i="7"/>
  <c r="AA165" i="7"/>
  <c r="R208" i="7"/>
  <c r="S208" i="7"/>
  <c r="L233" i="7"/>
  <c r="M407" i="7"/>
  <c r="CR154" i="7"/>
  <c r="CS154" i="7"/>
  <c r="CR155" i="7"/>
  <c r="CS155" i="7"/>
  <c r="CO211" i="7"/>
  <c r="DL208" i="7"/>
  <c r="DM208" i="7"/>
  <c r="DL209" i="7"/>
  <c r="AN239" i="7"/>
  <c r="AN235" i="7"/>
  <c r="AO235" i="7"/>
  <c r="FX227" i="7"/>
  <c r="FY227" i="7"/>
  <c r="FW228" i="7"/>
  <c r="Z459" i="7"/>
  <c r="AA459" i="7"/>
  <c r="BA321" i="7"/>
  <c r="BA325" i="7"/>
  <c r="BB317" i="7"/>
  <c r="BC317" i="7"/>
  <c r="M160" i="7"/>
  <c r="DU226" i="7"/>
  <c r="BB169" i="7"/>
  <c r="BC169" i="7"/>
  <c r="U213" i="7"/>
  <c r="BA237" i="7"/>
  <c r="L237" i="7"/>
  <c r="M237" i="7"/>
  <c r="K241" i="7"/>
  <c r="L241" i="7"/>
  <c r="M233" i="7"/>
  <c r="EV154" i="7"/>
  <c r="EW154" i="7"/>
  <c r="EV155" i="7"/>
  <c r="BB238" i="7"/>
  <c r="BA242" i="7"/>
  <c r="AN237" i="7"/>
  <c r="AO237" i="7"/>
  <c r="DF154" i="7"/>
  <c r="DG154" i="7"/>
  <c r="DF155" i="7"/>
  <c r="DG155" i="7"/>
  <c r="DC211" i="7"/>
  <c r="HA231" i="7"/>
  <c r="HB231" i="7"/>
  <c r="HC231" i="7"/>
  <c r="HB230" i="7"/>
  <c r="HC230" i="7"/>
  <c r="EW155" i="7"/>
  <c r="ES211" i="7"/>
  <c r="BA241" i="7"/>
  <c r="BB241" i="7"/>
  <c r="BC241" i="7"/>
  <c r="BB237" i="7"/>
  <c r="AO239" i="7"/>
  <c r="DT228" i="7"/>
  <c r="DU228" i="7"/>
  <c r="DQ285" i="7"/>
  <c r="BA320" i="7"/>
  <c r="BB320" i="7"/>
  <c r="BC320" i="7"/>
  <c r="BB316" i="7"/>
  <c r="BC316" i="7"/>
  <c r="AN163" i="7"/>
  <c r="AO163" i="7"/>
  <c r="AN167" i="7"/>
  <c r="AO167" i="7"/>
  <c r="FJ229" i="7"/>
  <c r="FF283" i="7"/>
  <c r="FK229" i="7"/>
  <c r="L397" i="7"/>
  <c r="M397" i="7"/>
  <c r="EW229" i="7"/>
  <c r="BA315" i="7"/>
  <c r="BB311" i="7"/>
  <c r="AN169" i="7"/>
  <c r="AN165" i="7"/>
  <c r="AO165" i="7"/>
  <c r="DT229" i="7"/>
  <c r="DU229" i="7"/>
  <c r="K245" i="7"/>
  <c r="M241" i="7"/>
  <c r="AO169" i="7"/>
  <c r="BC311" i="7"/>
  <c r="FJ230" i="7"/>
  <c r="FK230" i="7"/>
  <c r="FI231" i="7"/>
  <c r="FI232" i="7"/>
  <c r="BB315" i="7"/>
  <c r="BC315" i="7"/>
  <c r="BA319" i="7"/>
  <c r="BB319" i="7"/>
  <c r="BC319" i="7"/>
  <c r="BC238" i="7"/>
  <c r="BA329" i="7"/>
  <c r="BB329" i="7"/>
  <c r="BC329" i="7"/>
  <c r="BB325" i="7"/>
  <c r="BC325" i="7"/>
  <c r="AN403" i="7"/>
  <c r="AO403" i="7"/>
  <c r="BC237" i="7"/>
  <c r="K249" i="7"/>
  <c r="L245" i="7"/>
  <c r="M245" i="7"/>
  <c r="FJ232" i="7"/>
  <c r="FK232" i="7"/>
  <c r="FJ231" i="7"/>
  <c r="FK231" i="7"/>
  <c r="DS231" i="7"/>
  <c r="DU230" i="7"/>
  <c r="EN133" i="7"/>
  <c r="CX133" i="7"/>
  <c r="R133" i="7"/>
  <c r="H140" i="7"/>
  <c r="B117" i="7"/>
  <c r="AF139" i="7"/>
  <c r="R139" i="7"/>
  <c r="CD142" i="7"/>
  <c r="CE142" i="7"/>
  <c r="AI140" i="7"/>
  <c r="U141" i="7"/>
  <c r="Y119" i="7"/>
  <c r="BH139" i="7"/>
  <c r="BH141" i="7"/>
  <c r="BK141" i="7"/>
  <c r="H68" i="7"/>
  <c r="B7" i="7"/>
  <c r="BC10" i="7"/>
  <c r="M7" i="7"/>
  <c r="AN7" i="7"/>
  <c r="AO7" i="7"/>
  <c r="BQ8" i="7"/>
  <c r="BB9" i="7"/>
  <c r="BC9" i="7"/>
  <c r="BP10" i="7"/>
  <c r="BQ10" i="7"/>
  <c r="BP8" i="7"/>
  <c r="BB10" i="7"/>
  <c r="Z7" i="7"/>
  <c r="AA7" i="7"/>
  <c r="BP7" i="7"/>
  <c r="BQ7" i="7"/>
  <c r="BB8" i="7"/>
  <c r="BC8" i="7"/>
  <c r="BP9" i="7"/>
  <c r="BQ9" i="7"/>
  <c r="AF68" i="7"/>
  <c r="BZ68" i="7"/>
  <c r="EN59" i="7"/>
  <c r="EN61" i="7"/>
  <c r="K14" i="7"/>
  <c r="L14" i="7"/>
  <c r="M14" i="7"/>
  <c r="R59" i="7"/>
  <c r="R61" i="7"/>
  <c r="AT67" i="7"/>
  <c r="BV65" i="7"/>
  <c r="K323" i="7"/>
  <c r="L319" i="7"/>
  <c r="M319" i="7"/>
  <c r="AN307" i="7"/>
  <c r="AO307" i="7"/>
  <c r="AM311" i="7"/>
  <c r="AM315" i="7"/>
  <c r="BB312" i="7"/>
  <c r="BC312" i="7"/>
  <c r="Z395" i="7"/>
  <c r="AA395" i="7"/>
  <c r="Y399" i="7"/>
  <c r="Y403" i="7"/>
  <c r="K423" i="7"/>
  <c r="D437" i="7"/>
  <c r="AA157" i="7"/>
  <c r="AJ361" i="7"/>
  <c r="AN311" i="7"/>
  <c r="AO311" i="7"/>
  <c r="V289" i="7"/>
  <c r="U289" i="7"/>
  <c r="AA231" i="7"/>
  <c r="L315" i="7"/>
  <c r="M315" i="7"/>
  <c r="CJ281" i="7"/>
  <c r="D429" i="7"/>
  <c r="Y326" i="7"/>
  <c r="Z322" i="7"/>
  <c r="AA322" i="7"/>
  <c r="AM477" i="7"/>
  <c r="AF511" i="7"/>
  <c r="AI511" i="7"/>
  <c r="BO238" i="7"/>
  <c r="BP234" i="7"/>
  <c r="FP281" i="7"/>
  <c r="FB281" i="7"/>
  <c r="B229" i="7"/>
  <c r="AO157" i="7"/>
  <c r="DE228" i="7"/>
  <c r="L288" i="7"/>
  <c r="M288" i="7"/>
  <c r="M238" i="7"/>
  <c r="D505" i="7"/>
  <c r="D504" i="7"/>
  <c r="E504" i="7"/>
  <c r="CD250" i="7"/>
  <c r="CE250" i="7"/>
  <c r="CC254" i="7"/>
  <c r="CD254" i="7"/>
  <c r="CE254" i="7"/>
  <c r="Z512" i="7"/>
  <c r="AA512" i="7"/>
  <c r="L304" i="7"/>
  <c r="M304" i="7"/>
  <c r="H362" i="7"/>
  <c r="M393" i="7"/>
  <c r="K477" i="7"/>
  <c r="D511" i="7"/>
  <c r="G511" i="7"/>
  <c r="CE233" i="7"/>
  <c r="CD281" i="7"/>
  <c r="CE282" i="7"/>
  <c r="BP256" i="7"/>
  <c r="BL290" i="7"/>
  <c r="BQ256" i="7"/>
  <c r="BB232" i="7"/>
  <c r="BA236" i="7"/>
  <c r="L246" i="7"/>
  <c r="M246" i="7"/>
  <c r="AI213" i="7"/>
  <c r="AF217" i="7"/>
  <c r="R291" i="7"/>
  <c r="AX361" i="7"/>
  <c r="BB303" i="7"/>
  <c r="BC303" i="7"/>
  <c r="Y377" i="7"/>
  <c r="R435" i="7"/>
  <c r="R429" i="7"/>
  <c r="AX437" i="7"/>
  <c r="AX439" i="7"/>
  <c r="BC379" i="7"/>
  <c r="B385" i="7"/>
  <c r="D435" i="7"/>
  <c r="BV281" i="7"/>
  <c r="BV289" i="7"/>
  <c r="BY289" i="7"/>
  <c r="HH281" i="7"/>
  <c r="HN281" i="7"/>
  <c r="CD249" i="7"/>
  <c r="CC253" i="7"/>
  <c r="CD253" i="7"/>
  <c r="CE253" i="7"/>
  <c r="HT208" i="7"/>
  <c r="HU208" i="7"/>
  <c r="HT209" i="7"/>
  <c r="AM249" i="7"/>
  <c r="AN245" i="7"/>
  <c r="AO245" i="7"/>
  <c r="G512" i="7"/>
  <c r="Y475" i="7"/>
  <c r="R509" i="7"/>
  <c r="CE274" i="7"/>
  <c r="BZ288" i="7"/>
  <c r="BZ291" i="7"/>
  <c r="BH281" i="7"/>
  <c r="BH290" i="7"/>
  <c r="BK290" i="7"/>
  <c r="HN208" i="7"/>
  <c r="HO208" i="7"/>
  <c r="HN209" i="7"/>
  <c r="AF283" i="7"/>
  <c r="AF282" i="7"/>
  <c r="AG282" i="7"/>
  <c r="AO262" i="7"/>
  <c r="AJ288" i="7"/>
  <c r="AI288" i="7"/>
  <c r="AM451" i="7"/>
  <c r="AF509" i="7"/>
  <c r="AF503" i="7"/>
  <c r="AJ512" i="7"/>
  <c r="AI512" i="7"/>
  <c r="AN454" i="7"/>
  <c r="AN512" i="7"/>
  <c r="AO512" i="7"/>
  <c r="BV209" i="7"/>
  <c r="BV208" i="7"/>
  <c r="BW208" i="7"/>
  <c r="AW438" i="7"/>
  <c r="AI290" i="7"/>
  <c r="AA457" i="7"/>
  <c r="Z511" i="7"/>
  <c r="AA511" i="7"/>
  <c r="FW229" i="7"/>
  <c r="FX228" i="7"/>
  <c r="FY228" i="7"/>
  <c r="FU285" i="7"/>
  <c r="AX362" i="7"/>
  <c r="BC308" i="7"/>
  <c r="Z310" i="7"/>
  <c r="AA310" i="7"/>
  <c r="Z396" i="7"/>
  <c r="AA396" i="7"/>
  <c r="V438" i="7"/>
  <c r="BB459" i="7"/>
  <c r="BC459" i="7"/>
  <c r="EH78" i="7"/>
  <c r="EG79" i="7"/>
  <c r="FP61" i="7"/>
  <c r="FP60" i="7"/>
  <c r="FQ60" i="7"/>
  <c r="BA323" i="7"/>
  <c r="L249" i="7"/>
  <c r="M249" i="7"/>
  <c r="FG283" i="7"/>
  <c r="DG153" i="7"/>
  <c r="K252" i="7"/>
  <c r="L248" i="7"/>
  <c r="M248" i="7"/>
  <c r="AW287" i="7"/>
  <c r="BC306" i="7"/>
  <c r="BB306" i="7"/>
  <c r="K253" i="7"/>
  <c r="L253" i="7"/>
  <c r="M253" i="7"/>
  <c r="K405" i="7"/>
  <c r="L405" i="7"/>
  <c r="M405" i="7"/>
  <c r="L401" i="7"/>
  <c r="M401" i="7"/>
  <c r="CJ208" i="7"/>
  <c r="CK208" i="7"/>
  <c r="CJ209" i="7"/>
  <c r="Z306" i="7"/>
  <c r="AA306" i="7"/>
  <c r="V364" i="7"/>
  <c r="L103" i="7"/>
  <c r="M103" i="7"/>
  <c r="K107" i="7"/>
  <c r="BH142" i="7"/>
  <c r="BO92" i="7"/>
  <c r="BP92" i="7"/>
  <c r="L250" i="7"/>
  <c r="M250" i="7"/>
  <c r="AN510" i="7"/>
  <c r="AO510" i="7"/>
  <c r="AO452" i="7"/>
  <c r="BB509" i="7"/>
  <c r="AN313" i="7"/>
  <c r="AO313" i="7"/>
  <c r="AM317" i="7"/>
  <c r="Z324" i="7"/>
  <c r="K318" i="7"/>
  <c r="L314" i="7"/>
  <c r="M314" i="7"/>
  <c r="HH208" i="7"/>
  <c r="HI208" i="7"/>
  <c r="Z241" i="7"/>
  <c r="Y245" i="7"/>
  <c r="AO305" i="7"/>
  <c r="Y398" i="7"/>
  <c r="Z394" i="7"/>
  <c r="AA394" i="7"/>
  <c r="CD288" i="7"/>
  <c r="CE288" i="7"/>
  <c r="AN241" i="7"/>
  <c r="AO241" i="7"/>
  <c r="BA462" i="7"/>
  <c r="BB462" i="7"/>
  <c r="BB458" i="7"/>
  <c r="BC458" i="7"/>
  <c r="V435" i="7"/>
  <c r="Z377" i="7"/>
  <c r="R437" i="7"/>
  <c r="Y379" i="7"/>
  <c r="GI285" i="7"/>
  <c r="GL228" i="7"/>
  <c r="GM228" i="7"/>
  <c r="GK229" i="7"/>
  <c r="AM394" i="7"/>
  <c r="AM398" i="7"/>
  <c r="FY152" i="7"/>
  <c r="U287" i="7"/>
  <c r="M307" i="7"/>
  <c r="AO378" i="7"/>
  <c r="K425" i="7"/>
  <c r="BC305" i="7"/>
  <c r="Y311" i="7"/>
  <c r="Y315" i="7"/>
  <c r="Z307" i="7"/>
  <c r="H363" i="7"/>
  <c r="AF439" i="7"/>
  <c r="BB242" i="7"/>
  <c r="BC242" i="7"/>
  <c r="BA246" i="7"/>
  <c r="BB246" i="7"/>
  <c r="BC246" i="7"/>
  <c r="BP290" i="7"/>
  <c r="BQ290" i="7"/>
  <c r="BQ232" i="7"/>
  <c r="AN378" i="7"/>
  <c r="AT510" i="7"/>
  <c r="M378" i="7"/>
  <c r="Z379" i="7"/>
  <c r="AA379" i="7"/>
  <c r="K390" i="7"/>
  <c r="L386" i="7"/>
  <c r="M386" i="7"/>
  <c r="DT231" i="7"/>
  <c r="DU231" i="7"/>
  <c r="DS232" i="7"/>
  <c r="DT232" i="7"/>
  <c r="DU232" i="7"/>
  <c r="AJ436" i="7"/>
  <c r="AM310" i="7"/>
  <c r="AM314" i="7"/>
  <c r="AM318" i="7"/>
  <c r="AN306" i="7"/>
  <c r="K188" i="7"/>
  <c r="B187" i="7"/>
  <c r="D214" i="7"/>
  <c r="D207" i="7"/>
  <c r="V437" i="7"/>
  <c r="M377" i="7"/>
  <c r="AJ509" i="7"/>
  <c r="AJ513" i="7"/>
  <c r="BY288" i="7"/>
  <c r="M454" i="7"/>
  <c r="BY287" i="7"/>
  <c r="BC161" i="7"/>
  <c r="BZ217" i="7"/>
  <c r="AT503" i="7"/>
  <c r="AF437" i="7"/>
  <c r="AI436" i="7"/>
  <c r="BB388" i="7"/>
  <c r="BC388" i="7"/>
  <c r="Z397" i="7"/>
  <c r="AA397" i="7"/>
  <c r="Z399" i="7"/>
  <c r="AA399" i="7"/>
  <c r="B401" i="7"/>
  <c r="AF429" i="7"/>
  <c r="AN511" i="7"/>
  <c r="AO511" i="7"/>
  <c r="Z510" i="7"/>
  <c r="AA510" i="7"/>
  <c r="B487" i="7"/>
  <c r="AW363" i="7"/>
  <c r="Z309" i="7"/>
  <c r="Y313" i="7"/>
  <c r="AM179" i="7"/>
  <c r="AM183" i="7"/>
  <c r="AN162" i="7"/>
  <c r="AN216" i="7"/>
  <c r="AO216" i="7"/>
  <c r="AN155" i="7"/>
  <c r="AJ213" i="7"/>
  <c r="AJ217" i="7"/>
  <c r="BQ170" i="7"/>
  <c r="BP170" i="7"/>
  <c r="BA333" i="7"/>
  <c r="HA232" i="7"/>
  <c r="HB232" i="7"/>
  <c r="HC232" i="7"/>
  <c r="Z503" i="7"/>
  <c r="AA504" i="7"/>
  <c r="AA324" i="7"/>
  <c r="L393" i="7"/>
  <c r="BA461" i="7"/>
  <c r="BB461" i="7"/>
  <c r="BC461" i="7"/>
  <c r="BB234" i="7"/>
  <c r="GM226" i="7"/>
  <c r="AX287" i="7"/>
  <c r="L454" i="7"/>
  <c r="L512" i="7"/>
  <c r="M512" i="7"/>
  <c r="R363" i="7"/>
  <c r="U363" i="7"/>
  <c r="AA452" i="7"/>
  <c r="Z332" i="7"/>
  <c r="AA332" i="7"/>
  <c r="R436" i="7"/>
  <c r="AJ437" i="7"/>
  <c r="Y400" i="7"/>
  <c r="B397" i="7"/>
  <c r="R438" i="7"/>
  <c r="U438" i="7"/>
  <c r="Y405" i="7"/>
  <c r="Z401" i="7"/>
  <c r="AA401" i="7"/>
  <c r="AT435" i="7"/>
  <c r="B237" i="7"/>
  <c r="R288" i="7"/>
  <c r="Y238" i="7"/>
  <c r="Z238" i="7"/>
  <c r="Y346" i="7"/>
  <c r="R364" i="7"/>
  <c r="U364" i="7"/>
  <c r="BA324" i="7"/>
  <c r="AT355" i="7"/>
  <c r="AT362" i="7"/>
  <c r="D362" i="7"/>
  <c r="G362" i="7"/>
  <c r="D355" i="7"/>
  <c r="R362" i="7"/>
  <c r="U362" i="7"/>
  <c r="R355" i="7"/>
  <c r="B307" i="7"/>
  <c r="AF362" i="7"/>
  <c r="AF355" i="7"/>
  <c r="AM304" i="7"/>
  <c r="B303" i="7"/>
  <c r="GX283" i="7"/>
  <c r="GY283" i="7"/>
  <c r="HC226" i="7"/>
  <c r="AA458" i="7"/>
  <c r="K460" i="7"/>
  <c r="L460" i="7"/>
  <c r="M460" i="7"/>
  <c r="BL216" i="7"/>
  <c r="EN282" i="7"/>
  <c r="EO282" i="7"/>
  <c r="EN283" i="7"/>
  <c r="AN387" i="7"/>
  <c r="AO387" i="7"/>
  <c r="V436" i="7"/>
  <c r="AW288" i="7"/>
  <c r="K309" i="7"/>
  <c r="L309" i="7"/>
  <c r="M309" i="7"/>
  <c r="L305" i="7"/>
  <c r="AA320" i="7"/>
  <c r="Z320" i="7"/>
  <c r="BB321" i="7"/>
  <c r="BC321" i="7"/>
  <c r="Z328" i="7"/>
  <c r="AA328" i="7"/>
  <c r="Y242" i="7"/>
  <c r="B241" i="7"/>
  <c r="B351" i="7"/>
  <c r="B331" i="7"/>
  <c r="B327" i="7"/>
  <c r="B323" i="7"/>
  <c r="R361" i="7"/>
  <c r="B319" i="7"/>
  <c r="B315" i="7"/>
  <c r="AF361" i="7"/>
  <c r="B311" i="7"/>
  <c r="AN171" i="7"/>
  <c r="AO171" i="7"/>
  <c r="AM168" i="7"/>
  <c r="AN164" i="7"/>
  <c r="AO164" i="7"/>
  <c r="BO183" i="7"/>
  <c r="BP179" i="7"/>
  <c r="BQ179" i="7"/>
  <c r="AJ363" i="7"/>
  <c r="AI363" i="7"/>
  <c r="Z311" i="7"/>
  <c r="AA311" i="7"/>
  <c r="Z380" i="7"/>
  <c r="AN385" i="7"/>
  <c r="AO385" i="7"/>
  <c r="AJ435" i="7"/>
  <c r="AJ439" i="7"/>
  <c r="Z509" i="7"/>
  <c r="AA480" i="7"/>
  <c r="V510" i="7"/>
  <c r="U510" i="7"/>
  <c r="HT281" i="7"/>
  <c r="AX290" i="7"/>
  <c r="AW290" i="7"/>
  <c r="V290" i="7"/>
  <c r="U290" i="7"/>
  <c r="L244" i="7"/>
  <c r="M244" i="7"/>
  <c r="H290" i="7"/>
  <c r="B347" i="7"/>
  <c r="L312" i="7"/>
  <c r="M312" i="7"/>
  <c r="K316" i="7"/>
  <c r="AN310" i="7"/>
  <c r="AO310" i="7"/>
  <c r="EE285" i="7"/>
  <c r="EG229" i="7"/>
  <c r="EH228" i="7"/>
  <c r="EI228" i="7"/>
  <c r="BY290" i="7"/>
  <c r="CE290" i="7"/>
  <c r="B495" i="7"/>
  <c r="K496" i="7"/>
  <c r="B377" i="7"/>
  <c r="BA378" i="7"/>
  <c r="BA382" i="7"/>
  <c r="BA386" i="7"/>
  <c r="AT429" i="7"/>
  <c r="AT436" i="7"/>
  <c r="AW436" i="7"/>
  <c r="AF438" i="7"/>
  <c r="AI438" i="7"/>
  <c r="Z405" i="7"/>
  <c r="AA405" i="7"/>
  <c r="L457" i="7"/>
  <c r="M457" i="7"/>
  <c r="K459" i="7"/>
  <c r="L506" i="7"/>
  <c r="G516" i="7"/>
  <c r="B459" i="7"/>
  <c r="B507" i="7"/>
  <c r="D509" i="7"/>
  <c r="AX512" i="7"/>
  <c r="B499" i="7"/>
  <c r="AA198" i="7"/>
  <c r="V216" i="7"/>
  <c r="U216" i="7"/>
  <c r="BB167" i="7"/>
  <c r="BC167" i="7"/>
  <c r="AT207" i="7"/>
  <c r="BA164" i="7"/>
  <c r="BB160" i="7"/>
  <c r="BC160" i="7"/>
  <c r="AW364" i="7"/>
  <c r="V512" i="7"/>
  <c r="U512" i="7"/>
  <c r="M306" i="7"/>
  <c r="FP134" i="7"/>
  <c r="FQ134" i="7"/>
  <c r="FP135" i="7"/>
  <c r="BQ229" i="7"/>
  <c r="BB243" i="7"/>
  <c r="BC243" i="7"/>
  <c r="BA247" i="7"/>
  <c r="AT214" i="7"/>
  <c r="AW214" i="7"/>
  <c r="B491" i="7"/>
  <c r="BB310" i="7"/>
  <c r="BC310" i="7"/>
  <c r="BA314" i="7"/>
  <c r="AI287" i="7"/>
  <c r="AW213" i="7"/>
  <c r="CX283" i="7"/>
  <c r="Z244" i="7"/>
  <c r="AA244" i="7"/>
  <c r="Y248" i="7"/>
  <c r="D436" i="7"/>
  <c r="G436" i="7"/>
  <c r="AA304" i="7"/>
  <c r="AJ290" i="7"/>
  <c r="D363" i="7"/>
  <c r="G363" i="7"/>
  <c r="V288" i="7"/>
  <c r="AJ362" i="7"/>
  <c r="BB313" i="7"/>
  <c r="BC313" i="7"/>
  <c r="BC387" i="7"/>
  <c r="K421" i="7"/>
  <c r="B421" i="7"/>
  <c r="H436" i="7"/>
  <c r="H509" i="7"/>
  <c r="L455" i="7"/>
  <c r="M455" i="7"/>
  <c r="H510" i="7"/>
  <c r="G510" i="7"/>
  <c r="L448" i="7"/>
  <c r="AN247" i="7"/>
  <c r="AN289" i="7"/>
  <c r="AO289" i="7"/>
  <c r="AO247" i="7"/>
  <c r="AJ289" i="7"/>
  <c r="BL289" i="7"/>
  <c r="BK289" i="7"/>
  <c r="BP231" i="7"/>
  <c r="BP289" i="7"/>
  <c r="BQ289" i="7"/>
  <c r="BQ231" i="7"/>
  <c r="CQ230" i="7"/>
  <c r="CR229" i="7"/>
  <c r="BA245" i="7"/>
  <c r="Z240" i="7"/>
  <c r="AA240" i="7"/>
  <c r="L229" i="7"/>
  <c r="H287" i="7"/>
  <c r="M229" i="7"/>
  <c r="H361" i="7"/>
  <c r="H365" i="7"/>
  <c r="AA309" i="7"/>
  <c r="CD245" i="7"/>
  <c r="CD287" i="7"/>
  <c r="CE245" i="7"/>
  <c r="BA250" i="7"/>
  <c r="AX289" i="7"/>
  <c r="AF364" i="7"/>
  <c r="AI364" i="7"/>
  <c r="FP207" i="7"/>
  <c r="CD172" i="7"/>
  <c r="CE172" i="7"/>
  <c r="CD156" i="7"/>
  <c r="BZ214" i="7"/>
  <c r="BY214" i="7"/>
  <c r="BP190" i="7"/>
  <c r="BQ190" i="7"/>
  <c r="BP181" i="7"/>
  <c r="BQ181" i="7"/>
  <c r="BA187" i="7"/>
  <c r="BB187" i="7"/>
  <c r="BC187" i="7"/>
  <c r="BB183" i="7"/>
  <c r="BC183" i="7"/>
  <c r="L189" i="7"/>
  <c r="M189" i="7"/>
  <c r="B249" i="7"/>
  <c r="B393" i="7"/>
  <c r="AN380" i="7"/>
  <c r="AN303" i="7"/>
  <c r="AJ364" i="7"/>
  <c r="AO377" i="7"/>
  <c r="H438" i="7"/>
  <c r="BA395" i="7"/>
  <c r="BA404" i="7"/>
  <c r="AN407" i="7"/>
  <c r="AO407" i="7"/>
  <c r="AN408" i="7"/>
  <c r="AO408" i="7"/>
  <c r="AT512" i="7"/>
  <c r="D281" i="7"/>
  <c r="BH291" i="7"/>
  <c r="AT289" i="7"/>
  <c r="AW289" i="7"/>
  <c r="K239" i="7"/>
  <c r="Y243" i="7"/>
  <c r="Z239" i="7"/>
  <c r="CC167" i="7"/>
  <c r="CD163" i="7"/>
  <c r="CE163" i="7"/>
  <c r="EU230" i="7"/>
  <c r="AA303" i="7"/>
  <c r="H289" i="7"/>
  <c r="BA460" i="7"/>
  <c r="BB460" i="7"/>
  <c r="AM462" i="7"/>
  <c r="AN462" i="7"/>
  <c r="AO462" i="7"/>
  <c r="AM388" i="7"/>
  <c r="AN388" i="7"/>
  <c r="AM393" i="7"/>
  <c r="AN393" i="7"/>
  <c r="AO393" i="7"/>
  <c r="AN394" i="7"/>
  <c r="AO394" i="7"/>
  <c r="K396" i="7"/>
  <c r="AF510" i="7"/>
  <c r="AI510" i="7"/>
  <c r="M461" i="7"/>
  <c r="AN175" i="7"/>
  <c r="BQ163" i="7"/>
  <c r="BP163" i="7"/>
  <c r="FI153" i="7"/>
  <c r="FJ152" i="7"/>
  <c r="EH153" i="7"/>
  <c r="EG154" i="7"/>
  <c r="V361" i="7"/>
  <c r="AA307" i="7"/>
  <c r="Z312" i="7"/>
  <c r="AA312" i="7"/>
  <c r="AN314" i="7"/>
  <c r="AO314" i="7"/>
  <c r="AW437" i="7"/>
  <c r="AX509" i="7"/>
  <c r="L453" i="7"/>
  <c r="AX511" i="7"/>
  <c r="AW511" i="7"/>
  <c r="B483" i="7"/>
  <c r="AO246" i="7"/>
  <c r="CX207" i="7"/>
  <c r="HB156" i="7"/>
  <c r="HC156" i="7"/>
  <c r="HA157" i="7"/>
  <c r="BO164" i="7"/>
  <c r="BP160" i="7"/>
  <c r="BQ160" i="7"/>
  <c r="DF156" i="7"/>
  <c r="DG156" i="7"/>
  <c r="DE157" i="7"/>
  <c r="BK213" i="7"/>
  <c r="B233" i="7"/>
  <c r="AX438" i="7"/>
  <c r="D289" i="7"/>
  <c r="G289" i="7"/>
  <c r="M388" i="7"/>
  <c r="K269" i="7"/>
  <c r="B269" i="7"/>
  <c r="BP171" i="7"/>
  <c r="BQ171" i="7"/>
  <c r="H437" i="7"/>
  <c r="D438" i="7"/>
  <c r="K380" i="7"/>
  <c r="L380" i="7"/>
  <c r="BA385" i="7"/>
  <c r="L388" i="7"/>
  <c r="L437" i="7"/>
  <c r="M437" i="7"/>
  <c r="L451" i="7"/>
  <c r="B475" i="7"/>
  <c r="AF289" i="7"/>
  <c r="AF291" i="7"/>
  <c r="AA233" i="7"/>
  <c r="AN185" i="7"/>
  <c r="EU157" i="7"/>
  <c r="EV156" i="7"/>
  <c r="EW156" i="7"/>
  <c r="L188" i="7"/>
  <c r="M188" i="7"/>
  <c r="H435" i="7"/>
  <c r="H439" i="7"/>
  <c r="L389" i="7"/>
  <c r="M389" i="7"/>
  <c r="D290" i="7"/>
  <c r="CE249" i="7"/>
  <c r="AM244" i="7"/>
  <c r="AM185" i="7"/>
  <c r="AM189" i="7"/>
  <c r="AN189" i="7"/>
  <c r="AO189" i="7"/>
  <c r="AN181" i="7"/>
  <c r="AO181" i="7"/>
  <c r="GL152" i="7"/>
  <c r="GK153" i="7"/>
  <c r="B417" i="7"/>
  <c r="AM255" i="7"/>
  <c r="AN255" i="7"/>
  <c r="AO255" i="7"/>
  <c r="AN309" i="7"/>
  <c r="AO309" i="7"/>
  <c r="L311" i="7"/>
  <c r="M311" i="7"/>
  <c r="AN160" i="7"/>
  <c r="AO160" i="7"/>
  <c r="CD184" i="7"/>
  <c r="CE184" i="7"/>
  <c r="BP182" i="7"/>
  <c r="BQ182" i="7"/>
  <c r="BP175" i="7"/>
  <c r="BQ175" i="7"/>
  <c r="BP81" i="7"/>
  <c r="BL139" i="7"/>
  <c r="BP189" i="7"/>
  <c r="BQ189" i="7"/>
  <c r="DS154" i="7"/>
  <c r="DT153" i="7"/>
  <c r="BH216" i="7"/>
  <c r="Y169" i="7"/>
  <c r="Z169" i="7"/>
  <c r="AA169" i="7"/>
  <c r="B167" i="7"/>
  <c r="R215" i="7"/>
  <c r="BQ235" i="7"/>
  <c r="Z235" i="7"/>
  <c r="CE168" i="7"/>
  <c r="BL214" i="7"/>
  <c r="BK214" i="7"/>
  <c r="BL213" i="7"/>
  <c r="BL217" i="7"/>
  <c r="CR152" i="7"/>
  <c r="BB156" i="7"/>
  <c r="DL281" i="7"/>
  <c r="BV215" i="7"/>
  <c r="AN177" i="7"/>
  <c r="AN215" i="7"/>
  <c r="AO215" i="7"/>
  <c r="AO177" i="7"/>
  <c r="BB189" i="7"/>
  <c r="BC189" i="7"/>
  <c r="AX214" i="7"/>
  <c r="AX217" i="7"/>
  <c r="CX134" i="7"/>
  <c r="CY134" i="7"/>
  <c r="CX135" i="7"/>
  <c r="BV216" i="7"/>
  <c r="BY216" i="7"/>
  <c r="AO190" i="7"/>
  <c r="AN190" i="7"/>
  <c r="AN182" i="7"/>
  <c r="AO182" i="7"/>
  <c r="AO175" i="7"/>
  <c r="CD176" i="7"/>
  <c r="CE176" i="7"/>
  <c r="BP237" i="7"/>
  <c r="BQ237" i="7"/>
  <c r="BP186" i="7"/>
  <c r="BQ186" i="7"/>
  <c r="BP178" i="7"/>
  <c r="BQ178" i="7"/>
  <c r="BB173" i="7"/>
  <c r="BC173" i="7"/>
  <c r="BO237" i="7"/>
  <c r="BO241" i="7"/>
  <c r="BP233" i="7"/>
  <c r="BQ233" i="7"/>
  <c r="BP185" i="7"/>
  <c r="BQ185" i="7"/>
  <c r="B199" i="7"/>
  <c r="B171" i="7"/>
  <c r="HC78" i="7"/>
  <c r="CR156" i="7"/>
  <c r="CS156" i="7"/>
  <c r="CQ157" i="7"/>
  <c r="BB185" i="7"/>
  <c r="BC185" i="7"/>
  <c r="BA166" i="7"/>
  <c r="BB162" i="7"/>
  <c r="L190" i="7"/>
  <c r="M190" i="7"/>
  <c r="L183" i="7"/>
  <c r="M183" i="7"/>
  <c r="R134" i="7"/>
  <c r="S134" i="7"/>
  <c r="R135" i="7"/>
  <c r="FB133" i="7"/>
  <c r="GD133" i="7"/>
  <c r="B175" i="7"/>
  <c r="Y163" i="7"/>
  <c r="Z163" i="7"/>
  <c r="AA163" i="7"/>
  <c r="V140" i="7"/>
  <c r="AA82" i="7"/>
  <c r="HB154" i="7"/>
  <c r="Y167" i="7"/>
  <c r="BQ123" i="7"/>
  <c r="BL141" i="7"/>
  <c r="EW78" i="7"/>
  <c r="AO185" i="7"/>
  <c r="BQ174" i="7"/>
  <c r="GL158" i="7"/>
  <c r="GM158" i="7"/>
  <c r="BC156" i="7"/>
  <c r="B179" i="7"/>
  <c r="B195" i="7"/>
  <c r="DL133" i="7"/>
  <c r="BP88" i="7"/>
  <c r="BQ88" i="7"/>
  <c r="BL142" i="7"/>
  <c r="CD86" i="7"/>
  <c r="CC90" i="7"/>
  <c r="AN174" i="7"/>
  <c r="AO174" i="7"/>
  <c r="BB177" i="7"/>
  <c r="BC177" i="7"/>
  <c r="BA105" i="7"/>
  <c r="BB101" i="7"/>
  <c r="BC101" i="7"/>
  <c r="BB86" i="7"/>
  <c r="BC86" i="7"/>
  <c r="CD159" i="7"/>
  <c r="Y178" i="7"/>
  <c r="V215" i="7"/>
  <c r="V217" i="7"/>
  <c r="BP173" i="7"/>
  <c r="FX157" i="7"/>
  <c r="FY157" i="7"/>
  <c r="FW158" i="7"/>
  <c r="BB159" i="7"/>
  <c r="B203" i="7"/>
  <c r="EN135" i="7"/>
  <c r="EN134" i="7"/>
  <c r="EO134" i="7"/>
  <c r="AN84" i="7"/>
  <c r="AO84" i="7"/>
  <c r="AJ142" i="7"/>
  <c r="AI142" i="7"/>
  <c r="M85" i="7"/>
  <c r="BV139" i="7"/>
  <c r="BV133" i="7"/>
  <c r="CE95" i="7"/>
  <c r="BZ141" i="7"/>
  <c r="BY141" i="7"/>
  <c r="BP177" i="7"/>
  <c r="BQ177" i="7"/>
  <c r="BB181" i="7"/>
  <c r="BC181" i="7"/>
  <c r="Y160" i="7"/>
  <c r="HT133" i="7"/>
  <c r="AN95" i="7"/>
  <c r="AO95" i="7"/>
  <c r="AO89" i="7"/>
  <c r="BB96" i="7"/>
  <c r="CJ133" i="7"/>
  <c r="BO81" i="7"/>
  <c r="BH133" i="7"/>
  <c r="D59" i="7"/>
  <c r="K157" i="7"/>
  <c r="AM103" i="7"/>
  <c r="K94" i="7"/>
  <c r="D140" i="7"/>
  <c r="D133" i="7"/>
  <c r="BO87" i="7"/>
  <c r="BP87" i="7"/>
  <c r="CD81" i="7"/>
  <c r="CE81" i="7"/>
  <c r="D65" i="7"/>
  <c r="K11" i="7"/>
  <c r="L11" i="7"/>
  <c r="M11" i="7"/>
  <c r="B51" i="7"/>
  <c r="B183" i="7"/>
  <c r="Y173" i="7"/>
  <c r="K98" i="7"/>
  <c r="K102" i="7"/>
  <c r="AX142" i="7"/>
  <c r="AX140" i="7"/>
  <c r="AX143" i="7"/>
  <c r="DG78" i="7"/>
  <c r="Z83" i="7"/>
  <c r="AA83" i="7"/>
  <c r="B97" i="7"/>
  <c r="H67" i="7"/>
  <c r="BZ67" i="7"/>
  <c r="AN100" i="7"/>
  <c r="AO100" i="7"/>
  <c r="AO83" i="7"/>
  <c r="DF84" i="7"/>
  <c r="DG84" i="7"/>
  <c r="V139" i="7"/>
  <c r="AA81" i="7"/>
  <c r="Z81" i="7"/>
  <c r="DG83" i="7"/>
  <c r="BC100" i="7"/>
  <c r="Z86" i="7"/>
  <c r="AA86" i="7"/>
  <c r="B121" i="7"/>
  <c r="AO82" i="7"/>
  <c r="AN82" i="7"/>
  <c r="BL140" i="7"/>
  <c r="BK140" i="7"/>
  <c r="BV66" i="7"/>
  <c r="B15" i="7"/>
  <c r="AW139" i="7"/>
  <c r="AN105" i="7"/>
  <c r="AN139" i="7"/>
  <c r="AN87" i="7"/>
  <c r="AO87" i="7"/>
  <c r="AJ141" i="7"/>
  <c r="CS78" i="7"/>
  <c r="DZ281" i="7"/>
  <c r="FI80" i="7"/>
  <c r="FJ79" i="7"/>
  <c r="K162" i="7"/>
  <c r="G141" i="7"/>
  <c r="BZ139" i="7"/>
  <c r="AO93" i="7"/>
  <c r="HA79" i="7"/>
  <c r="BC83" i="7"/>
  <c r="EU80" i="7"/>
  <c r="EV79" i="7"/>
  <c r="EW79" i="7"/>
  <c r="AT66" i="7"/>
  <c r="AO98" i="7"/>
  <c r="CQ6" i="7"/>
  <c r="CR5" i="7"/>
  <c r="CS5" i="7"/>
  <c r="BB107" i="7"/>
  <c r="BC107" i="7"/>
  <c r="BC95" i="7"/>
  <c r="BB82" i="7"/>
  <c r="B129" i="7"/>
  <c r="AM108" i="7"/>
  <c r="BZ140" i="7"/>
  <c r="BY140" i="7"/>
  <c r="R67" i="7"/>
  <c r="BH68" i="7"/>
  <c r="AO86" i="7"/>
  <c r="BQ92" i="7"/>
  <c r="BB99" i="7"/>
  <c r="BC99" i="7"/>
  <c r="L95" i="7"/>
  <c r="M95" i="7"/>
  <c r="Y85" i="7"/>
  <c r="Z85" i="7"/>
  <c r="AA85" i="7"/>
  <c r="BO86" i="7"/>
  <c r="BO90" i="7"/>
  <c r="BP90" i="7"/>
  <c r="HT59" i="7"/>
  <c r="AN102" i="7"/>
  <c r="AO102" i="7"/>
  <c r="AO81" i="7"/>
  <c r="AJ139" i="7"/>
  <c r="Z91" i="7"/>
  <c r="AA91" i="7"/>
  <c r="V142" i="7"/>
  <c r="L94" i="7"/>
  <c r="M94" i="7"/>
  <c r="H139" i="7"/>
  <c r="H143" i="7"/>
  <c r="DZ133" i="7"/>
  <c r="R142" i="7"/>
  <c r="AM96" i="7"/>
  <c r="AM100" i="7"/>
  <c r="AM104" i="7"/>
  <c r="AN104" i="7"/>
  <c r="AO104" i="7"/>
  <c r="AF133" i="7"/>
  <c r="CX59" i="7"/>
  <c r="EE63" i="7"/>
  <c r="AN96" i="7"/>
  <c r="AO96" i="7"/>
  <c r="BQ84" i="7"/>
  <c r="BB108" i="7"/>
  <c r="BC108" i="7"/>
  <c r="L93" i="7"/>
  <c r="M93" i="7"/>
  <c r="HN133" i="7"/>
  <c r="AT133" i="7"/>
  <c r="AT140" i="7"/>
  <c r="BO85" i="7"/>
  <c r="CC85" i="7"/>
  <c r="CD85" i="7"/>
  <c r="CE85" i="7"/>
  <c r="CQ81" i="7"/>
  <c r="CR80" i="7"/>
  <c r="CO137" i="7"/>
  <c r="CJ59" i="7"/>
  <c r="R66" i="7"/>
  <c r="AJ68" i="7"/>
  <c r="AI68" i="7"/>
  <c r="BZ66" i="7"/>
  <c r="AO85" i="7"/>
  <c r="BC91" i="7"/>
  <c r="BC84" i="7"/>
  <c r="HH133" i="7"/>
  <c r="AF141" i="7"/>
  <c r="BA86" i="7"/>
  <c r="BO96" i="7"/>
  <c r="FW83" i="7"/>
  <c r="FX82" i="7"/>
  <c r="AJ67" i="7"/>
  <c r="B35" i="7"/>
  <c r="B159" i="7"/>
  <c r="B211" i="7"/>
  <c r="B220" i="7"/>
  <c r="K159" i="7"/>
  <c r="BQ90" i="7"/>
  <c r="BP82" i="7"/>
  <c r="L91" i="7"/>
  <c r="M91" i="7"/>
  <c r="H141" i="7"/>
  <c r="M83" i="7"/>
  <c r="R140" i="7"/>
  <c r="B89" i="7"/>
  <c r="BA92" i="7"/>
  <c r="BA96" i="7"/>
  <c r="AT142" i="7"/>
  <c r="AW142" i="7"/>
  <c r="K93" i="7"/>
  <c r="K97" i="7"/>
  <c r="B93" i="7"/>
  <c r="K84" i="7"/>
  <c r="K88" i="7"/>
  <c r="B81" i="7"/>
  <c r="D142" i="7"/>
  <c r="G142" i="7"/>
  <c r="GR133" i="7"/>
  <c r="FB59" i="7"/>
  <c r="GD59" i="7"/>
  <c r="BB89" i="7"/>
  <c r="BC89" i="7"/>
  <c r="Y94" i="7"/>
  <c r="DZ59" i="7"/>
  <c r="AJ65" i="7"/>
  <c r="BL65" i="7"/>
  <c r="B11" i="7"/>
  <c r="Z90" i="7"/>
  <c r="AA90" i="7"/>
  <c r="DS83" i="7"/>
  <c r="DT82" i="7"/>
  <c r="DU82" i="7"/>
  <c r="BH67" i="7"/>
  <c r="H66" i="7"/>
  <c r="Z95" i="7"/>
  <c r="AA95" i="7"/>
  <c r="L87" i="7"/>
  <c r="B125" i="7"/>
  <c r="BA90" i="7"/>
  <c r="BB90" i="7"/>
  <c r="BC90" i="7"/>
  <c r="B39" i="7"/>
  <c r="Z100" i="7"/>
  <c r="AA100" i="7"/>
  <c r="L86" i="7"/>
  <c r="K89" i="7"/>
  <c r="L89" i="7"/>
  <c r="GK80" i="7"/>
  <c r="GL79" i="7"/>
  <c r="GM79" i="7"/>
  <c r="GI63" i="7"/>
  <c r="R65" i="7"/>
  <c r="V66" i="7"/>
  <c r="AX66" i="7"/>
  <c r="B19" i="7"/>
  <c r="BB97" i="7"/>
  <c r="BC97" i="7"/>
  <c r="B105" i="7"/>
  <c r="B101" i="7"/>
  <c r="V65" i="7"/>
  <c r="AF67" i="7"/>
  <c r="BL68" i="7"/>
  <c r="BL66" i="7"/>
  <c r="R68" i="7"/>
  <c r="B23" i="7"/>
  <c r="K55" i="7"/>
  <c r="B55" i="7"/>
  <c r="GL78" i="7"/>
  <c r="AX65" i="7"/>
  <c r="AF66" i="7"/>
  <c r="D67" i="7"/>
  <c r="HH59" i="7"/>
  <c r="D66" i="7"/>
  <c r="BV68" i="7"/>
  <c r="B47" i="7"/>
  <c r="BV59" i="7"/>
  <c r="CD67" i="7"/>
  <c r="BB93" i="7"/>
  <c r="BC93" i="7"/>
  <c r="Z104" i="7"/>
  <c r="AA104" i="7"/>
  <c r="L99" i="7"/>
  <c r="M99" i="7"/>
  <c r="BA94" i="7"/>
  <c r="BB94" i="7"/>
  <c r="BC94" i="7"/>
  <c r="BO91" i="7"/>
  <c r="BP91" i="7"/>
  <c r="BQ91" i="7"/>
  <c r="BV67" i="7"/>
  <c r="L98" i="7"/>
  <c r="M98" i="7"/>
  <c r="Y104" i="7"/>
  <c r="Y108" i="7"/>
  <c r="H65" i="7"/>
  <c r="BL67" i="7"/>
  <c r="AX68" i="7"/>
  <c r="DZ207" i="7"/>
  <c r="DL59" i="7"/>
  <c r="BH59" i="7"/>
  <c r="BH65" i="7"/>
  <c r="K18" i="7"/>
  <c r="L18" i="7"/>
  <c r="M18" i="7"/>
  <c r="B27" i="7"/>
  <c r="BH66" i="7"/>
  <c r="D68" i="7"/>
  <c r="G68" i="7"/>
  <c r="B43" i="7"/>
  <c r="HN59" i="7"/>
  <c r="AF65" i="7"/>
  <c r="AF59" i="7"/>
  <c r="BZ65" i="7"/>
  <c r="AJ66" i="7"/>
  <c r="V67" i="7"/>
  <c r="GR59" i="7"/>
  <c r="AX67" i="7"/>
  <c r="AW67" i="7"/>
  <c r="CD68" i="7"/>
  <c r="AT59" i="7"/>
  <c r="AT65" i="7"/>
  <c r="V68" i="7"/>
  <c r="AT68" i="7"/>
  <c r="B31" i="7"/>
  <c r="BZ143" i="7"/>
  <c r="EN60" i="7"/>
  <c r="EO60" i="7"/>
  <c r="R60" i="7"/>
  <c r="S60" i="7"/>
  <c r="K15" i="7"/>
  <c r="BK66" i="7"/>
  <c r="CE67" i="7"/>
  <c r="BY68" i="7"/>
  <c r="AW68" i="7"/>
  <c r="K13" i="7"/>
  <c r="L13" i="7"/>
  <c r="M13" i="7"/>
  <c r="H69" i="7"/>
  <c r="G66" i="7"/>
  <c r="AX69" i="7"/>
  <c r="K22" i="7"/>
  <c r="CE68" i="7"/>
  <c r="AJ69" i="7"/>
  <c r="BY66" i="7"/>
  <c r="BY67" i="7"/>
  <c r="AW66" i="7"/>
  <c r="AO139" i="7"/>
  <c r="K101" i="7"/>
  <c r="L97" i="7"/>
  <c r="M97" i="7"/>
  <c r="M89" i="7"/>
  <c r="Z108" i="7"/>
  <c r="AA108" i="7"/>
  <c r="DZ62" i="7"/>
  <c r="DZ134" i="7"/>
  <c r="EA134" i="7"/>
  <c r="DZ135" i="7"/>
  <c r="Y171" i="7"/>
  <c r="Z167" i="7"/>
  <c r="GL229" i="7"/>
  <c r="GK230" i="7"/>
  <c r="HH283" i="7"/>
  <c r="HH282" i="7"/>
  <c r="HI282" i="7"/>
  <c r="AW361" i="7"/>
  <c r="AX365" i="7"/>
  <c r="BV61" i="7"/>
  <c r="BV60" i="7"/>
  <c r="BW60" i="7"/>
  <c r="GM78" i="7"/>
  <c r="K92" i="7"/>
  <c r="L88" i="7"/>
  <c r="M88" i="7"/>
  <c r="Y177" i="7"/>
  <c r="Z173" i="7"/>
  <c r="AA173" i="7"/>
  <c r="FX158" i="7"/>
  <c r="FY158" i="7"/>
  <c r="FW159" i="7"/>
  <c r="FB134" i="7"/>
  <c r="FC134" i="7"/>
  <c r="FB135" i="7"/>
  <c r="AA235" i="7"/>
  <c r="G290" i="7"/>
  <c r="DE158" i="7"/>
  <c r="DF157" i="7"/>
  <c r="DG157" i="7"/>
  <c r="FK152" i="7"/>
  <c r="Y247" i="7"/>
  <c r="Z243" i="7"/>
  <c r="AA243" i="7"/>
  <c r="BA399" i="7"/>
  <c r="BB395" i="7"/>
  <c r="BC395" i="7"/>
  <c r="D291" i="7"/>
  <c r="G361" i="7"/>
  <c r="M305" i="7"/>
  <c r="AF431" i="7"/>
  <c r="AF430" i="7"/>
  <c r="AG430" i="7"/>
  <c r="AM397" i="7"/>
  <c r="BB511" i="7"/>
  <c r="BC511" i="7"/>
  <c r="BC462" i="7"/>
  <c r="Y249" i="7"/>
  <c r="Z245" i="7"/>
  <c r="AA245" i="7"/>
  <c r="BB503" i="7"/>
  <c r="BC504" i="7"/>
  <c r="DC63" i="7"/>
  <c r="U509" i="7"/>
  <c r="R513" i="7"/>
  <c r="C516" i="7"/>
  <c r="BQ234" i="7"/>
  <c r="EI153" i="7"/>
  <c r="BB404" i="7"/>
  <c r="BA408" i="7"/>
  <c r="BB408" i="7"/>
  <c r="BC408" i="7"/>
  <c r="FP282" i="7"/>
  <c r="FQ282" i="7"/>
  <c r="FP283" i="7"/>
  <c r="DL60" i="7"/>
  <c r="DM60" i="7"/>
  <c r="DL61" i="7"/>
  <c r="AO105" i="7"/>
  <c r="DZ136" i="7"/>
  <c r="DZ209" i="7"/>
  <c r="DZ208" i="7"/>
  <c r="EA208" i="7"/>
  <c r="DZ61" i="7"/>
  <c r="DZ60" i="7"/>
  <c r="EA60" i="7"/>
  <c r="CS80" i="7"/>
  <c r="AT143" i="7"/>
  <c r="D61" i="7"/>
  <c r="D60" i="7"/>
  <c r="E60" i="7"/>
  <c r="BC96" i="7"/>
  <c r="BP86" i="7"/>
  <c r="BQ86" i="7"/>
  <c r="BB105" i="7"/>
  <c r="BC105" i="7"/>
  <c r="HC154" i="7"/>
  <c r="L459" i="7"/>
  <c r="M459" i="7"/>
  <c r="M451" i="7"/>
  <c r="FI154" i="7"/>
  <c r="FJ153" i="7"/>
  <c r="FK153" i="7"/>
  <c r="AO388" i="7"/>
  <c r="AN437" i="7"/>
  <c r="AO437" i="7"/>
  <c r="L239" i="7"/>
  <c r="K243" i="7"/>
  <c r="H291" i="7"/>
  <c r="G287" i="7"/>
  <c r="BB247" i="7"/>
  <c r="BC247" i="7"/>
  <c r="BA251" i="7"/>
  <c r="D365" i="7"/>
  <c r="Y246" i="7"/>
  <c r="Z242" i="7"/>
  <c r="AA242" i="7"/>
  <c r="AW362" i="7"/>
  <c r="AT365" i="7"/>
  <c r="BB512" i="7"/>
  <c r="BC512" i="7"/>
  <c r="AO162" i="7"/>
  <c r="K394" i="7"/>
  <c r="L390" i="7"/>
  <c r="M390" i="7"/>
  <c r="AA241" i="7"/>
  <c r="BC509" i="7"/>
  <c r="AT291" i="7"/>
  <c r="BV282" i="7"/>
  <c r="BW282" i="7"/>
  <c r="BV283" i="7"/>
  <c r="CD283" i="7"/>
  <c r="CE283" i="7"/>
  <c r="BO242" i="7"/>
  <c r="BP238" i="7"/>
  <c r="B137" i="7"/>
  <c r="B146" i="7"/>
  <c r="AX513" i="7"/>
  <c r="AW509" i="7"/>
  <c r="AA239" i="7"/>
  <c r="G214" i="7"/>
  <c r="D217" i="7"/>
  <c r="BB323" i="7"/>
  <c r="BC323" i="7"/>
  <c r="BA327" i="7"/>
  <c r="BQ82" i="7"/>
  <c r="FY82" i="7"/>
  <c r="CR81" i="7"/>
  <c r="CS81" i="7"/>
  <c r="CQ82" i="7"/>
  <c r="BC82" i="7"/>
  <c r="L162" i="7"/>
  <c r="K166" i="7"/>
  <c r="AN140" i="7"/>
  <c r="AO140" i="7"/>
  <c r="BQ173" i="7"/>
  <c r="BP215" i="7"/>
  <c r="BQ215" i="7"/>
  <c r="CE215" i="7"/>
  <c r="BY215" i="7"/>
  <c r="BL143" i="7"/>
  <c r="L287" i="7"/>
  <c r="L510" i="7"/>
  <c r="M510" i="7"/>
  <c r="M448" i="7"/>
  <c r="D513" i="7"/>
  <c r="G509" i="7"/>
  <c r="AA380" i="7"/>
  <c r="AT356" i="7"/>
  <c r="AU356" i="7"/>
  <c r="AT357" i="7"/>
  <c r="AX291" i="7"/>
  <c r="BA337" i="7"/>
  <c r="BB337" i="7"/>
  <c r="BC337" i="7"/>
  <c r="BB333" i="7"/>
  <c r="BC333" i="7"/>
  <c r="AI437" i="7"/>
  <c r="V513" i="7"/>
  <c r="G435" i="7"/>
  <c r="D439" i="7"/>
  <c r="AM319" i="7"/>
  <c r="AN315" i="7"/>
  <c r="AO315" i="7"/>
  <c r="Y164" i="7"/>
  <c r="Z160" i="7"/>
  <c r="AO306" i="7"/>
  <c r="AI435" i="7"/>
  <c r="L318" i="7"/>
  <c r="M318" i="7"/>
  <c r="K322" i="7"/>
  <c r="Z505" i="7"/>
  <c r="AA505" i="7"/>
  <c r="EG80" i="7"/>
  <c r="EH79" i="7"/>
  <c r="EI79" i="7"/>
  <c r="BL291" i="7"/>
  <c r="DE229" i="7"/>
  <c r="DC285" i="7"/>
  <c r="DF228" i="7"/>
  <c r="AJ365" i="7"/>
  <c r="HH135" i="7"/>
  <c r="HH134" i="7"/>
  <c r="HI134" i="7"/>
  <c r="FX83" i="7"/>
  <c r="FY83" i="7"/>
  <c r="FW84" i="7"/>
  <c r="BA254" i="7"/>
  <c r="BB254" i="7"/>
  <c r="BC254" i="7"/>
  <c r="BB250" i="7"/>
  <c r="BC250" i="7"/>
  <c r="AT505" i="7"/>
  <c r="BB505" i="7"/>
  <c r="BC505" i="7"/>
  <c r="AT504" i="7"/>
  <c r="AU504" i="7"/>
  <c r="GR60" i="7"/>
  <c r="GU60" i="7"/>
  <c r="GR61" i="7"/>
  <c r="FK79" i="7"/>
  <c r="BZ69" i="7"/>
  <c r="BB92" i="7"/>
  <c r="CC89" i="7"/>
  <c r="GD61" i="7"/>
  <c r="GD60" i="7"/>
  <c r="GE60" i="7"/>
  <c r="L159" i="7"/>
  <c r="K163" i="7"/>
  <c r="ES63" i="7"/>
  <c r="U67" i="7"/>
  <c r="FI81" i="7"/>
  <c r="FG137" i="7"/>
  <c r="FJ80" i="7"/>
  <c r="FK80" i="7"/>
  <c r="D135" i="7"/>
  <c r="D134" i="7"/>
  <c r="E134" i="7"/>
  <c r="DL135" i="7"/>
  <c r="DL134" i="7"/>
  <c r="DM134" i="7"/>
  <c r="M380" i="7"/>
  <c r="D283" i="7"/>
  <c r="D282" i="7"/>
  <c r="E282" i="7"/>
  <c r="AN438" i="7"/>
  <c r="AO438" i="7"/>
  <c r="AO380" i="7"/>
  <c r="CD291" i="7"/>
  <c r="CE291" i="7"/>
  <c r="CE287" i="7"/>
  <c r="BB245" i="7"/>
  <c r="BA249" i="7"/>
  <c r="H513" i="7"/>
  <c r="BA168" i="7"/>
  <c r="BB164" i="7"/>
  <c r="BC164" i="7"/>
  <c r="B433" i="7"/>
  <c r="AM308" i="7"/>
  <c r="AN304" i="7"/>
  <c r="U436" i="7"/>
  <c r="BC234" i="7"/>
  <c r="AM322" i="7"/>
  <c r="AN318" i="7"/>
  <c r="AO318" i="7"/>
  <c r="U437" i="7"/>
  <c r="K256" i="7"/>
  <c r="L256" i="7"/>
  <c r="M256" i="7"/>
  <c r="L252" i="7"/>
  <c r="M252" i="7"/>
  <c r="EI78" i="7"/>
  <c r="GX284" i="7"/>
  <c r="GY284" i="7"/>
  <c r="AO454" i="7"/>
  <c r="AM253" i="7"/>
  <c r="AN253" i="7"/>
  <c r="AN249" i="7"/>
  <c r="Z326" i="7"/>
  <c r="AA326" i="7"/>
  <c r="Y330" i="7"/>
  <c r="AN108" i="7"/>
  <c r="AO108" i="7"/>
  <c r="HT60" i="7"/>
  <c r="HU60" i="7"/>
  <c r="HT61" i="7"/>
  <c r="U215" i="7"/>
  <c r="R217" i="7"/>
  <c r="AT431" i="7"/>
  <c r="AT430" i="7"/>
  <c r="AU430" i="7"/>
  <c r="AI361" i="7"/>
  <c r="AF365" i="7"/>
  <c r="Z400" i="7"/>
  <c r="AA400" i="7"/>
  <c r="Y404" i="7"/>
  <c r="M87" i="7"/>
  <c r="EU81" i="7"/>
  <c r="EV80" i="7"/>
  <c r="EW80" i="7"/>
  <c r="ES137" i="7"/>
  <c r="BA389" i="7"/>
  <c r="BA393" i="7"/>
  <c r="BB385" i="7"/>
  <c r="BB510" i="7"/>
  <c r="BC510" i="7"/>
  <c r="BC460" i="7"/>
  <c r="Y317" i="7"/>
  <c r="Z313" i="7"/>
  <c r="AA313" i="7"/>
  <c r="AF60" i="7"/>
  <c r="AG60" i="7"/>
  <c r="AF61" i="7"/>
  <c r="G67" i="7"/>
  <c r="AI67" i="7"/>
  <c r="GK81" i="7"/>
  <c r="GL80" i="7"/>
  <c r="GM80" i="7"/>
  <c r="GI137" i="7"/>
  <c r="FB60" i="7"/>
  <c r="FC60" i="7"/>
  <c r="FB61" i="7"/>
  <c r="U140" i="7"/>
  <c r="R143" i="7"/>
  <c r="BO100" i="7"/>
  <c r="BP96" i="7"/>
  <c r="BQ96" i="7"/>
  <c r="BO89" i="7"/>
  <c r="BP85" i="7"/>
  <c r="BQ85" i="7"/>
  <c r="CX60" i="7"/>
  <c r="CY60" i="7"/>
  <c r="CX61" i="7"/>
  <c r="AJ143" i="7"/>
  <c r="AI139" i="7"/>
  <c r="BQ87" i="7"/>
  <c r="CO63" i="7"/>
  <c r="CR6" i="7"/>
  <c r="CQ7" i="7"/>
  <c r="DZ210" i="7"/>
  <c r="DZ282" i="7"/>
  <c r="EA282" i="7"/>
  <c r="DZ283" i="7"/>
  <c r="D143" i="7"/>
  <c r="G140" i="7"/>
  <c r="Y182" i="7"/>
  <c r="Z178" i="7"/>
  <c r="BK139" i="7"/>
  <c r="BK216" i="7"/>
  <c r="BH217" i="7"/>
  <c r="GL153" i="7"/>
  <c r="GM153" i="7"/>
  <c r="GK154" i="7"/>
  <c r="EU158" i="7"/>
  <c r="EV157" i="7"/>
  <c r="EW157" i="7"/>
  <c r="G438" i="7"/>
  <c r="CX208" i="7"/>
  <c r="CY208" i="7"/>
  <c r="CX209" i="7"/>
  <c r="AW512" i="7"/>
  <c r="CS229" i="7"/>
  <c r="AT208" i="7"/>
  <c r="AU208" i="7"/>
  <c r="AT209" i="7"/>
  <c r="AJ291" i="7"/>
  <c r="R365" i="7"/>
  <c r="U361" i="7"/>
  <c r="AF357" i="7"/>
  <c r="AF356" i="7"/>
  <c r="AG356" i="7"/>
  <c r="AA238" i="7"/>
  <c r="K313" i="7"/>
  <c r="R430" i="7"/>
  <c r="S430" i="7"/>
  <c r="R431" i="7"/>
  <c r="BB236" i="7"/>
  <c r="BC236" i="7"/>
  <c r="BA240" i="7"/>
  <c r="D430" i="7"/>
  <c r="E430" i="7"/>
  <c r="D431" i="7"/>
  <c r="K161" i="7"/>
  <c r="L157" i="7"/>
  <c r="DL282" i="7"/>
  <c r="DM282" i="7"/>
  <c r="DL283" i="7"/>
  <c r="AN183" i="7"/>
  <c r="AO183" i="7"/>
  <c r="AM187" i="7"/>
  <c r="AN187" i="7"/>
  <c r="AO187" i="7"/>
  <c r="BK67" i="7"/>
  <c r="HB157" i="7"/>
  <c r="HC157" i="7"/>
  <c r="HA158" i="7"/>
  <c r="B359" i="7"/>
  <c r="AI65" i="7"/>
  <c r="AF69" i="7"/>
  <c r="BO95" i="7"/>
  <c r="AN66" i="7"/>
  <c r="AO66" i="7"/>
  <c r="DS84" i="7"/>
  <c r="DT83" i="7"/>
  <c r="DU83" i="7"/>
  <c r="GR135" i="7"/>
  <c r="GR134" i="7"/>
  <c r="GU134" i="7"/>
  <c r="AW140" i="7"/>
  <c r="AF135" i="7"/>
  <c r="AF134" i="7"/>
  <c r="AG134" i="7"/>
  <c r="BO94" i="7"/>
  <c r="CJ134" i="7"/>
  <c r="CK134" i="7"/>
  <c r="CJ135" i="7"/>
  <c r="BV134" i="7"/>
  <c r="BW134" i="7"/>
  <c r="BV135" i="7"/>
  <c r="BC162" i="7"/>
  <c r="CS152" i="7"/>
  <c r="GM152" i="7"/>
  <c r="EU231" i="7"/>
  <c r="EV230" i="7"/>
  <c r="CE156" i="7"/>
  <c r="CR230" i="7"/>
  <c r="CS230" i="7"/>
  <c r="CQ231" i="7"/>
  <c r="HT283" i="7"/>
  <c r="HT282" i="7"/>
  <c r="HU282" i="7"/>
  <c r="AI362" i="7"/>
  <c r="U288" i="7"/>
  <c r="BP216" i="7"/>
  <c r="BQ216" i="7"/>
  <c r="AT217" i="7"/>
  <c r="V439" i="7"/>
  <c r="Z432" i="7"/>
  <c r="Z398" i="7"/>
  <c r="AA398" i="7"/>
  <c r="Y402" i="7"/>
  <c r="BK142" i="7"/>
  <c r="BH143" i="7"/>
  <c r="AF505" i="7"/>
  <c r="AF504" i="7"/>
  <c r="AG504" i="7"/>
  <c r="AN179" i="7"/>
  <c r="AO179" i="7"/>
  <c r="R439" i="7"/>
  <c r="U435" i="7"/>
  <c r="BH134" i="7"/>
  <c r="BI134" i="7"/>
  <c r="BH135" i="7"/>
  <c r="HN60" i="7"/>
  <c r="HO60" i="7"/>
  <c r="HN61" i="7"/>
  <c r="BB68" i="7"/>
  <c r="BC68" i="7"/>
  <c r="BA98" i="7"/>
  <c r="K12" i="7"/>
  <c r="AI66" i="7"/>
  <c r="U68" i="7"/>
  <c r="V69" i="7"/>
  <c r="Z94" i="7"/>
  <c r="Y98" i="7"/>
  <c r="U66" i="7"/>
  <c r="AT135" i="7"/>
  <c r="AT134" i="7"/>
  <c r="AU134" i="7"/>
  <c r="BK68" i="7"/>
  <c r="HB79" i="7"/>
  <c r="HA80" i="7"/>
  <c r="Z141" i="7"/>
  <c r="AA141" i="7"/>
  <c r="K106" i="7"/>
  <c r="L102" i="7"/>
  <c r="M102" i="7"/>
  <c r="BY139" i="7"/>
  <c r="BV143" i="7"/>
  <c r="BA170" i="7"/>
  <c r="BB166" i="7"/>
  <c r="DU153" i="7"/>
  <c r="V365" i="7"/>
  <c r="V291" i="7"/>
  <c r="K320" i="7"/>
  <c r="L316" i="7"/>
  <c r="M316" i="7"/>
  <c r="DP283" i="7"/>
  <c r="DQ283" i="7"/>
  <c r="CE216" i="7"/>
  <c r="AA377" i="7"/>
  <c r="L107" i="7"/>
  <c r="M107" i="7"/>
  <c r="BB506" i="7"/>
  <c r="AI509" i="7"/>
  <c r="AF513" i="7"/>
  <c r="CJ282" i="7"/>
  <c r="CK282" i="7"/>
  <c r="CJ283" i="7"/>
  <c r="G437" i="7"/>
  <c r="BH61" i="7"/>
  <c r="BH60" i="7"/>
  <c r="BI60" i="7"/>
  <c r="BC159" i="7"/>
  <c r="D357" i="7"/>
  <c r="D356" i="7"/>
  <c r="E356" i="7"/>
  <c r="Z248" i="7"/>
  <c r="AA248" i="7"/>
  <c r="Y252" i="7"/>
  <c r="EG230" i="7"/>
  <c r="EH229" i="7"/>
  <c r="EI229" i="7"/>
  <c r="AT60" i="7"/>
  <c r="AU60" i="7"/>
  <c r="AT61" i="7"/>
  <c r="GY63" i="7"/>
  <c r="BK65" i="7"/>
  <c r="BH69" i="7"/>
  <c r="U65" i="7"/>
  <c r="R69" i="7"/>
  <c r="CJ61" i="7"/>
  <c r="CJ60" i="7"/>
  <c r="CK60" i="7"/>
  <c r="HN134" i="7"/>
  <c r="HO134" i="7"/>
  <c r="HN135" i="7"/>
  <c r="U142" i="7"/>
  <c r="BY65" i="7"/>
  <c r="G139" i="7"/>
  <c r="U139" i="7"/>
  <c r="V143" i="7"/>
  <c r="DB135" i="7"/>
  <c r="DC135" i="7"/>
  <c r="B63" i="7"/>
  <c r="B72" i="7"/>
  <c r="AM107" i="7"/>
  <c r="AN136" i="7"/>
  <c r="AN103" i="7"/>
  <c r="HT135" i="7"/>
  <c r="HT134" i="7"/>
  <c r="HU134" i="7"/>
  <c r="CE159" i="7"/>
  <c r="CD90" i="7"/>
  <c r="CE90" i="7"/>
  <c r="CC94" i="7"/>
  <c r="DS155" i="7"/>
  <c r="DQ211" i="7"/>
  <c r="DT154" i="7"/>
  <c r="DU154" i="7"/>
  <c r="BA318" i="7"/>
  <c r="BB314" i="7"/>
  <c r="BO187" i="7"/>
  <c r="BP187" i="7"/>
  <c r="BQ187" i="7"/>
  <c r="BP183" i="7"/>
  <c r="BQ183" i="7"/>
  <c r="R356" i="7"/>
  <c r="S356" i="7"/>
  <c r="R357" i="7"/>
  <c r="AT439" i="7"/>
  <c r="AW435" i="7"/>
  <c r="BV291" i="7"/>
  <c r="BV217" i="7"/>
  <c r="AW510" i="7"/>
  <c r="AT513" i="7"/>
  <c r="CE289" i="7"/>
  <c r="FX229" i="7"/>
  <c r="FW230" i="7"/>
  <c r="AN451" i="7"/>
  <c r="AM455" i="7"/>
  <c r="BH283" i="7"/>
  <c r="BH282" i="7"/>
  <c r="BI282" i="7"/>
  <c r="B285" i="7"/>
  <c r="B294" i="7"/>
  <c r="L323" i="7"/>
  <c r="M323" i="7"/>
  <c r="K327" i="7"/>
  <c r="AM172" i="7"/>
  <c r="AN168" i="7"/>
  <c r="AO168" i="7"/>
  <c r="BO168" i="7"/>
  <c r="BP164" i="7"/>
  <c r="BA328" i="7"/>
  <c r="BB324" i="7"/>
  <c r="BC324" i="7"/>
  <c r="BQ81" i="7"/>
  <c r="AO303" i="7"/>
  <c r="BA390" i="7"/>
  <c r="BA394" i="7"/>
  <c r="BB386" i="7"/>
  <c r="AT69" i="7"/>
  <c r="AW65" i="7"/>
  <c r="HH60" i="7"/>
  <c r="HI60" i="7"/>
  <c r="HH61" i="7"/>
  <c r="M86" i="7"/>
  <c r="BL69" i="7"/>
  <c r="AF143" i="7"/>
  <c r="AI141" i="7"/>
  <c r="L84" i="7"/>
  <c r="Y89" i="7"/>
  <c r="BV69" i="7"/>
  <c r="G65" i="7"/>
  <c r="D69" i="7"/>
  <c r="CE86" i="7"/>
  <c r="GD134" i="7"/>
  <c r="GE134" i="7"/>
  <c r="GD135" i="7"/>
  <c r="CR157" i="7"/>
  <c r="CS157" i="7"/>
  <c r="CQ158" i="7"/>
  <c r="BO245" i="7"/>
  <c r="BP241" i="7"/>
  <c r="BQ241" i="7"/>
  <c r="AM248" i="7"/>
  <c r="AN244" i="7"/>
  <c r="AI289" i="7"/>
  <c r="M453" i="7"/>
  <c r="L511" i="7"/>
  <c r="M511" i="7"/>
  <c r="EH154" i="7"/>
  <c r="EI154" i="7"/>
  <c r="EG155" i="7"/>
  <c r="EE211" i="7"/>
  <c r="K400" i="7"/>
  <c r="L396" i="7"/>
  <c r="M396" i="7"/>
  <c r="CC171" i="7"/>
  <c r="CD167" i="7"/>
  <c r="CE167" i="7"/>
  <c r="FP209" i="7"/>
  <c r="FP208" i="7"/>
  <c r="FQ208" i="7"/>
  <c r="Z513" i="7"/>
  <c r="AA509" i="7"/>
  <c r="AO155" i="7"/>
  <c r="D208" i="7"/>
  <c r="E208" i="7"/>
  <c r="D209" i="7"/>
  <c r="Y319" i="7"/>
  <c r="Z315" i="7"/>
  <c r="AA315" i="7"/>
  <c r="AN398" i="7"/>
  <c r="AO398" i="7"/>
  <c r="AM402" i="7"/>
  <c r="AM321" i="7"/>
  <c r="AN317" i="7"/>
  <c r="HN282" i="7"/>
  <c r="HO282" i="7"/>
  <c r="HN283" i="7"/>
  <c r="FB283" i="7"/>
  <c r="FF284" i="7"/>
  <c r="FG284" i="7"/>
  <c r="FB282" i="7"/>
  <c r="FC282" i="7"/>
  <c r="Y407" i="7"/>
  <c r="Z407" i="7"/>
  <c r="AA407" i="7"/>
  <c r="Z403" i="7"/>
  <c r="AA403" i="7"/>
  <c r="K17" i="7"/>
  <c r="K19" i="7"/>
  <c r="L15" i="7"/>
  <c r="M15" i="7"/>
  <c r="L22" i="7"/>
  <c r="M22" i="7"/>
  <c r="K26" i="7"/>
  <c r="FW231" i="7"/>
  <c r="FX230" i="7"/>
  <c r="FY230" i="7"/>
  <c r="K165" i="7"/>
  <c r="L161" i="7"/>
  <c r="M161" i="7"/>
  <c r="L313" i="7"/>
  <c r="K317" i="7"/>
  <c r="CS6" i="7"/>
  <c r="M159" i="7"/>
  <c r="L509" i="7"/>
  <c r="BQ238" i="7"/>
  <c r="AM325" i="7"/>
  <c r="AN321" i="7"/>
  <c r="AO321" i="7"/>
  <c r="K326" i="7"/>
  <c r="L322" i="7"/>
  <c r="M322" i="7"/>
  <c r="BO246" i="7"/>
  <c r="BP242" i="7"/>
  <c r="BQ242" i="7"/>
  <c r="DE159" i="7"/>
  <c r="DF158" i="7"/>
  <c r="DG158" i="7"/>
  <c r="AM406" i="7"/>
  <c r="AN406" i="7"/>
  <c r="AO406" i="7"/>
  <c r="AN402" i="7"/>
  <c r="AO402" i="7"/>
  <c r="CD171" i="7"/>
  <c r="CE171" i="7"/>
  <c r="CC175" i="7"/>
  <c r="BO249" i="7"/>
  <c r="BP245" i="7"/>
  <c r="AM176" i="7"/>
  <c r="AN172" i="7"/>
  <c r="AO172" i="7"/>
  <c r="AO103" i="7"/>
  <c r="L106" i="7"/>
  <c r="M106" i="7"/>
  <c r="HB158" i="7"/>
  <c r="HC158" i="7"/>
  <c r="HA159" i="7"/>
  <c r="AO304" i="7"/>
  <c r="L503" i="7"/>
  <c r="BA331" i="7"/>
  <c r="BB327" i="7"/>
  <c r="AN65" i="7"/>
  <c r="Y181" i="7"/>
  <c r="Z177" i="7"/>
  <c r="AM323" i="7"/>
  <c r="AN319" i="7"/>
  <c r="L243" i="7"/>
  <c r="K247" i="7"/>
  <c r="M157" i="7"/>
  <c r="L327" i="7"/>
  <c r="M327" i="7"/>
  <c r="K331" i="7"/>
  <c r="GL230" i="7"/>
  <c r="GM230" i="7"/>
  <c r="GK231" i="7"/>
  <c r="K404" i="7"/>
  <c r="L400" i="7"/>
  <c r="M400" i="7"/>
  <c r="C442" i="7"/>
  <c r="CC93" i="7"/>
  <c r="CD89" i="7"/>
  <c r="DG228" i="7"/>
  <c r="Z246" i="7"/>
  <c r="AA246" i="7"/>
  <c r="Y250" i="7"/>
  <c r="FI155" i="7"/>
  <c r="FJ154" i="7"/>
  <c r="FK154" i="7"/>
  <c r="FG211" i="7"/>
  <c r="GM229" i="7"/>
  <c r="M84" i="7"/>
  <c r="BB318" i="7"/>
  <c r="BA322" i="7"/>
  <c r="HA81" i="7"/>
  <c r="HB80" i="7"/>
  <c r="HC80" i="7"/>
  <c r="GY137" i="7"/>
  <c r="Y406" i="7"/>
  <c r="Z406" i="7"/>
  <c r="AA406" i="7"/>
  <c r="Z402" i="7"/>
  <c r="HC79" i="7"/>
  <c r="BA244" i="7"/>
  <c r="BB240" i="7"/>
  <c r="AA178" i="7"/>
  <c r="Z330" i="7"/>
  <c r="Y334" i="7"/>
  <c r="FI82" i="7"/>
  <c r="FJ81" i="7"/>
  <c r="FK81" i="7"/>
  <c r="M287" i="7"/>
  <c r="BB513" i="7"/>
  <c r="BC513" i="7"/>
  <c r="AO244" i="7"/>
  <c r="Z68" i="7"/>
  <c r="AA68" i="7"/>
  <c r="BB394" i="7"/>
  <c r="BC394" i="7"/>
  <c r="BA398" i="7"/>
  <c r="K167" i="7"/>
  <c r="L163" i="7"/>
  <c r="M163" i="7"/>
  <c r="BC314" i="7"/>
  <c r="BB363" i="7"/>
  <c r="BC363" i="7"/>
  <c r="K324" i="7"/>
  <c r="L320" i="7"/>
  <c r="CQ232" i="7"/>
  <c r="CR232" i="7"/>
  <c r="CS232" i="7"/>
  <c r="CR231" i="7"/>
  <c r="CS231" i="7"/>
  <c r="Y408" i="7"/>
  <c r="Z408" i="7"/>
  <c r="AA408" i="7"/>
  <c r="Z404" i="7"/>
  <c r="AA404" i="7"/>
  <c r="K16" i="7"/>
  <c r="L12" i="7"/>
  <c r="M12" i="7"/>
  <c r="Y186" i="7"/>
  <c r="Z182" i="7"/>
  <c r="AA182" i="7"/>
  <c r="GK82" i="7"/>
  <c r="GL81" i="7"/>
  <c r="GM81" i="7"/>
  <c r="BC385" i="7"/>
  <c r="BA172" i="7"/>
  <c r="BB168" i="7"/>
  <c r="DE230" i="7"/>
  <c r="DF229" i="7"/>
  <c r="DG229" i="7"/>
  <c r="AA160" i="7"/>
  <c r="K170" i="7"/>
  <c r="L166" i="7"/>
  <c r="M166" i="7"/>
  <c r="BB438" i="7"/>
  <c r="BC438" i="7"/>
  <c r="BC404" i="7"/>
  <c r="BA403" i="7"/>
  <c r="BB399" i="7"/>
  <c r="BC399" i="7"/>
  <c r="K96" i="7"/>
  <c r="L92" i="7"/>
  <c r="Z67" i="7"/>
  <c r="AA67" i="7"/>
  <c r="K105" i="7"/>
  <c r="L101" i="7"/>
  <c r="AN248" i="7"/>
  <c r="AO248" i="7"/>
  <c r="AM252" i="7"/>
  <c r="Y256" i="7"/>
  <c r="Z256" i="7"/>
  <c r="AA256" i="7"/>
  <c r="Z252" i="7"/>
  <c r="AA252" i="7"/>
  <c r="BO98" i="7"/>
  <c r="BP94" i="7"/>
  <c r="BQ94" i="7"/>
  <c r="M239" i="7"/>
  <c r="L290" i="7"/>
  <c r="M290" i="7"/>
  <c r="CQ159" i="7"/>
  <c r="CR158" i="7"/>
  <c r="Y321" i="7"/>
  <c r="Z317" i="7"/>
  <c r="AM312" i="7"/>
  <c r="AN308" i="7"/>
  <c r="EG156" i="7"/>
  <c r="EH155" i="7"/>
  <c r="EI155" i="7"/>
  <c r="FU63" i="7"/>
  <c r="DS156" i="7"/>
  <c r="DT156" i="7"/>
  <c r="DU156" i="7"/>
  <c r="DT155" i="7"/>
  <c r="DT84" i="7"/>
  <c r="BA397" i="7"/>
  <c r="BB393" i="7"/>
  <c r="BC393" i="7"/>
  <c r="DB136" i="7"/>
  <c r="DC136" i="7"/>
  <c r="FG63" i="7"/>
  <c r="Y168" i="7"/>
  <c r="Z164" i="7"/>
  <c r="AA164" i="7"/>
  <c r="BP213" i="7"/>
  <c r="M162" i="7"/>
  <c r="BB251" i="7"/>
  <c r="BC251" i="7"/>
  <c r="BA255" i="7"/>
  <c r="BB255" i="7"/>
  <c r="BC255" i="7"/>
  <c r="Y253" i="7"/>
  <c r="Z253" i="7"/>
  <c r="AA253" i="7"/>
  <c r="Z249" i="7"/>
  <c r="AA249" i="7"/>
  <c r="AA167" i="7"/>
  <c r="BO104" i="7"/>
  <c r="BP100" i="7"/>
  <c r="BQ100" i="7"/>
  <c r="FY229" i="7"/>
  <c r="CQ83" i="7"/>
  <c r="CR82" i="7"/>
  <c r="CS82" i="7"/>
  <c r="AN107" i="7"/>
  <c r="AO107" i="7"/>
  <c r="Z437" i="7"/>
  <c r="AA437" i="7"/>
  <c r="BB328" i="7"/>
  <c r="BC328" i="7"/>
  <c r="BA332" i="7"/>
  <c r="BC166" i="7"/>
  <c r="BB215" i="7"/>
  <c r="BC215" i="7"/>
  <c r="ER283" i="7"/>
  <c r="EW230" i="7"/>
  <c r="AO249" i="7"/>
  <c r="AN288" i="7"/>
  <c r="AO288" i="7"/>
  <c r="AM326" i="7"/>
  <c r="AN322" i="7"/>
  <c r="AO322" i="7"/>
  <c r="BC92" i="7"/>
  <c r="BB141" i="7"/>
  <c r="BC141" i="7"/>
  <c r="Z247" i="7"/>
  <c r="Y251" i="7"/>
  <c r="FW160" i="7"/>
  <c r="FX160" i="7"/>
  <c r="FY160" i="7"/>
  <c r="FX159" i="7"/>
  <c r="Y175" i="7"/>
  <c r="Z171" i="7"/>
  <c r="AA171" i="7"/>
  <c r="AO317" i="7"/>
  <c r="AA94" i="7"/>
  <c r="FX84" i="7"/>
  <c r="FY84" i="7"/>
  <c r="CR7" i="7"/>
  <c r="CS7" i="7"/>
  <c r="CQ8" i="7"/>
  <c r="Y93" i="7"/>
  <c r="Z89" i="7"/>
  <c r="Y323" i="7"/>
  <c r="Z319" i="7"/>
  <c r="AA319" i="7"/>
  <c r="C368" i="7"/>
  <c r="CD94" i="7"/>
  <c r="CC98" i="7"/>
  <c r="BQ164" i="7"/>
  <c r="AN455" i="7"/>
  <c r="AO455" i="7"/>
  <c r="AM459" i="7"/>
  <c r="BA174" i="7"/>
  <c r="BB170" i="7"/>
  <c r="EV231" i="7"/>
  <c r="EW231" i="7"/>
  <c r="EU232" i="7"/>
  <c r="EV232" i="7"/>
  <c r="EW232" i="7"/>
  <c r="DP284" i="7"/>
  <c r="DQ284" i="7"/>
  <c r="EU159" i="7"/>
  <c r="EV158" i="7"/>
  <c r="EW158" i="7"/>
  <c r="BP89" i="7"/>
  <c r="BO93" i="7"/>
  <c r="AO253" i="7"/>
  <c r="AN287" i="7"/>
  <c r="BA253" i="7"/>
  <c r="BB253" i="7"/>
  <c r="BC253" i="7"/>
  <c r="BB249" i="7"/>
  <c r="EG81" i="7"/>
  <c r="EE137" i="7"/>
  <c r="EH80" i="7"/>
  <c r="L17" i="7"/>
  <c r="K21" i="7"/>
  <c r="BC386" i="7"/>
  <c r="EH230" i="7"/>
  <c r="EI230" i="7"/>
  <c r="EG231" i="7"/>
  <c r="AA513" i="7"/>
  <c r="BO172" i="7"/>
  <c r="BP168" i="7"/>
  <c r="BQ168" i="7"/>
  <c r="AO451" i="7"/>
  <c r="Y102" i="7"/>
  <c r="Z98" i="7"/>
  <c r="AA98" i="7"/>
  <c r="BB98" i="7"/>
  <c r="BA102" i="7"/>
  <c r="BP95" i="7"/>
  <c r="BO99" i="7"/>
  <c r="Z435" i="7"/>
  <c r="GL154" i="7"/>
  <c r="GI211" i="7"/>
  <c r="GK155" i="7"/>
  <c r="EU82" i="7"/>
  <c r="EV81" i="7"/>
  <c r="BC245" i="7"/>
  <c r="BB287" i="7"/>
  <c r="K398" i="7"/>
  <c r="L394" i="7"/>
  <c r="AM401" i="7"/>
  <c r="AN432" i="7"/>
  <c r="AN397" i="7"/>
  <c r="BB142" i="7"/>
  <c r="BC142" i="7"/>
  <c r="K23" i="7"/>
  <c r="L19" i="7"/>
  <c r="M19" i="7"/>
  <c r="K30" i="7"/>
  <c r="L26" i="7"/>
  <c r="M26" i="7"/>
  <c r="HB81" i="7"/>
  <c r="HA82" i="7"/>
  <c r="Z102" i="7"/>
  <c r="AA102" i="7"/>
  <c r="Y106" i="7"/>
  <c r="Y255" i="7"/>
  <c r="Z255" i="7"/>
  <c r="AA255" i="7"/>
  <c r="Z251" i="7"/>
  <c r="AA251" i="7"/>
  <c r="DE231" i="7"/>
  <c r="DF230" i="7"/>
  <c r="DG230" i="7"/>
  <c r="BC318" i="7"/>
  <c r="GK156" i="7"/>
  <c r="GL156" i="7"/>
  <c r="GM156" i="7"/>
  <c r="GL155" i="7"/>
  <c r="GM155" i="7"/>
  <c r="AN459" i="7"/>
  <c r="AN506" i="7"/>
  <c r="ES283" i="7"/>
  <c r="ER284" i="7"/>
  <c r="ES284" i="7"/>
  <c r="Z284" i="7"/>
  <c r="BB403" i="7"/>
  <c r="BC403" i="7"/>
  <c r="BA407" i="7"/>
  <c r="BB407" i="7"/>
  <c r="BC407" i="7"/>
  <c r="K328" i="7"/>
  <c r="L324" i="7"/>
  <c r="BA248" i="7"/>
  <c r="BB244" i="7"/>
  <c r="FI156" i="7"/>
  <c r="FJ156" i="7"/>
  <c r="FK156" i="7"/>
  <c r="FJ155" i="7"/>
  <c r="FK155" i="7"/>
  <c r="K251" i="7"/>
  <c r="L247" i="7"/>
  <c r="BA335" i="7"/>
  <c r="BB335" i="7"/>
  <c r="BC335" i="7"/>
  <c r="BB331" i="7"/>
  <c r="BC331" i="7"/>
  <c r="HA160" i="7"/>
  <c r="HB160" i="7"/>
  <c r="HC160" i="7"/>
  <c r="HB159" i="7"/>
  <c r="BP249" i="7"/>
  <c r="BQ249" i="7"/>
  <c r="BO253" i="7"/>
  <c r="BP253" i="7"/>
  <c r="BQ253" i="7"/>
  <c r="Z142" i="7"/>
  <c r="AA142" i="7"/>
  <c r="L317" i="7"/>
  <c r="K321" i="7"/>
  <c r="BB67" i="7"/>
  <c r="BC67" i="7"/>
  <c r="GM154" i="7"/>
  <c r="EU160" i="7"/>
  <c r="EV160" i="7"/>
  <c r="EW160" i="7"/>
  <c r="EV159" i="7"/>
  <c r="EW159" i="7"/>
  <c r="Z358" i="7"/>
  <c r="Z323" i="7"/>
  <c r="Y327" i="7"/>
  <c r="Y172" i="7"/>
  <c r="Z168" i="7"/>
  <c r="EH156" i="7"/>
  <c r="EG157" i="7"/>
  <c r="Z250" i="7"/>
  <c r="Y254" i="7"/>
  <c r="Z254" i="7"/>
  <c r="K408" i="7"/>
  <c r="L408" i="7"/>
  <c r="M408" i="7"/>
  <c r="L404" i="7"/>
  <c r="M404" i="7"/>
  <c r="M243" i="7"/>
  <c r="CC179" i="7"/>
  <c r="CD175" i="7"/>
  <c r="BO250" i="7"/>
  <c r="BP246" i="7"/>
  <c r="M313" i="7"/>
  <c r="BB432" i="7"/>
  <c r="BB397" i="7"/>
  <c r="BA401" i="7"/>
  <c r="M92" i="7"/>
  <c r="L141" i="7"/>
  <c r="M141" i="7"/>
  <c r="BQ89" i="7"/>
  <c r="DF159" i="7"/>
  <c r="DG159" i="7"/>
  <c r="DE160" i="7"/>
  <c r="DF160" i="7"/>
  <c r="DG160" i="7"/>
  <c r="AA247" i="7"/>
  <c r="M320" i="7"/>
  <c r="BC240" i="7"/>
  <c r="BB289" i="7"/>
  <c r="BC289" i="7"/>
  <c r="BQ245" i="7"/>
  <c r="CR83" i="7"/>
  <c r="CQ84" i="7"/>
  <c r="L16" i="7"/>
  <c r="K20" i="7"/>
  <c r="M504" i="7"/>
  <c r="E516" i="7"/>
  <c r="F517" i="7"/>
  <c r="L505" i="7"/>
  <c r="M505" i="7"/>
  <c r="AA435" i="7"/>
  <c r="Z439" i="7"/>
  <c r="AA439" i="7"/>
  <c r="M17" i="7"/>
  <c r="AA89" i="7"/>
  <c r="AM316" i="7"/>
  <c r="AN312" i="7"/>
  <c r="AO312" i="7"/>
  <c r="Z290" i="7"/>
  <c r="AA290" i="7"/>
  <c r="BB172" i="7"/>
  <c r="BC172" i="7"/>
  <c r="BA176" i="7"/>
  <c r="AN133" i="7"/>
  <c r="AN323" i="7"/>
  <c r="AO323" i="7"/>
  <c r="AM327" i="7"/>
  <c r="DP61" i="7"/>
  <c r="ED283" i="7"/>
  <c r="K330" i="7"/>
  <c r="L326" i="7"/>
  <c r="M326" i="7"/>
  <c r="L513" i="7"/>
  <c r="M513" i="7"/>
  <c r="M509" i="7"/>
  <c r="K169" i="7"/>
  <c r="L165" i="7"/>
  <c r="AO65" i="7"/>
  <c r="BA326" i="7"/>
  <c r="BB322" i="7"/>
  <c r="M394" i="7"/>
  <c r="K402" i="7"/>
  <c r="L432" i="7"/>
  <c r="G442" i="7"/>
  <c r="L398" i="7"/>
  <c r="DU84" i="7"/>
  <c r="AO319" i="7"/>
  <c r="BP99" i="7"/>
  <c r="BQ99" i="7"/>
  <c r="BO103" i="7"/>
  <c r="BO176" i="7"/>
  <c r="BP172" i="7"/>
  <c r="BC249" i="7"/>
  <c r="BB288" i="7"/>
  <c r="BC288" i="7"/>
  <c r="CC102" i="7"/>
  <c r="CD98" i="7"/>
  <c r="CE98" i="7"/>
  <c r="Y97" i="7"/>
  <c r="Z93" i="7"/>
  <c r="AA93" i="7"/>
  <c r="AA317" i="7"/>
  <c r="L167" i="7"/>
  <c r="K171" i="7"/>
  <c r="FI83" i="7"/>
  <c r="FJ82" i="7"/>
  <c r="Z436" i="7"/>
  <c r="AA436" i="7"/>
  <c r="AA402" i="7"/>
  <c r="Z429" i="7"/>
  <c r="AA177" i="7"/>
  <c r="EG232" i="7"/>
  <c r="EH232" i="7"/>
  <c r="EI232" i="7"/>
  <c r="EH231" i="7"/>
  <c r="EI231" i="7"/>
  <c r="BP93" i="7"/>
  <c r="BQ93" i="7"/>
  <c r="BO97" i="7"/>
  <c r="Y190" i="7"/>
  <c r="Z190" i="7"/>
  <c r="AA190" i="7"/>
  <c r="Z186" i="7"/>
  <c r="AA186" i="7"/>
  <c r="AO308" i="7"/>
  <c r="AM256" i="7"/>
  <c r="AN256" i="7"/>
  <c r="AO256" i="7"/>
  <c r="AN252" i="7"/>
  <c r="AN284" i="7"/>
  <c r="BC168" i="7"/>
  <c r="GK232" i="7"/>
  <c r="GL232" i="7"/>
  <c r="GM232" i="7"/>
  <c r="GL231" i="7"/>
  <c r="GM231" i="7"/>
  <c r="AO397" i="7"/>
  <c r="AN436" i="7"/>
  <c r="AO436" i="7"/>
  <c r="AN68" i="7"/>
  <c r="AO68" i="7"/>
  <c r="BQ95" i="7"/>
  <c r="CE94" i="7"/>
  <c r="CQ9" i="7"/>
  <c r="CR8" i="7"/>
  <c r="BB332" i="7"/>
  <c r="BC332" i="7"/>
  <c r="BA336" i="7"/>
  <c r="BB336" i="7"/>
  <c r="BC336" i="7"/>
  <c r="Y325" i="7"/>
  <c r="Z321" i="7"/>
  <c r="AA321" i="7"/>
  <c r="M101" i="7"/>
  <c r="K174" i="7"/>
  <c r="L170" i="7"/>
  <c r="M170" i="7"/>
  <c r="BB398" i="7"/>
  <c r="BC398" i="7"/>
  <c r="BA402" i="7"/>
  <c r="Y338" i="7"/>
  <c r="Z338" i="7"/>
  <c r="AA338" i="7"/>
  <c r="Z334" i="7"/>
  <c r="AA334" i="7"/>
  <c r="L331" i="7"/>
  <c r="M331" i="7"/>
  <c r="K335" i="7"/>
  <c r="L335" i="7"/>
  <c r="M335" i="7"/>
  <c r="Z181" i="7"/>
  <c r="AA181" i="7"/>
  <c r="Y185" i="7"/>
  <c r="EW81" i="7"/>
  <c r="K100" i="7"/>
  <c r="L96" i="7"/>
  <c r="EU83" i="7"/>
  <c r="EV82" i="7"/>
  <c r="EW82" i="7"/>
  <c r="AM180" i="7"/>
  <c r="AN176" i="7"/>
  <c r="AN210" i="7"/>
  <c r="L21" i="7"/>
  <c r="K25" i="7"/>
  <c r="BA106" i="7"/>
  <c r="BB102" i="7"/>
  <c r="BB136" i="7"/>
  <c r="BC170" i="7"/>
  <c r="BP104" i="7"/>
  <c r="BO108" i="7"/>
  <c r="CS158" i="7"/>
  <c r="CN209" i="7"/>
  <c r="L105" i="7"/>
  <c r="AA330" i="7"/>
  <c r="Z364" i="7"/>
  <c r="AA364" i="7"/>
  <c r="BB362" i="7"/>
  <c r="BC362" i="7"/>
  <c r="CE89" i="7"/>
  <c r="FX231" i="7"/>
  <c r="FW232" i="7"/>
  <c r="FX232" i="7"/>
  <c r="FY232" i="7"/>
  <c r="EI80" i="7"/>
  <c r="FY159" i="7"/>
  <c r="FT209" i="7"/>
  <c r="GK83" i="7"/>
  <c r="GL82" i="7"/>
  <c r="EG82" i="7"/>
  <c r="EH81" i="7"/>
  <c r="EI81" i="7"/>
  <c r="CN283" i="7"/>
  <c r="BQ213" i="7"/>
  <c r="BO102" i="7"/>
  <c r="BP98" i="7"/>
  <c r="BC327" i="7"/>
  <c r="AN142" i="7"/>
  <c r="AO142" i="7"/>
  <c r="AN401" i="7"/>
  <c r="AM405" i="7"/>
  <c r="AN405" i="7"/>
  <c r="AO405" i="7"/>
  <c r="BC287" i="7"/>
  <c r="BC98" i="7"/>
  <c r="AO287" i="7"/>
  <c r="BA178" i="7"/>
  <c r="BB174" i="7"/>
  <c r="BC174" i="7"/>
  <c r="Y179" i="7"/>
  <c r="Z175" i="7"/>
  <c r="AA175" i="7"/>
  <c r="AM330" i="7"/>
  <c r="AN326" i="7"/>
  <c r="BB437" i="7"/>
  <c r="BC437" i="7"/>
  <c r="DU155" i="7"/>
  <c r="DP209" i="7"/>
  <c r="CR159" i="7"/>
  <c r="CS159" i="7"/>
  <c r="CQ160" i="7"/>
  <c r="CR160" i="7"/>
  <c r="CS160" i="7"/>
  <c r="Z438" i="7"/>
  <c r="AA438" i="7"/>
  <c r="Z216" i="7"/>
  <c r="AA216" i="7"/>
  <c r="GH283" i="7"/>
  <c r="CD93" i="7"/>
  <c r="CE93" i="7"/>
  <c r="CC97" i="7"/>
  <c r="AN325" i="7"/>
  <c r="AM329" i="7"/>
  <c r="L23" i="7"/>
  <c r="M23" i="7"/>
  <c r="K27" i="7"/>
  <c r="L30" i="7"/>
  <c r="M30" i="7"/>
  <c r="M21" i="7"/>
  <c r="DB209" i="7"/>
  <c r="BO254" i="7"/>
  <c r="BP254" i="7"/>
  <c r="BQ254" i="7"/>
  <c r="BP250" i="7"/>
  <c r="BQ250" i="7"/>
  <c r="EG83" i="7"/>
  <c r="EH82" i="7"/>
  <c r="EI82" i="7"/>
  <c r="AO459" i="7"/>
  <c r="AN509" i="7"/>
  <c r="AN503" i="7"/>
  <c r="GM82" i="7"/>
  <c r="AO176" i="7"/>
  <c r="AN213" i="7"/>
  <c r="Z185" i="7"/>
  <c r="AA185" i="7"/>
  <c r="Y189" i="7"/>
  <c r="Z189" i="7"/>
  <c r="AA189" i="7"/>
  <c r="L140" i="7"/>
  <c r="M140" i="7"/>
  <c r="BO101" i="7"/>
  <c r="BP97" i="7"/>
  <c r="BA330" i="7"/>
  <c r="BB326" i="7"/>
  <c r="BC326" i="7"/>
  <c r="BB358" i="7"/>
  <c r="CD179" i="7"/>
  <c r="CE179" i="7"/>
  <c r="CC183" i="7"/>
  <c r="L438" i="7"/>
  <c r="M438" i="7"/>
  <c r="HC159" i="7"/>
  <c r="GX209" i="7"/>
  <c r="M324" i="7"/>
  <c r="L361" i="7"/>
  <c r="Y183" i="7"/>
  <c r="Z179" i="7"/>
  <c r="AA179" i="7"/>
  <c r="AO401" i="7"/>
  <c r="AN435" i="7"/>
  <c r="GL83" i="7"/>
  <c r="GM83" i="7"/>
  <c r="GK84" i="7"/>
  <c r="ER209" i="7"/>
  <c r="AM184" i="7"/>
  <c r="AN180" i="7"/>
  <c r="DP135" i="7"/>
  <c r="AN327" i="7"/>
  <c r="AO327" i="7"/>
  <c r="AM331" i="7"/>
  <c r="AM320" i="7"/>
  <c r="AN316" i="7"/>
  <c r="FT135" i="7"/>
  <c r="EH157" i="7"/>
  <c r="EI157" i="7"/>
  <c r="EG158" i="7"/>
  <c r="L328" i="7"/>
  <c r="K332" i="7"/>
  <c r="BP108" i="7"/>
  <c r="BQ108" i="7"/>
  <c r="AO252" i="7"/>
  <c r="AN290" i="7"/>
  <c r="AN281" i="7"/>
  <c r="AN141" i="7"/>
  <c r="FK82" i="7"/>
  <c r="BQ172" i="7"/>
  <c r="EI156" i="7"/>
  <c r="GH209" i="7"/>
  <c r="BB361" i="7"/>
  <c r="BQ104" i="7"/>
  <c r="EV83" i="7"/>
  <c r="EU84" i="7"/>
  <c r="Y329" i="7"/>
  <c r="Z325" i="7"/>
  <c r="FJ83" i="7"/>
  <c r="FK83" i="7"/>
  <c r="FI84" i="7"/>
  <c r="BO180" i="7"/>
  <c r="BP176" i="7"/>
  <c r="BQ176" i="7"/>
  <c r="M165" i="7"/>
  <c r="BB401" i="7"/>
  <c r="BA405" i="7"/>
  <c r="BB405" i="7"/>
  <c r="BC405" i="7"/>
  <c r="EE283" i="7"/>
  <c r="ED284" i="7"/>
  <c r="EE284" i="7"/>
  <c r="CO209" i="7"/>
  <c r="CN210" i="7"/>
  <c r="CO210" i="7"/>
  <c r="K178" i="7"/>
  <c r="L174" i="7"/>
  <c r="M174" i="7"/>
  <c r="AA430" i="7"/>
  <c r="Z431" i="7"/>
  <c r="AA431" i="7"/>
  <c r="BC322" i="7"/>
  <c r="BP287" i="7"/>
  <c r="CE175" i="7"/>
  <c r="CD214" i="7"/>
  <c r="CE214" i="7"/>
  <c r="AM333" i="7"/>
  <c r="AN329" i="7"/>
  <c r="AO329" i="7"/>
  <c r="AA168" i="7"/>
  <c r="M247" i="7"/>
  <c r="AO325" i="7"/>
  <c r="BA182" i="7"/>
  <c r="BB178" i="7"/>
  <c r="BC178" i="7"/>
  <c r="BQ98" i="7"/>
  <c r="K104" i="7"/>
  <c r="L100" i="7"/>
  <c r="M100" i="7"/>
  <c r="M398" i="7"/>
  <c r="L435" i="7"/>
  <c r="K24" i="7"/>
  <c r="L20" i="7"/>
  <c r="M20" i="7"/>
  <c r="Y176" i="7"/>
  <c r="Z172" i="7"/>
  <c r="AA172" i="7"/>
  <c r="K255" i="7"/>
  <c r="L255" i="7"/>
  <c r="M255" i="7"/>
  <c r="L251" i="7"/>
  <c r="M251" i="7"/>
  <c r="L284" i="7"/>
  <c r="Z106" i="7"/>
  <c r="AA106" i="7"/>
  <c r="AN330" i="7"/>
  <c r="AO330" i="7"/>
  <c r="AM334" i="7"/>
  <c r="BA252" i="7"/>
  <c r="BB248" i="7"/>
  <c r="M96" i="7"/>
  <c r="BP103" i="7"/>
  <c r="BQ103" i="7"/>
  <c r="BO107" i="7"/>
  <c r="BP102" i="7"/>
  <c r="BQ102" i="7"/>
  <c r="BO106" i="7"/>
  <c r="AN429" i="7"/>
  <c r="L171" i="7"/>
  <c r="M171" i="7"/>
  <c r="K175" i="7"/>
  <c r="M16" i="7"/>
  <c r="AA254" i="7"/>
  <c r="Z288" i="7"/>
  <c r="AA288" i="7"/>
  <c r="L321" i="7"/>
  <c r="K325" i="7"/>
  <c r="FU209" i="7"/>
  <c r="FT210" i="7"/>
  <c r="FU210" i="7"/>
  <c r="AO134" i="7"/>
  <c r="AN135" i="7"/>
  <c r="AO135" i="7"/>
  <c r="BC397" i="7"/>
  <c r="BB436" i="7"/>
  <c r="BC436" i="7"/>
  <c r="CS8" i="7"/>
  <c r="BC102" i="7"/>
  <c r="BB139" i="7"/>
  <c r="BB402" i="7"/>
  <c r="BC402" i="7"/>
  <c r="BA406" i="7"/>
  <c r="BB406" i="7"/>
  <c r="BC406" i="7"/>
  <c r="CQ10" i="7"/>
  <c r="CR9" i="7"/>
  <c r="CS9" i="7"/>
  <c r="M167" i="7"/>
  <c r="L213" i="7"/>
  <c r="Z97" i="7"/>
  <c r="AA97" i="7"/>
  <c r="Y101" i="7"/>
  <c r="K406" i="7"/>
  <c r="L406" i="7"/>
  <c r="M406" i="7"/>
  <c r="L402" i="7"/>
  <c r="Z289" i="7"/>
  <c r="AA289" i="7"/>
  <c r="AA250" i="7"/>
  <c r="Z287" i="7"/>
  <c r="Z281" i="7"/>
  <c r="Z327" i="7"/>
  <c r="Y331" i="7"/>
  <c r="M317" i="7"/>
  <c r="DF231" i="7"/>
  <c r="DE232" i="7"/>
  <c r="DF232" i="7"/>
  <c r="DG232" i="7"/>
  <c r="HB82" i="7"/>
  <c r="HC82" i="7"/>
  <c r="HA83" i="7"/>
  <c r="DP210" i="7"/>
  <c r="DQ210" i="7"/>
  <c r="DQ209" i="7"/>
  <c r="K173" i="7"/>
  <c r="L173" i="7"/>
  <c r="M173" i="7"/>
  <c r="L169" i="7"/>
  <c r="CC101" i="7"/>
  <c r="CD97" i="7"/>
  <c r="BB106" i="7"/>
  <c r="FF209" i="7"/>
  <c r="L330" i="7"/>
  <c r="M330" i="7"/>
  <c r="K334" i="7"/>
  <c r="CR84" i="7"/>
  <c r="CS84" i="7"/>
  <c r="AA323" i="7"/>
  <c r="Z362" i="7"/>
  <c r="AA362" i="7"/>
  <c r="HC81" i="7"/>
  <c r="DQ61" i="7"/>
  <c r="DP62" i="7"/>
  <c r="DQ62" i="7"/>
  <c r="GI283" i="7"/>
  <c r="GH284" i="7"/>
  <c r="GI284" i="7"/>
  <c r="AO326" i="7"/>
  <c r="CO283" i="7"/>
  <c r="CN284" i="7"/>
  <c r="CO284" i="7"/>
  <c r="FY231" i="7"/>
  <c r="FT283" i="7"/>
  <c r="M105" i="7"/>
  <c r="L139" i="7"/>
  <c r="K29" i="7"/>
  <c r="L25" i="7"/>
  <c r="M25" i="7"/>
  <c r="BB429" i="7"/>
  <c r="CC106" i="7"/>
  <c r="CD102" i="7"/>
  <c r="CE102" i="7"/>
  <c r="BA180" i="7"/>
  <c r="BB176" i="7"/>
  <c r="BB210" i="7"/>
  <c r="CS83" i="7"/>
  <c r="BQ246" i="7"/>
  <c r="BP281" i="7"/>
  <c r="BP288" i="7"/>
  <c r="BQ288" i="7"/>
  <c r="BC244" i="7"/>
  <c r="L27" i="7"/>
  <c r="M27" i="7"/>
  <c r="BQ282" i="7"/>
  <c r="BP283" i="7"/>
  <c r="BQ283" i="7"/>
  <c r="GY209" i="7"/>
  <c r="GX210" i="7"/>
  <c r="GY210" i="7"/>
  <c r="M139" i="7"/>
  <c r="L334" i="7"/>
  <c r="M334" i="7"/>
  <c r="K338" i="7"/>
  <c r="L338" i="7"/>
  <c r="M338" i="7"/>
  <c r="Y180" i="7"/>
  <c r="Z176" i="7"/>
  <c r="Z210" i="7"/>
  <c r="M328" i="7"/>
  <c r="AO180" i="7"/>
  <c r="L175" i="7"/>
  <c r="L210" i="7"/>
  <c r="AN184" i="7"/>
  <c r="AN214" i="7"/>
  <c r="AM188" i="7"/>
  <c r="AN188" i="7"/>
  <c r="AO188" i="7"/>
  <c r="FG209" i="7"/>
  <c r="FF210" i="7"/>
  <c r="FG210" i="7"/>
  <c r="M321" i="7"/>
  <c r="BC361" i="7"/>
  <c r="ES209" i="7"/>
  <c r="ER210" i="7"/>
  <c r="ES210" i="7"/>
  <c r="CC187" i="7"/>
  <c r="CD187" i="7"/>
  <c r="CD210" i="7"/>
  <c r="CD183" i="7"/>
  <c r="CE183" i="7"/>
  <c r="Z215" i="7"/>
  <c r="AA215" i="7"/>
  <c r="AO430" i="7"/>
  <c r="AN431" i="7"/>
  <c r="AO431" i="7"/>
  <c r="BO184" i="7"/>
  <c r="BP180" i="7"/>
  <c r="FU135" i="7"/>
  <c r="FT136" i="7"/>
  <c r="FU136" i="7"/>
  <c r="GL84" i="7"/>
  <c r="BC176" i="7"/>
  <c r="BB213" i="7"/>
  <c r="BC106" i="7"/>
  <c r="BP106" i="7"/>
  <c r="BQ106" i="7"/>
  <c r="AM338" i="7"/>
  <c r="AN338" i="7"/>
  <c r="AO338" i="7"/>
  <c r="AN334" i="7"/>
  <c r="AO334" i="7"/>
  <c r="K28" i="7"/>
  <c r="L24" i="7"/>
  <c r="L178" i="7"/>
  <c r="K182" i="7"/>
  <c r="L182" i="7"/>
  <c r="M182" i="7"/>
  <c r="FJ84" i="7"/>
  <c r="FK84" i="7"/>
  <c r="AO141" i="7"/>
  <c r="AN143" i="7"/>
  <c r="AO143" i="7"/>
  <c r="AO213" i="7"/>
  <c r="AN62" i="7"/>
  <c r="M213" i="7"/>
  <c r="BC248" i="7"/>
  <c r="BB281" i="7"/>
  <c r="K108" i="7"/>
  <c r="L104" i="7"/>
  <c r="M104" i="7"/>
  <c r="EG159" i="7"/>
  <c r="EH158" i="7"/>
  <c r="EI158" i="7"/>
  <c r="EG84" i="7"/>
  <c r="EH83" i="7"/>
  <c r="EI83" i="7"/>
  <c r="BA184" i="7"/>
  <c r="BB180" i="7"/>
  <c r="AO282" i="7"/>
  <c r="AN283" i="7"/>
  <c r="AO283" i="7"/>
  <c r="AN439" i="7"/>
  <c r="AO439" i="7"/>
  <c r="AO435" i="7"/>
  <c r="BP107" i="7"/>
  <c r="AM337" i="7"/>
  <c r="AN337" i="7"/>
  <c r="AO337" i="7"/>
  <c r="AN333" i="7"/>
  <c r="AO333" i="7"/>
  <c r="AO290" i="7"/>
  <c r="AN291" i="7"/>
  <c r="AO291" i="7"/>
  <c r="AO316" i="7"/>
  <c r="DC209" i="7"/>
  <c r="DB210" i="7"/>
  <c r="DC210" i="7"/>
  <c r="EW83" i="7"/>
  <c r="BP101" i="7"/>
  <c r="BO105" i="7"/>
  <c r="BA256" i="7"/>
  <c r="BB256" i="7"/>
  <c r="BC256" i="7"/>
  <c r="BB252" i="7"/>
  <c r="BC252" i="7"/>
  <c r="BB284" i="7"/>
  <c r="FU283" i="7"/>
  <c r="FT284" i="7"/>
  <c r="FU284" i="7"/>
  <c r="HB83" i="7"/>
  <c r="HA84" i="7"/>
  <c r="BB290" i="7"/>
  <c r="M402" i="7"/>
  <c r="L436" i="7"/>
  <c r="M436" i="7"/>
  <c r="BA186" i="7"/>
  <c r="BB182" i="7"/>
  <c r="L429" i="7"/>
  <c r="M435" i="7"/>
  <c r="L439" i="7"/>
  <c r="M439" i="7"/>
  <c r="CE97" i="7"/>
  <c r="GI209" i="7"/>
  <c r="GH210" i="7"/>
  <c r="GI210" i="7"/>
  <c r="AM324" i="7"/>
  <c r="AN320" i="7"/>
  <c r="AO320" i="7"/>
  <c r="L29" i="7"/>
  <c r="M29" i="7"/>
  <c r="K336" i="7"/>
  <c r="L336" i="7"/>
  <c r="M336" i="7"/>
  <c r="L332" i="7"/>
  <c r="M332" i="7"/>
  <c r="BQ97" i="7"/>
  <c r="L325" i="7"/>
  <c r="M325" i="7"/>
  <c r="K329" i="7"/>
  <c r="L358" i="7"/>
  <c r="G368" i="7"/>
  <c r="DG231" i="7"/>
  <c r="DB283" i="7"/>
  <c r="CR10" i="7"/>
  <c r="CQ11" i="7"/>
  <c r="CD106" i="7"/>
  <c r="CE106" i="7"/>
  <c r="CC105" i="7"/>
  <c r="CD101" i="7"/>
  <c r="Y335" i="7"/>
  <c r="Z335" i="7"/>
  <c r="AA335" i="7"/>
  <c r="Z331" i="7"/>
  <c r="AA331" i="7"/>
  <c r="L281" i="7"/>
  <c r="AA325" i="7"/>
  <c r="AN331" i="7"/>
  <c r="AO331" i="7"/>
  <c r="AM335" i="7"/>
  <c r="AN335" i="7"/>
  <c r="AO335" i="7"/>
  <c r="Z183" i="7"/>
  <c r="AA183" i="7"/>
  <c r="Y187" i="7"/>
  <c r="Z187" i="7"/>
  <c r="AA187" i="7"/>
  <c r="BB330" i="7"/>
  <c r="BA334" i="7"/>
  <c r="AO504" i="7"/>
  <c r="AN505" i="7"/>
  <c r="AO505" i="7"/>
  <c r="AA287" i="7"/>
  <c r="Z291" i="7"/>
  <c r="AA291" i="7"/>
  <c r="BC430" i="7"/>
  <c r="BB431" i="7"/>
  <c r="BC431" i="7"/>
  <c r="AA327" i="7"/>
  <c r="Z361" i="7"/>
  <c r="BC139" i="7"/>
  <c r="Y333" i="7"/>
  <c r="Z329" i="7"/>
  <c r="AA329" i="7"/>
  <c r="M361" i="7"/>
  <c r="AO509" i="7"/>
  <c r="AN513" i="7"/>
  <c r="AO513" i="7"/>
  <c r="M169" i="7"/>
  <c r="L215" i="7"/>
  <c r="M215" i="7"/>
  <c r="L207" i="7"/>
  <c r="AA282" i="7"/>
  <c r="Z283" i="7"/>
  <c r="AA283" i="7"/>
  <c r="Z136" i="7"/>
  <c r="Z101" i="7"/>
  <c r="Y105" i="7"/>
  <c r="BQ287" i="7"/>
  <c r="BP291" i="7"/>
  <c r="BQ291" i="7"/>
  <c r="BC401" i="7"/>
  <c r="BB435" i="7"/>
  <c r="EV84" i="7"/>
  <c r="EW84" i="7"/>
  <c r="DQ135" i="7"/>
  <c r="DP136" i="7"/>
  <c r="DQ136" i="7"/>
  <c r="L289" i="7"/>
  <c r="GH61" i="7"/>
  <c r="GI61" i="7"/>
  <c r="K42" i="7"/>
  <c r="L42" i="7"/>
  <c r="M42" i="7"/>
  <c r="AO214" i="7"/>
  <c r="AN217" i="7"/>
  <c r="AO217" i="7"/>
  <c r="AA361" i="7"/>
  <c r="BC330" i="7"/>
  <c r="DC283" i="7"/>
  <c r="DB284" i="7"/>
  <c r="DC284" i="7"/>
  <c r="BQ101" i="7"/>
  <c r="BP140" i="7"/>
  <c r="BQ140" i="7"/>
  <c r="L108" i="7"/>
  <c r="BB62" i="7"/>
  <c r="Z105" i="7"/>
  <c r="BB133" i="7"/>
  <c r="BC180" i="7"/>
  <c r="BC282" i="7"/>
  <c r="BB283" i="7"/>
  <c r="BC283" i="7"/>
  <c r="GM84" i="7"/>
  <c r="AA101" i="7"/>
  <c r="Z140" i="7"/>
  <c r="AA140" i="7"/>
  <c r="AN363" i="7"/>
  <c r="AO363" i="7"/>
  <c r="BQ107" i="7"/>
  <c r="BB184" i="7"/>
  <c r="BC184" i="7"/>
  <c r="BA188" i="7"/>
  <c r="BB188" i="7"/>
  <c r="BC188" i="7"/>
  <c r="AA176" i="7"/>
  <c r="Z213" i="7"/>
  <c r="L329" i="7"/>
  <c r="M329" i="7"/>
  <c r="K333" i="7"/>
  <c r="AM328" i="7"/>
  <c r="AN324" i="7"/>
  <c r="AN358" i="7"/>
  <c r="BC290" i="7"/>
  <c r="BB291" i="7"/>
  <c r="BC291" i="7"/>
  <c r="Y184" i="7"/>
  <c r="Z180" i="7"/>
  <c r="CE101" i="7"/>
  <c r="CD140" i="7"/>
  <c r="CE140" i="7"/>
  <c r="HB84" i="7"/>
  <c r="HC84" i="7"/>
  <c r="BB140" i="7"/>
  <c r="BP142" i="7"/>
  <c r="BQ142" i="7"/>
  <c r="ED209" i="7"/>
  <c r="CD105" i="7"/>
  <c r="CE105" i="7"/>
  <c r="L364" i="7"/>
  <c r="M364" i="7"/>
  <c r="HC83" i="7"/>
  <c r="AN364" i="7"/>
  <c r="AO364" i="7"/>
  <c r="EH84" i="7"/>
  <c r="Z62" i="7"/>
  <c r="M175" i="7"/>
  <c r="L214" i="7"/>
  <c r="CD213" i="7"/>
  <c r="Y337" i="7"/>
  <c r="Z337" i="7"/>
  <c r="Z333" i="7"/>
  <c r="AA333" i="7"/>
  <c r="BP66" i="7"/>
  <c r="BQ66" i="7"/>
  <c r="ED61" i="7"/>
  <c r="EH159" i="7"/>
  <c r="EI159" i="7"/>
  <c r="EG160" i="7"/>
  <c r="EH160" i="7"/>
  <c r="EI160" i="7"/>
  <c r="BQ180" i="7"/>
  <c r="Z363" i="7"/>
  <c r="AA363" i="7"/>
  <c r="CN135" i="7"/>
  <c r="M24" i="7"/>
  <c r="BC213" i="7"/>
  <c r="BO188" i="7"/>
  <c r="BP188" i="7"/>
  <c r="BP214" i="7"/>
  <c r="BP184" i="7"/>
  <c r="BQ184" i="7"/>
  <c r="BP210" i="7"/>
  <c r="CE187" i="7"/>
  <c r="CD207" i="7"/>
  <c r="BC435" i="7"/>
  <c r="BB439" i="7"/>
  <c r="BC439" i="7"/>
  <c r="M430" i="7"/>
  <c r="E442" i="7"/>
  <c r="F443" i="7"/>
  <c r="L431" i="7"/>
  <c r="M431" i="7"/>
  <c r="M178" i="7"/>
  <c r="L216" i="7"/>
  <c r="M216" i="7"/>
  <c r="M282" i="7"/>
  <c r="D294" i="7"/>
  <c r="E295" i="7"/>
  <c r="L283" i="7"/>
  <c r="M283" i="7"/>
  <c r="BC182" i="7"/>
  <c r="L28" i="7"/>
  <c r="L62" i="7"/>
  <c r="L362" i="7"/>
  <c r="CQ12" i="7"/>
  <c r="CR12" i="7"/>
  <c r="CS12" i="7"/>
  <c r="CR11" i="7"/>
  <c r="CS11" i="7"/>
  <c r="BB186" i="7"/>
  <c r="BC186" i="7"/>
  <c r="BA190" i="7"/>
  <c r="BB190" i="7"/>
  <c r="BC190" i="7"/>
  <c r="AO184" i="7"/>
  <c r="AN207" i="7"/>
  <c r="M208" i="7"/>
  <c r="L209" i="7"/>
  <c r="M209" i="7"/>
  <c r="M289" i="7"/>
  <c r="L291" i="7"/>
  <c r="M291" i="7"/>
  <c r="BB334" i="7"/>
  <c r="BC334" i="7"/>
  <c r="BA338" i="7"/>
  <c r="BB338" i="7"/>
  <c r="BC338" i="7"/>
  <c r="CS10" i="7"/>
  <c r="BP105" i="7"/>
  <c r="BQ105" i="7"/>
  <c r="FF135" i="7"/>
  <c r="K39" i="7"/>
  <c r="L39" i="7"/>
  <c r="M39" i="7"/>
  <c r="L68" i="7"/>
  <c r="M68" i="7"/>
  <c r="GH62" i="7"/>
  <c r="GI62" i="7"/>
  <c r="BQ214" i="7"/>
  <c r="BP217" i="7"/>
  <c r="BQ217" i="7"/>
  <c r="EE209" i="7"/>
  <c r="ED210" i="7"/>
  <c r="EE210" i="7"/>
  <c r="Z66" i="7"/>
  <c r="AA66" i="7"/>
  <c r="AO324" i="7"/>
  <c r="AN361" i="7"/>
  <c r="K41" i="7"/>
  <c r="L41" i="7"/>
  <c r="M41" i="7"/>
  <c r="FG135" i="7"/>
  <c r="FF136" i="7"/>
  <c r="FG136" i="7"/>
  <c r="CE208" i="7"/>
  <c r="CD209" i="7"/>
  <c r="CE209" i="7"/>
  <c r="AM332" i="7"/>
  <c r="AN328" i="7"/>
  <c r="GH135" i="7"/>
  <c r="AA105" i="7"/>
  <c r="Z133" i="7"/>
  <c r="AA337" i="7"/>
  <c r="Z355" i="7"/>
  <c r="K337" i="7"/>
  <c r="L337" i="7"/>
  <c r="M337" i="7"/>
  <c r="L333" i="7"/>
  <c r="L363" i="7"/>
  <c r="BP139" i="7"/>
  <c r="CE213" i="7"/>
  <c r="CD217" i="7"/>
  <c r="CE217" i="7"/>
  <c r="GX61" i="7"/>
  <c r="ER135" i="7"/>
  <c r="BB364" i="7"/>
  <c r="M362" i="7"/>
  <c r="EI84" i="7"/>
  <c r="ED135" i="7"/>
  <c r="AA213" i="7"/>
  <c r="BB355" i="7"/>
  <c r="DB61" i="7"/>
  <c r="M28" i="7"/>
  <c r="BC140" i="7"/>
  <c r="BB143" i="7"/>
  <c r="BC143" i="7"/>
  <c r="Y188" i="7"/>
  <c r="Z188" i="7"/>
  <c r="Z184" i="7"/>
  <c r="AA184" i="7"/>
  <c r="Z365" i="7"/>
  <c r="AA365" i="7"/>
  <c r="M108" i="7"/>
  <c r="BP136" i="7"/>
  <c r="AO208" i="7"/>
  <c r="AN209" i="7"/>
  <c r="AO209" i="7"/>
  <c r="AA180" i="7"/>
  <c r="Z214" i="7"/>
  <c r="AA214" i="7"/>
  <c r="CO135" i="7"/>
  <c r="CN136" i="7"/>
  <c r="CO136" i="7"/>
  <c r="BQ188" i="7"/>
  <c r="BP207" i="7"/>
  <c r="BB207" i="7"/>
  <c r="CN61" i="7"/>
  <c r="M214" i="7"/>
  <c r="L217" i="7"/>
  <c r="M217" i="7"/>
  <c r="BP141" i="7"/>
  <c r="BQ141" i="7"/>
  <c r="BB214" i="7"/>
  <c r="ER61" i="7"/>
  <c r="CD136" i="7"/>
  <c r="EE61" i="7"/>
  <c r="ED62" i="7"/>
  <c r="EE62" i="7"/>
  <c r="BB216" i="7"/>
  <c r="BC216" i="7"/>
  <c r="BP62" i="7"/>
  <c r="BC134" i="7"/>
  <c r="BB135" i="7"/>
  <c r="BC135" i="7"/>
  <c r="L65" i="7"/>
  <c r="BB65" i="7"/>
  <c r="BC65" i="7"/>
  <c r="BP65" i="7"/>
  <c r="BQ65" i="7"/>
  <c r="AN67" i="7"/>
  <c r="AO67" i="7"/>
  <c r="BP59" i="7"/>
  <c r="BQ60" i="7"/>
  <c r="M363" i="7"/>
  <c r="L365" i="7"/>
  <c r="M365" i="7"/>
  <c r="BC364" i="7"/>
  <c r="BB365" i="7"/>
  <c r="BC365" i="7"/>
  <c r="BP143" i="7"/>
  <c r="BQ143" i="7"/>
  <c r="BQ139" i="7"/>
  <c r="AA188" i="7"/>
  <c r="Z207" i="7"/>
  <c r="AN59" i="7"/>
  <c r="ES135" i="7"/>
  <c r="ER136" i="7"/>
  <c r="ES136" i="7"/>
  <c r="AA356" i="7"/>
  <c r="Z357" i="7"/>
  <c r="AA357" i="7"/>
  <c r="L67" i="7"/>
  <c r="M67" i="7"/>
  <c r="CD133" i="7"/>
  <c r="CD139" i="7"/>
  <c r="BP133" i="7"/>
  <c r="K40" i="7"/>
  <c r="L40" i="7"/>
  <c r="L66" i="7"/>
  <c r="M66" i="7"/>
  <c r="M65" i="7"/>
  <c r="GY61" i="7"/>
  <c r="GX62" i="7"/>
  <c r="GY62" i="7"/>
  <c r="Z139" i="7"/>
  <c r="AA134" i="7"/>
  <c r="Z135" i="7"/>
  <c r="AA135" i="7"/>
  <c r="FT61" i="7"/>
  <c r="DC61" i="7"/>
  <c r="DB62" i="7"/>
  <c r="DC62" i="7"/>
  <c r="BC208" i="7"/>
  <c r="BB209" i="7"/>
  <c r="BC209" i="7"/>
  <c r="BC214" i="7"/>
  <c r="BB217" i="7"/>
  <c r="BC217" i="7"/>
  <c r="Z217" i="7"/>
  <c r="AA217" i="7"/>
  <c r="GX135" i="7"/>
  <c r="L142" i="7"/>
  <c r="GI135" i="7"/>
  <c r="GH136" i="7"/>
  <c r="GI136" i="7"/>
  <c r="BP67" i="7"/>
  <c r="BQ67" i="7"/>
  <c r="BP68" i="7"/>
  <c r="BQ68" i="7"/>
  <c r="AO328" i="7"/>
  <c r="AO361" i="7"/>
  <c r="M333" i="7"/>
  <c r="L355" i="7"/>
  <c r="EE135" i="7"/>
  <c r="ED136" i="7"/>
  <c r="EE136" i="7"/>
  <c r="BQ208" i="7"/>
  <c r="BP209" i="7"/>
  <c r="BQ209" i="7"/>
  <c r="CD62" i="7"/>
  <c r="AM336" i="7"/>
  <c r="AN336" i="7"/>
  <c r="AN332" i="7"/>
  <c r="AO332" i="7"/>
  <c r="L133" i="7"/>
  <c r="ES61" i="7"/>
  <c r="ER62" i="7"/>
  <c r="ES62" i="7"/>
  <c r="CO61" i="7"/>
  <c r="CN62" i="7"/>
  <c r="CO62" i="7"/>
  <c r="BC356" i="7"/>
  <c r="BB357" i="7"/>
  <c r="BC357" i="7"/>
  <c r="FF61" i="7"/>
  <c r="AN69" i="7"/>
  <c r="AO69" i="7"/>
  <c r="CD59" i="7"/>
  <c r="CE60" i="7"/>
  <c r="BP61" i="7"/>
  <c r="BQ61" i="7"/>
  <c r="BB66" i="7"/>
  <c r="BC66" i="7"/>
  <c r="Z59" i="7"/>
  <c r="AA60" i="7"/>
  <c r="M142" i="7"/>
  <c r="L143" i="7"/>
  <c r="M143" i="7"/>
  <c r="BQ134" i="7"/>
  <c r="BP135" i="7"/>
  <c r="BQ135" i="7"/>
  <c r="GY135" i="7"/>
  <c r="GX136" i="7"/>
  <c r="GY136" i="7"/>
  <c r="CD143" i="7"/>
  <c r="CE143" i="7"/>
  <c r="CE139" i="7"/>
  <c r="CE134" i="7"/>
  <c r="CD135" i="7"/>
  <c r="CE135" i="7"/>
  <c r="BB59" i="7"/>
  <c r="CD66" i="7"/>
  <c r="CE66" i="7"/>
  <c r="M134" i="7"/>
  <c r="D146" i="7"/>
  <c r="E147" i="7"/>
  <c r="L135" i="7"/>
  <c r="M135" i="7"/>
  <c r="Z65" i="7"/>
  <c r="M356" i="7"/>
  <c r="E368" i="7"/>
  <c r="F369" i="7"/>
  <c r="L357" i="7"/>
  <c r="M357" i="7"/>
  <c r="AA139" i="7"/>
  <c r="Z143" i="7"/>
  <c r="AA143" i="7"/>
  <c r="FU61" i="7"/>
  <c r="FT62" i="7"/>
  <c r="FU62" i="7"/>
  <c r="FG61" i="7"/>
  <c r="FF62" i="7"/>
  <c r="FG62" i="7"/>
  <c r="AO336" i="7"/>
  <c r="AN355" i="7"/>
  <c r="BP69" i="7"/>
  <c r="BQ69" i="7"/>
  <c r="AN362" i="7"/>
  <c r="L69" i="7"/>
  <c r="M69" i="7"/>
  <c r="AO60" i="7"/>
  <c r="AN61" i="7"/>
  <c r="AO61" i="7"/>
  <c r="CD65" i="7"/>
  <c r="AA208" i="7"/>
  <c r="Z209" i="7"/>
  <c r="AA209" i="7"/>
  <c r="D220" i="7"/>
  <c r="E221" i="7"/>
  <c r="M40" i="7"/>
  <c r="L59" i="7"/>
  <c r="CD61" i="7"/>
  <c r="CE61" i="7"/>
  <c r="BB69" i="7"/>
  <c r="BC69" i="7"/>
  <c r="Z61" i="7"/>
  <c r="AA61" i="7"/>
  <c r="D72" i="7"/>
  <c r="E73" i="7"/>
  <c r="M60" i="7"/>
  <c r="L61" i="7"/>
  <c r="M61" i="7"/>
  <c r="AA65" i="7"/>
  <c r="Z69" i="7"/>
  <c r="AA69" i="7"/>
  <c r="AO362" i="7"/>
  <c r="AN365" i="7"/>
  <c r="AO365" i="7"/>
  <c r="AO356" i="7"/>
  <c r="AN357" i="7"/>
  <c r="AO357" i="7"/>
  <c r="CE65" i="7"/>
  <c r="CD69" i="7"/>
  <c r="CE69" i="7"/>
  <c r="BC60" i="7"/>
  <c r="BB61" i="7"/>
  <c r="BC61" i="7"/>
</calcChain>
</file>

<file path=xl/sharedStrings.xml><?xml version="1.0" encoding="utf-8"?>
<sst xmlns="http://schemas.openxmlformats.org/spreadsheetml/2006/main" count="2563" uniqueCount="376">
  <si>
    <t>BUZZ①</t>
    <phoneticPr fontId="2"/>
  </si>
  <si>
    <t>BUZZ②</t>
    <phoneticPr fontId="2"/>
  </si>
  <si>
    <t>日付</t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</si>
  <si>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</si>
  <si>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</si>
  <si>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</si>
  <si>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</si>
  <si>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</si>
  <si>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</si>
  <si>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</si>
  <si>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</si>
  <si>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</si>
  <si>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</si>
  <si>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t>電ブル</t>
  </si>
  <si>
    <t>サンリオファン</t>
  </si>
  <si>
    <t>ＡＩモンスターラバー</t>
  </si>
  <si>
    <t>AIマスコット</t>
  </si>
  <si>
    <t>集金</t>
  </si>
  <si>
    <t>モンチッチマスコット</t>
  </si>
  <si>
    <t>サンリオフェイスポーチ</t>
  </si>
  <si>
    <t>合計</t>
  </si>
  <si>
    <t>トータル原価</t>
  </si>
  <si>
    <t>ave</t>
  </si>
  <si>
    <t>トータル出率</t>
  </si>
  <si>
    <t>取得</t>
  </si>
  <si>
    <t>利益</t>
  </si>
  <si>
    <t>前月</t>
  </si>
  <si>
    <t>ブース計</t>
  </si>
  <si>
    <t>払出合計</t>
  </si>
  <si>
    <t>NICI</t>
  </si>
  <si>
    <t>デジタルミニカメラ</t>
  </si>
  <si>
    <t>ジョージファン</t>
  </si>
  <si>
    <t>払出額</t>
  </si>
  <si>
    <t>原価率</t>
  </si>
  <si>
    <t>キティフェイスポーチ</t>
  </si>
  <si>
    <t>AIラバー</t>
  </si>
  <si>
    <t>サンリオトイカメラ</t>
  </si>
  <si>
    <t>原価</t>
  </si>
  <si>
    <t>BUZZ③</t>
    <phoneticPr fontId="2"/>
  </si>
  <si>
    <t>BUZZ④</t>
    <phoneticPr fontId="2"/>
  </si>
  <si>
    <t>香水coach</t>
  </si>
  <si>
    <t>スティッチキーケース</t>
  </si>
  <si>
    <t>サンリオミニリュックチャーム付</t>
  </si>
  <si>
    <t>ジャグラーサウンドフラッシュ</t>
  </si>
  <si>
    <t>クーリッシュイヤホン</t>
  </si>
  <si>
    <t>サンリオギャルキーケース</t>
  </si>
  <si>
    <t>サンリオヘアパッチンピン</t>
  </si>
  <si>
    <t>14.2.6.14</t>
  </si>
  <si>
    <t>ピクミンマスコット</t>
  </si>
  <si>
    <t>22.4.7.22</t>
  </si>
  <si>
    <t>23.2.7.23</t>
  </si>
  <si>
    <t>22.3.7.22</t>
  </si>
  <si>
    <t>18.3.9.18</t>
  </si>
  <si>
    <t>18.4.7.18</t>
  </si>
  <si>
    <t>14.1.7.14</t>
  </si>
  <si>
    <t>Pro4</t>
    <phoneticPr fontId="2"/>
  </si>
  <si>
    <t>11.1.7.11</t>
  </si>
  <si>
    <t>18.2.8.18</t>
  </si>
  <si>
    <t>9/22/月</t>
  </si>
  <si>
    <t>サンリオフェイスポーチ20.7.9.20</t>
  </si>
  <si>
    <t>ラブブマスコット</t>
  </si>
  <si>
    <t>ラブブキーホルダー</t>
  </si>
  <si>
    <t>液晶ミニカメラ</t>
  </si>
  <si>
    <t>キティヒョウ柄マスコット</t>
  </si>
  <si>
    <t>ラブブマスコット11.1.7.11緩和20</t>
  </si>
  <si>
    <t>20.2.10</t>
  </si>
  <si>
    <t>22.3.10北斗イヤホン</t>
  </si>
  <si>
    <t>22.6.10</t>
  </si>
  <si>
    <t>22.3.10</t>
  </si>
  <si>
    <t>サンリオパッチン12.6.7.12</t>
  </si>
  <si>
    <t>ピクミン11.3.5.11</t>
  </si>
  <si>
    <t>11.1.7</t>
  </si>
  <si>
    <t>24.1.8ラブブキーホルダー</t>
  </si>
  <si>
    <t>北斗イヤホン</t>
  </si>
  <si>
    <t>サンリオでかぱっちん</t>
  </si>
  <si>
    <t>次回設定調整お願い！</t>
  </si>
  <si>
    <t>次回入れ替えお願い！</t>
  </si>
  <si>
    <t>補充！</t>
  </si>
  <si>
    <t>プライズメーター故障？</t>
  </si>
  <si>
    <t>11.3.4.11</t>
  </si>
  <si>
    <t>11.1.6.11</t>
  </si>
  <si>
    <t>サンリオフェイスポーチ22.6.8.22</t>
  </si>
  <si>
    <t>20.2.8.20</t>
  </si>
  <si>
    <t>22.7.8.22</t>
  </si>
  <si>
    <t>そろそろ入れ替えかも！</t>
  </si>
  <si>
    <t>他店補充用に回して入れ替え</t>
  </si>
  <si>
    <t>エラーコード5により稼働しておらず</t>
  </si>
  <si>
    <t>プロ4 20.4.6.20</t>
  </si>
  <si>
    <t>サンリオがま口財布18.5.7.18.80</t>
  </si>
  <si>
    <t>サンリオがま口財布</t>
  </si>
  <si>
    <t>サンリオがま口ミニポーチ21.7.9.21</t>
  </si>
  <si>
    <t>月曜日次第入れ替え</t>
  </si>
  <si>
    <t>そろそろ入れ替え！</t>
  </si>
  <si>
    <t>サンリオがま口ポーチ</t>
  </si>
  <si>
    <t>アングリーベイビー23.9.9.23</t>
  </si>
  <si>
    <t>ちいかわマスコットポーチ20.7.8.20</t>
  </si>
  <si>
    <t>プロ4</t>
  </si>
  <si>
    <t>スンスン髪留め22.7.8.22</t>
  </si>
  <si>
    <t>アングリーベイビー</t>
  </si>
  <si>
    <t>23.8.9.23</t>
  </si>
  <si>
    <t>ちいかわマスコットポーチ</t>
  </si>
  <si>
    <t>スンスン髪留め</t>
  </si>
  <si>
    <t>23.7.8.23</t>
  </si>
  <si>
    <t>24.7.8.24</t>
  </si>
  <si>
    <t>サンリオウィンターキーケース24.2.10.24</t>
  </si>
  <si>
    <t>押忍番長ボイスボタン22.1.8.22</t>
  </si>
  <si>
    <t>22.6.8.22緩和10→20</t>
  </si>
  <si>
    <t>11.2.6.11</t>
  </si>
  <si>
    <t>21.6.7.20緩和20→10</t>
  </si>
  <si>
    <t>シリコン1→2  sp5→8</t>
  </si>
  <si>
    <t>押忍番長ボイスボタン</t>
  </si>
  <si>
    <t>BUZZツインズ②</t>
  </si>
  <si>
    <t>サンリオマスコット</t>
  </si>
  <si>
    <t>ギャルキティマスコット</t>
  </si>
  <si>
    <t>ラフブキーホルダー</t>
  </si>
  <si>
    <t>ジャグラーボタン</t>
  </si>
  <si>
    <t>番長ボタン</t>
  </si>
  <si>
    <t>アングリーキーホルダー</t>
  </si>
  <si>
    <t>パステルケーキ</t>
  </si>
  <si>
    <t>しばこ</t>
  </si>
  <si>
    <t>たまごっちマスコット</t>
  </si>
  <si>
    <t>バタースクイーズ</t>
  </si>
  <si>
    <t>ＡＩモンスター</t>
  </si>
  <si>
    <t>サンリオボアポーチ</t>
  </si>
  <si>
    <t>アシスト60に変更</t>
  </si>
  <si>
    <t>アシスト80に変更</t>
  </si>
  <si>
    <t>ベイビースリーフェイス　35.12.4</t>
  </si>
  <si>
    <t>サンリオボアバンスクリップ22.9.11.22</t>
  </si>
  <si>
    <t>22.10.13.22</t>
  </si>
  <si>
    <t>ボンボンドロップシール</t>
  </si>
  <si>
    <t>サンリオボアバンスクリップ</t>
  </si>
  <si>
    <t>ベイビースリーフェイス</t>
  </si>
  <si>
    <t>たまごっちマスコット20.7.8移動しただけ</t>
  </si>
  <si>
    <t>バタースクイーズ22.10.13移動しただけ</t>
  </si>
  <si>
    <t>チェキフィルム20.8.9.20</t>
  </si>
  <si>
    <t>オーロラブレスレット14.6.8</t>
  </si>
  <si>
    <t>サンリオヘアバンド20.9.10.20</t>
  </si>
  <si>
    <t>16.7.8</t>
  </si>
  <si>
    <t>余り物入れた</t>
  </si>
  <si>
    <t>3/16/月</t>
  </si>
  <si>
    <t>チェキフィルム</t>
  </si>
  <si>
    <t>オーロラブレスレット</t>
  </si>
  <si>
    <t>19.7.8速度2</t>
  </si>
  <si>
    <t>3/20/金</t>
  </si>
  <si>
    <t>サンリオヘアバンド</t>
  </si>
  <si>
    <t>19.8.9速度2</t>
  </si>
  <si>
    <t>キティヘアパッチン18.7.8</t>
  </si>
  <si>
    <t/>
  </si>
  <si>
    <t>3/23/月</t>
  </si>
  <si>
    <t>キティヘアパッチン</t>
  </si>
  <si>
    <t>18.7.8</t>
  </si>
  <si>
    <t>19.8.9速度10→5</t>
  </si>
  <si>
    <t>40.10.12.40</t>
  </si>
  <si>
    <t>サンリオ毛布</t>
  </si>
  <si>
    <t>18.6.8</t>
  </si>
  <si>
    <t>35.9.10、速度2</t>
  </si>
  <si>
    <t>ボンドロ海外製22.10.11 アームが固くて変えれなかった</t>
  </si>
  <si>
    <t>40.10.12.40ディズニーぷくぷくシール</t>
  </si>
  <si>
    <t>22.8.10 速度2</t>
  </si>
  <si>
    <t>ボンドロ海外製</t>
  </si>
  <si>
    <t>ミニデジタルカメラスナップ20.8.9</t>
  </si>
  <si>
    <r>
      <rPr>
        <sz val="8"/>
        <color theme="1"/>
        <rFont val="Calibri"/>
        <family val="2"/>
        <charset val="128"/>
        <scheme val="minor"/>
      </rPr>
      <t>ボンボンドロップシール</t>
    </r>
    <phoneticPr fontId="2"/>
  </si>
  <si>
    <t>4/3/金</t>
  </si>
  <si>
    <t>22.9.11</t>
  </si>
  <si>
    <t>40.9.11速度3</t>
  </si>
  <si>
    <t>カラビナ付きぬいぐるみファスナーマスコット23.10.12</t>
  </si>
  <si>
    <t>カラビナ付きぬいぐるみファスナーマスコット</t>
  </si>
  <si>
    <t>クリアミニアルバム18.6.7</t>
  </si>
  <si>
    <t>ふわもちミニスクイーズ17.7.8</t>
  </si>
  <si>
    <t>おさるのジョージぷくぷくシール17.6.8</t>
  </si>
  <si>
    <t>たまごっちブロックシール24.11.12</t>
  </si>
  <si>
    <t>16.6.7.16</t>
  </si>
  <si>
    <t>サンリオヒョウ柄パスキーケース45.19.19.45</t>
  </si>
  <si>
    <t>ディズニーぷくぷくシール24.11.13ゴム1</t>
  </si>
  <si>
    <r>
      <rPr>
        <sz val="8"/>
        <color theme="1"/>
        <rFont val="Calibri"/>
        <family val="3"/>
        <charset val="128"/>
        <scheme val="minor"/>
      </rPr>
      <t>サンリオ型押しキーケース</t>
    </r>
    <rPh sb="4" eb="6">
      <t>カタオ</t>
    </rPh>
    <phoneticPr fontId="2"/>
  </si>
  <si>
    <r>
      <rPr>
        <sz val="8"/>
        <color theme="1"/>
        <rFont val="Calibri"/>
        <family val="3"/>
        <charset val="128"/>
        <scheme val="minor"/>
      </rPr>
      <t>サンリオ毛布</t>
    </r>
    <rPh sb="4" eb="6">
      <t>モウフ</t>
    </rPh>
    <phoneticPr fontId="2"/>
  </si>
  <si>
    <t>ふわもちミニスクイーズ</t>
  </si>
  <si>
    <t>たまごっちブロックシール</t>
  </si>
  <si>
    <t>クリアミニアルバム</t>
  </si>
  <si>
    <t>20.7.9</t>
  </si>
  <si>
    <t>43.15.17</t>
  </si>
  <si>
    <t>ディズニーぷくぷくシール</t>
  </si>
  <si>
    <t>おさるのジョージぷくぷくシール</t>
  </si>
  <si>
    <t>40.9.5 基盤変えた</t>
  </si>
  <si>
    <t>23.8.10</t>
  </si>
  <si>
    <t>キティ着物マスコット22.8.10</t>
  </si>
  <si>
    <t>キティダブルミラー24.12.13</t>
  </si>
  <si>
    <t>キティダブルミラー</t>
  </si>
  <si>
    <t>24.11.12</t>
  </si>
  <si>
    <t>キティ着物マスコット</t>
  </si>
  <si>
    <t>23.9.11ゴム1個外した</t>
  </si>
  <si>
    <t>サンリオカラビナ付きミニファン22.7.8</t>
  </si>
  <si>
    <t>キララメシールバインダー23.8.10</t>
  </si>
  <si>
    <t>サンリオ豹柄リールパスケース</t>
  </si>
  <si>
    <t>（田隈に1ケースある）</t>
  </si>
  <si>
    <t>キララメシールバインダー</t>
  </si>
  <si>
    <t>12.6.7速度1</t>
  </si>
  <si>
    <t>31.8.9速度2</t>
  </si>
  <si>
    <t>サンリオカラビナ付きミニファン</t>
  </si>
  <si>
    <t>ケース入バタースクイーズ40.10.12</t>
  </si>
  <si>
    <t>サンリオボアミラーポーチ23.7</t>
  </si>
  <si>
    <t>22.9.10</t>
  </si>
  <si>
    <t>田隈に少しある</t>
  </si>
  <si>
    <t>調整か入れ替え</t>
  </si>
  <si>
    <t>要調整！23.7.9速度1</t>
  </si>
  <si>
    <t>24.10.11</t>
  </si>
  <si>
    <t>23.5</t>
  </si>
  <si>
    <t>ケース入バタースクイーズ</t>
  </si>
  <si>
    <t>トイストーリー・ディズニーベアブリック16.6.7</t>
  </si>
  <si>
    <t>トイストーリー・ディズニーベアブリック</t>
  </si>
  <si>
    <t>キティバンスクリップビッグ24.9.12</t>
  </si>
  <si>
    <t>モンチッチがま口混ぜた</t>
  </si>
  <si>
    <t>23.9.11</t>
  </si>
  <si>
    <t>サンリオボアミラーポーチ</t>
  </si>
  <si>
    <t>キティバンスクリップビッグ</t>
  </si>
  <si>
    <t>かえる20.8.9</t>
  </si>
  <si>
    <t>バタースクイーズ22.10.11</t>
  </si>
  <si>
    <t>電ブル22.9.11</t>
  </si>
  <si>
    <t>パンケーキスクイーズ24.10.11</t>
  </si>
  <si>
    <t>カエル</t>
  </si>
  <si>
    <t>21.8.8</t>
  </si>
  <si>
    <t>フルーツスクイーズ23.10.10</t>
  </si>
  <si>
    <t>パンケーキスクイーズ</t>
  </si>
  <si>
    <t>おしりぷにぷにシール40.13.15</t>
  </si>
  <si>
    <t>29.7.5</t>
  </si>
  <si>
    <t>フルーツスクイーズ</t>
  </si>
  <si>
    <t>お尻プニプニシール</t>
  </si>
  <si>
    <t>アンパンマン指人形23.7.8</t>
  </si>
  <si>
    <t>マリオカート24.9.10</t>
  </si>
  <si>
    <t>マリオカートマスコット</t>
  </si>
  <si>
    <t>24.9.9</t>
  </si>
  <si>
    <t>アンパンマン指人形</t>
  </si>
  <si>
    <t>パンケーキスクイーズ23.10.10</t>
  </si>
  <si>
    <t>半熟卵スクイーズ23.9.9</t>
  </si>
  <si>
    <t>40.13.14</t>
  </si>
  <si>
    <t>ドーナツスクイーズ22.8.8</t>
  </si>
  <si>
    <t>メイドキティ20.3-4.5</t>
  </si>
  <si>
    <t>半熟玉子スクイーズ</t>
  </si>
  <si>
    <t>ドーナツスクイーズ</t>
  </si>
  <si>
    <t>メイドキティマスコット</t>
  </si>
  <si>
    <t>忍者めし鋼24.15.17</t>
  </si>
  <si>
    <t>忍者めし鋼</t>
  </si>
  <si>
    <t>ジャグラーDXボタン24.10.10</t>
  </si>
  <si>
    <t>たまごっちカスタムキーリング20.9.10</t>
  </si>
  <si>
    <r>
      <rPr>
        <sz val="11"/>
        <color theme="1"/>
        <rFont val="Calibri"/>
        <family val="3"/>
        <charset val="128"/>
        <scheme val="minor"/>
      </rPr>
      <t>時津</t>
    </r>
    <rPh sb="0" eb="2">
      <t>トギツ</t>
    </rPh>
    <phoneticPr fontId="2"/>
  </si>
  <si>
    <r>
      <rPr>
        <sz val="12"/>
        <color theme="1"/>
        <rFont val="Calibri"/>
        <family val="2"/>
        <charset val="128"/>
        <scheme val="minor"/>
      </rPr>
      <t>トライデッキ</t>
    </r>
    <phoneticPr fontId="2"/>
  </si>
  <si>
    <r>
      <rPr>
        <sz val="12"/>
        <color theme="1"/>
        <rFont val="Calibri"/>
        <family val="2"/>
        <charset val="128"/>
        <scheme val="minor"/>
      </rPr>
      <t>ダイヤモンドクレーン</t>
    </r>
    <phoneticPr fontId="2"/>
  </si>
  <si>
    <r>
      <rPr>
        <sz val="11"/>
        <color theme="1"/>
        <rFont val="Calibri"/>
        <family val="2"/>
        <charset val="128"/>
        <scheme val="minor"/>
      </rPr>
      <t>クリスタル</t>
    </r>
    <r>
      <rPr>
        <sz val="16"/>
        <color theme="1"/>
        <rFont val="Calibri"/>
        <family val="3"/>
        <charset val="128"/>
        <scheme val="minor"/>
      </rPr>
      <t>①</t>
    </r>
    <phoneticPr fontId="2"/>
  </si>
  <si>
    <r>
      <rPr>
        <sz val="11"/>
        <color theme="1"/>
        <rFont val="Calibri"/>
        <family val="2"/>
        <charset val="128"/>
        <scheme val="minor"/>
      </rPr>
      <t>クリスタル</t>
    </r>
    <r>
      <rPr>
        <sz val="16"/>
        <color theme="1"/>
        <rFont val="Calibri"/>
        <family val="3"/>
        <charset val="128"/>
        <scheme val="minor"/>
      </rPr>
      <t>②</t>
    </r>
    <phoneticPr fontId="2"/>
  </si>
  <si>
    <r>
      <t>BUZZ</t>
    </r>
    <r>
      <rPr>
        <sz val="11"/>
        <color theme="1"/>
        <rFont val="Calibri"/>
        <family val="2"/>
        <charset val="128"/>
        <scheme val="minor"/>
      </rPr>
      <t>ミニ</t>
    </r>
    <r>
      <rPr>
        <sz val="11"/>
        <color theme="1"/>
        <rFont val="Calibri"/>
        <family val="2"/>
        <scheme val="minor"/>
      </rPr>
      <t>①</t>
    </r>
    <phoneticPr fontId="2"/>
  </si>
  <si>
    <r>
      <t>BUZZ</t>
    </r>
    <r>
      <rPr>
        <sz val="11"/>
        <color theme="1"/>
        <rFont val="Calibri"/>
        <family val="2"/>
        <charset val="128"/>
        <scheme val="minor"/>
      </rPr>
      <t>ミニ</t>
    </r>
    <r>
      <rPr>
        <sz val="11"/>
        <color theme="1"/>
        <rFont val="Calibri"/>
        <family val="2"/>
        <scheme val="minor"/>
      </rPr>
      <t>②</t>
    </r>
    <phoneticPr fontId="2"/>
  </si>
  <si>
    <r>
      <t>BUZZ</t>
    </r>
    <r>
      <rPr>
        <sz val="11"/>
        <color theme="1"/>
        <rFont val="Calibri"/>
        <family val="2"/>
        <charset val="128"/>
        <scheme val="minor"/>
      </rPr>
      <t>ミニ</t>
    </r>
    <r>
      <rPr>
        <sz val="18"/>
        <color theme="1"/>
        <rFont val="Calibri"/>
        <family val="2"/>
        <scheme val="minor"/>
      </rPr>
      <t>③</t>
    </r>
    <phoneticPr fontId="2"/>
  </si>
  <si>
    <r>
      <t>BUZZ</t>
    </r>
    <r>
      <rPr>
        <sz val="11"/>
        <color theme="1"/>
        <rFont val="Calibri"/>
        <family val="2"/>
        <charset val="128"/>
        <scheme val="minor"/>
      </rPr>
      <t>ツインズ</t>
    </r>
    <r>
      <rPr>
        <sz val="18"/>
        <color theme="1"/>
        <rFont val="Calibri"/>
        <family val="2"/>
        <scheme val="minor"/>
      </rPr>
      <t>①</t>
    </r>
    <phoneticPr fontId="2"/>
  </si>
  <si>
    <r>
      <t>BUZZ</t>
    </r>
    <r>
      <rPr>
        <sz val="11"/>
        <color theme="1"/>
        <rFont val="Calibri"/>
        <family val="3"/>
        <charset val="128"/>
        <scheme val="minor"/>
      </rPr>
      <t>ツインズ</t>
    </r>
    <r>
      <rPr>
        <sz val="18"/>
        <color theme="1"/>
        <rFont val="Calibri"/>
        <family val="2"/>
        <scheme val="minor"/>
      </rPr>
      <t>③</t>
    </r>
    <phoneticPr fontId="2"/>
  </si>
  <si>
    <r>
      <rPr>
        <sz val="11"/>
        <color theme="1"/>
        <rFont val="Calibri"/>
        <family val="2"/>
        <charset val="128"/>
        <scheme val="minor"/>
      </rPr>
      <t>デカクレ</t>
    </r>
    <phoneticPr fontId="2"/>
  </si>
  <si>
    <r>
      <rPr>
        <sz val="10"/>
        <color theme="1"/>
        <rFont val="Calibri"/>
        <family val="2"/>
        <charset val="128"/>
        <scheme val="minor"/>
      </rPr>
      <t>アンパンマンかくれんぼ</t>
    </r>
    <phoneticPr fontId="2"/>
  </si>
  <si>
    <r>
      <rPr>
        <sz val="11"/>
        <color theme="1"/>
        <rFont val="Calibri"/>
        <family val="2"/>
        <charset val="128"/>
        <scheme val="minor"/>
      </rPr>
      <t>アンパンマン玉入れ</t>
    </r>
    <rPh sb="6" eb="8">
      <t>タマイ</t>
    </rPh>
    <phoneticPr fontId="2"/>
  </si>
  <si>
    <r>
      <rPr>
        <sz val="11"/>
        <color theme="1"/>
        <rFont val="Calibri"/>
        <family val="2"/>
        <charset val="128"/>
        <scheme val="minor"/>
      </rPr>
      <t>わくわく潜水艦</t>
    </r>
    <rPh sb="4" eb="7">
      <t>センスイカン</t>
    </rPh>
    <phoneticPr fontId="2"/>
  </si>
  <si>
    <r>
      <rPr>
        <sz val="11"/>
        <color theme="1"/>
        <rFont val="Calibri"/>
        <family val="2"/>
        <charset val="128"/>
        <scheme val="minor"/>
      </rPr>
      <t>合計</t>
    </r>
    <rPh sb="0" eb="2">
      <t>ゴウケイ</t>
    </rPh>
    <phoneticPr fontId="2"/>
  </si>
  <si>
    <r>
      <rPr>
        <sz val="11"/>
        <color theme="1"/>
        <rFont val="Calibri"/>
        <family val="2"/>
        <charset val="128"/>
        <scheme val="minor"/>
      </rPr>
      <t>景品</t>
    </r>
  </si>
  <si>
    <r>
      <t>500</t>
    </r>
    <r>
      <rPr>
        <sz val="11"/>
        <color theme="1"/>
        <rFont val="Calibri"/>
        <family val="3"/>
        <charset val="128"/>
        <scheme val="minor"/>
      </rPr>
      <t>円</t>
    </r>
    <phoneticPr fontId="2"/>
  </si>
  <si>
    <r>
      <rPr>
        <sz val="11"/>
        <color theme="1"/>
        <rFont val="Calibri"/>
        <family val="2"/>
        <charset val="128"/>
        <scheme val="minor"/>
      </rPr>
      <t>備考</t>
    </r>
    <rPh sb="0" eb="2">
      <t>ビコウ</t>
    </rPh>
    <phoneticPr fontId="2"/>
  </si>
  <si>
    <r>
      <rPr>
        <sz val="8"/>
        <color theme="1"/>
        <rFont val="Calibri"/>
        <family val="2"/>
        <charset val="128"/>
        <scheme val="minor"/>
      </rPr>
      <t>キティダブルミラー</t>
    </r>
  </si>
  <si>
    <r>
      <rPr>
        <sz val="7"/>
        <color theme="1"/>
        <rFont val="Calibri"/>
        <family val="2"/>
        <charset val="128"/>
        <scheme val="minor"/>
      </rPr>
      <t>サンリオボアバンスクリップ</t>
    </r>
  </si>
  <si>
    <r>
      <rPr>
        <sz val="7"/>
        <color theme="1"/>
        <rFont val="Calibri"/>
        <family val="2"/>
        <charset val="128"/>
        <scheme val="minor"/>
      </rPr>
      <t>モンチッチがま口</t>
    </r>
  </si>
  <si>
    <r>
      <rPr>
        <sz val="7"/>
        <color theme="1"/>
        <rFont val="Calibri"/>
        <family val="2"/>
        <charset val="128"/>
        <scheme val="minor"/>
      </rPr>
      <t>ベアブリック</t>
    </r>
  </si>
  <si>
    <r>
      <rPr>
        <sz val="8"/>
        <color theme="1"/>
        <rFont val="Calibri"/>
        <family val="3"/>
        <charset val="128"/>
        <scheme val="minor"/>
      </rPr>
      <t>サンリオマスコットポーチ</t>
    </r>
  </si>
  <si>
    <r>
      <rPr>
        <sz val="8"/>
        <color theme="1"/>
        <rFont val="Calibri"/>
        <family val="3"/>
        <charset val="128"/>
        <scheme val="minor"/>
      </rPr>
      <t>サンリオボアミラーポーチ</t>
    </r>
  </si>
  <si>
    <r>
      <rPr>
        <sz val="8"/>
        <color theme="1"/>
        <rFont val="Calibri"/>
        <family val="3"/>
        <charset val="128"/>
        <scheme val="minor"/>
      </rPr>
      <t>サンリオ豹柄リールパスケース</t>
    </r>
  </si>
  <si>
    <r>
      <rPr>
        <sz val="8"/>
        <color theme="1"/>
        <rFont val="Calibri"/>
        <family val="3"/>
        <charset val="128"/>
        <scheme val="minor"/>
      </rPr>
      <t>ケース入バタースクイーズ</t>
    </r>
  </si>
  <si>
    <r>
      <rPr>
        <sz val="8"/>
        <color theme="1"/>
        <rFont val="Calibri"/>
        <family val="3"/>
        <charset val="128"/>
        <scheme val="minor"/>
      </rPr>
      <t>おさるのジョージぷくぷくシール</t>
    </r>
  </si>
  <si>
    <r>
      <rPr>
        <sz val="8"/>
        <color theme="1"/>
        <rFont val="Calibri"/>
        <family val="3"/>
        <charset val="128"/>
        <scheme val="minor"/>
      </rPr>
      <t>ディズニーぷくぷくシール</t>
    </r>
  </si>
  <si>
    <r>
      <rPr>
        <sz val="8"/>
        <color theme="1"/>
        <rFont val="Calibri"/>
        <family val="2"/>
        <charset val="128"/>
        <scheme val="minor"/>
      </rPr>
      <t>サンリオカラビナ付きミニファン</t>
    </r>
  </si>
  <si>
    <r>
      <rPr>
        <sz val="7"/>
        <color theme="1"/>
        <rFont val="Calibri"/>
        <family val="2"/>
        <charset val="128"/>
        <scheme val="minor"/>
      </rPr>
      <t>サンリオヘアバンド</t>
    </r>
  </si>
  <si>
    <r>
      <rPr>
        <sz val="7"/>
        <color theme="1"/>
        <rFont val="Calibri"/>
        <family val="2"/>
        <charset val="128"/>
        <scheme val="minor"/>
      </rPr>
      <t>バタースクイーズ</t>
    </r>
  </si>
  <si>
    <r>
      <rPr>
        <sz val="7"/>
        <color theme="1"/>
        <rFont val="Calibri"/>
        <family val="2"/>
        <charset val="128"/>
        <scheme val="minor"/>
      </rPr>
      <t>ゲーム機イヤホン</t>
    </r>
  </si>
  <si>
    <r>
      <rPr>
        <sz val="8"/>
        <color theme="1"/>
        <rFont val="Calibri"/>
        <family val="3"/>
        <charset val="128"/>
        <scheme val="minor"/>
      </rPr>
      <t>たまごっちブロックシール</t>
    </r>
  </si>
  <si>
    <r>
      <rPr>
        <sz val="7"/>
        <color theme="1"/>
        <rFont val="Calibri"/>
        <family val="2"/>
        <charset val="128"/>
        <scheme val="minor"/>
      </rPr>
      <t>キララメシールバインダー</t>
    </r>
  </si>
  <si>
    <r>
      <rPr>
        <sz val="7"/>
        <color theme="1"/>
        <rFont val="Calibri"/>
        <family val="2"/>
        <charset val="128"/>
        <scheme val="minor"/>
      </rPr>
      <t>たまごっちマスコット</t>
    </r>
  </si>
  <si>
    <r>
      <rPr>
        <sz val="7"/>
        <color theme="1"/>
        <rFont val="Calibri"/>
        <family val="2"/>
        <charset val="128"/>
        <scheme val="minor"/>
      </rPr>
      <t>ゲームアーク</t>
    </r>
  </si>
  <si>
    <r>
      <rPr>
        <sz val="8"/>
        <color theme="1"/>
        <rFont val="Calibri"/>
        <family val="3"/>
        <charset val="128"/>
        <scheme val="minor"/>
      </rPr>
      <t>ふわもちミニスクイーズ</t>
    </r>
  </si>
  <si>
    <r>
      <rPr>
        <sz val="7"/>
        <color theme="1"/>
        <rFont val="Calibri"/>
        <family val="2"/>
        <charset val="128"/>
        <scheme val="minor"/>
      </rPr>
      <t>ボンドロ海外製</t>
    </r>
  </si>
  <si>
    <r>
      <rPr>
        <sz val="7"/>
        <color theme="1"/>
        <rFont val="Calibri"/>
        <family val="2"/>
        <charset val="128"/>
        <scheme val="minor"/>
      </rPr>
      <t>キティ着物マスコット</t>
    </r>
  </si>
  <si>
    <r>
      <rPr>
        <sz val="7"/>
        <color theme="1"/>
        <rFont val="Calibri"/>
        <family val="2"/>
        <charset val="128"/>
        <scheme val="minor"/>
      </rPr>
      <t>しばこ</t>
    </r>
  </si>
  <si>
    <r>
      <rPr>
        <sz val="9"/>
        <color theme="1"/>
        <rFont val="Calibri"/>
        <family val="2"/>
        <charset val="128"/>
        <scheme val="minor"/>
      </rPr>
      <t>月売予想</t>
    </r>
    <rPh sb="0" eb="2">
      <t>ツキウ</t>
    </rPh>
    <rPh sb="2" eb="4">
      <t>ヨソウ</t>
    </rPh>
    <phoneticPr fontId="2"/>
  </si>
  <si>
    <r>
      <rPr>
        <sz val="10"/>
        <color theme="1"/>
        <rFont val="Calibri"/>
        <family val="3"/>
        <charset val="128"/>
        <scheme val="minor"/>
      </rPr>
      <t>月末在庫金額</t>
    </r>
  </si>
  <si>
    <r>
      <rPr>
        <sz val="11"/>
        <color theme="1"/>
        <rFont val="Calibri"/>
        <family val="3"/>
        <charset val="128"/>
        <scheme val="minor"/>
      </rPr>
      <t>月末在庫金額</t>
    </r>
  </si>
  <si>
    <r>
      <rPr>
        <sz val="11"/>
        <color theme="1"/>
        <rFont val="Calibri"/>
        <family val="2"/>
        <charset val="128"/>
        <scheme val="minor"/>
      </rPr>
      <t>月間予想</t>
    </r>
    <rPh sb="0" eb="2">
      <t>ゲッカン</t>
    </rPh>
    <rPh sb="2" eb="4">
      <t>ヨソウ</t>
    </rPh>
    <phoneticPr fontId="2"/>
  </si>
  <si>
    <r>
      <rPr>
        <sz val="11"/>
        <color theme="1"/>
        <rFont val="Calibri"/>
        <family val="2"/>
        <charset val="128"/>
        <scheme val="minor"/>
      </rPr>
      <t>月間原価</t>
    </r>
    <rPh sb="0" eb="2">
      <t>ゲッカン</t>
    </rPh>
    <rPh sb="2" eb="4">
      <t>ゲンカ</t>
    </rPh>
    <phoneticPr fontId="2"/>
  </si>
  <si>
    <r>
      <rPr>
        <sz val="11"/>
        <color theme="1"/>
        <rFont val="Calibri"/>
        <family val="2"/>
        <charset val="128"/>
        <scheme val="minor"/>
      </rPr>
      <t>月末棚卸</t>
    </r>
    <rPh sb="0" eb="2">
      <t>ゲツマツ</t>
    </rPh>
    <rPh sb="2" eb="4">
      <t>タナオロシ</t>
    </rPh>
    <phoneticPr fontId="2"/>
  </si>
  <si>
    <r>
      <rPr>
        <sz val="11"/>
        <color theme="1"/>
        <rFont val="Calibri"/>
        <family val="2"/>
        <charset val="128"/>
        <scheme val="minor"/>
      </rPr>
      <t>原価率</t>
    </r>
    <rPh sb="0" eb="3">
      <t>ゲンカリツ</t>
    </rPh>
    <phoneticPr fontId="2"/>
  </si>
  <si>
    <r>
      <rPr>
        <sz val="8"/>
        <color theme="1"/>
        <rFont val="Calibri"/>
        <family val="2"/>
        <charset val="128"/>
        <scheme val="minor"/>
      </rPr>
      <t>ジャグラーボタン</t>
    </r>
  </si>
  <si>
    <r>
      <rPr>
        <sz val="7"/>
        <color theme="1"/>
        <rFont val="Calibri"/>
        <family val="2"/>
        <charset val="128"/>
        <scheme val="minor"/>
      </rPr>
      <t>デジタルミニカメラ</t>
    </r>
  </si>
  <si>
    <r>
      <rPr>
        <sz val="8"/>
        <color theme="1"/>
        <rFont val="Calibri"/>
        <family val="3"/>
        <charset val="128"/>
        <scheme val="minor"/>
      </rPr>
      <t>サンリオマスコットポーチ</t>
    </r>
    <phoneticPr fontId="2"/>
  </si>
  <si>
    <r>
      <rPr>
        <sz val="8"/>
        <color theme="1"/>
        <rFont val="Calibri"/>
        <family val="3"/>
        <charset val="128"/>
        <scheme val="minor"/>
      </rPr>
      <t>余り物</t>
    </r>
    <rPh sb="0" eb="1">
      <t>アマ</t>
    </rPh>
    <rPh sb="2" eb="3">
      <t>モノ</t>
    </rPh>
    <phoneticPr fontId="2"/>
  </si>
  <si>
    <r>
      <rPr>
        <sz val="8"/>
        <color theme="1"/>
        <rFont val="Calibri"/>
        <family val="3"/>
        <charset val="128"/>
        <scheme val="minor"/>
      </rPr>
      <t>ディズニーぷくぷくシール</t>
    </r>
    <phoneticPr fontId="2"/>
  </si>
  <si>
    <r>
      <rPr>
        <sz val="6"/>
        <color theme="1"/>
        <rFont val="Calibri"/>
        <family val="3"/>
        <charset val="128"/>
        <scheme val="minor"/>
      </rPr>
      <t>ボンドロ</t>
    </r>
  </si>
  <si>
    <r>
      <rPr>
        <sz val="8"/>
        <color theme="1"/>
        <rFont val="Calibri"/>
        <family val="3"/>
        <charset val="128"/>
        <scheme val="minor"/>
      </rPr>
      <t>おしりぷにぷにシール</t>
    </r>
  </si>
  <si>
    <r>
      <rPr>
        <sz val="6"/>
        <color theme="1"/>
        <rFont val="Calibri"/>
        <family val="3"/>
        <charset val="128"/>
        <scheme val="minor"/>
      </rPr>
      <t>おしりぷにぷにシール</t>
    </r>
  </si>
  <si>
    <r>
      <rPr>
        <sz val="8"/>
        <color theme="1"/>
        <rFont val="Calibri"/>
        <family val="3"/>
        <charset val="128"/>
        <scheme val="minor"/>
      </rPr>
      <t>キティスカーフ付きチャームリュック</t>
    </r>
  </si>
  <si>
    <r>
      <rPr>
        <sz val="6"/>
        <color theme="1"/>
        <rFont val="Calibri"/>
        <family val="3"/>
        <charset val="128"/>
        <scheme val="minor"/>
      </rPr>
      <t>サンリオ型押しキーケース</t>
    </r>
    <rPh sb="4" eb="6">
      <t>カタオ</t>
    </rPh>
    <phoneticPr fontId="2"/>
  </si>
  <si>
    <r>
      <rPr>
        <sz val="8"/>
        <color theme="1"/>
        <rFont val="Calibri"/>
        <family val="3"/>
        <charset val="128"/>
        <scheme val="minor"/>
      </rPr>
      <t>キティスカーフ付きチャームポーチ</t>
    </r>
  </si>
  <si>
    <r>
      <rPr>
        <sz val="6"/>
        <color theme="1"/>
        <rFont val="Calibri"/>
        <family val="3"/>
        <charset val="128"/>
        <scheme val="minor"/>
      </rPr>
      <t>キティスカーフ付きチャームポーチ</t>
    </r>
  </si>
  <si>
    <r>
      <rPr>
        <sz val="6"/>
        <color theme="1"/>
        <rFont val="Calibri"/>
        <family val="3"/>
        <charset val="128"/>
        <scheme val="minor"/>
      </rPr>
      <t>サンリオ毛布</t>
    </r>
  </si>
  <si>
    <r>
      <rPr>
        <sz val="8"/>
        <color theme="1"/>
        <rFont val="Calibri"/>
        <family val="2"/>
        <charset val="128"/>
        <scheme val="minor"/>
      </rPr>
      <t>チェキフィルム</t>
    </r>
  </si>
  <si>
    <r>
      <rPr>
        <sz val="8"/>
        <color theme="1"/>
        <rFont val="Calibri"/>
        <family val="3"/>
        <charset val="128"/>
        <scheme val="minor"/>
      </rPr>
      <t>アングリーキーホルダー</t>
    </r>
  </si>
  <si>
    <r>
      <rPr>
        <sz val="7"/>
        <color theme="1"/>
        <rFont val="Calibri"/>
        <family val="2"/>
        <charset val="128"/>
        <scheme val="minor"/>
      </rPr>
      <t>ギャルキティマスコット</t>
    </r>
  </si>
  <si>
    <r>
      <rPr>
        <sz val="8"/>
        <color theme="1"/>
        <rFont val="Calibri"/>
        <family val="3"/>
        <charset val="128"/>
        <scheme val="minor"/>
      </rPr>
      <t>パステルケーキ</t>
    </r>
  </si>
  <si>
    <r>
      <rPr>
        <sz val="7"/>
        <color theme="1"/>
        <rFont val="Calibri"/>
        <family val="2"/>
        <charset val="128"/>
        <scheme val="minor"/>
      </rPr>
      <t>オーロラブレスレット</t>
    </r>
  </si>
  <si>
    <r>
      <rPr>
        <sz val="7"/>
        <color theme="1"/>
        <rFont val="Calibri"/>
        <family val="2"/>
        <charset val="128"/>
        <scheme val="minor"/>
      </rPr>
      <t>キティボールペン</t>
    </r>
  </si>
  <si>
    <r>
      <rPr>
        <sz val="6"/>
        <color theme="1"/>
        <rFont val="Calibri"/>
        <family val="2"/>
        <charset val="128"/>
        <scheme val="minor"/>
      </rPr>
      <t>投入数が少ない</t>
    </r>
    <rPh sb="0" eb="3">
      <t>トウニュウスウ</t>
    </rPh>
    <rPh sb="4" eb="5">
      <t>スク</t>
    </rPh>
    <phoneticPr fontId="2"/>
  </si>
  <si>
    <r>
      <rPr>
        <sz val="6"/>
        <color theme="1"/>
        <rFont val="Calibri"/>
        <family val="2"/>
        <charset val="128"/>
        <scheme val="minor"/>
      </rPr>
      <t>もう入れ替え時</t>
    </r>
    <rPh sb="2" eb="3">
      <t>イ</t>
    </rPh>
    <rPh sb="4" eb="5">
      <t>カ</t>
    </rPh>
    <rPh sb="6" eb="7">
      <t>ドキ</t>
    </rPh>
    <phoneticPr fontId="2"/>
  </si>
  <si>
    <r>
      <rPr>
        <sz val="6"/>
        <color theme="1"/>
        <rFont val="Calibri"/>
        <family val="2"/>
        <charset val="128"/>
        <scheme val="minor"/>
      </rPr>
      <t>そろそろ入れ替え時</t>
    </r>
    <rPh sb="4" eb="5">
      <t>イ</t>
    </rPh>
    <rPh sb="6" eb="7">
      <t>カ</t>
    </rPh>
    <rPh sb="8" eb="9">
      <t>トキ</t>
    </rPh>
    <phoneticPr fontId="2"/>
  </si>
  <si>
    <r>
      <rPr>
        <sz val="6"/>
        <color theme="1"/>
        <rFont val="Calibri"/>
        <family val="3"/>
        <charset val="128"/>
        <scheme val="minor"/>
      </rPr>
      <t>少し出率が低い</t>
    </r>
    <rPh sb="0" eb="1">
      <t>スコ</t>
    </rPh>
    <rPh sb="2" eb="4">
      <t>デリツ</t>
    </rPh>
    <rPh sb="5" eb="6">
      <t>ヒク</t>
    </rPh>
    <phoneticPr fontId="2"/>
  </si>
  <si>
    <r>
      <rPr>
        <sz val="11"/>
        <color theme="1"/>
        <rFont val="Calibri"/>
        <family val="2"/>
        <charset val="128"/>
        <scheme val="minor"/>
      </rPr>
      <t>アンパンマンかくれんぼ</t>
    </r>
    <phoneticPr fontId="2"/>
  </si>
  <si>
    <r>
      <rPr>
        <sz val="6"/>
        <color theme="1"/>
        <rFont val="Calibri"/>
        <family val="3"/>
        <charset val="128"/>
        <scheme val="minor"/>
      </rPr>
      <t>サンリオマスコット</t>
    </r>
    <phoneticPr fontId="2"/>
  </si>
  <si>
    <r>
      <rPr>
        <sz val="6"/>
        <color theme="1"/>
        <rFont val="Calibri"/>
        <family val="3"/>
        <charset val="128"/>
        <scheme val="minor"/>
      </rPr>
      <t>余り物</t>
    </r>
    <rPh sb="0" eb="1">
      <t>アマ</t>
    </rPh>
    <rPh sb="2" eb="3">
      <t>モノ</t>
    </rPh>
    <phoneticPr fontId="2"/>
  </si>
  <si>
    <r>
      <rPr>
        <sz val="6"/>
        <color theme="1"/>
        <rFont val="Calibri"/>
        <family val="3"/>
        <charset val="128"/>
        <scheme val="minor"/>
      </rPr>
      <t>サミュエル</t>
    </r>
    <phoneticPr fontId="2"/>
  </si>
  <si>
    <r>
      <rPr>
        <sz val="6"/>
        <color theme="1"/>
        <rFont val="Calibri"/>
        <family val="3"/>
        <charset val="128"/>
        <scheme val="minor"/>
      </rPr>
      <t>ボンボンドロップシール</t>
    </r>
    <phoneticPr fontId="2"/>
  </si>
  <si>
    <r>
      <rPr>
        <sz val="6"/>
        <color theme="1"/>
        <rFont val="Calibri"/>
        <family val="3"/>
        <charset val="128"/>
        <scheme val="minor"/>
      </rPr>
      <t>キティスカーフ付きチャームリュック</t>
    </r>
  </si>
  <si>
    <r>
      <rPr>
        <sz val="6"/>
        <color theme="1"/>
        <rFont val="Calibri"/>
        <family val="3"/>
        <charset val="128"/>
        <scheme val="minor"/>
      </rPr>
      <t>サンリオ毛布</t>
    </r>
    <rPh sb="4" eb="6">
      <t>モウフ</t>
    </rPh>
    <phoneticPr fontId="2"/>
  </si>
  <si>
    <r>
      <rPr>
        <sz val="8"/>
        <color theme="1"/>
        <rFont val="Calibri"/>
        <family val="3"/>
        <charset val="128"/>
        <scheme val="minor"/>
      </rPr>
      <t>プチドロップシール</t>
    </r>
    <phoneticPr fontId="2"/>
  </si>
  <si>
    <r>
      <rPr>
        <sz val="6"/>
        <color theme="1"/>
        <rFont val="Calibri"/>
        <family val="3"/>
        <charset val="128"/>
        <scheme val="minor"/>
      </rPr>
      <t>おしりぷにぷにシール</t>
    </r>
    <r>
      <rPr>
        <sz val="6"/>
        <color theme="1"/>
        <rFont val="Calibri"/>
        <family val="2"/>
        <scheme val="minor"/>
      </rPr>
      <t>40.10.12.40</t>
    </r>
    <r>
      <rPr>
        <sz val="6"/>
        <color theme="1"/>
        <rFont val="Calibri"/>
        <family val="3"/>
        <charset val="128"/>
        <scheme val="minor"/>
      </rPr>
      <t>シリコン</t>
    </r>
    <r>
      <rPr>
        <sz val="6"/>
        <color theme="1"/>
        <rFont val="Calibri"/>
        <family val="2"/>
        <scheme val="minor"/>
      </rPr>
      <t>1</t>
    </r>
    <r>
      <rPr>
        <sz val="6"/>
        <color theme="1"/>
        <rFont val="Calibri"/>
        <family val="3"/>
        <charset val="128"/>
        <scheme val="minor"/>
      </rPr>
      <t>アシスト</t>
    </r>
    <r>
      <rPr>
        <sz val="6"/>
        <color theme="1"/>
        <rFont val="Calibri"/>
        <family val="2"/>
        <scheme val="minor"/>
      </rPr>
      <t>30</t>
    </r>
    <phoneticPr fontId="2"/>
  </si>
  <si>
    <r>
      <rPr>
        <sz val="11"/>
        <color theme="1"/>
        <rFont val="Calibri"/>
        <family val="3"/>
        <charset val="128"/>
        <scheme val="minor"/>
      </rPr>
      <t>浜の町</t>
    </r>
    <rPh sb="0" eb="1">
      <t>ハマ</t>
    </rPh>
    <rPh sb="2" eb="3">
      <t>マチ</t>
    </rPh>
    <phoneticPr fontId="2"/>
  </si>
  <si>
    <r>
      <rPr>
        <sz val="8"/>
        <color theme="1"/>
        <rFont val="Calibri"/>
        <family val="2"/>
        <charset val="128"/>
        <scheme val="minor"/>
      </rPr>
      <t>液晶ミニカメラ</t>
    </r>
  </si>
  <si>
    <r>
      <rPr>
        <sz val="7"/>
        <color theme="1"/>
        <rFont val="Calibri"/>
        <family val="2"/>
        <charset val="128"/>
        <scheme val="minor"/>
      </rPr>
      <t>キティフェイスポーチ</t>
    </r>
  </si>
  <si>
    <r>
      <rPr>
        <sz val="7"/>
        <color theme="1"/>
        <rFont val="Calibri"/>
        <family val="2"/>
        <charset val="128"/>
        <scheme val="minor"/>
      </rPr>
      <t>ピクミンマスコット</t>
    </r>
  </si>
  <si>
    <r>
      <rPr>
        <sz val="8"/>
        <color theme="1"/>
        <rFont val="Calibri"/>
        <family val="2"/>
        <charset val="128"/>
        <scheme val="minor"/>
      </rPr>
      <t>電ブル</t>
    </r>
  </si>
  <si>
    <r>
      <rPr>
        <sz val="7"/>
        <color theme="1"/>
        <rFont val="Calibri"/>
        <family val="2"/>
        <charset val="128"/>
        <scheme val="minor"/>
      </rPr>
      <t>サンリオミニリュックチャーム付</t>
    </r>
  </si>
  <si>
    <r>
      <rPr>
        <sz val="7"/>
        <color theme="1"/>
        <rFont val="Calibri"/>
        <family val="2"/>
        <charset val="128"/>
        <scheme val="minor"/>
      </rPr>
      <t>ジャグラーサウンドフラッシュ</t>
    </r>
  </si>
  <si>
    <r>
      <rPr>
        <sz val="7"/>
        <color theme="1"/>
        <rFont val="Calibri"/>
        <family val="2"/>
        <charset val="128"/>
        <scheme val="minor"/>
      </rPr>
      <t>クーリッシュイヤホン</t>
    </r>
  </si>
  <si>
    <r>
      <rPr>
        <sz val="8"/>
        <color theme="1"/>
        <rFont val="Calibri"/>
        <family val="3"/>
        <charset val="128"/>
        <scheme val="minor"/>
      </rPr>
      <t>ラブブキーホルダー</t>
    </r>
  </si>
  <si>
    <r>
      <t>AI</t>
    </r>
    <r>
      <rPr>
        <sz val="7"/>
        <color theme="1"/>
        <rFont val="Calibri"/>
        <family val="2"/>
        <charset val="128"/>
        <scheme val="minor"/>
      </rPr>
      <t>ラバー</t>
    </r>
  </si>
  <si>
    <r>
      <rPr>
        <sz val="7"/>
        <color theme="1"/>
        <rFont val="Calibri"/>
        <family val="2"/>
        <charset val="128"/>
        <scheme val="minor"/>
      </rPr>
      <t>サンリオギャルキーケース</t>
    </r>
  </si>
  <si>
    <r>
      <rPr>
        <sz val="7"/>
        <color theme="1"/>
        <rFont val="Calibri"/>
        <family val="2"/>
        <charset val="128"/>
        <scheme val="minor"/>
      </rPr>
      <t>モンチッチマスコット</t>
    </r>
  </si>
  <si>
    <r>
      <rPr>
        <sz val="8"/>
        <color theme="1"/>
        <rFont val="Calibri"/>
        <family val="3"/>
        <charset val="128"/>
        <scheme val="minor"/>
      </rPr>
      <t>キティヒョウ柄マスコット</t>
    </r>
  </si>
  <si>
    <r>
      <t>AI</t>
    </r>
    <r>
      <rPr>
        <sz val="7"/>
        <color theme="1"/>
        <rFont val="Calibri"/>
        <family val="2"/>
        <charset val="128"/>
        <scheme val="minor"/>
      </rPr>
      <t>マスコット</t>
    </r>
  </si>
  <si>
    <r>
      <rPr>
        <sz val="7"/>
        <color theme="1"/>
        <rFont val="Calibri"/>
        <family val="2"/>
        <charset val="128"/>
        <scheme val="minor"/>
      </rPr>
      <t>ラブブマスコット</t>
    </r>
  </si>
  <si>
    <r>
      <rPr>
        <sz val="7"/>
        <color theme="1"/>
        <rFont val="Calibri"/>
        <family val="2"/>
        <charset val="128"/>
        <scheme val="minor"/>
      </rPr>
      <t>サンリオでかぱっちん</t>
    </r>
  </si>
  <si>
    <r>
      <rPr>
        <sz val="8"/>
        <color theme="1"/>
        <rFont val="Calibri"/>
        <family val="2"/>
        <charset val="128"/>
        <scheme val="minor"/>
      </rPr>
      <t>サンリオトイカメラ</t>
    </r>
  </si>
  <si>
    <r>
      <rPr>
        <sz val="7"/>
        <color theme="1"/>
        <rFont val="Calibri"/>
        <family val="2"/>
        <charset val="128"/>
        <scheme val="minor"/>
      </rPr>
      <t>香水</t>
    </r>
    <r>
      <rPr>
        <sz val="7"/>
        <color theme="1"/>
        <rFont val="Calibri"/>
        <family val="2"/>
        <scheme val="minor"/>
      </rPr>
      <t>coach</t>
    </r>
  </si>
  <si>
    <r>
      <rPr>
        <sz val="7"/>
        <color theme="1"/>
        <rFont val="Calibri"/>
        <family val="2"/>
        <charset val="128"/>
        <scheme val="minor"/>
      </rPr>
      <t>スティッチキーケース</t>
    </r>
  </si>
  <si>
    <r>
      <rPr>
        <sz val="8"/>
        <color theme="1"/>
        <rFont val="Calibri"/>
        <family val="3"/>
        <charset val="128"/>
        <scheme val="minor"/>
      </rPr>
      <t>サンリオファン</t>
    </r>
  </si>
  <si>
    <r>
      <rPr>
        <sz val="8"/>
        <color theme="1"/>
        <rFont val="Calibri"/>
        <family val="3"/>
        <charset val="128"/>
        <scheme val="minor"/>
      </rPr>
      <t>サンリオヘアパッチンピン</t>
    </r>
  </si>
  <si>
    <r>
      <rPr>
        <sz val="7"/>
        <color theme="1"/>
        <rFont val="Calibri"/>
        <family val="2"/>
        <charset val="128"/>
        <scheme val="minor"/>
      </rPr>
      <t>ジョージファン</t>
    </r>
  </si>
  <si>
    <r>
      <rPr>
        <sz val="9"/>
        <color theme="1"/>
        <rFont val="Calibri"/>
        <family val="3"/>
        <charset val="128"/>
        <scheme val="minor"/>
      </rPr>
      <t>そろそろ入れ替え！</t>
    </r>
    <phoneticPr fontId="2"/>
  </si>
  <si>
    <r>
      <rPr>
        <sz val="8"/>
        <color theme="1"/>
        <rFont val="Calibri"/>
        <family val="2"/>
        <charset val="128"/>
        <scheme val="minor"/>
      </rPr>
      <t>サンリオ</t>
    </r>
    <r>
      <rPr>
        <sz val="8"/>
        <color theme="1"/>
        <rFont val="Calibri"/>
        <family val="2"/>
        <scheme val="minor"/>
      </rPr>
      <t>KC</t>
    </r>
    <phoneticPr fontId="2"/>
  </si>
  <si>
    <r>
      <rPr>
        <sz val="7"/>
        <color theme="1"/>
        <rFont val="Calibri"/>
        <family val="2"/>
        <charset val="128"/>
        <scheme val="minor"/>
      </rPr>
      <t>香水</t>
    </r>
    <r>
      <rPr>
        <sz val="7"/>
        <color theme="1"/>
        <rFont val="Calibri"/>
        <family val="2"/>
        <scheme val="minor"/>
      </rPr>
      <t>coach</t>
    </r>
    <rPh sb="0" eb="2">
      <t>コウスイ</t>
    </rPh>
    <phoneticPr fontId="2"/>
  </si>
  <si>
    <r>
      <rPr>
        <sz val="8"/>
        <color theme="1"/>
        <rFont val="Calibri"/>
        <family val="2"/>
        <charset val="128"/>
        <scheme val="minor"/>
      </rPr>
      <t>電ブル</t>
    </r>
    <rPh sb="0" eb="1">
      <t>デン</t>
    </rPh>
    <phoneticPr fontId="2"/>
  </si>
  <si>
    <r>
      <rPr>
        <sz val="7"/>
        <color theme="1"/>
        <rFont val="Calibri"/>
        <family val="2"/>
        <charset val="128"/>
        <scheme val="minor"/>
      </rPr>
      <t>ギャルキティサンダルサンダル</t>
    </r>
    <phoneticPr fontId="2"/>
  </si>
  <si>
    <r>
      <rPr>
        <sz val="8"/>
        <color theme="1"/>
        <rFont val="Calibri"/>
        <family val="3"/>
        <charset val="128"/>
        <scheme val="minor"/>
      </rPr>
      <t>サンリオファン</t>
    </r>
    <phoneticPr fontId="2"/>
  </si>
  <si>
    <r>
      <t>AI</t>
    </r>
    <r>
      <rPr>
        <sz val="7"/>
        <color theme="1"/>
        <rFont val="Calibri"/>
        <family val="2"/>
        <charset val="128"/>
        <scheme val="minor"/>
      </rPr>
      <t>ラバー</t>
    </r>
    <phoneticPr fontId="2"/>
  </si>
  <si>
    <r>
      <t>AI</t>
    </r>
    <r>
      <rPr>
        <sz val="7"/>
        <color theme="1"/>
        <rFont val="Calibri"/>
        <family val="2"/>
        <charset val="128"/>
        <scheme val="minor"/>
      </rPr>
      <t>マスコット</t>
    </r>
    <phoneticPr fontId="2"/>
  </si>
  <si>
    <r>
      <rPr>
        <sz val="8"/>
        <color theme="1"/>
        <rFont val="Calibri"/>
        <family val="2"/>
        <charset val="128"/>
        <scheme val="minor"/>
      </rPr>
      <t>ジャグラーサウンドボタン</t>
    </r>
  </si>
  <si>
    <r>
      <rPr>
        <sz val="7"/>
        <color theme="1"/>
        <rFont val="Calibri"/>
        <family val="2"/>
        <charset val="128"/>
        <scheme val="minor"/>
      </rPr>
      <t>サンリオフェイスポーチ</t>
    </r>
  </si>
  <si>
    <r>
      <rPr>
        <sz val="8"/>
        <color theme="1"/>
        <rFont val="Calibri"/>
        <family val="2"/>
        <charset val="128"/>
        <scheme val="minor"/>
      </rPr>
      <t>電ブルキュート</t>
    </r>
  </si>
  <si>
    <r>
      <rPr>
        <sz val="7"/>
        <color theme="1"/>
        <rFont val="Calibri"/>
        <family val="2"/>
        <charset val="128"/>
        <scheme val="minor"/>
      </rPr>
      <t>サンリオファン</t>
    </r>
  </si>
  <si>
    <r>
      <rPr>
        <sz val="7"/>
        <color theme="1"/>
        <rFont val="Calibri"/>
        <family val="2"/>
        <charset val="128"/>
        <scheme val="minor"/>
      </rPr>
      <t>サンリオスマートキーケース</t>
    </r>
  </si>
  <si>
    <t>22.7.8.22シリコン1</t>
  </si>
  <si>
    <t>たまごっちカスタムキーリング</t>
  </si>
  <si>
    <t>フルーツスクイーズ24.11.12</t>
  </si>
  <si>
    <t>たまごっちカスタムキーリング13.8.9</t>
  </si>
  <si>
    <t>サミュエル27.8.5</t>
  </si>
  <si>
    <t>サミュエル</t>
  </si>
  <si>
    <t>底上げした</t>
    <rPh sb="0" eb="2">
      <t>ソコア</t>
    </rPh>
    <phoneticPr fontId="2"/>
  </si>
  <si>
    <t>24.7.9速度早くした</t>
  </si>
  <si>
    <t>24.11.11</t>
  </si>
  <si>
    <t>ラバーマスコット・キーボードブロック23.9.9</t>
  </si>
  <si>
    <t>ラバーマスコット・キーボードブロック</t>
  </si>
  <si>
    <t>24.11.13</t>
  </si>
  <si>
    <t>ベアブリック</t>
  </si>
  <si>
    <t>サンリオマスコットポーチ</t>
  </si>
  <si>
    <t>12.7.7上部停止長くした</t>
  </si>
  <si>
    <t>ウォーターガン23.8.8</t>
  </si>
  <si>
    <t>アンパンマン毛布</t>
  </si>
  <si>
    <t>サンリオ毛布48.20シリコン3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</si>
</sst>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_);[Red]\(0\)"/>
    <numFmt numFmtId="177" formatCode="m/d/aaa"/>
    <numFmt numFmtId="178" formatCode="0.0%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7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28"/>
      <scheme val="minor"/>
    </font>
    <font>
      <sz val="8"/>
      <color theme="1"/>
      <name val="Calibri"/>
      <family val="3"/>
      <charset val="128"/>
      <scheme val="minor"/>
    </font>
    <font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sz val="16"/>
      <color theme="1"/>
      <name val="Calibri"/>
      <family val="3"/>
      <charset val="128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28"/>
      <scheme val="minor"/>
    </font>
    <font>
      <sz val="7"/>
      <color theme="1"/>
      <name val="Calibri"/>
      <family val="2"/>
      <charset val="128"/>
      <scheme val="minor"/>
    </font>
    <font>
      <sz val="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28"/>
      <scheme val="minor"/>
    </font>
    <font>
      <sz val="10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6"/>
      <color theme="1"/>
      <name val="Calibri"/>
      <family val="3"/>
      <charset val="128"/>
      <scheme val="minor"/>
    </font>
    <font>
      <sz val="6"/>
      <color theme="1"/>
      <name val="Calibri"/>
      <family val="2"/>
      <charset val="128"/>
      <scheme val="minor"/>
    </font>
    <font>
      <sz val="9"/>
      <color theme="1"/>
      <name val="Calibri"/>
      <family val="3"/>
      <charset val="128"/>
      <scheme val="minor"/>
    </font>
    <font>
      <sz val="6"/>
      <color theme="1"/>
      <name val="ＭＳ Ｐ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2A1C7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50505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6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/>
  </cellStyleXfs>
  <cellXfs count="17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38" fontId="9" fillId="0" borderId="8" xfId="0" applyNumberFormat="1" applyFont="1" applyBorder="1" applyAlignment="1">
      <alignment vertical="center"/>
    </xf>
    <xf numFmtId="38" fontId="9" fillId="0" borderId="1" xfId="0" applyNumberFormat="1" applyFont="1" applyBorder="1" applyAlignment="1">
      <alignment vertical="center"/>
    </xf>
    <xf numFmtId="38" fontId="5" fillId="0" borderId="8" xfId="0" applyNumberFormat="1" applyFont="1" applyBorder="1" applyAlignment="1">
      <alignment vertical="center"/>
    </xf>
    <xf numFmtId="38" fontId="5" fillId="0" borderId="1" xfId="0" applyNumberFormat="1" applyFont="1" applyBorder="1" applyAlignment="1">
      <alignment vertical="center"/>
    </xf>
    <xf numFmtId="0" fontId="5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38" fontId="5" fillId="9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38" fontId="14" fillId="10" borderId="0" xfId="0" applyNumberFormat="1" applyFont="1" applyFill="1" applyAlignment="1">
      <alignment vertical="center"/>
    </xf>
    <xf numFmtId="0" fontId="5" fillId="9" borderId="1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5" fillId="0" borderId="12" xfId="0" applyNumberFormat="1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center" vertical="center"/>
    </xf>
    <xf numFmtId="38" fontId="5" fillId="0" borderId="28" xfId="0" applyNumberFormat="1" applyFont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38" fontId="5" fillId="0" borderId="11" xfId="0" applyNumberFormat="1" applyFont="1" applyBorder="1" applyAlignment="1">
      <alignment vertical="center"/>
    </xf>
    <xf numFmtId="9" fontId="5" fillId="0" borderId="8" xfId="0" applyNumberFormat="1" applyFont="1" applyBorder="1" applyAlignment="1">
      <alignment vertical="center"/>
    </xf>
    <xf numFmtId="38" fontId="13" fillId="0" borderId="1" xfId="0" applyNumberFormat="1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38" fontId="3" fillId="0" borderId="8" xfId="0" applyNumberFormat="1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177" fontId="5" fillId="0" borderId="8" xfId="0" applyNumberFormat="1" applyFont="1" applyBorder="1" applyAlignment="1">
      <alignment vertical="center"/>
    </xf>
    <xf numFmtId="38" fontId="13" fillId="0" borderId="8" xfId="0" applyNumberFormat="1" applyFont="1" applyBorder="1" applyAlignment="1">
      <alignment vertical="center"/>
    </xf>
    <xf numFmtId="38" fontId="5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5" fillId="0" borderId="9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vertical="center"/>
    </xf>
    <xf numFmtId="176" fontId="5" fillId="0" borderId="6" xfId="0" applyNumberFormat="1" applyFont="1" applyBorder="1" applyAlignment="1">
      <alignment vertical="center"/>
    </xf>
    <xf numFmtId="38" fontId="5" fillId="0" borderId="15" xfId="0" applyNumberFormat="1" applyFont="1" applyBorder="1" applyAlignment="1">
      <alignment vertical="center"/>
    </xf>
    <xf numFmtId="38" fontId="5" fillId="0" borderId="5" xfId="0" applyNumberFormat="1" applyFont="1" applyBorder="1" applyAlignment="1">
      <alignment vertical="center"/>
    </xf>
    <xf numFmtId="38" fontId="9" fillId="0" borderId="5" xfId="0" applyNumberFormat="1" applyFont="1" applyBorder="1" applyAlignment="1">
      <alignment vertical="center"/>
    </xf>
    <xf numFmtId="9" fontId="5" fillId="0" borderId="5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vertical="center"/>
    </xf>
    <xf numFmtId="38" fontId="5" fillId="3" borderId="1" xfId="0" applyNumberFormat="1" applyFont="1" applyFill="1" applyBorder="1" applyAlignment="1">
      <alignment vertical="center"/>
    </xf>
    <xf numFmtId="177" fontId="5" fillId="0" borderId="8" xfId="0" applyNumberFormat="1" applyFont="1" applyBorder="1" applyAlignment="1">
      <alignment horizontal="right" vertical="center"/>
    </xf>
    <xf numFmtId="38" fontId="5" fillId="0" borderId="7" xfId="0" applyNumberFormat="1" applyFont="1" applyBorder="1" applyAlignment="1">
      <alignment vertical="center"/>
    </xf>
    <xf numFmtId="38" fontId="5" fillId="0" borderId="8" xfId="0" applyNumberFormat="1" applyFont="1" applyBorder="1" applyAlignment="1">
      <alignment horizontal="right" vertical="center"/>
    </xf>
    <xf numFmtId="9" fontId="5" fillId="0" borderId="7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176" fontId="5" fillId="0" borderId="4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8" fontId="5" fillId="0" borderId="12" xfId="0" applyNumberFormat="1" applyFont="1" applyBorder="1" applyAlignment="1">
      <alignment vertical="center"/>
    </xf>
    <xf numFmtId="38" fontId="5" fillId="0" borderId="2" xfId="0" applyNumberFormat="1" applyFont="1" applyBorder="1" applyAlignment="1">
      <alignment vertical="center"/>
    </xf>
    <xf numFmtId="38" fontId="5" fillId="0" borderId="2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38" fontId="5" fillId="0" borderId="10" xfId="0" applyNumberFormat="1" applyFont="1" applyBorder="1" applyAlignment="1">
      <alignment vertical="center"/>
    </xf>
    <xf numFmtId="38" fontId="5" fillId="0" borderId="5" xfId="0" applyNumberFormat="1" applyFont="1" applyBorder="1" applyAlignment="1">
      <alignment horizontal="right" vertical="center"/>
    </xf>
    <xf numFmtId="38" fontId="21" fillId="0" borderId="1" xfId="0" applyNumberFormat="1" applyFont="1" applyBorder="1" applyAlignment="1">
      <alignment vertical="center"/>
    </xf>
    <xf numFmtId="176" fontId="5" fillId="0" borderId="12" xfId="0" applyNumberFormat="1" applyFont="1" applyBorder="1" applyAlignment="1">
      <alignment vertical="center"/>
    </xf>
    <xf numFmtId="177" fontId="5" fillId="0" borderId="6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vertical="center"/>
    </xf>
    <xf numFmtId="177" fontId="5" fillId="0" borderId="6" xfId="0" applyNumberFormat="1" applyFont="1" applyBorder="1" applyAlignment="1">
      <alignment vertical="center"/>
    </xf>
    <xf numFmtId="38" fontId="5" fillId="3" borderId="8" xfId="0" applyNumberFormat="1" applyFont="1" applyFill="1" applyBorder="1" applyAlignment="1">
      <alignment vertical="center"/>
    </xf>
    <xf numFmtId="9" fontId="5" fillId="3" borderId="7" xfId="0" applyNumberFormat="1" applyFont="1" applyFill="1" applyBorder="1" applyAlignment="1">
      <alignment vertical="center"/>
    </xf>
    <xf numFmtId="177" fontId="5" fillId="0" borderId="2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vertical="center"/>
    </xf>
    <xf numFmtId="177" fontId="5" fillId="0" borderId="12" xfId="0" applyNumberFormat="1" applyFont="1" applyBorder="1" applyAlignment="1">
      <alignment vertical="center"/>
    </xf>
    <xf numFmtId="176" fontId="5" fillId="0" borderId="5" xfId="0" applyNumberFormat="1" applyFont="1" applyBorder="1" applyAlignment="1">
      <alignment vertical="center"/>
    </xf>
    <xf numFmtId="38" fontId="5" fillId="3" borderId="10" xfId="0" applyNumberFormat="1" applyFont="1" applyFill="1" applyBorder="1" applyAlignment="1">
      <alignment vertical="center"/>
    </xf>
    <xf numFmtId="177" fontId="5" fillId="0" borderId="8" xfId="0" applyNumberFormat="1" applyFont="1" applyBorder="1" applyAlignment="1">
      <alignment horizontal="center" vertical="center"/>
    </xf>
    <xf numFmtId="38" fontId="5" fillId="0" borderId="5" xfId="0" applyNumberFormat="1" applyFont="1" applyBorder="1" applyAlignment="1">
      <alignment vertical="top"/>
    </xf>
    <xf numFmtId="38" fontId="5" fillId="0" borderId="6" xfId="0" applyNumberFormat="1" applyFont="1" applyBorder="1" applyAlignment="1">
      <alignment vertical="center"/>
    </xf>
    <xf numFmtId="38" fontId="5" fillId="0" borderId="15" xfId="0" applyNumberFormat="1" applyFont="1" applyBorder="1" applyAlignment="1">
      <alignment horizontal="right" vertical="center"/>
    </xf>
    <xf numFmtId="38" fontId="3" fillId="0" borderId="10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38" fontId="9" fillId="0" borderId="12" xfId="0" applyNumberFormat="1" applyFont="1" applyBorder="1" applyAlignment="1">
      <alignment vertical="center"/>
    </xf>
    <xf numFmtId="38" fontId="13" fillId="0" borderId="2" xfId="0" applyNumberFormat="1" applyFont="1" applyBorder="1" applyAlignment="1">
      <alignment vertical="center"/>
    </xf>
    <xf numFmtId="38" fontId="3" fillId="0" borderId="12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38" fontId="9" fillId="0" borderId="15" xfId="0" applyNumberFormat="1" applyFont="1" applyBorder="1" applyAlignment="1">
      <alignment vertical="center"/>
    </xf>
    <xf numFmtId="38" fontId="13" fillId="0" borderId="15" xfId="0" applyNumberFormat="1" applyFont="1" applyBorder="1" applyAlignment="1">
      <alignment vertical="center"/>
    </xf>
    <xf numFmtId="177" fontId="5" fillId="0" borderId="15" xfId="0" applyNumberFormat="1" applyFont="1" applyBorder="1" applyAlignment="1">
      <alignment vertical="center"/>
    </xf>
    <xf numFmtId="38" fontId="3" fillId="0" borderId="15" xfId="0" applyNumberFormat="1" applyFont="1" applyBorder="1" applyAlignment="1">
      <alignment vertical="center"/>
    </xf>
    <xf numFmtId="38" fontId="5" fillId="0" borderId="8" xfId="0" applyNumberFormat="1" applyFont="1" applyBorder="1" applyAlignment="1">
      <alignment horizontal="center" vertical="center"/>
    </xf>
    <xf numFmtId="38" fontId="22" fillId="0" borderId="8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vertical="center"/>
    </xf>
    <xf numFmtId="178" fontId="5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76" fontId="5" fillId="0" borderId="9" xfId="0" applyNumberFormat="1" applyFont="1" applyBorder="1" applyAlignment="1">
      <alignment vertical="center"/>
    </xf>
    <xf numFmtId="38" fontId="5" fillId="0" borderId="4" xfId="0" applyNumberFormat="1" applyFont="1" applyBorder="1" applyAlignment="1">
      <alignment vertical="center"/>
    </xf>
    <xf numFmtId="38" fontId="5" fillId="0" borderId="8" xfId="4" applyFont="1" applyBorder="1" applyAlignment="1">
      <alignment vertical="center"/>
    </xf>
    <xf numFmtId="38" fontId="18" fillId="0" borderId="3" xfId="0" applyNumberFormat="1" applyFont="1" applyBorder="1" applyAlignment="1">
      <alignment horizontal="center" vertical="center"/>
    </xf>
    <xf numFmtId="38" fontId="18" fillId="0" borderId="13" xfId="0" applyNumberFormat="1" applyFont="1" applyBorder="1" applyAlignment="1">
      <alignment horizontal="center" vertical="center"/>
    </xf>
    <xf numFmtId="38" fontId="5" fillId="0" borderId="18" xfId="0" applyNumberFormat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9" fontId="5" fillId="0" borderId="9" xfId="0" applyNumberFormat="1" applyFont="1" applyBorder="1" applyAlignment="1">
      <alignment vertical="center"/>
    </xf>
    <xf numFmtId="38" fontId="26" fillId="0" borderId="1" xfId="0" applyNumberFormat="1" applyFont="1" applyBorder="1" applyAlignment="1">
      <alignment vertical="center"/>
    </xf>
    <xf numFmtId="9" fontId="5" fillId="0" borderId="0" xfId="0" applyNumberFormat="1" applyFont="1" applyAlignment="1">
      <alignment vertical="center"/>
    </xf>
    <xf numFmtId="38" fontId="13" fillId="0" borderId="20" xfId="0" applyNumberFormat="1" applyFont="1" applyBorder="1" applyAlignment="1">
      <alignment vertical="center"/>
    </xf>
    <xf numFmtId="38" fontId="22" fillId="0" borderId="1" xfId="0" applyNumberFormat="1" applyFont="1" applyBorder="1" applyAlignment="1">
      <alignment horizontal="center" vertical="center"/>
    </xf>
    <xf numFmtId="178" fontId="5" fillId="0" borderId="8" xfId="0" applyNumberFormat="1" applyFont="1" applyBorder="1" applyAlignment="1">
      <alignment vertical="center"/>
    </xf>
    <xf numFmtId="177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vertical="center"/>
    </xf>
    <xf numFmtId="178" fontId="5" fillId="0" borderId="1" xfId="3" applyNumberFormat="1" applyFont="1" applyBorder="1" applyAlignment="1">
      <alignment vertical="center"/>
    </xf>
    <xf numFmtId="38" fontId="5" fillId="0" borderId="14" xfId="0" applyNumberFormat="1" applyFont="1" applyBorder="1" applyAlignment="1">
      <alignment vertical="center"/>
    </xf>
    <xf numFmtId="38" fontId="5" fillId="0" borderId="21" xfId="0" applyNumberFormat="1" applyFont="1" applyBorder="1" applyAlignment="1">
      <alignment vertical="center"/>
    </xf>
    <xf numFmtId="38" fontId="5" fillId="0" borderId="22" xfId="0" applyNumberFormat="1" applyFont="1" applyBorder="1" applyAlignment="1">
      <alignment vertical="center"/>
    </xf>
    <xf numFmtId="38" fontId="5" fillId="0" borderId="23" xfId="0" applyNumberFormat="1" applyFont="1" applyBorder="1" applyAlignment="1">
      <alignment vertical="center"/>
    </xf>
    <xf numFmtId="38" fontId="9" fillId="0" borderId="9" xfId="0" applyNumberFormat="1" applyFont="1" applyBorder="1" applyAlignment="1">
      <alignment vertical="center"/>
    </xf>
    <xf numFmtId="38" fontId="21" fillId="0" borderId="1" xfId="0" quotePrefix="1" applyNumberFormat="1" applyFont="1" applyBorder="1" applyAlignment="1">
      <alignment vertical="center"/>
    </xf>
    <xf numFmtId="38" fontId="18" fillId="11" borderId="1" xfId="0" applyNumberFormat="1" applyFont="1" applyFill="1" applyBorder="1" applyAlignment="1">
      <alignment vertical="center"/>
    </xf>
    <xf numFmtId="38" fontId="5" fillId="0" borderId="3" xfId="0" applyNumberFormat="1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38" fontId="5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38" fontId="5" fillId="6" borderId="8" xfId="0" applyNumberFormat="1" applyFont="1" applyFill="1" applyBorder="1" applyAlignment="1">
      <alignment vertical="center"/>
    </xf>
    <xf numFmtId="38" fontId="5" fillId="4" borderId="1" xfId="0" applyNumberFormat="1" applyFont="1" applyFill="1" applyBorder="1" applyAlignment="1">
      <alignment vertical="center"/>
    </xf>
    <xf numFmtId="38" fontId="5" fillId="4" borderId="10" xfId="0" applyNumberFormat="1" applyFont="1" applyFill="1" applyBorder="1" applyAlignment="1">
      <alignment vertical="center"/>
    </xf>
    <xf numFmtId="177" fontId="5" fillId="4" borderId="8" xfId="0" applyNumberFormat="1" applyFont="1" applyFill="1" applyBorder="1" applyAlignment="1">
      <alignment horizontal="right" vertical="center"/>
    </xf>
    <xf numFmtId="38" fontId="5" fillId="0" borderId="13" xfId="0" applyNumberFormat="1" applyFont="1" applyBorder="1" applyAlignment="1">
      <alignment vertical="center"/>
    </xf>
    <xf numFmtId="178" fontId="5" fillId="0" borderId="13" xfId="3" applyNumberFormat="1" applyFont="1" applyBorder="1" applyAlignment="1">
      <alignment vertical="center"/>
    </xf>
    <xf numFmtId="38" fontId="18" fillId="8" borderId="1" xfId="0" applyNumberFormat="1" applyFont="1" applyFill="1" applyBorder="1" applyAlignment="1">
      <alignment vertical="center"/>
    </xf>
    <xf numFmtId="38" fontId="22" fillId="8" borderId="1" xfId="0" applyNumberFormat="1" applyFont="1" applyFill="1" applyBorder="1" applyAlignment="1">
      <alignment vertical="center"/>
    </xf>
    <xf numFmtId="38" fontId="13" fillId="8" borderId="1" xfId="0" applyNumberFormat="1" applyFont="1" applyFill="1" applyBorder="1" applyAlignment="1">
      <alignment vertical="center"/>
    </xf>
    <xf numFmtId="38" fontId="5" fillId="0" borderId="17" xfId="0" applyNumberFormat="1" applyFont="1" applyBorder="1" applyAlignment="1">
      <alignment vertical="center"/>
    </xf>
    <xf numFmtId="177" fontId="5" fillId="4" borderId="2" xfId="0" applyNumberFormat="1" applyFont="1" applyFill="1" applyBorder="1" applyAlignment="1">
      <alignment horizontal="right" vertical="center"/>
    </xf>
    <xf numFmtId="38" fontId="5" fillId="3" borderId="5" xfId="0" applyNumberFormat="1" applyFont="1" applyFill="1" applyBorder="1" applyAlignment="1">
      <alignment vertical="center"/>
    </xf>
    <xf numFmtId="38" fontId="5" fillId="0" borderId="1" xfId="4" applyFont="1" applyBorder="1" applyAlignment="1">
      <alignment vertical="center"/>
    </xf>
    <xf numFmtId="38" fontId="5" fillId="0" borderId="5" xfId="4" applyFont="1" applyBorder="1" applyAlignment="1">
      <alignment vertical="center"/>
    </xf>
    <xf numFmtId="38" fontId="30" fillId="0" borderId="1" xfId="0" applyNumberFormat="1" applyFont="1" applyBorder="1" applyAlignment="1">
      <alignment vertical="center"/>
    </xf>
    <xf numFmtId="38" fontId="5" fillId="0" borderId="1" xfId="0" applyNumberFormat="1" applyFont="1" applyFill="1" applyBorder="1" applyAlignment="1">
      <alignment vertical="center"/>
    </xf>
    <xf numFmtId="38" fontId="5" fillId="0" borderId="10" xfId="0" applyNumberFormat="1" applyFont="1" applyFill="1" applyBorder="1" applyAlignment="1">
      <alignment vertical="center"/>
    </xf>
    <xf numFmtId="38" fontId="5" fillId="0" borderId="8" xfId="0" applyNumberFormat="1" applyFont="1" applyFill="1" applyBorder="1" applyAlignment="1">
      <alignment vertical="center"/>
    </xf>
    <xf numFmtId="38" fontId="5" fillId="0" borderId="24" xfId="0" applyNumberFormat="1" applyFont="1" applyBorder="1" applyAlignment="1">
      <alignment horizontal="center" vertical="center"/>
    </xf>
    <xf numFmtId="38" fontId="5" fillId="0" borderId="25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177" fontId="5" fillId="0" borderId="25" xfId="0" applyNumberFormat="1" applyFont="1" applyBorder="1" applyAlignment="1">
      <alignment horizontal="center" vertical="center"/>
    </xf>
    <xf numFmtId="38" fontId="5" fillId="7" borderId="24" xfId="0" applyNumberFormat="1" applyFont="1" applyFill="1" applyBorder="1" applyAlignment="1">
      <alignment horizontal="center" vertical="center"/>
    </xf>
    <xf numFmtId="38" fontId="5" fillId="7" borderId="25" xfId="0" applyNumberFormat="1" applyFont="1" applyFill="1" applyBorder="1" applyAlignment="1">
      <alignment horizontal="center" vertical="center"/>
    </xf>
    <xf numFmtId="38" fontId="5" fillId="0" borderId="26" xfId="2" applyNumberFormat="1" applyFont="1" applyBorder="1" applyAlignment="1">
      <alignment horizontal="center" vertical="center"/>
    </xf>
    <xf numFmtId="38" fontId="5" fillId="0" borderId="27" xfId="2" applyNumberFormat="1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center" vertical="center"/>
    </xf>
    <xf numFmtId="38" fontId="5" fillId="0" borderId="19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5" fillId="0" borderId="4" xfId="0" applyNumberFormat="1" applyFont="1" applyBorder="1" applyAlignment="1">
      <alignment horizontal="right" vertical="center"/>
    </xf>
    <xf numFmtId="0" fontId="25" fillId="0" borderId="9" xfId="0" applyFont="1" applyBorder="1" applyAlignment="1">
      <alignment vertical="center"/>
    </xf>
    <xf numFmtId="38" fontId="18" fillId="0" borderId="4" xfId="0" applyNumberFormat="1" applyFont="1" applyBorder="1" applyAlignment="1">
      <alignment horizontal="center" vertical="center"/>
    </xf>
    <xf numFmtId="38" fontId="18" fillId="0" borderId="9" xfId="0" applyNumberFormat="1" applyFont="1" applyBorder="1" applyAlignment="1">
      <alignment horizontal="center" vertical="center"/>
    </xf>
    <xf numFmtId="38" fontId="22" fillId="0" borderId="4" xfId="0" applyNumberFormat="1" applyFont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38" fontId="22" fillId="0" borderId="3" xfId="0" applyNumberFormat="1" applyFont="1" applyBorder="1" applyAlignment="1">
      <alignment horizontal="center" vertical="center"/>
    </xf>
    <xf numFmtId="38" fontId="14" fillId="10" borderId="13" xfId="0" applyNumberFormat="1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38" fontId="5" fillId="0" borderId="14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38" fontId="5" fillId="0" borderId="16" xfId="0" applyNumberFormat="1" applyFont="1" applyBorder="1" applyAlignment="1">
      <alignment horizontal="center" vertical="center"/>
    </xf>
    <xf numFmtId="38" fontId="5" fillId="0" borderId="14" xfId="2" applyNumberFormat="1" applyFont="1" applyBorder="1" applyAlignment="1">
      <alignment horizontal="center" vertical="center"/>
    </xf>
    <xf numFmtId="38" fontId="5" fillId="7" borderId="16" xfId="0" applyNumberFormat="1" applyFont="1" applyFill="1" applyBorder="1" applyAlignment="1">
      <alignment horizontal="center" vertical="center"/>
    </xf>
  </cellXfs>
  <cellStyles count="6">
    <cellStyle name="Hyperlink" xfId="1" xr:uid="{00000000-000B-0000-0000-000008000000}"/>
    <cellStyle name="パーセント" xfId="3" builtinId="5"/>
    <cellStyle name="桁区切り" xfId="4" builtinId="6"/>
    <cellStyle name="通貨" xfId="2" builtinId="7"/>
    <cellStyle name="標準" xfId="0" builtinId="0"/>
    <cellStyle name="標準 2 2 2" xfId="5" xr:uid="{F8540B52-7F22-4ECA-851E-56D76D368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6585-8C5B-43C7-AE97-130EF9E0449E}">
  <dimension ref="A1:HV2822"/>
  <sheetViews>
    <sheetView tabSelected="1" zoomScale="90" zoomScaleNormal="90" workbookViewId="0">
      <selection activeCell="A64" sqref="A64"/>
    </sheetView>
  </sheetViews>
  <sheetFormatPr defaultColWidth="14.390625" defaultRowHeight="15" customHeight="1" x14ac:dyDescent="0.2"/>
  <cols>
    <col min="1" max="1" width="9.68359375" style="13" bestFit="1" customWidth="1"/>
    <col min="2" max="2" width="9.81640625" style="109" bestFit="1" customWidth="1"/>
    <col min="3" max="3" width="7.26171875" style="13" bestFit="1" customWidth="1"/>
    <col min="4" max="5" width="8.609375" style="13" bestFit="1" customWidth="1"/>
    <col min="6" max="6" width="6.58984375" style="13" bestFit="1" customWidth="1"/>
    <col min="7" max="7" width="8.609375" style="13" bestFit="1" customWidth="1"/>
    <col min="8" max="9" width="6.3203125" style="13" bestFit="1" customWidth="1"/>
    <col min="10" max="10" width="29.59375" style="13" bestFit="1" customWidth="1"/>
    <col min="11" max="11" width="6.3203125" style="1" bestFit="1" customWidth="1"/>
    <col min="12" max="12" width="8.33984375" style="13" bestFit="1" customWidth="1"/>
    <col min="13" max="13" width="8.47265625" style="13" bestFit="1" customWidth="1"/>
    <col min="14" max="14" width="23.13671875" style="13" bestFit="1" customWidth="1"/>
    <col min="15" max="15" width="3.09375" style="13" customWidth="1"/>
    <col min="16" max="16" width="9.68359375" style="13" bestFit="1" customWidth="1"/>
    <col min="17" max="17" width="7.26171875" style="13" bestFit="1" customWidth="1"/>
    <col min="18" max="18" width="8.33984375" style="13" bestFit="1" customWidth="1"/>
    <col min="19" max="19" width="8.609375" style="13" bestFit="1" customWidth="1"/>
    <col min="20" max="20" width="4.70703125" style="13" bestFit="1" customWidth="1"/>
    <col min="21" max="21" width="8.609375" style="13" bestFit="1" customWidth="1"/>
    <col min="22" max="23" width="6.3203125" style="13" bestFit="1" customWidth="1"/>
    <col min="24" max="24" width="29.59375" style="13" bestFit="1" customWidth="1"/>
    <col min="25" max="25" width="6.3203125" style="13" bestFit="1" customWidth="1"/>
    <col min="26" max="26" width="8.33984375" style="13" bestFit="1" customWidth="1"/>
    <col min="27" max="27" width="8.47265625" style="13" bestFit="1" customWidth="1"/>
    <col min="28" max="28" width="32.1484375" style="13" bestFit="1" customWidth="1"/>
    <col min="29" max="29" width="4.03515625" style="13" customWidth="1"/>
    <col min="30" max="30" width="9.68359375" style="13" bestFit="1" customWidth="1"/>
    <col min="31" max="31" width="7.26171875" style="13" bestFit="1" customWidth="1"/>
    <col min="32" max="32" width="8.33984375" style="13" bestFit="1" customWidth="1"/>
    <col min="33" max="33" width="8.609375" style="13" bestFit="1" customWidth="1"/>
    <col min="34" max="34" width="4.70703125" style="13" bestFit="1" customWidth="1"/>
    <col min="35" max="35" width="8.609375" style="13" bestFit="1" customWidth="1"/>
    <col min="36" max="37" width="6.3203125" style="13" bestFit="1" customWidth="1"/>
    <col min="38" max="38" width="27.7109375" style="13" bestFit="1" customWidth="1"/>
    <col min="39" max="39" width="6.3203125" style="13" bestFit="1" customWidth="1"/>
    <col min="40" max="40" width="8.33984375" style="13" bestFit="1" customWidth="1"/>
    <col min="41" max="41" width="8.47265625" style="13" bestFit="1" customWidth="1"/>
    <col min="42" max="42" width="24.078125" style="13" bestFit="1" customWidth="1"/>
    <col min="43" max="43" width="3.09375" style="13" customWidth="1"/>
    <col min="44" max="45" width="9.68359375" style="13" bestFit="1" customWidth="1"/>
    <col min="46" max="46" width="8.33984375" style="13" bestFit="1" customWidth="1"/>
    <col min="47" max="47" width="8.609375" style="13" bestFit="1" customWidth="1"/>
    <col min="48" max="48" width="5.37890625" style="13" bestFit="1" customWidth="1"/>
    <col min="49" max="49" width="8.609375" style="13" bestFit="1" customWidth="1"/>
    <col min="50" max="51" width="6.3203125" style="13" bestFit="1" customWidth="1"/>
    <col min="52" max="52" width="31.07421875" style="13" bestFit="1" customWidth="1"/>
    <col min="53" max="53" width="6.3203125" style="13" bestFit="1" customWidth="1"/>
    <col min="54" max="54" width="7.26171875" style="13" bestFit="1" customWidth="1"/>
    <col min="55" max="55" width="8.47265625" style="13" bestFit="1" customWidth="1"/>
    <col min="56" max="56" width="27.98046875" style="13" bestFit="1" customWidth="1"/>
    <col min="57" max="57" width="2.82421875" style="13" customWidth="1"/>
    <col min="58" max="58" width="8.7421875" style="13" bestFit="1" customWidth="1"/>
    <col min="59" max="60" width="8.33984375" style="13" bestFit="1" customWidth="1"/>
    <col min="61" max="61" width="8.609375" style="13" bestFit="1" customWidth="1"/>
    <col min="62" max="62" width="4.03515625" style="13" bestFit="1" customWidth="1"/>
    <col min="63" max="63" width="8.609375" style="13" bestFit="1" customWidth="1"/>
    <col min="64" max="65" width="6.3203125" style="13" bestFit="1" customWidth="1"/>
    <col min="66" max="66" width="21.7890625" style="13" bestFit="1" customWidth="1"/>
    <col min="67" max="67" width="6.3203125" style="13" bestFit="1" customWidth="1"/>
    <col min="68" max="68" width="9.14453125" style="13" bestFit="1" customWidth="1"/>
    <col min="69" max="69" width="7.53125" style="13" bestFit="1" customWidth="1"/>
    <col min="70" max="70" width="14.52734375" style="13" bestFit="1" customWidth="1"/>
    <col min="71" max="71" width="2.95703125" style="13" customWidth="1"/>
    <col min="72" max="72" width="8.7421875" style="13" bestFit="1" customWidth="1"/>
    <col min="73" max="73" width="7.26171875" style="13" bestFit="1" customWidth="1"/>
    <col min="74" max="74" width="8.33984375" style="13" bestFit="1" customWidth="1"/>
    <col min="75" max="75" width="8.609375" style="13" bestFit="1" customWidth="1"/>
    <col min="76" max="76" width="4.03515625" style="13" bestFit="1" customWidth="1"/>
    <col min="77" max="77" width="8.609375" style="13" bestFit="1" customWidth="1"/>
    <col min="78" max="79" width="6.3203125" style="13" bestFit="1" customWidth="1"/>
    <col min="80" max="80" width="21.7890625" style="13" bestFit="1" customWidth="1"/>
    <col min="81" max="81" width="6.3203125" style="13" bestFit="1" customWidth="1"/>
    <col min="82" max="82" width="9.14453125" style="13" bestFit="1" customWidth="1"/>
    <col min="83" max="83" width="8.47265625" style="13" bestFit="1" customWidth="1"/>
    <col min="84" max="84" width="19.7734375" style="13" bestFit="1" customWidth="1"/>
    <col min="85" max="85" width="2.95703125" style="13" customWidth="1"/>
    <col min="86" max="86" width="8.7421875" style="13" bestFit="1" customWidth="1"/>
    <col min="87" max="88" width="7.26171875" style="13" bestFit="1" customWidth="1"/>
    <col min="89" max="89" width="8.609375" style="13" bestFit="1" customWidth="1"/>
    <col min="90" max="90" width="4.70703125" style="13" bestFit="1" customWidth="1"/>
    <col min="91" max="91" width="8.609375" style="13" bestFit="1" customWidth="1"/>
    <col min="92" max="93" width="7.26171875" style="13" bestFit="1" customWidth="1"/>
    <col min="94" max="94" width="23.80859375" style="13" bestFit="1" customWidth="1"/>
    <col min="95" max="95" width="6.3203125" style="13" bestFit="1" customWidth="1"/>
    <col min="96" max="97" width="8.609375" style="13" bestFit="1" customWidth="1"/>
    <col min="98" max="98" width="11.97265625" style="13" bestFit="1" customWidth="1"/>
    <col min="99" max="99" width="2.95703125" style="13" customWidth="1"/>
    <col min="100" max="100" width="8.7421875" style="13" bestFit="1" customWidth="1"/>
    <col min="101" max="102" width="7.26171875" style="13" bestFit="1" customWidth="1"/>
    <col min="103" max="103" width="8.609375" style="13" bestFit="1" customWidth="1"/>
    <col min="104" max="104" width="6.3203125" style="13" bestFit="1" customWidth="1"/>
    <col min="105" max="105" width="8.609375" style="13" bestFit="1" customWidth="1"/>
    <col min="106" max="106" width="7.26171875" style="13" bestFit="1" customWidth="1"/>
    <col min="107" max="107" width="7.53125" style="13" bestFit="1" customWidth="1"/>
    <col min="108" max="108" width="23.80859375" style="13" bestFit="1" customWidth="1"/>
    <col min="109" max="109" width="6.3203125" style="13" bestFit="1" customWidth="1"/>
    <col min="110" max="111" width="8.609375" style="13" bestFit="1" customWidth="1"/>
    <col min="112" max="112" width="18.0234375" style="13" bestFit="1" customWidth="1"/>
    <col min="113" max="113" width="2.95703125" style="13" customWidth="1"/>
    <col min="114" max="114" width="8.7421875" style="13" bestFit="1" customWidth="1"/>
    <col min="115" max="116" width="7.26171875" style="13" bestFit="1" customWidth="1"/>
    <col min="117" max="117" width="8.609375" style="13" bestFit="1" customWidth="1"/>
    <col min="118" max="118" width="4.70703125" style="13" bestFit="1" customWidth="1"/>
    <col min="119" max="119" width="8.609375" style="13" bestFit="1" customWidth="1"/>
    <col min="120" max="120" width="7.26171875" style="13" bestFit="1" customWidth="1"/>
    <col min="121" max="121" width="6.859375" style="13" bestFit="1" customWidth="1"/>
    <col min="122" max="122" width="27.7109375" style="13" bestFit="1" customWidth="1"/>
    <col min="123" max="123" width="6.3203125" style="13" bestFit="1" customWidth="1"/>
    <col min="124" max="125" width="8.609375" style="13" bestFit="1" customWidth="1"/>
    <col min="126" max="126" width="25.69140625" style="13" bestFit="1" customWidth="1"/>
    <col min="127" max="127" width="2.95703125" style="13" customWidth="1"/>
    <col min="128" max="128" width="8.7421875" style="13" bestFit="1" customWidth="1"/>
    <col min="129" max="129" width="7.26171875" style="13" bestFit="1" customWidth="1"/>
    <col min="130" max="130" width="8.33984375" style="13" bestFit="1" customWidth="1"/>
    <col min="131" max="131" width="8.609375" style="13" bestFit="1" customWidth="1"/>
    <col min="132" max="132" width="4.03515625" style="13" bestFit="1" customWidth="1"/>
    <col min="133" max="133" width="8.609375" style="13" bestFit="1" customWidth="1"/>
    <col min="134" max="134" width="8.33984375" style="13" bestFit="1" customWidth="1"/>
    <col min="135" max="135" width="7.26171875" style="13" bestFit="1" customWidth="1"/>
    <col min="136" max="136" width="21.7890625" style="13" bestFit="1" customWidth="1"/>
    <col min="137" max="137" width="6.3203125" style="13" bestFit="1" customWidth="1"/>
    <col min="138" max="139" width="8.609375" style="13" bestFit="1" customWidth="1"/>
    <col min="140" max="140" width="14.52734375" style="13" bestFit="1" customWidth="1"/>
    <col min="141" max="141" width="2.95703125" style="13" customWidth="1"/>
    <col min="142" max="142" width="8.7421875" style="13" bestFit="1" customWidth="1"/>
    <col min="143" max="143" width="6.9921875" style="13" bestFit="1" customWidth="1"/>
    <col min="144" max="144" width="7.26171875" style="13" bestFit="1" customWidth="1"/>
    <col min="145" max="145" width="8.609375" style="13" bestFit="1" customWidth="1"/>
    <col min="146" max="146" width="6.3203125" style="13" bestFit="1" customWidth="1"/>
    <col min="147" max="147" width="8.609375" style="13" bestFit="1" customWidth="1"/>
    <col min="148" max="148" width="7.26171875" style="13" bestFit="1" customWidth="1"/>
    <col min="149" max="149" width="6.859375" style="13" bestFit="1" customWidth="1"/>
    <col min="150" max="150" width="23.80859375" style="13" bestFit="1" customWidth="1"/>
    <col min="151" max="151" width="6.3203125" style="13" bestFit="1" customWidth="1"/>
    <col min="152" max="153" width="8.609375" style="13" bestFit="1" customWidth="1"/>
    <col min="154" max="154" width="31.609375" style="13" bestFit="1" customWidth="1"/>
    <col min="155" max="155" width="2.95703125" style="13" customWidth="1"/>
    <col min="156" max="156" width="8.7421875" style="13" bestFit="1" customWidth="1"/>
    <col min="157" max="157" width="6.9921875" style="13" bestFit="1" customWidth="1"/>
    <col min="158" max="158" width="7.26171875" style="13" bestFit="1" customWidth="1"/>
    <col min="159" max="159" width="8.609375" style="13" bestFit="1" customWidth="1"/>
    <col min="160" max="160" width="4.03515625" style="13" bestFit="1" customWidth="1"/>
    <col min="161" max="161" width="8.609375" style="13" bestFit="1" customWidth="1"/>
    <col min="162" max="162" width="7.26171875" style="13" bestFit="1" customWidth="1"/>
    <col min="163" max="163" width="7.53125" style="13" bestFit="1" customWidth="1"/>
    <col min="164" max="164" width="33.359375" style="13" bestFit="1" customWidth="1"/>
    <col min="165" max="165" width="6.3203125" style="13" bestFit="1" customWidth="1"/>
    <col min="166" max="167" width="8.609375" style="13" bestFit="1" customWidth="1"/>
    <col min="168" max="168" width="22.8671875" style="13" bestFit="1" customWidth="1"/>
    <col min="169" max="169" width="2.95703125" style="13" customWidth="1"/>
    <col min="170" max="170" width="8.7421875" style="13" bestFit="1" customWidth="1"/>
    <col min="171" max="171" width="6.9921875" style="13" bestFit="1" customWidth="1"/>
    <col min="172" max="172" width="7.26171875" style="13" bestFit="1" customWidth="1"/>
    <col min="173" max="173" width="8.609375" style="13" bestFit="1" customWidth="1"/>
    <col min="174" max="174" width="4.03515625" style="13" bestFit="1" customWidth="1"/>
    <col min="175" max="175" width="8.609375" style="13" bestFit="1" customWidth="1"/>
    <col min="176" max="176" width="7.26171875" style="13" bestFit="1" customWidth="1"/>
    <col min="177" max="177" width="7.53125" style="13" bestFit="1" customWidth="1"/>
    <col min="178" max="178" width="41.1640625" style="13" bestFit="1" customWidth="1"/>
    <col min="179" max="179" width="6.3203125" style="13" bestFit="1" customWidth="1"/>
    <col min="180" max="181" width="8.609375" style="13" bestFit="1" customWidth="1"/>
    <col min="182" max="182" width="31.87890625" style="13" bestFit="1" customWidth="1"/>
    <col min="183" max="183" width="2.95703125" style="13" customWidth="1"/>
    <col min="184" max="184" width="8.7421875" style="13" bestFit="1" customWidth="1"/>
    <col min="185" max="185" width="6.9921875" style="13" bestFit="1" customWidth="1"/>
    <col min="186" max="186" width="7.26171875" style="13" bestFit="1" customWidth="1"/>
    <col min="187" max="187" width="8.609375" style="13" bestFit="1" customWidth="1"/>
    <col min="188" max="188" width="4.03515625" style="13" bestFit="1" customWidth="1"/>
    <col min="189" max="189" width="8.609375" style="13" bestFit="1" customWidth="1"/>
    <col min="190" max="191" width="7.26171875" style="13" bestFit="1" customWidth="1"/>
    <col min="192" max="192" width="31.609375" style="13" bestFit="1" customWidth="1"/>
    <col min="193" max="193" width="6.3203125" style="13" bestFit="1" customWidth="1"/>
    <col min="194" max="195" width="8.609375" style="13" bestFit="1" customWidth="1"/>
    <col min="196" max="196" width="23.5390625" style="13" bestFit="1" customWidth="1"/>
    <col min="197" max="197" width="2.95703125" style="13" customWidth="1"/>
    <col min="198" max="198" width="8.7421875" style="13" bestFit="1" customWidth="1"/>
    <col min="199" max="199" width="7.26171875" style="13" bestFit="1" customWidth="1"/>
    <col min="200" max="200" width="8.33984375" style="13" bestFit="1" customWidth="1"/>
    <col min="201" max="201" width="6.9921875" style="13" bestFit="1" customWidth="1"/>
    <col min="202" max="202" width="4.03515625" style="13" bestFit="1" customWidth="1"/>
    <col min="203" max="203" width="8.609375" style="13" bestFit="1" customWidth="1"/>
    <col min="204" max="204" width="4.03515625" style="13" bestFit="1" customWidth="1"/>
    <col min="205" max="205" width="8.609375" style="13" bestFit="1" customWidth="1"/>
    <col min="206" max="207" width="7.26171875" style="13" bestFit="1" customWidth="1"/>
    <col min="208" max="208" width="12.23828125" style="13" bestFit="1" customWidth="1"/>
    <col min="209" max="209" width="6.3203125" style="13" bestFit="1" customWidth="1"/>
    <col min="210" max="211" width="8.609375" style="13" bestFit="1" customWidth="1"/>
    <col min="212" max="212" width="9.4140625" style="13" bestFit="1" customWidth="1"/>
    <col min="213" max="213" width="2.95703125" style="13" customWidth="1"/>
    <col min="214" max="214" width="8.7421875" style="13" bestFit="1" customWidth="1"/>
    <col min="215" max="217" width="7.26171875" style="13" bestFit="1" customWidth="1"/>
    <col min="218" max="218" width="6.3203125" style="13" bestFit="1" customWidth="1"/>
    <col min="219" max="219" width="2.95703125" style="13" customWidth="1"/>
    <col min="220" max="220" width="8.7421875" style="13" bestFit="1" customWidth="1"/>
    <col min="221" max="223" width="7.26171875" style="13" bestFit="1" customWidth="1"/>
    <col min="224" max="224" width="6.3203125" style="13" bestFit="1" customWidth="1"/>
    <col min="225" max="225" width="2.95703125" style="13" customWidth="1"/>
    <col min="226" max="226" width="8.7421875" style="13" bestFit="1" customWidth="1"/>
    <col min="227" max="229" width="7.26171875" style="13" bestFit="1" customWidth="1"/>
    <col min="230" max="230" width="6.3203125" style="13" bestFit="1" customWidth="1"/>
    <col min="231" max="16384" width="14.390625" style="13"/>
  </cols>
  <sheetData>
    <row r="1" spans="1:230" ht="15" customHeight="1" x14ac:dyDescent="0.2">
      <c r="A1" s="162" t="s">
        <v>244</v>
      </c>
      <c r="B1" s="162"/>
      <c r="C1" s="162"/>
      <c r="D1" s="162"/>
      <c r="E1" s="166" t="s">
        <v>0</v>
      </c>
      <c r="F1" s="166"/>
      <c r="G1" s="166"/>
      <c r="H1" s="166"/>
      <c r="I1" s="6"/>
      <c r="J1" s="7"/>
      <c r="K1" s="6"/>
      <c r="L1" s="6"/>
      <c r="M1" s="6"/>
      <c r="N1" s="8"/>
      <c r="O1" s="9"/>
      <c r="P1" s="162" t="s">
        <v>244</v>
      </c>
      <c r="Q1" s="162"/>
      <c r="R1" s="162"/>
      <c r="S1" s="166" t="s">
        <v>1</v>
      </c>
      <c r="T1" s="166"/>
      <c r="U1" s="166"/>
      <c r="V1" s="166"/>
      <c r="W1" s="6"/>
      <c r="X1" s="10"/>
      <c r="Y1" s="6"/>
      <c r="Z1" s="6"/>
      <c r="AA1" s="6"/>
      <c r="AB1" s="8"/>
      <c r="AC1" s="6"/>
      <c r="AD1" s="162" t="s">
        <v>244</v>
      </c>
      <c r="AE1" s="162"/>
      <c r="AF1" s="162"/>
      <c r="AG1" s="166" t="s">
        <v>38</v>
      </c>
      <c r="AH1" s="166"/>
      <c r="AI1" s="166"/>
      <c r="AJ1" s="166"/>
      <c r="AK1" s="6"/>
      <c r="AL1" s="10"/>
      <c r="AM1" s="6"/>
      <c r="AN1" s="6"/>
      <c r="AO1" s="6"/>
      <c r="AP1" s="8"/>
      <c r="AQ1" s="6"/>
      <c r="AR1" s="162" t="s">
        <v>244</v>
      </c>
      <c r="AS1" s="162"/>
      <c r="AT1" s="162"/>
      <c r="AU1" s="166" t="s">
        <v>39</v>
      </c>
      <c r="AV1" s="166"/>
      <c r="AW1" s="166"/>
      <c r="AX1" s="166"/>
      <c r="AY1" s="6"/>
      <c r="AZ1" s="10"/>
      <c r="BA1" s="6"/>
      <c r="BB1" s="6"/>
      <c r="BC1" s="6"/>
      <c r="BD1" s="8"/>
      <c r="BE1" s="11"/>
      <c r="BF1" s="162" t="s">
        <v>244</v>
      </c>
      <c r="BG1" s="162"/>
      <c r="BH1" s="162"/>
      <c r="BI1" s="165" t="s">
        <v>245</v>
      </c>
      <c r="BJ1" s="165"/>
      <c r="BK1" s="165"/>
      <c r="BL1" s="165"/>
      <c r="BM1" s="11"/>
      <c r="BN1" s="11"/>
      <c r="BO1" s="11"/>
      <c r="BP1" s="11"/>
      <c r="BQ1" s="11"/>
      <c r="BR1" s="11"/>
      <c r="BS1" s="6"/>
      <c r="BT1" s="162" t="s">
        <v>244</v>
      </c>
      <c r="BU1" s="162"/>
      <c r="BV1" s="162"/>
      <c r="BW1" s="165" t="s">
        <v>246</v>
      </c>
      <c r="BX1" s="165"/>
      <c r="BY1" s="165"/>
      <c r="BZ1" s="165"/>
      <c r="CA1" s="11"/>
      <c r="CB1" s="11"/>
      <c r="CC1" s="11"/>
      <c r="CD1" s="11"/>
      <c r="CE1" s="11"/>
      <c r="CF1" s="11"/>
      <c r="CG1" s="6"/>
      <c r="CH1" s="162" t="s">
        <v>244</v>
      </c>
      <c r="CI1" s="162"/>
      <c r="CJ1" s="162"/>
      <c r="CK1" s="162" t="s">
        <v>247</v>
      </c>
      <c r="CL1" s="162"/>
      <c r="CM1" s="162"/>
      <c r="CN1" s="162"/>
      <c r="CO1" s="11"/>
      <c r="CP1" s="11"/>
      <c r="CQ1" s="11"/>
      <c r="CR1" s="11"/>
      <c r="CS1" s="11"/>
      <c r="CT1" s="11"/>
      <c r="CU1" s="6"/>
      <c r="CV1" s="162" t="s">
        <v>244</v>
      </c>
      <c r="CW1" s="162"/>
      <c r="CX1" s="162"/>
      <c r="CY1" s="162" t="s">
        <v>248</v>
      </c>
      <c r="CZ1" s="162"/>
      <c r="DA1" s="162"/>
      <c r="DB1" s="162"/>
      <c r="DC1" s="11"/>
      <c r="DD1" s="11"/>
      <c r="DE1" s="11"/>
      <c r="DF1" s="11"/>
      <c r="DG1" s="11"/>
      <c r="DH1" s="11"/>
      <c r="DI1" s="6"/>
      <c r="DJ1" s="162" t="s">
        <v>244</v>
      </c>
      <c r="DK1" s="162"/>
      <c r="DL1" s="162"/>
      <c r="DM1" s="162" t="s">
        <v>249</v>
      </c>
      <c r="DN1" s="162"/>
      <c r="DO1" s="162"/>
      <c r="DP1" s="162"/>
      <c r="DQ1" s="11"/>
      <c r="DR1" s="11"/>
      <c r="DS1" s="11"/>
      <c r="DT1" s="11"/>
      <c r="DU1" s="11"/>
      <c r="DV1" s="11"/>
      <c r="DW1" s="6"/>
      <c r="DX1" s="162" t="s">
        <v>244</v>
      </c>
      <c r="DY1" s="162"/>
      <c r="DZ1" s="162"/>
      <c r="EA1" s="162" t="s">
        <v>250</v>
      </c>
      <c r="EB1" s="162"/>
      <c r="EC1" s="162"/>
      <c r="ED1" s="162"/>
      <c r="EE1" s="11"/>
      <c r="EF1" s="11"/>
      <c r="EG1" s="11"/>
      <c r="EH1" s="11"/>
      <c r="EI1" s="11"/>
      <c r="EJ1" s="11"/>
      <c r="EK1" s="6"/>
      <c r="EL1" s="162" t="s">
        <v>244</v>
      </c>
      <c r="EM1" s="162"/>
      <c r="EN1" s="162"/>
      <c r="EO1" s="162" t="s">
        <v>251</v>
      </c>
      <c r="EP1" s="162"/>
      <c r="EQ1" s="162"/>
      <c r="ER1" s="162"/>
      <c r="ES1" s="11"/>
      <c r="ET1" s="11"/>
      <c r="EU1" s="11"/>
      <c r="EV1" s="11"/>
      <c r="EW1" s="11"/>
      <c r="EX1" s="11"/>
      <c r="EY1" s="6"/>
      <c r="EZ1" s="162" t="s">
        <v>244</v>
      </c>
      <c r="FA1" s="162"/>
      <c r="FB1" s="162"/>
      <c r="FC1" s="162" t="s">
        <v>252</v>
      </c>
      <c r="FD1" s="162"/>
      <c r="FE1" s="162"/>
      <c r="FF1" s="162"/>
      <c r="FG1" s="11"/>
      <c r="FH1" s="11"/>
      <c r="FI1" s="11"/>
      <c r="FJ1" s="11"/>
      <c r="FK1" s="11"/>
      <c r="FL1" s="11"/>
      <c r="FM1" s="6"/>
      <c r="FN1" s="162" t="s">
        <v>244</v>
      </c>
      <c r="FO1" s="162"/>
      <c r="FP1" s="162"/>
      <c r="FQ1" s="162" t="s">
        <v>111</v>
      </c>
      <c r="FR1" s="162"/>
      <c r="FS1" s="162"/>
      <c r="FT1" s="162"/>
      <c r="FU1" s="11"/>
      <c r="FV1" s="11"/>
      <c r="FW1" s="11"/>
      <c r="FX1" s="11"/>
      <c r="FY1" s="11"/>
      <c r="FZ1" s="11"/>
      <c r="GA1" s="6"/>
      <c r="GB1" s="162" t="s">
        <v>244</v>
      </c>
      <c r="GC1" s="162"/>
      <c r="GD1" s="162"/>
      <c r="GE1" s="162" t="s">
        <v>253</v>
      </c>
      <c r="GF1" s="162"/>
      <c r="GG1" s="162"/>
      <c r="GH1" s="162"/>
      <c r="GI1" s="11"/>
      <c r="GJ1" s="11"/>
      <c r="GK1" s="11"/>
      <c r="GL1" s="11"/>
      <c r="GM1" s="11"/>
      <c r="GN1" s="11"/>
      <c r="GO1" s="6"/>
      <c r="GP1" s="162" t="s">
        <v>244</v>
      </c>
      <c r="GQ1" s="162"/>
      <c r="GR1" s="162"/>
      <c r="GS1" s="12"/>
      <c r="GT1" s="12"/>
      <c r="GU1" s="162" t="s">
        <v>254</v>
      </c>
      <c r="GV1" s="162"/>
      <c r="GW1" s="162"/>
      <c r="GX1" s="162"/>
      <c r="GY1" s="11"/>
      <c r="GZ1" s="11"/>
      <c r="HA1" s="11"/>
      <c r="HB1" s="11"/>
      <c r="HC1" s="11"/>
      <c r="HD1" s="11"/>
      <c r="HF1" s="162" t="s">
        <v>244</v>
      </c>
      <c r="HG1" s="162"/>
      <c r="HH1" s="163" t="s">
        <v>255</v>
      </c>
      <c r="HI1" s="163"/>
      <c r="HJ1" s="163"/>
      <c r="HL1" s="162" t="s">
        <v>244</v>
      </c>
      <c r="HM1" s="162"/>
      <c r="HN1" s="162" t="s">
        <v>256</v>
      </c>
      <c r="HO1" s="162"/>
      <c r="HP1" s="162"/>
      <c r="HR1" s="162" t="s">
        <v>244</v>
      </c>
      <c r="HS1" s="162"/>
      <c r="HT1" s="162" t="s">
        <v>257</v>
      </c>
      <c r="HU1" s="162"/>
      <c r="HV1" s="162"/>
    </row>
    <row r="2" spans="1:230" ht="15" customHeight="1" x14ac:dyDescent="0.2">
      <c r="A2" s="14" t="s">
        <v>2</v>
      </c>
      <c r="B2" s="15" t="s">
        <v>258</v>
      </c>
      <c r="C2" s="16" t="s">
        <v>3</v>
      </c>
      <c r="D2" s="16" t="s">
        <v>4</v>
      </c>
      <c r="E2" s="17" t="s">
        <v>5</v>
      </c>
      <c r="F2" s="16" t="s">
        <v>4</v>
      </c>
      <c r="G2" s="16" t="s">
        <v>6</v>
      </c>
      <c r="H2" s="16" t="s">
        <v>7</v>
      </c>
      <c r="I2" s="16" t="s">
        <v>8</v>
      </c>
      <c r="J2" s="17" t="s">
        <v>9</v>
      </c>
      <c r="K2" s="16" t="s">
        <v>10</v>
      </c>
      <c r="L2" s="16" t="s">
        <v>7</v>
      </c>
      <c r="M2" s="16" t="s">
        <v>11</v>
      </c>
      <c r="N2" s="16" t="s">
        <v>12</v>
      </c>
      <c r="O2" s="18"/>
      <c r="P2" s="14" t="s">
        <v>2</v>
      </c>
      <c r="Q2" s="16" t="s">
        <v>3</v>
      </c>
      <c r="R2" s="16" t="s">
        <v>4</v>
      </c>
      <c r="S2" s="17" t="s">
        <v>5</v>
      </c>
      <c r="T2" s="16" t="s">
        <v>4</v>
      </c>
      <c r="U2" s="16" t="s">
        <v>6</v>
      </c>
      <c r="V2" s="16" t="s">
        <v>7</v>
      </c>
      <c r="W2" s="16" t="s">
        <v>8</v>
      </c>
      <c r="X2" s="19" t="s">
        <v>9</v>
      </c>
      <c r="Y2" s="16" t="s">
        <v>10</v>
      </c>
      <c r="Z2" s="16" t="s">
        <v>7</v>
      </c>
      <c r="AA2" s="16" t="s">
        <v>11</v>
      </c>
      <c r="AB2" s="16" t="s">
        <v>12</v>
      </c>
      <c r="AD2" s="14" t="s">
        <v>2</v>
      </c>
      <c r="AE2" s="16" t="s">
        <v>3</v>
      </c>
      <c r="AF2" s="16" t="s">
        <v>4</v>
      </c>
      <c r="AG2" s="17" t="s">
        <v>5</v>
      </c>
      <c r="AH2" s="16" t="s">
        <v>4</v>
      </c>
      <c r="AI2" s="16" t="s">
        <v>6</v>
      </c>
      <c r="AJ2" s="16" t="s">
        <v>7</v>
      </c>
      <c r="AK2" s="16" t="s">
        <v>8</v>
      </c>
      <c r="AL2" s="19" t="s">
        <v>9</v>
      </c>
      <c r="AM2" s="16" t="s">
        <v>10</v>
      </c>
      <c r="AN2" s="16" t="s">
        <v>7</v>
      </c>
      <c r="AO2" s="16" t="s">
        <v>11</v>
      </c>
      <c r="AP2" s="16" t="s">
        <v>12</v>
      </c>
      <c r="AR2" s="14" t="s">
        <v>2</v>
      </c>
      <c r="AS2" s="16" t="s">
        <v>3</v>
      </c>
      <c r="AT2" s="16" t="s">
        <v>4</v>
      </c>
      <c r="AU2" s="17" t="s">
        <v>5</v>
      </c>
      <c r="AV2" s="16" t="s">
        <v>4</v>
      </c>
      <c r="AW2" s="16" t="s">
        <v>6</v>
      </c>
      <c r="AX2" s="16" t="s">
        <v>7</v>
      </c>
      <c r="AY2" s="16" t="s">
        <v>8</v>
      </c>
      <c r="AZ2" s="19" t="s">
        <v>9</v>
      </c>
      <c r="BA2" s="16" t="s">
        <v>10</v>
      </c>
      <c r="BB2" s="16" t="s">
        <v>7</v>
      </c>
      <c r="BC2" s="16" t="s">
        <v>11</v>
      </c>
      <c r="BD2" s="16" t="s">
        <v>12</v>
      </c>
      <c r="BE2" s="20"/>
      <c r="BF2" s="14" t="s">
        <v>2</v>
      </c>
      <c r="BG2" s="16" t="s">
        <v>3</v>
      </c>
      <c r="BH2" s="16" t="s">
        <v>4</v>
      </c>
      <c r="BI2" s="17" t="s">
        <v>5</v>
      </c>
      <c r="BJ2" s="16" t="s">
        <v>4</v>
      </c>
      <c r="BK2" s="16" t="s">
        <v>6</v>
      </c>
      <c r="BL2" s="16" t="s">
        <v>7</v>
      </c>
      <c r="BM2" s="16" t="s">
        <v>8</v>
      </c>
      <c r="BN2" s="16" t="s">
        <v>9</v>
      </c>
      <c r="BO2" s="16" t="s">
        <v>10</v>
      </c>
      <c r="BP2" s="21" t="s">
        <v>7</v>
      </c>
      <c r="BQ2" s="22" t="s">
        <v>11</v>
      </c>
      <c r="BR2" s="23" t="s">
        <v>12</v>
      </c>
      <c r="BT2" s="14" t="s">
        <v>2</v>
      </c>
      <c r="BU2" s="16" t="s">
        <v>3</v>
      </c>
      <c r="BV2" s="16" t="s">
        <v>4</v>
      </c>
      <c r="BW2" s="17" t="s">
        <v>5</v>
      </c>
      <c r="BX2" s="16" t="s">
        <v>4</v>
      </c>
      <c r="BY2" s="16" t="s">
        <v>6</v>
      </c>
      <c r="BZ2" s="16" t="s">
        <v>7</v>
      </c>
      <c r="CA2" s="16" t="s">
        <v>8</v>
      </c>
      <c r="CB2" s="16" t="s">
        <v>9</v>
      </c>
      <c r="CC2" s="16" t="s">
        <v>10</v>
      </c>
      <c r="CD2" s="16" t="s">
        <v>7</v>
      </c>
      <c r="CE2" s="16" t="s">
        <v>11</v>
      </c>
      <c r="CF2" s="16" t="s">
        <v>12</v>
      </c>
      <c r="CH2" s="24" t="s">
        <v>2</v>
      </c>
      <c r="CI2" s="16" t="s">
        <v>3</v>
      </c>
      <c r="CJ2" s="16" t="s">
        <v>4</v>
      </c>
      <c r="CK2" s="17" t="s">
        <v>5</v>
      </c>
      <c r="CL2" s="16" t="s">
        <v>4</v>
      </c>
      <c r="CM2" s="16" t="s">
        <v>6</v>
      </c>
      <c r="CN2" s="16" t="s">
        <v>7</v>
      </c>
      <c r="CO2" s="16" t="s">
        <v>8</v>
      </c>
      <c r="CP2" s="16" t="s">
        <v>259</v>
      </c>
      <c r="CQ2" s="16" t="s">
        <v>10</v>
      </c>
      <c r="CR2" s="16" t="s">
        <v>32</v>
      </c>
      <c r="CS2" s="16" t="s">
        <v>33</v>
      </c>
      <c r="CT2" s="16" t="s">
        <v>12</v>
      </c>
      <c r="CV2" s="24" t="s">
        <v>2</v>
      </c>
      <c r="CW2" s="16" t="s">
        <v>3</v>
      </c>
      <c r="CX2" s="16" t="s">
        <v>4</v>
      </c>
      <c r="CY2" s="17" t="s">
        <v>5</v>
      </c>
      <c r="CZ2" s="16" t="s">
        <v>4</v>
      </c>
      <c r="DA2" s="16" t="s">
        <v>6</v>
      </c>
      <c r="DB2" s="16" t="s">
        <v>7</v>
      </c>
      <c r="DC2" s="16" t="s">
        <v>8</v>
      </c>
      <c r="DD2" s="16" t="s">
        <v>259</v>
      </c>
      <c r="DE2" s="16" t="s">
        <v>10</v>
      </c>
      <c r="DF2" s="16" t="s">
        <v>32</v>
      </c>
      <c r="DG2" s="16" t="s">
        <v>33</v>
      </c>
      <c r="DH2" s="16" t="s">
        <v>12</v>
      </c>
      <c r="DJ2" s="24" t="s">
        <v>2</v>
      </c>
      <c r="DK2" s="16" t="s">
        <v>3</v>
      </c>
      <c r="DL2" s="16" t="s">
        <v>4</v>
      </c>
      <c r="DM2" s="17" t="s">
        <v>5</v>
      </c>
      <c r="DN2" s="16" t="s">
        <v>4</v>
      </c>
      <c r="DO2" s="16" t="s">
        <v>6</v>
      </c>
      <c r="DP2" s="16" t="s">
        <v>7</v>
      </c>
      <c r="DQ2" s="16" t="s">
        <v>8</v>
      </c>
      <c r="DR2" s="16" t="s">
        <v>259</v>
      </c>
      <c r="DS2" s="16" t="s">
        <v>10</v>
      </c>
      <c r="DT2" s="16" t="s">
        <v>32</v>
      </c>
      <c r="DU2" s="16" t="s">
        <v>33</v>
      </c>
      <c r="DV2" s="16" t="s">
        <v>12</v>
      </c>
      <c r="DX2" s="24" t="s">
        <v>2</v>
      </c>
      <c r="DY2" s="16" t="s">
        <v>3</v>
      </c>
      <c r="DZ2" s="16" t="s">
        <v>4</v>
      </c>
      <c r="EA2" s="17" t="s">
        <v>5</v>
      </c>
      <c r="EB2" s="16" t="s">
        <v>4</v>
      </c>
      <c r="EC2" s="16" t="s">
        <v>6</v>
      </c>
      <c r="ED2" s="16" t="s">
        <v>7</v>
      </c>
      <c r="EE2" s="16" t="s">
        <v>8</v>
      </c>
      <c r="EF2" s="16"/>
      <c r="EG2" s="16" t="s">
        <v>10</v>
      </c>
      <c r="EH2" s="16" t="s">
        <v>32</v>
      </c>
      <c r="EI2" s="16" t="s">
        <v>33</v>
      </c>
      <c r="EJ2" s="16" t="s">
        <v>12</v>
      </c>
      <c r="EL2" s="24" t="s">
        <v>2</v>
      </c>
      <c r="EM2" s="16" t="s">
        <v>3</v>
      </c>
      <c r="EN2" s="16" t="s">
        <v>4</v>
      </c>
      <c r="EO2" s="17" t="s">
        <v>5</v>
      </c>
      <c r="EP2" s="16" t="s">
        <v>4</v>
      </c>
      <c r="EQ2" s="16" t="s">
        <v>6</v>
      </c>
      <c r="ER2" s="16" t="s">
        <v>7</v>
      </c>
      <c r="ES2" s="16" t="s">
        <v>8</v>
      </c>
      <c r="ET2" s="16" t="s">
        <v>259</v>
      </c>
      <c r="EU2" s="16" t="s">
        <v>10</v>
      </c>
      <c r="EV2" s="16" t="s">
        <v>32</v>
      </c>
      <c r="EW2" s="16" t="s">
        <v>33</v>
      </c>
      <c r="EX2" s="16" t="s">
        <v>12</v>
      </c>
      <c r="EZ2" s="24" t="s">
        <v>2</v>
      </c>
      <c r="FA2" s="16" t="s">
        <v>3</v>
      </c>
      <c r="FB2" s="16" t="s">
        <v>4</v>
      </c>
      <c r="FC2" s="17" t="s">
        <v>5</v>
      </c>
      <c r="FD2" s="16" t="s">
        <v>4</v>
      </c>
      <c r="FE2" s="16" t="s">
        <v>6</v>
      </c>
      <c r="FF2" s="16" t="s">
        <v>7</v>
      </c>
      <c r="FG2" s="16" t="s">
        <v>8</v>
      </c>
      <c r="FH2" s="16" t="s">
        <v>259</v>
      </c>
      <c r="FI2" s="16" t="s">
        <v>10</v>
      </c>
      <c r="FJ2" s="16" t="s">
        <v>32</v>
      </c>
      <c r="FK2" s="16" t="s">
        <v>33</v>
      </c>
      <c r="FL2" s="16" t="s">
        <v>12</v>
      </c>
      <c r="FN2" s="24" t="s">
        <v>2</v>
      </c>
      <c r="FO2" s="16" t="s">
        <v>3</v>
      </c>
      <c r="FP2" s="16" t="s">
        <v>4</v>
      </c>
      <c r="FQ2" s="17" t="s">
        <v>5</v>
      </c>
      <c r="FR2" s="16" t="s">
        <v>4</v>
      </c>
      <c r="FS2" s="16" t="s">
        <v>6</v>
      </c>
      <c r="FT2" s="16" t="s">
        <v>7</v>
      </c>
      <c r="FU2" s="16" t="s">
        <v>8</v>
      </c>
      <c r="FV2" s="16" t="s">
        <v>259</v>
      </c>
      <c r="FW2" s="16" t="s">
        <v>10</v>
      </c>
      <c r="FX2" s="16" t="s">
        <v>32</v>
      </c>
      <c r="FY2" s="16" t="s">
        <v>33</v>
      </c>
      <c r="FZ2" s="16" t="s">
        <v>12</v>
      </c>
      <c r="GB2" s="24" t="s">
        <v>2</v>
      </c>
      <c r="GC2" s="16" t="s">
        <v>3</v>
      </c>
      <c r="GD2" s="16" t="s">
        <v>4</v>
      </c>
      <c r="GE2" s="17" t="s">
        <v>5</v>
      </c>
      <c r="GF2" s="16" t="s">
        <v>4</v>
      </c>
      <c r="GG2" s="16" t="s">
        <v>6</v>
      </c>
      <c r="GH2" s="16" t="s">
        <v>7</v>
      </c>
      <c r="GI2" s="16" t="s">
        <v>8</v>
      </c>
      <c r="GJ2" s="16" t="s">
        <v>259</v>
      </c>
      <c r="GK2" s="16" t="s">
        <v>10</v>
      </c>
      <c r="GL2" s="16" t="s">
        <v>32</v>
      </c>
      <c r="GM2" s="16" t="s">
        <v>33</v>
      </c>
      <c r="GN2" s="16" t="s">
        <v>12</v>
      </c>
      <c r="GP2" s="24" t="s">
        <v>2</v>
      </c>
      <c r="GQ2" s="16" t="s">
        <v>3</v>
      </c>
      <c r="GR2" s="16" t="s">
        <v>4</v>
      </c>
      <c r="GS2" s="16" t="s">
        <v>260</v>
      </c>
      <c r="GT2" s="16" t="s">
        <v>4</v>
      </c>
      <c r="GU2" s="17" t="s">
        <v>5</v>
      </c>
      <c r="GV2" s="16" t="s">
        <v>4</v>
      </c>
      <c r="GW2" s="16" t="s">
        <v>6</v>
      </c>
      <c r="GX2" s="16" t="s">
        <v>7</v>
      </c>
      <c r="GY2" s="16" t="s">
        <v>8</v>
      </c>
      <c r="GZ2" s="16" t="s">
        <v>259</v>
      </c>
      <c r="HA2" s="16" t="s">
        <v>10</v>
      </c>
      <c r="HB2" s="16" t="s">
        <v>32</v>
      </c>
      <c r="HC2" s="16" t="s">
        <v>33</v>
      </c>
      <c r="HD2" s="16" t="s">
        <v>12</v>
      </c>
      <c r="HF2" s="24" t="s">
        <v>2</v>
      </c>
      <c r="HG2" s="16" t="s">
        <v>3</v>
      </c>
      <c r="HH2" s="16" t="s">
        <v>4</v>
      </c>
      <c r="HI2" s="17"/>
      <c r="HJ2" s="16" t="s">
        <v>261</v>
      </c>
      <c r="HL2" s="24" t="s">
        <v>2</v>
      </c>
      <c r="HM2" s="16" t="s">
        <v>3</v>
      </c>
      <c r="HN2" s="16" t="s">
        <v>4</v>
      </c>
      <c r="HO2" s="17"/>
      <c r="HP2" s="16" t="s">
        <v>261</v>
      </c>
      <c r="HR2" s="24" t="s">
        <v>2</v>
      </c>
      <c r="HS2" s="16" t="s">
        <v>3</v>
      </c>
      <c r="HT2" s="16" t="s">
        <v>4</v>
      </c>
      <c r="HU2" s="17"/>
      <c r="HV2" s="16" t="s">
        <v>261</v>
      </c>
    </row>
    <row r="3" spans="1:230" ht="15" customHeight="1" x14ac:dyDescent="0.2">
      <c r="A3" s="25">
        <v>46160</v>
      </c>
      <c r="B3" s="26">
        <v>2008</v>
      </c>
      <c r="C3" s="4">
        <v>13869</v>
      </c>
      <c r="D3" s="4">
        <v>82</v>
      </c>
      <c r="E3" s="4">
        <v>368</v>
      </c>
      <c r="F3" s="4">
        <v>2</v>
      </c>
      <c r="G3" s="4">
        <v>9</v>
      </c>
      <c r="H3" s="4">
        <v>2</v>
      </c>
      <c r="I3" s="4">
        <v>0</v>
      </c>
      <c r="J3" s="2" t="s">
        <v>187</v>
      </c>
      <c r="K3" s="27">
        <v>660</v>
      </c>
      <c r="L3" s="4">
        <v>1320</v>
      </c>
      <c r="M3" s="28">
        <v>0.16097560975609757</v>
      </c>
      <c r="N3" s="29"/>
      <c r="O3" s="30"/>
      <c r="P3" s="25">
        <v>46160</v>
      </c>
      <c r="Q3" s="4">
        <v>4675</v>
      </c>
      <c r="R3" s="4">
        <v>74</v>
      </c>
      <c r="S3" s="4">
        <v>201</v>
      </c>
      <c r="T3" s="4">
        <v>0</v>
      </c>
      <c r="U3" s="4">
        <v>3</v>
      </c>
      <c r="V3" s="4">
        <v>0</v>
      </c>
      <c r="W3" s="4">
        <v>0</v>
      </c>
      <c r="X3" s="31" t="s">
        <v>130</v>
      </c>
      <c r="Y3" s="27">
        <v>660</v>
      </c>
      <c r="Z3" s="4">
        <v>0</v>
      </c>
      <c r="AA3" s="28">
        <v>0</v>
      </c>
      <c r="AB3" s="29"/>
      <c r="AD3" s="25">
        <v>46160</v>
      </c>
      <c r="AE3" s="4">
        <v>2442</v>
      </c>
      <c r="AF3" s="4">
        <v>34</v>
      </c>
      <c r="AG3" s="4">
        <v>44</v>
      </c>
      <c r="AH3" s="4">
        <v>0</v>
      </c>
      <c r="AI3" s="4">
        <v>4</v>
      </c>
      <c r="AJ3" s="4">
        <v>0</v>
      </c>
      <c r="AK3" s="4">
        <v>0</v>
      </c>
      <c r="AL3" s="31" t="s">
        <v>229</v>
      </c>
      <c r="AM3" s="27">
        <v>792</v>
      </c>
      <c r="AN3" s="4">
        <v>0</v>
      </c>
      <c r="AO3" s="28">
        <v>0</v>
      </c>
      <c r="AP3" s="29"/>
      <c r="AR3" s="25">
        <v>46160</v>
      </c>
      <c r="AS3" s="4">
        <v>2352</v>
      </c>
      <c r="AT3" s="4">
        <v>63</v>
      </c>
      <c r="AU3" s="4">
        <v>53</v>
      </c>
      <c r="AV3" s="4">
        <v>2</v>
      </c>
      <c r="AW3" s="4">
        <v>18</v>
      </c>
      <c r="AX3" s="4">
        <v>2</v>
      </c>
      <c r="AY3" s="4">
        <v>0</v>
      </c>
      <c r="AZ3" s="31" t="s">
        <v>370</v>
      </c>
      <c r="BA3" s="27">
        <v>847</v>
      </c>
      <c r="BB3" s="4">
        <v>1694</v>
      </c>
      <c r="BC3" s="28">
        <v>0.2688888888888889</v>
      </c>
      <c r="BD3" s="29"/>
      <c r="BE3" s="32"/>
      <c r="BF3" s="33">
        <v>46160</v>
      </c>
      <c r="BG3" s="4">
        <v>3790</v>
      </c>
      <c r="BH3" s="4">
        <v>33</v>
      </c>
      <c r="BI3" s="5">
        <v>35</v>
      </c>
      <c r="BJ3" s="4">
        <v>1</v>
      </c>
      <c r="BK3" s="4">
        <v>3</v>
      </c>
      <c r="BL3" s="4">
        <v>0</v>
      </c>
      <c r="BM3" s="4">
        <v>0</v>
      </c>
      <c r="BN3" s="3" t="s">
        <v>129</v>
      </c>
      <c r="BO3" s="4">
        <v>1500</v>
      </c>
      <c r="BP3" s="4">
        <v>0</v>
      </c>
      <c r="BQ3" s="28">
        <v>0</v>
      </c>
      <c r="BR3" s="34"/>
      <c r="BT3" s="33">
        <v>46160</v>
      </c>
      <c r="BU3" s="4">
        <v>36335</v>
      </c>
      <c r="BV3" s="4">
        <v>16</v>
      </c>
      <c r="BW3" s="5">
        <v>3905</v>
      </c>
      <c r="BX3" s="4">
        <v>0</v>
      </c>
      <c r="BY3" s="4">
        <v>40</v>
      </c>
      <c r="BZ3" s="4">
        <v>9</v>
      </c>
      <c r="CA3" s="4">
        <v>0</v>
      </c>
      <c r="CB3" s="3" t="s">
        <v>131</v>
      </c>
      <c r="CC3" s="4">
        <v>1050</v>
      </c>
      <c r="CD3" s="4">
        <v>9450</v>
      </c>
      <c r="CE3" s="28">
        <v>5.90625</v>
      </c>
      <c r="CF3" s="34"/>
      <c r="CH3" s="14">
        <v>46160</v>
      </c>
      <c r="CI3" s="35">
        <v>32052</v>
      </c>
      <c r="CJ3" s="4">
        <v>36</v>
      </c>
      <c r="CK3" s="5">
        <v>545</v>
      </c>
      <c r="CL3" s="4">
        <v>1</v>
      </c>
      <c r="CM3" s="4">
        <v>42</v>
      </c>
      <c r="CN3" s="4">
        <v>1</v>
      </c>
      <c r="CO3" s="4">
        <v>0</v>
      </c>
      <c r="CP3" s="2" t="s">
        <v>371</v>
      </c>
      <c r="CQ3" s="4">
        <v>880</v>
      </c>
      <c r="CR3" s="5">
        <v>880</v>
      </c>
      <c r="CS3" s="36">
        <v>0.24444444444444444</v>
      </c>
      <c r="CT3" s="29"/>
      <c r="CV3" s="14">
        <v>46160</v>
      </c>
      <c r="CW3" s="35">
        <v>52368</v>
      </c>
      <c r="CX3" s="4">
        <v>27</v>
      </c>
      <c r="CY3" s="5">
        <v>3291</v>
      </c>
      <c r="CZ3" s="4">
        <v>0</v>
      </c>
      <c r="DA3" s="4">
        <v>19</v>
      </c>
      <c r="DB3" s="4">
        <v>0</v>
      </c>
      <c r="DC3" s="4">
        <v>0</v>
      </c>
      <c r="DD3" s="2" t="s">
        <v>363</v>
      </c>
      <c r="DE3" s="4">
        <v>880</v>
      </c>
      <c r="DF3" s="5">
        <v>0</v>
      </c>
      <c r="DG3" s="36">
        <v>0</v>
      </c>
      <c r="DH3" s="29"/>
      <c r="DJ3" s="14">
        <v>46160</v>
      </c>
      <c r="DK3" s="35">
        <v>18166</v>
      </c>
      <c r="DL3" s="4">
        <v>29</v>
      </c>
      <c r="DM3" s="5">
        <v>381</v>
      </c>
      <c r="DN3" s="4">
        <v>5</v>
      </c>
      <c r="DO3" s="4">
        <v>23</v>
      </c>
      <c r="DP3" s="4">
        <v>5</v>
      </c>
      <c r="DQ3" s="4">
        <v>5</v>
      </c>
      <c r="DR3" s="2" t="s">
        <v>226</v>
      </c>
      <c r="DS3" s="4">
        <v>220</v>
      </c>
      <c r="DT3" s="5">
        <v>1100</v>
      </c>
      <c r="DU3" s="36">
        <v>0.37931034482758619</v>
      </c>
      <c r="DV3" s="29"/>
      <c r="DX3" s="14">
        <v>46160</v>
      </c>
      <c r="DY3" s="35">
        <v>17444</v>
      </c>
      <c r="DZ3" s="4">
        <v>325</v>
      </c>
      <c r="EA3" s="5">
        <v>159</v>
      </c>
      <c r="EB3" s="4">
        <v>6</v>
      </c>
      <c r="EC3" s="4">
        <v>20</v>
      </c>
      <c r="ED3" s="4">
        <v>3</v>
      </c>
      <c r="EE3" s="4">
        <v>5</v>
      </c>
      <c r="EF3" s="2" t="s">
        <v>129</v>
      </c>
      <c r="EG3" s="4">
        <v>1500</v>
      </c>
      <c r="EH3" s="5">
        <v>4500</v>
      </c>
      <c r="EI3" s="36">
        <v>0.13846153846153847</v>
      </c>
      <c r="EJ3" s="29"/>
      <c r="EL3" s="14">
        <v>46160</v>
      </c>
      <c r="EM3" s="35">
        <v>1673</v>
      </c>
      <c r="EN3" s="4">
        <v>83</v>
      </c>
      <c r="EO3" s="5">
        <v>1093</v>
      </c>
      <c r="EP3" s="4">
        <v>3</v>
      </c>
      <c r="EQ3" s="4">
        <v>51</v>
      </c>
      <c r="ER3" s="4">
        <v>3</v>
      </c>
      <c r="ES3" s="4">
        <v>0</v>
      </c>
      <c r="ET3" s="2" t="s">
        <v>207</v>
      </c>
      <c r="EU3" s="4">
        <v>286</v>
      </c>
      <c r="EV3" s="5">
        <v>858</v>
      </c>
      <c r="EW3" s="36">
        <v>0.10337349397590362</v>
      </c>
      <c r="EX3" s="29"/>
      <c r="EZ3" s="14">
        <v>46160</v>
      </c>
      <c r="FA3" s="35">
        <v>974</v>
      </c>
      <c r="FB3" s="4">
        <v>24</v>
      </c>
      <c r="FC3" s="5">
        <v>93</v>
      </c>
      <c r="FD3" s="4">
        <v>1</v>
      </c>
      <c r="FE3" s="4">
        <v>50</v>
      </c>
      <c r="FF3" s="4">
        <v>1</v>
      </c>
      <c r="FG3" s="4">
        <v>16</v>
      </c>
      <c r="FH3" s="2" t="s">
        <v>238</v>
      </c>
      <c r="FI3" s="4">
        <v>300</v>
      </c>
      <c r="FJ3" s="5">
        <v>300</v>
      </c>
      <c r="FK3" s="36">
        <v>0.125</v>
      </c>
      <c r="FL3" s="29"/>
      <c r="FN3" s="14">
        <v>46160</v>
      </c>
      <c r="FO3" s="35">
        <v>1268</v>
      </c>
      <c r="FP3" s="4">
        <v>37</v>
      </c>
      <c r="FQ3" s="5">
        <v>98</v>
      </c>
      <c r="FR3" s="4">
        <v>2</v>
      </c>
      <c r="FS3" s="4">
        <v>37</v>
      </c>
      <c r="FT3" s="4">
        <v>2</v>
      </c>
      <c r="FU3" s="4">
        <v>-1</v>
      </c>
      <c r="FV3" s="2" t="s">
        <v>166</v>
      </c>
      <c r="FW3" s="4">
        <v>660</v>
      </c>
      <c r="FX3" s="5">
        <v>1320</v>
      </c>
      <c r="FY3" s="36">
        <v>0.35675675675675678</v>
      </c>
      <c r="FZ3" s="29" t="s">
        <v>364</v>
      </c>
      <c r="GB3" s="14">
        <v>46160</v>
      </c>
      <c r="GC3" s="35">
        <v>935</v>
      </c>
      <c r="GD3" s="4">
        <v>32</v>
      </c>
      <c r="GE3" s="5">
        <v>106</v>
      </c>
      <c r="GF3" s="4">
        <v>8</v>
      </c>
      <c r="GG3" s="4">
        <v>56</v>
      </c>
      <c r="GH3" s="4">
        <v>7</v>
      </c>
      <c r="GI3" s="4">
        <v>0</v>
      </c>
      <c r="GJ3" s="2" t="s">
        <v>241</v>
      </c>
      <c r="GK3" s="4">
        <v>220</v>
      </c>
      <c r="GL3" s="5">
        <v>1540</v>
      </c>
      <c r="GM3" s="36">
        <v>0.48125000000000001</v>
      </c>
      <c r="GN3" s="29"/>
      <c r="GP3" s="14">
        <v>46160</v>
      </c>
      <c r="GQ3" s="35">
        <v>86610</v>
      </c>
      <c r="GR3" s="4">
        <v>65</v>
      </c>
      <c r="GS3" s="4">
        <v>3229</v>
      </c>
      <c r="GT3" s="4">
        <v>0</v>
      </c>
      <c r="GU3" s="5">
        <v>3530</v>
      </c>
      <c r="GV3" s="4">
        <v>1</v>
      </c>
      <c r="GW3" s="4">
        <v>16</v>
      </c>
      <c r="GX3" s="4">
        <v>-1</v>
      </c>
      <c r="GY3" s="4">
        <v>7</v>
      </c>
      <c r="GZ3" s="2" t="s">
        <v>153</v>
      </c>
      <c r="HA3" s="4">
        <v>1000</v>
      </c>
      <c r="HB3" s="5">
        <v>-1000</v>
      </c>
      <c r="HC3" s="36">
        <v>-0.15384615384615385</v>
      </c>
      <c r="HD3" s="29"/>
      <c r="HF3" s="14">
        <v>46160</v>
      </c>
      <c r="HG3" s="35">
        <v>61652</v>
      </c>
      <c r="HH3" s="4">
        <v>35</v>
      </c>
      <c r="HI3" s="5"/>
      <c r="HJ3" s="29"/>
      <c r="HL3" s="14">
        <v>46160</v>
      </c>
      <c r="HM3" s="35">
        <v>45717</v>
      </c>
      <c r="HN3" s="4">
        <v>23</v>
      </c>
      <c r="HO3" s="5"/>
      <c r="HP3" s="29"/>
      <c r="HR3" s="14">
        <v>46160</v>
      </c>
      <c r="HS3" s="35">
        <v>43295</v>
      </c>
      <c r="HT3" s="4">
        <v>30</v>
      </c>
      <c r="HU3" s="5"/>
      <c r="HV3" s="29"/>
    </row>
    <row r="4" spans="1:230" x14ac:dyDescent="0.2">
      <c r="A4" s="14"/>
      <c r="B4" s="37"/>
      <c r="C4" s="4">
        <v>17670</v>
      </c>
      <c r="D4" s="5">
        <v>60</v>
      </c>
      <c r="E4" s="4">
        <v>545</v>
      </c>
      <c r="F4" s="5">
        <v>2</v>
      </c>
      <c r="G4" s="5">
        <v>5</v>
      </c>
      <c r="H4" s="5">
        <v>3</v>
      </c>
      <c r="I4" s="5">
        <v>5</v>
      </c>
      <c r="J4" s="2" t="s">
        <v>198</v>
      </c>
      <c r="K4" s="4">
        <v>1100</v>
      </c>
      <c r="L4" s="5">
        <v>3300</v>
      </c>
      <c r="M4" s="36">
        <v>0.55000000000000004</v>
      </c>
      <c r="N4" s="29"/>
      <c r="O4" s="30"/>
      <c r="P4" s="25"/>
      <c r="Q4" s="4">
        <v>11338</v>
      </c>
      <c r="R4" s="5">
        <v>101</v>
      </c>
      <c r="S4" s="4">
        <v>193</v>
      </c>
      <c r="T4" s="5">
        <v>3</v>
      </c>
      <c r="U4" s="5">
        <v>7</v>
      </c>
      <c r="V4" s="5">
        <v>3</v>
      </c>
      <c r="W4" s="5">
        <v>2</v>
      </c>
      <c r="X4" s="38" t="s">
        <v>144</v>
      </c>
      <c r="Y4" s="39">
        <v>825</v>
      </c>
      <c r="Z4" s="5">
        <v>2475</v>
      </c>
      <c r="AA4" s="36">
        <v>0.24504950495049505</v>
      </c>
      <c r="AB4" s="29"/>
      <c r="AD4" s="25"/>
      <c r="AE4" s="4">
        <v>2284</v>
      </c>
      <c r="AF4" s="5">
        <v>46</v>
      </c>
      <c r="AG4" s="4">
        <v>35</v>
      </c>
      <c r="AH4" s="5">
        <v>0</v>
      </c>
      <c r="AI4" s="5">
        <v>52</v>
      </c>
      <c r="AJ4" s="5">
        <v>0</v>
      </c>
      <c r="AK4" s="5">
        <v>0</v>
      </c>
      <c r="AL4" s="38" t="s">
        <v>13</v>
      </c>
      <c r="AM4" s="39">
        <v>292</v>
      </c>
      <c r="AN4" s="5">
        <v>0</v>
      </c>
      <c r="AO4" s="36">
        <v>0</v>
      </c>
      <c r="AP4" s="29"/>
      <c r="AR4" s="25"/>
      <c r="AS4" s="4">
        <v>1843</v>
      </c>
      <c r="AT4" s="5">
        <v>82</v>
      </c>
      <c r="AU4" s="4">
        <v>12</v>
      </c>
      <c r="AV4" s="5">
        <v>4</v>
      </c>
      <c r="AW4" s="5">
        <v>3</v>
      </c>
      <c r="AX4" s="5">
        <v>3</v>
      </c>
      <c r="AY4" s="5">
        <v>0</v>
      </c>
      <c r="AZ4" s="38" t="s">
        <v>115</v>
      </c>
      <c r="BA4" s="39">
        <v>770</v>
      </c>
      <c r="BB4" s="5">
        <v>2310</v>
      </c>
      <c r="BC4" s="36">
        <v>0.2817073170731707</v>
      </c>
      <c r="BD4" s="29"/>
      <c r="BE4" s="32"/>
      <c r="BF4" s="25"/>
      <c r="BG4" s="5">
        <v>5530</v>
      </c>
      <c r="BH4" s="5">
        <v>82</v>
      </c>
      <c r="BI4" s="4">
        <v>51</v>
      </c>
      <c r="BJ4" s="5">
        <v>1</v>
      </c>
      <c r="BK4" s="5">
        <v>3</v>
      </c>
      <c r="BL4" s="4">
        <v>0</v>
      </c>
      <c r="BM4" s="5">
        <v>0</v>
      </c>
      <c r="BN4" s="2" t="s">
        <v>129</v>
      </c>
      <c r="BO4" s="4">
        <v>1500</v>
      </c>
      <c r="BP4" s="5">
        <v>0</v>
      </c>
      <c r="BQ4" s="36">
        <v>0</v>
      </c>
      <c r="BR4" s="29"/>
      <c r="BT4" s="25"/>
      <c r="BU4" s="5">
        <v>32168</v>
      </c>
      <c r="BV4" s="5">
        <v>40</v>
      </c>
      <c r="BW4" s="4">
        <v>1696</v>
      </c>
      <c r="BX4" s="5">
        <v>1</v>
      </c>
      <c r="BY4" s="5">
        <v>34</v>
      </c>
      <c r="BZ4" s="4">
        <v>1</v>
      </c>
      <c r="CA4" s="5">
        <v>0</v>
      </c>
      <c r="CB4" s="2" t="s">
        <v>123</v>
      </c>
      <c r="CC4" s="4">
        <v>950</v>
      </c>
      <c r="CD4" s="5">
        <v>950</v>
      </c>
      <c r="CE4" s="36">
        <v>0.23749999999999999</v>
      </c>
      <c r="CF4" s="29"/>
      <c r="CH4" s="40">
        <f>IF($A7="","",$A7)</f>
        <v>46165</v>
      </c>
      <c r="CI4" s="35">
        <v>32130</v>
      </c>
      <c r="CJ4" s="5">
        <f t="shared" ref="CJ4" si="0">IF(CI4="","",CI4-CI3)</f>
        <v>78</v>
      </c>
      <c r="CK4" s="5">
        <v>548</v>
      </c>
      <c r="CL4" s="5">
        <f t="shared" ref="CL4" si="1">IF(CK4="","",CK4-CK3)</f>
        <v>3</v>
      </c>
      <c r="CM4" s="5">
        <v>39</v>
      </c>
      <c r="CN4" s="5">
        <f t="shared" ref="CN4" si="2">IF(CM4="","",CM3+CO3-CM4)</f>
        <v>3</v>
      </c>
      <c r="CO4" s="5">
        <v>4</v>
      </c>
      <c r="CP4" s="2" t="str">
        <f t="shared" ref="CP4" si="3">IF(CI4="","",CP3)</f>
        <v>サンリオマスコットポーチ</v>
      </c>
      <c r="CQ4" s="4">
        <f t="shared" ref="CQ4" si="4">IF(CI4="","",CQ3)</f>
        <v>880</v>
      </c>
      <c r="CR4" s="5">
        <f t="shared" ref="CR4" si="5">IF(CQ4="","",CN4*CQ4)</f>
        <v>2640</v>
      </c>
      <c r="CS4" s="36">
        <f t="shared" ref="CS4" si="6">IF(CR4="","",CR4/(CJ4*100))</f>
        <v>0.33846153846153848</v>
      </c>
      <c r="CT4" s="63"/>
      <c r="CV4" s="40">
        <f>IF($A7="","",$A7)</f>
        <v>46165</v>
      </c>
      <c r="CW4" s="35">
        <v>52386</v>
      </c>
      <c r="CX4" s="5">
        <f t="shared" ref="CX4:CX12" si="7">IF(CW4="","",CW4-CW3)</f>
        <v>18</v>
      </c>
      <c r="CY4" s="5">
        <v>3292</v>
      </c>
      <c r="CZ4" s="5">
        <f t="shared" ref="CZ4:CZ12" si="8">IF(CY4="","",CY4-CY3)</f>
        <v>1</v>
      </c>
      <c r="DA4" s="5">
        <v>18</v>
      </c>
      <c r="DB4" s="5">
        <f t="shared" ref="DB4:DB12" si="9">IF(DA4="","",DA3+DC3-DA4)</f>
        <v>1</v>
      </c>
      <c r="DC4" s="5">
        <v>0</v>
      </c>
      <c r="DD4" s="2" t="str">
        <f t="shared" ref="DD4:DD12" si="10">IF(CW4="","",DD3)</f>
        <v>サミュエル</v>
      </c>
      <c r="DE4" s="4">
        <f t="shared" ref="DE4:DE12" si="11">IF(CW4="","",DE3)</f>
        <v>880</v>
      </c>
      <c r="DF4" s="5">
        <f t="shared" ref="DF4:DF12" si="12">IF(DE4="","",DB4*DE4)</f>
        <v>880</v>
      </c>
      <c r="DG4" s="36">
        <f t="shared" ref="DG4:DG12" si="13">IF(DF4="","",DF4/(CX4*100))</f>
        <v>0.48888888888888887</v>
      </c>
      <c r="DH4" s="63"/>
      <c r="DJ4" s="40">
        <f>IF($A7="","",$A7)</f>
        <v>46165</v>
      </c>
      <c r="DK4" s="35">
        <v>18205</v>
      </c>
      <c r="DL4" s="5">
        <f t="shared" ref="DL4:DL12" si="14">IF(DK4="","",DK4-DK3)</f>
        <v>39</v>
      </c>
      <c r="DM4" s="5">
        <v>386</v>
      </c>
      <c r="DN4" s="5">
        <f t="shared" ref="DN4:DN12" si="15">IF(DM4="","",DM4-DM3)</f>
        <v>5</v>
      </c>
      <c r="DO4" s="5">
        <v>23</v>
      </c>
      <c r="DP4" s="5">
        <f t="shared" ref="DP4:DP12" si="16">IF(DO4="","",DO3+DQ3-DO4)</f>
        <v>5</v>
      </c>
      <c r="DQ4" s="5">
        <v>13</v>
      </c>
      <c r="DR4" s="2" t="str">
        <f t="shared" ref="DR4:DR12" si="17">IF(DK4="","",DR3)</f>
        <v>お尻プニプニシール</v>
      </c>
      <c r="DS4" s="4">
        <f t="shared" ref="DS4:DS12" si="18">IF(DK4="","",DS3)</f>
        <v>220</v>
      </c>
      <c r="DT4" s="5">
        <f t="shared" ref="DT4:DT12" si="19">IF(DS4="","",DP4*DS4)</f>
        <v>1100</v>
      </c>
      <c r="DU4" s="36">
        <f t="shared" ref="DU4:DU12" si="20">IF(DT4="","",DT4/(DL4*100))</f>
        <v>0.28205128205128205</v>
      </c>
      <c r="DV4" s="63"/>
      <c r="DX4" s="40">
        <f>IF($A7="","",$A7)</f>
        <v>46165</v>
      </c>
      <c r="DY4" s="35">
        <v>17719</v>
      </c>
      <c r="DZ4" s="5">
        <f t="shared" ref="DZ4:DZ12" si="21">IF(DY4="","",DY4-DY3)</f>
        <v>275</v>
      </c>
      <c r="EA4" s="5">
        <v>166</v>
      </c>
      <c r="EB4" s="5">
        <f t="shared" ref="EB4:EB12" si="22">IF(EA4="","",EA4-EA3)</f>
        <v>7</v>
      </c>
      <c r="EC4" s="5">
        <v>17</v>
      </c>
      <c r="ED4" s="5">
        <f t="shared" ref="ED4:ED12" si="23">IF(EC4="","",EC3+EE3-EC4)</f>
        <v>8</v>
      </c>
      <c r="EE4" s="5">
        <v>6</v>
      </c>
      <c r="EF4" s="2" t="str">
        <f t="shared" ref="EF4:EF12" si="24">IF(DY4="","",EF3)</f>
        <v>ボンボンドロップシール</v>
      </c>
      <c r="EG4" s="4">
        <f t="shared" ref="EG4:EG12" si="25">IF(DY4="","",EG3)</f>
        <v>1500</v>
      </c>
      <c r="EH4" s="5">
        <f t="shared" ref="EH4:EH12" si="26">IF(EG4="","",ED4*EG4)</f>
        <v>12000</v>
      </c>
      <c r="EI4" s="36">
        <f t="shared" ref="EI4:EI12" si="27">IF(EH4="","",EH4/(DZ4*100))</f>
        <v>0.43636363636363634</v>
      </c>
      <c r="EJ4" s="63"/>
      <c r="EL4" s="40">
        <f>IF($A7="","",$A7)</f>
        <v>46165</v>
      </c>
      <c r="EM4" s="35">
        <v>1715</v>
      </c>
      <c r="EN4" s="5">
        <f t="shared" ref="EN4:EN12" si="28">IF(EM4="","",EM4-EM3)</f>
        <v>42</v>
      </c>
      <c r="EO4" s="5">
        <v>1095</v>
      </c>
      <c r="EP4" s="5">
        <f t="shared" ref="EP4:EP12" si="29">IF(EO4="","",EO4-EO3)</f>
        <v>2</v>
      </c>
      <c r="EQ4" s="5">
        <v>51</v>
      </c>
      <c r="ER4" s="5">
        <f t="shared" ref="ER4:ER12" si="30">IF(EQ4="","",EQ3+ES3-EQ4)</f>
        <v>0</v>
      </c>
      <c r="ES4" s="5">
        <v>10</v>
      </c>
      <c r="ET4" s="2" t="str">
        <f t="shared" ref="ET4:ET12" si="31">IF(EM4="","",ET3)</f>
        <v>ケース入バタースクイーズ</v>
      </c>
      <c r="EU4" s="4">
        <f t="shared" ref="EU4:EU12" si="32">IF(EM4="","",EU3)</f>
        <v>286</v>
      </c>
      <c r="EV4" s="5">
        <f t="shared" ref="EV4:EV12" si="33">IF(EU4="","",ER4*EU4)</f>
        <v>0</v>
      </c>
      <c r="EW4" s="36">
        <f t="shared" ref="EW4:EW12" si="34">IF(EV4="","",EV4/(EN4*100))</f>
        <v>0</v>
      </c>
      <c r="EX4" s="63"/>
      <c r="EZ4" s="40">
        <f>IF($A7="","",$A7)</f>
        <v>46165</v>
      </c>
      <c r="FA4" s="35">
        <v>1009</v>
      </c>
      <c r="FB4" s="5">
        <f t="shared" ref="FB4:FB12" si="35">IF(FA4="","",FA4-FA3)</f>
        <v>35</v>
      </c>
      <c r="FC4" s="5">
        <v>98</v>
      </c>
      <c r="FD4" s="5">
        <f t="shared" ref="FD4:FD12" si="36">IF(FC4="","",FC4-FC3)</f>
        <v>5</v>
      </c>
      <c r="FE4" s="5">
        <v>61</v>
      </c>
      <c r="FF4" s="5">
        <f t="shared" ref="FF4:FF12" si="37">IF(FE4="","",FE3+FG3-FE4)</f>
        <v>5</v>
      </c>
      <c r="FG4" s="5"/>
      <c r="FH4" s="2" t="str">
        <f t="shared" ref="FH4:FH12" si="38">IF(FA4="","",FH3)</f>
        <v>ドーナツスクイーズ</v>
      </c>
      <c r="FI4" s="4">
        <f t="shared" ref="FI4:FI12" si="39">IF(FA4="","",FI3)</f>
        <v>300</v>
      </c>
      <c r="FJ4" s="5">
        <f t="shared" ref="FJ4:FJ12" si="40">IF(FI4="","",FF4*FI4)</f>
        <v>1500</v>
      </c>
      <c r="FK4" s="36">
        <f t="shared" ref="FK4:FK12" si="41">IF(FJ4="","",FJ4/(FB4*100))</f>
        <v>0.42857142857142855</v>
      </c>
      <c r="FL4" s="63"/>
      <c r="FN4" s="40">
        <f>IF($A7="","",$A7)</f>
        <v>46165</v>
      </c>
      <c r="FO4" s="35">
        <v>1372</v>
      </c>
      <c r="FP4" s="5">
        <f t="shared" ref="FP4:FP12" si="42">IF(FO4="","",FO4-FO3)</f>
        <v>104</v>
      </c>
      <c r="FQ4" s="5">
        <v>102</v>
      </c>
      <c r="FR4" s="5">
        <f t="shared" ref="FR4:FR12" si="43">IF(FQ4="","",FQ4-FQ3)</f>
        <v>4</v>
      </c>
      <c r="FS4" s="5">
        <v>32</v>
      </c>
      <c r="FT4" s="5">
        <f t="shared" ref="FT4:FT12" si="44">IF(FS4="","",FS3+FU3-FS4)</f>
        <v>4</v>
      </c>
      <c r="FU4" s="5">
        <v>0</v>
      </c>
      <c r="FV4" s="2" t="str">
        <f t="shared" ref="FV4:FV12" si="45">IF(FO4="","",FV3)</f>
        <v>カラビナ付きぬいぐるみファスナーマスコット</v>
      </c>
      <c r="FW4" s="4">
        <f t="shared" ref="FW4:FW12" si="46">IF(FO4="","",FW3)</f>
        <v>660</v>
      </c>
      <c r="FX4" s="5">
        <f t="shared" ref="FX4:FX12" si="47">IF(FW4="","",FT4*FW4)</f>
        <v>2640</v>
      </c>
      <c r="FY4" s="36">
        <f t="shared" ref="FY4:FY12" si="48">IF(FX4="","",FX4/(FP4*100))</f>
        <v>0.25384615384615383</v>
      </c>
      <c r="FZ4" s="63"/>
      <c r="GB4" s="40">
        <f>IF($A7="","",$A7)</f>
        <v>46165</v>
      </c>
      <c r="GC4" s="35">
        <v>957</v>
      </c>
      <c r="GD4" s="5">
        <f t="shared" ref="GD4:GD12" si="49">IF(GC4="","",GC4-GC3)</f>
        <v>22</v>
      </c>
      <c r="GE4" s="5">
        <v>112</v>
      </c>
      <c r="GF4" s="5">
        <f t="shared" ref="GF4:GF12" si="50">IF(GE4="","",GE4-GE3)</f>
        <v>6</v>
      </c>
      <c r="GG4" s="5">
        <v>50</v>
      </c>
      <c r="GH4" s="5">
        <f t="shared" ref="GH4:GH12" si="51">IF(GG4="","",GG3+GI3-GG4)</f>
        <v>6</v>
      </c>
      <c r="GI4" s="5">
        <v>28</v>
      </c>
      <c r="GJ4" s="2" t="str">
        <f t="shared" ref="GJ4:GJ12" si="52">IF(GC4="","",GJ3)</f>
        <v>忍者めし鋼</v>
      </c>
      <c r="GK4" s="4">
        <f t="shared" ref="GK4:GK12" si="53">IF(GC4="","",GK3)</f>
        <v>220</v>
      </c>
      <c r="GL4" s="5">
        <f t="shared" ref="GL4:GL12" si="54">IF(GK4="","",GH4*GK4)</f>
        <v>1320</v>
      </c>
      <c r="GM4" s="36">
        <f t="shared" ref="GM4:GM12" si="55">IF(GL4="","",GL4/(GD4*100))</f>
        <v>0.6</v>
      </c>
      <c r="GN4" s="63" t="s">
        <v>369</v>
      </c>
      <c r="GP4" s="40">
        <f>IF($A7="","",$A7)</f>
        <v>46165</v>
      </c>
      <c r="GQ4" s="35">
        <v>86683</v>
      </c>
      <c r="GR4" s="5">
        <f t="shared" ref="GR4:GR12" si="56">IF(GQ4="","",GQ4-GQ3)</f>
        <v>73</v>
      </c>
      <c r="GS4" s="5">
        <v>3229</v>
      </c>
      <c r="GT4" s="5">
        <f t="shared" ref="GT4:GT12" si="57">IF(GS4="","",GS4-GS3)</f>
        <v>0</v>
      </c>
      <c r="GU4" s="5">
        <v>3531</v>
      </c>
      <c r="GV4" s="5">
        <f t="shared" ref="GV4:GV5" si="58">IF(GU4="","",GU4-GU3)</f>
        <v>1</v>
      </c>
      <c r="GW4" s="5">
        <v>21</v>
      </c>
      <c r="GX4" s="5">
        <f t="shared" ref="GX4:GX5" si="59">IF(GW4="","",GW3+GY3-GW4)</f>
        <v>2</v>
      </c>
      <c r="GY4" s="5"/>
      <c r="GZ4" s="2" t="str">
        <f t="shared" ref="GZ4" si="60">IF(GS4="","",GZ3)</f>
        <v>サンリオ毛布</v>
      </c>
      <c r="HA4" s="4">
        <f t="shared" ref="HA4" si="61">IF(GQ4="","",HA3)</f>
        <v>1000</v>
      </c>
      <c r="HB4" s="5">
        <f t="shared" ref="HB4" si="62">IF(HA4="","",GX4*HA4)</f>
        <v>2000</v>
      </c>
      <c r="HC4" s="36">
        <f t="shared" ref="HC4" si="63">IF(HB4="","",HB4/(GR4*100))</f>
        <v>0.27397260273972601</v>
      </c>
      <c r="HD4" s="63"/>
      <c r="HF4" s="40">
        <f>IF($A7="","",$A7)</f>
        <v>46165</v>
      </c>
      <c r="HG4" s="35">
        <v>61667</v>
      </c>
      <c r="HH4" s="5">
        <f t="shared" ref="HH4" si="64">IF(HG4="","",HG4-HG3)</f>
        <v>15</v>
      </c>
      <c r="HI4" s="5"/>
      <c r="HJ4" s="63"/>
      <c r="HL4" s="40">
        <f>IF($A7="","",$A7)</f>
        <v>46165</v>
      </c>
      <c r="HM4" s="35">
        <v>45736</v>
      </c>
      <c r="HN4" s="5">
        <f t="shared" ref="HN4" si="65">IF(HM4="","",HM4-HM3)</f>
        <v>19</v>
      </c>
      <c r="HO4" s="5"/>
      <c r="HP4" s="63"/>
      <c r="HR4" s="40">
        <f>IF($A7="","",$A7)</f>
        <v>46165</v>
      </c>
      <c r="HS4" s="35">
        <v>43322</v>
      </c>
      <c r="HT4" s="5">
        <f t="shared" ref="HT4" si="66">IF(HS4="","",HS4-HS3)</f>
        <v>27</v>
      </c>
      <c r="HU4" s="5"/>
      <c r="HV4" s="63"/>
    </row>
    <row r="5" spans="1:230" x14ac:dyDescent="0.2">
      <c r="A5" s="25"/>
      <c r="B5" s="37"/>
      <c r="C5" s="4">
        <v>19277</v>
      </c>
      <c r="D5" s="5">
        <v>74</v>
      </c>
      <c r="E5" s="4">
        <v>663</v>
      </c>
      <c r="F5" s="5">
        <v>2</v>
      </c>
      <c r="G5" s="5">
        <v>7</v>
      </c>
      <c r="H5" s="5">
        <v>2</v>
      </c>
      <c r="I5" s="5">
        <v>3</v>
      </c>
      <c r="J5" s="3" t="s">
        <v>177</v>
      </c>
      <c r="K5" s="39">
        <v>600</v>
      </c>
      <c r="L5" s="5">
        <v>1200</v>
      </c>
      <c r="M5" s="36">
        <v>0.16216216216216217</v>
      </c>
      <c r="N5" s="29"/>
      <c r="O5" s="30"/>
      <c r="P5" s="25"/>
      <c r="Q5" s="4">
        <v>10897</v>
      </c>
      <c r="R5" s="5">
        <v>48</v>
      </c>
      <c r="S5" s="4">
        <v>291</v>
      </c>
      <c r="T5" s="5">
        <v>2</v>
      </c>
      <c r="U5" s="5">
        <v>11</v>
      </c>
      <c r="V5" s="5">
        <v>2</v>
      </c>
      <c r="W5" s="5">
        <v>0</v>
      </c>
      <c r="X5" s="38" t="s">
        <v>222</v>
      </c>
      <c r="Y5" s="39">
        <v>181</v>
      </c>
      <c r="Z5" s="5">
        <v>362</v>
      </c>
      <c r="AA5" s="36">
        <v>7.5416666666666674E-2</v>
      </c>
      <c r="AB5" s="29"/>
      <c r="AD5" s="25"/>
      <c r="AE5" s="4">
        <v>1986</v>
      </c>
      <c r="AF5" s="5">
        <v>62</v>
      </c>
      <c r="AG5" s="4">
        <v>39</v>
      </c>
      <c r="AH5" s="5">
        <v>0</v>
      </c>
      <c r="AI5" s="5">
        <v>18</v>
      </c>
      <c r="AJ5" s="5">
        <v>0</v>
      </c>
      <c r="AK5" s="5">
        <v>0</v>
      </c>
      <c r="AL5" s="38" t="s">
        <v>120</v>
      </c>
      <c r="AM5" s="39">
        <v>1430</v>
      </c>
      <c r="AN5" s="5">
        <v>0</v>
      </c>
      <c r="AO5" s="36">
        <v>0</v>
      </c>
      <c r="AP5" s="29"/>
      <c r="AR5" s="25"/>
      <c r="AS5" s="4">
        <v>1386</v>
      </c>
      <c r="AT5" s="5">
        <v>32</v>
      </c>
      <c r="AU5" s="4">
        <v>34</v>
      </c>
      <c r="AV5" s="5">
        <v>3</v>
      </c>
      <c r="AW5" s="5">
        <v>19</v>
      </c>
      <c r="AX5" s="5">
        <v>5</v>
      </c>
      <c r="AY5" s="5">
        <v>0</v>
      </c>
      <c r="AZ5" s="38" t="s">
        <v>219</v>
      </c>
      <c r="BA5" s="39">
        <v>0</v>
      </c>
      <c r="BB5" s="5">
        <v>0</v>
      </c>
      <c r="BC5" s="36">
        <v>0</v>
      </c>
      <c r="BD5" s="29"/>
      <c r="BE5" s="32"/>
      <c r="BF5" s="25"/>
      <c r="BG5" s="5">
        <v>3227</v>
      </c>
      <c r="BH5" s="5">
        <v>67</v>
      </c>
      <c r="BI5" s="5">
        <v>29</v>
      </c>
      <c r="BJ5" s="5">
        <v>0</v>
      </c>
      <c r="BK5" s="5">
        <v>3</v>
      </c>
      <c r="BL5" s="4">
        <v>0</v>
      </c>
      <c r="BM5" s="5">
        <v>0</v>
      </c>
      <c r="BN5" s="2" t="s">
        <v>129</v>
      </c>
      <c r="BO5" s="4">
        <v>1500</v>
      </c>
      <c r="BP5" s="5">
        <v>0</v>
      </c>
      <c r="BQ5" s="36">
        <v>0</v>
      </c>
      <c r="BR5" s="29"/>
      <c r="BT5" s="25"/>
      <c r="BU5" s="5"/>
      <c r="BV5" s="5" t="s">
        <v>147</v>
      </c>
      <c r="BW5" s="5"/>
      <c r="BX5" s="5" t="s">
        <v>147</v>
      </c>
      <c r="BY5" s="5"/>
      <c r="BZ5" s="4" t="s">
        <v>147</v>
      </c>
      <c r="CA5" s="5"/>
      <c r="CB5" s="3" t="s">
        <v>147</v>
      </c>
      <c r="CC5" s="5" t="s">
        <v>147</v>
      </c>
      <c r="CD5" s="5" t="s">
        <v>147</v>
      </c>
      <c r="CE5" s="36" t="s">
        <v>147</v>
      </c>
      <c r="CF5" s="29"/>
      <c r="CH5" s="40">
        <f>IF($A11="","",$A11)</f>
        <v>46167</v>
      </c>
      <c r="CI5" s="35">
        <v>32304</v>
      </c>
      <c r="CJ5" s="5">
        <f t="shared" ref="CJ4:CJ16" si="67">IF(CI5="","",CI5-CI4)</f>
        <v>174</v>
      </c>
      <c r="CK5" s="5">
        <v>550</v>
      </c>
      <c r="CL5" s="5">
        <f t="shared" ref="CL4:CL16" si="68">IF(CK5="","",CK5-CK4)</f>
        <v>2</v>
      </c>
      <c r="CM5" s="4">
        <v>41</v>
      </c>
      <c r="CN5" s="5">
        <f t="shared" ref="CN4:CN16" si="69">IF(CM5="","",CM4+CO4-CM5)</f>
        <v>2</v>
      </c>
      <c r="CO5" s="4">
        <v>3</v>
      </c>
      <c r="CP5" s="2" t="str">
        <f t="shared" ref="CP4:CP22" si="70">IF(CI5="","",CP4)</f>
        <v>サンリオマスコットポーチ</v>
      </c>
      <c r="CQ5" s="4">
        <f t="shared" ref="CQ4:CQ16" si="71">IF(CI5="","",CQ4)</f>
        <v>880</v>
      </c>
      <c r="CR5" s="5">
        <f t="shared" ref="CR4:CR16" si="72">IF(CQ5="","",CN5*CQ5)</f>
        <v>1760</v>
      </c>
      <c r="CS5" s="36">
        <f t="shared" ref="CS4:CS15" si="73">IF(CR5="","",CR5/(CJ5*100))</f>
        <v>0.10114942528735632</v>
      </c>
      <c r="CT5" s="29"/>
      <c r="CV5" s="40">
        <f>IF($A11="","",$A11)</f>
        <v>46167</v>
      </c>
      <c r="CW5" s="35">
        <v>52400</v>
      </c>
      <c r="CX5" s="5">
        <f t="shared" si="7"/>
        <v>14</v>
      </c>
      <c r="CY5" s="5">
        <v>3293</v>
      </c>
      <c r="CZ5" s="5">
        <f t="shared" si="8"/>
        <v>1</v>
      </c>
      <c r="DA5" s="4">
        <v>17</v>
      </c>
      <c r="DB5" s="5">
        <f t="shared" si="9"/>
        <v>1</v>
      </c>
      <c r="DC5" s="4">
        <v>0</v>
      </c>
      <c r="DD5" s="2" t="str">
        <f t="shared" si="10"/>
        <v>サミュエル</v>
      </c>
      <c r="DE5" s="4">
        <f t="shared" si="11"/>
        <v>880</v>
      </c>
      <c r="DF5" s="5">
        <f t="shared" si="12"/>
        <v>880</v>
      </c>
      <c r="DG5" s="36">
        <f t="shared" si="13"/>
        <v>0.62857142857142856</v>
      </c>
      <c r="DH5" s="29"/>
      <c r="DJ5" s="40">
        <f>IF($A11="","",$A11)</f>
        <v>46167</v>
      </c>
      <c r="DK5" s="35">
        <v>18247</v>
      </c>
      <c r="DL5" s="5">
        <f t="shared" si="14"/>
        <v>42</v>
      </c>
      <c r="DM5" s="5">
        <v>392</v>
      </c>
      <c r="DN5" s="5">
        <f t="shared" si="15"/>
        <v>6</v>
      </c>
      <c r="DO5" s="4">
        <v>30</v>
      </c>
      <c r="DP5" s="5">
        <f t="shared" si="16"/>
        <v>6</v>
      </c>
      <c r="DQ5" s="4">
        <v>4</v>
      </c>
      <c r="DR5" s="2" t="str">
        <f t="shared" si="17"/>
        <v>お尻プニプニシール</v>
      </c>
      <c r="DS5" s="4">
        <f t="shared" si="18"/>
        <v>220</v>
      </c>
      <c r="DT5" s="5">
        <f t="shared" si="19"/>
        <v>1320</v>
      </c>
      <c r="DU5" s="36">
        <f t="shared" si="20"/>
        <v>0.31428571428571428</v>
      </c>
      <c r="DV5" s="29"/>
      <c r="DX5" s="40">
        <f>IF($A11="","",$A11)</f>
        <v>46167</v>
      </c>
      <c r="DY5" s="35">
        <v>17900</v>
      </c>
      <c r="DZ5" s="5">
        <f t="shared" si="21"/>
        <v>181</v>
      </c>
      <c r="EA5" s="5">
        <v>170</v>
      </c>
      <c r="EB5" s="5">
        <f t="shared" si="22"/>
        <v>4</v>
      </c>
      <c r="EC5" s="4">
        <v>19</v>
      </c>
      <c r="ED5" s="5">
        <f t="shared" si="23"/>
        <v>4</v>
      </c>
      <c r="EE5" s="4">
        <v>6</v>
      </c>
      <c r="EF5" s="2" t="str">
        <f t="shared" si="24"/>
        <v>ボンボンドロップシール</v>
      </c>
      <c r="EG5" s="4">
        <f t="shared" si="25"/>
        <v>1500</v>
      </c>
      <c r="EH5" s="5">
        <f t="shared" si="26"/>
        <v>6000</v>
      </c>
      <c r="EI5" s="36">
        <f t="shared" si="27"/>
        <v>0.33149171270718231</v>
      </c>
      <c r="EJ5" s="29"/>
      <c r="EL5" s="40">
        <f>IF($A11="","",$A11)</f>
        <v>46167</v>
      </c>
      <c r="EM5" s="35">
        <v>1755</v>
      </c>
      <c r="EN5" s="5">
        <f t="shared" si="28"/>
        <v>40</v>
      </c>
      <c r="EO5" s="5">
        <v>1096</v>
      </c>
      <c r="EP5" s="5">
        <f t="shared" si="29"/>
        <v>1</v>
      </c>
      <c r="EQ5" s="4">
        <v>60</v>
      </c>
      <c r="ER5" s="5">
        <f t="shared" si="30"/>
        <v>1</v>
      </c>
      <c r="ES5" s="4">
        <v>3</v>
      </c>
      <c r="ET5" s="2" t="str">
        <f t="shared" si="31"/>
        <v>ケース入バタースクイーズ</v>
      </c>
      <c r="EU5" s="4">
        <f t="shared" si="32"/>
        <v>286</v>
      </c>
      <c r="EV5" s="5">
        <f t="shared" si="33"/>
        <v>286</v>
      </c>
      <c r="EW5" s="36">
        <f t="shared" si="34"/>
        <v>7.1499999999999994E-2</v>
      </c>
      <c r="EX5" s="29"/>
      <c r="EZ5" s="40">
        <f>IF($A11="","",$A11)</f>
        <v>46167</v>
      </c>
      <c r="FA5" s="35">
        <v>1028</v>
      </c>
      <c r="FB5" s="5">
        <f t="shared" si="35"/>
        <v>19</v>
      </c>
      <c r="FC5" s="5">
        <v>100</v>
      </c>
      <c r="FD5" s="5">
        <f t="shared" si="36"/>
        <v>2</v>
      </c>
      <c r="FE5" s="4">
        <v>59</v>
      </c>
      <c r="FF5" s="5">
        <f t="shared" si="37"/>
        <v>2</v>
      </c>
      <c r="FG5" s="4">
        <v>16</v>
      </c>
      <c r="FH5" s="2" t="str">
        <f t="shared" si="38"/>
        <v>ドーナツスクイーズ</v>
      </c>
      <c r="FI5" s="4">
        <f t="shared" si="39"/>
        <v>300</v>
      </c>
      <c r="FJ5" s="5">
        <f t="shared" si="40"/>
        <v>600</v>
      </c>
      <c r="FK5" s="36">
        <f t="shared" si="41"/>
        <v>0.31578947368421051</v>
      </c>
      <c r="FL5" s="29"/>
      <c r="FN5" s="40">
        <f>IF($A11="","",$A11)</f>
        <v>46167</v>
      </c>
      <c r="FO5" s="35">
        <v>1437</v>
      </c>
      <c r="FP5" s="5">
        <f t="shared" si="42"/>
        <v>65</v>
      </c>
      <c r="FQ5" s="5">
        <v>104</v>
      </c>
      <c r="FR5" s="5">
        <f t="shared" si="43"/>
        <v>2</v>
      </c>
      <c r="FS5" s="4">
        <v>30</v>
      </c>
      <c r="FT5" s="5">
        <f t="shared" si="44"/>
        <v>2</v>
      </c>
      <c r="FU5" s="4">
        <v>0</v>
      </c>
      <c r="FV5" s="2" t="str">
        <f t="shared" si="45"/>
        <v>カラビナ付きぬいぐるみファスナーマスコット</v>
      </c>
      <c r="FW5" s="4">
        <f t="shared" si="46"/>
        <v>660</v>
      </c>
      <c r="FX5" s="5">
        <f t="shared" si="47"/>
        <v>1320</v>
      </c>
      <c r="FY5" s="36">
        <f t="shared" si="48"/>
        <v>0.20307692307692307</v>
      </c>
      <c r="FZ5" s="29"/>
      <c r="GB5" s="40">
        <f>IF($A11="","",$A11)</f>
        <v>46167</v>
      </c>
      <c r="GC5" s="35">
        <v>980</v>
      </c>
      <c r="GD5" s="5">
        <f t="shared" si="49"/>
        <v>23</v>
      </c>
      <c r="GE5" s="5">
        <v>113</v>
      </c>
      <c r="GF5" s="5">
        <f t="shared" si="50"/>
        <v>1</v>
      </c>
      <c r="GG5" s="4">
        <v>78</v>
      </c>
      <c r="GH5" s="5">
        <f t="shared" si="51"/>
        <v>0</v>
      </c>
      <c r="GI5" s="4">
        <v>10</v>
      </c>
      <c r="GJ5" s="2" t="str">
        <f t="shared" si="52"/>
        <v>忍者めし鋼</v>
      </c>
      <c r="GK5" s="4">
        <f t="shared" si="53"/>
        <v>220</v>
      </c>
      <c r="GL5" s="5">
        <f t="shared" si="54"/>
        <v>0</v>
      </c>
      <c r="GM5" s="36">
        <f t="shared" si="55"/>
        <v>0</v>
      </c>
      <c r="GN5" s="29"/>
      <c r="GP5" s="40">
        <f>IF($A11="","",$A11)</f>
        <v>46167</v>
      </c>
      <c r="GQ5" s="35">
        <v>86742</v>
      </c>
      <c r="GR5" s="5">
        <f t="shared" si="56"/>
        <v>59</v>
      </c>
      <c r="GS5" s="5">
        <v>3229</v>
      </c>
      <c r="GT5" s="5">
        <f t="shared" si="57"/>
        <v>0</v>
      </c>
      <c r="GU5" s="4">
        <v>3533</v>
      </c>
      <c r="GV5" s="5">
        <f t="shared" si="58"/>
        <v>2</v>
      </c>
      <c r="GW5" s="4">
        <v>20</v>
      </c>
      <c r="GX5" s="5">
        <f t="shared" si="59"/>
        <v>1</v>
      </c>
      <c r="GY5" s="4">
        <v>9</v>
      </c>
      <c r="GZ5" s="2" t="str">
        <f t="shared" ref="GZ5:GZ29" si="74">IF(GS5="","",GZ4)</f>
        <v>サンリオ毛布</v>
      </c>
      <c r="HA5" s="4">
        <f t="shared" ref="HA5:HA29" si="75">IF(GQ5="","",HA4)</f>
        <v>1000</v>
      </c>
      <c r="HB5" s="5">
        <f t="shared" ref="HB5:HB29" si="76">IF(HA5="","",GX5*HA5)</f>
        <v>1000</v>
      </c>
      <c r="HC5" s="36">
        <f t="shared" ref="HC5:HC29" si="77">IF(HB5="","",HB5/(GR5*100))</f>
        <v>0.16949152542372881</v>
      </c>
      <c r="HD5" s="29" t="s">
        <v>374</v>
      </c>
      <c r="HF5" s="40">
        <f>IF($A11="","",$A11)</f>
        <v>46167</v>
      </c>
      <c r="HG5" s="35">
        <v>61683</v>
      </c>
      <c r="HH5" s="5">
        <f t="shared" ref="HH4:HH16" si="78">IF(HG5="","",HG5-HG4)</f>
        <v>16</v>
      </c>
      <c r="HI5" s="5"/>
      <c r="HJ5" s="29"/>
      <c r="HL5" s="40">
        <f>IF($A11="","",$A11)</f>
        <v>46167</v>
      </c>
      <c r="HM5" s="35">
        <v>45760</v>
      </c>
      <c r="HN5" s="5">
        <f t="shared" ref="HN4:HN16" si="79">IF(HM5="","",HM5-HM4)</f>
        <v>24</v>
      </c>
      <c r="HO5" s="5"/>
      <c r="HP5" s="29"/>
      <c r="HR5" s="40">
        <f>IF($A11="","",$A11)</f>
        <v>46167</v>
      </c>
      <c r="HS5" s="35">
        <v>43354</v>
      </c>
      <c r="HT5" s="5">
        <f t="shared" ref="HT4:HT16" si="80">IF(HS5="","",HS5-HS4)</f>
        <v>32</v>
      </c>
      <c r="HU5" s="5"/>
      <c r="HV5" s="29"/>
    </row>
    <row r="6" spans="1:230" ht="15" customHeight="1" thickBot="1" x14ac:dyDescent="0.25">
      <c r="A6" s="41"/>
      <c r="B6" s="42"/>
      <c r="C6" s="43">
        <v>23685</v>
      </c>
      <c r="D6" s="43">
        <v>62</v>
      </c>
      <c r="E6" s="43">
        <v>1185</v>
      </c>
      <c r="F6" s="44">
        <v>1</v>
      </c>
      <c r="G6" s="44">
        <v>24</v>
      </c>
      <c r="H6" s="44">
        <v>2</v>
      </c>
      <c r="I6" s="44">
        <v>0</v>
      </c>
      <c r="J6" s="45" t="s">
        <v>225</v>
      </c>
      <c r="K6" s="44">
        <v>99</v>
      </c>
      <c r="L6" s="44">
        <v>198</v>
      </c>
      <c r="M6" s="46">
        <v>3.1935483870967743E-2</v>
      </c>
      <c r="N6" s="29"/>
      <c r="O6" s="30"/>
      <c r="P6" s="41"/>
      <c r="Q6" s="43">
        <v>9555</v>
      </c>
      <c r="R6" s="43">
        <v>121</v>
      </c>
      <c r="S6" s="43">
        <v>228</v>
      </c>
      <c r="T6" s="44">
        <v>2</v>
      </c>
      <c r="U6" s="44">
        <v>0</v>
      </c>
      <c r="V6" s="44">
        <v>2</v>
      </c>
      <c r="W6" s="44">
        <v>2</v>
      </c>
      <c r="X6" s="47" t="s">
        <v>359</v>
      </c>
      <c r="Y6" s="44">
        <v>200</v>
      </c>
      <c r="Z6" s="44">
        <v>400</v>
      </c>
      <c r="AA6" s="46">
        <v>3.3057851239669422E-2</v>
      </c>
      <c r="AB6" s="29"/>
      <c r="AD6" s="41"/>
      <c r="AE6" s="43">
        <v>201</v>
      </c>
      <c r="AF6" s="43">
        <v>33</v>
      </c>
      <c r="AG6" s="43">
        <v>35</v>
      </c>
      <c r="AH6" s="44">
        <v>2</v>
      </c>
      <c r="AI6" s="44">
        <v>14</v>
      </c>
      <c r="AJ6" s="44">
        <v>2</v>
      </c>
      <c r="AK6" s="44">
        <v>2</v>
      </c>
      <c r="AL6" s="47" t="s">
        <v>121</v>
      </c>
      <c r="AM6" s="44">
        <v>260</v>
      </c>
      <c r="AN6" s="44">
        <v>520</v>
      </c>
      <c r="AO6" s="46">
        <v>0.15757575757575756</v>
      </c>
      <c r="AP6" s="29"/>
      <c r="AR6" s="41"/>
      <c r="AS6" s="43">
        <v>1267</v>
      </c>
      <c r="AT6" s="43">
        <v>2</v>
      </c>
      <c r="AU6" s="43">
        <v>43</v>
      </c>
      <c r="AV6" s="44">
        <v>0</v>
      </c>
      <c r="AW6" s="44">
        <v>16</v>
      </c>
      <c r="AX6" s="44">
        <v>0</v>
      </c>
      <c r="AY6" s="44">
        <v>116</v>
      </c>
      <c r="AZ6" s="47" t="s">
        <v>237</v>
      </c>
      <c r="BA6" s="44">
        <v>170</v>
      </c>
      <c r="BB6" s="44">
        <v>0</v>
      </c>
      <c r="BC6" s="46">
        <v>0</v>
      </c>
      <c r="BD6" s="29" t="s">
        <v>367</v>
      </c>
      <c r="BE6" s="32"/>
      <c r="BF6" s="41"/>
      <c r="BG6" s="44">
        <v>4540</v>
      </c>
      <c r="BH6" s="44">
        <v>48</v>
      </c>
      <c r="BI6" s="44">
        <v>54</v>
      </c>
      <c r="BJ6" s="44">
        <v>1</v>
      </c>
      <c r="BK6" s="44">
        <v>2</v>
      </c>
      <c r="BL6" s="44">
        <v>1</v>
      </c>
      <c r="BM6" s="44">
        <v>1</v>
      </c>
      <c r="BN6" s="45" t="s">
        <v>129</v>
      </c>
      <c r="BO6" s="44">
        <v>1500</v>
      </c>
      <c r="BP6" s="44">
        <v>1500</v>
      </c>
      <c r="BQ6" s="46">
        <v>0.3125</v>
      </c>
      <c r="BR6" s="29"/>
      <c r="BT6" s="41"/>
      <c r="BU6" s="44"/>
      <c r="BV6" s="44" t="s">
        <v>147</v>
      </c>
      <c r="BW6" s="44"/>
      <c r="BX6" s="44" t="s">
        <v>147</v>
      </c>
      <c r="BY6" s="44"/>
      <c r="BZ6" s="44" t="s">
        <v>147</v>
      </c>
      <c r="CA6" s="44"/>
      <c r="CB6" s="45" t="s">
        <v>147</v>
      </c>
      <c r="CC6" s="44" t="s">
        <v>147</v>
      </c>
      <c r="CD6" s="44" t="s">
        <v>147</v>
      </c>
      <c r="CE6" s="46" t="s">
        <v>147</v>
      </c>
      <c r="CF6" s="29"/>
      <c r="CH6" s="40" t="str">
        <f>IF($A15="","",$A15)</f>
        <v/>
      </c>
      <c r="CI6" s="35"/>
      <c r="CJ6" s="5" t="str">
        <f t="shared" si="67"/>
        <v/>
      </c>
      <c r="CK6" s="5"/>
      <c r="CL6" s="5" t="str">
        <f t="shared" si="68"/>
        <v/>
      </c>
      <c r="CM6" s="4"/>
      <c r="CN6" s="5" t="str">
        <f t="shared" si="69"/>
        <v/>
      </c>
      <c r="CO6" s="4"/>
      <c r="CP6" s="2" t="str">
        <f t="shared" si="70"/>
        <v/>
      </c>
      <c r="CQ6" s="4" t="str">
        <f t="shared" si="71"/>
        <v/>
      </c>
      <c r="CR6" s="5" t="str">
        <f t="shared" si="72"/>
        <v/>
      </c>
      <c r="CS6" s="36" t="str">
        <f t="shared" si="73"/>
        <v/>
      </c>
      <c r="CT6" s="29"/>
      <c r="CV6" s="40" t="str">
        <f>IF($A15="","",$A15)</f>
        <v/>
      </c>
      <c r="CW6" s="35"/>
      <c r="CX6" s="5" t="str">
        <f t="shared" si="7"/>
        <v/>
      </c>
      <c r="CY6" s="5"/>
      <c r="CZ6" s="5" t="str">
        <f t="shared" si="8"/>
        <v/>
      </c>
      <c r="DA6" s="4"/>
      <c r="DB6" s="5" t="str">
        <f t="shared" si="9"/>
        <v/>
      </c>
      <c r="DC6" s="4"/>
      <c r="DD6" s="2" t="str">
        <f t="shared" si="10"/>
        <v/>
      </c>
      <c r="DE6" s="4" t="str">
        <f t="shared" si="11"/>
        <v/>
      </c>
      <c r="DF6" s="5" t="str">
        <f t="shared" si="12"/>
        <v/>
      </c>
      <c r="DG6" s="36" t="str">
        <f t="shared" si="13"/>
        <v/>
      </c>
      <c r="DH6" s="29"/>
      <c r="DJ6" s="40" t="str">
        <f>IF($A15="","",$A15)</f>
        <v/>
      </c>
      <c r="DK6" s="35"/>
      <c r="DL6" s="5" t="str">
        <f t="shared" si="14"/>
        <v/>
      </c>
      <c r="DM6" s="5"/>
      <c r="DN6" s="5" t="str">
        <f t="shared" si="15"/>
        <v/>
      </c>
      <c r="DO6" s="4"/>
      <c r="DP6" s="5" t="str">
        <f t="shared" si="16"/>
        <v/>
      </c>
      <c r="DQ6" s="4"/>
      <c r="DR6" s="2" t="str">
        <f t="shared" si="17"/>
        <v/>
      </c>
      <c r="DS6" s="4" t="str">
        <f t="shared" si="18"/>
        <v/>
      </c>
      <c r="DT6" s="5" t="str">
        <f t="shared" si="19"/>
        <v/>
      </c>
      <c r="DU6" s="36" t="str">
        <f t="shared" si="20"/>
        <v/>
      </c>
      <c r="DV6" s="29"/>
      <c r="DX6" s="40" t="str">
        <f>IF($A15="","",$A15)</f>
        <v/>
      </c>
      <c r="DY6" s="35"/>
      <c r="DZ6" s="5" t="str">
        <f t="shared" si="21"/>
        <v/>
      </c>
      <c r="EA6" s="5"/>
      <c r="EB6" s="5" t="str">
        <f t="shared" si="22"/>
        <v/>
      </c>
      <c r="EC6" s="4"/>
      <c r="ED6" s="5" t="str">
        <f t="shared" si="23"/>
        <v/>
      </c>
      <c r="EE6" s="4"/>
      <c r="EF6" s="2" t="str">
        <f t="shared" si="24"/>
        <v/>
      </c>
      <c r="EG6" s="4" t="str">
        <f t="shared" si="25"/>
        <v/>
      </c>
      <c r="EH6" s="5" t="str">
        <f t="shared" si="26"/>
        <v/>
      </c>
      <c r="EI6" s="36" t="str">
        <f t="shared" si="27"/>
        <v/>
      </c>
      <c r="EJ6" s="29"/>
      <c r="EL6" s="40" t="str">
        <f>IF($A15="","",$A15)</f>
        <v/>
      </c>
      <c r="EM6" s="35"/>
      <c r="EN6" s="5" t="str">
        <f t="shared" si="28"/>
        <v/>
      </c>
      <c r="EO6" s="5"/>
      <c r="EP6" s="5" t="str">
        <f t="shared" si="29"/>
        <v/>
      </c>
      <c r="EQ6" s="4"/>
      <c r="ER6" s="5" t="str">
        <f t="shared" si="30"/>
        <v/>
      </c>
      <c r="ES6" s="4"/>
      <c r="ET6" s="2" t="str">
        <f t="shared" si="31"/>
        <v/>
      </c>
      <c r="EU6" s="4" t="str">
        <f t="shared" si="32"/>
        <v/>
      </c>
      <c r="EV6" s="5" t="str">
        <f t="shared" si="33"/>
        <v/>
      </c>
      <c r="EW6" s="36" t="str">
        <f t="shared" si="34"/>
        <v/>
      </c>
      <c r="EX6" s="29"/>
      <c r="EZ6" s="40" t="str">
        <f>IF($A15="","",$A15)</f>
        <v/>
      </c>
      <c r="FA6" s="35"/>
      <c r="FB6" s="5" t="str">
        <f t="shared" si="35"/>
        <v/>
      </c>
      <c r="FC6" s="5"/>
      <c r="FD6" s="5" t="str">
        <f t="shared" si="36"/>
        <v/>
      </c>
      <c r="FE6" s="4"/>
      <c r="FF6" s="5" t="str">
        <f t="shared" si="37"/>
        <v/>
      </c>
      <c r="FG6" s="4"/>
      <c r="FH6" s="2" t="str">
        <f t="shared" si="38"/>
        <v/>
      </c>
      <c r="FI6" s="4" t="str">
        <f t="shared" si="39"/>
        <v/>
      </c>
      <c r="FJ6" s="5" t="str">
        <f t="shared" si="40"/>
        <v/>
      </c>
      <c r="FK6" s="36" t="str">
        <f t="shared" si="41"/>
        <v/>
      </c>
      <c r="FL6" s="29"/>
      <c r="FN6" s="40" t="str">
        <f>IF($A15="","",$A15)</f>
        <v/>
      </c>
      <c r="FO6" s="35"/>
      <c r="FP6" s="5" t="str">
        <f t="shared" si="42"/>
        <v/>
      </c>
      <c r="FQ6" s="5"/>
      <c r="FR6" s="5" t="str">
        <f t="shared" si="43"/>
        <v/>
      </c>
      <c r="FS6" s="4"/>
      <c r="FT6" s="5" t="str">
        <f t="shared" si="44"/>
        <v/>
      </c>
      <c r="FU6" s="4"/>
      <c r="FV6" s="2" t="str">
        <f t="shared" si="45"/>
        <v/>
      </c>
      <c r="FW6" s="4" t="str">
        <f t="shared" si="46"/>
        <v/>
      </c>
      <c r="FX6" s="5" t="str">
        <f t="shared" si="47"/>
        <v/>
      </c>
      <c r="FY6" s="36" t="str">
        <f t="shared" si="48"/>
        <v/>
      </c>
      <c r="FZ6" s="29"/>
      <c r="GB6" s="40" t="str">
        <f>IF($A15="","",$A15)</f>
        <v/>
      </c>
      <c r="GC6" s="35"/>
      <c r="GD6" s="5" t="str">
        <f t="shared" si="49"/>
        <v/>
      </c>
      <c r="GE6" s="5"/>
      <c r="GF6" s="5" t="str">
        <f t="shared" si="50"/>
        <v/>
      </c>
      <c r="GG6" s="4"/>
      <c r="GH6" s="5" t="str">
        <f t="shared" si="51"/>
        <v/>
      </c>
      <c r="GI6" s="4"/>
      <c r="GJ6" s="2" t="str">
        <f t="shared" si="52"/>
        <v/>
      </c>
      <c r="GK6" s="4" t="str">
        <f t="shared" si="53"/>
        <v/>
      </c>
      <c r="GL6" s="5" t="str">
        <f t="shared" si="54"/>
        <v/>
      </c>
      <c r="GM6" s="36" t="str">
        <f t="shared" si="55"/>
        <v/>
      </c>
      <c r="GN6" s="29"/>
      <c r="GP6" s="40" t="str">
        <f>IF($A15="","",$A15)</f>
        <v/>
      </c>
      <c r="GQ6" s="35"/>
      <c r="GR6" s="5" t="str">
        <f t="shared" si="56"/>
        <v/>
      </c>
      <c r="GS6" s="5"/>
      <c r="GT6" s="5" t="str">
        <f t="shared" si="57"/>
        <v/>
      </c>
      <c r="GU6" s="4"/>
      <c r="GV6" s="5" t="str">
        <f t="shared" ref="GV5:GV12" si="81">IF(GU6="","",GU5+GW5-GU6)</f>
        <v/>
      </c>
      <c r="GW6" s="4"/>
      <c r="GX6" s="2" t="str">
        <f t="shared" ref="GX5:GX12" si="82">IF(GQ6="","",GX5)</f>
        <v/>
      </c>
      <c r="GY6" s="4" t="str">
        <f t="shared" ref="GY5:GY12" si="83">IF(GQ6="","",GY5)</f>
        <v/>
      </c>
      <c r="GZ6" s="2" t="str">
        <f t="shared" si="74"/>
        <v/>
      </c>
      <c r="HA6" s="4" t="str">
        <f t="shared" si="75"/>
        <v/>
      </c>
      <c r="HB6" s="5" t="str">
        <f t="shared" si="76"/>
        <v/>
      </c>
      <c r="HC6" s="36" t="str">
        <f t="shared" si="77"/>
        <v/>
      </c>
      <c r="HD6" s="29"/>
      <c r="HF6" s="40" t="str">
        <f>IF($A15="","",$A15)</f>
        <v/>
      </c>
      <c r="HG6" s="35"/>
      <c r="HH6" s="5" t="str">
        <f t="shared" si="78"/>
        <v/>
      </c>
      <c r="HI6" s="5"/>
      <c r="HJ6" s="29"/>
      <c r="HL6" s="40" t="str">
        <f>IF($A15="","",$A15)</f>
        <v/>
      </c>
      <c r="HM6" s="35"/>
      <c r="HN6" s="5" t="str">
        <f t="shared" si="79"/>
        <v/>
      </c>
      <c r="HO6" s="5"/>
      <c r="HP6" s="29"/>
      <c r="HR6" s="40" t="str">
        <f>IF($A15="","",$A15)</f>
        <v/>
      </c>
      <c r="HS6" s="35"/>
      <c r="HT6" s="5" t="str">
        <f t="shared" si="80"/>
        <v/>
      </c>
      <c r="HU6" s="5"/>
      <c r="HV6" s="29"/>
    </row>
    <row r="7" spans="1:230" ht="15" customHeight="1" thickTop="1" x14ac:dyDescent="0.2">
      <c r="A7" s="49">
        <v>46165</v>
      </c>
      <c r="B7" s="26">
        <f>SUM(D7:D10)+SUM(R7:R10)+SUM(AF7:AF10)+SUM(AT7:AT10)+SUM(CJ4,CX4,DL4,DZ4,EN4,FB4,FP4,GD4,GR4,HH4,HN4,HT4)+SUM(BH7:BH10)+SUM(BV7:BV8)</f>
        <v>1858</v>
      </c>
      <c r="C7" s="4">
        <v>13905</v>
      </c>
      <c r="D7" s="4">
        <f t="shared" ref="D7:D10" si="84">IF(C7="","",C7-C3)</f>
        <v>36</v>
      </c>
      <c r="E7" s="4">
        <v>370</v>
      </c>
      <c r="F7" s="50">
        <f t="shared" ref="F7:F10" si="85">IF(E7="","",E7-E3)</f>
        <v>2</v>
      </c>
      <c r="G7" s="4">
        <v>7</v>
      </c>
      <c r="H7" s="4">
        <f t="shared" ref="H7:H10" si="86">IF(G7="","",G3+I3-G7)</f>
        <v>2</v>
      </c>
      <c r="I7" s="51">
        <v>4</v>
      </c>
      <c r="J7" s="31" t="str">
        <f t="shared" ref="J7:J10" si="87">IF(C7="","",J3)</f>
        <v>キティダブルミラー</v>
      </c>
      <c r="K7" s="27">
        <f t="shared" ref="K7:K10" si="88">IF(D7="","",K3)</f>
        <v>660</v>
      </c>
      <c r="L7" s="50">
        <f t="shared" ref="L7:L10" si="89">IF(G7="","",H7*K7)</f>
        <v>1320</v>
      </c>
      <c r="M7" s="52">
        <f t="shared" ref="M7:M10" si="90">IF(H7="","",L7/(D7*100))</f>
        <v>0.36666666666666664</v>
      </c>
      <c r="N7" s="29"/>
      <c r="P7" s="53">
        <f>IF($A7="","",$A7)</f>
        <v>46165</v>
      </c>
      <c r="Q7" s="4">
        <v>4720</v>
      </c>
      <c r="R7" s="4">
        <f t="shared" ref="R7:R42" si="91">IF(Q7="","",Q7-Q3)</f>
        <v>45</v>
      </c>
      <c r="S7" s="4">
        <v>202</v>
      </c>
      <c r="T7" s="50">
        <f t="shared" ref="T7:T42" si="92">IF(S7="","",S7-S3)</f>
        <v>1</v>
      </c>
      <c r="U7" s="4">
        <v>2</v>
      </c>
      <c r="V7" s="4">
        <f t="shared" ref="V7:V42" si="93">IF(U7="","",U3+W3-U7)</f>
        <v>1</v>
      </c>
      <c r="W7" s="51">
        <v>0</v>
      </c>
      <c r="X7" s="31" t="str">
        <f t="shared" ref="X7:X42" si="94">IF(Q7="","",X3)</f>
        <v>サンリオボアバンスクリップ</v>
      </c>
      <c r="Y7" s="27">
        <f t="shared" ref="Y7:Y42" si="95">IF(R7="","",Y3)</f>
        <v>660</v>
      </c>
      <c r="Z7" s="50">
        <f t="shared" ref="Z7:Z42" si="96">IF(U7="","",V7*Y7)</f>
        <v>660</v>
      </c>
      <c r="AA7" s="52">
        <f t="shared" ref="AA7:AA42" si="97">IF(V7="","",Z7/(R7*100))</f>
        <v>0.14666666666666667</v>
      </c>
      <c r="AB7" s="29"/>
      <c r="AD7" s="53">
        <f>IF($A7="","",$A7)</f>
        <v>46165</v>
      </c>
      <c r="AE7" s="4">
        <v>2472</v>
      </c>
      <c r="AF7" s="4">
        <f t="shared" ref="AF7:AF42" si="98">IF(AE7="","",AE7-AE3)</f>
        <v>30</v>
      </c>
      <c r="AG7" s="4">
        <v>45</v>
      </c>
      <c r="AH7" s="50">
        <f t="shared" ref="AH7:AH42" si="99">IF(AG7="","",AG7-AG3)</f>
        <v>1</v>
      </c>
      <c r="AI7" s="4">
        <v>3</v>
      </c>
      <c r="AJ7" s="4">
        <f t="shared" ref="AJ7:AJ42" si="100">IF(AI7="","",AI3+AK3-AI7)</f>
        <v>1</v>
      </c>
      <c r="AK7" s="51">
        <v>0</v>
      </c>
      <c r="AL7" s="31" t="str">
        <f t="shared" ref="AL7:AL42" si="101">IF(AE7="","",AL3)</f>
        <v>マリオカートマスコット</v>
      </c>
      <c r="AM7" s="27">
        <f t="shared" ref="AM7:AM42" si="102">IF(AF7="","",AM3)</f>
        <v>792</v>
      </c>
      <c r="AN7" s="50">
        <f t="shared" ref="AN7:AN42" si="103">IF(AI7="","",AJ7*AM7)</f>
        <v>792</v>
      </c>
      <c r="AO7" s="52">
        <f t="shared" ref="AO7:AO42" si="104">IF(AJ7="","",AN7/(AF7*100))</f>
        <v>0.26400000000000001</v>
      </c>
      <c r="AP7" s="29"/>
      <c r="AR7" s="53">
        <f>IF($A7="","",$A7)</f>
        <v>46165</v>
      </c>
      <c r="AS7" s="4">
        <v>2419</v>
      </c>
      <c r="AT7" s="4">
        <f t="shared" ref="AT7:AT42" si="105">IF(AS7="","",AS7-AS3)</f>
        <v>67</v>
      </c>
      <c r="AU7" s="4">
        <v>55</v>
      </c>
      <c r="AV7" s="50">
        <f t="shared" ref="AV7:AV42" si="106">IF(AU7="","",AU7-AU3)</f>
        <v>2</v>
      </c>
      <c r="AW7" s="4">
        <v>16</v>
      </c>
      <c r="AX7" s="4">
        <f t="shared" ref="AX7:AX42" si="107">IF(AW7="","",AW3+AY3-AW7)</f>
        <v>2</v>
      </c>
      <c r="AY7" s="51">
        <v>3</v>
      </c>
      <c r="AZ7" s="31" t="str">
        <f t="shared" ref="AZ7:AZ9" si="108">IF(AS7="","",AZ3)</f>
        <v>ベアブリック</v>
      </c>
      <c r="BA7" s="27">
        <f t="shared" ref="BA7:BA42" si="109">IF(AT7="","",BA3)</f>
        <v>847</v>
      </c>
      <c r="BB7" s="50">
        <f t="shared" ref="BB7:BB42" si="110">IF(AW7="","",AX7*BA7)</f>
        <v>1694</v>
      </c>
      <c r="BC7" s="52">
        <f t="shared" ref="BC7:BC42" si="111">IF(AX7="","",BB7/(AT7*100))</f>
        <v>0.25283582089552237</v>
      </c>
      <c r="BD7" s="29"/>
      <c r="BE7" s="32"/>
      <c r="BF7" s="33">
        <f>IF($A7="","",$A7)</f>
        <v>46165</v>
      </c>
      <c r="BG7" s="4">
        <v>3836</v>
      </c>
      <c r="BH7" s="4">
        <f t="shared" ref="BH7:BH42" si="112">IF(BG7="","",BG7-BG3)</f>
        <v>46</v>
      </c>
      <c r="BI7" s="4">
        <v>36</v>
      </c>
      <c r="BJ7" s="50">
        <f t="shared" ref="BJ7:BJ42" si="113">IF(BI7="","",BI7-BI3)</f>
        <v>1</v>
      </c>
      <c r="BK7" s="4">
        <v>3</v>
      </c>
      <c r="BL7" s="4">
        <f t="shared" ref="BL7:BL42" si="114">IF(BK7="","",BK3+BM3-BK7)</f>
        <v>0</v>
      </c>
      <c r="BM7" s="51">
        <v>0</v>
      </c>
      <c r="BN7" s="31" t="str">
        <f t="shared" ref="BN7:BN42" si="115">IF(BG7="","",BN3)</f>
        <v>ボンボンドロップシール</v>
      </c>
      <c r="BO7" s="27">
        <f t="shared" ref="BO7:BO42" si="116">IF(BH7="","",BO3)</f>
        <v>1500</v>
      </c>
      <c r="BP7" s="50">
        <f t="shared" ref="BP7:BP42" si="117">IF(BK7="","",BL7*BO7)</f>
        <v>0</v>
      </c>
      <c r="BQ7" s="52">
        <f t="shared" ref="BQ7:BQ42" si="118">IF(BL7="","",BP7/(BH7*100))</f>
        <v>0</v>
      </c>
      <c r="BR7" s="29"/>
      <c r="BT7" s="33">
        <f>IF($A7="","",$A7)</f>
        <v>46165</v>
      </c>
      <c r="BU7" s="4">
        <v>36353</v>
      </c>
      <c r="BV7" s="4">
        <f t="shared" ref="BV7:BV42" si="119">IF(BU7="","",BU7-BU3)</f>
        <v>18</v>
      </c>
      <c r="BW7" s="4">
        <v>3906</v>
      </c>
      <c r="BX7" s="50">
        <f t="shared" ref="BX7:BX42" si="120">IF(BW7="","",BW7-BW3)</f>
        <v>1</v>
      </c>
      <c r="BY7" s="4">
        <v>39</v>
      </c>
      <c r="BZ7" s="4">
        <f t="shared" ref="BZ7:BZ42" si="121">IF(BY7="","",BY3+CA3-BY7)</f>
        <v>1</v>
      </c>
      <c r="CA7" s="51">
        <v>0</v>
      </c>
      <c r="CB7" s="31" t="str">
        <f t="shared" ref="CB7:CB42" si="122">IF(BU7="","",CB3)</f>
        <v>ベイビースリーフェイス</v>
      </c>
      <c r="CC7" s="27">
        <f t="shared" ref="CC7:CC42" si="123">IF(BV7="","",CC3)</f>
        <v>1050</v>
      </c>
      <c r="CD7" s="50">
        <f t="shared" ref="CD7:CD42" si="124">IF(BY7="","",BZ7*CC7)</f>
        <v>1050</v>
      </c>
      <c r="CE7" s="52">
        <f t="shared" ref="CE7:CE42" si="125">IF(BZ7="","",CD7/(BV7*100))</f>
        <v>0.58333333333333337</v>
      </c>
      <c r="CF7" s="29"/>
      <c r="CH7" s="40" t="str">
        <f>IF($A19="","",$A19)</f>
        <v/>
      </c>
      <c r="CI7" s="35"/>
      <c r="CJ7" s="5" t="str">
        <f t="shared" si="67"/>
        <v/>
      </c>
      <c r="CK7" s="5"/>
      <c r="CL7" s="5" t="str">
        <f t="shared" si="68"/>
        <v/>
      </c>
      <c r="CM7" s="4"/>
      <c r="CN7" s="5" t="str">
        <f t="shared" si="69"/>
        <v/>
      </c>
      <c r="CO7" s="4"/>
      <c r="CP7" s="2" t="str">
        <f t="shared" si="70"/>
        <v/>
      </c>
      <c r="CQ7" s="4" t="str">
        <f t="shared" si="71"/>
        <v/>
      </c>
      <c r="CR7" s="5" t="str">
        <f t="shared" si="72"/>
        <v/>
      </c>
      <c r="CS7" s="36" t="str">
        <f t="shared" si="73"/>
        <v/>
      </c>
      <c r="CT7" s="29"/>
      <c r="CV7" s="40" t="str">
        <f>IF($A19="","",$A19)</f>
        <v/>
      </c>
      <c r="CW7" s="35"/>
      <c r="CX7" s="5" t="str">
        <f t="shared" si="7"/>
        <v/>
      </c>
      <c r="CY7" s="5"/>
      <c r="CZ7" s="5" t="str">
        <f t="shared" si="8"/>
        <v/>
      </c>
      <c r="DA7" s="4"/>
      <c r="DB7" s="5" t="str">
        <f t="shared" si="9"/>
        <v/>
      </c>
      <c r="DC7" s="4"/>
      <c r="DD7" s="2" t="str">
        <f t="shared" si="10"/>
        <v/>
      </c>
      <c r="DE7" s="4" t="str">
        <f t="shared" si="11"/>
        <v/>
      </c>
      <c r="DF7" s="5" t="str">
        <f t="shared" si="12"/>
        <v/>
      </c>
      <c r="DG7" s="36" t="str">
        <f t="shared" si="13"/>
        <v/>
      </c>
      <c r="DH7" s="29"/>
      <c r="DJ7" s="40" t="str">
        <f>IF($A19="","",$A19)</f>
        <v/>
      </c>
      <c r="DK7" s="35"/>
      <c r="DL7" s="5" t="str">
        <f t="shared" si="14"/>
        <v/>
      </c>
      <c r="DM7" s="5"/>
      <c r="DN7" s="5" t="str">
        <f t="shared" si="15"/>
        <v/>
      </c>
      <c r="DO7" s="4"/>
      <c r="DP7" s="5" t="str">
        <f t="shared" si="16"/>
        <v/>
      </c>
      <c r="DQ7" s="4"/>
      <c r="DR7" s="2" t="str">
        <f t="shared" si="17"/>
        <v/>
      </c>
      <c r="DS7" s="4" t="str">
        <f t="shared" si="18"/>
        <v/>
      </c>
      <c r="DT7" s="5" t="str">
        <f t="shared" si="19"/>
        <v/>
      </c>
      <c r="DU7" s="36" t="str">
        <f t="shared" si="20"/>
        <v/>
      </c>
      <c r="DV7" s="29"/>
      <c r="DX7" s="40" t="str">
        <f>IF($A19="","",$A19)</f>
        <v/>
      </c>
      <c r="DY7" s="35"/>
      <c r="DZ7" s="5" t="str">
        <f t="shared" si="21"/>
        <v/>
      </c>
      <c r="EA7" s="5"/>
      <c r="EB7" s="5" t="str">
        <f t="shared" si="22"/>
        <v/>
      </c>
      <c r="EC7" s="4"/>
      <c r="ED7" s="5" t="str">
        <f t="shared" si="23"/>
        <v/>
      </c>
      <c r="EE7" s="4"/>
      <c r="EF7" s="2" t="str">
        <f t="shared" si="24"/>
        <v/>
      </c>
      <c r="EG7" s="4" t="str">
        <f t="shared" si="25"/>
        <v/>
      </c>
      <c r="EH7" s="5" t="str">
        <f t="shared" si="26"/>
        <v/>
      </c>
      <c r="EI7" s="36" t="str">
        <f t="shared" si="27"/>
        <v/>
      </c>
      <c r="EJ7" s="29"/>
      <c r="EL7" s="40" t="str">
        <f>IF($A19="","",$A19)</f>
        <v/>
      </c>
      <c r="EM7" s="35"/>
      <c r="EN7" s="5" t="str">
        <f t="shared" si="28"/>
        <v/>
      </c>
      <c r="EO7" s="5"/>
      <c r="EP7" s="5" t="str">
        <f t="shared" si="29"/>
        <v/>
      </c>
      <c r="EQ7" s="4"/>
      <c r="ER7" s="5" t="str">
        <f t="shared" si="30"/>
        <v/>
      </c>
      <c r="ES7" s="4"/>
      <c r="ET7" s="2" t="str">
        <f t="shared" si="31"/>
        <v/>
      </c>
      <c r="EU7" s="4" t="str">
        <f t="shared" si="32"/>
        <v/>
      </c>
      <c r="EV7" s="5" t="str">
        <f t="shared" si="33"/>
        <v/>
      </c>
      <c r="EW7" s="36" t="str">
        <f t="shared" si="34"/>
        <v/>
      </c>
      <c r="EX7" s="29"/>
      <c r="EZ7" s="40" t="str">
        <f>IF($A19="","",$A19)</f>
        <v/>
      </c>
      <c r="FA7" s="35"/>
      <c r="FB7" s="5" t="str">
        <f t="shared" si="35"/>
        <v/>
      </c>
      <c r="FC7" s="5"/>
      <c r="FD7" s="5" t="str">
        <f t="shared" si="36"/>
        <v/>
      </c>
      <c r="FE7" s="4"/>
      <c r="FF7" s="5" t="str">
        <f t="shared" si="37"/>
        <v/>
      </c>
      <c r="FG7" s="4"/>
      <c r="FH7" s="2" t="str">
        <f t="shared" si="38"/>
        <v/>
      </c>
      <c r="FI7" s="4" t="str">
        <f t="shared" si="39"/>
        <v/>
      </c>
      <c r="FJ7" s="5" t="str">
        <f t="shared" si="40"/>
        <v/>
      </c>
      <c r="FK7" s="36" t="str">
        <f t="shared" si="41"/>
        <v/>
      </c>
      <c r="FL7" s="29"/>
      <c r="FN7" s="40" t="str">
        <f>IF($A19="","",$A19)</f>
        <v/>
      </c>
      <c r="FO7" s="35"/>
      <c r="FP7" s="5" t="str">
        <f t="shared" si="42"/>
        <v/>
      </c>
      <c r="FQ7" s="5"/>
      <c r="FR7" s="5" t="str">
        <f t="shared" si="43"/>
        <v/>
      </c>
      <c r="FS7" s="4"/>
      <c r="FT7" s="5" t="str">
        <f t="shared" si="44"/>
        <v/>
      </c>
      <c r="FU7" s="4"/>
      <c r="FV7" s="2" t="str">
        <f t="shared" si="45"/>
        <v/>
      </c>
      <c r="FW7" s="4" t="str">
        <f t="shared" si="46"/>
        <v/>
      </c>
      <c r="FX7" s="5" t="str">
        <f t="shared" si="47"/>
        <v/>
      </c>
      <c r="FY7" s="36" t="str">
        <f t="shared" si="48"/>
        <v/>
      </c>
      <c r="FZ7" s="29"/>
      <c r="GB7" s="40" t="str">
        <f>IF($A19="","",$A19)</f>
        <v/>
      </c>
      <c r="GC7" s="35"/>
      <c r="GD7" s="5" t="str">
        <f t="shared" si="49"/>
        <v/>
      </c>
      <c r="GE7" s="5"/>
      <c r="GF7" s="5" t="str">
        <f t="shared" si="50"/>
        <v/>
      </c>
      <c r="GG7" s="4"/>
      <c r="GH7" s="5" t="str">
        <f t="shared" si="51"/>
        <v/>
      </c>
      <c r="GI7" s="4"/>
      <c r="GJ7" s="2" t="str">
        <f t="shared" si="52"/>
        <v/>
      </c>
      <c r="GK7" s="4" t="str">
        <f t="shared" si="53"/>
        <v/>
      </c>
      <c r="GL7" s="5" t="str">
        <f t="shared" si="54"/>
        <v/>
      </c>
      <c r="GM7" s="36" t="str">
        <f t="shared" si="55"/>
        <v/>
      </c>
      <c r="GN7" s="29"/>
      <c r="GP7" s="40" t="str">
        <f>IF($A19="","",$A19)</f>
        <v/>
      </c>
      <c r="GQ7" s="35"/>
      <c r="GR7" s="5" t="str">
        <f t="shared" si="56"/>
        <v/>
      </c>
      <c r="GS7" s="5"/>
      <c r="GT7" s="5" t="str">
        <f t="shared" si="57"/>
        <v/>
      </c>
      <c r="GU7" s="4"/>
      <c r="GV7" s="5" t="str">
        <f t="shared" si="81"/>
        <v/>
      </c>
      <c r="GW7" s="4"/>
      <c r="GX7" s="2" t="str">
        <f t="shared" si="82"/>
        <v/>
      </c>
      <c r="GY7" s="4" t="str">
        <f t="shared" si="83"/>
        <v/>
      </c>
      <c r="GZ7" s="2" t="str">
        <f t="shared" si="74"/>
        <v/>
      </c>
      <c r="HA7" s="4" t="str">
        <f t="shared" si="75"/>
        <v/>
      </c>
      <c r="HB7" s="5" t="str">
        <f t="shared" si="76"/>
        <v/>
      </c>
      <c r="HC7" s="36" t="str">
        <f t="shared" si="77"/>
        <v/>
      </c>
      <c r="HD7" s="29"/>
      <c r="HF7" s="40" t="str">
        <f>IF($A19="","",$A19)</f>
        <v/>
      </c>
      <c r="HG7" s="35"/>
      <c r="HH7" s="5" t="str">
        <f t="shared" si="78"/>
        <v/>
      </c>
      <c r="HI7" s="5"/>
      <c r="HJ7" s="29"/>
      <c r="HL7" s="40" t="str">
        <f>IF($A19="","",$A19)</f>
        <v/>
      </c>
      <c r="HM7" s="35"/>
      <c r="HN7" s="5" t="str">
        <f t="shared" si="79"/>
        <v/>
      </c>
      <c r="HO7" s="5"/>
      <c r="HP7" s="29"/>
      <c r="HR7" s="40" t="str">
        <f>IF($A19="","",$A19)</f>
        <v/>
      </c>
      <c r="HS7" s="35"/>
      <c r="HT7" s="5" t="str">
        <f t="shared" si="80"/>
        <v/>
      </c>
      <c r="HU7" s="5"/>
      <c r="HV7" s="29"/>
    </row>
    <row r="8" spans="1:230" x14ac:dyDescent="0.2">
      <c r="A8" s="54"/>
      <c r="B8" s="55"/>
      <c r="C8" s="5">
        <v>17751</v>
      </c>
      <c r="D8" s="5">
        <f t="shared" si="84"/>
        <v>81</v>
      </c>
      <c r="E8" s="5">
        <v>549</v>
      </c>
      <c r="F8" s="5">
        <f t="shared" si="85"/>
        <v>4</v>
      </c>
      <c r="G8" s="5">
        <v>5</v>
      </c>
      <c r="H8" s="5">
        <f t="shared" si="86"/>
        <v>5</v>
      </c>
      <c r="I8" s="35">
        <v>6</v>
      </c>
      <c r="J8" s="38" t="str">
        <f t="shared" si="87"/>
        <v>サンリオカラビナ付きミニファン</v>
      </c>
      <c r="K8" s="39">
        <f t="shared" si="88"/>
        <v>1100</v>
      </c>
      <c r="L8" s="5">
        <f t="shared" si="89"/>
        <v>5500</v>
      </c>
      <c r="M8" s="36">
        <f t="shared" si="90"/>
        <v>0.67901234567901236</v>
      </c>
      <c r="N8" s="29"/>
      <c r="P8" s="54"/>
      <c r="Q8" s="5">
        <v>11430</v>
      </c>
      <c r="R8" s="5">
        <f t="shared" si="91"/>
        <v>92</v>
      </c>
      <c r="S8" s="5">
        <v>195</v>
      </c>
      <c r="T8" s="5">
        <f t="shared" si="92"/>
        <v>2</v>
      </c>
      <c r="U8" s="5">
        <v>7</v>
      </c>
      <c r="V8" s="5">
        <f t="shared" si="93"/>
        <v>2</v>
      </c>
      <c r="W8" s="35">
        <v>2</v>
      </c>
      <c r="X8" s="38" t="str">
        <f t="shared" si="94"/>
        <v>サンリオヘアバンド</v>
      </c>
      <c r="Y8" s="39">
        <f t="shared" si="95"/>
        <v>825</v>
      </c>
      <c r="Z8" s="5">
        <f t="shared" si="96"/>
        <v>1650</v>
      </c>
      <c r="AA8" s="36">
        <f t="shared" si="97"/>
        <v>0.17934782608695651</v>
      </c>
      <c r="AB8" s="29"/>
      <c r="AD8" s="54"/>
      <c r="AE8" s="5">
        <v>2345</v>
      </c>
      <c r="AF8" s="5">
        <f t="shared" si="98"/>
        <v>61</v>
      </c>
      <c r="AG8" s="5">
        <v>36</v>
      </c>
      <c r="AH8" s="5">
        <f t="shared" si="99"/>
        <v>1</v>
      </c>
      <c r="AI8" s="5">
        <v>51</v>
      </c>
      <c r="AJ8" s="5">
        <f t="shared" si="100"/>
        <v>1</v>
      </c>
      <c r="AK8" s="35">
        <v>0</v>
      </c>
      <c r="AL8" s="38" t="str">
        <f t="shared" si="101"/>
        <v>電ブル</v>
      </c>
      <c r="AM8" s="39">
        <f t="shared" si="102"/>
        <v>292</v>
      </c>
      <c r="AN8" s="5">
        <f t="shared" si="103"/>
        <v>292</v>
      </c>
      <c r="AO8" s="36">
        <f t="shared" si="104"/>
        <v>4.7868852459016391E-2</v>
      </c>
      <c r="AP8" s="29"/>
      <c r="AR8" s="54"/>
      <c r="AS8" s="5">
        <v>1906</v>
      </c>
      <c r="AT8" s="5">
        <f t="shared" si="105"/>
        <v>63</v>
      </c>
      <c r="AU8" s="5">
        <v>15</v>
      </c>
      <c r="AV8" s="5">
        <f t="shared" si="106"/>
        <v>3</v>
      </c>
      <c r="AW8" s="5">
        <v>0</v>
      </c>
      <c r="AX8" s="5">
        <f t="shared" si="107"/>
        <v>3</v>
      </c>
      <c r="AY8" s="35">
        <v>5</v>
      </c>
      <c r="AZ8" s="38" t="str">
        <f t="shared" si="108"/>
        <v>ジャグラーボタン</v>
      </c>
      <c r="BA8" s="39">
        <f t="shared" si="109"/>
        <v>770</v>
      </c>
      <c r="BB8" s="5">
        <f t="shared" si="110"/>
        <v>2310</v>
      </c>
      <c r="BC8" s="36">
        <f t="shared" si="111"/>
        <v>0.36666666666666664</v>
      </c>
      <c r="BD8" s="29"/>
      <c r="BE8" s="32"/>
      <c r="BF8" s="25"/>
      <c r="BG8" s="5">
        <v>5609</v>
      </c>
      <c r="BH8" s="5">
        <f t="shared" si="112"/>
        <v>79</v>
      </c>
      <c r="BI8" s="5">
        <v>52</v>
      </c>
      <c r="BJ8" s="5">
        <f t="shared" si="113"/>
        <v>1</v>
      </c>
      <c r="BK8" s="5">
        <v>3</v>
      </c>
      <c r="BL8" s="5">
        <f t="shared" si="114"/>
        <v>0</v>
      </c>
      <c r="BM8" s="35">
        <v>0</v>
      </c>
      <c r="BN8" s="38" t="str">
        <f t="shared" si="115"/>
        <v>ボンボンドロップシール</v>
      </c>
      <c r="BO8" s="39">
        <f t="shared" si="116"/>
        <v>1500</v>
      </c>
      <c r="BP8" s="5">
        <f t="shared" si="117"/>
        <v>0</v>
      </c>
      <c r="BQ8" s="36">
        <f t="shared" si="118"/>
        <v>0</v>
      </c>
      <c r="BR8" s="29"/>
      <c r="BT8" s="25"/>
      <c r="BU8" s="5">
        <v>32204</v>
      </c>
      <c r="BV8" s="5">
        <f t="shared" si="119"/>
        <v>36</v>
      </c>
      <c r="BW8" s="5">
        <v>1697</v>
      </c>
      <c r="BX8" s="5">
        <f t="shared" si="120"/>
        <v>1</v>
      </c>
      <c r="BY8" s="5">
        <v>33</v>
      </c>
      <c r="BZ8" s="5">
        <f t="shared" si="121"/>
        <v>1</v>
      </c>
      <c r="CA8" s="35">
        <v>9</v>
      </c>
      <c r="CB8" s="38" t="str">
        <f t="shared" si="122"/>
        <v>サンリオボアポーチ</v>
      </c>
      <c r="CC8" s="39">
        <f t="shared" si="123"/>
        <v>950</v>
      </c>
      <c r="CD8" s="5">
        <f t="shared" si="124"/>
        <v>950</v>
      </c>
      <c r="CE8" s="36">
        <f t="shared" si="125"/>
        <v>0.2638888888888889</v>
      </c>
      <c r="CF8" s="29"/>
      <c r="CH8" s="40" t="str">
        <f>IF($A23="","",$A23)</f>
        <v/>
      </c>
      <c r="CI8" s="35"/>
      <c r="CJ8" s="5" t="str">
        <f t="shared" si="67"/>
        <v/>
      </c>
      <c r="CK8" s="5"/>
      <c r="CL8" s="5" t="str">
        <f t="shared" si="68"/>
        <v/>
      </c>
      <c r="CM8" s="4"/>
      <c r="CN8" s="5" t="str">
        <f t="shared" si="69"/>
        <v/>
      </c>
      <c r="CO8" s="4"/>
      <c r="CP8" s="2" t="str">
        <f t="shared" si="70"/>
        <v/>
      </c>
      <c r="CQ8" s="4" t="str">
        <f t="shared" si="71"/>
        <v/>
      </c>
      <c r="CR8" s="5" t="str">
        <f t="shared" si="72"/>
        <v/>
      </c>
      <c r="CS8" s="36" t="str">
        <f t="shared" si="73"/>
        <v/>
      </c>
      <c r="CT8" s="29"/>
      <c r="CV8" s="40" t="str">
        <f>IF($A23="","",$A23)</f>
        <v/>
      </c>
      <c r="CW8" s="35"/>
      <c r="CX8" s="5" t="str">
        <f t="shared" si="7"/>
        <v/>
      </c>
      <c r="CY8" s="5"/>
      <c r="CZ8" s="5" t="str">
        <f t="shared" si="8"/>
        <v/>
      </c>
      <c r="DA8" s="4"/>
      <c r="DB8" s="5" t="str">
        <f t="shared" si="9"/>
        <v/>
      </c>
      <c r="DC8" s="4"/>
      <c r="DD8" s="2" t="str">
        <f t="shared" si="10"/>
        <v/>
      </c>
      <c r="DE8" s="4" t="str">
        <f t="shared" si="11"/>
        <v/>
      </c>
      <c r="DF8" s="5" t="str">
        <f t="shared" si="12"/>
        <v/>
      </c>
      <c r="DG8" s="36" t="str">
        <f t="shared" si="13"/>
        <v/>
      </c>
      <c r="DH8" s="29"/>
      <c r="DJ8" s="40" t="str">
        <f>IF($A23="","",$A23)</f>
        <v/>
      </c>
      <c r="DK8" s="35"/>
      <c r="DL8" s="5" t="str">
        <f t="shared" si="14"/>
        <v/>
      </c>
      <c r="DM8" s="5"/>
      <c r="DN8" s="5" t="str">
        <f t="shared" si="15"/>
        <v/>
      </c>
      <c r="DO8" s="4"/>
      <c r="DP8" s="5" t="str">
        <f t="shared" si="16"/>
        <v/>
      </c>
      <c r="DQ8" s="4"/>
      <c r="DR8" s="2" t="str">
        <f t="shared" si="17"/>
        <v/>
      </c>
      <c r="DS8" s="4" t="str">
        <f t="shared" si="18"/>
        <v/>
      </c>
      <c r="DT8" s="5" t="str">
        <f t="shared" si="19"/>
        <v/>
      </c>
      <c r="DU8" s="36" t="str">
        <f t="shared" si="20"/>
        <v/>
      </c>
      <c r="DV8" s="29"/>
      <c r="DX8" s="40" t="str">
        <f>IF($A23="","",$A23)</f>
        <v/>
      </c>
      <c r="DY8" s="35"/>
      <c r="DZ8" s="5" t="str">
        <f t="shared" si="21"/>
        <v/>
      </c>
      <c r="EA8" s="5"/>
      <c r="EB8" s="5" t="str">
        <f t="shared" si="22"/>
        <v/>
      </c>
      <c r="EC8" s="4"/>
      <c r="ED8" s="5" t="str">
        <f t="shared" si="23"/>
        <v/>
      </c>
      <c r="EE8" s="4"/>
      <c r="EF8" s="2" t="str">
        <f t="shared" si="24"/>
        <v/>
      </c>
      <c r="EG8" s="4" t="str">
        <f t="shared" si="25"/>
        <v/>
      </c>
      <c r="EH8" s="5" t="str">
        <f t="shared" si="26"/>
        <v/>
      </c>
      <c r="EI8" s="36" t="str">
        <f t="shared" si="27"/>
        <v/>
      </c>
      <c r="EJ8" s="29"/>
      <c r="EL8" s="40" t="str">
        <f>IF($A23="","",$A23)</f>
        <v/>
      </c>
      <c r="EM8" s="35"/>
      <c r="EN8" s="5" t="str">
        <f t="shared" si="28"/>
        <v/>
      </c>
      <c r="EO8" s="5"/>
      <c r="EP8" s="5" t="str">
        <f t="shared" si="29"/>
        <v/>
      </c>
      <c r="EQ8" s="4"/>
      <c r="ER8" s="5" t="str">
        <f t="shared" si="30"/>
        <v/>
      </c>
      <c r="ES8" s="4"/>
      <c r="ET8" s="2" t="str">
        <f t="shared" si="31"/>
        <v/>
      </c>
      <c r="EU8" s="4" t="str">
        <f t="shared" si="32"/>
        <v/>
      </c>
      <c r="EV8" s="5" t="str">
        <f t="shared" si="33"/>
        <v/>
      </c>
      <c r="EW8" s="36" t="str">
        <f t="shared" si="34"/>
        <v/>
      </c>
      <c r="EX8" s="29"/>
      <c r="EZ8" s="40" t="str">
        <f>IF($A23="","",$A23)</f>
        <v/>
      </c>
      <c r="FA8" s="35"/>
      <c r="FB8" s="5" t="str">
        <f t="shared" si="35"/>
        <v/>
      </c>
      <c r="FC8" s="5"/>
      <c r="FD8" s="5" t="str">
        <f t="shared" si="36"/>
        <v/>
      </c>
      <c r="FE8" s="4"/>
      <c r="FF8" s="5" t="str">
        <f t="shared" si="37"/>
        <v/>
      </c>
      <c r="FG8" s="4"/>
      <c r="FH8" s="2" t="str">
        <f t="shared" si="38"/>
        <v/>
      </c>
      <c r="FI8" s="4" t="str">
        <f t="shared" si="39"/>
        <v/>
      </c>
      <c r="FJ8" s="5" t="str">
        <f t="shared" si="40"/>
        <v/>
      </c>
      <c r="FK8" s="36" t="str">
        <f t="shared" si="41"/>
        <v/>
      </c>
      <c r="FL8" s="29"/>
      <c r="FN8" s="40" t="str">
        <f>IF($A23="","",$A23)</f>
        <v/>
      </c>
      <c r="FO8" s="35"/>
      <c r="FP8" s="5" t="str">
        <f t="shared" si="42"/>
        <v/>
      </c>
      <c r="FQ8" s="5"/>
      <c r="FR8" s="5" t="str">
        <f t="shared" si="43"/>
        <v/>
      </c>
      <c r="FS8" s="4"/>
      <c r="FT8" s="5" t="str">
        <f t="shared" si="44"/>
        <v/>
      </c>
      <c r="FU8" s="4"/>
      <c r="FV8" s="2" t="str">
        <f t="shared" si="45"/>
        <v/>
      </c>
      <c r="FW8" s="4" t="str">
        <f t="shared" si="46"/>
        <v/>
      </c>
      <c r="FX8" s="5" t="str">
        <f t="shared" si="47"/>
        <v/>
      </c>
      <c r="FY8" s="36" t="str">
        <f t="shared" si="48"/>
        <v/>
      </c>
      <c r="FZ8" s="29"/>
      <c r="GB8" s="40" t="str">
        <f>IF($A23="","",$A23)</f>
        <v/>
      </c>
      <c r="GC8" s="35"/>
      <c r="GD8" s="5" t="str">
        <f t="shared" si="49"/>
        <v/>
      </c>
      <c r="GE8" s="5"/>
      <c r="GF8" s="5" t="str">
        <f t="shared" si="50"/>
        <v/>
      </c>
      <c r="GG8" s="4"/>
      <c r="GH8" s="5" t="str">
        <f t="shared" si="51"/>
        <v/>
      </c>
      <c r="GI8" s="4"/>
      <c r="GJ8" s="2" t="str">
        <f t="shared" si="52"/>
        <v/>
      </c>
      <c r="GK8" s="4" t="str">
        <f t="shared" si="53"/>
        <v/>
      </c>
      <c r="GL8" s="5" t="str">
        <f t="shared" si="54"/>
        <v/>
      </c>
      <c r="GM8" s="36" t="str">
        <f t="shared" si="55"/>
        <v/>
      </c>
      <c r="GN8" s="29"/>
      <c r="GP8" s="40" t="str">
        <f>IF($A23="","",$A23)</f>
        <v/>
      </c>
      <c r="GQ8" s="35"/>
      <c r="GR8" s="5" t="str">
        <f t="shared" si="56"/>
        <v/>
      </c>
      <c r="GS8" s="5"/>
      <c r="GT8" s="5" t="str">
        <f t="shared" si="57"/>
        <v/>
      </c>
      <c r="GU8" s="4"/>
      <c r="GV8" s="5" t="str">
        <f t="shared" si="81"/>
        <v/>
      </c>
      <c r="GW8" s="4"/>
      <c r="GX8" s="2" t="str">
        <f t="shared" si="82"/>
        <v/>
      </c>
      <c r="GY8" s="4" t="str">
        <f t="shared" si="83"/>
        <v/>
      </c>
      <c r="GZ8" s="2" t="str">
        <f t="shared" si="74"/>
        <v/>
      </c>
      <c r="HA8" s="4" t="str">
        <f t="shared" si="75"/>
        <v/>
      </c>
      <c r="HB8" s="5" t="str">
        <f t="shared" si="76"/>
        <v/>
      </c>
      <c r="HC8" s="36" t="str">
        <f t="shared" si="77"/>
        <v/>
      </c>
      <c r="HD8" s="29"/>
      <c r="HF8" s="40" t="str">
        <f>IF($A23="","",$A23)</f>
        <v/>
      </c>
      <c r="HG8" s="35"/>
      <c r="HH8" s="5" t="str">
        <f t="shared" si="78"/>
        <v/>
      </c>
      <c r="HI8" s="5"/>
      <c r="HJ8" s="29"/>
      <c r="HL8" s="40" t="str">
        <f>IF($A23="","",$A23)</f>
        <v/>
      </c>
      <c r="HM8" s="35"/>
      <c r="HN8" s="5" t="str">
        <f t="shared" si="79"/>
        <v/>
      </c>
      <c r="HO8" s="5"/>
      <c r="HP8" s="29"/>
      <c r="HR8" s="40" t="str">
        <f>IF($A23="","",$A23)</f>
        <v/>
      </c>
      <c r="HS8" s="35"/>
      <c r="HT8" s="5" t="str">
        <f t="shared" si="80"/>
        <v/>
      </c>
      <c r="HU8" s="5"/>
      <c r="HV8" s="29"/>
    </row>
    <row r="9" spans="1:230" x14ac:dyDescent="0.2">
      <c r="A9" s="54"/>
      <c r="B9" s="55"/>
      <c r="C9" s="58">
        <v>19331</v>
      </c>
      <c r="D9" s="5">
        <f t="shared" si="84"/>
        <v>54</v>
      </c>
      <c r="E9" s="5">
        <v>663</v>
      </c>
      <c r="F9" s="5">
        <f t="shared" si="85"/>
        <v>0</v>
      </c>
      <c r="G9" s="58">
        <v>10</v>
      </c>
      <c r="H9" s="5">
        <f t="shared" si="86"/>
        <v>0</v>
      </c>
      <c r="I9" s="59">
        <v>0</v>
      </c>
      <c r="J9" s="38" t="str">
        <f t="shared" si="87"/>
        <v>たまごっちブロックシール</v>
      </c>
      <c r="K9" s="5">
        <f t="shared" si="88"/>
        <v>600</v>
      </c>
      <c r="L9" s="5">
        <f t="shared" si="89"/>
        <v>0</v>
      </c>
      <c r="M9" s="36">
        <f t="shared" si="90"/>
        <v>0</v>
      </c>
      <c r="N9" s="29" t="s">
        <v>365</v>
      </c>
      <c r="P9" s="54"/>
      <c r="Q9" s="58">
        <v>10940</v>
      </c>
      <c r="R9" s="5">
        <f t="shared" si="91"/>
        <v>43</v>
      </c>
      <c r="S9" s="5">
        <v>291</v>
      </c>
      <c r="T9" s="5">
        <f t="shared" si="92"/>
        <v>0</v>
      </c>
      <c r="U9" s="58">
        <v>11</v>
      </c>
      <c r="V9" s="5">
        <f t="shared" si="93"/>
        <v>0</v>
      </c>
      <c r="W9" s="59">
        <v>3</v>
      </c>
      <c r="X9" s="38" t="str">
        <f t="shared" si="94"/>
        <v>パンケーキスクイーズ</v>
      </c>
      <c r="Y9" s="5">
        <f t="shared" si="95"/>
        <v>181</v>
      </c>
      <c r="Z9" s="5">
        <f t="shared" si="96"/>
        <v>0</v>
      </c>
      <c r="AA9" s="36">
        <f t="shared" si="97"/>
        <v>0</v>
      </c>
      <c r="AB9" s="29"/>
      <c r="AD9" s="54"/>
      <c r="AE9" s="58">
        <v>2042</v>
      </c>
      <c r="AF9" s="5">
        <f t="shared" si="98"/>
        <v>56</v>
      </c>
      <c r="AG9" s="5">
        <v>41</v>
      </c>
      <c r="AH9" s="5">
        <f t="shared" si="99"/>
        <v>2</v>
      </c>
      <c r="AI9" s="58">
        <v>16</v>
      </c>
      <c r="AJ9" s="5">
        <f t="shared" si="100"/>
        <v>2</v>
      </c>
      <c r="AK9" s="59">
        <v>2</v>
      </c>
      <c r="AL9" s="38" t="str">
        <f t="shared" si="101"/>
        <v>たまごっちマスコット</v>
      </c>
      <c r="AM9" s="5">
        <f t="shared" si="102"/>
        <v>1430</v>
      </c>
      <c r="AN9" s="5">
        <f t="shared" si="103"/>
        <v>2860</v>
      </c>
      <c r="AO9" s="36">
        <f t="shared" si="104"/>
        <v>0.51071428571428568</v>
      </c>
      <c r="AP9" s="29"/>
      <c r="AR9" s="54"/>
      <c r="AS9" s="58">
        <v>1427</v>
      </c>
      <c r="AT9" s="5">
        <f t="shared" si="105"/>
        <v>41</v>
      </c>
      <c r="AU9" s="5">
        <v>38</v>
      </c>
      <c r="AV9" s="5">
        <f t="shared" si="106"/>
        <v>4</v>
      </c>
      <c r="AW9" s="58">
        <v>15</v>
      </c>
      <c r="AX9" s="5">
        <f t="shared" si="107"/>
        <v>4</v>
      </c>
      <c r="AY9" s="59">
        <v>5</v>
      </c>
      <c r="AZ9" s="38" t="str">
        <f t="shared" si="108"/>
        <v>カエル</v>
      </c>
      <c r="BA9" s="5">
        <f t="shared" si="109"/>
        <v>0</v>
      </c>
      <c r="BB9" s="5">
        <f t="shared" si="110"/>
        <v>0</v>
      </c>
      <c r="BC9" s="36">
        <f t="shared" si="111"/>
        <v>0</v>
      </c>
      <c r="BD9" s="29"/>
      <c r="BE9" s="32"/>
      <c r="BF9" s="25"/>
      <c r="BG9" s="58">
        <v>3283</v>
      </c>
      <c r="BH9" s="5">
        <f t="shared" si="112"/>
        <v>56</v>
      </c>
      <c r="BI9" s="5">
        <v>30</v>
      </c>
      <c r="BJ9" s="5">
        <f t="shared" si="113"/>
        <v>1</v>
      </c>
      <c r="BK9" s="58">
        <v>3</v>
      </c>
      <c r="BL9" s="5">
        <f t="shared" si="114"/>
        <v>0</v>
      </c>
      <c r="BM9" s="59">
        <v>0</v>
      </c>
      <c r="BN9" s="38" t="str">
        <f t="shared" si="115"/>
        <v>ボンボンドロップシール</v>
      </c>
      <c r="BO9" s="5">
        <f t="shared" si="116"/>
        <v>1500</v>
      </c>
      <c r="BP9" s="5">
        <f t="shared" si="117"/>
        <v>0</v>
      </c>
      <c r="BQ9" s="36">
        <f t="shared" si="118"/>
        <v>0</v>
      </c>
      <c r="BR9" s="29"/>
      <c r="BT9" s="25"/>
      <c r="BU9" s="58"/>
      <c r="BV9" s="5" t="str">
        <f t="shared" si="119"/>
        <v/>
      </c>
      <c r="BW9" s="5"/>
      <c r="BX9" s="5" t="str">
        <f t="shared" si="120"/>
        <v/>
      </c>
      <c r="BY9" s="58"/>
      <c r="BZ9" s="5" t="str">
        <f t="shared" si="121"/>
        <v/>
      </c>
      <c r="CA9" s="59"/>
      <c r="CB9" s="38" t="str">
        <f t="shared" si="122"/>
        <v/>
      </c>
      <c r="CC9" s="5" t="str">
        <f t="shared" si="123"/>
        <v/>
      </c>
      <c r="CD9" s="5" t="str">
        <f t="shared" si="124"/>
        <v/>
      </c>
      <c r="CE9" s="36" t="str">
        <f t="shared" si="125"/>
        <v/>
      </c>
      <c r="CF9" s="29"/>
      <c r="CH9" s="40" t="str">
        <f>IF($A27="","",$A27)</f>
        <v/>
      </c>
      <c r="CI9" s="35"/>
      <c r="CJ9" s="5" t="str">
        <f t="shared" si="67"/>
        <v/>
      </c>
      <c r="CK9" s="5"/>
      <c r="CL9" s="5" t="str">
        <f t="shared" si="68"/>
        <v/>
      </c>
      <c r="CM9" s="4"/>
      <c r="CN9" s="5" t="str">
        <f t="shared" si="69"/>
        <v/>
      </c>
      <c r="CO9" s="4"/>
      <c r="CP9" s="2" t="str">
        <f t="shared" si="70"/>
        <v/>
      </c>
      <c r="CQ9" s="4" t="str">
        <f t="shared" si="71"/>
        <v/>
      </c>
      <c r="CR9" s="5" t="str">
        <f t="shared" si="72"/>
        <v/>
      </c>
      <c r="CS9" s="36" t="str">
        <f t="shared" si="73"/>
        <v/>
      </c>
      <c r="CT9" s="29"/>
      <c r="CV9" s="40" t="str">
        <f>IF($A27="","",$A27)</f>
        <v/>
      </c>
      <c r="CW9" s="35"/>
      <c r="CX9" s="5" t="str">
        <f t="shared" si="7"/>
        <v/>
      </c>
      <c r="CY9" s="5"/>
      <c r="CZ9" s="5" t="str">
        <f t="shared" si="8"/>
        <v/>
      </c>
      <c r="DA9" s="4"/>
      <c r="DB9" s="5" t="str">
        <f t="shared" si="9"/>
        <v/>
      </c>
      <c r="DC9" s="4"/>
      <c r="DD9" s="2" t="str">
        <f t="shared" si="10"/>
        <v/>
      </c>
      <c r="DE9" s="4" t="str">
        <f t="shared" si="11"/>
        <v/>
      </c>
      <c r="DF9" s="5" t="str">
        <f t="shared" si="12"/>
        <v/>
      </c>
      <c r="DG9" s="36" t="str">
        <f t="shared" si="13"/>
        <v/>
      </c>
      <c r="DH9" s="29"/>
      <c r="DJ9" s="40" t="str">
        <f>IF($A27="","",$A27)</f>
        <v/>
      </c>
      <c r="DK9" s="35"/>
      <c r="DL9" s="5" t="str">
        <f t="shared" si="14"/>
        <v/>
      </c>
      <c r="DM9" s="5"/>
      <c r="DN9" s="5" t="str">
        <f t="shared" si="15"/>
        <v/>
      </c>
      <c r="DO9" s="4"/>
      <c r="DP9" s="5" t="str">
        <f t="shared" si="16"/>
        <v/>
      </c>
      <c r="DQ9" s="4"/>
      <c r="DR9" s="2" t="str">
        <f t="shared" si="17"/>
        <v/>
      </c>
      <c r="DS9" s="4" t="str">
        <f t="shared" si="18"/>
        <v/>
      </c>
      <c r="DT9" s="5" t="str">
        <f t="shared" si="19"/>
        <v/>
      </c>
      <c r="DU9" s="36" t="str">
        <f t="shared" si="20"/>
        <v/>
      </c>
      <c r="DV9" s="29"/>
      <c r="DX9" s="40" t="str">
        <f>IF($A27="","",$A27)</f>
        <v/>
      </c>
      <c r="DY9" s="35"/>
      <c r="DZ9" s="5" t="str">
        <f t="shared" si="21"/>
        <v/>
      </c>
      <c r="EA9" s="5"/>
      <c r="EB9" s="5" t="str">
        <f t="shared" si="22"/>
        <v/>
      </c>
      <c r="EC9" s="4"/>
      <c r="ED9" s="5" t="str">
        <f t="shared" si="23"/>
        <v/>
      </c>
      <c r="EE9" s="4"/>
      <c r="EF9" s="2" t="str">
        <f t="shared" si="24"/>
        <v/>
      </c>
      <c r="EG9" s="4" t="str">
        <f t="shared" si="25"/>
        <v/>
      </c>
      <c r="EH9" s="5" t="str">
        <f t="shared" si="26"/>
        <v/>
      </c>
      <c r="EI9" s="36" t="str">
        <f t="shared" si="27"/>
        <v/>
      </c>
      <c r="EJ9" s="29"/>
      <c r="EL9" s="40" t="str">
        <f>IF($A27="","",$A27)</f>
        <v/>
      </c>
      <c r="EM9" s="35"/>
      <c r="EN9" s="5" t="str">
        <f t="shared" si="28"/>
        <v/>
      </c>
      <c r="EO9" s="5"/>
      <c r="EP9" s="5" t="str">
        <f t="shared" si="29"/>
        <v/>
      </c>
      <c r="EQ9" s="4"/>
      <c r="ER9" s="5" t="str">
        <f t="shared" si="30"/>
        <v/>
      </c>
      <c r="ES9" s="4"/>
      <c r="ET9" s="2" t="str">
        <f t="shared" si="31"/>
        <v/>
      </c>
      <c r="EU9" s="4" t="str">
        <f t="shared" si="32"/>
        <v/>
      </c>
      <c r="EV9" s="5" t="str">
        <f t="shared" si="33"/>
        <v/>
      </c>
      <c r="EW9" s="36" t="str">
        <f t="shared" si="34"/>
        <v/>
      </c>
      <c r="EX9" s="29"/>
      <c r="EZ9" s="40" t="str">
        <f>IF($A27="","",$A27)</f>
        <v/>
      </c>
      <c r="FA9" s="35"/>
      <c r="FB9" s="5" t="str">
        <f t="shared" si="35"/>
        <v/>
      </c>
      <c r="FC9" s="5"/>
      <c r="FD9" s="5" t="str">
        <f t="shared" si="36"/>
        <v/>
      </c>
      <c r="FE9" s="4"/>
      <c r="FF9" s="5" t="str">
        <f t="shared" si="37"/>
        <v/>
      </c>
      <c r="FG9" s="4"/>
      <c r="FH9" s="2" t="str">
        <f t="shared" si="38"/>
        <v/>
      </c>
      <c r="FI9" s="4" t="str">
        <f t="shared" si="39"/>
        <v/>
      </c>
      <c r="FJ9" s="5" t="str">
        <f t="shared" si="40"/>
        <v/>
      </c>
      <c r="FK9" s="36" t="str">
        <f t="shared" si="41"/>
        <v/>
      </c>
      <c r="FL9" s="29"/>
      <c r="FN9" s="40" t="str">
        <f>IF($A27="","",$A27)</f>
        <v/>
      </c>
      <c r="FO9" s="35"/>
      <c r="FP9" s="5" t="str">
        <f t="shared" si="42"/>
        <v/>
      </c>
      <c r="FQ9" s="5"/>
      <c r="FR9" s="5" t="str">
        <f t="shared" si="43"/>
        <v/>
      </c>
      <c r="FS9" s="4"/>
      <c r="FT9" s="5" t="str">
        <f t="shared" si="44"/>
        <v/>
      </c>
      <c r="FU9" s="4"/>
      <c r="FV9" s="2" t="str">
        <f t="shared" si="45"/>
        <v/>
      </c>
      <c r="FW9" s="4" t="str">
        <f t="shared" si="46"/>
        <v/>
      </c>
      <c r="FX9" s="5" t="str">
        <f t="shared" si="47"/>
        <v/>
      </c>
      <c r="FY9" s="36" t="str">
        <f t="shared" si="48"/>
        <v/>
      </c>
      <c r="FZ9" s="29"/>
      <c r="GB9" s="40" t="str">
        <f>IF($A27="","",$A27)</f>
        <v/>
      </c>
      <c r="GC9" s="35"/>
      <c r="GD9" s="5" t="str">
        <f t="shared" si="49"/>
        <v/>
      </c>
      <c r="GE9" s="5"/>
      <c r="GF9" s="5" t="str">
        <f t="shared" si="50"/>
        <v/>
      </c>
      <c r="GG9" s="4"/>
      <c r="GH9" s="5" t="str">
        <f t="shared" si="51"/>
        <v/>
      </c>
      <c r="GI9" s="4"/>
      <c r="GJ9" s="2" t="str">
        <f t="shared" si="52"/>
        <v/>
      </c>
      <c r="GK9" s="4" t="str">
        <f t="shared" si="53"/>
        <v/>
      </c>
      <c r="GL9" s="5" t="str">
        <f t="shared" si="54"/>
        <v/>
      </c>
      <c r="GM9" s="36" t="str">
        <f t="shared" si="55"/>
        <v/>
      </c>
      <c r="GN9" s="29"/>
      <c r="GP9" s="40" t="str">
        <f>IF($A27="","",$A27)</f>
        <v/>
      </c>
      <c r="GQ9" s="35"/>
      <c r="GR9" s="5" t="str">
        <f t="shared" si="56"/>
        <v/>
      </c>
      <c r="GS9" s="5"/>
      <c r="GT9" s="5" t="str">
        <f t="shared" si="57"/>
        <v/>
      </c>
      <c r="GU9" s="4"/>
      <c r="GV9" s="5" t="str">
        <f t="shared" si="81"/>
        <v/>
      </c>
      <c r="GW9" s="4"/>
      <c r="GX9" s="2" t="str">
        <f t="shared" si="82"/>
        <v/>
      </c>
      <c r="GY9" s="4" t="str">
        <f t="shared" si="83"/>
        <v/>
      </c>
      <c r="GZ9" s="2" t="str">
        <f t="shared" si="74"/>
        <v/>
      </c>
      <c r="HA9" s="4" t="str">
        <f t="shared" si="75"/>
        <v/>
      </c>
      <c r="HB9" s="5" t="str">
        <f t="shared" si="76"/>
        <v/>
      </c>
      <c r="HC9" s="36" t="str">
        <f t="shared" si="77"/>
        <v/>
      </c>
      <c r="HD9" s="29"/>
      <c r="HF9" s="40" t="str">
        <f>IF($A27="","",$A27)</f>
        <v/>
      </c>
      <c r="HG9" s="35"/>
      <c r="HH9" s="5" t="str">
        <f t="shared" si="78"/>
        <v/>
      </c>
      <c r="HI9" s="5"/>
      <c r="HJ9" s="29"/>
      <c r="HL9" s="40" t="str">
        <f>IF($A27="","",$A27)</f>
        <v/>
      </c>
      <c r="HM9" s="35"/>
      <c r="HN9" s="5" t="str">
        <f t="shared" si="79"/>
        <v/>
      </c>
      <c r="HO9" s="5"/>
      <c r="HP9" s="29"/>
      <c r="HR9" s="40" t="str">
        <f>IF($A27="","",$A27)</f>
        <v/>
      </c>
      <c r="HS9" s="35"/>
      <c r="HT9" s="5" t="str">
        <f t="shared" si="80"/>
        <v/>
      </c>
      <c r="HU9" s="5"/>
      <c r="HV9" s="29"/>
    </row>
    <row r="10" spans="1:230" ht="15" customHeight="1" thickBot="1" x14ac:dyDescent="0.25">
      <c r="A10" s="60"/>
      <c r="B10" s="42"/>
      <c r="C10" s="44">
        <v>23740</v>
      </c>
      <c r="D10" s="61">
        <f t="shared" si="84"/>
        <v>55</v>
      </c>
      <c r="E10" s="44">
        <v>1187</v>
      </c>
      <c r="F10" s="44">
        <f t="shared" si="85"/>
        <v>2</v>
      </c>
      <c r="G10" s="44">
        <v>22</v>
      </c>
      <c r="H10" s="44">
        <f t="shared" si="86"/>
        <v>2</v>
      </c>
      <c r="I10" s="62">
        <v>0</v>
      </c>
      <c r="J10" s="47" t="str">
        <f t="shared" si="87"/>
        <v>フルーツスクイーズ</v>
      </c>
      <c r="K10" s="61">
        <f t="shared" si="88"/>
        <v>99</v>
      </c>
      <c r="L10" s="44">
        <f t="shared" si="89"/>
        <v>198</v>
      </c>
      <c r="M10" s="46">
        <f t="shared" si="90"/>
        <v>3.5999999999999997E-2</v>
      </c>
      <c r="N10" s="29"/>
      <c r="P10" s="60"/>
      <c r="Q10" s="44">
        <v>9641</v>
      </c>
      <c r="R10" s="61">
        <f t="shared" si="91"/>
        <v>86</v>
      </c>
      <c r="S10" s="44">
        <v>230</v>
      </c>
      <c r="T10" s="44">
        <f t="shared" si="92"/>
        <v>2</v>
      </c>
      <c r="U10" s="44">
        <v>0</v>
      </c>
      <c r="V10" s="44">
        <f t="shared" si="93"/>
        <v>2</v>
      </c>
      <c r="W10" s="62">
        <v>6</v>
      </c>
      <c r="X10" s="47" t="str">
        <f t="shared" si="94"/>
        <v>たまごっちカスタムキーリング</v>
      </c>
      <c r="Y10" s="61">
        <f t="shared" si="95"/>
        <v>200</v>
      </c>
      <c r="Z10" s="44">
        <f t="shared" si="96"/>
        <v>400</v>
      </c>
      <c r="AA10" s="46">
        <f t="shared" si="97"/>
        <v>4.6511627906976744E-2</v>
      </c>
      <c r="AB10" s="29"/>
      <c r="AD10" s="60"/>
      <c r="AE10" s="44">
        <v>221</v>
      </c>
      <c r="AF10" s="61">
        <f t="shared" si="98"/>
        <v>20</v>
      </c>
      <c r="AG10" s="44">
        <v>35</v>
      </c>
      <c r="AH10" s="44">
        <f t="shared" si="99"/>
        <v>0</v>
      </c>
      <c r="AI10" s="44">
        <v>16</v>
      </c>
      <c r="AJ10" s="44">
        <f t="shared" si="100"/>
        <v>0</v>
      </c>
      <c r="AK10" s="62">
        <v>2</v>
      </c>
      <c r="AL10" s="47" t="str">
        <f t="shared" si="101"/>
        <v>バタースクイーズ</v>
      </c>
      <c r="AM10" s="61">
        <f t="shared" si="102"/>
        <v>260</v>
      </c>
      <c r="AN10" s="44">
        <f t="shared" si="103"/>
        <v>0</v>
      </c>
      <c r="AO10" s="46">
        <f t="shared" si="104"/>
        <v>0</v>
      </c>
      <c r="AP10" s="29" t="s">
        <v>366</v>
      </c>
      <c r="AR10" s="60"/>
      <c r="AS10" s="44">
        <v>1289</v>
      </c>
      <c r="AT10" s="61">
        <f t="shared" si="105"/>
        <v>22</v>
      </c>
      <c r="AU10" s="44">
        <v>43</v>
      </c>
      <c r="AV10" s="44">
        <f t="shared" si="106"/>
        <v>0</v>
      </c>
      <c r="AW10" s="44">
        <v>132</v>
      </c>
      <c r="AX10" s="44">
        <f t="shared" si="107"/>
        <v>0</v>
      </c>
      <c r="AY10" s="62">
        <v>4</v>
      </c>
      <c r="AZ10" s="47" t="s">
        <v>368</v>
      </c>
      <c r="BA10" s="61">
        <f t="shared" si="109"/>
        <v>170</v>
      </c>
      <c r="BB10" s="44">
        <f t="shared" si="110"/>
        <v>0</v>
      </c>
      <c r="BC10" s="46">
        <f t="shared" si="111"/>
        <v>0</v>
      </c>
      <c r="BD10" s="29"/>
      <c r="BE10" s="32"/>
      <c r="BF10" s="41"/>
      <c r="BG10" s="44">
        <v>4564</v>
      </c>
      <c r="BH10" s="61">
        <f t="shared" si="112"/>
        <v>24</v>
      </c>
      <c r="BI10" s="44">
        <v>54</v>
      </c>
      <c r="BJ10" s="44">
        <f t="shared" si="113"/>
        <v>0</v>
      </c>
      <c r="BK10" s="44">
        <v>3</v>
      </c>
      <c r="BL10" s="44">
        <f t="shared" si="114"/>
        <v>0</v>
      </c>
      <c r="BM10" s="62">
        <v>0</v>
      </c>
      <c r="BN10" s="47" t="str">
        <f t="shared" si="115"/>
        <v>ボンボンドロップシール</v>
      </c>
      <c r="BO10" s="61">
        <f t="shared" si="116"/>
        <v>1500</v>
      </c>
      <c r="BP10" s="44">
        <f t="shared" si="117"/>
        <v>0</v>
      </c>
      <c r="BQ10" s="46">
        <f t="shared" si="118"/>
        <v>0</v>
      </c>
      <c r="BR10" s="29"/>
      <c r="BT10" s="41"/>
      <c r="BU10" s="44"/>
      <c r="BV10" s="61" t="str">
        <f t="shared" si="119"/>
        <v/>
      </c>
      <c r="BW10" s="44"/>
      <c r="BX10" s="44" t="str">
        <f t="shared" si="120"/>
        <v/>
      </c>
      <c r="BY10" s="44"/>
      <c r="BZ10" s="44" t="str">
        <f t="shared" si="121"/>
        <v/>
      </c>
      <c r="CA10" s="62"/>
      <c r="CB10" s="47" t="str">
        <f t="shared" si="122"/>
        <v/>
      </c>
      <c r="CC10" s="61" t="str">
        <f t="shared" si="123"/>
        <v/>
      </c>
      <c r="CD10" s="44" t="str">
        <f t="shared" si="124"/>
        <v/>
      </c>
      <c r="CE10" s="46" t="str">
        <f t="shared" si="125"/>
        <v/>
      </c>
      <c r="CF10" s="29"/>
      <c r="CH10" s="40" t="str">
        <f>IF($A31="","",$A31)</f>
        <v/>
      </c>
      <c r="CI10" s="35"/>
      <c r="CJ10" s="5" t="str">
        <f t="shared" si="67"/>
        <v/>
      </c>
      <c r="CK10" s="5"/>
      <c r="CL10" s="5" t="str">
        <f t="shared" si="68"/>
        <v/>
      </c>
      <c r="CM10" s="4"/>
      <c r="CN10" s="143" t="str">
        <f t="shared" si="69"/>
        <v/>
      </c>
      <c r="CO10" s="4"/>
      <c r="CP10" s="2" t="str">
        <f t="shared" si="70"/>
        <v/>
      </c>
      <c r="CQ10" s="4" t="str">
        <f t="shared" si="71"/>
        <v/>
      </c>
      <c r="CR10" s="5" t="str">
        <f t="shared" si="72"/>
        <v/>
      </c>
      <c r="CS10" s="36" t="str">
        <f t="shared" si="73"/>
        <v/>
      </c>
      <c r="CT10" s="29"/>
      <c r="CV10" s="40" t="str">
        <f>IF($A31="","",$A31)</f>
        <v/>
      </c>
      <c r="CW10" s="35"/>
      <c r="CX10" s="5" t="str">
        <f t="shared" si="7"/>
        <v/>
      </c>
      <c r="CY10" s="5"/>
      <c r="CZ10" s="5" t="str">
        <f t="shared" si="8"/>
        <v/>
      </c>
      <c r="DA10" s="4"/>
      <c r="DB10" s="143" t="str">
        <f t="shared" si="9"/>
        <v/>
      </c>
      <c r="DC10" s="4"/>
      <c r="DD10" s="2" t="str">
        <f t="shared" si="10"/>
        <v/>
      </c>
      <c r="DE10" s="4" t="str">
        <f t="shared" si="11"/>
        <v/>
      </c>
      <c r="DF10" s="5" t="str">
        <f t="shared" si="12"/>
        <v/>
      </c>
      <c r="DG10" s="36" t="str">
        <f t="shared" si="13"/>
        <v/>
      </c>
      <c r="DH10" s="29"/>
      <c r="DJ10" s="40" t="str">
        <f>IF($A31="","",$A31)</f>
        <v/>
      </c>
      <c r="DK10" s="35"/>
      <c r="DL10" s="5" t="str">
        <f t="shared" si="14"/>
        <v/>
      </c>
      <c r="DM10" s="5"/>
      <c r="DN10" s="5" t="str">
        <f t="shared" si="15"/>
        <v/>
      </c>
      <c r="DO10" s="4"/>
      <c r="DP10" s="143" t="str">
        <f t="shared" si="16"/>
        <v/>
      </c>
      <c r="DQ10" s="4"/>
      <c r="DR10" s="2" t="str">
        <f t="shared" si="17"/>
        <v/>
      </c>
      <c r="DS10" s="4" t="str">
        <f t="shared" si="18"/>
        <v/>
      </c>
      <c r="DT10" s="5" t="str">
        <f t="shared" si="19"/>
        <v/>
      </c>
      <c r="DU10" s="36" t="str">
        <f t="shared" si="20"/>
        <v/>
      </c>
      <c r="DV10" s="29"/>
      <c r="DX10" s="40" t="str">
        <f>IF($A31="","",$A31)</f>
        <v/>
      </c>
      <c r="DY10" s="35"/>
      <c r="DZ10" s="5" t="str">
        <f t="shared" si="21"/>
        <v/>
      </c>
      <c r="EA10" s="5"/>
      <c r="EB10" s="5" t="str">
        <f t="shared" si="22"/>
        <v/>
      </c>
      <c r="EC10" s="4"/>
      <c r="ED10" s="143" t="str">
        <f t="shared" si="23"/>
        <v/>
      </c>
      <c r="EE10" s="4"/>
      <c r="EF10" s="2" t="str">
        <f t="shared" si="24"/>
        <v/>
      </c>
      <c r="EG10" s="4" t="str">
        <f t="shared" si="25"/>
        <v/>
      </c>
      <c r="EH10" s="5" t="str">
        <f t="shared" si="26"/>
        <v/>
      </c>
      <c r="EI10" s="36" t="str">
        <f t="shared" si="27"/>
        <v/>
      </c>
      <c r="EJ10" s="29"/>
      <c r="EL10" s="40" t="str">
        <f>IF($A31="","",$A31)</f>
        <v/>
      </c>
      <c r="EM10" s="35"/>
      <c r="EN10" s="5" t="str">
        <f t="shared" si="28"/>
        <v/>
      </c>
      <c r="EO10" s="5"/>
      <c r="EP10" s="5" t="str">
        <f t="shared" si="29"/>
        <v/>
      </c>
      <c r="EQ10" s="4"/>
      <c r="ER10" s="143" t="str">
        <f t="shared" si="30"/>
        <v/>
      </c>
      <c r="ES10" s="4"/>
      <c r="ET10" s="2" t="str">
        <f t="shared" si="31"/>
        <v/>
      </c>
      <c r="EU10" s="4" t="str">
        <f t="shared" si="32"/>
        <v/>
      </c>
      <c r="EV10" s="5" t="str">
        <f t="shared" si="33"/>
        <v/>
      </c>
      <c r="EW10" s="36" t="str">
        <f t="shared" si="34"/>
        <v/>
      </c>
      <c r="EX10" s="29"/>
      <c r="EZ10" s="40" t="str">
        <f>IF($A31="","",$A31)</f>
        <v/>
      </c>
      <c r="FA10" s="35"/>
      <c r="FB10" s="5" t="str">
        <f t="shared" si="35"/>
        <v/>
      </c>
      <c r="FC10" s="5"/>
      <c r="FD10" s="5" t="str">
        <f t="shared" si="36"/>
        <v/>
      </c>
      <c r="FE10" s="4"/>
      <c r="FF10" s="143" t="str">
        <f t="shared" si="37"/>
        <v/>
      </c>
      <c r="FG10" s="4"/>
      <c r="FH10" s="2" t="str">
        <f t="shared" si="38"/>
        <v/>
      </c>
      <c r="FI10" s="4" t="str">
        <f t="shared" si="39"/>
        <v/>
      </c>
      <c r="FJ10" s="5" t="str">
        <f t="shared" si="40"/>
        <v/>
      </c>
      <c r="FK10" s="36" t="str">
        <f t="shared" si="41"/>
        <v/>
      </c>
      <c r="FL10" s="29"/>
      <c r="FN10" s="40" t="str">
        <f>IF($A31="","",$A31)</f>
        <v/>
      </c>
      <c r="FO10" s="35"/>
      <c r="FP10" s="5" t="str">
        <f t="shared" si="42"/>
        <v/>
      </c>
      <c r="FQ10" s="5"/>
      <c r="FR10" s="5" t="str">
        <f t="shared" si="43"/>
        <v/>
      </c>
      <c r="FS10" s="4"/>
      <c r="FT10" s="143" t="str">
        <f t="shared" si="44"/>
        <v/>
      </c>
      <c r="FU10" s="4"/>
      <c r="FV10" s="2" t="str">
        <f t="shared" si="45"/>
        <v/>
      </c>
      <c r="FW10" s="4" t="str">
        <f t="shared" si="46"/>
        <v/>
      </c>
      <c r="FX10" s="5" t="str">
        <f t="shared" si="47"/>
        <v/>
      </c>
      <c r="FY10" s="36" t="str">
        <f t="shared" si="48"/>
        <v/>
      </c>
      <c r="FZ10" s="29"/>
      <c r="GB10" s="40" t="str">
        <f>IF($A31="","",$A31)</f>
        <v/>
      </c>
      <c r="GC10" s="35"/>
      <c r="GD10" s="5" t="str">
        <f t="shared" si="49"/>
        <v/>
      </c>
      <c r="GE10" s="5"/>
      <c r="GF10" s="5" t="str">
        <f t="shared" si="50"/>
        <v/>
      </c>
      <c r="GG10" s="4"/>
      <c r="GH10" s="143" t="str">
        <f t="shared" si="51"/>
        <v/>
      </c>
      <c r="GI10" s="4"/>
      <c r="GJ10" s="2" t="str">
        <f t="shared" si="52"/>
        <v/>
      </c>
      <c r="GK10" s="4" t="str">
        <f t="shared" si="53"/>
        <v/>
      </c>
      <c r="GL10" s="5" t="str">
        <f t="shared" si="54"/>
        <v/>
      </c>
      <c r="GM10" s="36" t="str">
        <f t="shared" si="55"/>
        <v/>
      </c>
      <c r="GN10" s="29"/>
      <c r="GP10" s="40" t="str">
        <f>IF($A31="","",$A31)</f>
        <v/>
      </c>
      <c r="GQ10" s="35"/>
      <c r="GR10" s="5" t="str">
        <f t="shared" si="56"/>
        <v/>
      </c>
      <c r="GS10" s="5"/>
      <c r="GT10" s="5" t="str">
        <f t="shared" si="57"/>
        <v/>
      </c>
      <c r="GU10" s="4"/>
      <c r="GV10" s="143" t="str">
        <f t="shared" si="81"/>
        <v/>
      </c>
      <c r="GW10" s="4"/>
      <c r="GX10" s="2" t="str">
        <f t="shared" si="82"/>
        <v/>
      </c>
      <c r="GY10" s="4" t="str">
        <f t="shared" si="83"/>
        <v/>
      </c>
      <c r="GZ10" s="2" t="str">
        <f t="shared" si="74"/>
        <v/>
      </c>
      <c r="HA10" s="4" t="str">
        <f t="shared" si="75"/>
        <v/>
      </c>
      <c r="HB10" s="5" t="str">
        <f t="shared" si="76"/>
        <v/>
      </c>
      <c r="HC10" s="36" t="str">
        <f t="shared" si="77"/>
        <v/>
      </c>
      <c r="HD10" s="29"/>
      <c r="HF10" s="40" t="str">
        <f>IF($A31="","",$A31)</f>
        <v/>
      </c>
      <c r="HG10" s="35"/>
      <c r="HH10" s="5" t="str">
        <f t="shared" si="78"/>
        <v/>
      </c>
      <c r="HI10" s="5"/>
      <c r="HJ10" s="29"/>
      <c r="HL10" s="40" t="str">
        <f>IF($A31="","",$A31)</f>
        <v/>
      </c>
      <c r="HM10" s="35"/>
      <c r="HN10" s="5" t="str">
        <f t="shared" si="79"/>
        <v/>
      </c>
      <c r="HO10" s="5"/>
      <c r="HP10" s="29"/>
      <c r="HR10" s="40" t="str">
        <f>IF($A31="","",$A31)</f>
        <v/>
      </c>
      <c r="HS10" s="35"/>
      <c r="HT10" s="5" t="str">
        <f t="shared" si="80"/>
        <v/>
      </c>
      <c r="HU10" s="5"/>
      <c r="HV10" s="29"/>
    </row>
    <row r="11" spans="1:230" ht="15" customHeight="1" thickTop="1" x14ac:dyDescent="0.2">
      <c r="A11" s="49">
        <v>46167</v>
      </c>
      <c r="B11" s="26">
        <f>SUM(D11:D14)+SUM(R11:R14)+SUM(AF11:AF14)+SUM(AT11:AT14)+SUM(CJ5,CX5,DL5,DZ5,EN5,FB5,FP5,GD5,GR5,HH5,HN5,HT5)+SUM(BH11:BH14)+SUM(BV11:BV12)</f>
        <v>1716</v>
      </c>
      <c r="C11" s="4">
        <v>13919</v>
      </c>
      <c r="D11" s="4">
        <f t="shared" ref="D7:D58" si="126">IF(C11="","",C11-C7)</f>
        <v>14</v>
      </c>
      <c r="E11" s="4">
        <v>370</v>
      </c>
      <c r="F11" s="50">
        <f t="shared" ref="F7:F58" si="127">IF(E11="","",E11-E7)</f>
        <v>0</v>
      </c>
      <c r="G11" s="4">
        <v>11</v>
      </c>
      <c r="H11" s="4">
        <f t="shared" ref="H7:H53" si="128">IF(G11="","",G7+I7-G11)</f>
        <v>0</v>
      </c>
      <c r="I11" s="51">
        <v>0</v>
      </c>
      <c r="J11" s="31" t="str">
        <f t="shared" ref="J7:J33" si="129">IF(C11="","",J7)</f>
        <v>キティダブルミラー</v>
      </c>
      <c r="K11" s="27">
        <f t="shared" ref="K7:K58" si="130">IF(D11="","",K7)</f>
        <v>660</v>
      </c>
      <c r="L11" s="50">
        <f t="shared" ref="L7:L58" si="131">IF(G11="","",H11*K11)</f>
        <v>0</v>
      </c>
      <c r="M11" s="52">
        <f t="shared" ref="M7:M58" si="132">IF(H11="","",L11/(D11*100))</f>
        <v>0</v>
      </c>
      <c r="N11" s="29"/>
      <c r="O11" s="30"/>
      <c r="P11" s="53">
        <f>IF($A11="","",$A11)</f>
        <v>46167</v>
      </c>
      <c r="Q11" s="4">
        <v>4773</v>
      </c>
      <c r="R11" s="4">
        <f t="shared" si="91"/>
        <v>53</v>
      </c>
      <c r="S11" s="4">
        <v>203</v>
      </c>
      <c r="T11" s="50">
        <f t="shared" si="92"/>
        <v>1</v>
      </c>
      <c r="U11" s="4">
        <v>1</v>
      </c>
      <c r="V11" s="4">
        <f t="shared" si="93"/>
        <v>1</v>
      </c>
      <c r="W11" s="51">
        <v>13</v>
      </c>
      <c r="X11" s="31" t="str">
        <f t="shared" si="94"/>
        <v>サンリオボアバンスクリップ</v>
      </c>
      <c r="Y11" s="27">
        <f t="shared" si="95"/>
        <v>660</v>
      </c>
      <c r="Z11" s="50">
        <f t="shared" si="96"/>
        <v>660</v>
      </c>
      <c r="AA11" s="52">
        <f t="shared" si="97"/>
        <v>0.12452830188679245</v>
      </c>
      <c r="AB11" s="29" t="s">
        <v>373</v>
      </c>
      <c r="AD11" s="53">
        <f>IF($A11="","",$A11)</f>
        <v>46167</v>
      </c>
      <c r="AE11" s="4">
        <v>2517</v>
      </c>
      <c r="AF11" s="4">
        <f t="shared" si="98"/>
        <v>45</v>
      </c>
      <c r="AG11" s="4">
        <v>46</v>
      </c>
      <c r="AH11" s="50">
        <f t="shared" si="99"/>
        <v>1</v>
      </c>
      <c r="AI11" s="4">
        <v>2</v>
      </c>
      <c r="AJ11" s="4">
        <f t="shared" si="100"/>
        <v>1</v>
      </c>
      <c r="AK11" s="51"/>
      <c r="AL11" s="31" t="str">
        <f t="shared" si="101"/>
        <v>マリオカートマスコット</v>
      </c>
      <c r="AM11" s="27">
        <f t="shared" si="102"/>
        <v>792</v>
      </c>
      <c r="AN11" s="50">
        <f t="shared" si="103"/>
        <v>792</v>
      </c>
      <c r="AO11" s="52">
        <f t="shared" si="104"/>
        <v>0.17599999999999999</v>
      </c>
      <c r="AP11" s="29"/>
      <c r="AR11" s="53">
        <f>IF($A11="","",$A11)</f>
        <v>46167</v>
      </c>
      <c r="AS11" s="4">
        <v>2446</v>
      </c>
      <c r="AT11" s="4">
        <f t="shared" si="105"/>
        <v>27</v>
      </c>
      <c r="AU11" s="4">
        <v>55</v>
      </c>
      <c r="AV11" s="50">
        <f t="shared" si="106"/>
        <v>0</v>
      </c>
      <c r="AW11" s="4">
        <v>19</v>
      </c>
      <c r="AX11" s="4">
        <f t="shared" si="107"/>
        <v>0</v>
      </c>
      <c r="AY11" s="51">
        <v>0</v>
      </c>
      <c r="AZ11" s="31" t="str">
        <f t="shared" ref="AZ11:AZ42" si="133">IF(AS11="","",AZ7)</f>
        <v>ベアブリック</v>
      </c>
      <c r="BA11" s="27">
        <f t="shared" si="109"/>
        <v>847</v>
      </c>
      <c r="BB11" s="50">
        <f t="shared" si="110"/>
        <v>0</v>
      </c>
      <c r="BC11" s="52">
        <f t="shared" si="111"/>
        <v>0</v>
      </c>
      <c r="BD11" s="29"/>
      <c r="BE11" s="32"/>
      <c r="BF11" s="33">
        <f>IF($A11="","",$A11)</f>
        <v>46167</v>
      </c>
      <c r="BG11" s="4">
        <v>3878</v>
      </c>
      <c r="BH11" s="4">
        <f t="shared" si="112"/>
        <v>42</v>
      </c>
      <c r="BI11" s="4">
        <v>37</v>
      </c>
      <c r="BJ11" s="50">
        <f t="shared" si="113"/>
        <v>1</v>
      </c>
      <c r="BK11" s="4">
        <v>3</v>
      </c>
      <c r="BL11" s="4">
        <f t="shared" si="114"/>
        <v>0</v>
      </c>
      <c r="BM11" s="51">
        <v>0</v>
      </c>
      <c r="BN11" s="31" t="str">
        <f t="shared" si="115"/>
        <v>ボンボンドロップシール</v>
      </c>
      <c r="BO11" s="27">
        <f t="shared" si="116"/>
        <v>1500</v>
      </c>
      <c r="BP11" s="50">
        <f t="shared" si="117"/>
        <v>0</v>
      </c>
      <c r="BQ11" s="52">
        <f t="shared" si="118"/>
        <v>0</v>
      </c>
      <c r="BR11" s="29"/>
      <c r="BT11" s="33">
        <f>IF($A11="","",$A11)</f>
        <v>46167</v>
      </c>
      <c r="BU11" s="4">
        <v>36366</v>
      </c>
      <c r="BV11" s="4">
        <f t="shared" si="119"/>
        <v>13</v>
      </c>
      <c r="BW11" s="4">
        <v>3906</v>
      </c>
      <c r="BX11" s="50">
        <f t="shared" si="120"/>
        <v>0</v>
      </c>
      <c r="BY11" s="4">
        <v>39</v>
      </c>
      <c r="BZ11" s="4">
        <f t="shared" si="121"/>
        <v>0</v>
      </c>
      <c r="CA11" s="51">
        <v>0</v>
      </c>
      <c r="CB11" s="31" t="str">
        <f t="shared" si="122"/>
        <v>ベイビースリーフェイス</v>
      </c>
      <c r="CC11" s="27">
        <f t="shared" si="123"/>
        <v>1050</v>
      </c>
      <c r="CD11" s="50">
        <f t="shared" si="124"/>
        <v>0</v>
      </c>
      <c r="CE11" s="52">
        <f t="shared" si="125"/>
        <v>0</v>
      </c>
      <c r="CF11" s="29"/>
      <c r="CH11" s="40" t="str">
        <f>IF($A35="","",$A35)</f>
        <v/>
      </c>
      <c r="CI11" s="35"/>
      <c r="CJ11" s="5" t="str">
        <f t="shared" si="67"/>
        <v/>
      </c>
      <c r="CK11" s="5"/>
      <c r="CL11" s="5" t="str">
        <f t="shared" si="68"/>
        <v/>
      </c>
      <c r="CM11" s="4"/>
      <c r="CN11" s="5" t="str">
        <f t="shared" si="69"/>
        <v/>
      </c>
      <c r="CO11" s="4"/>
      <c r="CP11" s="2" t="str">
        <f t="shared" si="70"/>
        <v/>
      </c>
      <c r="CQ11" s="4" t="str">
        <f t="shared" si="71"/>
        <v/>
      </c>
      <c r="CR11" s="5" t="str">
        <f t="shared" si="72"/>
        <v/>
      </c>
      <c r="CS11" s="36" t="str">
        <f t="shared" si="73"/>
        <v/>
      </c>
      <c r="CT11" s="63"/>
      <c r="CV11" s="40" t="str">
        <f>IF($A35="","",$A35)</f>
        <v/>
      </c>
      <c r="CW11" s="35"/>
      <c r="CX11" s="5" t="str">
        <f t="shared" si="7"/>
        <v/>
      </c>
      <c r="CY11" s="5"/>
      <c r="CZ11" s="5" t="str">
        <f t="shared" si="8"/>
        <v/>
      </c>
      <c r="DA11" s="4"/>
      <c r="DB11" s="5" t="str">
        <f t="shared" si="9"/>
        <v/>
      </c>
      <c r="DC11" s="4"/>
      <c r="DD11" s="2" t="str">
        <f t="shared" si="10"/>
        <v/>
      </c>
      <c r="DE11" s="4" t="str">
        <f t="shared" si="11"/>
        <v/>
      </c>
      <c r="DF11" s="5" t="str">
        <f t="shared" si="12"/>
        <v/>
      </c>
      <c r="DG11" s="36" t="str">
        <f t="shared" si="13"/>
        <v/>
      </c>
      <c r="DH11" s="63"/>
      <c r="DJ11" s="40" t="str">
        <f>IF($A35="","",$A35)</f>
        <v/>
      </c>
      <c r="DK11" s="35"/>
      <c r="DL11" s="5" t="str">
        <f t="shared" si="14"/>
        <v/>
      </c>
      <c r="DM11" s="5"/>
      <c r="DN11" s="5" t="str">
        <f t="shared" si="15"/>
        <v/>
      </c>
      <c r="DO11" s="4"/>
      <c r="DP11" s="5" t="str">
        <f t="shared" si="16"/>
        <v/>
      </c>
      <c r="DQ11" s="4"/>
      <c r="DR11" s="2" t="str">
        <f t="shared" si="17"/>
        <v/>
      </c>
      <c r="DS11" s="4" t="str">
        <f t="shared" si="18"/>
        <v/>
      </c>
      <c r="DT11" s="5" t="str">
        <f t="shared" si="19"/>
        <v/>
      </c>
      <c r="DU11" s="36" t="str">
        <f t="shared" si="20"/>
        <v/>
      </c>
      <c r="DV11" s="63"/>
      <c r="DX11" s="40" t="str">
        <f>IF($A35="","",$A35)</f>
        <v/>
      </c>
      <c r="DY11" s="35"/>
      <c r="DZ11" s="5" t="str">
        <f t="shared" si="21"/>
        <v/>
      </c>
      <c r="EA11" s="5"/>
      <c r="EB11" s="5" t="str">
        <f t="shared" si="22"/>
        <v/>
      </c>
      <c r="EC11" s="4"/>
      <c r="ED11" s="5" t="str">
        <f t="shared" si="23"/>
        <v/>
      </c>
      <c r="EE11" s="4"/>
      <c r="EF11" s="2" t="str">
        <f t="shared" si="24"/>
        <v/>
      </c>
      <c r="EG11" s="4" t="str">
        <f t="shared" si="25"/>
        <v/>
      </c>
      <c r="EH11" s="5" t="str">
        <f t="shared" si="26"/>
        <v/>
      </c>
      <c r="EI11" s="36" t="str">
        <f t="shared" si="27"/>
        <v/>
      </c>
      <c r="EJ11" s="63"/>
      <c r="EL11" s="40" t="str">
        <f>IF($A35="","",$A35)</f>
        <v/>
      </c>
      <c r="EM11" s="35"/>
      <c r="EN11" s="5" t="str">
        <f t="shared" si="28"/>
        <v/>
      </c>
      <c r="EO11" s="5"/>
      <c r="EP11" s="5" t="str">
        <f t="shared" si="29"/>
        <v/>
      </c>
      <c r="EQ11" s="4"/>
      <c r="ER11" s="5" t="str">
        <f t="shared" si="30"/>
        <v/>
      </c>
      <c r="ES11" s="4"/>
      <c r="ET11" s="2" t="str">
        <f t="shared" si="31"/>
        <v/>
      </c>
      <c r="EU11" s="4" t="str">
        <f t="shared" si="32"/>
        <v/>
      </c>
      <c r="EV11" s="5" t="str">
        <f t="shared" si="33"/>
        <v/>
      </c>
      <c r="EW11" s="36" t="str">
        <f t="shared" si="34"/>
        <v/>
      </c>
      <c r="EX11" s="63"/>
      <c r="EZ11" s="40" t="str">
        <f>IF($A35="","",$A35)</f>
        <v/>
      </c>
      <c r="FA11" s="35"/>
      <c r="FB11" s="5" t="str">
        <f t="shared" si="35"/>
        <v/>
      </c>
      <c r="FC11" s="5"/>
      <c r="FD11" s="5" t="str">
        <f t="shared" si="36"/>
        <v/>
      </c>
      <c r="FE11" s="4"/>
      <c r="FF11" s="5" t="str">
        <f t="shared" si="37"/>
        <v/>
      </c>
      <c r="FG11" s="4"/>
      <c r="FH11" s="2" t="str">
        <f t="shared" si="38"/>
        <v/>
      </c>
      <c r="FI11" s="4" t="str">
        <f t="shared" si="39"/>
        <v/>
      </c>
      <c r="FJ11" s="5" t="str">
        <f t="shared" si="40"/>
        <v/>
      </c>
      <c r="FK11" s="36" t="str">
        <f t="shared" si="41"/>
        <v/>
      </c>
      <c r="FL11" s="63"/>
      <c r="FN11" s="40" t="str">
        <f>IF($A35="","",$A35)</f>
        <v/>
      </c>
      <c r="FO11" s="35"/>
      <c r="FP11" s="5" t="str">
        <f t="shared" si="42"/>
        <v/>
      </c>
      <c r="FQ11" s="5"/>
      <c r="FR11" s="5" t="str">
        <f t="shared" si="43"/>
        <v/>
      </c>
      <c r="FS11" s="4"/>
      <c r="FT11" s="5" t="str">
        <f t="shared" si="44"/>
        <v/>
      </c>
      <c r="FU11" s="4"/>
      <c r="FV11" s="2" t="str">
        <f t="shared" si="45"/>
        <v/>
      </c>
      <c r="FW11" s="4" t="str">
        <f t="shared" si="46"/>
        <v/>
      </c>
      <c r="FX11" s="5" t="str">
        <f t="shared" si="47"/>
        <v/>
      </c>
      <c r="FY11" s="36" t="str">
        <f t="shared" si="48"/>
        <v/>
      </c>
      <c r="FZ11" s="63"/>
      <c r="GB11" s="40" t="str">
        <f>IF($A35="","",$A35)</f>
        <v/>
      </c>
      <c r="GC11" s="35"/>
      <c r="GD11" s="5" t="str">
        <f t="shared" si="49"/>
        <v/>
      </c>
      <c r="GE11" s="5"/>
      <c r="GF11" s="5" t="str">
        <f t="shared" si="50"/>
        <v/>
      </c>
      <c r="GG11" s="4"/>
      <c r="GH11" s="5" t="str">
        <f t="shared" si="51"/>
        <v/>
      </c>
      <c r="GI11" s="4"/>
      <c r="GJ11" s="2" t="str">
        <f t="shared" si="52"/>
        <v/>
      </c>
      <c r="GK11" s="4" t="str">
        <f t="shared" si="53"/>
        <v/>
      </c>
      <c r="GL11" s="5" t="str">
        <f t="shared" si="54"/>
        <v/>
      </c>
      <c r="GM11" s="36" t="str">
        <f t="shared" si="55"/>
        <v/>
      </c>
      <c r="GN11" s="63"/>
      <c r="GP11" s="40" t="str">
        <f>IF($A35="","",$A35)</f>
        <v/>
      </c>
      <c r="GQ11" s="35"/>
      <c r="GR11" s="5" t="str">
        <f t="shared" si="56"/>
        <v/>
      </c>
      <c r="GS11" s="5"/>
      <c r="GT11" s="5" t="str">
        <f t="shared" si="57"/>
        <v/>
      </c>
      <c r="GU11" s="4"/>
      <c r="GV11" s="5" t="str">
        <f t="shared" si="81"/>
        <v/>
      </c>
      <c r="GW11" s="4"/>
      <c r="GX11" s="2" t="str">
        <f t="shared" si="82"/>
        <v/>
      </c>
      <c r="GY11" s="4" t="str">
        <f t="shared" si="83"/>
        <v/>
      </c>
      <c r="GZ11" s="2" t="str">
        <f t="shared" si="74"/>
        <v/>
      </c>
      <c r="HA11" s="4" t="str">
        <f t="shared" si="75"/>
        <v/>
      </c>
      <c r="HB11" s="5" t="str">
        <f t="shared" si="76"/>
        <v/>
      </c>
      <c r="HC11" s="36" t="str">
        <f t="shared" si="77"/>
        <v/>
      </c>
      <c r="HD11" s="63"/>
      <c r="HF11" s="40" t="str">
        <f>IF($A35="","",$A35)</f>
        <v/>
      </c>
      <c r="HG11" s="35"/>
      <c r="HH11" s="5" t="str">
        <f t="shared" si="78"/>
        <v/>
      </c>
      <c r="HI11" s="5"/>
      <c r="HJ11" s="63"/>
      <c r="HL11" s="40" t="str">
        <f>IF($A35="","",$A35)</f>
        <v/>
      </c>
      <c r="HM11" s="35"/>
      <c r="HN11" s="5" t="str">
        <f t="shared" si="79"/>
        <v/>
      </c>
      <c r="HO11" s="5"/>
      <c r="HP11" s="63"/>
      <c r="HR11" s="40" t="str">
        <f>IF($A35="","",$A35)</f>
        <v/>
      </c>
      <c r="HS11" s="35"/>
      <c r="HT11" s="5" t="str">
        <f t="shared" si="80"/>
        <v/>
      </c>
      <c r="HU11" s="5"/>
      <c r="HV11" s="63"/>
    </row>
    <row r="12" spans="1:230" x14ac:dyDescent="0.2">
      <c r="A12" s="54"/>
      <c r="B12" s="26"/>
      <c r="C12" s="4">
        <v>17828</v>
      </c>
      <c r="D12" s="5">
        <f t="shared" si="126"/>
        <v>77</v>
      </c>
      <c r="E12" s="5">
        <v>553</v>
      </c>
      <c r="F12" s="5">
        <f t="shared" si="127"/>
        <v>4</v>
      </c>
      <c r="G12" s="5">
        <v>6</v>
      </c>
      <c r="H12" s="5">
        <f t="shared" si="128"/>
        <v>5</v>
      </c>
      <c r="I12" s="35">
        <v>6</v>
      </c>
      <c r="J12" s="38" t="str">
        <f t="shared" si="129"/>
        <v>サンリオカラビナ付きミニファン</v>
      </c>
      <c r="K12" s="39">
        <f t="shared" si="130"/>
        <v>1100</v>
      </c>
      <c r="L12" s="5">
        <f t="shared" si="131"/>
        <v>5500</v>
      </c>
      <c r="M12" s="36">
        <f t="shared" si="132"/>
        <v>0.7142857142857143</v>
      </c>
      <c r="N12" s="29"/>
      <c r="O12" s="30"/>
      <c r="P12" s="25"/>
      <c r="Q12" s="4">
        <v>11448</v>
      </c>
      <c r="R12" s="5">
        <f t="shared" si="91"/>
        <v>18</v>
      </c>
      <c r="S12" s="5">
        <v>195</v>
      </c>
      <c r="T12" s="5">
        <f t="shared" si="92"/>
        <v>0</v>
      </c>
      <c r="U12" s="5">
        <v>9</v>
      </c>
      <c r="V12" s="5">
        <f t="shared" si="93"/>
        <v>0</v>
      </c>
      <c r="W12" s="35">
        <v>0</v>
      </c>
      <c r="X12" s="38" t="str">
        <f t="shared" si="94"/>
        <v>サンリオヘアバンド</v>
      </c>
      <c r="Y12" s="39">
        <f t="shared" si="95"/>
        <v>825</v>
      </c>
      <c r="Z12" s="5">
        <f t="shared" si="96"/>
        <v>0</v>
      </c>
      <c r="AA12" s="36">
        <f t="shared" si="97"/>
        <v>0</v>
      </c>
      <c r="AB12" s="29"/>
      <c r="AD12" s="25"/>
      <c r="AE12" s="4">
        <v>2398</v>
      </c>
      <c r="AF12" s="5">
        <f t="shared" si="98"/>
        <v>53</v>
      </c>
      <c r="AG12" s="5">
        <v>37</v>
      </c>
      <c r="AH12" s="5">
        <f t="shared" si="99"/>
        <v>1</v>
      </c>
      <c r="AI12" s="5">
        <v>51</v>
      </c>
      <c r="AJ12" s="5">
        <f t="shared" si="100"/>
        <v>0</v>
      </c>
      <c r="AK12" s="35">
        <v>0</v>
      </c>
      <c r="AL12" s="38" t="str">
        <f t="shared" si="101"/>
        <v>電ブル</v>
      </c>
      <c r="AM12" s="39">
        <f t="shared" si="102"/>
        <v>292</v>
      </c>
      <c r="AN12" s="5">
        <f t="shared" si="103"/>
        <v>0</v>
      </c>
      <c r="AO12" s="36">
        <f t="shared" si="104"/>
        <v>0</v>
      </c>
      <c r="AP12" s="29"/>
      <c r="AR12" s="25"/>
      <c r="AS12" s="4">
        <v>1934</v>
      </c>
      <c r="AT12" s="5">
        <f t="shared" si="105"/>
        <v>28</v>
      </c>
      <c r="AU12" s="5">
        <v>17</v>
      </c>
      <c r="AV12" s="5">
        <f t="shared" si="106"/>
        <v>2</v>
      </c>
      <c r="AW12" s="5">
        <v>2</v>
      </c>
      <c r="AX12" s="5">
        <f t="shared" si="107"/>
        <v>3</v>
      </c>
      <c r="AY12" s="35">
        <v>0</v>
      </c>
      <c r="AZ12" s="38" t="str">
        <f t="shared" si="133"/>
        <v>ジャグラーボタン</v>
      </c>
      <c r="BA12" s="39">
        <f t="shared" si="109"/>
        <v>770</v>
      </c>
      <c r="BB12" s="5">
        <f t="shared" si="110"/>
        <v>2310</v>
      </c>
      <c r="BC12" s="36">
        <f t="shared" si="111"/>
        <v>0.82499999999999996</v>
      </c>
      <c r="BD12" s="29" t="s">
        <v>230</v>
      </c>
      <c r="BE12" s="32"/>
      <c r="BF12" s="25"/>
      <c r="BG12" s="4">
        <v>5633</v>
      </c>
      <c r="BH12" s="5">
        <f t="shared" si="112"/>
        <v>24</v>
      </c>
      <c r="BI12" s="5">
        <v>53</v>
      </c>
      <c r="BJ12" s="5">
        <f t="shared" si="113"/>
        <v>1</v>
      </c>
      <c r="BK12" s="5">
        <v>3</v>
      </c>
      <c r="BL12" s="5">
        <f t="shared" si="114"/>
        <v>0</v>
      </c>
      <c r="BM12" s="35">
        <v>0</v>
      </c>
      <c r="BN12" s="38" t="str">
        <f t="shared" si="115"/>
        <v>ボンボンドロップシール</v>
      </c>
      <c r="BO12" s="39">
        <f t="shared" si="116"/>
        <v>1500</v>
      </c>
      <c r="BP12" s="5">
        <f t="shared" si="117"/>
        <v>0</v>
      </c>
      <c r="BQ12" s="36">
        <f t="shared" si="118"/>
        <v>0</v>
      </c>
      <c r="BR12" s="29"/>
      <c r="BT12" s="25"/>
      <c r="BU12" s="4">
        <v>32243</v>
      </c>
      <c r="BV12" s="5">
        <f t="shared" si="119"/>
        <v>39</v>
      </c>
      <c r="BW12" s="5">
        <v>1698</v>
      </c>
      <c r="BX12" s="5">
        <f t="shared" si="120"/>
        <v>1</v>
      </c>
      <c r="BY12" s="5">
        <v>41</v>
      </c>
      <c r="BZ12" s="5">
        <f t="shared" si="121"/>
        <v>1</v>
      </c>
      <c r="CA12" s="35">
        <v>-25</v>
      </c>
      <c r="CB12" s="38" t="str">
        <f t="shared" si="122"/>
        <v>サンリオボアポーチ</v>
      </c>
      <c r="CC12" s="39">
        <f t="shared" si="123"/>
        <v>950</v>
      </c>
      <c r="CD12" s="5">
        <f t="shared" si="124"/>
        <v>950</v>
      </c>
      <c r="CE12" s="36">
        <f t="shared" si="125"/>
        <v>0.24358974358974358</v>
      </c>
      <c r="CF12" s="29" t="s">
        <v>375</v>
      </c>
      <c r="CH12" s="40" t="str">
        <f>IF($A39="","",$A39)</f>
        <v/>
      </c>
      <c r="CI12" s="35"/>
      <c r="CJ12" s="5" t="str">
        <f t="shared" si="67"/>
        <v/>
      </c>
      <c r="CK12" s="5"/>
      <c r="CL12" s="5" t="str">
        <f t="shared" si="68"/>
        <v/>
      </c>
      <c r="CM12" s="5"/>
      <c r="CN12" s="5" t="str">
        <f t="shared" si="69"/>
        <v/>
      </c>
      <c r="CO12" s="5"/>
      <c r="CP12" s="2" t="str">
        <f t="shared" si="70"/>
        <v/>
      </c>
      <c r="CQ12" s="4" t="str">
        <f t="shared" si="71"/>
        <v/>
      </c>
      <c r="CR12" s="5" t="str">
        <f t="shared" si="72"/>
        <v/>
      </c>
      <c r="CS12" s="36" t="str">
        <f t="shared" si="73"/>
        <v/>
      </c>
      <c r="CT12" s="63"/>
      <c r="CV12" s="40" t="str">
        <f>IF($A39="","",$A39)</f>
        <v/>
      </c>
      <c r="CW12" s="35"/>
      <c r="CX12" s="5" t="str">
        <f t="shared" si="7"/>
        <v/>
      </c>
      <c r="CY12" s="5"/>
      <c r="CZ12" s="5" t="str">
        <f t="shared" si="8"/>
        <v/>
      </c>
      <c r="DA12" s="5"/>
      <c r="DB12" s="5" t="str">
        <f t="shared" si="9"/>
        <v/>
      </c>
      <c r="DC12" s="5"/>
      <c r="DD12" s="2" t="str">
        <f t="shared" si="10"/>
        <v/>
      </c>
      <c r="DE12" s="4" t="str">
        <f t="shared" si="11"/>
        <v/>
      </c>
      <c r="DF12" s="5" t="str">
        <f t="shared" si="12"/>
        <v/>
      </c>
      <c r="DG12" s="36" t="str">
        <f t="shared" si="13"/>
        <v/>
      </c>
      <c r="DH12" s="63"/>
      <c r="DJ12" s="40" t="str">
        <f>IF($A39="","",$A39)</f>
        <v/>
      </c>
      <c r="DK12" s="35"/>
      <c r="DL12" s="5" t="str">
        <f t="shared" si="14"/>
        <v/>
      </c>
      <c r="DM12" s="5"/>
      <c r="DN12" s="5" t="str">
        <f t="shared" si="15"/>
        <v/>
      </c>
      <c r="DO12" s="5"/>
      <c r="DP12" s="5" t="str">
        <f t="shared" si="16"/>
        <v/>
      </c>
      <c r="DQ12" s="5"/>
      <c r="DR12" s="2" t="str">
        <f t="shared" si="17"/>
        <v/>
      </c>
      <c r="DS12" s="4" t="str">
        <f t="shared" si="18"/>
        <v/>
      </c>
      <c r="DT12" s="5" t="str">
        <f t="shared" si="19"/>
        <v/>
      </c>
      <c r="DU12" s="36" t="str">
        <f t="shared" si="20"/>
        <v/>
      </c>
      <c r="DV12" s="63"/>
      <c r="DX12" s="40" t="str">
        <f>IF($A39="","",$A39)</f>
        <v/>
      </c>
      <c r="DY12" s="35"/>
      <c r="DZ12" s="5" t="str">
        <f t="shared" si="21"/>
        <v/>
      </c>
      <c r="EA12" s="5"/>
      <c r="EB12" s="5" t="str">
        <f t="shared" si="22"/>
        <v/>
      </c>
      <c r="EC12" s="5"/>
      <c r="ED12" s="5" t="str">
        <f t="shared" si="23"/>
        <v/>
      </c>
      <c r="EE12" s="5"/>
      <c r="EF12" s="2" t="str">
        <f t="shared" si="24"/>
        <v/>
      </c>
      <c r="EG12" s="4" t="str">
        <f t="shared" si="25"/>
        <v/>
      </c>
      <c r="EH12" s="5" t="str">
        <f t="shared" si="26"/>
        <v/>
      </c>
      <c r="EI12" s="36" t="str">
        <f t="shared" si="27"/>
        <v/>
      </c>
      <c r="EJ12" s="63"/>
      <c r="EL12" s="40" t="str">
        <f>IF($A39="","",$A39)</f>
        <v/>
      </c>
      <c r="EM12" s="35"/>
      <c r="EN12" s="5" t="str">
        <f t="shared" si="28"/>
        <v/>
      </c>
      <c r="EO12" s="5"/>
      <c r="EP12" s="5" t="str">
        <f t="shared" si="29"/>
        <v/>
      </c>
      <c r="EQ12" s="5"/>
      <c r="ER12" s="5" t="str">
        <f t="shared" si="30"/>
        <v/>
      </c>
      <c r="ES12" s="5"/>
      <c r="ET12" s="2" t="str">
        <f t="shared" si="31"/>
        <v/>
      </c>
      <c r="EU12" s="4" t="str">
        <f t="shared" si="32"/>
        <v/>
      </c>
      <c r="EV12" s="5" t="str">
        <f t="shared" si="33"/>
        <v/>
      </c>
      <c r="EW12" s="36" t="str">
        <f t="shared" si="34"/>
        <v/>
      </c>
      <c r="EX12" s="63"/>
      <c r="EZ12" s="40" t="str">
        <f>IF($A39="","",$A39)</f>
        <v/>
      </c>
      <c r="FA12" s="35"/>
      <c r="FB12" s="5" t="str">
        <f t="shared" si="35"/>
        <v/>
      </c>
      <c r="FC12" s="5"/>
      <c r="FD12" s="5" t="str">
        <f t="shared" si="36"/>
        <v/>
      </c>
      <c r="FE12" s="5"/>
      <c r="FF12" s="5" t="str">
        <f t="shared" si="37"/>
        <v/>
      </c>
      <c r="FG12" s="5"/>
      <c r="FH12" s="2" t="str">
        <f t="shared" si="38"/>
        <v/>
      </c>
      <c r="FI12" s="4" t="str">
        <f t="shared" si="39"/>
        <v/>
      </c>
      <c r="FJ12" s="5" t="str">
        <f t="shared" si="40"/>
        <v/>
      </c>
      <c r="FK12" s="36" t="str">
        <f t="shared" si="41"/>
        <v/>
      </c>
      <c r="FL12" s="63"/>
      <c r="FN12" s="40" t="str">
        <f>IF($A39="","",$A39)</f>
        <v/>
      </c>
      <c r="FO12" s="35"/>
      <c r="FP12" s="5" t="str">
        <f t="shared" si="42"/>
        <v/>
      </c>
      <c r="FQ12" s="5"/>
      <c r="FR12" s="5" t="str">
        <f t="shared" si="43"/>
        <v/>
      </c>
      <c r="FS12" s="5"/>
      <c r="FT12" s="5" t="str">
        <f t="shared" si="44"/>
        <v/>
      </c>
      <c r="FU12" s="5"/>
      <c r="FV12" s="2" t="str">
        <f t="shared" si="45"/>
        <v/>
      </c>
      <c r="FW12" s="4" t="str">
        <f t="shared" si="46"/>
        <v/>
      </c>
      <c r="FX12" s="5" t="str">
        <f t="shared" si="47"/>
        <v/>
      </c>
      <c r="FY12" s="36" t="str">
        <f t="shared" si="48"/>
        <v/>
      </c>
      <c r="FZ12" s="63"/>
      <c r="GB12" s="40" t="str">
        <f>IF($A39="","",$A39)</f>
        <v/>
      </c>
      <c r="GC12" s="35"/>
      <c r="GD12" s="5" t="str">
        <f t="shared" si="49"/>
        <v/>
      </c>
      <c r="GE12" s="5"/>
      <c r="GF12" s="5" t="str">
        <f t="shared" si="50"/>
        <v/>
      </c>
      <c r="GG12" s="5"/>
      <c r="GH12" s="5" t="str">
        <f t="shared" si="51"/>
        <v/>
      </c>
      <c r="GI12" s="5"/>
      <c r="GJ12" s="2" t="str">
        <f t="shared" si="52"/>
        <v/>
      </c>
      <c r="GK12" s="4" t="str">
        <f t="shared" si="53"/>
        <v/>
      </c>
      <c r="GL12" s="5" t="str">
        <f t="shared" si="54"/>
        <v/>
      </c>
      <c r="GM12" s="36" t="str">
        <f t="shared" si="55"/>
        <v/>
      </c>
      <c r="GN12" s="63"/>
      <c r="GP12" s="40" t="str">
        <f>IF($A39="","",$A39)</f>
        <v/>
      </c>
      <c r="GQ12" s="35"/>
      <c r="GR12" s="5" t="str">
        <f t="shared" si="56"/>
        <v/>
      </c>
      <c r="GS12" s="5"/>
      <c r="GT12" s="5" t="str">
        <f t="shared" si="57"/>
        <v/>
      </c>
      <c r="GU12" s="5"/>
      <c r="GV12" s="5" t="str">
        <f t="shared" si="81"/>
        <v/>
      </c>
      <c r="GW12" s="5"/>
      <c r="GX12" s="2" t="str">
        <f t="shared" si="82"/>
        <v/>
      </c>
      <c r="GY12" s="4" t="str">
        <f t="shared" si="83"/>
        <v/>
      </c>
      <c r="GZ12" s="2" t="str">
        <f t="shared" si="74"/>
        <v/>
      </c>
      <c r="HA12" s="4" t="str">
        <f t="shared" si="75"/>
        <v/>
      </c>
      <c r="HB12" s="5" t="str">
        <f t="shared" si="76"/>
        <v/>
      </c>
      <c r="HC12" s="36" t="str">
        <f t="shared" si="77"/>
        <v/>
      </c>
      <c r="HD12" s="63"/>
      <c r="HF12" s="40" t="str">
        <f>IF($A39="","",$A39)</f>
        <v/>
      </c>
      <c r="HG12" s="35"/>
      <c r="HH12" s="5" t="str">
        <f t="shared" si="78"/>
        <v/>
      </c>
      <c r="HI12" s="5"/>
      <c r="HJ12" s="63"/>
      <c r="HL12" s="40" t="str">
        <f>IF($A39="","",$A39)</f>
        <v/>
      </c>
      <c r="HM12" s="35"/>
      <c r="HN12" s="5" t="str">
        <f t="shared" si="79"/>
        <v/>
      </c>
      <c r="HO12" s="5"/>
      <c r="HP12" s="63"/>
      <c r="HR12" s="40" t="str">
        <f>IF($A39="","",$A39)</f>
        <v/>
      </c>
      <c r="HS12" s="35"/>
      <c r="HT12" s="5" t="str">
        <f t="shared" si="80"/>
        <v/>
      </c>
      <c r="HU12" s="5"/>
      <c r="HV12" s="63"/>
    </row>
    <row r="13" spans="1:230" x14ac:dyDescent="0.2">
      <c r="A13" s="54"/>
      <c r="B13" s="64"/>
      <c r="C13" s="57">
        <v>19352</v>
      </c>
      <c r="D13" s="5">
        <f t="shared" si="126"/>
        <v>21</v>
      </c>
      <c r="E13" s="5">
        <v>663</v>
      </c>
      <c r="F13" s="5">
        <f t="shared" si="127"/>
        <v>0</v>
      </c>
      <c r="G13" s="5">
        <v>10</v>
      </c>
      <c r="H13" s="5">
        <f t="shared" si="128"/>
        <v>0</v>
      </c>
      <c r="I13" s="35">
        <v>2</v>
      </c>
      <c r="J13" s="38" t="str">
        <f t="shared" si="129"/>
        <v>たまごっちブロックシール</v>
      </c>
      <c r="K13" s="5">
        <f t="shared" si="130"/>
        <v>600</v>
      </c>
      <c r="L13" s="5">
        <f t="shared" si="131"/>
        <v>0</v>
      </c>
      <c r="M13" s="36">
        <f t="shared" si="132"/>
        <v>0</v>
      </c>
      <c r="N13" s="29"/>
      <c r="O13" s="30"/>
      <c r="P13" s="25"/>
      <c r="Q13" s="57">
        <v>11014</v>
      </c>
      <c r="R13" s="5">
        <f t="shared" si="91"/>
        <v>74</v>
      </c>
      <c r="S13" s="5">
        <v>292</v>
      </c>
      <c r="T13" s="5">
        <f t="shared" si="92"/>
        <v>1</v>
      </c>
      <c r="U13" s="5">
        <v>13</v>
      </c>
      <c r="V13" s="5">
        <f t="shared" si="93"/>
        <v>1</v>
      </c>
      <c r="W13" s="35">
        <v>0</v>
      </c>
      <c r="X13" s="38" t="str">
        <f t="shared" si="94"/>
        <v>パンケーキスクイーズ</v>
      </c>
      <c r="Y13" s="5">
        <f t="shared" si="95"/>
        <v>181</v>
      </c>
      <c r="Z13" s="5">
        <f t="shared" si="96"/>
        <v>181</v>
      </c>
      <c r="AA13" s="36">
        <f t="shared" si="97"/>
        <v>2.4459459459459459E-2</v>
      </c>
      <c r="AB13" s="29"/>
      <c r="AD13" s="25"/>
      <c r="AE13" s="57">
        <v>2070</v>
      </c>
      <c r="AF13" s="5">
        <f t="shared" si="98"/>
        <v>28</v>
      </c>
      <c r="AG13" s="5">
        <v>41</v>
      </c>
      <c r="AH13" s="5">
        <f t="shared" si="99"/>
        <v>0</v>
      </c>
      <c r="AI13" s="5">
        <v>18</v>
      </c>
      <c r="AJ13" s="5">
        <f t="shared" si="100"/>
        <v>0</v>
      </c>
      <c r="AK13" s="35">
        <v>0</v>
      </c>
      <c r="AL13" s="38" t="str">
        <f t="shared" si="101"/>
        <v>たまごっちマスコット</v>
      </c>
      <c r="AM13" s="5">
        <f t="shared" si="102"/>
        <v>1430</v>
      </c>
      <c r="AN13" s="5">
        <f t="shared" si="103"/>
        <v>0</v>
      </c>
      <c r="AO13" s="36">
        <f t="shared" si="104"/>
        <v>0</v>
      </c>
      <c r="AP13" s="29" t="s">
        <v>372</v>
      </c>
      <c r="AR13" s="25"/>
      <c r="AS13" s="57">
        <v>1483</v>
      </c>
      <c r="AT13" s="5">
        <f t="shared" si="105"/>
        <v>56</v>
      </c>
      <c r="AU13" s="5">
        <v>41</v>
      </c>
      <c r="AV13" s="5">
        <f t="shared" si="106"/>
        <v>3</v>
      </c>
      <c r="AW13" s="5">
        <v>16</v>
      </c>
      <c r="AX13" s="5">
        <f t="shared" si="107"/>
        <v>4</v>
      </c>
      <c r="AY13" s="35">
        <v>3</v>
      </c>
      <c r="AZ13" s="38" t="str">
        <f t="shared" si="133"/>
        <v>カエル</v>
      </c>
      <c r="BA13" s="5">
        <f t="shared" si="109"/>
        <v>0</v>
      </c>
      <c r="BB13" s="5">
        <f t="shared" si="110"/>
        <v>0</v>
      </c>
      <c r="BC13" s="36">
        <f t="shared" si="111"/>
        <v>0</v>
      </c>
      <c r="BD13" s="29"/>
      <c r="BE13" s="32"/>
      <c r="BF13" s="25"/>
      <c r="BG13" s="57">
        <v>3399</v>
      </c>
      <c r="BH13" s="5">
        <f t="shared" si="112"/>
        <v>116</v>
      </c>
      <c r="BI13" s="5">
        <v>31</v>
      </c>
      <c r="BJ13" s="5">
        <f t="shared" si="113"/>
        <v>1</v>
      </c>
      <c r="BK13" s="5">
        <v>3</v>
      </c>
      <c r="BL13" s="5">
        <f t="shared" si="114"/>
        <v>0</v>
      </c>
      <c r="BM13" s="35">
        <v>0</v>
      </c>
      <c r="BN13" s="38" t="str">
        <f t="shared" si="115"/>
        <v>ボンボンドロップシール</v>
      </c>
      <c r="BO13" s="5">
        <f t="shared" si="116"/>
        <v>1500</v>
      </c>
      <c r="BP13" s="5">
        <f t="shared" si="117"/>
        <v>0</v>
      </c>
      <c r="BQ13" s="36">
        <f t="shared" si="118"/>
        <v>0</v>
      </c>
      <c r="BR13" s="29"/>
      <c r="BT13" s="25"/>
      <c r="BU13" s="57"/>
      <c r="BV13" s="5" t="str">
        <f t="shared" si="119"/>
        <v/>
      </c>
      <c r="BW13" s="5"/>
      <c r="BX13" s="5" t="str">
        <f t="shared" si="120"/>
        <v/>
      </c>
      <c r="BY13" s="5"/>
      <c r="BZ13" s="5" t="str">
        <f t="shared" si="121"/>
        <v/>
      </c>
      <c r="CA13" s="35"/>
      <c r="CB13" s="38" t="str">
        <f t="shared" si="122"/>
        <v/>
      </c>
      <c r="CC13" s="5" t="str">
        <f t="shared" si="123"/>
        <v/>
      </c>
      <c r="CD13" s="5" t="str">
        <f t="shared" si="124"/>
        <v/>
      </c>
      <c r="CE13" s="36" t="str">
        <f t="shared" si="125"/>
        <v/>
      </c>
      <c r="CF13" s="29"/>
      <c r="CH13" s="40" t="str">
        <f>IF($A43="","",$A43)</f>
        <v/>
      </c>
      <c r="CI13" s="35"/>
      <c r="CJ13" s="5" t="str">
        <f t="shared" si="67"/>
        <v/>
      </c>
      <c r="CK13" s="5"/>
      <c r="CL13" s="5" t="str">
        <f t="shared" si="68"/>
        <v/>
      </c>
      <c r="CM13" s="5"/>
      <c r="CN13" s="5" t="str">
        <f t="shared" si="69"/>
        <v/>
      </c>
      <c r="CO13" s="5"/>
      <c r="CP13" s="2" t="str">
        <f t="shared" si="70"/>
        <v/>
      </c>
      <c r="CQ13" s="4" t="str">
        <f t="shared" si="71"/>
        <v/>
      </c>
      <c r="CR13" s="5" t="str">
        <f t="shared" si="72"/>
        <v/>
      </c>
      <c r="CS13" s="36" t="str">
        <f t="shared" si="73"/>
        <v/>
      </c>
      <c r="CT13" s="63"/>
      <c r="CV13" s="40" t="str">
        <f>IF($A43="","",$A43)</f>
        <v/>
      </c>
      <c r="CW13" s="35"/>
      <c r="CX13" s="5" t="str">
        <f t="shared" ref="CX4:CX16" si="134">IF(CW13="","",CW13-CW12)</f>
        <v/>
      </c>
      <c r="CY13" s="5"/>
      <c r="CZ13" s="5" t="str">
        <f t="shared" ref="CZ4:CZ16" si="135">IF(CY13="","",CY13-CY12)</f>
        <v/>
      </c>
      <c r="DA13" s="5"/>
      <c r="DB13" s="5" t="str">
        <f t="shared" ref="DB4:DB16" si="136">IF(DA13="","",DA12+DC12-DA13)</f>
        <v/>
      </c>
      <c r="DC13" s="5"/>
      <c r="DD13" s="2" t="str">
        <f t="shared" ref="DD11:DD22" si="137">IF(CW13="","",DD12)</f>
        <v/>
      </c>
      <c r="DE13" s="4" t="str">
        <f t="shared" ref="DE4:DE16" si="138">IF(CW13="","",DE12)</f>
        <v/>
      </c>
      <c r="DF13" s="5" t="str">
        <f t="shared" ref="DF4:DF16" si="139">IF(DE13="","",DB13*DE13)</f>
        <v/>
      </c>
      <c r="DG13" s="36" t="str">
        <f t="shared" ref="DG4:DG15" si="140">IF(DF13="","",DF13/(CX13*100))</f>
        <v/>
      </c>
      <c r="DH13" s="63"/>
      <c r="DJ13" s="40" t="str">
        <f>IF($A43="","",$A43)</f>
        <v/>
      </c>
      <c r="DK13" s="35"/>
      <c r="DL13" s="5" t="str">
        <f t="shared" ref="DL4:DL16" si="141">IF(DK13="","",DK13-DK12)</f>
        <v/>
      </c>
      <c r="DM13" s="5"/>
      <c r="DN13" s="5" t="str">
        <f t="shared" ref="DN4:DN16" si="142">IF(DM13="","",DM13-DM12)</f>
        <v/>
      </c>
      <c r="DO13" s="5"/>
      <c r="DP13" s="5" t="str">
        <f t="shared" ref="DP4:DP16" si="143">IF(DO13="","",DO12+DQ12-DO13)</f>
        <v/>
      </c>
      <c r="DQ13" s="5"/>
      <c r="DR13" s="2" t="str">
        <f t="shared" ref="DR7:DR22" si="144">IF(DK13="","",DR12)</f>
        <v/>
      </c>
      <c r="DS13" s="4" t="str">
        <f t="shared" ref="DS7:DS16" si="145">IF(DK13="","",DS12)</f>
        <v/>
      </c>
      <c r="DT13" s="5" t="str">
        <f t="shared" ref="DT4:DT16" si="146">IF(DS13="","",DP13*DS13)</f>
        <v/>
      </c>
      <c r="DU13" s="36" t="str">
        <f t="shared" ref="DU4:DU15" si="147">IF(DT13="","",DT13/(DL13*100))</f>
        <v/>
      </c>
      <c r="DV13" s="63"/>
      <c r="DX13" s="40" t="str">
        <f>IF($A43="","",$A43)</f>
        <v/>
      </c>
      <c r="DY13" s="35"/>
      <c r="DZ13" s="5" t="str">
        <f t="shared" ref="DZ4:DZ16" si="148">IF(DY13="","",DY13-DY12)</f>
        <v/>
      </c>
      <c r="EA13" s="5"/>
      <c r="EB13" s="5" t="str">
        <f t="shared" ref="EB4:EB16" si="149">IF(EA13="","",EA13-EA12)</f>
        <v/>
      </c>
      <c r="EC13" s="5"/>
      <c r="ED13" s="5" t="str">
        <f t="shared" ref="ED4:ED16" si="150">IF(EC13="","",EC12+EE12-EC13)</f>
        <v/>
      </c>
      <c r="EE13" s="5"/>
      <c r="EF13" s="2" t="str">
        <f t="shared" ref="EF4:EF22" si="151">IF(DY13="","",EF12)</f>
        <v/>
      </c>
      <c r="EG13" s="4" t="str">
        <f t="shared" ref="EG4:EG16" si="152">IF(DY13="","",EG12)</f>
        <v/>
      </c>
      <c r="EH13" s="5" t="str">
        <f t="shared" ref="EH4:EH16" si="153">IF(EG13="","",ED13*EG13)</f>
        <v/>
      </c>
      <c r="EI13" s="36" t="str">
        <f t="shared" ref="EI4:EI15" si="154">IF(EH13="","",EH13/(DZ13*100))</f>
        <v/>
      </c>
      <c r="EJ13" s="63"/>
      <c r="EL13" s="40" t="str">
        <f>IF($A43="","",$A43)</f>
        <v/>
      </c>
      <c r="EM13" s="35"/>
      <c r="EN13" s="5" t="str">
        <f t="shared" ref="EN4:EN16" si="155">IF(EM13="","",EM13-EM12)</f>
        <v/>
      </c>
      <c r="EO13" s="5"/>
      <c r="EP13" s="5" t="str">
        <f t="shared" ref="EP4:EP16" si="156">IF(EO13="","",EO13-EO12)</f>
        <v/>
      </c>
      <c r="EQ13" s="5"/>
      <c r="ER13" s="5" t="str">
        <f t="shared" ref="ER4:ER16" si="157">IF(EQ13="","",EQ12+ES12-EQ13)</f>
        <v/>
      </c>
      <c r="ES13" s="5"/>
      <c r="ET13" s="2" t="str">
        <f t="shared" ref="ET4:ET22" si="158">IF(EM13="","",ET12)</f>
        <v/>
      </c>
      <c r="EU13" s="4" t="str">
        <f t="shared" ref="EU4:EU16" si="159">IF(EM13="","",EU12)</f>
        <v/>
      </c>
      <c r="EV13" s="5" t="str">
        <f t="shared" ref="EV4:EV16" si="160">IF(EU13="","",ER13*EU13)</f>
        <v/>
      </c>
      <c r="EW13" s="36" t="str">
        <f t="shared" ref="EW4:EW15" si="161">IF(EV13="","",EV13/(EN13*100))</f>
        <v/>
      </c>
      <c r="EX13" s="63"/>
      <c r="EZ13" s="40" t="str">
        <f>IF($A43="","",$A43)</f>
        <v/>
      </c>
      <c r="FA13" s="35"/>
      <c r="FB13" s="5" t="str">
        <f t="shared" ref="FB4:FB16" si="162">IF(FA13="","",FA13-FA12)</f>
        <v/>
      </c>
      <c r="FC13" s="5"/>
      <c r="FD13" s="5" t="str">
        <f t="shared" ref="FD4:FD16" si="163">IF(FC13="","",FC13-FC12)</f>
        <v/>
      </c>
      <c r="FE13" s="5"/>
      <c r="FF13" s="5" t="str">
        <f t="shared" ref="FF4:FF16" si="164">IF(FE13="","",FE12+FG12-FE13)</f>
        <v/>
      </c>
      <c r="FG13" s="5"/>
      <c r="FH13" s="2" t="str">
        <f t="shared" ref="FH9:FH22" si="165">IF(FA13="","",FH12)</f>
        <v/>
      </c>
      <c r="FI13" s="4" t="str">
        <f t="shared" ref="FI4:FI16" si="166">IF(FA13="","",FI12)</f>
        <v/>
      </c>
      <c r="FJ13" s="5" t="str">
        <f t="shared" ref="FJ4:FJ16" si="167">IF(FI13="","",FF13*FI13)</f>
        <v/>
      </c>
      <c r="FK13" s="36" t="str">
        <f t="shared" ref="FK4:FK15" si="168">IF(FJ13="","",FJ13/(FB13*100))</f>
        <v/>
      </c>
      <c r="FL13" s="63"/>
      <c r="FN13" s="40" t="str">
        <f>IF($A43="","",$A43)</f>
        <v/>
      </c>
      <c r="FO13" s="35"/>
      <c r="FP13" s="5" t="str">
        <f t="shared" ref="FP4:FP16" si="169">IF(FO13="","",FO13-FO12)</f>
        <v/>
      </c>
      <c r="FQ13" s="5"/>
      <c r="FR13" s="5" t="str">
        <f t="shared" ref="FR4:FR16" si="170">IF(FQ13="","",FQ13-FQ12)</f>
        <v/>
      </c>
      <c r="FS13" s="5"/>
      <c r="FT13" s="5" t="str">
        <f t="shared" ref="FT4:FT16" si="171">IF(FS13="","",FS12+FU12-FS13)</f>
        <v/>
      </c>
      <c r="FU13" s="5"/>
      <c r="FV13" s="2" t="str">
        <f t="shared" ref="FV4:FV22" si="172">IF(FO13="","",FV12)</f>
        <v/>
      </c>
      <c r="FW13" s="4" t="str">
        <f t="shared" ref="FW4:FW16" si="173">IF(FO13="","",FW12)</f>
        <v/>
      </c>
      <c r="FX13" s="5" t="str">
        <f t="shared" ref="FX4:FX16" si="174">IF(FW13="","",FT13*FW13)</f>
        <v/>
      </c>
      <c r="FY13" s="36" t="str">
        <f t="shared" ref="FY4:FY15" si="175">IF(FX13="","",FX13/(FP13*100))</f>
        <v/>
      </c>
      <c r="FZ13" s="63"/>
      <c r="GB13" s="40" t="str">
        <f>IF($A43="","",$A43)</f>
        <v/>
      </c>
      <c r="GC13" s="35"/>
      <c r="GD13" s="5" t="str">
        <f t="shared" ref="GD4:GD16" si="176">IF(GC13="","",GC13-GC12)</f>
        <v/>
      </c>
      <c r="GE13" s="5"/>
      <c r="GF13" s="5" t="str">
        <f t="shared" ref="GF4:GF16" si="177">IF(GE13="","",GE13-GE12)</f>
        <v/>
      </c>
      <c r="GG13" s="5"/>
      <c r="GH13" s="5" t="str">
        <f t="shared" ref="GH4:GH16" si="178">IF(GG13="","",GG12+GI12-GG13)</f>
        <v/>
      </c>
      <c r="GI13" s="5"/>
      <c r="GJ13" s="2" t="str">
        <f t="shared" ref="GJ10:GJ22" si="179">IF(GC13="","",GJ12)</f>
        <v/>
      </c>
      <c r="GK13" s="4" t="str">
        <f t="shared" ref="GK4:GK16" si="180">IF(GC13="","",GK12)</f>
        <v/>
      </c>
      <c r="GL13" s="5" t="str">
        <f t="shared" ref="GL4:GL16" si="181">IF(GK13="","",GH13*GK13)</f>
        <v/>
      </c>
      <c r="GM13" s="36" t="str">
        <f t="shared" ref="GM4:GM15" si="182">IF(GL13="","",GL13/(GD13*100))</f>
        <v/>
      </c>
      <c r="GN13" s="63"/>
      <c r="GP13" s="40" t="str">
        <f>IF($A43="","",$A43)</f>
        <v/>
      </c>
      <c r="GQ13" s="35"/>
      <c r="GR13" s="5" t="str">
        <f t="shared" ref="GR4:GR16" si="183">IF(GQ13="","",GQ13-GQ12)</f>
        <v/>
      </c>
      <c r="GS13" s="5"/>
      <c r="GT13" s="5" t="str">
        <f t="shared" ref="GT4:GT16" si="184">IF(GS13="","",GS13-GS12)</f>
        <v/>
      </c>
      <c r="GU13" s="5"/>
      <c r="GV13" s="5" t="str">
        <f t="shared" ref="GV4:GV16" si="185">IF(GU13="","",GU13-GU12)</f>
        <v/>
      </c>
      <c r="GW13" s="5"/>
      <c r="GX13" s="5" t="str">
        <f t="shared" ref="GX4:GX16" si="186">IF(GW13="","",GW12+GY12-GW13)</f>
        <v/>
      </c>
      <c r="GY13" s="5"/>
      <c r="GZ13" s="2" t="str">
        <f t="shared" si="74"/>
        <v/>
      </c>
      <c r="HA13" s="4" t="str">
        <f t="shared" si="75"/>
        <v/>
      </c>
      <c r="HB13" s="5" t="str">
        <f t="shared" si="76"/>
        <v/>
      </c>
      <c r="HC13" s="36" t="str">
        <f t="shared" si="77"/>
        <v/>
      </c>
      <c r="HD13" s="63"/>
      <c r="HF13" s="40" t="str">
        <f>IF($A43="","",$A43)</f>
        <v/>
      </c>
      <c r="HG13" s="35"/>
      <c r="HH13" s="5" t="str">
        <f t="shared" si="78"/>
        <v/>
      </c>
      <c r="HI13" s="5"/>
      <c r="HJ13" s="63"/>
      <c r="HL13" s="40" t="str">
        <f>IF($A43="","",$A43)</f>
        <v/>
      </c>
      <c r="HM13" s="35"/>
      <c r="HN13" s="5" t="str">
        <f t="shared" si="79"/>
        <v/>
      </c>
      <c r="HO13" s="5"/>
      <c r="HP13" s="63"/>
      <c r="HR13" s="40" t="str">
        <f>IF($A43="","",$A43)</f>
        <v/>
      </c>
      <c r="HS13" s="35"/>
      <c r="HT13" s="5" t="str">
        <f t="shared" si="80"/>
        <v/>
      </c>
      <c r="HU13" s="5"/>
      <c r="HV13" s="63"/>
    </row>
    <row r="14" spans="1:230" ht="15" customHeight="1" thickBot="1" x14ac:dyDescent="0.25">
      <c r="A14" s="65"/>
      <c r="B14" s="66"/>
      <c r="C14" s="43">
        <v>23794</v>
      </c>
      <c r="D14" s="61">
        <f t="shared" si="126"/>
        <v>54</v>
      </c>
      <c r="E14" s="44">
        <v>1187</v>
      </c>
      <c r="F14" s="44">
        <f t="shared" si="127"/>
        <v>0</v>
      </c>
      <c r="G14" s="44">
        <v>22</v>
      </c>
      <c r="H14" s="44">
        <f t="shared" si="128"/>
        <v>0</v>
      </c>
      <c r="I14" s="62">
        <v>-2</v>
      </c>
      <c r="J14" s="47" t="str">
        <f t="shared" si="129"/>
        <v>フルーツスクイーズ</v>
      </c>
      <c r="K14" s="61">
        <f t="shared" si="130"/>
        <v>99</v>
      </c>
      <c r="L14" s="44">
        <f t="shared" si="131"/>
        <v>0</v>
      </c>
      <c r="M14" s="46">
        <f t="shared" si="132"/>
        <v>0</v>
      </c>
      <c r="N14" s="29"/>
      <c r="O14" s="30"/>
      <c r="P14" s="67"/>
      <c r="Q14" s="43">
        <v>9685</v>
      </c>
      <c r="R14" s="61">
        <f t="shared" si="91"/>
        <v>44</v>
      </c>
      <c r="S14" s="44">
        <v>230</v>
      </c>
      <c r="T14" s="44">
        <f t="shared" si="92"/>
        <v>0</v>
      </c>
      <c r="U14" s="44">
        <v>6</v>
      </c>
      <c r="V14" s="44">
        <f t="shared" si="93"/>
        <v>0</v>
      </c>
      <c r="W14" s="62">
        <v>2</v>
      </c>
      <c r="X14" s="47" t="str">
        <f t="shared" si="94"/>
        <v>たまごっちカスタムキーリング</v>
      </c>
      <c r="Y14" s="61">
        <f t="shared" si="95"/>
        <v>200</v>
      </c>
      <c r="Z14" s="44">
        <f t="shared" si="96"/>
        <v>0</v>
      </c>
      <c r="AA14" s="46">
        <f t="shared" si="97"/>
        <v>0</v>
      </c>
      <c r="AB14" s="29"/>
      <c r="AD14" s="67"/>
      <c r="AE14" s="43">
        <v>339</v>
      </c>
      <c r="AF14" s="61">
        <f t="shared" si="98"/>
        <v>118</v>
      </c>
      <c r="AG14" s="44">
        <v>40</v>
      </c>
      <c r="AH14" s="44">
        <f t="shared" si="99"/>
        <v>5</v>
      </c>
      <c r="AI14" s="44">
        <v>13</v>
      </c>
      <c r="AJ14" s="44">
        <f t="shared" si="100"/>
        <v>5</v>
      </c>
      <c r="AK14" s="62">
        <v>5</v>
      </c>
      <c r="AL14" s="47" t="str">
        <f t="shared" si="101"/>
        <v>バタースクイーズ</v>
      </c>
      <c r="AM14" s="61">
        <f t="shared" si="102"/>
        <v>260</v>
      </c>
      <c r="AN14" s="44">
        <f t="shared" si="103"/>
        <v>1300</v>
      </c>
      <c r="AO14" s="46">
        <f t="shared" si="104"/>
        <v>0.11016949152542373</v>
      </c>
      <c r="AP14" s="29"/>
      <c r="AR14" s="67"/>
      <c r="AS14" s="43">
        <v>1321</v>
      </c>
      <c r="AT14" s="61">
        <f t="shared" si="105"/>
        <v>32</v>
      </c>
      <c r="AU14" s="44">
        <v>51</v>
      </c>
      <c r="AV14" s="44">
        <f t="shared" si="106"/>
        <v>8</v>
      </c>
      <c r="AW14" s="44">
        <v>128</v>
      </c>
      <c r="AX14" s="44">
        <f t="shared" si="107"/>
        <v>8</v>
      </c>
      <c r="AY14" s="62">
        <v>0</v>
      </c>
      <c r="AZ14" s="47" t="str">
        <f t="shared" si="133"/>
        <v>ラバーマスコット・キーボードブロック</v>
      </c>
      <c r="BA14" s="61">
        <f t="shared" si="109"/>
        <v>170</v>
      </c>
      <c r="BB14" s="44">
        <f t="shared" si="110"/>
        <v>1360</v>
      </c>
      <c r="BC14" s="46">
        <f t="shared" si="111"/>
        <v>0.42499999999999999</v>
      </c>
      <c r="BD14" s="29"/>
      <c r="BE14" s="32"/>
      <c r="BF14" s="41"/>
      <c r="BG14" s="43">
        <v>4615</v>
      </c>
      <c r="BH14" s="61">
        <f t="shared" si="112"/>
        <v>51</v>
      </c>
      <c r="BI14" s="44">
        <v>54</v>
      </c>
      <c r="BJ14" s="44">
        <f t="shared" si="113"/>
        <v>0</v>
      </c>
      <c r="BK14" s="44">
        <v>3</v>
      </c>
      <c r="BL14" s="44">
        <f t="shared" si="114"/>
        <v>0</v>
      </c>
      <c r="BM14" s="62">
        <v>0</v>
      </c>
      <c r="BN14" s="47" t="str">
        <f t="shared" si="115"/>
        <v>ボンボンドロップシール</v>
      </c>
      <c r="BO14" s="61">
        <f t="shared" si="116"/>
        <v>1500</v>
      </c>
      <c r="BP14" s="44">
        <f t="shared" si="117"/>
        <v>0</v>
      </c>
      <c r="BQ14" s="46">
        <f t="shared" si="118"/>
        <v>0</v>
      </c>
      <c r="BR14" s="29"/>
      <c r="BT14" s="41"/>
      <c r="BU14" s="43"/>
      <c r="BV14" s="61" t="str">
        <f t="shared" si="119"/>
        <v/>
      </c>
      <c r="BW14" s="44"/>
      <c r="BX14" s="44" t="str">
        <f t="shared" si="120"/>
        <v/>
      </c>
      <c r="BY14" s="44"/>
      <c r="BZ14" s="44" t="str">
        <f t="shared" si="121"/>
        <v/>
      </c>
      <c r="CA14" s="62"/>
      <c r="CB14" s="47" t="str">
        <f t="shared" si="122"/>
        <v/>
      </c>
      <c r="CC14" s="61" t="str">
        <f t="shared" si="123"/>
        <v/>
      </c>
      <c r="CD14" s="44" t="str">
        <f t="shared" si="124"/>
        <v/>
      </c>
      <c r="CE14" s="46" t="str">
        <f t="shared" si="125"/>
        <v/>
      </c>
      <c r="CF14" s="29"/>
      <c r="CH14" s="40" t="str">
        <f>IF($A47="","",$A47)</f>
        <v/>
      </c>
      <c r="CI14" s="35"/>
      <c r="CJ14" s="5" t="str">
        <f t="shared" si="67"/>
        <v/>
      </c>
      <c r="CK14" s="5"/>
      <c r="CL14" s="5" t="str">
        <f t="shared" si="68"/>
        <v/>
      </c>
      <c r="CM14" s="5"/>
      <c r="CN14" s="5" t="str">
        <f t="shared" si="69"/>
        <v/>
      </c>
      <c r="CO14" s="5"/>
      <c r="CP14" s="2" t="str">
        <f t="shared" si="70"/>
        <v/>
      </c>
      <c r="CQ14" s="4" t="str">
        <f t="shared" si="71"/>
        <v/>
      </c>
      <c r="CR14" s="5" t="str">
        <f t="shared" si="72"/>
        <v/>
      </c>
      <c r="CS14" s="36" t="str">
        <f t="shared" si="73"/>
        <v/>
      </c>
      <c r="CT14" s="29"/>
      <c r="CV14" s="40" t="str">
        <f>IF($A47="","",$A47)</f>
        <v/>
      </c>
      <c r="CW14" s="35"/>
      <c r="CX14" s="5" t="str">
        <f t="shared" si="134"/>
        <v/>
      </c>
      <c r="CY14" s="5"/>
      <c r="CZ14" s="5" t="str">
        <f t="shared" si="135"/>
        <v/>
      </c>
      <c r="DA14" s="5"/>
      <c r="DB14" s="5" t="str">
        <f t="shared" si="136"/>
        <v/>
      </c>
      <c r="DC14" s="5"/>
      <c r="DD14" s="2" t="str">
        <f t="shared" si="137"/>
        <v/>
      </c>
      <c r="DE14" s="4" t="str">
        <f t="shared" si="138"/>
        <v/>
      </c>
      <c r="DF14" s="5" t="str">
        <f t="shared" si="139"/>
        <v/>
      </c>
      <c r="DG14" s="36" t="str">
        <f t="shared" si="140"/>
        <v/>
      </c>
      <c r="DH14" s="29"/>
      <c r="DJ14" s="40" t="str">
        <f>IF($A47="","",$A47)</f>
        <v/>
      </c>
      <c r="DK14" s="35"/>
      <c r="DL14" s="5" t="str">
        <f t="shared" si="141"/>
        <v/>
      </c>
      <c r="DM14" s="5"/>
      <c r="DN14" s="5" t="str">
        <f t="shared" si="142"/>
        <v/>
      </c>
      <c r="DO14" s="5"/>
      <c r="DP14" s="5" t="str">
        <f t="shared" si="143"/>
        <v/>
      </c>
      <c r="DQ14" s="5"/>
      <c r="DR14" s="2" t="str">
        <f t="shared" si="144"/>
        <v/>
      </c>
      <c r="DS14" s="4" t="str">
        <f t="shared" si="145"/>
        <v/>
      </c>
      <c r="DT14" s="5" t="str">
        <f t="shared" si="146"/>
        <v/>
      </c>
      <c r="DU14" s="36" t="str">
        <f t="shared" si="147"/>
        <v/>
      </c>
      <c r="DV14" s="29"/>
      <c r="DX14" s="40" t="str">
        <f>IF($A47="","",$A47)</f>
        <v/>
      </c>
      <c r="DY14" s="35"/>
      <c r="DZ14" s="5" t="str">
        <f t="shared" si="148"/>
        <v/>
      </c>
      <c r="EA14" s="5"/>
      <c r="EB14" s="5" t="str">
        <f t="shared" si="149"/>
        <v/>
      </c>
      <c r="EC14" s="5"/>
      <c r="ED14" s="5" t="str">
        <f t="shared" si="150"/>
        <v/>
      </c>
      <c r="EE14" s="5"/>
      <c r="EF14" s="2" t="str">
        <f t="shared" si="151"/>
        <v/>
      </c>
      <c r="EG14" s="4" t="str">
        <f t="shared" si="152"/>
        <v/>
      </c>
      <c r="EH14" s="5" t="str">
        <f t="shared" si="153"/>
        <v/>
      </c>
      <c r="EI14" s="36" t="str">
        <f t="shared" si="154"/>
        <v/>
      </c>
      <c r="EJ14" s="29"/>
      <c r="EL14" s="40" t="str">
        <f>IF($A47="","",$A47)</f>
        <v/>
      </c>
      <c r="EM14" s="35"/>
      <c r="EN14" s="5" t="str">
        <f t="shared" si="155"/>
        <v/>
      </c>
      <c r="EO14" s="5"/>
      <c r="EP14" s="5" t="str">
        <f t="shared" si="156"/>
        <v/>
      </c>
      <c r="EQ14" s="5"/>
      <c r="ER14" s="5" t="str">
        <f t="shared" si="157"/>
        <v/>
      </c>
      <c r="ES14" s="5"/>
      <c r="ET14" s="2" t="str">
        <f t="shared" si="158"/>
        <v/>
      </c>
      <c r="EU14" s="4" t="str">
        <f t="shared" si="159"/>
        <v/>
      </c>
      <c r="EV14" s="5" t="str">
        <f t="shared" si="160"/>
        <v/>
      </c>
      <c r="EW14" s="36" t="str">
        <f t="shared" si="161"/>
        <v/>
      </c>
      <c r="EX14" s="29"/>
      <c r="EZ14" s="40" t="str">
        <f>IF($A47="","",$A47)</f>
        <v/>
      </c>
      <c r="FA14" s="35"/>
      <c r="FB14" s="5" t="str">
        <f t="shared" si="162"/>
        <v/>
      </c>
      <c r="FC14" s="5"/>
      <c r="FD14" s="5" t="str">
        <f t="shared" si="163"/>
        <v/>
      </c>
      <c r="FE14" s="5"/>
      <c r="FF14" s="5" t="str">
        <f t="shared" si="164"/>
        <v/>
      </c>
      <c r="FG14" s="5"/>
      <c r="FH14" s="2" t="str">
        <f t="shared" si="165"/>
        <v/>
      </c>
      <c r="FI14" s="4" t="str">
        <f t="shared" si="166"/>
        <v/>
      </c>
      <c r="FJ14" s="5" t="str">
        <f t="shared" si="167"/>
        <v/>
      </c>
      <c r="FK14" s="36" t="str">
        <f t="shared" si="168"/>
        <v/>
      </c>
      <c r="FL14" s="29"/>
      <c r="FN14" s="40" t="str">
        <f>IF($A47="","",$A47)</f>
        <v/>
      </c>
      <c r="FO14" s="35"/>
      <c r="FP14" s="5" t="str">
        <f t="shared" si="169"/>
        <v/>
      </c>
      <c r="FQ14" s="5"/>
      <c r="FR14" s="5" t="str">
        <f t="shared" si="170"/>
        <v/>
      </c>
      <c r="FS14" s="5"/>
      <c r="FT14" s="5" t="str">
        <f t="shared" si="171"/>
        <v/>
      </c>
      <c r="FU14" s="5"/>
      <c r="FV14" s="2" t="str">
        <f t="shared" si="172"/>
        <v/>
      </c>
      <c r="FW14" s="4" t="str">
        <f t="shared" si="173"/>
        <v/>
      </c>
      <c r="FX14" s="5" t="str">
        <f t="shared" si="174"/>
        <v/>
      </c>
      <c r="FY14" s="36" t="str">
        <f t="shared" si="175"/>
        <v/>
      </c>
      <c r="FZ14" s="29"/>
      <c r="GB14" s="40" t="str">
        <f>IF($A47="","",$A47)</f>
        <v/>
      </c>
      <c r="GC14" s="35"/>
      <c r="GD14" s="5" t="str">
        <f t="shared" si="176"/>
        <v/>
      </c>
      <c r="GE14" s="5"/>
      <c r="GF14" s="5" t="str">
        <f t="shared" si="177"/>
        <v/>
      </c>
      <c r="GG14" s="5"/>
      <c r="GH14" s="5" t="str">
        <f t="shared" si="178"/>
        <v/>
      </c>
      <c r="GI14" s="5"/>
      <c r="GJ14" s="2" t="str">
        <f t="shared" si="179"/>
        <v/>
      </c>
      <c r="GK14" s="4" t="str">
        <f t="shared" si="180"/>
        <v/>
      </c>
      <c r="GL14" s="5" t="str">
        <f t="shared" si="181"/>
        <v/>
      </c>
      <c r="GM14" s="36" t="str">
        <f t="shared" si="182"/>
        <v/>
      </c>
      <c r="GN14" s="29"/>
      <c r="GP14" s="40" t="str">
        <f>IF($A47="","",$A47)</f>
        <v/>
      </c>
      <c r="GQ14" s="35"/>
      <c r="GR14" s="5" t="str">
        <f t="shared" si="183"/>
        <v/>
      </c>
      <c r="GS14" s="5"/>
      <c r="GT14" s="5" t="str">
        <f t="shared" si="184"/>
        <v/>
      </c>
      <c r="GU14" s="5"/>
      <c r="GV14" s="5" t="str">
        <f t="shared" si="185"/>
        <v/>
      </c>
      <c r="GW14" s="5"/>
      <c r="GX14" s="5" t="str">
        <f t="shared" si="186"/>
        <v/>
      </c>
      <c r="GY14" s="5"/>
      <c r="GZ14" s="2" t="str">
        <f t="shared" si="74"/>
        <v/>
      </c>
      <c r="HA14" s="4" t="str">
        <f t="shared" si="75"/>
        <v/>
      </c>
      <c r="HB14" s="5" t="str">
        <f t="shared" si="76"/>
        <v/>
      </c>
      <c r="HC14" s="36" t="str">
        <f t="shared" si="77"/>
        <v/>
      </c>
      <c r="HD14" s="29"/>
      <c r="HF14" s="40" t="str">
        <f>IF($A47="","",$A47)</f>
        <v/>
      </c>
      <c r="HG14" s="35"/>
      <c r="HH14" s="5" t="str">
        <f t="shared" si="78"/>
        <v/>
      </c>
      <c r="HI14" s="5"/>
      <c r="HJ14" s="29"/>
      <c r="HL14" s="40" t="str">
        <f>IF($A47="","",$A47)</f>
        <v/>
      </c>
      <c r="HM14" s="35"/>
      <c r="HN14" s="5" t="str">
        <f t="shared" si="79"/>
        <v/>
      </c>
      <c r="HO14" s="5"/>
      <c r="HP14" s="29"/>
      <c r="HR14" s="40" t="str">
        <f>IF($A47="","",$A47)</f>
        <v/>
      </c>
      <c r="HS14" s="35"/>
      <c r="HT14" s="5" t="str">
        <f t="shared" si="80"/>
        <v/>
      </c>
      <c r="HU14" s="5"/>
      <c r="HV14" s="29"/>
    </row>
    <row r="15" spans="1:230" ht="15" customHeight="1" thickTop="1" x14ac:dyDescent="0.2">
      <c r="A15" s="49"/>
      <c r="B15" s="26">
        <f>SUM(D15:D18)+SUM(R15:R18)+SUM(AF15:AF18)+SUM(AT15:AT18)+SUM(CJ6,CX6,DL6,DZ6,EN6,FB6,FP6,GD6,GR6,HH6,HN6,HT6)+SUM(BH15:BH18)+SUM(BV15:BV16)</f>
        <v>0</v>
      </c>
      <c r="C15" s="4"/>
      <c r="D15" s="4" t="str">
        <f t="shared" si="126"/>
        <v/>
      </c>
      <c r="E15" s="4"/>
      <c r="F15" s="50" t="str">
        <f t="shared" si="127"/>
        <v/>
      </c>
      <c r="G15" s="4"/>
      <c r="H15" s="4" t="str">
        <f t="shared" si="128"/>
        <v/>
      </c>
      <c r="I15" s="51"/>
      <c r="J15" s="3" t="str">
        <f t="shared" si="129"/>
        <v/>
      </c>
      <c r="K15" s="39" t="str">
        <f t="shared" si="130"/>
        <v/>
      </c>
      <c r="L15" s="50" t="str">
        <f t="shared" si="131"/>
        <v/>
      </c>
      <c r="M15" s="52" t="str">
        <f t="shared" si="132"/>
        <v/>
      </c>
      <c r="N15" s="29"/>
      <c r="O15" s="30"/>
      <c r="P15" s="53" t="str">
        <f>IF($A15="","",$A15)</f>
        <v/>
      </c>
      <c r="Q15" s="4"/>
      <c r="R15" s="4" t="str">
        <f t="shared" si="91"/>
        <v/>
      </c>
      <c r="S15" s="4"/>
      <c r="T15" s="50" t="str">
        <f t="shared" si="92"/>
        <v/>
      </c>
      <c r="U15" s="4"/>
      <c r="V15" s="4" t="str">
        <f t="shared" si="93"/>
        <v/>
      </c>
      <c r="W15" s="51"/>
      <c r="X15" s="3" t="str">
        <f t="shared" si="94"/>
        <v/>
      </c>
      <c r="Y15" s="39" t="str">
        <f t="shared" si="95"/>
        <v/>
      </c>
      <c r="Z15" s="50" t="str">
        <f t="shared" si="96"/>
        <v/>
      </c>
      <c r="AA15" s="52" t="str">
        <f t="shared" si="97"/>
        <v/>
      </c>
      <c r="AB15" s="29"/>
      <c r="AD15" s="53" t="str">
        <f>IF($A15="","",$A15)</f>
        <v/>
      </c>
      <c r="AE15" s="4"/>
      <c r="AF15" s="4" t="str">
        <f t="shared" si="98"/>
        <v/>
      </c>
      <c r="AG15" s="4"/>
      <c r="AH15" s="50" t="str">
        <f t="shared" si="99"/>
        <v/>
      </c>
      <c r="AI15" s="4"/>
      <c r="AJ15" s="4" t="str">
        <f t="shared" si="100"/>
        <v/>
      </c>
      <c r="AK15" s="51"/>
      <c r="AL15" s="3" t="str">
        <f t="shared" si="101"/>
        <v/>
      </c>
      <c r="AM15" s="39" t="str">
        <f t="shared" si="102"/>
        <v/>
      </c>
      <c r="AN15" s="50" t="str">
        <f t="shared" si="103"/>
        <v/>
      </c>
      <c r="AO15" s="52" t="str">
        <f t="shared" si="104"/>
        <v/>
      </c>
      <c r="AP15" s="29"/>
      <c r="AR15" s="53" t="str">
        <f>IF($A15="","",$A15)</f>
        <v/>
      </c>
      <c r="AS15" s="4"/>
      <c r="AT15" s="4" t="str">
        <f t="shared" si="105"/>
        <v/>
      </c>
      <c r="AU15" s="4"/>
      <c r="AV15" s="50" t="str">
        <f t="shared" si="106"/>
        <v/>
      </c>
      <c r="AW15" s="4"/>
      <c r="AX15" s="4" t="str">
        <f t="shared" si="107"/>
        <v/>
      </c>
      <c r="AY15" s="51"/>
      <c r="AZ15" s="3" t="str">
        <f t="shared" si="133"/>
        <v/>
      </c>
      <c r="BA15" s="39" t="str">
        <f t="shared" si="109"/>
        <v/>
      </c>
      <c r="BB15" s="50" t="str">
        <f t="shared" si="110"/>
        <v/>
      </c>
      <c r="BC15" s="52" t="str">
        <f t="shared" si="111"/>
        <v/>
      </c>
      <c r="BD15" s="29"/>
      <c r="BE15" s="32"/>
      <c r="BF15" s="33" t="str">
        <f>IF($A15="","",$A15)</f>
        <v/>
      </c>
      <c r="BG15" s="4"/>
      <c r="BH15" s="4" t="str">
        <f t="shared" si="112"/>
        <v/>
      </c>
      <c r="BI15" s="4"/>
      <c r="BJ15" s="50" t="str">
        <f t="shared" si="113"/>
        <v/>
      </c>
      <c r="BK15" s="4"/>
      <c r="BL15" s="4" t="str">
        <f t="shared" si="114"/>
        <v/>
      </c>
      <c r="BM15" s="51"/>
      <c r="BN15" s="3" t="str">
        <f t="shared" si="115"/>
        <v/>
      </c>
      <c r="BO15" s="39" t="str">
        <f t="shared" si="116"/>
        <v/>
      </c>
      <c r="BP15" s="50" t="str">
        <f t="shared" si="117"/>
        <v/>
      </c>
      <c r="BQ15" s="52" t="str">
        <f t="shared" si="118"/>
        <v/>
      </c>
      <c r="BR15" s="29"/>
      <c r="BT15" s="33" t="str">
        <f>IF($A15="","",$A15)</f>
        <v/>
      </c>
      <c r="BU15" s="4"/>
      <c r="BV15" s="4" t="str">
        <f t="shared" si="119"/>
        <v/>
      </c>
      <c r="BW15" s="4"/>
      <c r="BX15" s="50" t="str">
        <f t="shared" si="120"/>
        <v/>
      </c>
      <c r="BY15" s="4"/>
      <c r="BZ15" s="4" t="str">
        <f t="shared" si="121"/>
        <v/>
      </c>
      <c r="CA15" s="51"/>
      <c r="CB15" s="3" t="str">
        <f t="shared" si="122"/>
        <v/>
      </c>
      <c r="CC15" s="39" t="str">
        <f t="shared" si="123"/>
        <v/>
      </c>
      <c r="CD15" s="50" t="str">
        <f t="shared" si="124"/>
        <v/>
      </c>
      <c r="CE15" s="52" t="str">
        <f t="shared" si="125"/>
        <v/>
      </c>
      <c r="CF15" s="29"/>
      <c r="CH15" s="40" t="str">
        <f>IF($A51="","",$A51)</f>
        <v/>
      </c>
      <c r="CI15" s="35"/>
      <c r="CJ15" s="5" t="str">
        <f t="shared" si="67"/>
        <v/>
      </c>
      <c r="CK15" s="5"/>
      <c r="CL15" s="5" t="str">
        <f t="shared" si="68"/>
        <v/>
      </c>
      <c r="CM15" s="5"/>
      <c r="CN15" s="5" t="str">
        <f t="shared" si="69"/>
        <v/>
      </c>
      <c r="CO15" s="5"/>
      <c r="CP15" s="2" t="str">
        <f t="shared" si="70"/>
        <v/>
      </c>
      <c r="CQ15" s="4" t="str">
        <f t="shared" si="71"/>
        <v/>
      </c>
      <c r="CR15" s="5" t="str">
        <f t="shared" si="72"/>
        <v/>
      </c>
      <c r="CS15" s="36" t="str">
        <f t="shared" si="73"/>
        <v/>
      </c>
      <c r="CT15" s="29"/>
      <c r="CV15" s="40" t="str">
        <f>IF($A51="","",$A51)</f>
        <v/>
      </c>
      <c r="CW15" s="35"/>
      <c r="CX15" s="5" t="str">
        <f t="shared" si="134"/>
        <v/>
      </c>
      <c r="CY15" s="5"/>
      <c r="CZ15" s="5" t="str">
        <f t="shared" si="135"/>
        <v/>
      </c>
      <c r="DA15" s="5"/>
      <c r="DB15" s="5" t="str">
        <f t="shared" si="136"/>
        <v/>
      </c>
      <c r="DC15" s="5"/>
      <c r="DD15" s="2" t="str">
        <f t="shared" si="137"/>
        <v/>
      </c>
      <c r="DE15" s="4" t="str">
        <f t="shared" si="138"/>
        <v/>
      </c>
      <c r="DF15" s="5" t="str">
        <f t="shared" si="139"/>
        <v/>
      </c>
      <c r="DG15" s="36" t="str">
        <f t="shared" si="140"/>
        <v/>
      </c>
      <c r="DH15" s="29"/>
      <c r="DJ15" s="40" t="str">
        <f>IF($A51="","",$A51)</f>
        <v/>
      </c>
      <c r="DK15" s="35"/>
      <c r="DL15" s="5" t="str">
        <f t="shared" si="141"/>
        <v/>
      </c>
      <c r="DM15" s="5"/>
      <c r="DN15" s="5" t="str">
        <f t="shared" si="142"/>
        <v/>
      </c>
      <c r="DO15" s="5"/>
      <c r="DP15" s="5" t="str">
        <f t="shared" si="143"/>
        <v/>
      </c>
      <c r="DQ15" s="5"/>
      <c r="DR15" s="2" t="str">
        <f t="shared" si="144"/>
        <v/>
      </c>
      <c r="DS15" s="4" t="str">
        <f t="shared" si="145"/>
        <v/>
      </c>
      <c r="DT15" s="5" t="str">
        <f t="shared" si="146"/>
        <v/>
      </c>
      <c r="DU15" s="36" t="str">
        <f t="shared" si="147"/>
        <v/>
      </c>
      <c r="DV15" s="29"/>
      <c r="DX15" s="40" t="str">
        <f>IF($A51="","",$A51)</f>
        <v/>
      </c>
      <c r="DY15" s="35"/>
      <c r="DZ15" s="5" t="str">
        <f t="shared" si="148"/>
        <v/>
      </c>
      <c r="EA15" s="5"/>
      <c r="EB15" s="5" t="str">
        <f t="shared" si="149"/>
        <v/>
      </c>
      <c r="EC15" s="5"/>
      <c r="ED15" s="5" t="str">
        <f t="shared" si="150"/>
        <v/>
      </c>
      <c r="EE15" s="5"/>
      <c r="EF15" s="2" t="str">
        <f t="shared" si="151"/>
        <v/>
      </c>
      <c r="EG15" s="4" t="str">
        <f t="shared" si="152"/>
        <v/>
      </c>
      <c r="EH15" s="5" t="str">
        <f t="shared" si="153"/>
        <v/>
      </c>
      <c r="EI15" s="36" t="str">
        <f t="shared" si="154"/>
        <v/>
      </c>
      <c r="EJ15" s="29"/>
      <c r="EL15" s="40" t="str">
        <f>IF($A51="","",$A51)</f>
        <v/>
      </c>
      <c r="EM15" s="35"/>
      <c r="EN15" s="5" t="str">
        <f t="shared" si="155"/>
        <v/>
      </c>
      <c r="EO15" s="5"/>
      <c r="EP15" s="5" t="str">
        <f t="shared" si="156"/>
        <v/>
      </c>
      <c r="EQ15" s="5"/>
      <c r="ER15" s="5" t="str">
        <f t="shared" si="157"/>
        <v/>
      </c>
      <c r="ES15" s="5"/>
      <c r="ET15" s="2" t="str">
        <f t="shared" si="158"/>
        <v/>
      </c>
      <c r="EU15" s="4" t="str">
        <f t="shared" si="159"/>
        <v/>
      </c>
      <c r="EV15" s="5" t="str">
        <f t="shared" si="160"/>
        <v/>
      </c>
      <c r="EW15" s="36" t="str">
        <f t="shared" si="161"/>
        <v/>
      </c>
      <c r="EX15" s="29"/>
      <c r="EZ15" s="40" t="str">
        <f>IF($A51="","",$A51)</f>
        <v/>
      </c>
      <c r="FA15" s="35"/>
      <c r="FB15" s="5" t="str">
        <f t="shared" si="162"/>
        <v/>
      </c>
      <c r="FC15" s="5"/>
      <c r="FD15" s="5" t="str">
        <f t="shared" si="163"/>
        <v/>
      </c>
      <c r="FE15" s="5"/>
      <c r="FF15" s="5" t="str">
        <f t="shared" si="164"/>
        <v/>
      </c>
      <c r="FG15" s="5"/>
      <c r="FH15" s="2" t="str">
        <f t="shared" si="165"/>
        <v/>
      </c>
      <c r="FI15" s="4" t="str">
        <f t="shared" si="166"/>
        <v/>
      </c>
      <c r="FJ15" s="5" t="str">
        <f t="shared" si="167"/>
        <v/>
      </c>
      <c r="FK15" s="36" t="str">
        <f t="shared" si="168"/>
        <v/>
      </c>
      <c r="FL15" s="29"/>
      <c r="FN15" s="40" t="str">
        <f>IF($A51="","",$A51)</f>
        <v/>
      </c>
      <c r="FO15" s="35"/>
      <c r="FP15" s="5" t="str">
        <f t="shared" si="169"/>
        <v/>
      </c>
      <c r="FQ15" s="5"/>
      <c r="FR15" s="5" t="str">
        <f t="shared" si="170"/>
        <v/>
      </c>
      <c r="FS15" s="5"/>
      <c r="FT15" s="5" t="str">
        <f t="shared" si="171"/>
        <v/>
      </c>
      <c r="FU15" s="5"/>
      <c r="FV15" s="2" t="str">
        <f t="shared" si="172"/>
        <v/>
      </c>
      <c r="FW15" s="4" t="str">
        <f t="shared" si="173"/>
        <v/>
      </c>
      <c r="FX15" s="5" t="str">
        <f t="shared" si="174"/>
        <v/>
      </c>
      <c r="FY15" s="36" t="str">
        <f t="shared" si="175"/>
        <v/>
      </c>
      <c r="FZ15" s="29"/>
      <c r="GB15" s="40" t="str">
        <f>IF($A51="","",$A51)</f>
        <v/>
      </c>
      <c r="GC15" s="35"/>
      <c r="GD15" s="5" t="str">
        <f t="shared" si="176"/>
        <v/>
      </c>
      <c r="GE15" s="5"/>
      <c r="GF15" s="5" t="str">
        <f t="shared" si="177"/>
        <v/>
      </c>
      <c r="GG15" s="5"/>
      <c r="GH15" s="5" t="str">
        <f t="shared" si="178"/>
        <v/>
      </c>
      <c r="GI15" s="5"/>
      <c r="GJ15" s="2" t="str">
        <f t="shared" si="179"/>
        <v/>
      </c>
      <c r="GK15" s="4" t="str">
        <f t="shared" si="180"/>
        <v/>
      </c>
      <c r="GL15" s="5" t="str">
        <f t="shared" si="181"/>
        <v/>
      </c>
      <c r="GM15" s="36" t="str">
        <f t="shared" si="182"/>
        <v/>
      </c>
      <c r="GN15" s="29"/>
      <c r="GP15" s="40" t="str">
        <f>IF($A51="","",$A51)</f>
        <v/>
      </c>
      <c r="GQ15" s="35"/>
      <c r="GR15" s="5" t="str">
        <f t="shared" si="183"/>
        <v/>
      </c>
      <c r="GS15" s="5"/>
      <c r="GT15" s="5" t="str">
        <f t="shared" si="184"/>
        <v/>
      </c>
      <c r="GU15" s="5"/>
      <c r="GV15" s="5" t="str">
        <f t="shared" si="185"/>
        <v/>
      </c>
      <c r="GW15" s="5"/>
      <c r="GX15" s="5" t="str">
        <f t="shared" si="186"/>
        <v/>
      </c>
      <c r="GY15" s="5"/>
      <c r="GZ15" s="2" t="str">
        <f t="shared" si="74"/>
        <v/>
      </c>
      <c r="HA15" s="4" t="str">
        <f t="shared" si="75"/>
        <v/>
      </c>
      <c r="HB15" s="5" t="str">
        <f t="shared" si="76"/>
        <v/>
      </c>
      <c r="HC15" s="36" t="str">
        <f t="shared" si="77"/>
        <v/>
      </c>
      <c r="HD15" s="29"/>
      <c r="HF15" s="40" t="str">
        <f>IF($A51="","",$A51)</f>
        <v/>
      </c>
      <c r="HG15" s="35"/>
      <c r="HH15" s="5" t="str">
        <f t="shared" si="78"/>
        <v/>
      </c>
      <c r="HI15" s="5"/>
      <c r="HJ15" s="29"/>
      <c r="HL15" s="40" t="str">
        <f>IF($A51="","",$A51)</f>
        <v/>
      </c>
      <c r="HM15" s="35"/>
      <c r="HN15" s="5" t="str">
        <f t="shared" si="79"/>
        <v/>
      </c>
      <c r="HO15" s="5"/>
      <c r="HP15" s="29"/>
      <c r="HR15" s="40" t="str">
        <f>IF($A51="","",$A51)</f>
        <v/>
      </c>
      <c r="HS15" s="35"/>
      <c r="HT15" s="5" t="str">
        <f t="shared" si="80"/>
        <v/>
      </c>
      <c r="HU15" s="5"/>
      <c r="HV15" s="29"/>
    </row>
    <row r="16" spans="1:230" x14ac:dyDescent="0.2">
      <c r="A16" s="54"/>
      <c r="B16" s="37"/>
      <c r="C16" s="5"/>
      <c r="D16" s="5" t="str">
        <f t="shared" si="126"/>
        <v/>
      </c>
      <c r="E16" s="5"/>
      <c r="F16" s="5" t="str">
        <f t="shared" si="127"/>
        <v/>
      </c>
      <c r="G16" s="5"/>
      <c r="H16" s="5" t="str">
        <f t="shared" si="128"/>
        <v/>
      </c>
      <c r="I16" s="35"/>
      <c r="J16" s="3" t="str">
        <f t="shared" si="129"/>
        <v/>
      </c>
      <c r="K16" s="39" t="str">
        <f t="shared" si="130"/>
        <v/>
      </c>
      <c r="L16" s="5" t="str">
        <f t="shared" si="131"/>
        <v/>
      </c>
      <c r="M16" s="36" t="str">
        <f t="shared" si="132"/>
        <v/>
      </c>
      <c r="N16" s="29"/>
      <c r="O16" s="30"/>
      <c r="P16" s="54"/>
      <c r="Q16" s="5"/>
      <c r="R16" s="5" t="str">
        <f t="shared" si="91"/>
        <v/>
      </c>
      <c r="S16" s="5"/>
      <c r="T16" s="5" t="str">
        <f t="shared" si="92"/>
        <v/>
      </c>
      <c r="U16" s="5"/>
      <c r="V16" s="5" t="str">
        <f t="shared" si="93"/>
        <v/>
      </c>
      <c r="W16" s="35"/>
      <c r="X16" s="3" t="str">
        <f t="shared" si="94"/>
        <v/>
      </c>
      <c r="Y16" s="39" t="str">
        <f t="shared" si="95"/>
        <v/>
      </c>
      <c r="Z16" s="5" t="str">
        <f t="shared" si="96"/>
        <v/>
      </c>
      <c r="AA16" s="36" t="str">
        <f t="shared" si="97"/>
        <v/>
      </c>
      <c r="AB16" s="29"/>
      <c r="AD16" s="54"/>
      <c r="AE16" s="5"/>
      <c r="AF16" s="5" t="str">
        <f t="shared" si="98"/>
        <v/>
      </c>
      <c r="AG16" s="5"/>
      <c r="AH16" s="5" t="str">
        <f t="shared" si="99"/>
        <v/>
      </c>
      <c r="AI16" s="5"/>
      <c r="AJ16" s="5" t="str">
        <f t="shared" si="100"/>
        <v/>
      </c>
      <c r="AK16" s="35"/>
      <c r="AL16" s="3" t="str">
        <f t="shared" si="101"/>
        <v/>
      </c>
      <c r="AM16" s="39" t="str">
        <f t="shared" si="102"/>
        <v/>
      </c>
      <c r="AN16" s="5" t="str">
        <f t="shared" si="103"/>
        <v/>
      </c>
      <c r="AO16" s="36" t="str">
        <f t="shared" si="104"/>
        <v/>
      </c>
      <c r="AP16" s="29"/>
      <c r="AR16" s="54"/>
      <c r="AS16" s="5"/>
      <c r="AT16" s="5" t="str">
        <f t="shared" si="105"/>
        <v/>
      </c>
      <c r="AU16" s="5"/>
      <c r="AV16" s="5" t="str">
        <f t="shared" si="106"/>
        <v/>
      </c>
      <c r="AW16" s="5"/>
      <c r="AX16" s="5" t="str">
        <f t="shared" si="107"/>
        <v/>
      </c>
      <c r="AY16" s="35"/>
      <c r="AZ16" s="3" t="str">
        <f t="shared" si="133"/>
        <v/>
      </c>
      <c r="BA16" s="39" t="str">
        <f t="shared" si="109"/>
        <v/>
      </c>
      <c r="BB16" s="5" t="str">
        <f t="shared" si="110"/>
        <v/>
      </c>
      <c r="BC16" s="36" t="str">
        <f t="shared" si="111"/>
        <v/>
      </c>
      <c r="BD16" s="29"/>
      <c r="BE16" s="32"/>
      <c r="BF16" s="33"/>
      <c r="BG16" s="5"/>
      <c r="BH16" s="5" t="str">
        <f t="shared" si="112"/>
        <v/>
      </c>
      <c r="BI16" s="5"/>
      <c r="BJ16" s="5" t="str">
        <f t="shared" si="113"/>
        <v/>
      </c>
      <c r="BK16" s="5"/>
      <c r="BL16" s="5" t="str">
        <f t="shared" si="114"/>
        <v/>
      </c>
      <c r="BM16" s="35"/>
      <c r="BN16" s="3" t="str">
        <f t="shared" si="115"/>
        <v/>
      </c>
      <c r="BO16" s="39" t="str">
        <f t="shared" si="116"/>
        <v/>
      </c>
      <c r="BP16" s="5" t="str">
        <f t="shared" si="117"/>
        <v/>
      </c>
      <c r="BQ16" s="36" t="str">
        <f t="shared" si="118"/>
        <v/>
      </c>
      <c r="BR16" s="29"/>
      <c r="BT16" s="33"/>
      <c r="BU16" s="5"/>
      <c r="BV16" s="5" t="str">
        <f t="shared" si="119"/>
        <v/>
      </c>
      <c r="BW16" s="5"/>
      <c r="BX16" s="5" t="str">
        <f t="shared" si="120"/>
        <v/>
      </c>
      <c r="BY16" s="5"/>
      <c r="BZ16" s="5" t="str">
        <f t="shared" si="121"/>
        <v/>
      </c>
      <c r="CA16" s="35"/>
      <c r="CB16" s="3" t="str">
        <f t="shared" si="122"/>
        <v/>
      </c>
      <c r="CC16" s="39" t="str">
        <f t="shared" si="123"/>
        <v/>
      </c>
      <c r="CD16" s="5" t="str">
        <f t="shared" si="124"/>
        <v/>
      </c>
      <c r="CE16" s="36" t="str">
        <f t="shared" si="125"/>
        <v/>
      </c>
      <c r="CF16" s="29"/>
      <c r="CH16" s="40" t="str">
        <f>IF($A$425="","",$A$425)</f>
        <v/>
      </c>
      <c r="CI16" s="5"/>
      <c r="CJ16" s="5" t="str">
        <f t="shared" si="67"/>
        <v/>
      </c>
      <c r="CK16" s="5"/>
      <c r="CL16" s="5" t="str">
        <f t="shared" si="68"/>
        <v/>
      </c>
      <c r="CM16" s="5"/>
      <c r="CN16" s="5" t="str">
        <f t="shared" si="69"/>
        <v/>
      </c>
      <c r="CO16" s="5"/>
      <c r="CP16" s="2" t="str">
        <f t="shared" si="70"/>
        <v/>
      </c>
      <c r="CQ16" s="4" t="str">
        <f t="shared" si="71"/>
        <v/>
      </c>
      <c r="CR16" s="5" t="str">
        <f t="shared" si="72"/>
        <v/>
      </c>
      <c r="CS16" s="36" t="str">
        <f>IF(CR16="","",CR16/(CI16*100))</f>
        <v/>
      </c>
      <c r="CT16" s="29"/>
      <c r="CV16" s="40" t="str">
        <f>IF($A$425="","",$A$425)</f>
        <v/>
      </c>
      <c r="CW16" s="5"/>
      <c r="CX16" s="5" t="str">
        <f t="shared" si="134"/>
        <v/>
      </c>
      <c r="CY16" s="5"/>
      <c r="CZ16" s="5" t="str">
        <f t="shared" si="135"/>
        <v/>
      </c>
      <c r="DA16" s="5"/>
      <c r="DB16" s="5" t="str">
        <f t="shared" si="136"/>
        <v/>
      </c>
      <c r="DC16" s="5"/>
      <c r="DD16" s="2" t="str">
        <f t="shared" si="137"/>
        <v/>
      </c>
      <c r="DE16" s="4" t="str">
        <f t="shared" si="138"/>
        <v/>
      </c>
      <c r="DF16" s="5" t="str">
        <f t="shared" si="139"/>
        <v/>
      </c>
      <c r="DG16" s="36" t="str">
        <f>IF(DF16="","",DF16/(CW16*100))</f>
        <v/>
      </c>
      <c r="DH16" s="29"/>
      <c r="DJ16" s="40" t="str">
        <f>IF($A$425="","",$A$425)</f>
        <v/>
      </c>
      <c r="DK16" s="5"/>
      <c r="DL16" s="5" t="str">
        <f t="shared" si="141"/>
        <v/>
      </c>
      <c r="DM16" s="5"/>
      <c r="DN16" s="5" t="str">
        <f t="shared" si="142"/>
        <v/>
      </c>
      <c r="DO16" s="5"/>
      <c r="DP16" s="5" t="str">
        <f t="shared" si="143"/>
        <v/>
      </c>
      <c r="DQ16" s="5"/>
      <c r="DR16" s="2" t="str">
        <f t="shared" si="144"/>
        <v/>
      </c>
      <c r="DS16" s="4" t="str">
        <f t="shared" si="145"/>
        <v/>
      </c>
      <c r="DT16" s="5" t="str">
        <f t="shared" si="146"/>
        <v/>
      </c>
      <c r="DU16" s="36" t="str">
        <f>IF(DT16="","",DT16/(DK16*100))</f>
        <v/>
      </c>
      <c r="DV16" s="29"/>
      <c r="DX16" s="40" t="str">
        <f>IF($A$425="","",$A$425)</f>
        <v/>
      </c>
      <c r="DY16" s="5"/>
      <c r="DZ16" s="5" t="str">
        <f t="shared" si="148"/>
        <v/>
      </c>
      <c r="EA16" s="5"/>
      <c r="EB16" s="5" t="str">
        <f t="shared" si="149"/>
        <v/>
      </c>
      <c r="EC16" s="5"/>
      <c r="ED16" s="5" t="str">
        <f t="shared" si="150"/>
        <v/>
      </c>
      <c r="EE16" s="5"/>
      <c r="EF16" s="2" t="str">
        <f t="shared" si="151"/>
        <v/>
      </c>
      <c r="EG16" s="4" t="str">
        <f t="shared" si="152"/>
        <v/>
      </c>
      <c r="EH16" s="5" t="str">
        <f t="shared" si="153"/>
        <v/>
      </c>
      <c r="EI16" s="36" t="str">
        <f>IF(EH16="","",EH16/(DY16*100))</f>
        <v/>
      </c>
      <c r="EJ16" s="29"/>
      <c r="EL16" s="40" t="str">
        <f>IF($A$425="","",$A$425)</f>
        <v/>
      </c>
      <c r="EM16" s="5"/>
      <c r="EN16" s="5" t="str">
        <f t="shared" si="155"/>
        <v/>
      </c>
      <c r="EO16" s="5"/>
      <c r="EP16" s="5" t="str">
        <f t="shared" si="156"/>
        <v/>
      </c>
      <c r="EQ16" s="5"/>
      <c r="ER16" s="5" t="str">
        <f t="shared" si="157"/>
        <v/>
      </c>
      <c r="ES16" s="5"/>
      <c r="ET16" s="2" t="str">
        <f t="shared" si="158"/>
        <v/>
      </c>
      <c r="EU16" s="4" t="str">
        <f t="shared" si="159"/>
        <v/>
      </c>
      <c r="EV16" s="5" t="str">
        <f t="shared" si="160"/>
        <v/>
      </c>
      <c r="EW16" s="36" t="str">
        <f>IF(EV16="","",EV16/(EM16*100))</f>
        <v/>
      </c>
      <c r="EX16" s="29"/>
      <c r="EZ16" s="40" t="str">
        <f>IF($A$425="","",$A$425)</f>
        <v/>
      </c>
      <c r="FA16" s="5"/>
      <c r="FB16" s="5" t="str">
        <f t="shared" si="162"/>
        <v/>
      </c>
      <c r="FC16" s="5"/>
      <c r="FD16" s="5" t="str">
        <f t="shared" si="163"/>
        <v/>
      </c>
      <c r="FE16" s="5"/>
      <c r="FF16" s="5" t="str">
        <f t="shared" si="164"/>
        <v/>
      </c>
      <c r="FG16" s="5"/>
      <c r="FH16" s="2" t="str">
        <f t="shared" si="165"/>
        <v/>
      </c>
      <c r="FI16" s="4" t="str">
        <f t="shared" si="166"/>
        <v/>
      </c>
      <c r="FJ16" s="5" t="str">
        <f t="shared" si="167"/>
        <v/>
      </c>
      <c r="FK16" s="36" t="str">
        <f>IF(FJ16="","",FJ16/(FA16*100))</f>
        <v/>
      </c>
      <c r="FL16" s="29"/>
      <c r="FN16" s="40" t="str">
        <f>IF($A$425="","",$A$425)</f>
        <v/>
      </c>
      <c r="FO16" s="5"/>
      <c r="FP16" s="5" t="str">
        <f t="shared" si="169"/>
        <v/>
      </c>
      <c r="FQ16" s="5"/>
      <c r="FR16" s="5" t="str">
        <f t="shared" si="170"/>
        <v/>
      </c>
      <c r="FS16" s="5"/>
      <c r="FT16" s="5" t="str">
        <f t="shared" si="171"/>
        <v/>
      </c>
      <c r="FU16" s="5"/>
      <c r="FV16" s="2" t="str">
        <f t="shared" si="172"/>
        <v/>
      </c>
      <c r="FW16" s="4" t="str">
        <f t="shared" si="173"/>
        <v/>
      </c>
      <c r="FX16" s="5" t="str">
        <f t="shared" si="174"/>
        <v/>
      </c>
      <c r="FY16" s="36" t="str">
        <f>IF(FX16="","",FX16/(FO16*100))</f>
        <v/>
      </c>
      <c r="FZ16" s="29"/>
      <c r="GB16" s="40" t="str">
        <f>IF($A$425="","",$A$425)</f>
        <v/>
      </c>
      <c r="GC16" s="5"/>
      <c r="GD16" s="5" t="str">
        <f t="shared" si="176"/>
        <v/>
      </c>
      <c r="GE16" s="5"/>
      <c r="GF16" s="5" t="str">
        <f t="shared" si="177"/>
        <v/>
      </c>
      <c r="GG16" s="5"/>
      <c r="GH16" s="5" t="str">
        <f t="shared" si="178"/>
        <v/>
      </c>
      <c r="GI16" s="5"/>
      <c r="GJ16" s="2" t="str">
        <f t="shared" si="179"/>
        <v/>
      </c>
      <c r="GK16" s="4" t="str">
        <f t="shared" si="180"/>
        <v/>
      </c>
      <c r="GL16" s="5" t="str">
        <f t="shared" si="181"/>
        <v/>
      </c>
      <c r="GM16" s="36" t="str">
        <f>IF(GL16="","",GL16/(GC16*100))</f>
        <v/>
      </c>
      <c r="GN16" s="29"/>
      <c r="GP16" s="40" t="str">
        <f>IF($A$425="","",$A$425)</f>
        <v/>
      </c>
      <c r="GQ16" s="5"/>
      <c r="GR16" s="5" t="str">
        <f t="shared" si="183"/>
        <v/>
      </c>
      <c r="GS16" s="5"/>
      <c r="GT16" s="5" t="str">
        <f t="shared" si="184"/>
        <v/>
      </c>
      <c r="GU16" s="5"/>
      <c r="GV16" s="5" t="str">
        <f t="shared" si="185"/>
        <v/>
      </c>
      <c r="GW16" s="5"/>
      <c r="GX16" s="5" t="str">
        <f t="shared" si="186"/>
        <v/>
      </c>
      <c r="GY16" s="5"/>
      <c r="GZ16" s="2" t="str">
        <f t="shared" si="74"/>
        <v/>
      </c>
      <c r="HA16" s="4" t="str">
        <f t="shared" si="75"/>
        <v/>
      </c>
      <c r="HB16" s="5" t="str">
        <f t="shared" si="76"/>
        <v/>
      </c>
      <c r="HC16" s="36" t="str">
        <f t="shared" si="77"/>
        <v/>
      </c>
      <c r="HD16" s="29"/>
      <c r="HF16" s="40" t="str">
        <f>IF($A$425="","",$A$425)</f>
        <v/>
      </c>
      <c r="HG16" s="5"/>
      <c r="HH16" s="5" t="str">
        <f t="shared" si="78"/>
        <v/>
      </c>
      <c r="HI16" s="5"/>
      <c r="HJ16" s="29"/>
      <c r="HL16" s="40" t="str">
        <f>IF($A$425="","",$A$425)</f>
        <v/>
      </c>
      <c r="HM16" s="5"/>
      <c r="HN16" s="5" t="str">
        <f t="shared" si="79"/>
        <v/>
      </c>
      <c r="HO16" s="5"/>
      <c r="HP16" s="29"/>
      <c r="HR16" s="40" t="str">
        <f>IF($A$425="","",$A$425)</f>
        <v/>
      </c>
      <c r="HS16" s="5"/>
      <c r="HT16" s="5" t="str">
        <f t="shared" si="80"/>
        <v/>
      </c>
      <c r="HU16" s="5"/>
      <c r="HV16" s="29"/>
    </row>
    <row r="17" spans="1:230" x14ac:dyDescent="0.2">
      <c r="A17" s="70"/>
      <c r="B17" s="71"/>
      <c r="C17" s="58"/>
      <c r="D17" s="143" t="str">
        <f t="shared" si="126"/>
        <v/>
      </c>
      <c r="E17" s="5"/>
      <c r="F17" s="5" t="str">
        <f t="shared" si="127"/>
        <v/>
      </c>
      <c r="G17" s="58"/>
      <c r="H17" s="5" t="str">
        <f t="shared" si="128"/>
        <v/>
      </c>
      <c r="I17" s="59"/>
      <c r="J17" s="3" t="str">
        <f t="shared" si="129"/>
        <v/>
      </c>
      <c r="K17" s="39" t="str">
        <f t="shared" si="130"/>
        <v/>
      </c>
      <c r="L17" s="5" t="str">
        <f t="shared" si="131"/>
        <v/>
      </c>
      <c r="M17" s="36" t="str">
        <f t="shared" si="132"/>
        <v/>
      </c>
      <c r="N17" s="29"/>
      <c r="P17" s="70"/>
      <c r="Q17" s="58"/>
      <c r="R17" s="143" t="str">
        <f t="shared" si="91"/>
        <v/>
      </c>
      <c r="S17" s="5"/>
      <c r="T17" s="5" t="str">
        <f t="shared" si="92"/>
        <v/>
      </c>
      <c r="U17" s="58"/>
      <c r="V17" s="5" t="str">
        <f t="shared" si="93"/>
        <v/>
      </c>
      <c r="W17" s="59"/>
      <c r="X17" s="3" t="str">
        <f t="shared" si="94"/>
        <v/>
      </c>
      <c r="Y17" s="39" t="str">
        <f t="shared" si="95"/>
        <v/>
      </c>
      <c r="Z17" s="5" t="str">
        <f t="shared" si="96"/>
        <v/>
      </c>
      <c r="AA17" s="36" t="str">
        <f t="shared" si="97"/>
        <v/>
      </c>
      <c r="AB17" s="29"/>
      <c r="AD17" s="70"/>
      <c r="AE17" s="58"/>
      <c r="AF17" s="143" t="str">
        <f t="shared" si="98"/>
        <v/>
      </c>
      <c r="AG17" s="5"/>
      <c r="AH17" s="5" t="str">
        <f t="shared" si="99"/>
        <v/>
      </c>
      <c r="AI17" s="58"/>
      <c r="AJ17" s="5" t="str">
        <f t="shared" si="100"/>
        <v/>
      </c>
      <c r="AK17" s="59"/>
      <c r="AL17" s="3" t="str">
        <f t="shared" si="101"/>
        <v/>
      </c>
      <c r="AM17" s="39" t="str">
        <f t="shared" si="102"/>
        <v/>
      </c>
      <c r="AN17" s="5" t="str">
        <f t="shared" si="103"/>
        <v/>
      </c>
      <c r="AO17" s="36" t="str">
        <f t="shared" si="104"/>
        <v/>
      </c>
      <c r="AP17" s="29"/>
      <c r="AR17" s="70"/>
      <c r="AS17" s="58"/>
      <c r="AT17" s="143" t="str">
        <f t="shared" si="105"/>
        <v/>
      </c>
      <c r="AU17" s="5"/>
      <c r="AV17" s="5" t="str">
        <f t="shared" si="106"/>
        <v/>
      </c>
      <c r="AW17" s="58"/>
      <c r="AX17" s="5" t="str">
        <f t="shared" si="107"/>
        <v/>
      </c>
      <c r="AY17" s="59"/>
      <c r="AZ17" s="3" t="str">
        <f t="shared" si="133"/>
        <v/>
      </c>
      <c r="BA17" s="39" t="str">
        <f t="shared" si="109"/>
        <v/>
      </c>
      <c r="BB17" s="5" t="str">
        <f t="shared" si="110"/>
        <v/>
      </c>
      <c r="BC17" s="36" t="str">
        <f t="shared" si="111"/>
        <v/>
      </c>
      <c r="BD17" s="29"/>
      <c r="BE17" s="32"/>
      <c r="BF17" s="72"/>
      <c r="BG17" s="58"/>
      <c r="BH17" s="143" t="str">
        <f t="shared" si="112"/>
        <v/>
      </c>
      <c r="BI17" s="5"/>
      <c r="BJ17" s="5" t="str">
        <f t="shared" si="113"/>
        <v/>
      </c>
      <c r="BK17" s="58"/>
      <c r="BL17" s="5" t="str">
        <f t="shared" si="114"/>
        <v/>
      </c>
      <c r="BM17" s="59"/>
      <c r="BN17" s="3" t="str">
        <f t="shared" si="115"/>
        <v/>
      </c>
      <c r="BO17" s="39" t="str">
        <f t="shared" si="116"/>
        <v/>
      </c>
      <c r="BP17" s="5" t="str">
        <f t="shared" si="117"/>
        <v/>
      </c>
      <c r="BQ17" s="36" t="str">
        <f t="shared" si="118"/>
        <v/>
      </c>
      <c r="BR17" s="29"/>
      <c r="BT17" s="72"/>
      <c r="BU17" s="58"/>
      <c r="BV17" s="143" t="str">
        <f t="shared" si="119"/>
        <v/>
      </c>
      <c r="BW17" s="5"/>
      <c r="BX17" s="5" t="str">
        <f t="shared" si="120"/>
        <v/>
      </c>
      <c r="BY17" s="58"/>
      <c r="BZ17" s="5" t="str">
        <f t="shared" si="121"/>
        <v/>
      </c>
      <c r="CA17" s="59"/>
      <c r="CB17" s="3" t="str">
        <f t="shared" si="122"/>
        <v/>
      </c>
      <c r="CC17" s="39" t="str">
        <f t="shared" si="123"/>
        <v/>
      </c>
      <c r="CD17" s="5" t="str">
        <f t="shared" si="124"/>
        <v/>
      </c>
      <c r="CE17" s="36" t="str">
        <f t="shared" si="125"/>
        <v/>
      </c>
      <c r="CF17" s="29"/>
      <c r="CH17" s="40"/>
      <c r="CI17" s="5"/>
      <c r="CJ17" s="5"/>
      <c r="CK17" s="5"/>
      <c r="CL17" s="5"/>
      <c r="CM17" s="5"/>
      <c r="CN17" s="5"/>
      <c r="CO17" s="5"/>
      <c r="CP17" s="2" t="str">
        <f t="shared" si="70"/>
        <v/>
      </c>
      <c r="CQ17" s="4"/>
      <c r="CR17" s="5"/>
      <c r="CS17" s="36" t="str">
        <f>IF(CR17="","",CR17/(CI17*100))</f>
        <v/>
      </c>
      <c r="CT17" s="29"/>
      <c r="CV17" s="40"/>
      <c r="CW17" s="5"/>
      <c r="CX17" s="5"/>
      <c r="CY17" s="5"/>
      <c r="CZ17" s="5"/>
      <c r="DA17" s="5"/>
      <c r="DB17" s="5"/>
      <c r="DC17" s="5"/>
      <c r="DD17" s="2" t="str">
        <f t="shared" si="137"/>
        <v/>
      </c>
      <c r="DE17" s="4"/>
      <c r="DF17" s="5"/>
      <c r="DG17" s="36" t="str">
        <f>IF(DF17="","",DF17/(CW17*100))</f>
        <v/>
      </c>
      <c r="DH17" s="29"/>
      <c r="DJ17" s="40"/>
      <c r="DK17" s="5"/>
      <c r="DL17" s="5"/>
      <c r="DM17" s="5"/>
      <c r="DN17" s="5"/>
      <c r="DO17" s="5"/>
      <c r="DP17" s="5"/>
      <c r="DQ17" s="5"/>
      <c r="DR17" s="2" t="str">
        <f t="shared" si="144"/>
        <v/>
      </c>
      <c r="DS17" s="4"/>
      <c r="DT17" s="5"/>
      <c r="DU17" s="36" t="str">
        <f>IF(DT17="","",DT17/(DK17*100))</f>
        <v/>
      </c>
      <c r="DV17" s="29"/>
      <c r="DX17" s="40"/>
      <c r="DY17" s="5"/>
      <c r="DZ17" s="5"/>
      <c r="EA17" s="5"/>
      <c r="EB17" s="5"/>
      <c r="EC17" s="5"/>
      <c r="ED17" s="5"/>
      <c r="EE17" s="5"/>
      <c r="EF17" s="2" t="str">
        <f t="shared" si="151"/>
        <v/>
      </c>
      <c r="EG17" s="4"/>
      <c r="EH17" s="5"/>
      <c r="EI17" s="36" t="str">
        <f>IF(EH17="","",EH17/(DY17*100))</f>
        <v/>
      </c>
      <c r="EJ17" s="29"/>
      <c r="EL17" s="40"/>
      <c r="EM17" s="5"/>
      <c r="EN17" s="5"/>
      <c r="EO17" s="5"/>
      <c r="EP17" s="5"/>
      <c r="EQ17" s="5"/>
      <c r="ER17" s="5"/>
      <c r="ES17" s="5"/>
      <c r="ET17" s="2" t="str">
        <f t="shared" si="158"/>
        <v/>
      </c>
      <c r="EU17" s="4"/>
      <c r="EV17" s="5"/>
      <c r="EW17" s="36" t="str">
        <f>IF(EV17="","",EV17/(EM17*100))</f>
        <v/>
      </c>
      <c r="EX17" s="29"/>
      <c r="EZ17" s="40"/>
      <c r="FA17" s="5"/>
      <c r="FB17" s="5"/>
      <c r="FC17" s="5"/>
      <c r="FD17" s="5"/>
      <c r="FE17" s="5"/>
      <c r="FF17" s="5"/>
      <c r="FG17" s="5"/>
      <c r="FH17" s="2" t="str">
        <f t="shared" si="165"/>
        <v/>
      </c>
      <c r="FI17" s="4"/>
      <c r="FJ17" s="5"/>
      <c r="FK17" s="36" t="str">
        <f>IF(FJ17="","",FJ17/(FA17*100))</f>
        <v/>
      </c>
      <c r="FL17" s="29"/>
      <c r="FN17" s="40"/>
      <c r="FO17" s="5"/>
      <c r="FP17" s="5"/>
      <c r="FQ17" s="5"/>
      <c r="FR17" s="5"/>
      <c r="FS17" s="5"/>
      <c r="FT17" s="5"/>
      <c r="FU17" s="5"/>
      <c r="FV17" s="2" t="str">
        <f t="shared" si="172"/>
        <v/>
      </c>
      <c r="FW17" s="4"/>
      <c r="FX17" s="5"/>
      <c r="FY17" s="36" t="str">
        <f>IF(FX17="","",FX17/(FO17*100))</f>
        <v/>
      </c>
      <c r="FZ17" s="29"/>
      <c r="GB17" s="40"/>
      <c r="GC17" s="5"/>
      <c r="GD17" s="5"/>
      <c r="GE17" s="5"/>
      <c r="GF17" s="5"/>
      <c r="GG17" s="5"/>
      <c r="GH17" s="5"/>
      <c r="GI17" s="5"/>
      <c r="GJ17" s="2" t="str">
        <f t="shared" si="179"/>
        <v/>
      </c>
      <c r="GK17" s="4"/>
      <c r="GL17" s="5"/>
      <c r="GM17" s="36" t="str">
        <f>IF(GL17="","",GL17/(GC17*100))</f>
        <v/>
      </c>
      <c r="GN17" s="29"/>
      <c r="GP17" s="40"/>
      <c r="GQ17" s="5"/>
      <c r="GR17" s="5"/>
      <c r="GS17" s="5"/>
      <c r="GT17" s="5"/>
      <c r="GU17" s="5"/>
      <c r="GV17" s="5"/>
      <c r="GW17" s="5"/>
      <c r="GX17" s="5"/>
      <c r="GY17" s="5"/>
      <c r="GZ17" s="2" t="str">
        <f t="shared" si="74"/>
        <v/>
      </c>
      <c r="HA17" s="4" t="str">
        <f t="shared" si="75"/>
        <v/>
      </c>
      <c r="HB17" s="5" t="str">
        <f t="shared" si="76"/>
        <v/>
      </c>
      <c r="HC17" s="36" t="str">
        <f t="shared" si="77"/>
        <v/>
      </c>
      <c r="HD17" s="29"/>
      <c r="HF17" s="40"/>
      <c r="HG17" s="5"/>
      <c r="HH17" s="5"/>
      <c r="HI17" s="5"/>
      <c r="HJ17" s="29"/>
      <c r="HL17" s="40"/>
      <c r="HM17" s="5"/>
      <c r="HN17" s="5"/>
      <c r="HO17" s="5"/>
      <c r="HP17" s="29"/>
      <c r="HR17" s="40"/>
      <c r="HS17" s="5"/>
      <c r="HT17" s="5"/>
      <c r="HU17" s="5"/>
      <c r="HV17" s="29"/>
    </row>
    <row r="18" spans="1:230" ht="15" customHeight="1" thickBot="1" x14ac:dyDescent="0.25">
      <c r="A18" s="60"/>
      <c r="B18" s="73"/>
      <c r="C18" s="44"/>
      <c r="D18" s="144" t="str">
        <f t="shared" si="126"/>
        <v/>
      </c>
      <c r="E18" s="44"/>
      <c r="F18" s="44" t="str">
        <f t="shared" si="127"/>
        <v/>
      </c>
      <c r="G18" s="44"/>
      <c r="H18" s="44" t="str">
        <f t="shared" si="128"/>
        <v/>
      </c>
      <c r="I18" s="62"/>
      <c r="J18" s="45" t="str">
        <f t="shared" si="129"/>
        <v/>
      </c>
      <c r="K18" s="61" t="str">
        <f t="shared" si="130"/>
        <v/>
      </c>
      <c r="L18" s="44" t="str">
        <f t="shared" si="131"/>
        <v/>
      </c>
      <c r="M18" s="46" t="str">
        <f t="shared" si="132"/>
        <v/>
      </c>
      <c r="N18" s="29"/>
      <c r="P18" s="60"/>
      <c r="Q18" s="44"/>
      <c r="R18" s="144" t="str">
        <f t="shared" si="91"/>
        <v/>
      </c>
      <c r="S18" s="44"/>
      <c r="T18" s="44" t="str">
        <f t="shared" si="92"/>
        <v/>
      </c>
      <c r="U18" s="44"/>
      <c r="V18" s="44" t="str">
        <f t="shared" si="93"/>
        <v/>
      </c>
      <c r="W18" s="62"/>
      <c r="X18" s="45" t="str">
        <f t="shared" si="94"/>
        <v/>
      </c>
      <c r="Y18" s="61" t="str">
        <f t="shared" si="95"/>
        <v/>
      </c>
      <c r="Z18" s="44" t="str">
        <f t="shared" si="96"/>
        <v/>
      </c>
      <c r="AA18" s="46" t="str">
        <f t="shared" si="97"/>
        <v/>
      </c>
      <c r="AB18" s="29"/>
      <c r="AD18" s="60"/>
      <c r="AE18" s="44"/>
      <c r="AF18" s="144" t="str">
        <f t="shared" si="98"/>
        <v/>
      </c>
      <c r="AG18" s="44"/>
      <c r="AH18" s="44" t="str">
        <f t="shared" si="99"/>
        <v/>
      </c>
      <c r="AI18" s="44"/>
      <c r="AJ18" s="44" t="str">
        <f t="shared" si="100"/>
        <v/>
      </c>
      <c r="AK18" s="62"/>
      <c r="AL18" s="45" t="str">
        <f t="shared" si="101"/>
        <v/>
      </c>
      <c r="AM18" s="61" t="str">
        <f t="shared" si="102"/>
        <v/>
      </c>
      <c r="AN18" s="44" t="str">
        <f t="shared" si="103"/>
        <v/>
      </c>
      <c r="AO18" s="46" t="str">
        <f t="shared" si="104"/>
        <v/>
      </c>
      <c r="AP18" s="29"/>
      <c r="AR18" s="60"/>
      <c r="AS18" s="44"/>
      <c r="AT18" s="144" t="str">
        <f t="shared" si="105"/>
        <v/>
      </c>
      <c r="AU18" s="44"/>
      <c r="AV18" s="44" t="str">
        <f t="shared" si="106"/>
        <v/>
      </c>
      <c r="AW18" s="44"/>
      <c r="AX18" s="44" t="str">
        <f t="shared" si="107"/>
        <v/>
      </c>
      <c r="AY18" s="62"/>
      <c r="AZ18" s="45" t="str">
        <f t="shared" si="133"/>
        <v/>
      </c>
      <c r="BA18" s="61" t="str">
        <f t="shared" si="109"/>
        <v/>
      </c>
      <c r="BB18" s="44" t="str">
        <f t="shared" si="110"/>
        <v/>
      </c>
      <c r="BC18" s="46" t="str">
        <f t="shared" si="111"/>
        <v/>
      </c>
      <c r="BD18" s="29"/>
      <c r="BE18" s="32"/>
      <c r="BF18" s="41"/>
      <c r="BG18" s="44"/>
      <c r="BH18" s="144" t="str">
        <f t="shared" si="112"/>
        <v/>
      </c>
      <c r="BI18" s="44"/>
      <c r="BJ18" s="44" t="str">
        <f t="shared" si="113"/>
        <v/>
      </c>
      <c r="BK18" s="44"/>
      <c r="BL18" s="44" t="str">
        <f t="shared" si="114"/>
        <v/>
      </c>
      <c r="BM18" s="62"/>
      <c r="BN18" s="45" t="str">
        <f t="shared" si="115"/>
        <v/>
      </c>
      <c r="BO18" s="61" t="str">
        <f t="shared" si="116"/>
        <v/>
      </c>
      <c r="BP18" s="44" t="str">
        <f t="shared" si="117"/>
        <v/>
      </c>
      <c r="BQ18" s="46" t="str">
        <f t="shared" si="118"/>
        <v/>
      </c>
      <c r="BR18" s="29"/>
      <c r="BT18" s="41"/>
      <c r="BU18" s="44"/>
      <c r="BV18" s="144" t="str">
        <f t="shared" si="119"/>
        <v/>
      </c>
      <c r="BW18" s="44"/>
      <c r="BX18" s="44" t="str">
        <f t="shared" si="120"/>
        <v/>
      </c>
      <c r="BY18" s="44"/>
      <c r="BZ18" s="44" t="str">
        <f t="shared" si="121"/>
        <v/>
      </c>
      <c r="CA18" s="62"/>
      <c r="CB18" s="45" t="str">
        <f t="shared" si="122"/>
        <v/>
      </c>
      <c r="CC18" s="61" t="str">
        <f t="shared" si="123"/>
        <v/>
      </c>
      <c r="CD18" s="44" t="str">
        <f t="shared" si="124"/>
        <v/>
      </c>
      <c r="CE18" s="46" t="str">
        <f t="shared" si="125"/>
        <v/>
      </c>
      <c r="CF18" s="29"/>
      <c r="CH18" s="40"/>
      <c r="CI18" s="5"/>
      <c r="CJ18" s="5" t="str">
        <f>IF(CI18="","",CI18-CI19)</f>
        <v/>
      </c>
      <c r="CK18" s="5"/>
      <c r="CL18" s="5" t="str">
        <f>IF(CK18="","",CK18-CK19)</f>
        <v/>
      </c>
      <c r="CM18" s="5"/>
      <c r="CN18" s="5" t="str">
        <f>IF(CM18="","",CM19+CO19-CM18)</f>
        <v/>
      </c>
      <c r="CO18" s="5"/>
      <c r="CP18" s="2" t="str">
        <f t="shared" si="70"/>
        <v/>
      </c>
      <c r="CQ18" s="4" t="str">
        <f>IF(CI18="","",CQ19)</f>
        <v/>
      </c>
      <c r="CR18" s="5" t="str">
        <f t="shared" ref="CR18:CR50" si="187">IF(CQ18="","",CN18*CQ18)</f>
        <v/>
      </c>
      <c r="CS18" s="36" t="str">
        <f t="shared" ref="CS18:CS50" si="188">IF(CR18="","",CR18/(CJ18*100))</f>
        <v/>
      </c>
      <c r="CT18" s="29"/>
      <c r="CV18" s="40"/>
      <c r="CW18" s="5"/>
      <c r="CX18" s="5" t="str">
        <f>IF(CW18="","",CW18-CW19)</f>
        <v/>
      </c>
      <c r="CY18" s="5"/>
      <c r="CZ18" s="5" t="str">
        <f>IF(CY18="","",CY18-CY19)</f>
        <v/>
      </c>
      <c r="DA18" s="5"/>
      <c r="DB18" s="5" t="str">
        <f>IF(DA18="","",DA19+DC19-DA18)</f>
        <v/>
      </c>
      <c r="DC18" s="5"/>
      <c r="DD18" s="2" t="str">
        <f t="shared" si="137"/>
        <v/>
      </c>
      <c r="DE18" s="4" t="str">
        <f>IF(CW18="","",DE19)</f>
        <v/>
      </c>
      <c r="DF18" s="5" t="str">
        <f t="shared" ref="DF18:DF50" si="189">IF(DE18="","",DB18*DE18)</f>
        <v/>
      </c>
      <c r="DG18" s="36" t="str">
        <f t="shared" ref="DG18:DG50" si="190">IF(DF18="","",DF18/(CX18*100))</f>
        <v/>
      </c>
      <c r="DH18" s="29"/>
      <c r="DJ18" s="40"/>
      <c r="DK18" s="5"/>
      <c r="DL18" s="5" t="str">
        <f>IF(DK18="","",DK18-DK19)</f>
        <v/>
      </c>
      <c r="DM18" s="5"/>
      <c r="DN18" s="5" t="str">
        <f>IF(DM18="","",DM18-DM19)</f>
        <v/>
      </c>
      <c r="DO18" s="5"/>
      <c r="DP18" s="5" t="str">
        <f>IF(DO18="","",DO19+DQ19-DO18)</f>
        <v/>
      </c>
      <c r="DQ18" s="5"/>
      <c r="DR18" s="2" t="str">
        <f t="shared" si="144"/>
        <v/>
      </c>
      <c r="DS18" s="4" t="str">
        <f>IF(DK18="","",DS19)</f>
        <v/>
      </c>
      <c r="DT18" s="5" t="str">
        <f t="shared" ref="DT18:DT50" si="191">IF(DS18="","",DP18*DS18)</f>
        <v/>
      </c>
      <c r="DU18" s="36" t="str">
        <f t="shared" ref="DU18:DU50" si="192">IF(DT18="","",DT18/(DL18*100))</f>
        <v/>
      </c>
      <c r="DV18" s="29"/>
      <c r="DX18" s="40"/>
      <c r="DY18" s="5"/>
      <c r="DZ18" s="5" t="str">
        <f>IF(DY18="","",DY18-DY19)</f>
        <v/>
      </c>
      <c r="EA18" s="5"/>
      <c r="EB18" s="5" t="str">
        <f>IF(EA18="","",EA18-EA19)</f>
        <v/>
      </c>
      <c r="EC18" s="5"/>
      <c r="ED18" s="5" t="str">
        <f>IF(EC18="","",EC19+EE19-EC18)</f>
        <v/>
      </c>
      <c r="EE18" s="5"/>
      <c r="EF18" s="2" t="str">
        <f t="shared" si="151"/>
        <v/>
      </c>
      <c r="EG18" s="4" t="str">
        <f>IF(DY18="","",EG19)</f>
        <v/>
      </c>
      <c r="EH18" s="5" t="str">
        <f t="shared" ref="EH18:EH50" si="193">IF(EG18="","",ED18*EG18)</f>
        <v/>
      </c>
      <c r="EI18" s="36" t="str">
        <f t="shared" ref="EI18:EI50" si="194">IF(EH18="","",EH18/(DZ18*100))</f>
        <v/>
      </c>
      <c r="EJ18" s="29"/>
      <c r="EL18" s="40"/>
      <c r="EM18" s="5"/>
      <c r="EN18" s="5" t="str">
        <f>IF(EM18="","",EM18-EM19)</f>
        <v/>
      </c>
      <c r="EO18" s="5"/>
      <c r="EP18" s="5" t="str">
        <f>IF(EO18="","",EO18-EO19)</f>
        <v/>
      </c>
      <c r="EQ18" s="5"/>
      <c r="ER18" s="5" t="str">
        <f>IF(EQ18="","",EQ19+ES19-EQ18)</f>
        <v/>
      </c>
      <c r="ES18" s="5"/>
      <c r="ET18" s="2" t="str">
        <f t="shared" si="158"/>
        <v/>
      </c>
      <c r="EU18" s="4" t="str">
        <f>IF(EM18="","",EU19)</f>
        <v/>
      </c>
      <c r="EV18" s="5" t="str">
        <f t="shared" ref="EV18:EV50" si="195">IF(EU18="","",ER18*EU18)</f>
        <v/>
      </c>
      <c r="EW18" s="36" t="str">
        <f t="shared" ref="EW18:EW50" si="196">IF(EV18="","",EV18/(EN18*100))</f>
        <v/>
      </c>
      <c r="EX18" s="29"/>
      <c r="EZ18" s="40"/>
      <c r="FA18" s="5"/>
      <c r="FB18" s="5" t="str">
        <f>IF(FA18="","",FA18-FA19)</f>
        <v/>
      </c>
      <c r="FC18" s="5"/>
      <c r="FD18" s="5" t="str">
        <f>IF(FC18="","",FC18-FC19)</f>
        <v/>
      </c>
      <c r="FE18" s="5"/>
      <c r="FF18" s="5" t="str">
        <f>IF(FE18="","",FE19+FG19-FE18)</f>
        <v/>
      </c>
      <c r="FG18" s="5"/>
      <c r="FH18" s="2" t="str">
        <f t="shared" si="165"/>
        <v/>
      </c>
      <c r="FI18" s="4" t="str">
        <f>IF(FA18="","",FI19)</f>
        <v/>
      </c>
      <c r="FJ18" s="5" t="str">
        <f t="shared" ref="FJ18:FJ50" si="197">IF(FI18="","",FF18*FI18)</f>
        <v/>
      </c>
      <c r="FK18" s="36" t="str">
        <f t="shared" ref="FK18:FK50" si="198">IF(FJ18="","",FJ18/(FB18*100))</f>
        <v/>
      </c>
      <c r="FL18" s="29"/>
      <c r="FN18" s="40"/>
      <c r="FO18" s="5"/>
      <c r="FP18" s="5" t="str">
        <f>IF(FO18="","",FO18-FO19)</f>
        <v/>
      </c>
      <c r="FQ18" s="5"/>
      <c r="FR18" s="5" t="str">
        <f>IF(FQ18="","",FQ18-FQ19)</f>
        <v/>
      </c>
      <c r="FS18" s="5"/>
      <c r="FT18" s="5" t="str">
        <f>IF(FS18="","",FS19+FU19-FS18)</f>
        <v/>
      </c>
      <c r="FU18" s="5"/>
      <c r="FV18" s="2" t="str">
        <f t="shared" si="172"/>
        <v/>
      </c>
      <c r="FW18" s="4" t="str">
        <f>IF(FO18="","",FW19)</f>
        <v/>
      </c>
      <c r="FX18" s="5" t="str">
        <f t="shared" ref="FX18:FX50" si="199">IF(FW18="","",FT18*FW18)</f>
        <v/>
      </c>
      <c r="FY18" s="36" t="str">
        <f t="shared" ref="FY18:FY50" si="200">IF(FX18="","",FX18/(FP18*100))</f>
        <v/>
      </c>
      <c r="FZ18" s="29"/>
      <c r="GB18" s="40"/>
      <c r="GC18" s="5"/>
      <c r="GD18" s="5" t="str">
        <f>IF(GC18="","",GC18-GC19)</f>
        <v/>
      </c>
      <c r="GE18" s="5"/>
      <c r="GF18" s="5" t="str">
        <f>IF(GE18="","",GE18-GE19)</f>
        <v/>
      </c>
      <c r="GG18" s="5"/>
      <c r="GH18" s="5" t="str">
        <f>IF(GG18="","",GG19+GI19-GG18)</f>
        <v/>
      </c>
      <c r="GI18" s="5"/>
      <c r="GJ18" s="2" t="str">
        <f t="shared" si="179"/>
        <v/>
      </c>
      <c r="GK18" s="4" t="str">
        <f>IF(GC18="","",GK19)</f>
        <v/>
      </c>
      <c r="GL18" s="5" t="str">
        <f t="shared" ref="GL18:GL50" si="201">IF(GK18="","",GH18*GK18)</f>
        <v/>
      </c>
      <c r="GM18" s="36" t="str">
        <f t="shared" ref="GM18:GM50" si="202">IF(GL18="","",GL18/(GD18*100))</f>
        <v/>
      </c>
      <c r="GN18" s="29"/>
      <c r="GP18" s="40"/>
      <c r="GQ18" s="5"/>
      <c r="GR18" s="5" t="str">
        <f>IF(GQ18="","",GQ18-GQ19)</f>
        <v/>
      </c>
      <c r="GS18" s="5"/>
      <c r="GT18" s="5" t="str">
        <f>IF(GS18="","",GS18-GS19)</f>
        <v/>
      </c>
      <c r="GU18" s="5"/>
      <c r="GV18" s="5" t="str">
        <f>IF(GU18="","",GU18-GU19)</f>
        <v/>
      </c>
      <c r="GW18" s="5"/>
      <c r="GX18" s="5" t="str">
        <f>IF(GW18="","",GW19+GY19-GW18)</f>
        <v/>
      </c>
      <c r="GY18" s="5"/>
      <c r="GZ18" s="2" t="str">
        <f t="shared" si="74"/>
        <v/>
      </c>
      <c r="HA18" s="4" t="str">
        <f t="shared" si="75"/>
        <v/>
      </c>
      <c r="HB18" s="5" t="str">
        <f t="shared" si="76"/>
        <v/>
      </c>
      <c r="HC18" s="36" t="str">
        <f t="shared" si="77"/>
        <v/>
      </c>
      <c r="HD18" s="29"/>
      <c r="HF18" s="40"/>
      <c r="HG18" s="5"/>
      <c r="HH18" s="5" t="str">
        <f>IF(HG18="","",HG18-HG19)</f>
        <v/>
      </c>
      <c r="HI18" s="5"/>
      <c r="HJ18" s="29"/>
      <c r="HL18" s="40"/>
      <c r="HM18" s="5"/>
      <c r="HN18" s="5" t="str">
        <f>IF(HM18="","",HM18-HM19)</f>
        <v/>
      </c>
      <c r="HO18" s="5"/>
      <c r="HP18" s="29"/>
      <c r="HR18" s="40"/>
      <c r="HS18" s="5"/>
      <c r="HT18" s="5" t="str">
        <f>IF(HS18="","",HS18-HS19)</f>
        <v/>
      </c>
      <c r="HU18" s="5"/>
      <c r="HV18" s="29"/>
    </row>
    <row r="19" spans="1:230" ht="15" customHeight="1" thickTop="1" x14ac:dyDescent="0.2">
      <c r="A19" s="49"/>
      <c r="B19" s="26">
        <f>SUM(D19:D22)+SUM(R19:R22)+SUM(AF19:AF22)+SUM(AT19:AT22)+SUM(CJ7,CX7,DL7,DZ7,EN7,FB7,FP7,GD7,GR7,HH7,HN7,HT7)+SUM(BH19:BH22)+SUM(BV19:BV20)</f>
        <v>0</v>
      </c>
      <c r="C19" s="4"/>
      <c r="D19" s="145" t="str">
        <f t="shared" si="126"/>
        <v/>
      </c>
      <c r="E19" s="4"/>
      <c r="F19" s="50" t="str">
        <f t="shared" si="127"/>
        <v/>
      </c>
      <c r="G19" s="4"/>
      <c r="H19" s="4" t="str">
        <f t="shared" si="128"/>
        <v/>
      </c>
      <c r="I19" s="51"/>
      <c r="J19" s="3" t="str">
        <f t="shared" si="129"/>
        <v/>
      </c>
      <c r="K19" s="39" t="str">
        <f t="shared" si="130"/>
        <v/>
      </c>
      <c r="L19" s="50" t="str">
        <f t="shared" si="131"/>
        <v/>
      </c>
      <c r="M19" s="52" t="str">
        <f t="shared" si="132"/>
        <v/>
      </c>
      <c r="N19" s="29"/>
      <c r="P19" s="53" t="str">
        <f>IF($A19="","",$A19)</f>
        <v/>
      </c>
      <c r="Q19" s="4"/>
      <c r="R19" s="145" t="str">
        <f t="shared" si="91"/>
        <v/>
      </c>
      <c r="S19" s="4"/>
      <c r="T19" s="50" t="str">
        <f t="shared" si="92"/>
        <v/>
      </c>
      <c r="U19" s="4"/>
      <c r="V19" s="4" t="str">
        <f t="shared" si="93"/>
        <v/>
      </c>
      <c r="W19" s="51"/>
      <c r="X19" s="3" t="str">
        <f t="shared" si="94"/>
        <v/>
      </c>
      <c r="Y19" s="39" t="str">
        <f t="shared" si="95"/>
        <v/>
      </c>
      <c r="Z19" s="50" t="str">
        <f t="shared" si="96"/>
        <v/>
      </c>
      <c r="AA19" s="52" t="str">
        <f t="shared" si="97"/>
        <v/>
      </c>
      <c r="AB19" s="29"/>
      <c r="AD19" s="53" t="str">
        <f>IF($A19="","",$A19)</f>
        <v/>
      </c>
      <c r="AE19" s="4"/>
      <c r="AF19" s="145" t="str">
        <f t="shared" si="98"/>
        <v/>
      </c>
      <c r="AG19" s="4"/>
      <c r="AH19" s="50" t="str">
        <f t="shared" si="99"/>
        <v/>
      </c>
      <c r="AI19" s="4"/>
      <c r="AJ19" s="4" t="str">
        <f t="shared" si="100"/>
        <v/>
      </c>
      <c r="AK19" s="51"/>
      <c r="AL19" s="3" t="str">
        <f t="shared" si="101"/>
        <v/>
      </c>
      <c r="AM19" s="39" t="str">
        <f t="shared" si="102"/>
        <v/>
      </c>
      <c r="AN19" s="50" t="str">
        <f t="shared" si="103"/>
        <v/>
      </c>
      <c r="AO19" s="52" t="str">
        <f t="shared" si="104"/>
        <v/>
      </c>
      <c r="AP19" s="29"/>
      <c r="AR19" s="53" t="str">
        <f>IF($A19="","",$A19)</f>
        <v/>
      </c>
      <c r="AS19" s="4"/>
      <c r="AT19" s="145" t="str">
        <f t="shared" si="105"/>
        <v/>
      </c>
      <c r="AU19" s="4"/>
      <c r="AV19" s="50" t="str">
        <f t="shared" si="106"/>
        <v/>
      </c>
      <c r="AW19" s="4"/>
      <c r="AX19" s="4" t="str">
        <f t="shared" si="107"/>
        <v/>
      </c>
      <c r="AY19" s="51"/>
      <c r="AZ19" s="3" t="str">
        <f t="shared" si="133"/>
        <v/>
      </c>
      <c r="BA19" s="39" t="str">
        <f t="shared" si="109"/>
        <v/>
      </c>
      <c r="BB19" s="50" t="str">
        <f t="shared" si="110"/>
        <v/>
      </c>
      <c r="BC19" s="52" t="str">
        <f t="shared" si="111"/>
        <v/>
      </c>
      <c r="BD19" s="29"/>
      <c r="BE19" s="32"/>
      <c r="BF19" s="33" t="str">
        <f>IF($A19="","",$A19)</f>
        <v/>
      </c>
      <c r="BG19" s="4"/>
      <c r="BH19" s="145" t="str">
        <f t="shared" si="112"/>
        <v/>
      </c>
      <c r="BI19" s="4"/>
      <c r="BJ19" s="50" t="str">
        <f t="shared" si="113"/>
        <v/>
      </c>
      <c r="BK19" s="4"/>
      <c r="BL19" s="4" t="str">
        <f t="shared" si="114"/>
        <v/>
      </c>
      <c r="BM19" s="51"/>
      <c r="BN19" s="3" t="str">
        <f t="shared" si="115"/>
        <v/>
      </c>
      <c r="BO19" s="39" t="str">
        <f t="shared" si="116"/>
        <v/>
      </c>
      <c r="BP19" s="50" t="str">
        <f t="shared" si="117"/>
        <v/>
      </c>
      <c r="BQ19" s="52" t="str">
        <f t="shared" si="118"/>
        <v/>
      </c>
      <c r="BR19" s="29"/>
      <c r="BT19" s="33" t="str">
        <f>IF($A19="","",$A19)</f>
        <v/>
      </c>
      <c r="BU19" s="4"/>
      <c r="BV19" s="145" t="str">
        <f t="shared" si="119"/>
        <v/>
      </c>
      <c r="BW19" s="4"/>
      <c r="BX19" s="50" t="str">
        <f t="shared" si="120"/>
        <v/>
      </c>
      <c r="BY19" s="4"/>
      <c r="BZ19" s="4" t="str">
        <f t="shared" si="121"/>
        <v/>
      </c>
      <c r="CA19" s="51"/>
      <c r="CB19" s="3" t="str">
        <f t="shared" si="122"/>
        <v/>
      </c>
      <c r="CC19" s="39" t="str">
        <f t="shared" si="123"/>
        <v/>
      </c>
      <c r="CD19" s="50" t="str">
        <f t="shared" si="124"/>
        <v/>
      </c>
      <c r="CE19" s="52" t="str">
        <f t="shared" si="125"/>
        <v/>
      </c>
      <c r="CF19" s="29"/>
      <c r="CH19" s="40"/>
      <c r="CI19" s="5"/>
      <c r="CJ19" s="5" t="str">
        <f>IF(CI19="","",CI19-CI16)</f>
        <v/>
      </c>
      <c r="CK19" s="5"/>
      <c r="CL19" s="5" t="str">
        <f>IF(CK19="","",CK19-CK16)</f>
        <v/>
      </c>
      <c r="CM19" s="5"/>
      <c r="CN19" s="5" t="str">
        <f>IF(CM19="","",CM16+CO16-CM19)</f>
        <v/>
      </c>
      <c r="CO19" s="5"/>
      <c r="CP19" s="2" t="str">
        <f t="shared" si="70"/>
        <v/>
      </c>
      <c r="CQ19" s="4" t="str">
        <f>IF(CI19="","",CQ16)</f>
        <v/>
      </c>
      <c r="CR19" s="5" t="str">
        <f t="shared" si="187"/>
        <v/>
      </c>
      <c r="CS19" s="36" t="str">
        <f t="shared" si="188"/>
        <v/>
      </c>
      <c r="CT19" s="29"/>
      <c r="CV19" s="40"/>
      <c r="CW19" s="5"/>
      <c r="CX19" s="5" t="str">
        <f>IF(CW19="","",CW19-CW16)</f>
        <v/>
      </c>
      <c r="CY19" s="5"/>
      <c r="CZ19" s="5" t="str">
        <f>IF(CY19="","",CY19-CY16)</f>
        <v/>
      </c>
      <c r="DA19" s="5"/>
      <c r="DB19" s="5" t="str">
        <f>IF(DA19="","",DA16+DC16-DA19)</f>
        <v/>
      </c>
      <c r="DC19" s="5"/>
      <c r="DD19" s="2" t="str">
        <f t="shared" si="137"/>
        <v/>
      </c>
      <c r="DE19" s="4" t="str">
        <f>IF(CW19="","",DE16)</f>
        <v/>
      </c>
      <c r="DF19" s="5" t="str">
        <f t="shared" si="189"/>
        <v/>
      </c>
      <c r="DG19" s="36" t="str">
        <f t="shared" si="190"/>
        <v/>
      </c>
      <c r="DH19" s="29"/>
      <c r="DJ19" s="40"/>
      <c r="DK19" s="5"/>
      <c r="DL19" s="5" t="str">
        <f>IF(DK19="","",DK19-DK16)</f>
        <v/>
      </c>
      <c r="DM19" s="5"/>
      <c r="DN19" s="5" t="str">
        <f>IF(DM19="","",DM19-DM16)</f>
        <v/>
      </c>
      <c r="DO19" s="5"/>
      <c r="DP19" s="5" t="str">
        <f>IF(DO19="","",DO16+DQ16-DO19)</f>
        <v/>
      </c>
      <c r="DQ19" s="5"/>
      <c r="DR19" s="2" t="str">
        <f t="shared" si="144"/>
        <v/>
      </c>
      <c r="DS19" s="4" t="str">
        <f>IF(DK19="","",DS16)</f>
        <v/>
      </c>
      <c r="DT19" s="5" t="str">
        <f t="shared" si="191"/>
        <v/>
      </c>
      <c r="DU19" s="36" t="str">
        <f t="shared" si="192"/>
        <v/>
      </c>
      <c r="DV19" s="29"/>
      <c r="DX19" s="40"/>
      <c r="DY19" s="5"/>
      <c r="DZ19" s="5" t="str">
        <f>IF(DY19="","",DY19-DY16)</f>
        <v/>
      </c>
      <c r="EA19" s="5"/>
      <c r="EB19" s="5" t="str">
        <f>IF(EA19="","",EA19-EA16)</f>
        <v/>
      </c>
      <c r="EC19" s="5"/>
      <c r="ED19" s="5" t="str">
        <f>IF(EC19="","",EC16+EE16-EC19)</f>
        <v/>
      </c>
      <c r="EE19" s="5"/>
      <c r="EF19" s="2" t="str">
        <f t="shared" si="151"/>
        <v/>
      </c>
      <c r="EG19" s="4" t="str">
        <f>IF(DY19="","",EG16)</f>
        <v/>
      </c>
      <c r="EH19" s="5" t="str">
        <f t="shared" si="193"/>
        <v/>
      </c>
      <c r="EI19" s="36" t="str">
        <f t="shared" si="194"/>
        <v/>
      </c>
      <c r="EJ19" s="29"/>
      <c r="EL19" s="40"/>
      <c r="EM19" s="5"/>
      <c r="EN19" s="5" t="str">
        <f>IF(EM19="","",EM19-EM16)</f>
        <v/>
      </c>
      <c r="EO19" s="5"/>
      <c r="EP19" s="5" t="str">
        <f>IF(EO19="","",EO19-EO16)</f>
        <v/>
      </c>
      <c r="EQ19" s="5"/>
      <c r="ER19" s="5" t="str">
        <f>IF(EQ19="","",EQ16+ES16-EQ19)</f>
        <v/>
      </c>
      <c r="ES19" s="5"/>
      <c r="ET19" s="2" t="str">
        <f t="shared" si="158"/>
        <v/>
      </c>
      <c r="EU19" s="4" t="str">
        <f>IF(EM19="","",EU16)</f>
        <v/>
      </c>
      <c r="EV19" s="5" t="str">
        <f t="shared" si="195"/>
        <v/>
      </c>
      <c r="EW19" s="36" t="str">
        <f t="shared" si="196"/>
        <v/>
      </c>
      <c r="EX19" s="29"/>
      <c r="EZ19" s="40"/>
      <c r="FA19" s="5"/>
      <c r="FB19" s="5" t="str">
        <f>IF(FA19="","",FA19-FA16)</f>
        <v/>
      </c>
      <c r="FC19" s="5"/>
      <c r="FD19" s="5" t="str">
        <f>IF(FC19="","",FC19-FC16)</f>
        <v/>
      </c>
      <c r="FE19" s="5"/>
      <c r="FF19" s="5" t="str">
        <f>IF(FE19="","",FE16+FG16-FE19)</f>
        <v/>
      </c>
      <c r="FG19" s="5"/>
      <c r="FH19" s="2" t="str">
        <f t="shared" si="165"/>
        <v/>
      </c>
      <c r="FI19" s="4" t="str">
        <f>IF(FA19="","",FI16)</f>
        <v/>
      </c>
      <c r="FJ19" s="5" t="str">
        <f t="shared" si="197"/>
        <v/>
      </c>
      <c r="FK19" s="36" t="str">
        <f t="shared" si="198"/>
        <v/>
      </c>
      <c r="FL19" s="29"/>
      <c r="FN19" s="40"/>
      <c r="FO19" s="5"/>
      <c r="FP19" s="5" t="str">
        <f>IF(FO19="","",FO19-FO16)</f>
        <v/>
      </c>
      <c r="FQ19" s="5"/>
      <c r="FR19" s="5" t="str">
        <f>IF(FQ19="","",FQ19-FQ16)</f>
        <v/>
      </c>
      <c r="FS19" s="5"/>
      <c r="FT19" s="5" t="str">
        <f>IF(FS19="","",FS16+FU16-FS19)</f>
        <v/>
      </c>
      <c r="FU19" s="5"/>
      <c r="FV19" s="2" t="str">
        <f t="shared" si="172"/>
        <v/>
      </c>
      <c r="FW19" s="4" t="str">
        <f>IF(FO19="","",FW16)</f>
        <v/>
      </c>
      <c r="FX19" s="5" t="str">
        <f t="shared" si="199"/>
        <v/>
      </c>
      <c r="FY19" s="36" t="str">
        <f t="shared" si="200"/>
        <v/>
      </c>
      <c r="FZ19" s="29"/>
      <c r="GB19" s="40"/>
      <c r="GC19" s="5"/>
      <c r="GD19" s="5" t="str">
        <f>IF(GC19="","",GC19-GC16)</f>
        <v/>
      </c>
      <c r="GE19" s="5"/>
      <c r="GF19" s="5" t="str">
        <f>IF(GE19="","",GE19-GE16)</f>
        <v/>
      </c>
      <c r="GG19" s="5"/>
      <c r="GH19" s="5" t="str">
        <f>IF(GG19="","",GG16+GI16-GG19)</f>
        <v/>
      </c>
      <c r="GI19" s="5"/>
      <c r="GJ19" s="2" t="str">
        <f t="shared" si="179"/>
        <v/>
      </c>
      <c r="GK19" s="4" t="str">
        <f>IF(GC19="","",GK16)</f>
        <v/>
      </c>
      <c r="GL19" s="5" t="str">
        <f t="shared" si="201"/>
        <v/>
      </c>
      <c r="GM19" s="36" t="str">
        <f t="shared" si="202"/>
        <v/>
      </c>
      <c r="GN19" s="29"/>
      <c r="GP19" s="40"/>
      <c r="GQ19" s="5"/>
      <c r="GR19" s="5" t="str">
        <f>IF(GQ19="","",GQ19-GQ16)</f>
        <v/>
      </c>
      <c r="GS19" s="5"/>
      <c r="GT19" s="5" t="str">
        <f>IF(GS19="","",GS19-GS16)</f>
        <v/>
      </c>
      <c r="GU19" s="5"/>
      <c r="GV19" s="5" t="str">
        <f>IF(GU19="","",GU19-GU16)</f>
        <v/>
      </c>
      <c r="GW19" s="5"/>
      <c r="GX19" s="5" t="str">
        <f>IF(GW19="","",GW16+GY16-GW19)</f>
        <v/>
      </c>
      <c r="GY19" s="5"/>
      <c r="GZ19" s="2" t="str">
        <f t="shared" si="74"/>
        <v/>
      </c>
      <c r="HA19" s="4" t="str">
        <f t="shared" si="75"/>
        <v/>
      </c>
      <c r="HB19" s="5" t="str">
        <f t="shared" si="76"/>
        <v/>
      </c>
      <c r="HC19" s="36" t="str">
        <f t="shared" si="77"/>
        <v/>
      </c>
      <c r="HD19" s="29"/>
      <c r="HF19" s="40"/>
      <c r="HG19" s="5"/>
      <c r="HH19" s="5" t="str">
        <f>IF(HG19="","",HG19-HG16)</f>
        <v/>
      </c>
      <c r="HI19" s="5"/>
      <c r="HJ19" s="29"/>
      <c r="HL19" s="40"/>
      <c r="HM19" s="5"/>
      <c r="HN19" s="5" t="str">
        <f>IF(HM19="","",HM19-HM16)</f>
        <v/>
      </c>
      <c r="HO19" s="5"/>
      <c r="HP19" s="29"/>
      <c r="HR19" s="40"/>
      <c r="HS19" s="5"/>
      <c r="HT19" s="5" t="str">
        <f>IF(HS19="","",HS19-HS16)</f>
        <v/>
      </c>
      <c r="HU19" s="5"/>
      <c r="HV19" s="29"/>
    </row>
    <row r="20" spans="1:230" x14ac:dyDescent="0.2">
      <c r="A20" s="49"/>
      <c r="B20" s="26"/>
      <c r="C20" s="4"/>
      <c r="D20" s="143" t="str">
        <f t="shared" si="126"/>
        <v/>
      </c>
      <c r="E20" s="5"/>
      <c r="F20" s="5" t="str">
        <f t="shared" si="127"/>
        <v/>
      </c>
      <c r="G20" s="5"/>
      <c r="H20" s="5" t="str">
        <f t="shared" si="128"/>
        <v/>
      </c>
      <c r="I20" s="35"/>
      <c r="J20" s="3" t="str">
        <f t="shared" si="129"/>
        <v/>
      </c>
      <c r="K20" s="39" t="str">
        <f t="shared" si="130"/>
        <v/>
      </c>
      <c r="L20" s="5" t="str">
        <f t="shared" si="131"/>
        <v/>
      </c>
      <c r="M20" s="36" t="str">
        <f t="shared" si="132"/>
        <v/>
      </c>
      <c r="N20" s="29"/>
      <c r="P20" s="49"/>
      <c r="Q20" s="4"/>
      <c r="R20" s="143" t="str">
        <f t="shared" si="91"/>
        <v/>
      </c>
      <c r="S20" s="5"/>
      <c r="T20" s="5" t="str">
        <f t="shared" si="92"/>
        <v/>
      </c>
      <c r="U20" s="5"/>
      <c r="V20" s="5" t="str">
        <f t="shared" si="93"/>
        <v/>
      </c>
      <c r="W20" s="35"/>
      <c r="X20" s="3" t="str">
        <f t="shared" si="94"/>
        <v/>
      </c>
      <c r="Y20" s="39" t="str">
        <f t="shared" si="95"/>
        <v/>
      </c>
      <c r="Z20" s="5" t="str">
        <f t="shared" si="96"/>
        <v/>
      </c>
      <c r="AA20" s="36" t="str">
        <f t="shared" si="97"/>
        <v/>
      </c>
      <c r="AB20" s="29"/>
      <c r="AD20" s="54"/>
      <c r="AE20" s="4"/>
      <c r="AF20" s="143" t="str">
        <f t="shared" si="98"/>
        <v/>
      </c>
      <c r="AG20" s="5"/>
      <c r="AH20" s="5" t="str">
        <f t="shared" si="99"/>
        <v/>
      </c>
      <c r="AI20" s="5"/>
      <c r="AJ20" s="5" t="str">
        <f t="shared" si="100"/>
        <v/>
      </c>
      <c r="AK20" s="35"/>
      <c r="AL20" s="3" t="str">
        <f t="shared" si="101"/>
        <v/>
      </c>
      <c r="AM20" s="39" t="str">
        <f t="shared" si="102"/>
        <v/>
      </c>
      <c r="AN20" s="5" t="str">
        <f t="shared" si="103"/>
        <v/>
      </c>
      <c r="AO20" s="36" t="str">
        <f t="shared" si="104"/>
        <v/>
      </c>
      <c r="AP20" s="29"/>
      <c r="AR20" s="54"/>
      <c r="AS20" s="4"/>
      <c r="AT20" s="143" t="str">
        <f t="shared" si="105"/>
        <v/>
      </c>
      <c r="AU20" s="5"/>
      <c r="AV20" s="5" t="str">
        <f t="shared" si="106"/>
        <v/>
      </c>
      <c r="AW20" s="5"/>
      <c r="AX20" s="5" t="str">
        <f t="shared" si="107"/>
        <v/>
      </c>
      <c r="AY20" s="35"/>
      <c r="AZ20" s="3" t="str">
        <f t="shared" si="133"/>
        <v/>
      </c>
      <c r="BA20" s="39" t="str">
        <f t="shared" si="109"/>
        <v/>
      </c>
      <c r="BB20" s="5" t="str">
        <f t="shared" si="110"/>
        <v/>
      </c>
      <c r="BC20" s="36" t="str">
        <f t="shared" si="111"/>
        <v/>
      </c>
      <c r="BD20" s="29"/>
      <c r="BE20" s="32"/>
      <c r="BF20" s="25"/>
      <c r="BG20" s="4"/>
      <c r="BH20" s="143" t="str">
        <f t="shared" si="112"/>
        <v/>
      </c>
      <c r="BI20" s="5"/>
      <c r="BJ20" s="5" t="str">
        <f t="shared" si="113"/>
        <v/>
      </c>
      <c r="BK20" s="5"/>
      <c r="BL20" s="5" t="str">
        <f t="shared" si="114"/>
        <v/>
      </c>
      <c r="BM20" s="35"/>
      <c r="BN20" s="3" t="str">
        <f t="shared" si="115"/>
        <v/>
      </c>
      <c r="BO20" s="39" t="str">
        <f t="shared" si="116"/>
        <v/>
      </c>
      <c r="BP20" s="5" t="str">
        <f t="shared" si="117"/>
        <v/>
      </c>
      <c r="BQ20" s="36" t="str">
        <f t="shared" si="118"/>
        <v/>
      </c>
      <c r="BR20" s="29"/>
      <c r="BT20" s="25"/>
      <c r="BU20" s="4"/>
      <c r="BV20" s="143" t="str">
        <f t="shared" si="119"/>
        <v/>
      </c>
      <c r="BW20" s="5"/>
      <c r="BX20" s="5" t="str">
        <f t="shared" si="120"/>
        <v/>
      </c>
      <c r="BY20" s="5"/>
      <c r="BZ20" s="5" t="str">
        <f t="shared" si="121"/>
        <v/>
      </c>
      <c r="CA20" s="35"/>
      <c r="CB20" s="3" t="str">
        <f t="shared" si="122"/>
        <v/>
      </c>
      <c r="CC20" s="39" t="str">
        <f t="shared" si="123"/>
        <v/>
      </c>
      <c r="CD20" s="5" t="str">
        <f t="shared" si="124"/>
        <v/>
      </c>
      <c r="CE20" s="36" t="str">
        <f t="shared" si="125"/>
        <v/>
      </c>
      <c r="CF20" s="29"/>
      <c r="CH20" s="75"/>
      <c r="CI20" s="5"/>
      <c r="CJ20" s="5" t="str">
        <f>IF(CI20="","",CI20-CI18)</f>
        <v/>
      </c>
      <c r="CK20" s="5"/>
      <c r="CL20" s="5" t="str">
        <f>IF(CK20="","",CK20-CK18)</f>
        <v/>
      </c>
      <c r="CM20" s="5"/>
      <c r="CN20" s="5" t="str">
        <f>IF(CM20="","",CM18+CO18-CM20)</f>
        <v/>
      </c>
      <c r="CO20" s="5"/>
      <c r="CP20" s="2" t="str">
        <f t="shared" si="70"/>
        <v/>
      </c>
      <c r="CQ20" s="4" t="str">
        <f>IF(CI20="","",CQ18)</f>
        <v/>
      </c>
      <c r="CR20" s="5" t="str">
        <f t="shared" si="187"/>
        <v/>
      </c>
      <c r="CS20" s="36" t="str">
        <f t="shared" si="188"/>
        <v/>
      </c>
      <c r="CT20" s="29"/>
      <c r="CV20" s="75"/>
      <c r="CW20" s="5"/>
      <c r="CX20" s="5" t="str">
        <f>IF(CW20="","",CW20-CW18)</f>
        <v/>
      </c>
      <c r="CY20" s="5"/>
      <c r="CZ20" s="5" t="str">
        <f>IF(CY20="","",CY20-CY18)</f>
        <v/>
      </c>
      <c r="DA20" s="5"/>
      <c r="DB20" s="5" t="str">
        <f>IF(DA20="","",DA18+DC18-DA20)</f>
        <v/>
      </c>
      <c r="DC20" s="5"/>
      <c r="DD20" s="2" t="str">
        <f t="shared" si="137"/>
        <v/>
      </c>
      <c r="DE20" s="4" t="str">
        <f>IF(CW20="","",DE18)</f>
        <v/>
      </c>
      <c r="DF20" s="5" t="str">
        <f t="shared" si="189"/>
        <v/>
      </c>
      <c r="DG20" s="36" t="str">
        <f t="shared" si="190"/>
        <v/>
      </c>
      <c r="DH20" s="29"/>
      <c r="DJ20" s="75"/>
      <c r="DK20" s="5"/>
      <c r="DL20" s="5" t="str">
        <f>IF(DK20="","",DK20-DK18)</f>
        <v/>
      </c>
      <c r="DM20" s="5"/>
      <c r="DN20" s="5" t="str">
        <f>IF(DM20="","",DM20-DM18)</f>
        <v/>
      </c>
      <c r="DO20" s="5"/>
      <c r="DP20" s="5" t="str">
        <f>IF(DO20="","",DO18+DQ18-DO20)</f>
        <v/>
      </c>
      <c r="DQ20" s="5"/>
      <c r="DR20" s="2" t="str">
        <f t="shared" si="144"/>
        <v/>
      </c>
      <c r="DS20" s="4" t="str">
        <f>IF(DK20="","",DS18)</f>
        <v/>
      </c>
      <c r="DT20" s="5" t="str">
        <f t="shared" si="191"/>
        <v/>
      </c>
      <c r="DU20" s="36" t="str">
        <f t="shared" si="192"/>
        <v/>
      </c>
      <c r="DV20" s="29"/>
      <c r="DX20" s="75"/>
      <c r="DY20" s="5"/>
      <c r="DZ20" s="5" t="str">
        <f>IF(DY20="","",DY20-DY18)</f>
        <v/>
      </c>
      <c r="EA20" s="5"/>
      <c r="EB20" s="5" t="str">
        <f>IF(EA20="","",EA20-EA18)</f>
        <v/>
      </c>
      <c r="EC20" s="5"/>
      <c r="ED20" s="5" t="str">
        <f>IF(EC20="","",EC18+EE18-EC20)</f>
        <v/>
      </c>
      <c r="EE20" s="5"/>
      <c r="EF20" s="2" t="str">
        <f t="shared" si="151"/>
        <v/>
      </c>
      <c r="EG20" s="4" t="str">
        <f>IF(DY20="","",EG18)</f>
        <v/>
      </c>
      <c r="EH20" s="5" t="str">
        <f t="shared" si="193"/>
        <v/>
      </c>
      <c r="EI20" s="36" t="str">
        <f t="shared" si="194"/>
        <v/>
      </c>
      <c r="EJ20" s="29"/>
      <c r="EL20" s="75"/>
      <c r="EM20" s="5"/>
      <c r="EN20" s="5" t="str">
        <f>IF(EM20="","",EM20-EM18)</f>
        <v/>
      </c>
      <c r="EO20" s="5"/>
      <c r="EP20" s="5" t="str">
        <f>IF(EO20="","",EO20-EO18)</f>
        <v/>
      </c>
      <c r="EQ20" s="5"/>
      <c r="ER20" s="5" t="str">
        <f>IF(EQ20="","",EQ18+ES18-EQ20)</f>
        <v/>
      </c>
      <c r="ES20" s="5"/>
      <c r="ET20" s="2" t="str">
        <f t="shared" si="158"/>
        <v/>
      </c>
      <c r="EU20" s="4" t="str">
        <f>IF(EM20="","",EU18)</f>
        <v/>
      </c>
      <c r="EV20" s="5" t="str">
        <f t="shared" si="195"/>
        <v/>
      </c>
      <c r="EW20" s="36" t="str">
        <f t="shared" si="196"/>
        <v/>
      </c>
      <c r="EX20" s="29"/>
      <c r="EZ20" s="75"/>
      <c r="FA20" s="5"/>
      <c r="FB20" s="5" t="str">
        <f>IF(FA20="","",FA20-FA18)</f>
        <v/>
      </c>
      <c r="FC20" s="5"/>
      <c r="FD20" s="5" t="str">
        <f>IF(FC20="","",FC20-FC18)</f>
        <v/>
      </c>
      <c r="FE20" s="5"/>
      <c r="FF20" s="5" t="str">
        <f>IF(FE20="","",FE18+FG18-FE20)</f>
        <v/>
      </c>
      <c r="FG20" s="5"/>
      <c r="FH20" s="2" t="str">
        <f t="shared" si="165"/>
        <v/>
      </c>
      <c r="FI20" s="4" t="str">
        <f>IF(FA20="","",FI18)</f>
        <v/>
      </c>
      <c r="FJ20" s="5" t="str">
        <f t="shared" si="197"/>
        <v/>
      </c>
      <c r="FK20" s="36" t="str">
        <f t="shared" si="198"/>
        <v/>
      </c>
      <c r="FL20" s="29"/>
      <c r="FN20" s="75"/>
      <c r="FO20" s="5"/>
      <c r="FP20" s="5" t="str">
        <f>IF(FO20="","",FO20-FO18)</f>
        <v/>
      </c>
      <c r="FQ20" s="5"/>
      <c r="FR20" s="5" t="str">
        <f>IF(FQ20="","",FQ20-FQ18)</f>
        <v/>
      </c>
      <c r="FS20" s="5"/>
      <c r="FT20" s="5" t="str">
        <f>IF(FS20="","",FS18+FU18-FS20)</f>
        <v/>
      </c>
      <c r="FU20" s="5"/>
      <c r="FV20" s="2" t="str">
        <f t="shared" si="172"/>
        <v/>
      </c>
      <c r="FW20" s="4" t="str">
        <f>IF(FO20="","",FW18)</f>
        <v/>
      </c>
      <c r="FX20" s="5" t="str">
        <f t="shared" si="199"/>
        <v/>
      </c>
      <c r="FY20" s="36" t="str">
        <f t="shared" si="200"/>
        <v/>
      </c>
      <c r="FZ20" s="29"/>
      <c r="GB20" s="75"/>
      <c r="GC20" s="5"/>
      <c r="GD20" s="5" t="str">
        <f>IF(GC20="","",GC20-GC18)</f>
        <v/>
      </c>
      <c r="GE20" s="5"/>
      <c r="GF20" s="5" t="str">
        <f>IF(GE20="","",GE20-GE18)</f>
        <v/>
      </c>
      <c r="GG20" s="5"/>
      <c r="GH20" s="5" t="str">
        <f>IF(GG20="","",GG18+GI18-GG20)</f>
        <v/>
      </c>
      <c r="GI20" s="5"/>
      <c r="GJ20" s="2" t="str">
        <f t="shared" si="179"/>
        <v/>
      </c>
      <c r="GK20" s="4" t="str">
        <f>IF(GC20="","",GK18)</f>
        <v/>
      </c>
      <c r="GL20" s="5" t="str">
        <f t="shared" si="201"/>
        <v/>
      </c>
      <c r="GM20" s="36" t="str">
        <f t="shared" si="202"/>
        <v/>
      </c>
      <c r="GN20" s="29"/>
      <c r="GP20" s="75"/>
      <c r="GQ20" s="5"/>
      <c r="GR20" s="5" t="str">
        <f>IF(GQ20="","",GQ20-GQ18)</f>
        <v/>
      </c>
      <c r="GS20" s="5"/>
      <c r="GT20" s="5" t="str">
        <f>IF(GS20="","",GS20-GS18)</f>
        <v/>
      </c>
      <c r="GU20" s="5"/>
      <c r="GV20" s="5" t="str">
        <f>IF(GU20="","",GU20-GU18)</f>
        <v/>
      </c>
      <c r="GW20" s="5"/>
      <c r="GX20" s="5" t="str">
        <f>IF(GW20="","",GW18+GY18-GW20)</f>
        <v/>
      </c>
      <c r="GY20" s="5"/>
      <c r="GZ20" s="2" t="str">
        <f t="shared" si="74"/>
        <v/>
      </c>
      <c r="HA20" s="4" t="str">
        <f t="shared" si="75"/>
        <v/>
      </c>
      <c r="HB20" s="5" t="str">
        <f t="shared" si="76"/>
        <v/>
      </c>
      <c r="HC20" s="36" t="str">
        <f t="shared" si="77"/>
        <v/>
      </c>
      <c r="HD20" s="29"/>
      <c r="HF20" s="75"/>
      <c r="HG20" s="5"/>
      <c r="HH20" s="5" t="str">
        <f>IF(HG20="","",HG20-HG18)</f>
        <v/>
      </c>
      <c r="HI20" s="5"/>
      <c r="HJ20" s="29"/>
      <c r="HL20" s="75"/>
      <c r="HM20" s="5"/>
      <c r="HN20" s="5" t="str">
        <f>IF(HM20="","",HM20-HM18)</f>
        <v/>
      </c>
      <c r="HO20" s="5"/>
      <c r="HP20" s="29"/>
      <c r="HR20" s="75"/>
      <c r="HS20" s="5"/>
      <c r="HT20" s="5" t="str">
        <f>IF(HS20="","",HS20-HS18)</f>
        <v/>
      </c>
      <c r="HU20" s="5"/>
      <c r="HV20" s="29"/>
    </row>
    <row r="21" spans="1:230" ht="15" customHeight="1" x14ac:dyDescent="0.2">
      <c r="A21" s="49"/>
      <c r="B21" s="64"/>
      <c r="C21" s="57"/>
      <c r="D21" s="143" t="str">
        <f t="shared" si="126"/>
        <v/>
      </c>
      <c r="E21" s="5"/>
      <c r="F21" s="5" t="str">
        <f t="shared" si="127"/>
        <v/>
      </c>
      <c r="G21" s="5"/>
      <c r="H21" s="5" t="str">
        <f t="shared" si="128"/>
        <v/>
      </c>
      <c r="I21" s="35"/>
      <c r="J21" s="3" t="str">
        <f t="shared" si="129"/>
        <v/>
      </c>
      <c r="K21" s="39" t="str">
        <f t="shared" si="130"/>
        <v/>
      </c>
      <c r="L21" s="5" t="str">
        <f t="shared" si="131"/>
        <v/>
      </c>
      <c r="M21" s="36" t="str">
        <f t="shared" si="132"/>
        <v/>
      </c>
      <c r="N21" s="29"/>
      <c r="P21" s="49"/>
      <c r="Q21" s="57"/>
      <c r="R21" s="143" t="str">
        <f t="shared" si="91"/>
        <v/>
      </c>
      <c r="S21" s="5"/>
      <c r="T21" s="5" t="str">
        <f t="shared" si="92"/>
        <v/>
      </c>
      <c r="U21" s="5"/>
      <c r="V21" s="5" t="str">
        <f t="shared" si="93"/>
        <v/>
      </c>
      <c r="W21" s="35"/>
      <c r="X21" s="3" t="str">
        <f t="shared" si="94"/>
        <v/>
      </c>
      <c r="Y21" s="39" t="str">
        <f t="shared" si="95"/>
        <v/>
      </c>
      <c r="Z21" s="5" t="str">
        <f t="shared" si="96"/>
        <v/>
      </c>
      <c r="AA21" s="36" t="str">
        <f t="shared" si="97"/>
        <v/>
      </c>
      <c r="AB21" s="29"/>
      <c r="AD21" s="54"/>
      <c r="AE21" s="57"/>
      <c r="AF21" s="143" t="str">
        <f t="shared" si="98"/>
        <v/>
      </c>
      <c r="AG21" s="5"/>
      <c r="AH21" s="5" t="str">
        <f t="shared" si="99"/>
        <v/>
      </c>
      <c r="AI21" s="5"/>
      <c r="AJ21" s="5" t="str">
        <f t="shared" si="100"/>
        <v/>
      </c>
      <c r="AK21" s="35"/>
      <c r="AL21" s="3" t="str">
        <f t="shared" si="101"/>
        <v/>
      </c>
      <c r="AM21" s="39" t="str">
        <f t="shared" si="102"/>
        <v/>
      </c>
      <c r="AN21" s="5" t="str">
        <f t="shared" si="103"/>
        <v/>
      </c>
      <c r="AO21" s="36" t="str">
        <f t="shared" si="104"/>
        <v/>
      </c>
      <c r="AP21" s="29"/>
      <c r="AR21" s="54"/>
      <c r="AS21" s="57"/>
      <c r="AT21" s="143" t="str">
        <f t="shared" si="105"/>
        <v/>
      </c>
      <c r="AU21" s="5"/>
      <c r="AV21" s="5" t="str">
        <f t="shared" si="106"/>
        <v/>
      </c>
      <c r="AW21" s="5"/>
      <c r="AX21" s="5" t="str">
        <f t="shared" si="107"/>
        <v/>
      </c>
      <c r="AY21" s="35"/>
      <c r="AZ21" s="3" t="str">
        <f t="shared" si="133"/>
        <v/>
      </c>
      <c r="BA21" s="39" t="str">
        <f t="shared" si="109"/>
        <v/>
      </c>
      <c r="BB21" s="5" t="str">
        <f t="shared" si="110"/>
        <v/>
      </c>
      <c r="BC21" s="36" t="str">
        <f t="shared" si="111"/>
        <v/>
      </c>
      <c r="BD21" s="29"/>
      <c r="BE21" s="32"/>
      <c r="BF21" s="25"/>
      <c r="BG21" s="57"/>
      <c r="BH21" s="143" t="str">
        <f t="shared" si="112"/>
        <v/>
      </c>
      <c r="BI21" s="5"/>
      <c r="BJ21" s="5" t="str">
        <f t="shared" si="113"/>
        <v/>
      </c>
      <c r="BK21" s="5"/>
      <c r="BL21" s="5" t="str">
        <f t="shared" si="114"/>
        <v/>
      </c>
      <c r="BM21" s="35"/>
      <c r="BN21" s="3" t="str">
        <f t="shared" si="115"/>
        <v/>
      </c>
      <c r="BO21" s="39" t="str">
        <f t="shared" si="116"/>
        <v/>
      </c>
      <c r="BP21" s="5" t="str">
        <f t="shared" si="117"/>
        <v/>
      </c>
      <c r="BQ21" s="36" t="str">
        <f t="shared" si="118"/>
        <v/>
      </c>
      <c r="BR21" s="29"/>
      <c r="BT21" s="25"/>
      <c r="BU21" s="57"/>
      <c r="BV21" s="143" t="str">
        <f t="shared" si="119"/>
        <v/>
      </c>
      <c r="BW21" s="5"/>
      <c r="BX21" s="5" t="str">
        <f t="shared" si="120"/>
        <v/>
      </c>
      <c r="BY21" s="5"/>
      <c r="BZ21" s="5" t="str">
        <f t="shared" si="121"/>
        <v/>
      </c>
      <c r="CA21" s="35"/>
      <c r="CB21" s="3" t="str">
        <f t="shared" si="122"/>
        <v/>
      </c>
      <c r="CC21" s="39" t="str">
        <f t="shared" si="123"/>
        <v/>
      </c>
      <c r="CD21" s="5" t="str">
        <f t="shared" si="124"/>
        <v/>
      </c>
      <c r="CE21" s="36" t="str">
        <f t="shared" si="125"/>
        <v/>
      </c>
      <c r="CF21" s="29"/>
      <c r="CH21" s="75" t="str">
        <f>IF($A21="","",$A21)</f>
        <v/>
      </c>
      <c r="CI21" s="5"/>
      <c r="CJ21" s="5" t="str">
        <f>IF(CI21="","",CI21-#REF!)</f>
        <v/>
      </c>
      <c r="CK21" s="5"/>
      <c r="CL21" s="5" t="str">
        <f>IF(CK21="","",CK21-#REF!)</f>
        <v/>
      </c>
      <c r="CM21" s="5"/>
      <c r="CN21" s="5" t="str">
        <f>IF(CM21="","",#REF!+#REF!-CM21)</f>
        <v/>
      </c>
      <c r="CO21" s="5"/>
      <c r="CP21" s="2" t="str">
        <f t="shared" si="70"/>
        <v/>
      </c>
      <c r="CQ21" s="4" t="str">
        <f>IF(CI21="","",#REF!)</f>
        <v/>
      </c>
      <c r="CR21" s="5" t="str">
        <f t="shared" si="187"/>
        <v/>
      </c>
      <c r="CS21" s="36" t="str">
        <f t="shared" si="188"/>
        <v/>
      </c>
      <c r="CT21" s="29"/>
      <c r="CV21" s="75" t="str">
        <f>IF($A21="","",$A21)</f>
        <v/>
      </c>
      <c r="CW21" s="5"/>
      <c r="CX21" s="5" t="str">
        <f>IF(CW21="","",CW21-#REF!)</f>
        <v/>
      </c>
      <c r="CY21" s="5"/>
      <c r="CZ21" s="5" t="str">
        <f>IF(CY21="","",CY21-#REF!)</f>
        <v/>
      </c>
      <c r="DA21" s="5"/>
      <c r="DB21" s="5" t="str">
        <f>IF(DA21="","",#REF!+#REF!-DA21)</f>
        <v/>
      </c>
      <c r="DC21" s="5"/>
      <c r="DD21" s="2" t="str">
        <f t="shared" si="137"/>
        <v/>
      </c>
      <c r="DE21" s="4" t="str">
        <f>IF(CW21="","",#REF!)</f>
        <v/>
      </c>
      <c r="DF21" s="5" t="str">
        <f t="shared" si="189"/>
        <v/>
      </c>
      <c r="DG21" s="36" t="str">
        <f t="shared" si="190"/>
        <v/>
      </c>
      <c r="DH21" s="29"/>
      <c r="DJ21" s="75" t="str">
        <f>IF($A21="","",$A21)</f>
        <v/>
      </c>
      <c r="DK21" s="5"/>
      <c r="DL21" s="5" t="str">
        <f>IF(DK21="","",DK21-#REF!)</f>
        <v/>
      </c>
      <c r="DM21" s="5"/>
      <c r="DN21" s="5" t="str">
        <f>IF(DM21="","",DM21-#REF!)</f>
        <v/>
      </c>
      <c r="DO21" s="5"/>
      <c r="DP21" s="5" t="str">
        <f>IF(DO21="","",#REF!+#REF!-DO21)</f>
        <v/>
      </c>
      <c r="DQ21" s="5"/>
      <c r="DR21" s="2" t="str">
        <f t="shared" si="144"/>
        <v/>
      </c>
      <c r="DS21" s="4" t="str">
        <f>IF(DK21="","",#REF!)</f>
        <v/>
      </c>
      <c r="DT21" s="5" t="str">
        <f t="shared" si="191"/>
        <v/>
      </c>
      <c r="DU21" s="36" t="str">
        <f t="shared" si="192"/>
        <v/>
      </c>
      <c r="DV21" s="29"/>
      <c r="DX21" s="75" t="str">
        <f>IF($A21="","",$A21)</f>
        <v/>
      </c>
      <c r="DY21" s="5"/>
      <c r="DZ21" s="5" t="str">
        <f>IF(DY21="","",DY21-#REF!)</f>
        <v/>
      </c>
      <c r="EA21" s="5"/>
      <c r="EB21" s="5" t="str">
        <f>IF(EA21="","",EA21-#REF!)</f>
        <v/>
      </c>
      <c r="EC21" s="5"/>
      <c r="ED21" s="5" t="str">
        <f>IF(EC21="","",#REF!+#REF!-EC21)</f>
        <v/>
      </c>
      <c r="EE21" s="5"/>
      <c r="EF21" s="2" t="str">
        <f t="shared" si="151"/>
        <v/>
      </c>
      <c r="EG21" s="4" t="str">
        <f>IF(DY21="","",#REF!)</f>
        <v/>
      </c>
      <c r="EH21" s="5" t="str">
        <f t="shared" si="193"/>
        <v/>
      </c>
      <c r="EI21" s="36" t="str">
        <f t="shared" si="194"/>
        <v/>
      </c>
      <c r="EJ21" s="29"/>
      <c r="EL21" s="75" t="str">
        <f>IF($A21="","",$A21)</f>
        <v/>
      </c>
      <c r="EM21" s="5"/>
      <c r="EN21" s="5" t="str">
        <f>IF(EM21="","",EM21-#REF!)</f>
        <v/>
      </c>
      <c r="EO21" s="5"/>
      <c r="EP21" s="5" t="str">
        <f>IF(EO21="","",EO21-#REF!)</f>
        <v/>
      </c>
      <c r="EQ21" s="5"/>
      <c r="ER21" s="5" t="str">
        <f>IF(EQ21="","",#REF!+#REF!-EQ21)</f>
        <v/>
      </c>
      <c r="ES21" s="5"/>
      <c r="ET21" s="2" t="str">
        <f t="shared" si="158"/>
        <v/>
      </c>
      <c r="EU21" s="4" t="str">
        <f>IF(EM21="","",#REF!)</f>
        <v/>
      </c>
      <c r="EV21" s="5" t="str">
        <f t="shared" si="195"/>
        <v/>
      </c>
      <c r="EW21" s="36" t="str">
        <f t="shared" si="196"/>
        <v/>
      </c>
      <c r="EX21" s="29"/>
      <c r="EZ21" s="75" t="str">
        <f>IF($A21="","",$A21)</f>
        <v/>
      </c>
      <c r="FA21" s="5"/>
      <c r="FB21" s="5" t="str">
        <f>IF(FA21="","",FA21-#REF!)</f>
        <v/>
      </c>
      <c r="FC21" s="5"/>
      <c r="FD21" s="5" t="str">
        <f>IF(FC21="","",FC21-#REF!)</f>
        <v/>
      </c>
      <c r="FE21" s="5"/>
      <c r="FF21" s="5" t="str">
        <f>IF(FE21="","",#REF!+#REF!-FE21)</f>
        <v/>
      </c>
      <c r="FG21" s="5"/>
      <c r="FH21" s="2" t="str">
        <f t="shared" si="165"/>
        <v/>
      </c>
      <c r="FI21" s="4" t="str">
        <f>IF(FA21="","",#REF!)</f>
        <v/>
      </c>
      <c r="FJ21" s="5" t="str">
        <f t="shared" si="197"/>
        <v/>
      </c>
      <c r="FK21" s="36" t="str">
        <f t="shared" si="198"/>
        <v/>
      </c>
      <c r="FL21" s="29"/>
      <c r="FN21" s="75" t="str">
        <f>IF($A21="","",$A21)</f>
        <v/>
      </c>
      <c r="FO21" s="5"/>
      <c r="FP21" s="5" t="str">
        <f>IF(FO21="","",FO21-#REF!)</f>
        <v/>
      </c>
      <c r="FQ21" s="5"/>
      <c r="FR21" s="5" t="str">
        <f>IF(FQ21="","",FQ21-#REF!)</f>
        <v/>
      </c>
      <c r="FS21" s="5"/>
      <c r="FT21" s="5" t="str">
        <f>IF(FS21="","",#REF!+#REF!-FS21)</f>
        <v/>
      </c>
      <c r="FU21" s="5"/>
      <c r="FV21" s="2" t="str">
        <f t="shared" si="172"/>
        <v/>
      </c>
      <c r="FW21" s="4" t="str">
        <f>IF(FO21="","",#REF!)</f>
        <v/>
      </c>
      <c r="FX21" s="5" t="str">
        <f t="shared" si="199"/>
        <v/>
      </c>
      <c r="FY21" s="36" t="str">
        <f t="shared" si="200"/>
        <v/>
      </c>
      <c r="FZ21" s="29"/>
      <c r="GB21" s="75" t="str">
        <f>IF($A21="","",$A21)</f>
        <v/>
      </c>
      <c r="GC21" s="5"/>
      <c r="GD21" s="5" t="str">
        <f>IF(GC21="","",GC21-#REF!)</f>
        <v/>
      </c>
      <c r="GE21" s="5"/>
      <c r="GF21" s="5" t="str">
        <f>IF(GE21="","",GE21-#REF!)</f>
        <v/>
      </c>
      <c r="GG21" s="5"/>
      <c r="GH21" s="5" t="str">
        <f>IF(GG21="","",#REF!+#REF!-GG21)</f>
        <v/>
      </c>
      <c r="GI21" s="5"/>
      <c r="GJ21" s="2" t="str">
        <f t="shared" si="179"/>
        <v/>
      </c>
      <c r="GK21" s="4" t="str">
        <f>IF(GC21="","",#REF!)</f>
        <v/>
      </c>
      <c r="GL21" s="5" t="str">
        <f t="shared" si="201"/>
        <v/>
      </c>
      <c r="GM21" s="36" t="str">
        <f t="shared" si="202"/>
        <v/>
      </c>
      <c r="GN21" s="29"/>
      <c r="GP21" s="75" t="str">
        <f>IF($A21="","",$A21)</f>
        <v/>
      </c>
      <c r="GQ21" s="5"/>
      <c r="GR21" s="5" t="str">
        <f>IF(GQ21="","",GQ21-#REF!)</f>
        <v/>
      </c>
      <c r="GS21" s="5"/>
      <c r="GT21" s="5" t="str">
        <f>IF(GS21="","",GS21-#REF!)</f>
        <v/>
      </c>
      <c r="GU21" s="5"/>
      <c r="GV21" s="5" t="str">
        <f>IF(GU21="","",GU21-#REF!)</f>
        <v/>
      </c>
      <c r="GW21" s="5"/>
      <c r="GX21" s="5" t="str">
        <f>IF(GW21="","",#REF!+#REF!-GW21)</f>
        <v/>
      </c>
      <c r="GY21" s="5"/>
      <c r="GZ21" s="2" t="str">
        <f t="shared" si="74"/>
        <v/>
      </c>
      <c r="HA21" s="4" t="str">
        <f t="shared" si="75"/>
        <v/>
      </c>
      <c r="HB21" s="5" t="str">
        <f t="shared" si="76"/>
        <v/>
      </c>
      <c r="HC21" s="36" t="str">
        <f t="shared" si="77"/>
        <v/>
      </c>
      <c r="HD21" s="29"/>
      <c r="HF21" s="75" t="str">
        <f>IF($A21="","",$A21)</f>
        <v/>
      </c>
      <c r="HG21" s="5"/>
      <c r="HH21" s="5" t="str">
        <f>IF(HG21="","",HG21-#REF!)</f>
        <v/>
      </c>
      <c r="HI21" s="5"/>
      <c r="HJ21" s="29"/>
      <c r="HL21" s="75" t="str">
        <f>IF($A21="","",$A21)</f>
        <v/>
      </c>
      <c r="HM21" s="5"/>
      <c r="HN21" s="5" t="str">
        <f>IF(HM21="","",HM21-#REF!)</f>
        <v/>
      </c>
      <c r="HO21" s="5"/>
      <c r="HP21" s="29"/>
      <c r="HR21" s="75" t="str">
        <f>IF($A21="","",$A21)</f>
        <v/>
      </c>
      <c r="HS21" s="5"/>
      <c r="HT21" s="5" t="str">
        <f>IF(HS21="","",HS21-#REF!)</f>
        <v/>
      </c>
      <c r="HU21" s="5"/>
      <c r="HV21" s="29"/>
    </row>
    <row r="22" spans="1:230" ht="15" customHeight="1" thickBot="1" x14ac:dyDescent="0.25">
      <c r="A22" s="60"/>
      <c r="B22" s="73"/>
      <c r="C22" s="43"/>
      <c r="D22" s="144" t="str">
        <f t="shared" si="126"/>
        <v/>
      </c>
      <c r="E22" s="44"/>
      <c r="F22" s="44" t="str">
        <f t="shared" si="127"/>
        <v/>
      </c>
      <c r="G22" s="44"/>
      <c r="H22" s="44" t="str">
        <f t="shared" si="128"/>
        <v/>
      </c>
      <c r="I22" s="62"/>
      <c r="J22" s="45" t="str">
        <f t="shared" si="129"/>
        <v/>
      </c>
      <c r="K22" s="61" t="str">
        <f t="shared" si="130"/>
        <v/>
      </c>
      <c r="L22" s="44" t="str">
        <f t="shared" si="131"/>
        <v/>
      </c>
      <c r="M22" s="46" t="str">
        <f t="shared" si="132"/>
        <v/>
      </c>
      <c r="N22" s="29"/>
      <c r="P22" s="60"/>
      <c r="Q22" s="43"/>
      <c r="R22" s="144" t="str">
        <f t="shared" si="91"/>
        <v/>
      </c>
      <c r="S22" s="44"/>
      <c r="T22" s="44" t="str">
        <f t="shared" si="92"/>
        <v/>
      </c>
      <c r="U22" s="44"/>
      <c r="V22" s="44" t="str">
        <f t="shared" si="93"/>
        <v/>
      </c>
      <c r="W22" s="62"/>
      <c r="X22" s="45" t="str">
        <f t="shared" si="94"/>
        <v/>
      </c>
      <c r="Y22" s="61" t="str">
        <f t="shared" si="95"/>
        <v/>
      </c>
      <c r="Z22" s="44" t="str">
        <f t="shared" si="96"/>
        <v/>
      </c>
      <c r="AA22" s="46" t="str">
        <f t="shared" si="97"/>
        <v/>
      </c>
      <c r="AB22" s="29"/>
      <c r="AD22" s="60"/>
      <c r="AE22" s="43"/>
      <c r="AF22" s="144" t="str">
        <f t="shared" si="98"/>
        <v/>
      </c>
      <c r="AG22" s="44"/>
      <c r="AH22" s="44" t="str">
        <f t="shared" si="99"/>
        <v/>
      </c>
      <c r="AI22" s="44"/>
      <c r="AJ22" s="44" t="str">
        <f t="shared" si="100"/>
        <v/>
      </c>
      <c r="AK22" s="62"/>
      <c r="AL22" s="45" t="str">
        <f t="shared" si="101"/>
        <v/>
      </c>
      <c r="AM22" s="61" t="str">
        <f t="shared" si="102"/>
        <v/>
      </c>
      <c r="AN22" s="44" t="str">
        <f t="shared" si="103"/>
        <v/>
      </c>
      <c r="AO22" s="46" t="str">
        <f t="shared" si="104"/>
        <v/>
      </c>
      <c r="AP22" s="29"/>
      <c r="AR22" s="60"/>
      <c r="AS22" s="43"/>
      <c r="AT22" s="144" t="str">
        <f t="shared" si="105"/>
        <v/>
      </c>
      <c r="AU22" s="44"/>
      <c r="AV22" s="44" t="str">
        <f t="shared" si="106"/>
        <v/>
      </c>
      <c r="AW22" s="44"/>
      <c r="AX22" s="44" t="str">
        <f t="shared" si="107"/>
        <v/>
      </c>
      <c r="AY22" s="62"/>
      <c r="AZ22" s="45" t="str">
        <f t="shared" si="133"/>
        <v/>
      </c>
      <c r="BA22" s="61" t="str">
        <f t="shared" si="109"/>
        <v/>
      </c>
      <c r="BB22" s="44" t="str">
        <f t="shared" si="110"/>
        <v/>
      </c>
      <c r="BC22" s="46" t="str">
        <f t="shared" si="111"/>
        <v/>
      </c>
      <c r="BD22" s="29"/>
      <c r="BE22" s="32"/>
      <c r="BF22" s="41"/>
      <c r="BG22" s="43"/>
      <c r="BH22" s="144" t="str">
        <f t="shared" si="112"/>
        <v/>
      </c>
      <c r="BI22" s="44"/>
      <c r="BJ22" s="44" t="str">
        <f t="shared" si="113"/>
        <v/>
      </c>
      <c r="BK22" s="44"/>
      <c r="BL22" s="44" t="str">
        <f t="shared" si="114"/>
        <v/>
      </c>
      <c r="BM22" s="62"/>
      <c r="BN22" s="45" t="str">
        <f t="shared" si="115"/>
        <v/>
      </c>
      <c r="BO22" s="61" t="str">
        <f t="shared" si="116"/>
        <v/>
      </c>
      <c r="BP22" s="44" t="str">
        <f t="shared" si="117"/>
        <v/>
      </c>
      <c r="BQ22" s="46" t="str">
        <f t="shared" si="118"/>
        <v/>
      </c>
      <c r="BR22" s="29"/>
      <c r="BT22" s="41"/>
      <c r="BU22" s="43"/>
      <c r="BV22" s="144" t="str">
        <f t="shared" si="119"/>
        <v/>
      </c>
      <c r="BW22" s="44"/>
      <c r="BX22" s="44" t="str">
        <f t="shared" si="120"/>
        <v/>
      </c>
      <c r="BY22" s="44"/>
      <c r="BZ22" s="44" t="str">
        <f t="shared" si="121"/>
        <v/>
      </c>
      <c r="CA22" s="62"/>
      <c r="CB22" s="45" t="str">
        <f t="shared" si="122"/>
        <v/>
      </c>
      <c r="CC22" s="61" t="str">
        <f t="shared" si="123"/>
        <v/>
      </c>
      <c r="CD22" s="44" t="str">
        <f t="shared" si="124"/>
        <v/>
      </c>
      <c r="CE22" s="46" t="str">
        <f t="shared" si="125"/>
        <v/>
      </c>
      <c r="CF22" s="29"/>
      <c r="CH22" s="75" t="str">
        <f>IF($A22="","",$A22)</f>
        <v/>
      </c>
      <c r="CI22" s="5"/>
      <c r="CJ22" s="5" t="str">
        <f>IF(CI22="","",CI22-CI21)</f>
        <v/>
      </c>
      <c r="CK22" s="5"/>
      <c r="CL22" s="5" t="str">
        <f>IF(CK22="","",CK22-CK21)</f>
        <v/>
      </c>
      <c r="CM22" s="5"/>
      <c r="CN22" s="5" t="str">
        <f>IF(CM22="","",CM21+CO21-CM22)</f>
        <v/>
      </c>
      <c r="CO22" s="5"/>
      <c r="CP22" s="2" t="str">
        <f t="shared" si="70"/>
        <v/>
      </c>
      <c r="CQ22" s="4" t="str">
        <f>IF(CI22="","",CQ21)</f>
        <v/>
      </c>
      <c r="CR22" s="5" t="str">
        <f t="shared" si="187"/>
        <v/>
      </c>
      <c r="CS22" s="36" t="str">
        <f t="shared" si="188"/>
        <v/>
      </c>
      <c r="CT22" s="29"/>
      <c r="CV22" s="75" t="str">
        <f>IF($A22="","",$A22)</f>
        <v/>
      </c>
      <c r="CW22" s="5"/>
      <c r="CX22" s="5" t="str">
        <f>IF(CW22="","",CW22-CW21)</f>
        <v/>
      </c>
      <c r="CY22" s="5"/>
      <c r="CZ22" s="5" t="str">
        <f>IF(CY22="","",CY22-CY21)</f>
        <v/>
      </c>
      <c r="DA22" s="5"/>
      <c r="DB22" s="5" t="str">
        <f>IF(DA22="","",DA21+DC21-DA22)</f>
        <v/>
      </c>
      <c r="DC22" s="5"/>
      <c r="DD22" s="2" t="str">
        <f t="shared" si="137"/>
        <v/>
      </c>
      <c r="DE22" s="4" t="str">
        <f>IF(CW22="","",DE21)</f>
        <v/>
      </c>
      <c r="DF22" s="5" t="str">
        <f t="shared" si="189"/>
        <v/>
      </c>
      <c r="DG22" s="36" t="str">
        <f t="shared" si="190"/>
        <v/>
      </c>
      <c r="DH22" s="29"/>
      <c r="DJ22" s="75" t="str">
        <f>IF($A22="","",$A22)</f>
        <v/>
      </c>
      <c r="DK22" s="5"/>
      <c r="DL22" s="5" t="str">
        <f>IF(DK22="","",DK22-DK21)</f>
        <v/>
      </c>
      <c r="DM22" s="5"/>
      <c r="DN22" s="5" t="str">
        <f>IF(DM22="","",DM22-DM21)</f>
        <v/>
      </c>
      <c r="DO22" s="5"/>
      <c r="DP22" s="5" t="str">
        <f>IF(DO22="","",DO21+DQ21-DO22)</f>
        <v/>
      </c>
      <c r="DQ22" s="5"/>
      <c r="DR22" s="2" t="str">
        <f t="shared" si="144"/>
        <v/>
      </c>
      <c r="DS22" s="4" t="str">
        <f>IF(DK22="","",DS21)</f>
        <v/>
      </c>
      <c r="DT22" s="5" t="str">
        <f t="shared" si="191"/>
        <v/>
      </c>
      <c r="DU22" s="36" t="str">
        <f t="shared" si="192"/>
        <v/>
      </c>
      <c r="DV22" s="29"/>
      <c r="DX22" s="75" t="str">
        <f>IF($A22="","",$A22)</f>
        <v/>
      </c>
      <c r="DY22" s="5"/>
      <c r="DZ22" s="5" t="str">
        <f>IF(DY22="","",DY22-DY21)</f>
        <v/>
      </c>
      <c r="EA22" s="5"/>
      <c r="EB22" s="5" t="str">
        <f>IF(EA22="","",EA22-EA21)</f>
        <v/>
      </c>
      <c r="EC22" s="5"/>
      <c r="ED22" s="5" t="str">
        <f>IF(EC22="","",EC21+EE21-EC22)</f>
        <v/>
      </c>
      <c r="EE22" s="5"/>
      <c r="EF22" s="2" t="str">
        <f t="shared" si="151"/>
        <v/>
      </c>
      <c r="EG22" s="4" t="str">
        <f>IF(DY22="","",EG21)</f>
        <v/>
      </c>
      <c r="EH22" s="5" t="str">
        <f t="shared" si="193"/>
        <v/>
      </c>
      <c r="EI22" s="36" t="str">
        <f t="shared" si="194"/>
        <v/>
      </c>
      <c r="EJ22" s="29"/>
      <c r="EL22" s="75" t="str">
        <f>IF($A22="","",$A22)</f>
        <v/>
      </c>
      <c r="EM22" s="5"/>
      <c r="EN22" s="5" t="str">
        <f>IF(EM22="","",EM22-EM21)</f>
        <v/>
      </c>
      <c r="EO22" s="5"/>
      <c r="EP22" s="5" t="str">
        <f>IF(EO22="","",EO22-EO21)</f>
        <v/>
      </c>
      <c r="EQ22" s="5"/>
      <c r="ER22" s="5" t="str">
        <f>IF(EQ22="","",EQ21+ES21-EQ22)</f>
        <v/>
      </c>
      <c r="ES22" s="5"/>
      <c r="ET22" s="2" t="str">
        <f t="shared" si="158"/>
        <v/>
      </c>
      <c r="EU22" s="4" t="str">
        <f>IF(EM22="","",EU21)</f>
        <v/>
      </c>
      <c r="EV22" s="5" t="str">
        <f t="shared" si="195"/>
        <v/>
      </c>
      <c r="EW22" s="36" t="str">
        <f t="shared" si="196"/>
        <v/>
      </c>
      <c r="EX22" s="29"/>
      <c r="EZ22" s="75" t="str">
        <f>IF($A22="","",$A22)</f>
        <v/>
      </c>
      <c r="FA22" s="5"/>
      <c r="FB22" s="5" t="str">
        <f>IF(FA22="","",FA22-FA21)</f>
        <v/>
      </c>
      <c r="FC22" s="5"/>
      <c r="FD22" s="5" t="str">
        <f>IF(FC22="","",FC22-FC21)</f>
        <v/>
      </c>
      <c r="FE22" s="5"/>
      <c r="FF22" s="5" t="str">
        <f>IF(FE22="","",FE21+FG21-FE22)</f>
        <v/>
      </c>
      <c r="FG22" s="5"/>
      <c r="FH22" s="2" t="str">
        <f t="shared" si="165"/>
        <v/>
      </c>
      <c r="FI22" s="4" t="str">
        <f>IF(FA22="","",FI21)</f>
        <v/>
      </c>
      <c r="FJ22" s="5" t="str">
        <f t="shared" si="197"/>
        <v/>
      </c>
      <c r="FK22" s="36" t="str">
        <f t="shared" si="198"/>
        <v/>
      </c>
      <c r="FL22" s="29"/>
      <c r="FN22" s="75" t="str">
        <f>IF($A22="","",$A22)</f>
        <v/>
      </c>
      <c r="FO22" s="5"/>
      <c r="FP22" s="5" t="str">
        <f>IF(FO22="","",FO22-FO21)</f>
        <v/>
      </c>
      <c r="FQ22" s="5"/>
      <c r="FR22" s="5" t="str">
        <f>IF(FQ22="","",FQ22-FQ21)</f>
        <v/>
      </c>
      <c r="FS22" s="5"/>
      <c r="FT22" s="5" t="str">
        <f>IF(FS22="","",FS21+FU21-FS22)</f>
        <v/>
      </c>
      <c r="FU22" s="5"/>
      <c r="FV22" s="2" t="str">
        <f t="shared" si="172"/>
        <v/>
      </c>
      <c r="FW22" s="4" t="str">
        <f>IF(FO22="","",FW21)</f>
        <v/>
      </c>
      <c r="FX22" s="5" t="str">
        <f t="shared" si="199"/>
        <v/>
      </c>
      <c r="FY22" s="36" t="str">
        <f t="shared" si="200"/>
        <v/>
      </c>
      <c r="FZ22" s="29"/>
      <c r="GB22" s="75" t="str">
        <f>IF($A22="","",$A22)</f>
        <v/>
      </c>
      <c r="GC22" s="5"/>
      <c r="GD22" s="5" t="str">
        <f>IF(GC22="","",GC22-GC21)</f>
        <v/>
      </c>
      <c r="GE22" s="5"/>
      <c r="GF22" s="5" t="str">
        <f>IF(GE22="","",GE22-GE21)</f>
        <v/>
      </c>
      <c r="GG22" s="5"/>
      <c r="GH22" s="5" t="str">
        <f>IF(GG22="","",GG21+GI21-GG22)</f>
        <v/>
      </c>
      <c r="GI22" s="5"/>
      <c r="GJ22" s="2" t="str">
        <f t="shared" si="179"/>
        <v/>
      </c>
      <c r="GK22" s="4" t="str">
        <f>IF(GC22="","",GK21)</f>
        <v/>
      </c>
      <c r="GL22" s="5" t="str">
        <f t="shared" si="201"/>
        <v/>
      </c>
      <c r="GM22" s="36" t="str">
        <f t="shared" si="202"/>
        <v/>
      </c>
      <c r="GN22" s="29"/>
      <c r="GP22" s="75" t="str">
        <f>IF($A22="","",$A22)</f>
        <v/>
      </c>
      <c r="GQ22" s="5"/>
      <c r="GR22" s="5" t="str">
        <f>IF(GQ22="","",GQ22-GQ21)</f>
        <v/>
      </c>
      <c r="GS22" s="5"/>
      <c r="GT22" s="5" t="str">
        <f>IF(GS22="","",GS22-GS21)</f>
        <v/>
      </c>
      <c r="GU22" s="5"/>
      <c r="GV22" s="5" t="str">
        <f>IF(GU22="","",GU22-GU21)</f>
        <v/>
      </c>
      <c r="GW22" s="5"/>
      <c r="GX22" s="5" t="str">
        <f>IF(GW22="","",GW21+GY21-GW22)</f>
        <v/>
      </c>
      <c r="GY22" s="5"/>
      <c r="GZ22" s="2" t="str">
        <f t="shared" si="74"/>
        <v/>
      </c>
      <c r="HA22" s="4" t="str">
        <f t="shared" si="75"/>
        <v/>
      </c>
      <c r="HB22" s="5" t="str">
        <f t="shared" si="76"/>
        <v/>
      </c>
      <c r="HC22" s="36" t="str">
        <f t="shared" si="77"/>
        <v/>
      </c>
      <c r="HD22" s="29"/>
      <c r="HF22" s="75" t="str">
        <f>IF($A22="","",$A22)</f>
        <v/>
      </c>
      <c r="HG22" s="5"/>
      <c r="HH22" s="5" t="str">
        <f>IF(HG22="","",HG22-HG21)</f>
        <v/>
      </c>
      <c r="HI22" s="5"/>
      <c r="HJ22" s="29"/>
      <c r="HL22" s="75" t="str">
        <f>IF($A22="","",$A22)</f>
        <v/>
      </c>
      <c r="HM22" s="5"/>
      <c r="HN22" s="5" t="str">
        <f>IF(HM22="","",HM22-HM21)</f>
        <v/>
      </c>
      <c r="HO22" s="5"/>
      <c r="HP22" s="29"/>
      <c r="HR22" s="75" t="str">
        <f>IF($A22="","",$A22)</f>
        <v/>
      </c>
      <c r="HS22" s="5"/>
      <c r="HT22" s="5" t="str">
        <f>IF(HS22="","",HS22-HS21)</f>
        <v/>
      </c>
      <c r="HU22" s="5"/>
      <c r="HV22" s="29"/>
    </row>
    <row r="23" spans="1:230" ht="15" customHeight="1" thickTop="1" x14ac:dyDescent="0.2">
      <c r="A23" s="49"/>
      <c r="B23" s="26">
        <f>SUM(D23:D26)+SUM(R23:R26)+SUM(AF23:AF26)+SUM(AT23:AT26)+SUM(CJ8,CX8,DL8,DZ8,EN8,FB8,FP8,GD8,GR8,HH8,HN8,HT8)+SUM(BH23:BH26)+SUM(BV23:BV24)</f>
        <v>0</v>
      </c>
      <c r="C23" s="4"/>
      <c r="D23" s="145" t="str">
        <f t="shared" si="126"/>
        <v/>
      </c>
      <c r="E23" s="4"/>
      <c r="F23" s="50" t="str">
        <f t="shared" si="127"/>
        <v/>
      </c>
      <c r="G23" s="4"/>
      <c r="H23" s="4" t="str">
        <f t="shared" si="128"/>
        <v/>
      </c>
      <c r="I23" s="51"/>
      <c r="J23" s="31" t="str">
        <f t="shared" si="129"/>
        <v/>
      </c>
      <c r="K23" s="27" t="str">
        <f t="shared" si="130"/>
        <v/>
      </c>
      <c r="L23" s="50" t="str">
        <f t="shared" si="131"/>
        <v/>
      </c>
      <c r="M23" s="52" t="str">
        <f t="shared" si="132"/>
        <v/>
      </c>
      <c r="N23" s="29"/>
      <c r="P23" s="53" t="str">
        <f>IF($A23="","",$A23)</f>
        <v/>
      </c>
      <c r="Q23" s="4"/>
      <c r="R23" s="145" t="str">
        <f t="shared" si="91"/>
        <v/>
      </c>
      <c r="S23" s="4"/>
      <c r="T23" s="50" t="str">
        <f t="shared" si="92"/>
        <v/>
      </c>
      <c r="U23" s="4"/>
      <c r="V23" s="4" t="str">
        <f t="shared" si="93"/>
        <v/>
      </c>
      <c r="W23" s="51"/>
      <c r="X23" s="31" t="str">
        <f t="shared" si="94"/>
        <v/>
      </c>
      <c r="Y23" s="27" t="str">
        <f t="shared" si="95"/>
        <v/>
      </c>
      <c r="Z23" s="50" t="str">
        <f t="shared" si="96"/>
        <v/>
      </c>
      <c r="AA23" s="52" t="str">
        <f t="shared" si="97"/>
        <v/>
      </c>
      <c r="AB23" s="29"/>
      <c r="AD23" s="53" t="str">
        <f>IF($A23="","",$A23)</f>
        <v/>
      </c>
      <c r="AE23" s="4"/>
      <c r="AF23" s="145" t="str">
        <f t="shared" si="98"/>
        <v/>
      </c>
      <c r="AG23" s="4"/>
      <c r="AH23" s="50" t="str">
        <f t="shared" si="99"/>
        <v/>
      </c>
      <c r="AI23" s="4"/>
      <c r="AJ23" s="4" t="str">
        <f t="shared" si="100"/>
        <v/>
      </c>
      <c r="AK23" s="51"/>
      <c r="AL23" s="31" t="str">
        <f t="shared" si="101"/>
        <v/>
      </c>
      <c r="AM23" s="27" t="str">
        <f t="shared" si="102"/>
        <v/>
      </c>
      <c r="AN23" s="50" t="str">
        <f t="shared" si="103"/>
        <v/>
      </c>
      <c r="AO23" s="52" t="str">
        <f t="shared" si="104"/>
        <v/>
      </c>
      <c r="AP23" s="29"/>
      <c r="AR23" s="53" t="str">
        <f>IF($A23="","",$A23)</f>
        <v/>
      </c>
      <c r="AS23" s="4"/>
      <c r="AT23" s="145" t="str">
        <f t="shared" si="105"/>
        <v/>
      </c>
      <c r="AU23" s="4"/>
      <c r="AV23" s="50" t="str">
        <f t="shared" si="106"/>
        <v/>
      </c>
      <c r="AW23" s="4"/>
      <c r="AX23" s="4" t="str">
        <f t="shared" si="107"/>
        <v/>
      </c>
      <c r="AY23" s="51"/>
      <c r="AZ23" s="31" t="str">
        <f t="shared" si="133"/>
        <v/>
      </c>
      <c r="BA23" s="27" t="str">
        <f t="shared" si="109"/>
        <v/>
      </c>
      <c r="BB23" s="50" t="str">
        <f t="shared" si="110"/>
        <v/>
      </c>
      <c r="BC23" s="52" t="str">
        <f t="shared" si="111"/>
        <v/>
      </c>
      <c r="BD23" s="29"/>
      <c r="BE23" s="32"/>
      <c r="BF23" s="33" t="str">
        <f>IF($A23="","",$A23)</f>
        <v/>
      </c>
      <c r="BG23" s="4"/>
      <c r="BH23" s="145" t="str">
        <f t="shared" si="112"/>
        <v/>
      </c>
      <c r="BI23" s="4"/>
      <c r="BJ23" s="50" t="str">
        <f t="shared" si="113"/>
        <v/>
      </c>
      <c r="BK23" s="4"/>
      <c r="BL23" s="4" t="str">
        <f t="shared" si="114"/>
        <v/>
      </c>
      <c r="BM23" s="51"/>
      <c r="BN23" s="31" t="str">
        <f t="shared" si="115"/>
        <v/>
      </c>
      <c r="BO23" s="27" t="str">
        <f t="shared" si="116"/>
        <v/>
      </c>
      <c r="BP23" s="50" t="str">
        <f t="shared" si="117"/>
        <v/>
      </c>
      <c r="BQ23" s="52" t="str">
        <f t="shared" si="118"/>
        <v/>
      </c>
      <c r="BR23" s="29"/>
      <c r="BT23" s="33" t="str">
        <f>IF($A23="","",$A23)</f>
        <v/>
      </c>
      <c r="BU23" s="4"/>
      <c r="BV23" s="145" t="str">
        <f t="shared" si="119"/>
        <v/>
      </c>
      <c r="BW23" s="4"/>
      <c r="BX23" s="50" t="str">
        <f t="shared" si="120"/>
        <v/>
      </c>
      <c r="BY23" s="4"/>
      <c r="BZ23" s="4" t="str">
        <f t="shared" si="121"/>
        <v/>
      </c>
      <c r="CA23" s="51"/>
      <c r="CB23" s="31" t="str">
        <f t="shared" si="122"/>
        <v/>
      </c>
      <c r="CC23" s="27" t="str">
        <f t="shared" si="123"/>
        <v/>
      </c>
      <c r="CD23" s="50" t="str">
        <f t="shared" si="124"/>
        <v/>
      </c>
      <c r="CE23" s="52" t="str">
        <f t="shared" si="125"/>
        <v/>
      </c>
      <c r="CF23" s="29"/>
      <c r="CH23" s="75"/>
      <c r="CI23" s="5"/>
      <c r="CJ23" s="5" t="str">
        <f>IF(CI23="","",CI23-CI22)</f>
        <v/>
      </c>
      <c r="CK23" s="5"/>
      <c r="CL23" s="5" t="str">
        <f>IF(CK23="","",CK23-CK22)</f>
        <v/>
      </c>
      <c r="CM23" s="5"/>
      <c r="CN23" s="5" t="str">
        <f>IF(CM23="","",CM22+CO22-CM23)</f>
        <v/>
      </c>
      <c r="CO23" s="5"/>
      <c r="CP23" s="4"/>
      <c r="CQ23" s="4" t="str">
        <f>IF(CI23="","",CQ22)</f>
        <v/>
      </c>
      <c r="CR23" s="5" t="str">
        <f t="shared" si="187"/>
        <v/>
      </c>
      <c r="CS23" s="36" t="str">
        <f t="shared" si="188"/>
        <v/>
      </c>
      <c r="CT23" s="29"/>
      <c r="CV23" s="75"/>
      <c r="CW23" s="5"/>
      <c r="CX23" s="5" t="str">
        <f>IF(CW23="","",CW23-CW22)</f>
        <v/>
      </c>
      <c r="CY23" s="5"/>
      <c r="CZ23" s="5" t="str">
        <f>IF(CY23="","",CY23-CY22)</f>
        <v/>
      </c>
      <c r="DA23" s="5"/>
      <c r="DB23" s="5" t="str">
        <f>IF(DA23="","",DA22+DC22-DA23)</f>
        <v/>
      </c>
      <c r="DC23" s="5"/>
      <c r="DD23" s="4"/>
      <c r="DE23" s="4" t="str">
        <f>IF(CW23="","",DE22)</f>
        <v/>
      </c>
      <c r="DF23" s="5" t="str">
        <f t="shared" si="189"/>
        <v/>
      </c>
      <c r="DG23" s="36" t="str">
        <f t="shared" si="190"/>
        <v/>
      </c>
      <c r="DH23" s="29"/>
      <c r="DJ23" s="75"/>
      <c r="DK23" s="5"/>
      <c r="DL23" s="5" t="str">
        <f>IF(DK23="","",DK23-DK22)</f>
        <v/>
      </c>
      <c r="DM23" s="5"/>
      <c r="DN23" s="5" t="str">
        <f>IF(DM23="","",DM23-DM22)</f>
        <v/>
      </c>
      <c r="DO23" s="5"/>
      <c r="DP23" s="5" t="str">
        <f>IF(DO23="","",DO22+DQ22-DO23)</f>
        <v/>
      </c>
      <c r="DQ23" s="5"/>
      <c r="DR23" s="4"/>
      <c r="DS23" s="4" t="str">
        <f>IF(DK23="","",DS22)</f>
        <v/>
      </c>
      <c r="DT23" s="5" t="str">
        <f t="shared" si="191"/>
        <v/>
      </c>
      <c r="DU23" s="36" t="str">
        <f t="shared" si="192"/>
        <v/>
      </c>
      <c r="DV23" s="29"/>
      <c r="DX23" s="75"/>
      <c r="DY23" s="5"/>
      <c r="DZ23" s="5" t="str">
        <f>IF(DY23="","",DY23-DY22)</f>
        <v/>
      </c>
      <c r="EA23" s="5"/>
      <c r="EB23" s="5" t="str">
        <f>IF(EA23="","",EA23-EA22)</f>
        <v/>
      </c>
      <c r="EC23" s="5"/>
      <c r="ED23" s="5" t="str">
        <f>IF(EC23="","",EC22+EE22-EC23)</f>
        <v/>
      </c>
      <c r="EE23" s="5"/>
      <c r="EF23" s="4"/>
      <c r="EG23" s="4" t="str">
        <f>IF(DY23="","",EG22)</f>
        <v/>
      </c>
      <c r="EH23" s="5" t="str">
        <f t="shared" si="193"/>
        <v/>
      </c>
      <c r="EI23" s="36" t="str">
        <f t="shared" si="194"/>
        <v/>
      </c>
      <c r="EJ23" s="29"/>
      <c r="EL23" s="75"/>
      <c r="EM23" s="5"/>
      <c r="EN23" s="5" t="str">
        <f>IF(EM23="","",EM23-EM22)</f>
        <v/>
      </c>
      <c r="EO23" s="5"/>
      <c r="EP23" s="5" t="str">
        <f>IF(EO23="","",EO23-EO22)</f>
        <v/>
      </c>
      <c r="EQ23" s="5"/>
      <c r="ER23" s="5" t="str">
        <f>IF(EQ23="","",EQ22+ES22-EQ23)</f>
        <v/>
      </c>
      <c r="ES23" s="5"/>
      <c r="ET23" s="4"/>
      <c r="EU23" s="4" t="str">
        <f>IF(EM23="","",EU22)</f>
        <v/>
      </c>
      <c r="EV23" s="5" t="str">
        <f t="shared" si="195"/>
        <v/>
      </c>
      <c r="EW23" s="36" t="str">
        <f t="shared" si="196"/>
        <v/>
      </c>
      <c r="EX23" s="29"/>
      <c r="EZ23" s="75"/>
      <c r="FA23" s="5"/>
      <c r="FB23" s="5" t="str">
        <f>IF(FA23="","",FA23-FA22)</f>
        <v/>
      </c>
      <c r="FC23" s="5"/>
      <c r="FD23" s="5" t="str">
        <f>IF(FC23="","",FC23-FC22)</f>
        <v/>
      </c>
      <c r="FE23" s="5"/>
      <c r="FF23" s="5" t="str">
        <f>IF(FE23="","",FE22+FG22-FE23)</f>
        <v/>
      </c>
      <c r="FG23" s="5"/>
      <c r="FH23" s="4"/>
      <c r="FI23" s="4" t="str">
        <f>IF(FA23="","",FI22)</f>
        <v/>
      </c>
      <c r="FJ23" s="5" t="str">
        <f t="shared" si="197"/>
        <v/>
      </c>
      <c r="FK23" s="36" t="str">
        <f t="shared" si="198"/>
        <v/>
      </c>
      <c r="FL23" s="29"/>
      <c r="FN23" s="75"/>
      <c r="FO23" s="5"/>
      <c r="FP23" s="5" t="str">
        <f>IF(FO23="","",FO23-FO22)</f>
        <v/>
      </c>
      <c r="FQ23" s="5"/>
      <c r="FR23" s="5" t="str">
        <f>IF(FQ23="","",FQ23-FQ22)</f>
        <v/>
      </c>
      <c r="FS23" s="5"/>
      <c r="FT23" s="5" t="str">
        <f>IF(FS23="","",FS22+FU22-FS23)</f>
        <v/>
      </c>
      <c r="FU23" s="5"/>
      <c r="FV23" s="4"/>
      <c r="FW23" s="4" t="str">
        <f>IF(FO23="","",FW22)</f>
        <v/>
      </c>
      <c r="FX23" s="5" t="str">
        <f t="shared" si="199"/>
        <v/>
      </c>
      <c r="FY23" s="36" t="str">
        <f t="shared" si="200"/>
        <v/>
      </c>
      <c r="FZ23" s="29"/>
      <c r="GB23" s="75"/>
      <c r="GC23" s="5"/>
      <c r="GD23" s="5" t="str">
        <f>IF(GC23="","",GC23-GC22)</f>
        <v/>
      </c>
      <c r="GE23" s="5"/>
      <c r="GF23" s="5" t="str">
        <f>IF(GE23="","",GE23-GE22)</f>
        <v/>
      </c>
      <c r="GG23" s="5"/>
      <c r="GH23" s="5" t="str">
        <f>IF(GG23="","",GG22+GI22-GG23)</f>
        <v/>
      </c>
      <c r="GI23" s="5"/>
      <c r="GJ23" s="4"/>
      <c r="GK23" s="4" t="str">
        <f>IF(GC23="","",GK22)</f>
        <v/>
      </c>
      <c r="GL23" s="5" t="str">
        <f t="shared" si="201"/>
        <v/>
      </c>
      <c r="GM23" s="36" t="str">
        <f t="shared" si="202"/>
        <v/>
      </c>
      <c r="GN23" s="29"/>
      <c r="GP23" s="75"/>
      <c r="GQ23" s="5"/>
      <c r="GR23" s="5" t="str">
        <f>IF(GQ23="","",GQ23-GQ22)</f>
        <v/>
      </c>
      <c r="GS23" s="5"/>
      <c r="GT23" s="5" t="str">
        <f>IF(GS23="","",GS23-GS22)</f>
        <v/>
      </c>
      <c r="GU23" s="5"/>
      <c r="GV23" s="5" t="str">
        <f>IF(GU23="","",GU23-GU22)</f>
        <v/>
      </c>
      <c r="GW23" s="5"/>
      <c r="GX23" s="5" t="str">
        <f>IF(GW23="","",GW22+GY22-GW23)</f>
        <v/>
      </c>
      <c r="GY23" s="5"/>
      <c r="GZ23" s="2" t="str">
        <f t="shared" si="74"/>
        <v/>
      </c>
      <c r="HA23" s="4" t="str">
        <f t="shared" si="75"/>
        <v/>
      </c>
      <c r="HB23" s="5" t="str">
        <f t="shared" si="76"/>
        <v/>
      </c>
      <c r="HC23" s="36" t="str">
        <f t="shared" si="77"/>
        <v/>
      </c>
      <c r="HD23" s="29"/>
      <c r="HF23" s="75"/>
      <c r="HG23" s="5"/>
      <c r="HH23" s="5" t="str">
        <f>IF(HG23="","",HG23-HG22)</f>
        <v/>
      </c>
      <c r="HI23" s="5"/>
      <c r="HJ23" s="29"/>
      <c r="HL23" s="75"/>
      <c r="HM23" s="5"/>
      <c r="HN23" s="5" t="str">
        <f>IF(HM23="","",HM23-HM22)</f>
        <v/>
      </c>
      <c r="HO23" s="5"/>
      <c r="HP23" s="29"/>
      <c r="HR23" s="75"/>
      <c r="HS23" s="5"/>
      <c r="HT23" s="5" t="str">
        <f>IF(HS23="","",HS23-HS22)</f>
        <v/>
      </c>
      <c r="HU23" s="5"/>
      <c r="HV23" s="29"/>
    </row>
    <row r="24" spans="1:230" ht="15" customHeight="1" x14ac:dyDescent="0.2">
      <c r="A24" s="54"/>
      <c r="B24" s="37"/>
      <c r="C24" s="5"/>
      <c r="D24" s="143" t="str">
        <f t="shared" si="126"/>
        <v/>
      </c>
      <c r="E24" s="5"/>
      <c r="F24" s="5" t="str">
        <f t="shared" si="127"/>
        <v/>
      </c>
      <c r="G24" s="5"/>
      <c r="H24" s="5" t="str">
        <f t="shared" si="128"/>
        <v/>
      </c>
      <c r="I24" s="35"/>
      <c r="J24" s="38" t="str">
        <f t="shared" si="129"/>
        <v/>
      </c>
      <c r="K24" s="39" t="str">
        <f t="shared" si="130"/>
        <v/>
      </c>
      <c r="L24" s="5" t="str">
        <f t="shared" si="131"/>
        <v/>
      </c>
      <c r="M24" s="36" t="str">
        <f t="shared" si="132"/>
        <v/>
      </c>
      <c r="N24" s="29"/>
      <c r="P24" s="54"/>
      <c r="Q24" s="5"/>
      <c r="R24" s="143" t="str">
        <f t="shared" si="91"/>
        <v/>
      </c>
      <c r="S24" s="5"/>
      <c r="T24" s="5" t="str">
        <f t="shared" si="92"/>
        <v/>
      </c>
      <c r="U24" s="5"/>
      <c r="V24" s="5" t="str">
        <f t="shared" si="93"/>
        <v/>
      </c>
      <c r="W24" s="35"/>
      <c r="X24" s="38" t="str">
        <f t="shared" si="94"/>
        <v/>
      </c>
      <c r="Y24" s="39" t="str">
        <f t="shared" si="95"/>
        <v/>
      </c>
      <c r="Z24" s="5" t="str">
        <f t="shared" si="96"/>
        <v/>
      </c>
      <c r="AA24" s="36" t="str">
        <f t="shared" si="97"/>
        <v/>
      </c>
      <c r="AB24" s="29"/>
      <c r="AD24" s="54"/>
      <c r="AE24" s="5"/>
      <c r="AF24" s="143" t="str">
        <f t="shared" si="98"/>
        <v/>
      </c>
      <c r="AG24" s="5"/>
      <c r="AH24" s="5" t="str">
        <f t="shared" si="99"/>
        <v/>
      </c>
      <c r="AI24" s="5"/>
      <c r="AJ24" s="5" t="str">
        <f t="shared" si="100"/>
        <v/>
      </c>
      <c r="AK24" s="35"/>
      <c r="AL24" s="38" t="str">
        <f t="shared" si="101"/>
        <v/>
      </c>
      <c r="AM24" s="39" t="str">
        <f t="shared" si="102"/>
        <v/>
      </c>
      <c r="AN24" s="5" t="str">
        <f t="shared" si="103"/>
        <v/>
      </c>
      <c r="AO24" s="36" t="str">
        <f t="shared" si="104"/>
        <v/>
      </c>
      <c r="AP24" s="29"/>
      <c r="AR24" s="54"/>
      <c r="AS24" s="5"/>
      <c r="AT24" s="143" t="str">
        <f t="shared" si="105"/>
        <v/>
      </c>
      <c r="AU24" s="5"/>
      <c r="AV24" s="5" t="str">
        <f t="shared" si="106"/>
        <v/>
      </c>
      <c r="AW24" s="5"/>
      <c r="AX24" s="5" t="str">
        <f t="shared" si="107"/>
        <v/>
      </c>
      <c r="AY24" s="35"/>
      <c r="AZ24" s="38" t="str">
        <f t="shared" si="133"/>
        <v/>
      </c>
      <c r="BA24" s="39" t="str">
        <f t="shared" si="109"/>
        <v/>
      </c>
      <c r="BB24" s="5" t="str">
        <f t="shared" si="110"/>
        <v/>
      </c>
      <c r="BC24" s="36" t="str">
        <f t="shared" si="111"/>
        <v/>
      </c>
      <c r="BD24" s="29"/>
      <c r="BE24" s="32"/>
      <c r="BF24" s="25"/>
      <c r="BG24" s="5"/>
      <c r="BH24" s="143" t="str">
        <f t="shared" si="112"/>
        <v/>
      </c>
      <c r="BI24" s="5"/>
      <c r="BJ24" s="5" t="str">
        <f t="shared" si="113"/>
        <v/>
      </c>
      <c r="BK24" s="5"/>
      <c r="BL24" s="5" t="str">
        <f t="shared" si="114"/>
        <v/>
      </c>
      <c r="BM24" s="35"/>
      <c r="BN24" s="38" t="str">
        <f t="shared" si="115"/>
        <v/>
      </c>
      <c r="BO24" s="39" t="str">
        <f t="shared" si="116"/>
        <v/>
      </c>
      <c r="BP24" s="5" t="str">
        <f t="shared" si="117"/>
        <v/>
      </c>
      <c r="BQ24" s="36" t="str">
        <f t="shared" si="118"/>
        <v/>
      </c>
      <c r="BR24" s="29"/>
      <c r="BT24" s="25"/>
      <c r="BU24" s="5"/>
      <c r="BV24" s="143" t="str">
        <f t="shared" si="119"/>
        <v/>
      </c>
      <c r="BW24" s="5"/>
      <c r="BX24" s="5" t="str">
        <f t="shared" si="120"/>
        <v/>
      </c>
      <c r="BY24" s="5"/>
      <c r="BZ24" s="5" t="str">
        <f t="shared" si="121"/>
        <v/>
      </c>
      <c r="CA24" s="35"/>
      <c r="CB24" s="38" t="str">
        <f t="shared" si="122"/>
        <v/>
      </c>
      <c r="CC24" s="39" t="str">
        <f t="shared" si="123"/>
        <v/>
      </c>
      <c r="CD24" s="5" t="str">
        <f t="shared" si="124"/>
        <v/>
      </c>
      <c r="CE24" s="36" t="str">
        <f t="shared" si="125"/>
        <v/>
      </c>
      <c r="CF24" s="29"/>
      <c r="CH24" s="14"/>
      <c r="CI24" s="39"/>
      <c r="CJ24" s="5" t="str">
        <f>IF(CI24="","",CI24-CI23)</f>
        <v/>
      </c>
      <c r="CK24" s="5"/>
      <c r="CL24" s="5" t="str">
        <f>IF(CK24="","",CK24-CK23)</f>
        <v/>
      </c>
      <c r="CM24" s="5"/>
      <c r="CN24" s="5" t="str">
        <f>IF(CM24="","",CM23+CO23-CM24)</f>
        <v/>
      </c>
      <c r="CO24" s="5"/>
      <c r="CP24" s="5"/>
      <c r="CQ24" s="5"/>
      <c r="CR24" s="5" t="str">
        <f t="shared" si="187"/>
        <v/>
      </c>
      <c r="CS24" s="36" t="str">
        <f t="shared" si="188"/>
        <v/>
      </c>
      <c r="CT24" s="29"/>
      <c r="CV24" s="14"/>
      <c r="CW24" s="39"/>
      <c r="CX24" s="5" t="str">
        <f>IF(CW24="","",CW24-CW23)</f>
        <v/>
      </c>
      <c r="CY24" s="5"/>
      <c r="CZ24" s="5" t="str">
        <f>IF(CY24="","",CY24-CY23)</f>
        <v/>
      </c>
      <c r="DA24" s="5"/>
      <c r="DB24" s="5" t="str">
        <f>IF(DA24="","",DA23+DC23-DA24)</f>
        <v/>
      </c>
      <c r="DC24" s="5"/>
      <c r="DD24" s="5"/>
      <c r="DE24" s="5"/>
      <c r="DF24" s="5" t="str">
        <f t="shared" si="189"/>
        <v/>
      </c>
      <c r="DG24" s="36" t="str">
        <f t="shared" si="190"/>
        <v/>
      </c>
      <c r="DH24" s="29"/>
      <c r="DJ24" s="14"/>
      <c r="DK24" s="39"/>
      <c r="DL24" s="5" t="str">
        <f>IF(DK24="","",DK24-DK23)</f>
        <v/>
      </c>
      <c r="DM24" s="5"/>
      <c r="DN24" s="5" t="str">
        <f>IF(DM24="","",DM24-DM23)</f>
        <v/>
      </c>
      <c r="DO24" s="5"/>
      <c r="DP24" s="5" t="str">
        <f>IF(DO24="","",DO23+DQ23-DO24)</f>
        <v/>
      </c>
      <c r="DQ24" s="5"/>
      <c r="DR24" s="5"/>
      <c r="DS24" s="5"/>
      <c r="DT24" s="5" t="str">
        <f t="shared" si="191"/>
        <v/>
      </c>
      <c r="DU24" s="36" t="str">
        <f t="shared" si="192"/>
        <v/>
      </c>
      <c r="DV24" s="29"/>
      <c r="DX24" s="14"/>
      <c r="DY24" s="39"/>
      <c r="DZ24" s="5" t="str">
        <f>IF(DY24="","",DY24-DY23)</f>
        <v/>
      </c>
      <c r="EA24" s="5"/>
      <c r="EB24" s="5" t="str">
        <f>IF(EA24="","",EA24-EA23)</f>
        <v/>
      </c>
      <c r="EC24" s="5"/>
      <c r="ED24" s="5" t="str">
        <f>IF(EC24="","",EC23+EE23-EC24)</f>
        <v/>
      </c>
      <c r="EE24" s="5"/>
      <c r="EF24" s="5"/>
      <c r="EG24" s="5"/>
      <c r="EH24" s="5" t="str">
        <f t="shared" si="193"/>
        <v/>
      </c>
      <c r="EI24" s="36" t="str">
        <f t="shared" si="194"/>
        <v/>
      </c>
      <c r="EJ24" s="29"/>
      <c r="EL24" s="14"/>
      <c r="EM24" s="39"/>
      <c r="EN24" s="5" t="str">
        <f>IF(EM24="","",EM24-EM23)</f>
        <v/>
      </c>
      <c r="EO24" s="5"/>
      <c r="EP24" s="5" t="str">
        <f>IF(EO24="","",EO24-EO23)</f>
        <v/>
      </c>
      <c r="EQ24" s="5"/>
      <c r="ER24" s="5" t="str">
        <f>IF(EQ24="","",EQ23+ES23-EQ24)</f>
        <v/>
      </c>
      <c r="ES24" s="5"/>
      <c r="ET24" s="5"/>
      <c r="EU24" s="5"/>
      <c r="EV24" s="5" t="str">
        <f t="shared" si="195"/>
        <v/>
      </c>
      <c r="EW24" s="36" t="str">
        <f t="shared" si="196"/>
        <v/>
      </c>
      <c r="EX24" s="29"/>
      <c r="EZ24" s="14"/>
      <c r="FA24" s="39"/>
      <c r="FB24" s="5" t="str">
        <f>IF(FA24="","",FA24-FA23)</f>
        <v/>
      </c>
      <c r="FC24" s="5"/>
      <c r="FD24" s="5" t="str">
        <f>IF(FC24="","",FC24-FC23)</f>
        <v/>
      </c>
      <c r="FE24" s="5"/>
      <c r="FF24" s="5" t="str">
        <f>IF(FE24="","",FE23+FG23-FE24)</f>
        <v/>
      </c>
      <c r="FG24" s="5"/>
      <c r="FH24" s="5"/>
      <c r="FI24" s="5"/>
      <c r="FJ24" s="5" t="str">
        <f t="shared" si="197"/>
        <v/>
      </c>
      <c r="FK24" s="36" t="str">
        <f t="shared" si="198"/>
        <v/>
      </c>
      <c r="FL24" s="29"/>
      <c r="FN24" s="14"/>
      <c r="FO24" s="39"/>
      <c r="FP24" s="5" t="str">
        <f>IF(FO24="","",FO24-FO23)</f>
        <v/>
      </c>
      <c r="FQ24" s="5"/>
      <c r="FR24" s="5" t="str">
        <f>IF(FQ24="","",FQ24-FQ23)</f>
        <v/>
      </c>
      <c r="FS24" s="5"/>
      <c r="FT24" s="5" t="str">
        <f>IF(FS24="","",FS23+FU23-FS24)</f>
        <v/>
      </c>
      <c r="FU24" s="5"/>
      <c r="FV24" s="5"/>
      <c r="FW24" s="5"/>
      <c r="FX24" s="5" t="str">
        <f t="shared" si="199"/>
        <v/>
      </c>
      <c r="FY24" s="36" t="str">
        <f t="shared" si="200"/>
        <v/>
      </c>
      <c r="FZ24" s="29"/>
      <c r="GB24" s="14"/>
      <c r="GC24" s="39"/>
      <c r="GD24" s="5" t="str">
        <f>IF(GC24="","",GC24-GC23)</f>
        <v/>
      </c>
      <c r="GE24" s="5"/>
      <c r="GF24" s="5" t="str">
        <f>IF(GE24="","",GE24-GE23)</f>
        <v/>
      </c>
      <c r="GG24" s="5"/>
      <c r="GH24" s="5" t="str">
        <f>IF(GG24="","",GG23+GI23-GG24)</f>
        <v/>
      </c>
      <c r="GI24" s="5"/>
      <c r="GJ24" s="5"/>
      <c r="GK24" s="5"/>
      <c r="GL24" s="5" t="str">
        <f t="shared" si="201"/>
        <v/>
      </c>
      <c r="GM24" s="36" t="str">
        <f t="shared" si="202"/>
        <v/>
      </c>
      <c r="GN24" s="29"/>
      <c r="GP24" s="14"/>
      <c r="GQ24" s="39"/>
      <c r="GR24" s="5" t="str">
        <f>IF(GQ24="","",GQ24-GQ23)</f>
        <v/>
      </c>
      <c r="GS24" s="5"/>
      <c r="GT24" s="5" t="str">
        <f>IF(GS24="","",GS24-GS23)</f>
        <v/>
      </c>
      <c r="GU24" s="5"/>
      <c r="GV24" s="5" t="str">
        <f>IF(GU24="","",GU24-GU23)</f>
        <v/>
      </c>
      <c r="GW24" s="5"/>
      <c r="GX24" s="5" t="str">
        <f>IF(GW24="","",GW23+GY23-GW24)</f>
        <v/>
      </c>
      <c r="GY24" s="5"/>
      <c r="GZ24" s="2" t="str">
        <f t="shared" si="74"/>
        <v/>
      </c>
      <c r="HA24" s="4" t="str">
        <f t="shared" si="75"/>
        <v/>
      </c>
      <c r="HB24" s="5" t="str">
        <f t="shared" si="76"/>
        <v/>
      </c>
      <c r="HC24" s="36" t="str">
        <f t="shared" si="77"/>
        <v/>
      </c>
      <c r="HD24" s="29"/>
      <c r="HF24" s="14"/>
      <c r="HG24" s="39"/>
      <c r="HH24" s="5" t="str">
        <f>IF(HG24="","",HG24-HG23)</f>
        <v/>
      </c>
      <c r="HI24" s="5"/>
      <c r="HJ24" s="29"/>
      <c r="HL24" s="14"/>
      <c r="HM24" s="39"/>
      <c r="HN24" s="5" t="str">
        <f>IF(HM24="","",HM24-HM23)</f>
        <v/>
      </c>
      <c r="HO24" s="5"/>
      <c r="HP24" s="29"/>
      <c r="HR24" s="14"/>
      <c r="HS24" s="39"/>
      <c r="HT24" s="5" t="str">
        <f>IF(HS24="","",HS24-HS23)</f>
        <v/>
      </c>
      <c r="HU24" s="5"/>
      <c r="HV24" s="29"/>
    </row>
    <row r="25" spans="1:230" ht="15" customHeight="1" x14ac:dyDescent="0.2">
      <c r="A25" s="54"/>
      <c r="B25" s="71"/>
      <c r="C25" s="58"/>
      <c r="D25" s="143" t="str">
        <f t="shared" si="126"/>
        <v/>
      </c>
      <c r="E25" s="5"/>
      <c r="F25" s="5" t="str">
        <f t="shared" si="127"/>
        <v/>
      </c>
      <c r="G25" s="58"/>
      <c r="H25" s="5" t="str">
        <f t="shared" si="128"/>
        <v/>
      </c>
      <c r="I25" s="59"/>
      <c r="J25" s="38" t="str">
        <f t="shared" si="129"/>
        <v/>
      </c>
      <c r="K25" s="5" t="str">
        <f t="shared" si="130"/>
        <v/>
      </c>
      <c r="L25" s="5" t="str">
        <f t="shared" si="131"/>
        <v/>
      </c>
      <c r="M25" s="36" t="str">
        <f t="shared" si="132"/>
        <v/>
      </c>
      <c r="N25" s="29"/>
      <c r="P25" s="54"/>
      <c r="Q25" s="58"/>
      <c r="R25" s="143" t="str">
        <f t="shared" si="91"/>
        <v/>
      </c>
      <c r="S25" s="5"/>
      <c r="T25" s="5" t="str">
        <f t="shared" si="92"/>
        <v/>
      </c>
      <c r="U25" s="58"/>
      <c r="V25" s="5" t="str">
        <f t="shared" si="93"/>
        <v/>
      </c>
      <c r="W25" s="59"/>
      <c r="X25" s="38" t="str">
        <f t="shared" si="94"/>
        <v/>
      </c>
      <c r="Y25" s="5" t="str">
        <f t="shared" si="95"/>
        <v/>
      </c>
      <c r="Z25" s="5" t="str">
        <f t="shared" si="96"/>
        <v/>
      </c>
      <c r="AA25" s="36" t="str">
        <f t="shared" si="97"/>
        <v/>
      </c>
      <c r="AB25" s="29"/>
      <c r="AD25" s="54"/>
      <c r="AE25" s="58"/>
      <c r="AF25" s="143" t="str">
        <f t="shared" si="98"/>
        <v/>
      </c>
      <c r="AG25" s="5"/>
      <c r="AH25" s="5" t="str">
        <f t="shared" si="99"/>
        <v/>
      </c>
      <c r="AI25" s="58"/>
      <c r="AJ25" s="5" t="str">
        <f t="shared" si="100"/>
        <v/>
      </c>
      <c r="AK25" s="59"/>
      <c r="AL25" s="38" t="str">
        <f t="shared" si="101"/>
        <v/>
      </c>
      <c r="AM25" s="5" t="str">
        <f t="shared" si="102"/>
        <v/>
      </c>
      <c r="AN25" s="5" t="str">
        <f t="shared" si="103"/>
        <v/>
      </c>
      <c r="AO25" s="36" t="str">
        <f t="shared" si="104"/>
        <v/>
      </c>
      <c r="AP25" s="29"/>
      <c r="AR25" s="54"/>
      <c r="AS25" s="58"/>
      <c r="AT25" s="143" t="str">
        <f t="shared" si="105"/>
        <v/>
      </c>
      <c r="AU25" s="5"/>
      <c r="AV25" s="5" t="str">
        <f t="shared" si="106"/>
        <v/>
      </c>
      <c r="AW25" s="58"/>
      <c r="AX25" s="5" t="str">
        <f t="shared" si="107"/>
        <v/>
      </c>
      <c r="AY25" s="59"/>
      <c r="AZ25" s="38" t="str">
        <f t="shared" si="133"/>
        <v/>
      </c>
      <c r="BA25" s="5" t="str">
        <f t="shared" si="109"/>
        <v/>
      </c>
      <c r="BB25" s="5" t="str">
        <f t="shared" si="110"/>
        <v/>
      </c>
      <c r="BC25" s="36" t="str">
        <f t="shared" si="111"/>
        <v/>
      </c>
      <c r="BD25" s="29"/>
      <c r="BE25" s="32"/>
      <c r="BF25" s="25"/>
      <c r="BG25" s="58"/>
      <c r="BH25" s="143" t="str">
        <f t="shared" si="112"/>
        <v/>
      </c>
      <c r="BI25" s="5"/>
      <c r="BJ25" s="5" t="str">
        <f t="shared" si="113"/>
        <v/>
      </c>
      <c r="BK25" s="58"/>
      <c r="BL25" s="5" t="str">
        <f t="shared" si="114"/>
        <v/>
      </c>
      <c r="BM25" s="59"/>
      <c r="BN25" s="38" t="str">
        <f t="shared" si="115"/>
        <v/>
      </c>
      <c r="BO25" s="5" t="str">
        <f t="shared" si="116"/>
        <v/>
      </c>
      <c r="BP25" s="5" t="str">
        <f t="shared" si="117"/>
        <v/>
      </c>
      <c r="BQ25" s="36" t="str">
        <f t="shared" si="118"/>
        <v/>
      </c>
      <c r="BR25" s="29"/>
      <c r="BT25" s="25"/>
      <c r="BU25" s="58"/>
      <c r="BV25" s="143" t="str">
        <f t="shared" si="119"/>
        <v/>
      </c>
      <c r="BW25" s="5"/>
      <c r="BX25" s="5" t="str">
        <f t="shared" si="120"/>
        <v/>
      </c>
      <c r="BY25" s="58"/>
      <c r="BZ25" s="5" t="str">
        <f t="shared" si="121"/>
        <v/>
      </c>
      <c r="CA25" s="59"/>
      <c r="CB25" s="38" t="str">
        <f t="shared" si="122"/>
        <v/>
      </c>
      <c r="CC25" s="5" t="str">
        <f t="shared" si="123"/>
        <v/>
      </c>
      <c r="CD25" s="5" t="str">
        <f t="shared" si="124"/>
        <v/>
      </c>
      <c r="CE25" s="36" t="str">
        <f t="shared" si="125"/>
        <v/>
      </c>
      <c r="CF25" s="29"/>
      <c r="CH25" s="14"/>
      <c r="CI25" s="39"/>
      <c r="CJ25" s="5" t="str">
        <f>IF(CI25="","",CI25-CI24)</f>
        <v/>
      </c>
      <c r="CK25" s="5"/>
      <c r="CL25" s="5" t="str">
        <f>IF(CK25="","",CK25-CK24)</f>
        <v/>
      </c>
      <c r="CM25" s="5"/>
      <c r="CN25" s="5" t="str">
        <f>IF(CM25="","",CM24+CO24-CM25)</f>
        <v/>
      </c>
      <c r="CO25" s="5"/>
      <c r="CP25" s="5"/>
      <c r="CQ25" s="5"/>
      <c r="CR25" s="5" t="str">
        <f t="shared" si="187"/>
        <v/>
      </c>
      <c r="CS25" s="36" t="str">
        <f t="shared" si="188"/>
        <v/>
      </c>
      <c r="CT25" s="29"/>
      <c r="CV25" s="14"/>
      <c r="CW25" s="39"/>
      <c r="CX25" s="5" t="str">
        <f>IF(CW25="","",CW25-CW24)</f>
        <v/>
      </c>
      <c r="CY25" s="5"/>
      <c r="CZ25" s="5" t="str">
        <f>IF(CY25="","",CY25-CY24)</f>
        <v/>
      </c>
      <c r="DA25" s="5"/>
      <c r="DB25" s="5" t="str">
        <f>IF(DA25="","",DA24+DC24-DA25)</f>
        <v/>
      </c>
      <c r="DC25" s="5"/>
      <c r="DD25" s="5"/>
      <c r="DE25" s="5"/>
      <c r="DF25" s="5" t="str">
        <f t="shared" si="189"/>
        <v/>
      </c>
      <c r="DG25" s="36" t="str">
        <f t="shared" si="190"/>
        <v/>
      </c>
      <c r="DH25" s="29"/>
      <c r="DJ25" s="14"/>
      <c r="DK25" s="39"/>
      <c r="DL25" s="5" t="str">
        <f>IF(DK25="","",DK25-DK24)</f>
        <v/>
      </c>
      <c r="DM25" s="5"/>
      <c r="DN25" s="5" t="str">
        <f>IF(DM25="","",DM25-DM24)</f>
        <v/>
      </c>
      <c r="DO25" s="5"/>
      <c r="DP25" s="5" t="str">
        <f>IF(DO25="","",DO24+DQ24-DO25)</f>
        <v/>
      </c>
      <c r="DQ25" s="5"/>
      <c r="DR25" s="5"/>
      <c r="DS25" s="5"/>
      <c r="DT25" s="5" t="str">
        <f t="shared" si="191"/>
        <v/>
      </c>
      <c r="DU25" s="36" t="str">
        <f t="shared" si="192"/>
        <v/>
      </c>
      <c r="DV25" s="29"/>
      <c r="DX25" s="14"/>
      <c r="DY25" s="39"/>
      <c r="DZ25" s="5" t="str">
        <f>IF(DY25="","",DY25-DY24)</f>
        <v/>
      </c>
      <c r="EA25" s="5"/>
      <c r="EB25" s="5" t="str">
        <f>IF(EA25="","",EA25-EA24)</f>
        <v/>
      </c>
      <c r="EC25" s="5"/>
      <c r="ED25" s="5" t="str">
        <f>IF(EC25="","",EC24+EE24-EC25)</f>
        <v/>
      </c>
      <c r="EE25" s="5"/>
      <c r="EF25" s="5"/>
      <c r="EG25" s="5"/>
      <c r="EH25" s="5" t="str">
        <f t="shared" si="193"/>
        <v/>
      </c>
      <c r="EI25" s="36" t="str">
        <f t="shared" si="194"/>
        <v/>
      </c>
      <c r="EJ25" s="29"/>
      <c r="EL25" s="14"/>
      <c r="EM25" s="39"/>
      <c r="EN25" s="5" t="str">
        <f>IF(EM25="","",EM25-EM24)</f>
        <v/>
      </c>
      <c r="EO25" s="5"/>
      <c r="EP25" s="5" t="str">
        <f>IF(EO25="","",EO25-EO24)</f>
        <v/>
      </c>
      <c r="EQ25" s="5"/>
      <c r="ER25" s="5" t="str">
        <f>IF(EQ25="","",EQ24+ES24-EQ25)</f>
        <v/>
      </c>
      <c r="ES25" s="5"/>
      <c r="ET25" s="5"/>
      <c r="EU25" s="5"/>
      <c r="EV25" s="5" t="str">
        <f t="shared" si="195"/>
        <v/>
      </c>
      <c r="EW25" s="36" t="str">
        <f t="shared" si="196"/>
        <v/>
      </c>
      <c r="EX25" s="29"/>
      <c r="EZ25" s="14"/>
      <c r="FA25" s="39"/>
      <c r="FB25" s="5" t="str">
        <f>IF(FA25="","",FA25-FA24)</f>
        <v/>
      </c>
      <c r="FC25" s="5"/>
      <c r="FD25" s="5" t="str">
        <f>IF(FC25="","",FC25-FC24)</f>
        <v/>
      </c>
      <c r="FE25" s="5"/>
      <c r="FF25" s="5" t="str">
        <f>IF(FE25="","",FE24+FG24-FE25)</f>
        <v/>
      </c>
      <c r="FG25" s="5"/>
      <c r="FH25" s="5"/>
      <c r="FI25" s="5"/>
      <c r="FJ25" s="5" t="str">
        <f t="shared" si="197"/>
        <v/>
      </c>
      <c r="FK25" s="36" t="str">
        <f t="shared" si="198"/>
        <v/>
      </c>
      <c r="FL25" s="29"/>
      <c r="FN25" s="14"/>
      <c r="FO25" s="39"/>
      <c r="FP25" s="5" t="str">
        <f>IF(FO25="","",FO25-FO24)</f>
        <v/>
      </c>
      <c r="FQ25" s="5"/>
      <c r="FR25" s="5" t="str">
        <f>IF(FQ25="","",FQ25-FQ24)</f>
        <v/>
      </c>
      <c r="FS25" s="5"/>
      <c r="FT25" s="5" t="str">
        <f>IF(FS25="","",FS24+FU24-FS25)</f>
        <v/>
      </c>
      <c r="FU25" s="5"/>
      <c r="FV25" s="5"/>
      <c r="FW25" s="5"/>
      <c r="FX25" s="5" t="str">
        <f t="shared" si="199"/>
        <v/>
      </c>
      <c r="FY25" s="36" t="str">
        <f t="shared" si="200"/>
        <v/>
      </c>
      <c r="FZ25" s="29"/>
      <c r="GB25" s="14"/>
      <c r="GC25" s="39"/>
      <c r="GD25" s="5" t="str">
        <f>IF(GC25="","",GC25-GC24)</f>
        <v/>
      </c>
      <c r="GE25" s="5"/>
      <c r="GF25" s="5" t="str">
        <f>IF(GE25="","",GE25-GE24)</f>
        <v/>
      </c>
      <c r="GG25" s="5"/>
      <c r="GH25" s="5" t="str">
        <f>IF(GG25="","",GG24+GI24-GG25)</f>
        <v/>
      </c>
      <c r="GI25" s="5"/>
      <c r="GJ25" s="5"/>
      <c r="GK25" s="5"/>
      <c r="GL25" s="5" t="str">
        <f t="shared" si="201"/>
        <v/>
      </c>
      <c r="GM25" s="36" t="str">
        <f t="shared" si="202"/>
        <v/>
      </c>
      <c r="GN25" s="29"/>
      <c r="GP25" s="14"/>
      <c r="GQ25" s="39"/>
      <c r="GR25" s="5" t="str">
        <f>IF(GQ25="","",GQ25-GQ24)</f>
        <v/>
      </c>
      <c r="GS25" s="5"/>
      <c r="GT25" s="5" t="str">
        <f>IF(GS25="","",GS25-GS24)</f>
        <v/>
      </c>
      <c r="GU25" s="5"/>
      <c r="GV25" s="5" t="str">
        <f>IF(GU25="","",GU25-GU24)</f>
        <v/>
      </c>
      <c r="GW25" s="5"/>
      <c r="GX25" s="5" t="str">
        <f>IF(GW25="","",GW24+GY24-GW25)</f>
        <v/>
      </c>
      <c r="GY25" s="5"/>
      <c r="GZ25" s="2" t="str">
        <f t="shared" si="74"/>
        <v/>
      </c>
      <c r="HA25" s="4" t="str">
        <f t="shared" si="75"/>
        <v/>
      </c>
      <c r="HB25" s="5" t="str">
        <f t="shared" si="76"/>
        <v/>
      </c>
      <c r="HC25" s="36" t="str">
        <f t="shared" si="77"/>
        <v/>
      </c>
      <c r="HD25" s="29"/>
      <c r="HF25" s="14"/>
      <c r="HG25" s="39"/>
      <c r="HH25" s="5" t="str">
        <f>IF(HG25="","",HG25-HG24)</f>
        <v/>
      </c>
      <c r="HI25" s="5"/>
      <c r="HJ25" s="29"/>
      <c r="HL25" s="14"/>
      <c r="HM25" s="39"/>
      <c r="HN25" s="5" t="str">
        <f>IF(HM25="","",HM25-HM24)</f>
        <v/>
      </c>
      <c r="HO25" s="5"/>
      <c r="HP25" s="29"/>
      <c r="HR25" s="14"/>
      <c r="HS25" s="39"/>
      <c r="HT25" s="5" t="str">
        <f>IF(HS25="","",HS25-HS24)</f>
        <v/>
      </c>
      <c r="HU25" s="5"/>
      <c r="HV25" s="29"/>
    </row>
    <row r="26" spans="1:230" ht="15" customHeight="1" thickBot="1" x14ac:dyDescent="0.25">
      <c r="A26" s="60"/>
      <c r="B26" s="73"/>
      <c r="C26" s="44"/>
      <c r="D26" s="144" t="str">
        <f t="shared" si="126"/>
        <v/>
      </c>
      <c r="E26" s="44"/>
      <c r="F26" s="44" t="str">
        <f t="shared" si="127"/>
        <v/>
      </c>
      <c r="G26" s="44"/>
      <c r="H26" s="44" t="str">
        <f t="shared" si="128"/>
        <v/>
      </c>
      <c r="I26" s="62"/>
      <c r="J26" s="47" t="str">
        <f t="shared" si="129"/>
        <v/>
      </c>
      <c r="K26" s="61" t="str">
        <f t="shared" si="130"/>
        <v/>
      </c>
      <c r="L26" s="44" t="str">
        <f t="shared" si="131"/>
        <v/>
      </c>
      <c r="M26" s="46" t="str">
        <f t="shared" si="132"/>
        <v/>
      </c>
      <c r="N26" s="29"/>
      <c r="P26" s="60"/>
      <c r="Q26" s="44"/>
      <c r="R26" s="144" t="str">
        <f t="shared" si="91"/>
        <v/>
      </c>
      <c r="S26" s="44"/>
      <c r="T26" s="44" t="str">
        <f t="shared" si="92"/>
        <v/>
      </c>
      <c r="U26" s="44"/>
      <c r="V26" s="44" t="str">
        <f t="shared" si="93"/>
        <v/>
      </c>
      <c r="W26" s="62"/>
      <c r="X26" s="47" t="str">
        <f t="shared" si="94"/>
        <v/>
      </c>
      <c r="Y26" s="61" t="str">
        <f t="shared" si="95"/>
        <v/>
      </c>
      <c r="Z26" s="44" t="str">
        <f t="shared" si="96"/>
        <v/>
      </c>
      <c r="AA26" s="46" t="str">
        <f t="shared" si="97"/>
        <v/>
      </c>
      <c r="AB26" s="29"/>
      <c r="AD26" s="60"/>
      <c r="AE26" s="44"/>
      <c r="AF26" s="144" t="str">
        <f t="shared" si="98"/>
        <v/>
      </c>
      <c r="AG26" s="44"/>
      <c r="AH26" s="44" t="str">
        <f t="shared" si="99"/>
        <v/>
      </c>
      <c r="AI26" s="44"/>
      <c r="AJ26" s="44" t="str">
        <f t="shared" si="100"/>
        <v/>
      </c>
      <c r="AK26" s="62"/>
      <c r="AL26" s="47" t="str">
        <f t="shared" si="101"/>
        <v/>
      </c>
      <c r="AM26" s="61" t="str">
        <f t="shared" si="102"/>
        <v/>
      </c>
      <c r="AN26" s="44" t="str">
        <f t="shared" si="103"/>
        <v/>
      </c>
      <c r="AO26" s="46" t="str">
        <f t="shared" si="104"/>
        <v/>
      </c>
      <c r="AP26" s="29"/>
      <c r="AR26" s="60"/>
      <c r="AS26" s="44"/>
      <c r="AT26" s="144" t="str">
        <f t="shared" si="105"/>
        <v/>
      </c>
      <c r="AU26" s="44"/>
      <c r="AV26" s="44" t="str">
        <f t="shared" si="106"/>
        <v/>
      </c>
      <c r="AW26" s="44"/>
      <c r="AX26" s="44" t="str">
        <f t="shared" si="107"/>
        <v/>
      </c>
      <c r="AY26" s="62"/>
      <c r="AZ26" s="47" t="str">
        <f t="shared" si="133"/>
        <v/>
      </c>
      <c r="BA26" s="61" t="str">
        <f t="shared" si="109"/>
        <v/>
      </c>
      <c r="BB26" s="44" t="str">
        <f t="shared" si="110"/>
        <v/>
      </c>
      <c r="BC26" s="46" t="str">
        <f t="shared" si="111"/>
        <v/>
      </c>
      <c r="BD26" s="29"/>
      <c r="BE26" s="32"/>
      <c r="BF26" s="41"/>
      <c r="BG26" s="44"/>
      <c r="BH26" s="144" t="str">
        <f t="shared" si="112"/>
        <v/>
      </c>
      <c r="BI26" s="44"/>
      <c r="BJ26" s="44" t="str">
        <f t="shared" si="113"/>
        <v/>
      </c>
      <c r="BK26" s="44"/>
      <c r="BL26" s="44" t="str">
        <f t="shared" si="114"/>
        <v/>
      </c>
      <c r="BM26" s="62"/>
      <c r="BN26" s="47" t="str">
        <f t="shared" si="115"/>
        <v/>
      </c>
      <c r="BO26" s="61" t="str">
        <f t="shared" si="116"/>
        <v/>
      </c>
      <c r="BP26" s="44" t="str">
        <f t="shared" si="117"/>
        <v/>
      </c>
      <c r="BQ26" s="46" t="str">
        <f t="shared" si="118"/>
        <v/>
      </c>
      <c r="BR26" s="29"/>
      <c r="BT26" s="41"/>
      <c r="BU26" s="44"/>
      <c r="BV26" s="144" t="str">
        <f t="shared" si="119"/>
        <v/>
      </c>
      <c r="BW26" s="44"/>
      <c r="BX26" s="44" t="str">
        <f t="shared" si="120"/>
        <v/>
      </c>
      <c r="BY26" s="44"/>
      <c r="BZ26" s="44" t="str">
        <f t="shared" si="121"/>
        <v/>
      </c>
      <c r="CA26" s="62"/>
      <c r="CB26" s="47" t="str">
        <f t="shared" si="122"/>
        <v/>
      </c>
      <c r="CC26" s="61" t="str">
        <f t="shared" si="123"/>
        <v/>
      </c>
      <c r="CD26" s="44" t="str">
        <f t="shared" si="124"/>
        <v/>
      </c>
      <c r="CE26" s="46" t="str">
        <f t="shared" si="125"/>
        <v/>
      </c>
      <c r="CF26" s="29"/>
      <c r="CH26" s="14"/>
      <c r="CI26" s="39"/>
      <c r="CJ26" s="5" t="str">
        <f>IF(CI26="","",CI26-CI25)</f>
        <v/>
      </c>
      <c r="CK26" s="5"/>
      <c r="CL26" s="5"/>
      <c r="CM26" s="5"/>
      <c r="CN26" s="5" t="str">
        <f>IF(CM26="","",CM25+CO25-CM26)</f>
        <v/>
      </c>
      <c r="CO26" s="5"/>
      <c r="CP26" s="5"/>
      <c r="CQ26" s="5"/>
      <c r="CR26" s="5" t="str">
        <f t="shared" si="187"/>
        <v/>
      </c>
      <c r="CS26" s="36" t="str">
        <f t="shared" si="188"/>
        <v/>
      </c>
      <c r="CT26" s="29"/>
      <c r="CV26" s="14"/>
      <c r="CW26" s="39"/>
      <c r="CX26" s="5" t="str">
        <f>IF(CW26="","",CW26-CW25)</f>
        <v/>
      </c>
      <c r="CY26" s="5"/>
      <c r="CZ26" s="5"/>
      <c r="DA26" s="5"/>
      <c r="DB26" s="5" t="str">
        <f>IF(DA26="","",DA25+DC25-DA26)</f>
        <v/>
      </c>
      <c r="DC26" s="5"/>
      <c r="DD26" s="5"/>
      <c r="DE26" s="5"/>
      <c r="DF26" s="5" t="str">
        <f t="shared" si="189"/>
        <v/>
      </c>
      <c r="DG26" s="36" t="str">
        <f t="shared" si="190"/>
        <v/>
      </c>
      <c r="DH26" s="29"/>
      <c r="DJ26" s="14"/>
      <c r="DK26" s="39"/>
      <c r="DL26" s="5" t="str">
        <f>IF(DK26="","",DK26-DK25)</f>
        <v/>
      </c>
      <c r="DM26" s="5"/>
      <c r="DN26" s="5"/>
      <c r="DO26" s="5"/>
      <c r="DP26" s="5" t="str">
        <f>IF(DO26="","",DO25+DQ25-DO26)</f>
        <v/>
      </c>
      <c r="DQ26" s="5"/>
      <c r="DR26" s="5"/>
      <c r="DS26" s="5"/>
      <c r="DT26" s="5" t="str">
        <f t="shared" si="191"/>
        <v/>
      </c>
      <c r="DU26" s="36" t="str">
        <f t="shared" si="192"/>
        <v/>
      </c>
      <c r="DV26" s="29"/>
      <c r="DX26" s="14"/>
      <c r="DY26" s="39"/>
      <c r="DZ26" s="5" t="str">
        <f>IF(DY26="","",DY26-DY25)</f>
        <v/>
      </c>
      <c r="EA26" s="5"/>
      <c r="EB26" s="5"/>
      <c r="EC26" s="5"/>
      <c r="ED26" s="5" t="str">
        <f>IF(EC26="","",EC25+EE25-EC26)</f>
        <v/>
      </c>
      <c r="EE26" s="5"/>
      <c r="EF26" s="5"/>
      <c r="EG26" s="5"/>
      <c r="EH26" s="5" t="str">
        <f t="shared" si="193"/>
        <v/>
      </c>
      <c r="EI26" s="36" t="str">
        <f t="shared" si="194"/>
        <v/>
      </c>
      <c r="EJ26" s="29"/>
      <c r="EL26" s="14"/>
      <c r="EM26" s="39"/>
      <c r="EN26" s="5" t="str">
        <f>IF(EM26="","",EM26-EM25)</f>
        <v/>
      </c>
      <c r="EO26" s="5"/>
      <c r="EP26" s="5"/>
      <c r="EQ26" s="5"/>
      <c r="ER26" s="5" t="str">
        <f>IF(EQ26="","",EQ25+ES25-EQ26)</f>
        <v/>
      </c>
      <c r="ES26" s="5"/>
      <c r="ET26" s="5"/>
      <c r="EU26" s="5"/>
      <c r="EV26" s="5" t="str">
        <f t="shared" si="195"/>
        <v/>
      </c>
      <c r="EW26" s="36" t="str">
        <f t="shared" si="196"/>
        <v/>
      </c>
      <c r="EX26" s="29"/>
      <c r="EZ26" s="14"/>
      <c r="FA26" s="39"/>
      <c r="FB26" s="5" t="str">
        <f>IF(FA26="","",FA26-FA25)</f>
        <v/>
      </c>
      <c r="FC26" s="5"/>
      <c r="FD26" s="5"/>
      <c r="FE26" s="5"/>
      <c r="FF26" s="5" t="str">
        <f>IF(FE26="","",FE25+FG25-FE26)</f>
        <v/>
      </c>
      <c r="FG26" s="5"/>
      <c r="FH26" s="5"/>
      <c r="FI26" s="5"/>
      <c r="FJ26" s="5" t="str">
        <f t="shared" si="197"/>
        <v/>
      </c>
      <c r="FK26" s="36" t="str">
        <f t="shared" si="198"/>
        <v/>
      </c>
      <c r="FL26" s="29"/>
      <c r="FN26" s="14"/>
      <c r="FO26" s="39"/>
      <c r="FP26" s="5" t="str">
        <f>IF(FO26="","",FO26-FO25)</f>
        <v/>
      </c>
      <c r="FQ26" s="5"/>
      <c r="FR26" s="5"/>
      <c r="FS26" s="5"/>
      <c r="FT26" s="5" t="str">
        <f>IF(FS26="","",FS25+FU25-FS26)</f>
        <v/>
      </c>
      <c r="FU26" s="5"/>
      <c r="FV26" s="5"/>
      <c r="FW26" s="5"/>
      <c r="FX26" s="5" t="str">
        <f t="shared" si="199"/>
        <v/>
      </c>
      <c r="FY26" s="36" t="str">
        <f t="shared" si="200"/>
        <v/>
      </c>
      <c r="FZ26" s="29"/>
      <c r="GB26" s="14"/>
      <c r="GC26" s="39"/>
      <c r="GD26" s="5" t="str">
        <f>IF(GC26="","",GC26-GC25)</f>
        <v/>
      </c>
      <c r="GE26" s="5"/>
      <c r="GF26" s="5"/>
      <c r="GG26" s="5"/>
      <c r="GH26" s="5" t="str">
        <f>IF(GG26="","",GG25+GI25-GG26)</f>
        <v/>
      </c>
      <c r="GI26" s="5"/>
      <c r="GJ26" s="5"/>
      <c r="GK26" s="5"/>
      <c r="GL26" s="5" t="str">
        <f t="shared" si="201"/>
        <v/>
      </c>
      <c r="GM26" s="36" t="str">
        <f t="shared" si="202"/>
        <v/>
      </c>
      <c r="GN26" s="29"/>
      <c r="GP26" s="14"/>
      <c r="GQ26" s="39"/>
      <c r="GR26" s="5" t="str">
        <f>IF(GQ26="","",GQ26-GQ25)</f>
        <v/>
      </c>
      <c r="GS26" s="5"/>
      <c r="GT26" s="5" t="str">
        <f>IF(GS26="","",GS26-GS25)</f>
        <v/>
      </c>
      <c r="GU26" s="5"/>
      <c r="GV26" s="5"/>
      <c r="GW26" s="5"/>
      <c r="GX26" s="5" t="str">
        <f>IF(GW26="","",GW25+GY25-GW26)</f>
        <v/>
      </c>
      <c r="GY26" s="5"/>
      <c r="GZ26" s="2" t="str">
        <f t="shared" si="74"/>
        <v/>
      </c>
      <c r="HA26" s="4" t="str">
        <f t="shared" si="75"/>
        <v/>
      </c>
      <c r="HB26" s="5" t="str">
        <f t="shared" si="76"/>
        <v/>
      </c>
      <c r="HC26" s="36" t="str">
        <f t="shared" si="77"/>
        <v/>
      </c>
      <c r="HD26" s="29"/>
      <c r="HF26" s="14"/>
      <c r="HG26" s="39"/>
      <c r="HH26" s="5" t="str">
        <f>IF(HG26="","",HG26-HG25)</f>
        <v/>
      </c>
      <c r="HI26" s="5"/>
      <c r="HJ26" s="29"/>
      <c r="HL26" s="14"/>
      <c r="HM26" s="39"/>
      <c r="HN26" s="5" t="str">
        <f>IF(HM26="","",HM26-HM25)</f>
        <v/>
      </c>
      <c r="HO26" s="5"/>
      <c r="HP26" s="29"/>
      <c r="HR26" s="14"/>
      <c r="HS26" s="39"/>
      <c r="HT26" s="5" t="str">
        <f>IF(HS26="","",HS26-HS25)</f>
        <v/>
      </c>
      <c r="HU26" s="5"/>
      <c r="HV26" s="29"/>
    </row>
    <row r="27" spans="1:230" ht="15" customHeight="1" thickTop="1" x14ac:dyDescent="0.2">
      <c r="A27" s="49"/>
      <c r="B27" s="26">
        <f>SUM(D27:D30)+SUM(R27:R30)+SUM(AF27:AF30)+SUM(AT27:AT30)+SUM(CJ9,CX9,DL9,DZ9,EN9,FB9,FP9,GD9,GR9,HH9,HN9,HT9)+SUM(BH27:BH30)+SUM(BV27:BV28)</f>
        <v>0</v>
      </c>
      <c r="C27" s="4"/>
      <c r="D27" s="145" t="str">
        <f t="shared" si="126"/>
        <v/>
      </c>
      <c r="E27" s="4"/>
      <c r="F27" s="50" t="str">
        <f t="shared" si="127"/>
        <v/>
      </c>
      <c r="G27" s="4"/>
      <c r="H27" s="4" t="str">
        <f t="shared" si="128"/>
        <v/>
      </c>
      <c r="I27" s="51"/>
      <c r="J27" s="31" t="str">
        <f t="shared" si="129"/>
        <v/>
      </c>
      <c r="K27" s="27" t="str">
        <f t="shared" si="130"/>
        <v/>
      </c>
      <c r="L27" s="50" t="str">
        <f t="shared" si="131"/>
        <v/>
      </c>
      <c r="M27" s="52" t="str">
        <f t="shared" si="132"/>
        <v/>
      </c>
      <c r="N27" s="29"/>
      <c r="P27" s="53" t="str">
        <f>IF($A27="","",$A27)</f>
        <v/>
      </c>
      <c r="Q27" s="4"/>
      <c r="R27" s="145" t="str">
        <f t="shared" si="91"/>
        <v/>
      </c>
      <c r="S27" s="4"/>
      <c r="T27" s="50" t="str">
        <f t="shared" si="92"/>
        <v/>
      </c>
      <c r="U27" s="4"/>
      <c r="V27" s="4" t="str">
        <f t="shared" si="93"/>
        <v/>
      </c>
      <c r="W27" s="51"/>
      <c r="X27" s="31" t="str">
        <f t="shared" si="94"/>
        <v/>
      </c>
      <c r="Y27" s="27" t="str">
        <f t="shared" si="95"/>
        <v/>
      </c>
      <c r="Z27" s="50" t="str">
        <f t="shared" si="96"/>
        <v/>
      </c>
      <c r="AA27" s="52" t="str">
        <f t="shared" si="97"/>
        <v/>
      </c>
      <c r="AB27" s="29"/>
      <c r="AD27" s="53" t="str">
        <f>IF($A27="","",$A27)</f>
        <v/>
      </c>
      <c r="AE27" s="4"/>
      <c r="AF27" s="145" t="str">
        <f t="shared" si="98"/>
        <v/>
      </c>
      <c r="AG27" s="4"/>
      <c r="AH27" s="50" t="str">
        <f t="shared" si="99"/>
        <v/>
      </c>
      <c r="AI27" s="4"/>
      <c r="AJ27" s="4" t="str">
        <f t="shared" si="100"/>
        <v/>
      </c>
      <c r="AK27" s="51"/>
      <c r="AL27" s="31" t="str">
        <f t="shared" si="101"/>
        <v/>
      </c>
      <c r="AM27" s="27" t="str">
        <f t="shared" si="102"/>
        <v/>
      </c>
      <c r="AN27" s="50" t="str">
        <f t="shared" si="103"/>
        <v/>
      </c>
      <c r="AO27" s="52" t="str">
        <f t="shared" si="104"/>
        <v/>
      </c>
      <c r="AP27" s="29"/>
      <c r="AR27" s="53" t="str">
        <f>IF($A27="","",$A27)</f>
        <v/>
      </c>
      <c r="AS27" s="4"/>
      <c r="AT27" s="145" t="str">
        <f t="shared" si="105"/>
        <v/>
      </c>
      <c r="AU27" s="4"/>
      <c r="AV27" s="50" t="str">
        <f t="shared" si="106"/>
        <v/>
      </c>
      <c r="AW27" s="4"/>
      <c r="AX27" s="4" t="str">
        <f t="shared" si="107"/>
        <v/>
      </c>
      <c r="AY27" s="51"/>
      <c r="AZ27" s="31" t="str">
        <f t="shared" si="133"/>
        <v/>
      </c>
      <c r="BA27" s="27" t="str">
        <f t="shared" si="109"/>
        <v/>
      </c>
      <c r="BB27" s="50" t="str">
        <f t="shared" si="110"/>
        <v/>
      </c>
      <c r="BC27" s="52" t="str">
        <f t="shared" si="111"/>
        <v/>
      </c>
      <c r="BD27" s="29"/>
      <c r="BE27" s="32"/>
      <c r="BF27" s="33" t="str">
        <f>IF($A27="","",$A27)</f>
        <v/>
      </c>
      <c r="BG27" s="4"/>
      <c r="BH27" s="145" t="str">
        <f t="shared" si="112"/>
        <v/>
      </c>
      <c r="BI27" s="4"/>
      <c r="BJ27" s="50" t="str">
        <f t="shared" si="113"/>
        <v/>
      </c>
      <c r="BK27" s="4"/>
      <c r="BL27" s="4" t="str">
        <f t="shared" si="114"/>
        <v/>
      </c>
      <c r="BM27" s="51"/>
      <c r="BN27" s="31" t="str">
        <f t="shared" si="115"/>
        <v/>
      </c>
      <c r="BO27" s="27" t="str">
        <f t="shared" si="116"/>
        <v/>
      </c>
      <c r="BP27" s="50" t="str">
        <f t="shared" si="117"/>
        <v/>
      </c>
      <c r="BQ27" s="52" t="str">
        <f t="shared" si="118"/>
        <v/>
      </c>
      <c r="BR27" s="29"/>
      <c r="BT27" s="33" t="str">
        <f>IF($A27="","",$A27)</f>
        <v/>
      </c>
      <c r="BU27" s="4"/>
      <c r="BV27" s="145" t="str">
        <f t="shared" si="119"/>
        <v/>
      </c>
      <c r="BW27" s="4"/>
      <c r="BX27" s="50" t="str">
        <f t="shared" si="120"/>
        <v/>
      </c>
      <c r="BY27" s="4"/>
      <c r="BZ27" s="4" t="str">
        <f t="shared" si="121"/>
        <v/>
      </c>
      <c r="CA27" s="51"/>
      <c r="CB27" s="31" t="str">
        <f t="shared" si="122"/>
        <v/>
      </c>
      <c r="CC27" s="27" t="str">
        <f t="shared" si="123"/>
        <v/>
      </c>
      <c r="CD27" s="50" t="str">
        <f t="shared" si="124"/>
        <v/>
      </c>
      <c r="CE27" s="52" t="str">
        <f t="shared" si="125"/>
        <v/>
      </c>
      <c r="CF27" s="29"/>
      <c r="CH27" s="14"/>
      <c r="CI27" s="5"/>
      <c r="CJ27" s="5" t="str">
        <f>IF(CI27="","",CI27-CI28)</f>
        <v/>
      </c>
      <c r="CK27" s="5"/>
      <c r="CL27" s="5" t="str">
        <f>IF(CK27="","",CK27-CK28)</f>
        <v/>
      </c>
      <c r="CM27" s="5"/>
      <c r="CN27" s="5" t="str">
        <f>IF(CM27="","",CM28+CO28-CM27)</f>
        <v/>
      </c>
      <c r="CO27" s="5"/>
      <c r="CP27" s="5"/>
      <c r="CQ27" s="5"/>
      <c r="CR27" s="5" t="str">
        <f t="shared" si="187"/>
        <v/>
      </c>
      <c r="CS27" s="36" t="str">
        <f t="shared" si="188"/>
        <v/>
      </c>
      <c r="CT27" s="29"/>
      <c r="CV27" s="14"/>
      <c r="CW27" s="5"/>
      <c r="CX27" s="5" t="str">
        <f>IF(CW27="","",CW27-CW28)</f>
        <v/>
      </c>
      <c r="CY27" s="5"/>
      <c r="CZ27" s="5" t="str">
        <f>IF(CY27="","",CY27-CY28)</f>
        <v/>
      </c>
      <c r="DA27" s="5"/>
      <c r="DB27" s="5" t="str">
        <f>IF(DA27="","",DA28+DC28-DA27)</f>
        <v/>
      </c>
      <c r="DC27" s="5"/>
      <c r="DD27" s="5"/>
      <c r="DE27" s="5"/>
      <c r="DF27" s="5" t="str">
        <f t="shared" si="189"/>
        <v/>
      </c>
      <c r="DG27" s="36" t="str">
        <f t="shared" si="190"/>
        <v/>
      </c>
      <c r="DH27" s="29"/>
      <c r="DJ27" s="14"/>
      <c r="DK27" s="5"/>
      <c r="DL27" s="5" t="str">
        <f>IF(DK27="","",DK27-DK28)</f>
        <v/>
      </c>
      <c r="DM27" s="5"/>
      <c r="DN27" s="5" t="str">
        <f>IF(DM27="","",DM27-DM28)</f>
        <v/>
      </c>
      <c r="DO27" s="5"/>
      <c r="DP27" s="5" t="str">
        <f>IF(DO27="","",DO28+DQ28-DO27)</f>
        <v/>
      </c>
      <c r="DQ27" s="5"/>
      <c r="DR27" s="5"/>
      <c r="DS27" s="5"/>
      <c r="DT27" s="5" t="str">
        <f t="shared" si="191"/>
        <v/>
      </c>
      <c r="DU27" s="36" t="str">
        <f t="shared" si="192"/>
        <v/>
      </c>
      <c r="DV27" s="29"/>
      <c r="DX27" s="14"/>
      <c r="DY27" s="5"/>
      <c r="DZ27" s="5" t="str">
        <f>IF(DY27="","",DY27-DY28)</f>
        <v/>
      </c>
      <c r="EA27" s="5"/>
      <c r="EB27" s="5" t="str">
        <f>IF(EA27="","",EA27-EA28)</f>
        <v/>
      </c>
      <c r="EC27" s="5"/>
      <c r="ED27" s="5" t="str">
        <f>IF(EC27="","",EC28+EE28-EC27)</f>
        <v/>
      </c>
      <c r="EE27" s="5"/>
      <c r="EF27" s="5"/>
      <c r="EG27" s="5"/>
      <c r="EH27" s="5" t="str">
        <f t="shared" si="193"/>
        <v/>
      </c>
      <c r="EI27" s="36" t="str">
        <f t="shared" si="194"/>
        <v/>
      </c>
      <c r="EJ27" s="29"/>
      <c r="EL27" s="14"/>
      <c r="EM27" s="5"/>
      <c r="EN27" s="5" t="str">
        <f>IF(EM27="","",EM27-EM28)</f>
        <v/>
      </c>
      <c r="EO27" s="5"/>
      <c r="EP27" s="5" t="str">
        <f>IF(EO27="","",EO27-EO28)</f>
        <v/>
      </c>
      <c r="EQ27" s="5"/>
      <c r="ER27" s="5" t="str">
        <f>IF(EQ27="","",EQ28+ES28-EQ27)</f>
        <v/>
      </c>
      <c r="ES27" s="5"/>
      <c r="ET27" s="5"/>
      <c r="EU27" s="5"/>
      <c r="EV27" s="5" t="str">
        <f t="shared" si="195"/>
        <v/>
      </c>
      <c r="EW27" s="36" t="str">
        <f t="shared" si="196"/>
        <v/>
      </c>
      <c r="EX27" s="29"/>
      <c r="EZ27" s="14"/>
      <c r="FA27" s="5"/>
      <c r="FB27" s="5" t="str">
        <f>IF(FA27="","",FA27-FA28)</f>
        <v/>
      </c>
      <c r="FC27" s="5"/>
      <c r="FD27" s="5" t="str">
        <f>IF(FC27="","",FC27-FC28)</f>
        <v/>
      </c>
      <c r="FE27" s="5"/>
      <c r="FF27" s="5" t="str">
        <f>IF(FE27="","",FE28+FG28-FE27)</f>
        <v/>
      </c>
      <c r="FG27" s="5"/>
      <c r="FH27" s="5"/>
      <c r="FI27" s="5"/>
      <c r="FJ27" s="5" t="str">
        <f t="shared" si="197"/>
        <v/>
      </c>
      <c r="FK27" s="36" t="str">
        <f t="shared" si="198"/>
        <v/>
      </c>
      <c r="FL27" s="29"/>
      <c r="FN27" s="14"/>
      <c r="FO27" s="5"/>
      <c r="FP27" s="5" t="str">
        <f>IF(FO27="","",FO27-FO28)</f>
        <v/>
      </c>
      <c r="FQ27" s="5"/>
      <c r="FR27" s="5" t="str">
        <f>IF(FQ27="","",FQ27-FQ28)</f>
        <v/>
      </c>
      <c r="FS27" s="5"/>
      <c r="FT27" s="5" t="str">
        <f>IF(FS27="","",FS28+FU28-FS27)</f>
        <v/>
      </c>
      <c r="FU27" s="5"/>
      <c r="FV27" s="5"/>
      <c r="FW27" s="5"/>
      <c r="FX27" s="5" t="str">
        <f t="shared" si="199"/>
        <v/>
      </c>
      <c r="FY27" s="36" t="str">
        <f t="shared" si="200"/>
        <v/>
      </c>
      <c r="FZ27" s="29"/>
      <c r="GB27" s="14"/>
      <c r="GC27" s="5"/>
      <c r="GD27" s="5" t="str">
        <f>IF(GC27="","",GC27-GC28)</f>
        <v/>
      </c>
      <c r="GE27" s="5"/>
      <c r="GF27" s="5" t="str">
        <f>IF(GE27="","",GE27-GE28)</f>
        <v/>
      </c>
      <c r="GG27" s="5"/>
      <c r="GH27" s="5" t="str">
        <f>IF(GG27="","",GG28+GI28-GG27)</f>
        <v/>
      </c>
      <c r="GI27" s="5"/>
      <c r="GJ27" s="5"/>
      <c r="GK27" s="5"/>
      <c r="GL27" s="5" t="str">
        <f t="shared" si="201"/>
        <v/>
      </c>
      <c r="GM27" s="36" t="str">
        <f t="shared" si="202"/>
        <v/>
      </c>
      <c r="GN27" s="29"/>
      <c r="GP27" s="14"/>
      <c r="GQ27" s="5"/>
      <c r="GR27" s="5" t="str">
        <f>IF(GQ27="","",GQ27-GQ28)</f>
        <v/>
      </c>
      <c r="GS27" s="5"/>
      <c r="GT27" s="5" t="str">
        <f>IF(GS27="","",GS27-GS28)</f>
        <v/>
      </c>
      <c r="GU27" s="5"/>
      <c r="GV27" s="5" t="str">
        <f>IF(GU27="","",GU27-GU28)</f>
        <v/>
      </c>
      <c r="GW27" s="5"/>
      <c r="GX27" s="5" t="str">
        <f>IF(GW27="","",GW28+GY28-GW27)</f>
        <v/>
      </c>
      <c r="GY27" s="5"/>
      <c r="GZ27" s="2" t="str">
        <f t="shared" si="74"/>
        <v/>
      </c>
      <c r="HA27" s="4" t="str">
        <f t="shared" si="75"/>
        <v/>
      </c>
      <c r="HB27" s="5" t="str">
        <f t="shared" si="76"/>
        <v/>
      </c>
      <c r="HC27" s="36" t="str">
        <f t="shared" si="77"/>
        <v/>
      </c>
      <c r="HD27" s="29"/>
      <c r="HF27" s="14"/>
      <c r="HG27" s="5"/>
      <c r="HH27" s="5" t="str">
        <f>IF(HG27="","",HG27-HG28)</f>
        <v/>
      </c>
      <c r="HI27" s="5"/>
      <c r="HJ27" s="29"/>
      <c r="HL27" s="14"/>
      <c r="HM27" s="5"/>
      <c r="HN27" s="5" t="str">
        <f>IF(HM27="","",HM27-HM28)</f>
        <v/>
      </c>
      <c r="HO27" s="5"/>
      <c r="HP27" s="29"/>
      <c r="HR27" s="14"/>
      <c r="HS27" s="5"/>
      <c r="HT27" s="5" t="str">
        <f>IF(HS27="","",HS27-HS28)</f>
        <v/>
      </c>
      <c r="HU27" s="5"/>
      <c r="HV27" s="29"/>
    </row>
    <row r="28" spans="1:230" ht="15" customHeight="1" x14ac:dyDescent="0.2">
      <c r="A28" s="49"/>
      <c r="B28" s="26"/>
      <c r="C28" s="4"/>
      <c r="D28" s="143" t="str">
        <f t="shared" si="126"/>
        <v/>
      </c>
      <c r="E28" s="5"/>
      <c r="F28" s="5" t="str">
        <f t="shared" si="127"/>
        <v/>
      </c>
      <c r="G28" s="5"/>
      <c r="H28" s="5" t="str">
        <f t="shared" si="128"/>
        <v/>
      </c>
      <c r="I28" s="35"/>
      <c r="J28" s="38" t="str">
        <f t="shared" si="129"/>
        <v/>
      </c>
      <c r="K28" s="39" t="str">
        <f t="shared" si="130"/>
        <v/>
      </c>
      <c r="L28" s="5" t="str">
        <f t="shared" si="131"/>
        <v/>
      </c>
      <c r="M28" s="36" t="str">
        <f t="shared" si="132"/>
        <v/>
      </c>
      <c r="N28" s="29"/>
      <c r="P28" s="49"/>
      <c r="Q28" s="4"/>
      <c r="R28" s="143" t="str">
        <f t="shared" si="91"/>
        <v/>
      </c>
      <c r="S28" s="5"/>
      <c r="T28" s="5" t="str">
        <f t="shared" si="92"/>
        <v/>
      </c>
      <c r="U28" s="5"/>
      <c r="V28" s="5" t="str">
        <f t="shared" si="93"/>
        <v/>
      </c>
      <c r="W28" s="35"/>
      <c r="X28" s="38" t="str">
        <f t="shared" si="94"/>
        <v/>
      </c>
      <c r="Y28" s="39" t="str">
        <f t="shared" si="95"/>
        <v/>
      </c>
      <c r="Z28" s="5" t="str">
        <f t="shared" si="96"/>
        <v/>
      </c>
      <c r="AA28" s="36" t="str">
        <f t="shared" si="97"/>
        <v/>
      </c>
      <c r="AB28" s="29"/>
      <c r="AD28" s="49"/>
      <c r="AE28" s="4"/>
      <c r="AF28" s="143" t="str">
        <f t="shared" si="98"/>
        <v/>
      </c>
      <c r="AG28" s="5"/>
      <c r="AH28" s="5" t="str">
        <f t="shared" si="99"/>
        <v/>
      </c>
      <c r="AI28" s="5"/>
      <c r="AJ28" s="5" t="str">
        <f t="shared" si="100"/>
        <v/>
      </c>
      <c r="AK28" s="35"/>
      <c r="AL28" s="38" t="str">
        <f t="shared" si="101"/>
        <v/>
      </c>
      <c r="AM28" s="39" t="str">
        <f t="shared" si="102"/>
        <v/>
      </c>
      <c r="AN28" s="5" t="str">
        <f t="shared" si="103"/>
        <v/>
      </c>
      <c r="AO28" s="36" t="str">
        <f t="shared" si="104"/>
        <v/>
      </c>
      <c r="AP28" s="29"/>
      <c r="AR28" s="49"/>
      <c r="AS28" s="4"/>
      <c r="AT28" s="143" t="str">
        <f t="shared" si="105"/>
        <v/>
      </c>
      <c r="AU28" s="5"/>
      <c r="AV28" s="5" t="str">
        <f t="shared" si="106"/>
        <v/>
      </c>
      <c r="AW28" s="5"/>
      <c r="AX28" s="5" t="str">
        <f t="shared" si="107"/>
        <v/>
      </c>
      <c r="AY28" s="35"/>
      <c r="AZ28" s="38" t="str">
        <f t="shared" si="133"/>
        <v/>
      </c>
      <c r="BA28" s="39" t="str">
        <f t="shared" si="109"/>
        <v/>
      </c>
      <c r="BB28" s="5" t="str">
        <f t="shared" si="110"/>
        <v/>
      </c>
      <c r="BC28" s="36" t="str">
        <f t="shared" si="111"/>
        <v/>
      </c>
      <c r="BD28" s="29"/>
      <c r="BE28" s="32"/>
      <c r="BF28" s="33"/>
      <c r="BG28" s="4"/>
      <c r="BH28" s="143" t="str">
        <f t="shared" si="112"/>
        <v/>
      </c>
      <c r="BI28" s="5"/>
      <c r="BJ28" s="5" t="str">
        <f t="shared" si="113"/>
        <v/>
      </c>
      <c r="BK28" s="5"/>
      <c r="BL28" s="5" t="str">
        <f t="shared" si="114"/>
        <v/>
      </c>
      <c r="BM28" s="35"/>
      <c r="BN28" s="38" t="str">
        <f t="shared" si="115"/>
        <v/>
      </c>
      <c r="BO28" s="39" t="str">
        <f t="shared" si="116"/>
        <v/>
      </c>
      <c r="BP28" s="5" t="str">
        <f t="shared" si="117"/>
        <v/>
      </c>
      <c r="BQ28" s="36" t="str">
        <f t="shared" si="118"/>
        <v/>
      </c>
      <c r="BR28" s="29"/>
      <c r="BT28" s="33"/>
      <c r="BU28" s="4"/>
      <c r="BV28" s="143" t="str">
        <f t="shared" si="119"/>
        <v/>
      </c>
      <c r="BW28" s="5"/>
      <c r="BX28" s="5" t="str">
        <f t="shared" si="120"/>
        <v/>
      </c>
      <c r="BY28" s="5"/>
      <c r="BZ28" s="5" t="str">
        <f t="shared" si="121"/>
        <v/>
      </c>
      <c r="CA28" s="35"/>
      <c r="CB28" s="38" t="str">
        <f t="shared" si="122"/>
        <v/>
      </c>
      <c r="CC28" s="39" t="str">
        <f t="shared" si="123"/>
        <v/>
      </c>
      <c r="CD28" s="5" t="str">
        <f t="shared" si="124"/>
        <v/>
      </c>
      <c r="CE28" s="36" t="str">
        <f t="shared" si="125"/>
        <v/>
      </c>
      <c r="CF28" s="29"/>
      <c r="CH28" s="14"/>
      <c r="CI28" s="5"/>
      <c r="CJ28" s="5" t="str">
        <f>IF(CI28="","",CI28-CI26)</f>
        <v/>
      </c>
      <c r="CK28" s="5"/>
      <c r="CL28" s="5" t="str">
        <f>IF(CK28="","",CK28-CK26)</f>
        <v/>
      </c>
      <c r="CM28" s="5"/>
      <c r="CN28" s="5" t="str">
        <f>IF(CM28="","",CM26+CO26-CM28)</f>
        <v/>
      </c>
      <c r="CO28" s="5"/>
      <c r="CP28" s="5"/>
      <c r="CQ28" s="5"/>
      <c r="CR28" s="5" t="str">
        <f t="shared" si="187"/>
        <v/>
      </c>
      <c r="CS28" s="36" t="str">
        <f t="shared" si="188"/>
        <v/>
      </c>
      <c r="CT28" s="29"/>
      <c r="CV28" s="14"/>
      <c r="CW28" s="5"/>
      <c r="CX28" s="5" t="str">
        <f>IF(CW28="","",CW28-CW26)</f>
        <v/>
      </c>
      <c r="CY28" s="5"/>
      <c r="CZ28" s="5" t="str">
        <f>IF(CY28="","",CY28-CY26)</f>
        <v/>
      </c>
      <c r="DA28" s="5"/>
      <c r="DB28" s="5" t="str">
        <f>IF(DA28="","",DA26+DC26-DA28)</f>
        <v/>
      </c>
      <c r="DC28" s="5"/>
      <c r="DD28" s="5"/>
      <c r="DE28" s="5"/>
      <c r="DF28" s="5" t="str">
        <f t="shared" si="189"/>
        <v/>
      </c>
      <c r="DG28" s="36" t="str">
        <f t="shared" si="190"/>
        <v/>
      </c>
      <c r="DH28" s="29"/>
      <c r="DJ28" s="14"/>
      <c r="DK28" s="5"/>
      <c r="DL28" s="5" t="str">
        <f>IF(DK28="","",DK28-DK26)</f>
        <v/>
      </c>
      <c r="DM28" s="5"/>
      <c r="DN28" s="5" t="str">
        <f>IF(DM28="","",DM28-DM26)</f>
        <v/>
      </c>
      <c r="DO28" s="5"/>
      <c r="DP28" s="5" t="str">
        <f>IF(DO28="","",DO26+DQ26-DO28)</f>
        <v/>
      </c>
      <c r="DQ28" s="5"/>
      <c r="DR28" s="5"/>
      <c r="DS28" s="5"/>
      <c r="DT28" s="5" t="str">
        <f t="shared" si="191"/>
        <v/>
      </c>
      <c r="DU28" s="36" t="str">
        <f t="shared" si="192"/>
        <v/>
      </c>
      <c r="DV28" s="29"/>
      <c r="DX28" s="14"/>
      <c r="DY28" s="5"/>
      <c r="DZ28" s="5" t="str">
        <f>IF(DY28="","",DY28-DY26)</f>
        <v/>
      </c>
      <c r="EA28" s="5"/>
      <c r="EB28" s="5" t="str">
        <f>IF(EA28="","",EA28-EA26)</f>
        <v/>
      </c>
      <c r="EC28" s="5"/>
      <c r="ED28" s="5" t="str">
        <f>IF(EC28="","",EC26+EE26-EC28)</f>
        <v/>
      </c>
      <c r="EE28" s="5"/>
      <c r="EF28" s="5"/>
      <c r="EG28" s="5"/>
      <c r="EH28" s="5" t="str">
        <f t="shared" si="193"/>
        <v/>
      </c>
      <c r="EI28" s="36" t="str">
        <f t="shared" si="194"/>
        <v/>
      </c>
      <c r="EJ28" s="29"/>
      <c r="EL28" s="14"/>
      <c r="EM28" s="5"/>
      <c r="EN28" s="5" t="str">
        <f>IF(EM28="","",EM28-EM26)</f>
        <v/>
      </c>
      <c r="EO28" s="5"/>
      <c r="EP28" s="5" t="str">
        <f>IF(EO28="","",EO28-EO26)</f>
        <v/>
      </c>
      <c r="EQ28" s="5"/>
      <c r="ER28" s="5" t="str">
        <f>IF(EQ28="","",EQ26+ES26-EQ28)</f>
        <v/>
      </c>
      <c r="ES28" s="5"/>
      <c r="ET28" s="5"/>
      <c r="EU28" s="5"/>
      <c r="EV28" s="5" t="str">
        <f t="shared" si="195"/>
        <v/>
      </c>
      <c r="EW28" s="36" t="str">
        <f t="shared" si="196"/>
        <v/>
      </c>
      <c r="EX28" s="29"/>
      <c r="EZ28" s="14"/>
      <c r="FA28" s="5"/>
      <c r="FB28" s="5" t="str">
        <f>IF(FA28="","",FA28-FA26)</f>
        <v/>
      </c>
      <c r="FC28" s="5"/>
      <c r="FD28" s="5" t="str">
        <f>IF(FC28="","",FC28-FC26)</f>
        <v/>
      </c>
      <c r="FE28" s="5"/>
      <c r="FF28" s="5" t="str">
        <f>IF(FE28="","",FE26+FG26-FE28)</f>
        <v/>
      </c>
      <c r="FG28" s="5"/>
      <c r="FH28" s="5"/>
      <c r="FI28" s="5"/>
      <c r="FJ28" s="5" t="str">
        <f t="shared" si="197"/>
        <v/>
      </c>
      <c r="FK28" s="36" t="str">
        <f t="shared" si="198"/>
        <v/>
      </c>
      <c r="FL28" s="29"/>
      <c r="FN28" s="14"/>
      <c r="FO28" s="5"/>
      <c r="FP28" s="5" t="str">
        <f>IF(FO28="","",FO28-FO26)</f>
        <v/>
      </c>
      <c r="FQ28" s="5"/>
      <c r="FR28" s="5" t="str">
        <f>IF(FQ28="","",FQ28-FQ26)</f>
        <v/>
      </c>
      <c r="FS28" s="5"/>
      <c r="FT28" s="5" t="str">
        <f>IF(FS28="","",FS26+FU26-FS28)</f>
        <v/>
      </c>
      <c r="FU28" s="5"/>
      <c r="FV28" s="5"/>
      <c r="FW28" s="5"/>
      <c r="FX28" s="5" t="str">
        <f t="shared" si="199"/>
        <v/>
      </c>
      <c r="FY28" s="36" t="str">
        <f t="shared" si="200"/>
        <v/>
      </c>
      <c r="FZ28" s="29"/>
      <c r="GB28" s="14"/>
      <c r="GC28" s="5"/>
      <c r="GD28" s="5" t="str">
        <f>IF(GC28="","",GC28-GC26)</f>
        <v/>
      </c>
      <c r="GE28" s="5"/>
      <c r="GF28" s="5" t="str">
        <f>IF(GE28="","",GE28-GE26)</f>
        <v/>
      </c>
      <c r="GG28" s="5"/>
      <c r="GH28" s="5" t="str">
        <f>IF(GG28="","",GG26+GI26-GG28)</f>
        <v/>
      </c>
      <c r="GI28" s="5"/>
      <c r="GJ28" s="5"/>
      <c r="GK28" s="5"/>
      <c r="GL28" s="5" t="str">
        <f t="shared" si="201"/>
        <v/>
      </c>
      <c r="GM28" s="36" t="str">
        <f t="shared" si="202"/>
        <v/>
      </c>
      <c r="GN28" s="29"/>
      <c r="GP28" s="14"/>
      <c r="GQ28" s="5"/>
      <c r="GR28" s="5" t="str">
        <f>IF(GQ28="","",GQ28-GQ26)</f>
        <v/>
      </c>
      <c r="GS28" s="5"/>
      <c r="GT28" s="5" t="str">
        <f>IF(GS28="","",GS28-GS26)</f>
        <v/>
      </c>
      <c r="GU28" s="5"/>
      <c r="GV28" s="5" t="str">
        <f>IF(GU28="","",GU28-GU26)</f>
        <v/>
      </c>
      <c r="GW28" s="5"/>
      <c r="GX28" s="5" t="str">
        <f>IF(GW28="","",GW26+GY26-GW28)</f>
        <v/>
      </c>
      <c r="GY28" s="5"/>
      <c r="GZ28" s="2" t="str">
        <f t="shared" si="74"/>
        <v/>
      </c>
      <c r="HA28" s="4" t="str">
        <f t="shared" si="75"/>
        <v/>
      </c>
      <c r="HB28" s="5" t="str">
        <f t="shared" si="76"/>
        <v/>
      </c>
      <c r="HC28" s="36" t="str">
        <f t="shared" si="77"/>
        <v/>
      </c>
      <c r="HD28" s="29"/>
      <c r="HF28" s="14"/>
      <c r="HG28" s="5"/>
      <c r="HH28" s="5" t="str">
        <f>IF(HG28="","",HG28-HG26)</f>
        <v/>
      </c>
      <c r="HI28" s="5"/>
      <c r="HJ28" s="29"/>
      <c r="HL28" s="14"/>
      <c r="HM28" s="5"/>
      <c r="HN28" s="5" t="str">
        <f>IF(HM28="","",HM28-HM26)</f>
        <v/>
      </c>
      <c r="HO28" s="5"/>
      <c r="HP28" s="29"/>
      <c r="HR28" s="14"/>
      <c r="HS28" s="5"/>
      <c r="HT28" s="5" t="str">
        <f>IF(HS28="","",HS28-HS26)</f>
        <v/>
      </c>
      <c r="HU28" s="5"/>
      <c r="HV28" s="29"/>
    </row>
    <row r="29" spans="1:230" ht="15" customHeight="1" x14ac:dyDescent="0.2">
      <c r="A29" s="54"/>
      <c r="B29" s="37"/>
      <c r="C29" s="57"/>
      <c r="D29" s="143" t="str">
        <f t="shared" si="126"/>
        <v/>
      </c>
      <c r="E29" s="5"/>
      <c r="F29" s="5" t="str">
        <f t="shared" si="127"/>
        <v/>
      </c>
      <c r="G29" s="5"/>
      <c r="H29" s="5" t="str">
        <f t="shared" si="128"/>
        <v/>
      </c>
      <c r="I29" s="35"/>
      <c r="J29" s="38" t="str">
        <f t="shared" si="129"/>
        <v/>
      </c>
      <c r="K29" s="5" t="str">
        <f t="shared" si="130"/>
        <v/>
      </c>
      <c r="L29" s="5" t="str">
        <f t="shared" si="131"/>
        <v/>
      </c>
      <c r="M29" s="36" t="str">
        <f t="shared" si="132"/>
        <v/>
      </c>
      <c r="N29" s="29"/>
      <c r="P29" s="54"/>
      <c r="Q29" s="57"/>
      <c r="R29" s="143" t="str">
        <f t="shared" si="91"/>
        <v/>
      </c>
      <c r="S29" s="5"/>
      <c r="T29" s="5" t="str">
        <f t="shared" si="92"/>
        <v/>
      </c>
      <c r="U29" s="5"/>
      <c r="V29" s="5" t="str">
        <f t="shared" si="93"/>
        <v/>
      </c>
      <c r="W29" s="35"/>
      <c r="X29" s="38" t="str">
        <f t="shared" si="94"/>
        <v/>
      </c>
      <c r="Y29" s="5" t="str">
        <f t="shared" si="95"/>
        <v/>
      </c>
      <c r="Z29" s="5" t="str">
        <f t="shared" si="96"/>
        <v/>
      </c>
      <c r="AA29" s="36" t="str">
        <f t="shared" si="97"/>
        <v/>
      </c>
      <c r="AB29" s="29"/>
      <c r="AD29" s="54"/>
      <c r="AE29" s="57"/>
      <c r="AF29" s="143" t="str">
        <f t="shared" si="98"/>
        <v/>
      </c>
      <c r="AG29" s="5"/>
      <c r="AH29" s="5" t="str">
        <f t="shared" si="99"/>
        <v/>
      </c>
      <c r="AI29" s="5"/>
      <c r="AJ29" s="5" t="str">
        <f t="shared" si="100"/>
        <v/>
      </c>
      <c r="AK29" s="35"/>
      <c r="AL29" s="38" t="str">
        <f t="shared" si="101"/>
        <v/>
      </c>
      <c r="AM29" s="5" t="str">
        <f t="shared" si="102"/>
        <v/>
      </c>
      <c r="AN29" s="5" t="str">
        <f t="shared" si="103"/>
        <v/>
      </c>
      <c r="AO29" s="36" t="str">
        <f t="shared" si="104"/>
        <v/>
      </c>
      <c r="AP29" s="29"/>
      <c r="AR29" s="54"/>
      <c r="AS29" s="57"/>
      <c r="AT29" s="143" t="str">
        <f t="shared" si="105"/>
        <v/>
      </c>
      <c r="AU29" s="5"/>
      <c r="AV29" s="5" t="str">
        <f t="shared" si="106"/>
        <v/>
      </c>
      <c r="AW29" s="5"/>
      <c r="AX29" s="5" t="str">
        <f t="shared" si="107"/>
        <v/>
      </c>
      <c r="AY29" s="35"/>
      <c r="AZ29" s="38" t="str">
        <f t="shared" si="133"/>
        <v/>
      </c>
      <c r="BA29" s="5" t="str">
        <f t="shared" si="109"/>
        <v/>
      </c>
      <c r="BB29" s="5" t="str">
        <f t="shared" si="110"/>
        <v/>
      </c>
      <c r="BC29" s="36" t="str">
        <f t="shared" si="111"/>
        <v/>
      </c>
      <c r="BD29" s="29"/>
      <c r="BE29" s="32"/>
      <c r="BF29" s="25"/>
      <c r="BG29" s="57"/>
      <c r="BH29" s="143" t="str">
        <f t="shared" si="112"/>
        <v/>
      </c>
      <c r="BI29" s="5"/>
      <c r="BJ29" s="5" t="str">
        <f t="shared" si="113"/>
        <v/>
      </c>
      <c r="BK29" s="5"/>
      <c r="BL29" s="5" t="str">
        <f t="shared" si="114"/>
        <v/>
      </c>
      <c r="BM29" s="35"/>
      <c r="BN29" s="38" t="str">
        <f t="shared" si="115"/>
        <v/>
      </c>
      <c r="BO29" s="5" t="str">
        <f t="shared" si="116"/>
        <v/>
      </c>
      <c r="BP29" s="5" t="str">
        <f t="shared" si="117"/>
        <v/>
      </c>
      <c r="BQ29" s="36" t="str">
        <f t="shared" si="118"/>
        <v/>
      </c>
      <c r="BR29" s="29"/>
      <c r="BT29" s="25"/>
      <c r="BU29" s="57"/>
      <c r="BV29" s="143" t="str">
        <f t="shared" si="119"/>
        <v/>
      </c>
      <c r="BW29" s="5"/>
      <c r="BX29" s="5" t="str">
        <f t="shared" si="120"/>
        <v/>
      </c>
      <c r="BY29" s="5"/>
      <c r="BZ29" s="5" t="str">
        <f t="shared" si="121"/>
        <v/>
      </c>
      <c r="CA29" s="35"/>
      <c r="CB29" s="38" t="str">
        <f t="shared" si="122"/>
        <v/>
      </c>
      <c r="CC29" s="5" t="str">
        <f t="shared" si="123"/>
        <v/>
      </c>
      <c r="CD29" s="5" t="str">
        <f t="shared" si="124"/>
        <v/>
      </c>
      <c r="CE29" s="36" t="str">
        <f t="shared" si="125"/>
        <v/>
      </c>
      <c r="CF29" s="29"/>
      <c r="CH29" s="14"/>
      <c r="CI29" s="39"/>
      <c r="CJ29" s="5" t="str">
        <f>IF(CI29="","",CI29-CI27)</f>
        <v/>
      </c>
      <c r="CK29" s="5"/>
      <c r="CL29" s="5"/>
      <c r="CM29" s="5"/>
      <c r="CN29" s="5" t="str">
        <f>IF(CM29="","",CM27+CO27-CM29)</f>
        <v/>
      </c>
      <c r="CO29" s="5"/>
      <c r="CP29" s="5"/>
      <c r="CQ29" s="5"/>
      <c r="CR29" s="5" t="str">
        <f t="shared" si="187"/>
        <v/>
      </c>
      <c r="CS29" s="36" t="str">
        <f t="shared" si="188"/>
        <v/>
      </c>
      <c r="CT29" s="29"/>
      <c r="CV29" s="14"/>
      <c r="CW29" s="39"/>
      <c r="CX29" s="5" t="str">
        <f>IF(CW29="","",CW29-CW27)</f>
        <v/>
      </c>
      <c r="CY29" s="5"/>
      <c r="CZ29" s="5"/>
      <c r="DA29" s="5"/>
      <c r="DB29" s="5" t="str">
        <f>IF(DA29="","",DA27+DC27-DA29)</f>
        <v/>
      </c>
      <c r="DC29" s="5"/>
      <c r="DD29" s="5"/>
      <c r="DE29" s="5"/>
      <c r="DF29" s="5" t="str">
        <f t="shared" si="189"/>
        <v/>
      </c>
      <c r="DG29" s="36" t="str">
        <f t="shared" si="190"/>
        <v/>
      </c>
      <c r="DH29" s="29"/>
      <c r="DJ29" s="14"/>
      <c r="DK29" s="39"/>
      <c r="DL29" s="5" t="str">
        <f>IF(DK29="","",DK29-DK27)</f>
        <v/>
      </c>
      <c r="DM29" s="5"/>
      <c r="DN29" s="5"/>
      <c r="DO29" s="5"/>
      <c r="DP29" s="5" t="str">
        <f>IF(DO29="","",DO27+DQ27-DO29)</f>
        <v/>
      </c>
      <c r="DQ29" s="5"/>
      <c r="DR29" s="5"/>
      <c r="DS29" s="5"/>
      <c r="DT29" s="5" t="str">
        <f t="shared" si="191"/>
        <v/>
      </c>
      <c r="DU29" s="36" t="str">
        <f t="shared" si="192"/>
        <v/>
      </c>
      <c r="DV29" s="29"/>
      <c r="DX29" s="14"/>
      <c r="DY29" s="39"/>
      <c r="DZ29" s="5" t="str">
        <f>IF(DY29="","",DY29-DY27)</f>
        <v/>
      </c>
      <c r="EA29" s="5"/>
      <c r="EB29" s="5"/>
      <c r="EC29" s="5"/>
      <c r="ED29" s="5" t="str">
        <f>IF(EC29="","",EC27+EE27-EC29)</f>
        <v/>
      </c>
      <c r="EE29" s="5"/>
      <c r="EF29" s="5"/>
      <c r="EG29" s="5"/>
      <c r="EH29" s="5" t="str">
        <f t="shared" si="193"/>
        <v/>
      </c>
      <c r="EI29" s="36" t="str">
        <f t="shared" si="194"/>
        <v/>
      </c>
      <c r="EJ29" s="29"/>
      <c r="EL29" s="14"/>
      <c r="EM29" s="39"/>
      <c r="EN29" s="5" t="str">
        <f>IF(EM29="","",EM29-EM27)</f>
        <v/>
      </c>
      <c r="EO29" s="5"/>
      <c r="EP29" s="5"/>
      <c r="EQ29" s="5"/>
      <c r="ER29" s="5" t="str">
        <f>IF(EQ29="","",EQ27+ES27-EQ29)</f>
        <v/>
      </c>
      <c r="ES29" s="5"/>
      <c r="ET29" s="5"/>
      <c r="EU29" s="5"/>
      <c r="EV29" s="5" t="str">
        <f t="shared" si="195"/>
        <v/>
      </c>
      <c r="EW29" s="36" t="str">
        <f t="shared" si="196"/>
        <v/>
      </c>
      <c r="EX29" s="29"/>
      <c r="EZ29" s="14"/>
      <c r="FA29" s="39"/>
      <c r="FB29" s="5" t="str">
        <f>IF(FA29="","",FA29-FA27)</f>
        <v/>
      </c>
      <c r="FC29" s="5"/>
      <c r="FD29" s="5"/>
      <c r="FE29" s="5"/>
      <c r="FF29" s="5" t="str">
        <f>IF(FE29="","",FE27+FG27-FE29)</f>
        <v/>
      </c>
      <c r="FG29" s="5"/>
      <c r="FH29" s="5"/>
      <c r="FI29" s="5"/>
      <c r="FJ29" s="5" t="str">
        <f t="shared" si="197"/>
        <v/>
      </c>
      <c r="FK29" s="36" t="str">
        <f t="shared" si="198"/>
        <v/>
      </c>
      <c r="FL29" s="29"/>
      <c r="FN29" s="14"/>
      <c r="FO29" s="39"/>
      <c r="FP29" s="5" t="str">
        <f>IF(FO29="","",FO29-FO27)</f>
        <v/>
      </c>
      <c r="FQ29" s="5"/>
      <c r="FR29" s="5"/>
      <c r="FS29" s="5"/>
      <c r="FT29" s="5" t="str">
        <f>IF(FS29="","",FS27+FU27-FS29)</f>
        <v/>
      </c>
      <c r="FU29" s="5"/>
      <c r="FV29" s="5"/>
      <c r="FW29" s="5"/>
      <c r="FX29" s="5" t="str">
        <f t="shared" si="199"/>
        <v/>
      </c>
      <c r="FY29" s="36" t="str">
        <f t="shared" si="200"/>
        <v/>
      </c>
      <c r="FZ29" s="29"/>
      <c r="GB29" s="14"/>
      <c r="GC29" s="39"/>
      <c r="GD29" s="5" t="str">
        <f>IF(GC29="","",GC29-GC27)</f>
        <v/>
      </c>
      <c r="GE29" s="5"/>
      <c r="GF29" s="5"/>
      <c r="GG29" s="5"/>
      <c r="GH29" s="5" t="str">
        <f>IF(GG29="","",GG27+GI27-GG29)</f>
        <v/>
      </c>
      <c r="GI29" s="5"/>
      <c r="GJ29" s="5"/>
      <c r="GK29" s="5"/>
      <c r="GL29" s="5" t="str">
        <f t="shared" si="201"/>
        <v/>
      </c>
      <c r="GM29" s="36" t="str">
        <f t="shared" si="202"/>
        <v/>
      </c>
      <c r="GN29" s="29"/>
      <c r="GP29" s="14"/>
      <c r="GQ29" s="39"/>
      <c r="GR29" s="5" t="str">
        <f>IF(GQ29="","",GQ29-GQ27)</f>
        <v/>
      </c>
      <c r="GS29" s="5"/>
      <c r="GT29" s="5" t="str">
        <f>IF(GS29="","",GS29-GS27)</f>
        <v/>
      </c>
      <c r="GU29" s="5"/>
      <c r="GV29" s="5"/>
      <c r="GW29" s="5"/>
      <c r="GX29" s="5" t="str">
        <f>IF(GW29="","",GW27+GY27-GW29)</f>
        <v/>
      </c>
      <c r="GY29" s="5"/>
      <c r="GZ29" s="2" t="str">
        <f t="shared" si="74"/>
        <v/>
      </c>
      <c r="HA29" s="4" t="str">
        <f t="shared" si="75"/>
        <v/>
      </c>
      <c r="HB29" s="5" t="str">
        <f t="shared" si="76"/>
        <v/>
      </c>
      <c r="HC29" s="36" t="str">
        <f t="shared" si="77"/>
        <v/>
      </c>
      <c r="HD29" s="29"/>
      <c r="HF29" s="14"/>
      <c r="HG29" s="39"/>
      <c r="HH29" s="5" t="str">
        <f>IF(HG29="","",HG29-HG27)</f>
        <v/>
      </c>
      <c r="HI29" s="5"/>
      <c r="HJ29" s="29"/>
      <c r="HL29" s="14"/>
      <c r="HM29" s="39"/>
      <c r="HN29" s="5" t="str">
        <f>IF(HM29="","",HM29-HM27)</f>
        <v/>
      </c>
      <c r="HO29" s="5"/>
      <c r="HP29" s="29"/>
      <c r="HR29" s="14"/>
      <c r="HS29" s="39"/>
      <c r="HT29" s="5" t="str">
        <f>IF(HS29="","",HS29-HS27)</f>
        <v/>
      </c>
      <c r="HU29" s="5"/>
      <c r="HV29" s="29"/>
    </row>
    <row r="30" spans="1:230" ht="15" customHeight="1" thickBot="1" x14ac:dyDescent="0.25">
      <c r="A30" s="60"/>
      <c r="B30" s="73"/>
      <c r="C30" s="43"/>
      <c r="D30" s="144" t="str">
        <f t="shared" si="126"/>
        <v/>
      </c>
      <c r="E30" s="44"/>
      <c r="F30" s="44" t="str">
        <f t="shared" si="127"/>
        <v/>
      </c>
      <c r="G30" s="44"/>
      <c r="H30" s="44" t="str">
        <f t="shared" si="128"/>
        <v/>
      </c>
      <c r="I30" s="62"/>
      <c r="J30" s="47" t="str">
        <f t="shared" si="129"/>
        <v/>
      </c>
      <c r="K30" s="61" t="str">
        <f t="shared" si="130"/>
        <v/>
      </c>
      <c r="L30" s="44" t="str">
        <f t="shared" si="131"/>
        <v/>
      </c>
      <c r="M30" s="46" t="str">
        <f t="shared" si="132"/>
        <v/>
      </c>
      <c r="N30" s="29"/>
      <c r="P30" s="60"/>
      <c r="Q30" s="43"/>
      <c r="R30" s="144" t="str">
        <f t="shared" si="91"/>
        <v/>
      </c>
      <c r="S30" s="44"/>
      <c r="T30" s="44" t="str">
        <f t="shared" si="92"/>
        <v/>
      </c>
      <c r="U30" s="44"/>
      <c r="V30" s="44" t="str">
        <f t="shared" si="93"/>
        <v/>
      </c>
      <c r="W30" s="62"/>
      <c r="X30" s="47" t="str">
        <f t="shared" si="94"/>
        <v/>
      </c>
      <c r="Y30" s="61" t="str">
        <f t="shared" si="95"/>
        <v/>
      </c>
      <c r="Z30" s="44" t="str">
        <f t="shared" si="96"/>
        <v/>
      </c>
      <c r="AA30" s="46" t="str">
        <f t="shared" si="97"/>
        <v/>
      </c>
      <c r="AB30" s="29"/>
      <c r="AD30" s="60"/>
      <c r="AE30" s="43"/>
      <c r="AF30" s="144" t="str">
        <f t="shared" si="98"/>
        <v/>
      </c>
      <c r="AG30" s="44"/>
      <c r="AH30" s="44" t="str">
        <f t="shared" si="99"/>
        <v/>
      </c>
      <c r="AI30" s="44"/>
      <c r="AJ30" s="44" t="str">
        <f t="shared" si="100"/>
        <v/>
      </c>
      <c r="AK30" s="62"/>
      <c r="AL30" s="47" t="str">
        <f t="shared" si="101"/>
        <v/>
      </c>
      <c r="AM30" s="61" t="str">
        <f t="shared" si="102"/>
        <v/>
      </c>
      <c r="AN30" s="44" t="str">
        <f t="shared" si="103"/>
        <v/>
      </c>
      <c r="AO30" s="46" t="str">
        <f t="shared" si="104"/>
        <v/>
      </c>
      <c r="AP30" s="29"/>
      <c r="AR30" s="60"/>
      <c r="AS30" s="43"/>
      <c r="AT30" s="144" t="str">
        <f t="shared" si="105"/>
        <v/>
      </c>
      <c r="AU30" s="44"/>
      <c r="AV30" s="44" t="str">
        <f t="shared" si="106"/>
        <v/>
      </c>
      <c r="AW30" s="44"/>
      <c r="AX30" s="44" t="str">
        <f t="shared" si="107"/>
        <v/>
      </c>
      <c r="AY30" s="62"/>
      <c r="AZ30" s="47" t="str">
        <f t="shared" si="133"/>
        <v/>
      </c>
      <c r="BA30" s="61" t="str">
        <f t="shared" si="109"/>
        <v/>
      </c>
      <c r="BB30" s="44" t="str">
        <f t="shared" si="110"/>
        <v/>
      </c>
      <c r="BC30" s="46" t="str">
        <f t="shared" si="111"/>
        <v/>
      </c>
      <c r="BD30" s="29"/>
      <c r="BE30" s="32"/>
      <c r="BF30" s="41"/>
      <c r="BG30" s="43"/>
      <c r="BH30" s="144" t="str">
        <f t="shared" si="112"/>
        <v/>
      </c>
      <c r="BI30" s="44"/>
      <c r="BJ30" s="44" t="str">
        <f t="shared" si="113"/>
        <v/>
      </c>
      <c r="BK30" s="44"/>
      <c r="BL30" s="44" t="str">
        <f t="shared" si="114"/>
        <v/>
      </c>
      <c r="BM30" s="62"/>
      <c r="BN30" s="47" t="str">
        <f t="shared" si="115"/>
        <v/>
      </c>
      <c r="BO30" s="61" t="str">
        <f t="shared" si="116"/>
        <v/>
      </c>
      <c r="BP30" s="44" t="str">
        <f t="shared" si="117"/>
        <v/>
      </c>
      <c r="BQ30" s="46" t="str">
        <f t="shared" si="118"/>
        <v/>
      </c>
      <c r="BR30" s="29"/>
      <c r="BT30" s="41"/>
      <c r="BU30" s="43"/>
      <c r="BV30" s="144" t="str">
        <f t="shared" si="119"/>
        <v/>
      </c>
      <c r="BW30" s="44"/>
      <c r="BX30" s="44" t="str">
        <f t="shared" si="120"/>
        <v/>
      </c>
      <c r="BY30" s="44"/>
      <c r="BZ30" s="44" t="str">
        <f t="shared" si="121"/>
        <v/>
      </c>
      <c r="CA30" s="62"/>
      <c r="CB30" s="47" t="str">
        <f t="shared" si="122"/>
        <v/>
      </c>
      <c r="CC30" s="61" t="str">
        <f t="shared" si="123"/>
        <v/>
      </c>
      <c r="CD30" s="44" t="str">
        <f t="shared" si="124"/>
        <v/>
      </c>
      <c r="CE30" s="46" t="str">
        <f t="shared" si="125"/>
        <v/>
      </c>
      <c r="CF30" s="29"/>
      <c r="CH30" s="14"/>
      <c r="CI30" s="39"/>
      <c r="CJ30" s="5" t="str">
        <f t="shared" ref="CJ30:CJ50" si="203">IF(CI30="","",CI30-CI29)</f>
        <v/>
      </c>
      <c r="CK30" s="5"/>
      <c r="CL30" s="5"/>
      <c r="CM30" s="5"/>
      <c r="CN30" s="5" t="str">
        <f t="shared" ref="CN30:CN50" si="204">IF(CM30="","",CM29+CO29-CM30)</f>
        <v/>
      </c>
      <c r="CO30" s="5"/>
      <c r="CP30" s="5"/>
      <c r="CQ30" s="5"/>
      <c r="CR30" s="5" t="str">
        <f t="shared" si="187"/>
        <v/>
      </c>
      <c r="CS30" s="36" t="str">
        <f t="shared" si="188"/>
        <v/>
      </c>
      <c r="CT30" s="29"/>
      <c r="CV30" s="14"/>
      <c r="CW30" s="39"/>
      <c r="CX30" s="5" t="str">
        <f t="shared" ref="CX30:CX50" si="205">IF(CW30="","",CW30-CW29)</f>
        <v/>
      </c>
      <c r="CY30" s="5"/>
      <c r="CZ30" s="5"/>
      <c r="DA30" s="5"/>
      <c r="DB30" s="5" t="str">
        <f t="shared" ref="DB30:DB50" si="206">IF(DA30="","",DA29+DC29-DA30)</f>
        <v/>
      </c>
      <c r="DC30" s="5"/>
      <c r="DD30" s="5"/>
      <c r="DE30" s="5"/>
      <c r="DF30" s="5" t="str">
        <f t="shared" si="189"/>
        <v/>
      </c>
      <c r="DG30" s="36" t="str">
        <f t="shared" si="190"/>
        <v/>
      </c>
      <c r="DH30" s="29"/>
      <c r="DJ30" s="14"/>
      <c r="DK30" s="39"/>
      <c r="DL30" s="5" t="str">
        <f t="shared" ref="DL30:DL50" si="207">IF(DK30="","",DK30-DK29)</f>
        <v/>
      </c>
      <c r="DM30" s="5"/>
      <c r="DN30" s="5"/>
      <c r="DO30" s="5"/>
      <c r="DP30" s="5" t="str">
        <f t="shared" ref="DP30:DP50" si="208">IF(DO30="","",DO29+DQ29-DO30)</f>
        <v/>
      </c>
      <c r="DQ30" s="5"/>
      <c r="DR30" s="5"/>
      <c r="DS30" s="5"/>
      <c r="DT30" s="5" t="str">
        <f t="shared" si="191"/>
        <v/>
      </c>
      <c r="DU30" s="36" t="str">
        <f t="shared" si="192"/>
        <v/>
      </c>
      <c r="DV30" s="29"/>
      <c r="DX30" s="14"/>
      <c r="DY30" s="39"/>
      <c r="DZ30" s="5" t="str">
        <f t="shared" ref="DZ30:DZ50" si="209">IF(DY30="","",DY30-DY29)</f>
        <v/>
      </c>
      <c r="EA30" s="5"/>
      <c r="EB30" s="5"/>
      <c r="EC30" s="5"/>
      <c r="ED30" s="5" t="str">
        <f t="shared" ref="ED30:ED50" si="210">IF(EC30="","",EC29+EE29-EC30)</f>
        <v/>
      </c>
      <c r="EE30" s="5"/>
      <c r="EF30" s="5"/>
      <c r="EG30" s="5"/>
      <c r="EH30" s="5" t="str">
        <f t="shared" si="193"/>
        <v/>
      </c>
      <c r="EI30" s="36" t="str">
        <f t="shared" si="194"/>
        <v/>
      </c>
      <c r="EJ30" s="29"/>
      <c r="EL30" s="14"/>
      <c r="EM30" s="39"/>
      <c r="EN30" s="5" t="str">
        <f t="shared" ref="EN30:EN50" si="211">IF(EM30="","",EM30-EM29)</f>
        <v/>
      </c>
      <c r="EO30" s="5"/>
      <c r="EP30" s="5"/>
      <c r="EQ30" s="5"/>
      <c r="ER30" s="5" t="str">
        <f t="shared" ref="ER30:ER50" si="212">IF(EQ30="","",EQ29+ES29-EQ30)</f>
        <v/>
      </c>
      <c r="ES30" s="5"/>
      <c r="ET30" s="5"/>
      <c r="EU30" s="5"/>
      <c r="EV30" s="5" t="str">
        <f t="shared" si="195"/>
        <v/>
      </c>
      <c r="EW30" s="36" t="str">
        <f t="shared" si="196"/>
        <v/>
      </c>
      <c r="EX30" s="29"/>
      <c r="EZ30" s="14"/>
      <c r="FA30" s="39"/>
      <c r="FB30" s="5" t="str">
        <f t="shared" ref="FB30:FB50" si="213">IF(FA30="","",FA30-FA29)</f>
        <v/>
      </c>
      <c r="FC30" s="5"/>
      <c r="FD30" s="5"/>
      <c r="FE30" s="5"/>
      <c r="FF30" s="5" t="str">
        <f t="shared" ref="FF30:FF50" si="214">IF(FE30="","",FE29+FG29-FE30)</f>
        <v/>
      </c>
      <c r="FG30" s="5"/>
      <c r="FH30" s="5"/>
      <c r="FI30" s="5"/>
      <c r="FJ30" s="5" t="str">
        <f t="shared" si="197"/>
        <v/>
      </c>
      <c r="FK30" s="36" t="str">
        <f t="shared" si="198"/>
        <v/>
      </c>
      <c r="FL30" s="29"/>
      <c r="FN30" s="14"/>
      <c r="FO30" s="39"/>
      <c r="FP30" s="5" t="str">
        <f t="shared" ref="FP30:FP50" si="215">IF(FO30="","",FO30-FO29)</f>
        <v/>
      </c>
      <c r="FQ30" s="5"/>
      <c r="FR30" s="5"/>
      <c r="FS30" s="5"/>
      <c r="FT30" s="5" t="str">
        <f t="shared" ref="FT30:FT50" si="216">IF(FS30="","",FS29+FU29-FS30)</f>
        <v/>
      </c>
      <c r="FU30" s="5"/>
      <c r="FV30" s="5"/>
      <c r="FW30" s="5"/>
      <c r="FX30" s="5" t="str">
        <f t="shared" si="199"/>
        <v/>
      </c>
      <c r="FY30" s="36" t="str">
        <f t="shared" si="200"/>
        <v/>
      </c>
      <c r="FZ30" s="29"/>
      <c r="GB30" s="14"/>
      <c r="GC30" s="39"/>
      <c r="GD30" s="5" t="str">
        <f t="shared" ref="GD30:GD50" si="217">IF(GC30="","",GC30-GC29)</f>
        <v/>
      </c>
      <c r="GE30" s="5"/>
      <c r="GF30" s="5"/>
      <c r="GG30" s="5"/>
      <c r="GH30" s="5" t="str">
        <f t="shared" ref="GH30:GH50" si="218">IF(GG30="","",GG29+GI29-GG30)</f>
        <v/>
      </c>
      <c r="GI30" s="5"/>
      <c r="GJ30" s="5"/>
      <c r="GK30" s="5"/>
      <c r="GL30" s="5" t="str">
        <f t="shared" si="201"/>
        <v/>
      </c>
      <c r="GM30" s="36" t="str">
        <f t="shared" si="202"/>
        <v/>
      </c>
      <c r="GN30" s="29"/>
      <c r="GP30" s="14"/>
      <c r="GQ30" s="39"/>
      <c r="GR30" s="5" t="str">
        <f t="shared" ref="GR30:GR50" si="219">IF(GQ30="","",GQ30-GQ29)</f>
        <v/>
      </c>
      <c r="GS30" s="5"/>
      <c r="GT30" s="5" t="str">
        <f>IF(GS30="","",GS30-GS29)</f>
        <v/>
      </c>
      <c r="GU30" s="5"/>
      <c r="GV30" s="5"/>
      <c r="GW30" s="5"/>
      <c r="GX30" s="5" t="str">
        <f t="shared" ref="GX30:GX50" si="220">IF(GW30="","",GW29+GY29-GW30)</f>
        <v/>
      </c>
      <c r="GY30" s="5"/>
      <c r="GZ30" s="5"/>
      <c r="HA30" s="5"/>
      <c r="HB30" s="5" t="str">
        <f t="shared" ref="HB18:HB50" si="221">IF(HA30="","",GX30*HA30)</f>
        <v/>
      </c>
      <c r="HC30" s="36" t="str">
        <f t="shared" ref="HC18:HC50" si="222">IF(HB30="","",HB30/(GR30*100))</f>
        <v/>
      </c>
      <c r="HD30" s="29"/>
      <c r="HF30" s="14"/>
      <c r="HG30" s="39"/>
      <c r="HH30" s="5" t="str">
        <f t="shared" ref="HH30:HH50" si="223">IF(HG30="","",HG30-HG29)</f>
        <v/>
      </c>
      <c r="HI30" s="5"/>
      <c r="HJ30" s="29"/>
      <c r="HL30" s="14"/>
      <c r="HM30" s="39"/>
      <c r="HN30" s="5" t="str">
        <f t="shared" ref="HN30:HN50" si="224">IF(HM30="","",HM30-HM29)</f>
        <v/>
      </c>
      <c r="HO30" s="5"/>
      <c r="HP30" s="29"/>
      <c r="HR30" s="14"/>
      <c r="HS30" s="39"/>
      <c r="HT30" s="5" t="str">
        <f t="shared" ref="HT30:HT50" si="225">IF(HS30="","",HS30-HS29)</f>
        <v/>
      </c>
      <c r="HU30" s="5"/>
      <c r="HV30" s="29"/>
    </row>
    <row r="31" spans="1:230" ht="15" customHeight="1" thickTop="1" x14ac:dyDescent="0.2">
      <c r="A31" s="49"/>
      <c r="B31" s="26">
        <f>SUM(D31:D34)+SUM(R31:R34)+SUM(AF31:AF34)+SUM(AT31:AT34)+SUM(CJ10,CX10,DL10,DZ10,EN10,FB10,FP10,GD10,GR10,HH10,HN10,HT10)+SUM(BH31:BH34)+SUM(BV31:BV32)</f>
        <v>0</v>
      </c>
      <c r="C31" s="4"/>
      <c r="D31" s="145" t="str">
        <f t="shared" si="126"/>
        <v/>
      </c>
      <c r="E31" s="4"/>
      <c r="F31" s="50" t="str">
        <f t="shared" si="127"/>
        <v/>
      </c>
      <c r="G31" s="4"/>
      <c r="H31" s="4" t="str">
        <f t="shared" si="128"/>
        <v/>
      </c>
      <c r="I31" s="51"/>
      <c r="J31" s="31" t="str">
        <f t="shared" ref="J31:J38" si="226">IF(C31="","",J27)</f>
        <v/>
      </c>
      <c r="K31" s="27" t="str">
        <f t="shared" ref="K31:K38" si="227">IF(D31="","",K27)</f>
        <v/>
      </c>
      <c r="L31" s="50" t="str">
        <f t="shared" ref="L31:L38" si="228">IF(G31="","",H31*K31)</f>
        <v/>
      </c>
      <c r="M31" s="52" t="str">
        <f t="shared" ref="M31:M38" si="229">IF(H31="","",L31/(D31*100))</f>
        <v/>
      </c>
      <c r="N31" s="29"/>
      <c r="P31" s="53" t="str">
        <f>IF($A31="","",$A31)</f>
        <v/>
      </c>
      <c r="Q31" s="4"/>
      <c r="R31" s="145" t="str">
        <f t="shared" si="91"/>
        <v/>
      </c>
      <c r="S31" s="4"/>
      <c r="T31" s="50" t="str">
        <f t="shared" si="92"/>
        <v/>
      </c>
      <c r="U31" s="4"/>
      <c r="V31" s="4" t="str">
        <f t="shared" si="93"/>
        <v/>
      </c>
      <c r="W31" s="51"/>
      <c r="X31" s="31" t="str">
        <f t="shared" si="94"/>
        <v/>
      </c>
      <c r="Y31" s="27" t="str">
        <f t="shared" si="95"/>
        <v/>
      </c>
      <c r="Z31" s="50" t="str">
        <f t="shared" si="96"/>
        <v/>
      </c>
      <c r="AA31" s="52" t="str">
        <f t="shared" si="97"/>
        <v/>
      </c>
      <c r="AB31" s="29"/>
      <c r="AD31" s="53" t="str">
        <f>IF($A31="","",$A31)</f>
        <v/>
      </c>
      <c r="AE31" s="4"/>
      <c r="AF31" s="145" t="str">
        <f t="shared" si="98"/>
        <v/>
      </c>
      <c r="AG31" s="4"/>
      <c r="AH31" s="50" t="str">
        <f t="shared" si="99"/>
        <v/>
      </c>
      <c r="AI31" s="4"/>
      <c r="AJ31" s="4" t="str">
        <f t="shared" si="100"/>
        <v/>
      </c>
      <c r="AK31" s="51"/>
      <c r="AL31" s="31" t="str">
        <f t="shared" si="101"/>
        <v/>
      </c>
      <c r="AM31" s="27" t="str">
        <f t="shared" si="102"/>
        <v/>
      </c>
      <c r="AN31" s="50" t="str">
        <f t="shared" si="103"/>
        <v/>
      </c>
      <c r="AO31" s="52" t="str">
        <f t="shared" si="104"/>
        <v/>
      </c>
      <c r="AP31" s="29"/>
      <c r="AR31" s="53" t="str">
        <f>IF($A31="","",$A31)</f>
        <v/>
      </c>
      <c r="AS31" s="4"/>
      <c r="AT31" s="145" t="str">
        <f t="shared" si="105"/>
        <v/>
      </c>
      <c r="AU31" s="4"/>
      <c r="AV31" s="50" t="str">
        <f t="shared" si="106"/>
        <v/>
      </c>
      <c r="AW31" s="4"/>
      <c r="AX31" s="4" t="str">
        <f t="shared" si="107"/>
        <v/>
      </c>
      <c r="AY31" s="51"/>
      <c r="AZ31" s="31" t="str">
        <f t="shared" si="133"/>
        <v/>
      </c>
      <c r="BA31" s="27" t="str">
        <f t="shared" si="109"/>
        <v/>
      </c>
      <c r="BB31" s="50" t="str">
        <f t="shared" si="110"/>
        <v/>
      </c>
      <c r="BC31" s="52" t="str">
        <f t="shared" si="111"/>
        <v/>
      </c>
      <c r="BD31" s="29"/>
      <c r="BE31" s="32"/>
      <c r="BF31" s="33" t="str">
        <f>IF($A31="","",$A31)</f>
        <v/>
      </c>
      <c r="BG31" s="4"/>
      <c r="BH31" s="145" t="str">
        <f t="shared" si="112"/>
        <v/>
      </c>
      <c r="BI31" s="4"/>
      <c r="BJ31" s="50" t="str">
        <f t="shared" si="113"/>
        <v/>
      </c>
      <c r="BK31" s="4"/>
      <c r="BL31" s="4" t="str">
        <f t="shared" si="114"/>
        <v/>
      </c>
      <c r="BM31" s="51"/>
      <c r="BN31" s="31" t="str">
        <f t="shared" si="115"/>
        <v/>
      </c>
      <c r="BO31" s="27" t="str">
        <f t="shared" si="116"/>
        <v/>
      </c>
      <c r="BP31" s="50" t="str">
        <f t="shared" si="117"/>
        <v/>
      </c>
      <c r="BQ31" s="52" t="str">
        <f t="shared" si="118"/>
        <v/>
      </c>
      <c r="BR31" s="29"/>
      <c r="BT31" s="33" t="str">
        <f>IF($A31="","",$A31)</f>
        <v/>
      </c>
      <c r="BU31" s="4"/>
      <c r="BV31" s="145" t="str">
        <f t="shared" si="119"/>
        <v/>
      </c>
      <c r="BW31" s="4"/>
      <c r="BX31" s="50" t="str">
        <f t="shared" si="120"/>
        <v/>
      </c>
      <c r="BY31" s="4"/>
      <c r="BZ31" s="4" t="str">
        <f t="shared" si="121"/>
        <v/>
      </c>
      <c r="CA31" s="51"/>
      <c r="CB31" s="31" t="str">
        <f t="shared" si="122"/>
        <v/>
      </c>
      <c r="CC31" s="27" t="str">
        <f t="shared" si="123"/>
        <v/>
      </c>
      <c r="CD31" s="50" t="str">
        <f t="shared" si="124"/>
        <v/>
      </c>
      <c r="CE31" s="52" t="str">
        <f t="shared" si="125"/>
        <v/>
      </c>
      <c r="CF31" s="29"/>
      <c r="CH31" s="14"/>
      <c r="CI31" s="39"/>
      <c r="CJ31" s="5" t="str">
        <f t="shared" si="203"/>
        <v/>
      </c>
      <c r="CK31" s="5"/>
      <c r="CL31" s="5"/>
      <c r="CM31" s="5"/>
      <c r="CN31" s="5" t="str">
        <f t="shared" si="204"/>
        <v/>
      </c>
      <c r="CO31" s="5"/>
      <c r="CP31" s="5"/>
      <c r="CQ31" s="5"/>
      <c r="CR31" s="5" t="str">
        <f t="shared" si="187"/>
        <v/>
      </c>
      <c r="CS31" s="36" t="str">
        <f t="shared" si="188"/>
        <v/>
      </c>
      <c r="CT31" s="29"/>
      <c r="CV31" s="14"/>
      <c r="CW31" s="39"/>
      <c r="CX31" s="5" t="str">
        <f t="shared" si="205"/>
        <v/>
      </c>
      <c r="CY31" s="5"/>
      <c r="CZ31" s="5"/>
      <c r="DA31" s="5"/>
      <c r="DB31" s="5" t="str">
        <f t="shared" si="206"/>
        <v/>
      </c>
      <c r="DC31" s="5"/>
      <c r="DD31" s="5"/>
      <c r="DE31" s="5"/>
      <c r="DF31" s="5" t="str">
        <f t="shared" si="189"/>
        <v/>
      </c>
      <c r="DG31" s="36" t="str">
        <f t="shared" si="190"/>
        <v/>
      </c>
      <c r="DH31" s="29"/>
      <c r="DJ31" s="14"/>
      <c r="DK31" s="39"/>
      <c r="DL31" s="5" t="str">
        <f t="shared" si="207"/>
        <v/>
      </c>
      <c r="DM31" s="5"/>
      <c r="DN31" s="5"/>
      <c r="DO31" s="5"/>
      <c r="DP31" s="5" t="str">
        <f t="shared" si="208"/>
        <v/>
      </c>
      <c r="DQ31" s="5"/>
      <c r="DR31" s="5"/>
      <c r="DS31" s="5"/>
      <c r="DT31" s="5" t="str">
        <f t="shared" si="191"/>
        <v/>
      </c>
      <c r="DU31" s="36" t="str">
        <f t="shared" si="192"/>
        <v/>
      </c>
      <c r="DV31" s="29"/>
      <c r="DX31" s="14"/>
      <c r="DY31" s="39"/>
      <c r="DZ31" s="5" t="str">
        <f t="shared" si="209"/>
        <v/>
      </c>
      <c r="EA31" s="5"/>
      <c r="EB31" s="5"/>
      <c r="EC31" s="5"/>
      <c r="ED31" s="5" t="str">
        <f t="shared" si="210"/>
        <v/>
      </c>
      <c r="EE31" s="5"/>
      <c r="EF31" s="5"/>
      <c r="EG31" s="5"/>
      <c r="EH31" s="5" t="str">
        <f t="shared" si="193"/>
        <v/>
      </c>
      <c r="EI31" s="36" t="str">
        <f t="shared" si="194"/>
        <v/>
      </c>
      <c r="EJ31" s="29"/>
      <c r="EL31" s="14"/>
      <c r="EM31" s="39"/>
      <c r="EN31" s="5" t="str">
        <f t="shared" si="211"/>
        <v/>
      </c>
      <c r="EO31" s="5"/>
      <c r="EP31" s="5"/>
      <c r="EQ31" s="5"/>
      <c r="ER31" s="5" t="str">
        <f t="shared" si="212"/>
        <v/>
      </c>
      <c r="ES31" s="5"/>
      <c r="ET31" s="5"/>
      <c r="EU31" s="5"/>
      <c r="EV31" s="5" t="str">
        <f t="shared" si="195"/>
        <v/>
      </c>
      <c r="EW31" s="36" t="str">
        <f t="shared" si="196"/>
        <v/>
      </c>
      <c r="EX31" s="29"/>
      <c r="EZ31" s="14"/>
      <c r="FA31" s="39"/>
      <c r="FB31" s="5" t="str">
        <f t="shared" si="213"/>
        <v/>
      </c>
      <c r="FC31" s="5"/>
      <c r="FD31" s="5"/>
      <c r="FE31" s="5"/>
      <c r="FF31" s="5" t="str">
        <f t="shared" si="214"/>
        <v/>
      </c>
      <c r="FG31" s="5"/>
      <c r="FH31" s="5"/>
      <c r="FI31" s="5"/>
      <c r="FJ31" s="5" t="str">
        <f t="shared" si="197"/>
        <v/>
      </c>
      <c r="FK31" s="36" t="str">
        <f t="shared" si="198"/>
        <v/>
      </c>
      <c r="FL31" s="29"/>
      <c r="FN31" s="14"/>
      <c r="FO31" s="39"/>
      <c r="FP31" s="5" t="str">
        <f t="shared" si="215"/>
        <v/>
      </c>
      <c r="FQ31" s="5"/>
      <c r="FR31" s="5"/>
      <c r="FS31" s="5"/>
      <c r="FT31" s="5" t="str">
        <f t="shared" si="216"/>
        <v/>
      </c>
      <c r="FU31" s="5"/>
      <c r="FV31" s="5"/>
      <c r="FW31" s="5"/>
      <c r="FX31" s="5" t="str">
        <f t="shared" si="199"/>
        <v/>
      </c>
      <c r="FY31" s="36" t="str">
        <f t="shared" si="200"/>
        <v/>
      </c>
      <c r="FZ31" s="29"/>
      <c r="GB31" s="14"/>
      <c r="GC31" s="39"/>
      <c r="GD31" s="5" t="str">
        <f t="shared" si="217"/>
        <v/>
      </c>
      <c r="GE31" s="5"/>
      <c r="GF31" s="5"/>
      <c r="GG31" s="5"/>
      <c r="GH31" s="5" t="str">
        <f t="shared" si="218"/>
        <v/>
      </c>
      <c r="GI31" s="5"/>
      <c r="GJ31" s="5"/>
      <c r="GK31" s="5"/>
      <c r="GL31" s="5" t="str">
        <f t="shared" si="201"/>
        <v/>
      </c>
      <c r="GM31" s="36" t="str">
        <f t="shared" si="202"/>
        <v/>
      </c>
      <c r="GN31" s="29"/>
      <c r="GP31" s="14"/>
      <c r="GQ31" s="39"/>
      <c r="GR31" s="5" t="str">
        <f t="shared" si="219"/>
        <v/>
      </c>
      <c r="GS31" s="5"/>
      <c r="GT31" s="5" t="str">
        <f>IF(GS31="","",GS31-GS30)</f>
        <v/>
      </c>
      <c r="GU31" s="5"/>
      <c r="GV31" s="5"/>
      <c r="GW31" s="5"/>
      <c r="GX31" s="5" t="str">
        <f t="shared" si="220"/>
        <v/>
      </c>
      <c r="GY31" s="5"/>
      <c r="GZ31" s="5"/>
      <c r="HA31" s="5"/>
      <c r="HB31" s="5" t="str">
        <f t="shared" si="221"/>
        <v/>
      </c>
      <c r="HC31" s="36" t="str">
        <f t="shared" si="222"/>
        <v/>
      </c>
      <c r="HD31" s="29"/>
      <c r="HF31" s="14"/>
      <c r="HG31" s="39"/>
      <c r="HH31" s="5" t="str">
        <f t="shared" si="223"/>
        <v/>
      </c>
      <c r="HI31" s="5"/>
      <c r="HJ31" s="29"/>
      <c r="HL31" s="14"/>
      <c r="HM31" s="39"/>
      <c r="HN31" s="5" t="str">
        <f t="shared" si="224"/>
        <v/>
      </c>
      <c r="HO31" s="5"/>
      <c r="HP31" s="29"/>
      <c r="HR31" s="14"/>
      <c r="HS31" s="39"/>
      <c r="HT31" s="5" t="str">
        <f t="shared" si="225"/>
        <v/>
      </c>
      <c r="HU31" s="5"/>
      <c r="HV31" s="29"/>
    </row>
    <row r="32" spans="1:230" ht="15" customHeight="1" x14ac:dyDescent="0.2">
      <c r="A32" s="54"/>
      <c r="B32" s="26"/>
      <c r="C32" s="5"/>
      <c r="D32" s="143" t="str">
        <f t="shared" si="126"/>
        <v/>
      </c>
      <c r="E32" s="5"/>
      <c r="F32" s="5" t="str">
        <f t="shared" si="127"/>
        <v/>
      </c>
      <c r="G32" s="5"/>
      <c r="H32" s="5" t="str">
        <f t="shared" si="128"/>
        <v/>
      </c>
      <c r="I32" s="35"/>
      <c r="J32" s="38" t="str">
        <f t="shared" si="226"/>
        <v/>
      </c>
      <c r="K32" s="39" t="str">
        <f t="shared" si="227"/>
        <v/>
      </c>
      <c r="L32" s="5" t="str">
        <f t="shared" si="228"/>
        <v/>
      </c>
      <c r="M32" s="36" t="str">
        <f t="shared" si="229"/>
        <v/>
      </c>
      <c r="N32" s="29"/>
      <c r="P32" s="54"/>
      <c r="Q32" s="5"/>
      <c r="R32" s="143" t="str">
        <f t="shared" si="91"/>
        <v/>
      </c>
      <c r="S32" s="5"/>
      <c r="T32" s="5" t="str">
        <f t="shared" si="92"/>
        <v/>
      </c>
      <c r="U32" s="5"/>
      <c r="V32" s="5" t="str">
        <f t="shared" si="93"/>
        <v/>
      </c>
      <c r="W32" s="35"/>
      <c r="X32" s="38" t="str">
        <f t="shared" si="94"/>
        <v/>
      </c>
      <c r="Y32" s="39" t="str">
        <f t="shared" si="95"/>
        <v/>
      </c>
      <c r="Z32" s="5" t="str">
        <f t="shared" si="96"/>
        <v/>
      </c>
      <c r="AA32" s="36" t="str">
        <f t="shared" si="97"/>
        <v/>
      </c>
      <c r="AB32" s="29"/>
      <c r="AD32" s="54"/>
      <c r="AE32" s="5"/>
      <c r="AF32" s="143" t="str">
        <f t="shared" si="98"/>
        <v/>
      </c>
      <c r="AG32" s="5"/>
      <c r="AH32" s="5" t="str">
        <f t="shared" si="99"/>
        <v/>
      </c>
      <c r="AI32" s="5"/>
      <c r="AJ32" s="5" t="str">
        <f t="shared" si="100"/>
        <v/>
      </c>
      <c r="AK32" s="35"/>
      <c r="AL32" s="38" t="str">
        <f t="shared" si="101"/>
        <v/>
      </c>
      <c r="AM32" s="39" t="str">
        <f t="shared" si="102"/>
        <v/>
      </c>
      <c r="AN32" s="5" t="str">
        <f t="shared" si="103"/>
        <v/>
      </c>
      <c r="AO32" s="36" t="str">
        <f t="shared" si="104"/>
        <v/>
      </c>
      <c r="AP32" s="29"/>
      <c r="AR32" s="54"/>
      <c r="AS32" s="5"/>
      <c r="AT32" s="143" t="str">
        <f t="shared" si="105"/>
        <v/>
      </c>
      <c r="AU32" s="5"/>
      <c r="AV32" s="5" t="str">
        <f t="shared" si="106"/>
        <v/>
      </c>
      <c r="AW32" s="5"/>
      <c r="AX32" s="5" t="str">
        <f t="shared" si="107"/>
        <v/>
      </c>
      <c r="AY32" s="35"/>
      <c r="AZ32" s="38" t="str">
        <f t="shared" si="133"/>
        <v/>
      </c>
      <c r="BA32" s="39" t="str">
        <f t="shared" si="109"/>
        <v/>
      </c>
      <c r="BB32" s="5" t="str">
        <f t="shared" si="110"/>
        <v/>
      </c>
      <c r="BC32" s="36" t="str">
        <f t="shared" si="111"/>
        <v/>
      </c>
      <c r="BD32" s="29"/>
      <c r="BE32" s="32"/>
      <c r="BF32" s="25"/>
      <c r="BG32" s="5"/>
      <c r="BH32" s="143" t="str">
        <f t="shared" si="112"/>
        <v/>
      </c>
      <c r="BI32" s="5"/>
      <c r="BJ32" s="5" t="str">
        <f t="shared" si="113"/>
        <v/>
      </c>
      <c r="BK32" s="5"/>
      <c r="BL32" s="5" t="str">
        <f t="shared" si="114"/>
        <v/>
      </c>
      <c r="BM32" s="35"/>
      <c r="BN32" s="38" t="str">
        <f t="shared" si="115"/>
        <v/>
      </c>
      <c r="BO32" s="39" t="str">
        <f t="shared" si="116"/>
        <v/>
      </c>
      <c r="BP32" s="5" t="str">
        <f t="shared" si="117"/>
        <v/>
      </c>
      <c r="BQ32" s="36" t="str">
        <f t="shared" si="118"/>
        <v/>
      </c>
      <c r="BR32" s="29"/>
      <c r="BT32" s="25"/>
      <c r="BU32" s="5"/>
      <c r="BV32" s="143" t="str">
        <f t="shared" si="119"/>
        <v/>
      </c>
      <c r="BW32" s="5"/>
      <c r="BX32" s="5" t="str">
        <f t="shared" si="120"/>
        <v/>
      </c>
      <c r="BY32" s="5"/>
      <c r="BZ32" s="5" t="str">
        <f t="shared" si="121"/>
        <v/>
      </c>
      <c r="CA32" s="35"/>
      <c r="CB32" s="38" t="str">
        <f t="shared" si="122"/>
        <v/>
      </c>
      <c r="CC32" s="39" t="str">
        <f t="shared" si="123"/>
        <v/>
      </c>
      <c r="CD32" s="5" t="str">
        <f t="shared" si="124"/>
        <v/>
      </c>
      <c r="CE32" s="36" t="str">
        <f t="shared" si="125"/>
        <v/>
      </c>
      <c r="CF32" s="29"/>
      <c r="CH32" s="14"/>
      <c r="CI32" s="39"/>
      <c r="CJ32" s="5" t="str">
        <f t="shared" si="203"/>
        <v/>
      </c>
      <c r="CK32" s="5"/>
      <c r="CL32" s="5"/>
      <c r="CM32" s="5"/>
      <c r="CN32" s="5" t="str">
        <f t="shared" si="204"/>
        <v/>
      </c>
      <c r="CO32" s="5"/>
      <c r="CP32" s="5"/>
      <c r="CQ32" s="5"/>
      <c r="CR32" s="5" t="str">
        <f t="shared" si="187"/>
        <v/>
      </c>
      <c r="CS32" s="36" t="str">
        <f t="shared" si="188"/>
        <v/>
      </c>
      <c r="CT32" s="29"/>
      <c r="CV32" s="14"/>
      <c r="CW32" s="39"/>
      <c r="CX32" s="5" t="str">
        <f t="shared" si="205"/>
        <v/>
      </c>
      <c r="CY32" s="5"/>
      <c r="CZ32" s="5"/>
      <c r="DA32" s="5"/>
      <c r="DB32" s="5" t="str">
        <f t="shared" si="206"/>
        <v/>
      </c>
      <c r="DC32" s="5"/>
      <c r="DD32" s="5"/>
      <c r="DE32" s="5"/>
      <c r="DF32" s="5" t="str">
        <f t="shared" si="189"/>
        <v/>
      </c>
      <c r="DG32" s="36" t="str">
        <f t="shared" si="190"/>
        <v/>
      </c>
      <c r="DH32" s="29"/>
      <c r="DJ32" s="14"/>
      <c r="DK32" s="39"/>
      <c r="DL32" s="5" t="str">
        <f t="shared" si="207"/>
        <v/>
      </c>
      <c r="DM32" s="5"/>
      <c r="DN32" s="5"/>
      <c r="DO32" s="5"/>
      <c r="DP32" s="5" t="str">
        <f t="shared" si="208"/>
        <v/>
      </c>
      <c r="DQ32" s="5"/>
      <c r="DR32" s="5"/>
      <c r="DS32" s="5"/>
      <c r="DT32" s="5" t="str">
        <f t="shared" si="191"/>
        <v/>
      </c>
      <c r="DU32" s="36" t="str">
        <f t="shared" si="192"/>
        <v/>
      </c>
      <c r="DV32" s="29"/>
      <c r="DX32" s="14"/>
      <c r="DY32" s="39"/>
      <c r="DZ32" s="5" t="str">
        <f t="shared" si="209"/>
        <v/>
      </c>
      <c r="EA32" s="5"/>
      <c r="EB32" s="5"/>
      <c r="EC32" s="5"/>
      <c r="ED32" s="5" t="str">
        <f t="shared" si="210"/>
        <v/>
      </c>
      <c r="EE32" s="5"/>
      <c r="EF32" s="5"/>
      <c r="EG32" s="5"/>
      <c r="EH32" s="5" t="str">
        <f t="shared" si="193"/>
        <v/>
      </c>
      <c r="EI32" s="36" t="str">
        <f t="shared" si="194"/>
        <v/>
      </c>
      <c r="EJ32" s="29"/>
      <c r="EL32" s="14"/>
      <c r="EM32" s="39"/>
      <c r="EN32" s="5" t="str">
        <f t="shared" si="211"/>
        <v/>
      </c>
      <c r="EO32" s="5"/>
      <c r="EP32" s="5"/>
      <c r="EQ32" s="5"/>
      <c r="ER32" s="5" t="str">
        <f t="shared" si="212"/>
        <v/>
      </c>
      <c r="ES32" s="5"/>
      <c r="ET32" s="5"/>
      <c r="EU32" s="5"/>
      <c r="EV32" s="5" t="str">
        <f t="shared" si="195"/>
        <v/>
      </c>
      <c r="EW32" s="36" t="str">
        <f t="shared" si="196"/>
        <v/>
      </c>
      <c r="EX32" s="29"/>
      <c r="EZ32" s="14"/>
      <c r="FA32" s="39"/>
      <c r="FB32" s="5" t="str">
        <f t="shared" si="213"/>
        <v/>
      </c>
      <c r="FC32" s="5"/>
      <c r="FD32" s="5"/>
      <c r="FE32" s="5"/>
      <c r="FF32" s="5" t="str">
        <f t="shared" si="214"/>
        <v/>
      </c>
      <c r="FG32" s="5"/>
      <c r="FH32" s="5"/>
      <c r="FI32" s="5"/>
      <c r="FJ32" s="5" t="str">
        <f t="shared" si="197"/>
        <v/>
      </c>
      <c r="FK32" s="36" t="str">
        <f t="shared" si="198"/>
        <v/>
      </c>
      <c r="FL32" s="29"/>
      <c r="FN32" s="14"/>
      <c r="FO32" s="39"/>
      <c r="FP32" s="5" t="str">
        <f t="shared" si="215"/>
        <v/>
      </c>
      <c r="FQ32" s="5"/>
      <c r="FR32" s="5"/>
      <c r="FS32" s="5"/>
      <c r="FT32" s="5" t="str">
        <f t="shared" si="216"/>
        <v/>
      </c>
      <c r="FU32" s="5"/>
      <c r="FV32" s="5"/>
      <c r="FW32" s="5"/>
      <c r="FX32" s="5" t="str">
        <f t="shared" si="199"/>
        <v/>
      </c>
      <c r="FY32" s="36" t="str">
        <f t="shared" si="200"/>
        <v/>
      </c>
      <c r="FZ32" s="29"/>
      <c r="GB32" s="14"/>
      <c r="GC32" s="39"/>
      <c r="GD32" s="5" t="str">
        <f t="shared" si="217"/>
        <v/>
      </c>
      <c r="GE32" s="5"/>
      <c r="GF32" s="5"/>
      <c r="GG32" s="5"/>
      <c r="GH32" s="5" t="str">
        <f t="shared" si="218"/>
        <v/>
      </c>
      <c r="GI32" s="5"/>
      <c r="GJ32" s="5"/>
      <c r="GK32" s="5"/>
      <c r="GL32" s="5" t="str">
        <f t="shared" si="201"/>
        <v/>
      </c>
      <c r="GM32" s="36" t="str">
        <f t="shared" si="202"/>
        <v/>
      </c>
      <c r="GN32" s="29"/>
      <c r="GP32" s="14"/>
      <c r="GQ32" s="39"/>
      <c r="GR32" s="5" t="str">
        <f t="shared" si="219"/>
        <v/>
      </c>
      <c r="GS32" s="5"/>
      <c r="GT32" s="5"/>
      <c r="GU32" s="5"/>
      <c r="GV32" s="5"/>
      <c r="GW32" s="5"/>
      <c r="GX32" s="5" t="str">
        <f t="shared" si="220"/>
        <v/>
      </c>
      <c r="GY32" s="5"/>
      <c r="GZ32" s="5"/>
      <c r="HA32" s="5"/>
      <c r="HB32" s="5" t="str">
        <f t="shared" si="221"/>
        <v/>
      </c>
      <c r="HC32" s="36" t="str">
        <f t="shared" si="222"/>
        <v/>
      </c>
      <c r="HD32" s="29"/>
      <c r="HF32" s="14"/>
      <c r="HG32" s="39"/>
      <c r="HH32" s="5" t="str">
        <f t="shared" si="223"/>
        <v/>
      </c>
      <c r="HI32" s="5"/>
      <c r="HJ32" s="29"/>
      <c r="HL32" s="14"/>
      <c r="HM32" s="39"/>
      <c r="HN32" s="5" t="str">
        <f t="shared" si="224"/>
        <v/>
      </c>
      <c r="HO32" s="5"/>
      <c r="HP32" s="29"/>
      <c r="HR32" s="14"/>
      <c r="HS32" s="39"/>
      <c r="HT32" s="5" t="str">
        <f t="shared" si="225"/>
        <v/>
      </c>
      <c r="HU32" s="5"/>
      <c r="HV32" s="29"/>
    </row>
    <row r="33" spans="1:230" ht="15" customHeight="1" x14ac:dyDescent="0.2">
      <c r="A33" s="54"/>
      <c r="B33" s="37"/>
      <c r="C33" s="58"/>
      <c r="D33" s="143" t="str">
        <f t="shared" si="126"/>
        <v/>
      </c>
      <c r="E33" s="5"/>
      <c r="F33" s="5" t="str">
        <f t="shared" si="127"/>
        <v/>
      </c>
      <c r="G33" s="58"/>
      <c r="H33" s="5" t="str">
        <f t="shared" si="128"/>
        <v/>
      </c>
      <c r="I33" s="59"/>
      <c r="J33" s="38" t="str">
        <f t="shared" si="226"/>
        <v/>
      </c>
      <c r="K33" s="5" t="str">
        <f t="shared" si="227"/>
        <v/>
      </c>
      <c r="L33" s="5" t="str">
        <f t="shared" si="228"/>
        <v/>
      </c>
      <c r="M33" s="36" t="str">
        <f t="shared" si="229"/>
        <v/>
      </c>
      <c r="N33" s="29"/>
      <c r="P33" s="54"/>
      <c r="Q33" s="58"/>
      <c r="R33" s="143" t="str">
        <f t="shared" si="91"/>
        <v/>
      </c>
      <c r="S33" s="5"/>
      <c r="T33" s="5" t="str">
        <f t="shared" si="92"/>
        <v/>
      </c>
      <c r="U33" s="58"/>
      <c r="V33" s="5" t="str">
        <f t="shared" si="93"/>
        <v/>
      </c>
      <c r="W33" s="59"/>
      <c r="X33" s="38" t="str">
        <f t="shared" si="94"/>
        <v/>
      </c>
      <c r="Y33" s="5" t="str">
        <f t="shared" si="95"/>
        <v/>
      </c>
      <c r="Z33" s="5" t="str">
        <f t="shared" si="96"/>
        <v/>
      </c>
      <c r="AA33" s="36" t="str">
        <f t="shared" si="97"/>
        <v/>
      </c>
      <c r="AB33" s="29"/>
      <c r="AD33" s="54"/>
      <c r="AE33" s="58"/>
      <c r="AF33" s="143" t="str">
        <f t="shared" si="98"/>
        <v/>
      </c>
      <c r="AG33" s="5"/>
      <c r="AH33" s="5" t="str">
        <f t="shared" si="99"/>
        <v/>
      </c>
      <c r="AI33" s="58"/>
      <c r="AJ33" s="5" t="str">
        <f t="shared" si="100"/>
        <v/>
      </c>
      <c r="AK33" s="59"/>
      <c r="AL33" s="38" t="str">
        <f t="shared" si="101"/>
        <v/>
      </c>
      <c r="AM33" s="5" t="str">
        <f t="shared" si="102"/>
        <v/>
      </c>
      <c r="AN33" s="5" t="str">
        <f t="shared" si="103"/>
        <v/>
      </c>
      <c r="AO33" s="36" t="str">
        <f t="shared" si="104"/>
        <v/>
      </c>
      <c r="AP33" s="29"/>
      <c r="AR33" s="54"/>
      <c r="AS33" s="58"/>
      <c r="AT33" s="143" t="str">
        <f t="shared" si="105"/>
        <v/>
      </c>
      <c r="AU33" s="5"/>
      <c r="AV33" s="5" t="str">
        <f t="shared" si="106"/>
        <v/>
      </c>
      <c r="AW33" s="58"/>
      <c r="AX33" s="5" t="str">
        <f t="shared" si="107"/>
        <v/>
      </c>
      <c r="AY33" s="59"/>
      <c r="AZ33" s="38" t="str">
        <f t="shared" si="133"/>
        <v/>
      </c>
      <c r="BA33" s="5" t="str">
        <f t="shared" si="109"/>
        <v/>
      </c>
      <c r="BB33" s="5" t="str">
        <f t="shared" si="110"/>
        <v/>
      </c>
      <c r="BC33" s="36" t="str">
        <f t="shared" si="111"/>
        <v/>
      </c>
      <c r="BD33" s="29"/>
      <c r="BE33" s="32"/>
      <c r="BF33" s="25"/>
      <c r="BG33" s="58"/>
      <c r="BH33" s="143" t="str">
        <f t="shared" si="112"/>
        <v/>
      </c>
      <c r="BI33" s="5"/>
      <c r="BJ33" s="5" t="str">
        <f t="shared" si="113"/>
        <v/>
      </c>
      <c r="BK33" s="58"/>
      <c r="BL33" s="5" t="str">
        <f t="shared" si="114"/>
        <v/>
      </c>
      <c r="BM33" s="59"/>
      <c r="BN33" s="38" t="str">
        <f t="shared" si="115"/>
        <v/>
      </c>
      <c r="BO33" s="5" t="str">
        <f t="shared" si="116"/>
        <v/>
      </c>
      <c r="BP33" s="5" t="str">
        <f t="shared" si="117"/>
        <v/>
      </c>
      <c r="BQ33" s="36" t="str">
        <f t="shared" si="118"/>
        <v/>
      </c>
      <c r="BR33" s="29"/>
      <c r="BT33" s="25"/>
      <c r="BU33" s="58"/>
      <c r="BV33" s="143" t="str">
        <f t="shared" si="119"/>
        <v/>
      </c>
      <c r="BW33" s="5"/>
      <c r="BX33" s="5" t="str">
        <f t="shared" si="120"/>
        <v/>
      </c>
      <c r="BY33" s="58"/>
      <c r="BZ33" s="5" t="str">
        <f t="shared" si="121"/>
        <v/>
      </c>
      <c r="CA33" s="59"/>
      <c r="CB33" s="38" t="str">
        <f t="shared" si="122"/>
        <v/>
      </c>
      <c r="CC33" s="5" t="str">
        <f t="shared" si="123"/>
        <v/>
      </c>
      <c r="CD33" s="5" t="str">
        <f t="shared" si="124"/>
        <v/>
      </c>
      <c r="CE33" s="36" t="str">
        <f t="shared" si="125"/>
        <v/>
      </c>
      <c r="CF33" s="29"/>
      <c r="CH33" s="14"/>
      <c r="CI33" s="39"/>
      <c r="CJ33" s="5" t="str">
        <f t="shared" si="203"/>
        <v/>
      </c>
      <c r="CK33" s="5"/>
      <c r="CL33" s="5"/>
      <c r="CM33" s="5"/>
      <c r="CN33" s="5" t="str">
        <f t="shared" si="204"/>
        <v/>
      </c>
      <c r="CO33" s="5"/>
      <c r="CP33" s="5"/>
      <c r="CQ33" s="5"/>
      <c r="CR33" s="5" t="str">
        <f t="shared" si="187"/>
        <v/>
      </c>
      <c r="CS33" s="36" t="str">
        <f t="shared" si="188"/>
        <v/>
      </c>
      <c r="CT33" s="29"/>
      <c r="CV33" s="14"/>
      <c r="CW33" s="39"/>
      <c r="CX33" s="5" t="str">
        <f t="shared" si="205"/>
        <v/>
      </c>
      <c r="CY33" s="5"/>
      <c r="CZ33" s="5"/>
      <c r="DA33" s="5"/>
      <c r="DB33" s="5" t="str">
        <f t="shared" si="206"/>
        <v/>
      </c>
      <c r="DC33" s="5"/>
      <c r="DD33" s="5"/>
      <c r="DE33" s="5"/>
      <c r="DF33" s="5" t="str">
        <f t="shared" si="189"/>
        <v/>
      </c>
      <c r="DG33" s="36" t="str">
        <f t="shared" si="190"/>
        <v/>
      </c>
      <c r="DH33" s="29"/>
      <c r="DJ33" s="14"/>
      <c r="DK33" s="39"/>
      <c r="DL33" s="5" t="str">
        <f t="shared" si="207"/>
        <v/>
      </c>
      <c r="DM33" s="5"/>
      <c r="DN33" s="5"/>
      <c r="DO33" s="5"/>
      <c r="DP33" s="5" t="str">
        <f t="shared" si="208"/>
        <v/>
      </c>
      <c r="DQ33" s="5"/>
      <c r="DR33" s="5"/>
      <c r="DS33" s="5"/>
      <c r="DT33" s="5" t="str">
        <f t="shared" si="191"/>
        <v/>
      </c>
      <c r="DU33" s="36" t="str">
        <f t="shared" si="192"/>
        <v/>
      </c>
      <c r="DV33" s="29"/>
      <c r="DX33" s="14"/>
      <c r="DY33" s="39"/>
      <c r="DZ33" s="5" t="str">
        <f t="shared" si="209"/>
        <v/>
      </c>
      <c r="EA33" s="5"/>
      <c r="EB33" s="5"/>
      <c r="EC33" s="5"/>
      <c r="ED33" s="5" t="str">
        <f t="shared" si="210"/>
        <v/>
      </c>
      <c r="EE33" s="5"/>
      <c r="EF33" s="5"/>
      <c r="EG33" s="5"/>
      <c r="EH33" s="5" t="str">
        <f t="shared" si="193"/>
        <v/>
      </c>
      <c r="EI33" s="36" t="str">
        <f t="shared" si="194"/>
        <v/>
      </c>
      <c r="EJ33" s="29"/>
      <c r="EL33" s="14"/>
      <c r="EM33" s="39"/>
      <c r="EN33" s="5" t="str">
        <f t="shared" si="211"/>
        <v/>
      </c>
      <c r="EO33" s="5"/>
      <c r="EP33" s="5"/>
      <c r="EQ33" s="5"/>
      <c r="ER33" s="5" t="str">
        <f t="shared" si="212"/>
        <v/>
      </c>
      <c r="ES33" s="5"/>
      <c r="ET33" s="5"/>
      <c r="EU33" s="5"/>
      <c r="EV33" s="5" t="str">
        <f t="shared" si="195"/>
        <v/>
      </c>
      <c r="EW33" s="36" t="str">
        <f t="shared" si="196"/>
        <v/>
      </c>
      <c r="EX33" s="29"/>
      <c r="EZ33" s="14"/>
      <c r="FA33" s="39"/>
      <c r="FB33" s="5" t="str">
        <f t="shared" si="213"/>
        <v/>
      </c>
      <c r="FC33" s="5"/>
      <c r="FD33" s="5"/>
      <c r="FE33" s="5"/>
      <c r="FF33" s="5" t="str">
        <f t="shared" si="214"/>
        <v/>
      </c>
      <c r="FG33" s="5"/>
      <c r="FH33" s="5"/>
      <c r="FI33" s="5"/>
      <c r="FJ33" s="5" t="str">
        <f t="shared" si="197"/>
        <v/>
      </c>
      <c r="FK33" s="36" t="str">
        <f t="shared" si="198"/>
        <v/>
      </c>
      <c r="FL33" s="29"/>
      <c r="FN33" s="14"/>
      <c r="FO33" s="39"/>
      <c r="FP33" s="5" t="str">
        <f t="shared" si="215"/>
        <v/>
      </c>
      <c r="FQ33" s="5"/>
      <c r="FR33" s="5"/>
      <c r="FS33" s="5"/>
      <c r="FT33" s="5" t="str">
        <f t="shared" si="216"/>
        <v/>
      </c>
      <c r="FU33" s="5"/>
      <c r="FV33" s="5"/>
      <c r="FW33" s="5"/>
      <c r="FX33" s="5" t="str">
        <f t="shared" si="199"/>
        <v/>
      </c>
      <c r="FY33" s="36" t="str">
        <f t="shared" si="200"/>
        <v/>
      </c>
      <c r="FZ33" s="29"/>
      <c r="GB33" s="14"/>
      <c r="GC33" s="39"/>
      <c r="GD33" s="5" t="str">
        <f t="shared" si="217"/>
        <v/>
      </c>
      <c r="GE33" s="5"/>
      <c r="GF33" s="5"/>
      <c r="GG33" s="5"/>
      <c r="GH33" s="5" t="str">
        <f t="shared" si="218"/>
        <v/>
      </c>
      <c r="GI33" s="5"/>
      <c r="GJ33" s="5"/>
      <c r="GK33" s="5"/>
      <c r="GL33" s="5" t="str">
        <f t="shared" si="201"/>
        <v/>
      </c>
      <c r="GM33" s="36" t="str">
        <f t="shared" si="202"/>
        <v/>
      </c>
      <c r="GN33" s="29"/>
      <c r="GP33" s="14"/>
      <c r="GQ33" s="39"/>
      <c r="GR33" s="5" t="str">
        <f t="shared" si="219"/>
        <v/>
      </c>
      <c r="GS33" s="5"/>
      <c r="GT33" s="5"/>
      <c r="GU33" s="5"/>
      <c r="GV33" s="5"/>
      <c r="GW33" s="5"/>
      <c r="GX33" s="5" t="str">
        <f t="shared" si="220"/>
        <v/>
      </c>
      <c r="GY33" s="5"/>
      <c r="GZ33" s="5"/>
      <c r="HA33" s="5"/>
      <c r="HB33" s="5" t="str">
        <f t="shared" si="221"/>
        <v/>
      </c>
      <c r="HC33" s="36" t="str">
        <f t="shared" si="222"/>
        <v/>
      </c>
      <c r="HD33" s="29"/>
      <c r="HF33" s="14"/>
      <c r="HG33" s="39"/>
      <c r="HH33" s="5" t="str">
        <f t="shared" si="223"/>
        <v/>
      </c>
      <c r="HI33" s="5"/>
      <c r="HJ33" s="29"/>
      <c r="HL33" s="14"/>
      <c r="HM33" s="39"/>
      <c r="HN33" s="5" t="str">
        <f t="shared" si="224"/>
        <v/>
      </c>
      <c r="HO33" s="5"/>
      <c r="HP33" s="29"/>
      <c r="HR33" s="14"/>
      <c r="HS33" s="39"/>
      <c r="HT33" s="5" t="str">
        <f t="shared" si="225"/>
        <v/>
      </c>
      <c r="HU33" s="5"/>
      <c r="HV33" s="29"/>
    </row>
    <row r="34" spans="1:230" ht="15" customHeight="1" thickBot="1" x14ac:dyDescent="0.25">
      <c r="A34" s="60"/>
      <c r="B34" s="73"/>
      <c r="C34" s="44"/>
      <c r="D34" s="61" t="str">
        <f t="shared" si="126"/>
        <v/>
      </c>
      <c r="E34" s="44"/>
      <c r="F34" s="44" t="str">
        <f t="shared" si="127"/>
        <v/>
      </c>
      <c r="G34" s="44"/>
      <c r="H34" s="44" t="str">
        <f t="shared" si="128"/>
        <v/>
      </c>
      <c r="I34" s="62"/>
      <c r="J34" s="47" t="str">
        <f t="shared" si="226"/>
        <v/>
      </c>
      <c r="K34" s="61" t="str">
        <f t="shared" si="227"/>
        <v/>
      </c>
      <c r="L34" s="44" t="str">
        <f t="shared" si="228"/>
        <v/>
      </c>
      <c r="M34" s="46" t="str">
        <f t="shared" si="229"/>
        <v/>
      </c>
      <c r="N34" s="29"/>
      <c r="P34" s="60"/>
      <c r="Q34" s="44"/>
      <c r="R34" s="61" t="str">
        <f t="shared" si="91"/>
        <v/>
      </c>
      <c r="S34" s="44"/>
      <c r="T34" s="44" t="str">
        <f t="shared" si="92"/>
        <v/>
      </c>
      <c r="U34" s="44"/>
      <c r="V34" s="44" t="str">
        <f t="shared" si="93"/>
        <v/>
      </c>
      <c r="W34" s="62"/>
      <c r="X34" s="47" t="str">
        <f t="shared" si="94"/>
        <v/>
      </c>
      <c r="Y34" s="61" t="str">
        <f t="shared" si="95"/>
        <v/>
      </c>
      <c r="Z34" s="44" t="str">
        <f t="shared" si="96"/>
        <v/>
      </c>
      <c r="AA34" s="46" t="str">
        <f t="shared" si="97"/>
        <v/>
      </c>
      <c r="AB34" s="29"/>
      <c r="AD34" s="60"/>
      <c r="AE34" s="44"/>
      <c r="AF34" s="61" t="str">
        <f t="shared" si="98"/>
        <v/>
      </c>
      <c r="AG34" s="44"/>
      <c r="AH34" s="44" t="str">
        <f t="shared" si="99"/>
        <v/>
      </c>
      <c r="AI34" s="44"/>
      <c r="AJ34" s="44" t="str">
        <f t="shared" si="100"/>
        <v/>
      </c>
      <c r="AK34" s="62"/>
      <c r="AL34" s="47" t="str">
        <f t="shared" si="101"/>
        <v/>
      </c>
      <c r="AM34" s="61" t="str">
        <f t="shared" si="102"/>
        <v/>
      </c>
      <c r="AN34" s="44" t="str">
        <f t="shared" si="103"/>
        <v/>
      </c>
      <c r="AO34" s="46" t="str">
        <f t="shared" si="104"/>
        <v/>
      </c>
      <c r="AP34" s="29"/>
      <c r="AR34" s="60"/>
      <c r="AS34" s="44"/>
      <c r="AT34" s="61" t="str">
        <f t="shared" si="105"/>
        <v/>
      </c>
      <c r="AU34" s="44"/>
      <c r="AV34" s="44" t="str">
        <f t="shared" si="106"/>
        <v/>
      </c>
      <c r="AW34" s="44"/>
      <c r="AX34" s="44" t="str">
        <f t="shared" si="107"/>
        <v/>
      </c>
      <c r="AY34" s="62"/>
      <c r="AZ34" s="47" t="str">
        <f t="shared" si="133"/>
        <v/>
      </c>
      <c r="BA34" s="61" t="str">
        <f t="shared" si="109"/>
        <v/>
      </c>
      <c r="BB34" s="44" t="str">
        <f t="shared" si="110"/>
        <v/>
      </c>
      <c r="BC34" s="46" t="str">
        <f t="shared" si="111"/>
        <v/>
      </c>
      <c r="BD34" s="29"/>
      <c r="BE34" s="32"/>
      <c r="BF34" s="41"/>
      <c r="BG34" s="44"/>
      <c r="BH34" s="61" t="str">
        <f t="shared" si="112"/>
        <v/>
      </c>
      <c r="BI34" s="44"/>
      <c r="BJ34" s="44" t="str">
        <f t="shared" si="113"/>
        <v/>
      </c>
      <c r="BK34" s="44"/>
      <c r="BL34" s="44" t="str">
        <f t="shared" si="114"/>
        <v/>
      </c>
      <c r="BM34" s="62"/>
      <c r="BN34" s="47" t="str">
        <f t="shared" si="115"/>
        <v/>
      </c>
      <c r="BO34" s="61" t="str">
        <f t="shared" si="116"/>
        <v/>
      </c>
      <c r="BP34" s="44" t="str">
        <f t="shared" si="117"/>
        <v/>
      </c>
      <c r="BQ34" s="46" t="str">
        <f t="shared" si="118"/>
        <v/>
      </c>
      <c r="BR34" s="29"/>
      <c r="BT34" s="41"/>
      <c r="BU34" s="44"/>
      <c r="BV34" s="61" t="str">
        <f t="shared" si="119"/>
        <v/>
      </c>
      <c r="BW34" s="44"/>
      <c r="BX34" s="44" t="str">
        <f t="shared" si="120"/>
        <v/>
      </c>
      <c r="BY34" s="44"/>
      <c r="BZ34" s="44" t="str">
        <f t="shared" si="121"/>
        <v/>
      </c>
      <c r="CA34" s="62"/>
      <c r="CB34" s="47" t="str">
        <f t="shared" si="122"/>
        <v/>
      </c>
      <c r="CC34" s="61" t="str">
        <f t="shared" si="123"/>
        <v/>
      </c>
      <c r="CD34" s="44" t="str">
        <f t="shared" si="124"/>
        <v/>
      </c>
      <c r="CE34" s="46" t="str">
        <f t="shared" si="125"/>
        <v/>
      </c>
      <c r="CF34" s="29"/>
      <c r="CH34" s="14"/>
      <c r="CI34" s="39"/>
      <c r="CJ34" s="5" t="str">
        <f t="shared" si="203"/>
        <v/>
      </c>
      <c r="CK34" s="5"/>
      <c r="CL34" s="5"/>
      <c r="CM34" s="5"/>
      <c r="CN34" s="5" t="str">
        <f t="shared" si="204"/>
        <v/>
      </c>
      <c r="CO34" s="5"/>
      <c r="CP34" s="5"/>
      <c r="CQ34" s="5"/>
      <c r="CR34" s="5" t="str">
        <f t="shared" si="187"/>
        <v/>
      </c>
      <c r="CS34" s="36" t="str">
        <f t="shared" si="188"/>
        <v/>
      </c>
      <c r="CT34" s="29"/>
      <c r="CV34" s="14"/>
      <c r="CW34" s="39"/>
      <c r="CX34" s="5" t="str">
        <f t="shared" si="205"/>
        <v/>
      </c>
      <c r="CY34" s="5"/>
      <c r="CZ34" s="5"/>
      <c r="DA34" s="5"/>
      <c r="DB34" s="5" t="str">
        <f t="shared" si="206"/>
        <v/>
      </c>
      <c r="DC34" s="5"/>
      <c r="DD34" s="5"/>
      <c r="DE34" s="5"/>
      <c r="DF34" s="5" t="str">
        <f t="shared" si="189"/>
        <v/>
      </c>
      <c r="DG34" s="36" t="str">
        <f t="shared" si="190"/>
        <v/>
      </c>
      <c r="DH34" s="29"/>
      <c r="DJ34" s="14"/>
      <c r="DK34" s="39"/>
      <c r="DL34" s="5" t="str">
        <f t="shared" si="207"/>
        <v/>
      </c>
      <c r="DM34" s="5"/>
      <c r="DN34" s="5"/>
      <c r="DO34" s="5"/>
      <c r="DP34" s="5" t="str">
        <f t="shared" si="208"/>
        <v/>
      </c>
      <c r="DQ34" s="5"/>
      <c r="DR34" s="5"/>
      <c r="DS34" s="5"/>
      <c r="DT34" s="5" t="str">
        <f t="shared" si="191"/>
        <v/>
      </c>
      <c r="DU34" s="36" t="str">
        <f t="shared" si="192"/>
        <v/>
      </c>
      <c r="DV34" s="29"/>
      <c r="DX34" s="14"/>
      <c r="DY34" s="39"/>
      <c r="DZ34" s="5" t="str">
        <f t="shared" si="209"/>
        <v/>
      </c>
      <c r="EA34" s="5"/>
      <c r="EB34" s="5"/>
      <c r="EC34" s="5"/>
      <c r="ED34" s="5" t="str">
        <f t="shared" si="210"/>
        <v/>
      </c>
      <c r="EE34" s="5"/>
      <c r="EF34" s="5"/>
      <c r="EG34" s="5"/>
      <c r="EH34" s="5" t="str">
        <f t="shared" si="193"/>
        <v/>
      </c>
      <c r="EI34" s="36" t="str">
        <f t="shared" si="194"/>
        <v/>
      </c>
      <c r="EJ34" s="29"/>
      <c r="EL34" s="14"/>
      <c r="EM34" s="39"/>
      <c r="EN34" s="5" t="str">
        <f t="shared" si="211"/>
        <v/>
      </c>
      <c r="EO34" s="5"/>
      <c r="EP34" s="5"/>
      <c r="EQ34" s="5"/>
      <c r="ER34" s="5" t="str">
        <f t="shared" si="212"/>
        <v/>
      </c>
      <c r="ES34" s="5"/>
      <c r="ET34" s="5"/>
      <c r="EU34" s="5"/>
      <c r="EV34" s="5" t="str">
        <f t="shared" si="195"/>
        <v/>
      </c>
      <c r="EW34" s="36" t="str">
        <f t="shared" si="196"/>
        <v/>
      </c>
      <c r="EX34" s="29"/>
      <c r="EZ34" s="14"/>
      <c r="FA34" s="39"/>
      <c r="FB34" s="5" t="str">
        <f t="shared" si="213"/>
        <v/>
      </c>
      <c r="FC34" s="5"/>
      <c r="FD34" s="5"/>
      <c r="FE34" s="5"/>
      <c r="FF34" s="5" t="str">
        <f t="shared" si="214"/>
        <v/>
      </c>
      <c r="FG34" s="5"/>
      <c r="FH34" s="5"/>
      <c r="FI34" s="5"/>
      <c r="FJ34" s="5" t="str">
        <f t="shared" si="197"/>
        <v/>
      </c>
      <c r="FK34" s="36" t="str">
        <f t="shared" si="198"/>
        <v/>
      </c>
      <c r="FL34" s="29"/>
      <c r="FN34" s="14"/>
      <c r="FO34" s="39"/>
      <c r="FP34" s="5" t="str">
        <f t="shared" si="215"/>
        <v/>
      </c>
      <c r="FQ34" s="5"/>
      <c r="FR34" s="5"/>
      <c r="FS34" s="5"/>
      <c r="FT34" s="5" t="str">
        <f t="shared" si="216"/>
        <v/>
      </c>
      <c r="FU34" s="5"/>
      <c r="FV34" s="5"/>
      <c r="FW34" s="5"/>
      <c r="FX34" s="5" t="str">
        <f t="shared" si="199"/>
        <v/>
      </c>
      <c r="FY34" s="36" t="str">
        <f t="shared" si="200"/>
        <v/>
      </c>
      <c r="FZ34" s="29"/>
      <c r="GB34" s="14"/>
      <c r="GC34" s="39"/>
      <c r="GD34" s="5" t="str">
        <f t="shared" si="217"/>
        <v/>
      </c>
      <c r="GE34" s="5"/>
      <c r="GF34" s="5"/>
      <c r="GG34" s="5"/>
      <c r="GH34" s="5" t="str">
        <f t="shared" si="218"/>
        <v/>
      </c>
      <c r="GI34" s="5"/>
      <c r="GJ34" s="5"/>
      <c r="GK34" s="5"/>
      <c r="GL34" s="5" t="str">
        <f t="shared" si="201"/>
        <v/>
      </c>
      <c r="GM34" s="36" t="str">
        <f t="shared" si="202"/>
        <v/>
      </c>
      <c r="GN34" s="29"/>
      <c r="GP34" s="14"/>
      <c r="GQ34" s="39"/>
      <c r="GR34" s="5" t="str">
        <f t="shared" si="219"/>
        <v/>
      </c>
      <c r="GS34" s="5"/>
      <c r="GT34" s="5"/>
      <c r="GU34" s="5"/>
      <c r="GV34" s="5"/>
      <c r="GW34" s="5"/>
      <c r="GX34" s="5" t="str">
        <f t="shared" si="220"/>
        <v/>
      </c>
      <c r="GY34" s="5"/>
      <c r="GZ34" s="5"/>
      <c r="HA34" s="5"/>
      <c r="HB34" s="5" t="str">
        <f t="shared" si="221"/>
        <v/>
      </c>
      <c r="HC34" s="36" t="str">
        <f t="shared" si="222"/>
        <v/>
      </c>
      <c r="HD34" s="29"/>
      <c r="HF34" s="14"/>
      <c r="HG34" s="39"/>
      <c r="HH34" s="5" t="str">
        <f t="shared" si="223"/>
        <v/>
      </c>
      <c r="HI34" s="5"/>
      <c r="HJ34" s="29"/>
      <c r="HL34" s="14"/>
      <c r="HM34" s="39"/>
      <c r="HN34" s="5" t="str">
        <f t="shared" si="224"/>
        <v/>
      </c>
      <c r="HO34" s="5"/>
      <c r="HP34" s="29"/>
      <c r="HR34" s="14"/>
      <c r="HS34" s="39"/>
      <c r="HT34" s="5" t="str">
        <f t="shared" si="225"/>
        <v/>
      </c>
      <c r="HU34" s="5"/>
      <c r="HV34" s="29"/>
    </row>
    <row r="35" spans="1:230" ht="15" customHeight="1" thickTop="1" x14ac:dyDescent="0.2">
      <c r="A35" s="49"/>
      <c r="B35" s="26">
        <f>SUM(D35:D38)+SUM(R35:R38)+SUM(AF35:AF38)+SUM(AT35:AT38)+SUM(CJ11,CX11,DL11,DZ11,EN11,FB11,FP11,GD11,GR11,HH11,HN11,HT11)+SUM(BH35:BH38)+SUM(BV35:BV36)</f>
        <v>0</v>
      </c>
      <c r="C35" s="4"/>
      <c r="D35" s="4" t="str">
        <f t="shared" si="126"/>
        <v/>
      </c>
      <c r="E35" s="4"/>
      <c r="F35" s="50" t="str">
        <f t="shared" si="127"/>
        <v/>
      </c>
      <c r="G35" s="4"/>
      <c r="H35" s="4" t="str">
        <f t="shared" si="128"/>
        <v/>
      </c>
      <c r="I35" s="51"/>
      <c r="J35" s="31" t="str">
        <f t="shared" si="226"/>
        <v/>
      </c>
      <c r="K35" s="27" t="str">
        <f t="shared" si="227"/>
        <v/>
      </c>
      <c r="L35" s="50" t="str">
        <f t="shared" si="228"/>
        <v/>
      </c>
      <c r="M35" s="52" t="str">
        <f t="shared" si="229"/>
        <v/>
      </c>
      <c r="N35" s="29"/>
      <c r="P35" s="53" t="str">
        <f>IF($A35="","",$A35)</f>
        <v/>
      </c>
      <c r="Q35" s="4"/>
      <c r="R35" s="4" t="str">
        <f t="shared" si="91"/>
        <v/>
      </c>
      <c r="S35" s="4"/>
      <c r="T35" s="50" t="str">
        <f t="shared" si="92"/>
        <v/>
      </c>
      <c r="U35" s="4"/>
      <c r="V35" s="4" t="str">
        <f t="shared" si="93"/>
        <v/>
      </c>
      <c r="W35" s="51"/>
      <c r="X35" s="31" t="str">
        <f t="shared" si="94"/>
        <v/>
      </c>
      <c r="Y35" s="27" t="str">
        <f t="shared" si="95"/>
        <v/>
      </c>
      <c r="Z35" s="50" t="str">
        <f t="shared" si="96"/>
        <v/>
      </c>
      <c r="AA35" s="52" t="str">
        <f t="shared" si="97"/>
        <v/>
      </c>
      <c r="AB35" s="29"/>
      <c r="AD35" s="53" t="str">
        <f>IF($A35="","",$A35)</f>
        <v/>
      </c>
      <c r="AE35" s="4"/>
      <c r="AF35" s="4" t="str">
        <f t="shared" si="98"/>
        <v/>
      </c>
      <c r="AG35" s="4"/>
      <c r="AH35" s="50" t="str">
        <f t="shared" si="99"/>
        <v/>
      </c>
      <c r="AI35" s="4"/>
      <c r="AJ35" s="4" t="str">
        <f t="shared" si="100"/>
        <v/>
      </c>
      <c r="AK35" s="51"/>
      <c r="AL35" s="31" t="str">
        <f t="shared" si="101"/>
        <v/>
      </c>
      <c r="AM35" s="27" t="str">
        <f t="shared" si="102"/>
        <v/>
      </c>
      <c r="AN35" s="50" t="str">
        <f t="shared" si="103"/>
        <v/>
      </c>
      <c r="AO35" s="52" t="str">
        <f t="shared" si="104"/>
        <v/>
      </c>
      <c r="AP35" s="29"/>
      <c r="AR35" s="53" t="str">
        <f>IF($A35="","",$A35)</f>
        <v/>
      </c>
      <c r="AS35" s="4"/>
      <c r="AT35" s="4" t="str">
        <f t="shared" si="105"/>
        <v/>
      </c>
      <c r="AU35" s="4"/>
      <c r="AV35" s="50" t="str">
        <f t="shared" si="106"/>
        <v/>
      </c>
      <c r="AW35" s="4"/>
      <c r="AX35" s="4" t="str">
        <f t="shared" si="107"/>
        <v/>
      </c>
      <c r="AY35" s="51"/>
      <c r="AZ35" s="31" t="str">
        <f t="shared" si="133"/>
        <v/>
      </c>
      <c r="BA35" s="27" t="str">
        <f t="shared" si="109"/>
        <v/>
      </c>
      <c r="BB35" s="50" t="str">
        <f t="shared" si="110"/>
        <v/>
      </c>
      <c r="BC35" s="52" t="str">
        <f t="shared" si="111"/>
        <v/>
      </c>
      <c r="BD35" s="29"/>
      <c r="BE35" s="32"/>
      <c r="BF35" s="33" t="str">
        <f>IF($A35="","",$A35)</f>
        <v/>
      </c>
      <c r="BG35" s="4"/>
      <c r="BH35" s="4" t="str">
        <f t="shared" si="112"/>
        <v/>
      </c>
      <c r="BI35" s="4"/>
      <c r="BJ35" s="50" t="str">
        <f t="shared" si="113"/>
        <v/>
      </c>
      <c r="BK35" s="4"/>
      <c r="BL35" s="4" t="str">
        <f t="shared" si="114"/>
        <v/>
      </c>
      <c r="BM35" s="51"/>
      <c r="BN35" s="31" t="str">
        <f t="shared" si="115"/>
        <v/>
      </c>
      <c r="BO35" s="27" t="str">
        <f t="shared" si="116"/>
        <v/>
      </c>
      <c r="BP35" s="50" t="str">
        <f t="shared" si="117"/>
        <v/>
      </c>
      <c r="BQ35" s="52" t="str">
        <f t="shared" si="118"/>
        <v/>
      </c>
      <c r="BR35" s="29"/>
      <c r="BT35" s="33" t="str">
        <f>IF($A35="","",$A35)</f>
        <v/>
      </c>
      <c r="BU35" s="4"/>
      <c r="BV35" s="4" t="str">
        <f t="shared" si="119"/>
        <v/>
      </c>
      <c r="BW35" s="4"/>
      <c r="BX35" s="50" t="str">
        <f t="shared" si="120"/>
        <v/>
      </c>
      <c r="BY35" s="4"/>
      <c r="BZ35" s="4" t="str">
        <f t="shared" si="121"/>
        <v/>
      </c>
      <c r="CA35" s="51"/>
      <c r="CB35" s="31" t="str">
        <f t="shared" si="122"/>
        <v/>
      </c>
      <c r="CC35" s="27" t="str">
        <f t="shared" si="123"/>
        <v/>
      </c>
      <c r="CD35" s="50" t="str">
        <f t="shared" si="124"/>
        <v/>
      </c>
      <c r="CE35" s="52" t="str">
        <f t="shared" si="125"/>
        <v/>
      </c>
      <c r="CF35" s="29"/>
      <c r="CH35" s="14"/>
      <c r="CI35" s="39"/>
      <c r="CJ35" s="5" t="str">
        <f t="shared" si="203"/>
        <v/>
      </c>
      <c r="CK35" s="5"/>
      <c r="CL35" s="5"/>
      <c r="CM35" s="5"/>
      <c r="CN35" s="5" t="str">
        <f t="shared" si="204"/>
        <v/>
      </c>
      <c r="CO35" s="5"/>
      <c r="CP35" s="5"/>
      <c r="CQ35" s="5"/>
      <c r="CR35" s="5" t="str">
        <f t="shared" si="187"/>
        <v/>
      </c>
      <c r="CS35" s="36" t="str">
        <f t="shared" si="188"/>
        <v/>
      </c>
      <c r="CT35" s="29"/>
      <c r="CV35" s="14"/>
      <c r="CW35" s="39"/>
      <c r="CX35" s="5" t="str">
        <f t="shared" si="205"/>
        <v/>
      </c>
      <c r="CY35" s="5"/>
      <c r="CZ35" s="5"/>
      <c r="DA35" s="5"/>
      <c r="DB35" s="5" t="str">
        <f t="shared" si="206"/>
        <v/>
      </c>
      <c r="DC35" s="5"/>
      <c r="DD35" s="5"/>
      <c r="DE35" s="5"/>
      <c r="DF35" s="5" t="str">
        <f t="shared" si="189"/>
        <v/>
      </c>
      <c r="DG35" s="36" t="str">
        <f t="shared" si="190"/>
        <v/>
      </c>
      <c r="DH35" s="29"/>
      <c r="DJ35" s="14"/>
      <c r="DK35" s="39"/>
      <c r="DL35" s="5" t="str">
        <f t="shared" si="207"/>
        <v/>
      </c>
      <c r="DM35" s="5"/>
      <c r="DN35" s="5"/>
      <c r="DO35" s="5"/>
      <c r="DP35" s="5" t="str">
        <f t="shared" si="208"/>
        <v/>
      </c>
      <c r="DQ35" s="5"/>
      <c r="DR35" s="5"/>
      <c r="DS35" s="5"/>
      <c r="DT35" s="5" t="str">
        <f t="shared" si="191"/>
        <v/>
      </c>
      <c r="DU35" s="36" t="str">
        <f t="shared" si="192"/>
        <v/>
      </c>
      <c r="DV35" s="29"/>
      <c r="DX35" s="14"/>
      <c r="DY35" s="39"/>
      <c r="DZ35" s="5" t="str">
        <f t="shared" si="209"/>
        <v/>
      </c>
      <c r="EA35" s="5"/>
      <c r="EB35" s="5"/>
      <c r="EC35" s="5"/>
      <c r="ED35" s="5" t="str">
        <f t="shared" si="210"/>
        <v/>
      </c>
      <c r="EE35" s="5"/>
      <c r="EF35" s="5"/>
      <c r="EG35" s="5"/>
      <c r="EH35" s="5" t="str">
        <f t="shared" si="193"/>
        <v/>
      </c>
      <c r="EI35" s="36" t="str">
        <f t="shared" si="194"/>
        <v/>
      </c>
      <c r="EJ35" s="29"/>
      <c r="EL35" s="14"/>
      <c r="EM35" s="39"/>
      <c r="EN35" s="5" t="str">
        <f t="shared" si="211"/>
        <v/>
      </c>
      <c r="EO35" s="5"/>
      <c r="EP35" s="5"/>
      <c r="EQ35" s="5"/>
      <c r="ER35" s="5" t="str">
        <f t="shared" si="212"/>
        <v/>
      </c>
      <c r="ES35" s="5"/>
      <c r="ET35" s="5"/>
      <c r="EU35" s="5"/>
      <c r="EV35" s="5" t="str">
        <f t="shared" si="195"/>
        <v/>
      </c>
      <c r="EW35" s="36" t="str">
        <f t="shared" si="196"/>
        <v/>
      </c>
      <c r="EX35" s="29"/>
      <c r="EZ35" s="14"/>
      <c r="FA35" s="39"/>
      <c r="FB35" s="5" t="str">
        <f t="shared" si="213"/>
        <v/>
      </c>
      <c r="FC35" s="5"/>
      <c r="FD35" s="5"/>
      <c r="FE35" s="5"/>
      <c r="FF35" s="5" t="str">
        <f t="shared" si="214"/>
        <v/>
      </c>
      <c r="FG35" s="5"/>
      <c r="FH35" s="5"/>
      <c r="FI35" s="5"/>
      <c r="FJ35" s="5" t="str">
        <f t="shared" si="197"/>
        <v/>
      </c>
      <c r="FK35" s="36" t="str">
        <f t="shared" si="198"/>
        <v/>
      </c>
      <c r="FL35" s="29"/>
      <c r="FN35" s="14"/>
      <c r="FO35" s="39"/>
      <c r="FP35" s="5" t="str">
        <f t="shared" si="215"/>
        <v/>
      </c>
      <c r="FQ35" s="5"/>
      <c r="FR35" s="5"/>
      <c r="FS35" s="5"/>
      <c r="FT35" s="5" t="str">
        <f t="shared" si="216"/>
        <v/>
      </c>
      <c r="FU35" s="5"/>
      <c r="FV35" s="5"/>
      <c r="FW35" s="5"/>
      <c r="FX35" s="5" t="str">
        <f t="shared" si="199"/>
        <v/>
      </c>
      <c r="FY35" s="36" t="str">
        <f t="shared" si="200"/>
        <v/>
      </c>
      <c r="FZ35" s="29"/>
      <c r="GB35" s="14"/>
      <c r="GC35" s="39"/>
      <c r="GD35" s="5" t="str">
        <f t="shared" si="217"/>
        <v/>
      </c>
      <c r="GE35" s="5"/>
      <c r="GF35" s="5"/>
      <c r="GG35" s="5"/>
      <c r="GH35" s="5" t="str">
        <f t="shared" si="218"/>
        <v/>
      </c>
      <c r="GI35" s="5"/>
      <c r="GJ35" s="5"/>
      <c r="GK35" s="5"/>
      <c r="GL35" s="5" t="str">
        <f t="shared" si="201"/>
        <v/>
      </c>
      <c r="GM35" s="36" t="str">
        <f t="shared" si="202"/>
        <v/>
      </c>
      <c r="GN35" s="29"/>
      <c r="GP35" s="14"/>
      <c r="GQ35" s="39"/>
      <c r="GR35" s="5" t="str">
        <f t="shared" si="219"/>
        <v/>
      </c>
      <c r="GS35" s="5"/>
      <c r="GT35" s="5"/>
      <c r="GU35" s="5"/>
      <c r="GV35" s="5"/>
      <c r="GW35" s="5"/>
      <c r="GX35" s="5" t="str">
        <f t="shared" si="220"/>
        <v/>
      </c>
      <c r="GY35" s="5"/>
      <c r="GZ35" s="5"/>
      <c r="HA35" s="5"/>
      <c r="HB35" s="5" t="str">
        <f t="shared" si="221"/>
        <v/>
      </c>
      <c r="HC35" s="36" t="str">
        <f t="shared" si="222"/>
        <v/>
      </c>
      <c r="HD35" s="29"/>
      <c r="HF35" s="14"/>
      <c r="HG35" s="39"/>
      <c r="HH35" s="5" t="str">
        <f t="shared" si="223"/>
        <v/>
      </c>
      <c r="HI35" s="5"/>
      <c r="HJ35" s="29"/>
      <c r="HL35" s="14"/>
      <c r="HM35" s="39"/>
      <c r="HN35" s="5" t="str">
        <f t="shared" si="224"/>
        <v/>
      </c>
      <c r="HO35" s="5"/>
      <c r="HP35" s="29"/>
      <c r="HR35" s="14"/>
      <c r="HS35" s="39"/>
      <c r="HT35" s="5" t="str">
        <f t="shared" si="225"/>
        <v/>
      </c>
      <c r="HU35" s="5"/>
      <c r="HV35" s="29"/>
    </row>
    <row r="36" spans="1:230" ht="15" customHeight="1" x14ac:dyDescent="0.2">
      <c r="A36" s="54"/>
      <c r="B36" s="26"/>
      <c r="C36" s="4"/>
      <c r="D36" s="5" t="str">
        <f t="shared" si="126"/>
        <v/>
      </c>
      <c r="E36" s="5"/>
      <c r="F36" s="5" t="str">
        <f t="shared" si="127"/>
        <v/>
      </c>
      <c r="G36" s="5"/>
      <c r="H36" s="5" t="str">
        <f t="shared" si="128"/>
        <v/>
      </c>
      <c r="I36" s="35"/>
      <c r="J36" s="38" t="str">
        <f t="shared" si="226"/>
        <v/>
      </c>
      <c r="K36" s="39" t="str">
        <f t="shared" si="227"/>
        <v/>
      </c>
      <c r="L36" s="5" t="str">
        <f t="shared" si="228"/>
        <v/>
      </c>
      <c r="M36" s="36" t="str">
        <f t="shared" si="229"/>
        <v/>
      </c>
      <c r="N36" s="29"/>
      <c r="P36" s="54"/>
      <c r="Q36" s="4"/>
      <c r="R36" s="5" t="str">
        <f t="shared" si="91"/>
        <v/>
      </c>
      <c r="S36" s="5"/>
      <c r="T36" s="5" t="str">
        <f t="shared" si="92"/>
        <v/>
      </c>
      <c r="U36" s="5"/>
      <c r="V36" s="5" t="str">
        <f t="shared" si="93"/>
        <v/>
      </c>
      <c r="W36" s="35"/>
      <c r="X36" s="38" t="str">
        <f t="shared" si="94"/>
        <v/>
      </c>
      <c r="Y36" s="39" t="str">
        <f t="shared" si="95"/>
        <v/>
      </c>
      <c r="Z36" s="5" t="str">
        <f t="shared" si="96"/>
        <v/>
      </c>
      <c r="AA36" s="36" t="str">
        <f t="shared" si="97"/>
        <v/>
      </c>
      <c r="AB36" s="29"/>
      <c r="AD36" s="54"/>
      <c r="AE36" s="4"/>
      <c r="AF36" s="5" t="str">
        <f t="shared" si="98"/>
        <v/>
      </c>
      <c r="AG36" s="5"/>
      <c r="AH36" s="5" t="str">
        <f t="shared" si="99"/>
        <v/>
      </c>
      <c r="AI36" s="5"/>
      <c r="AJ36" s="5" t="str">
        <f t="shared" si="100"/>
        <v/>
      </c>
      <c r="AK36" s="35"/>
      <c r="AL36" s="38" t="str">
        <f t="shared" si="101"/>
        <v/>
      </c>
      <c r="AM36" s="39" t="str">
        <f t="shared" si="102"/>
        <v/>
      </c>
      <c r="AN36" s="5" t="str">
        <f t="shared" si="103"/>
        <v/>
      </c>
      <c r="AO36" s="36" t="str">
        <f t="shared" si="104"/>
        <v/>
      </c>
      <c r="AP36" s="29"/>
      <c r="AR36" s="54"/>
      <c r="AS36" s="4"/>
      <c r="AT36" s="5" t="str">
        <f t="shared" si="105"/>
        <v/>
      </c>
      <c r="AU36" s="5"/>
      <c r="AV36" s="5" t="str">
        <f t="shared" si="106"/>
        <v/>
      </c>
      <c r="AW36" s="5"/>
      <c r="AX36" s="5" t="str">
        <f t="shared" si="107"/>
        <v/>
      </c>
      <c r="AY36" s="35"/>
      <c r="AZ36" s="38" t="str">
        <f t="shared" si="133"/>
        <v/>
      </c>
      <c r="BA36" s="39" t="str">
        <f t="shared" si="109"/>
        <v/>
      </c>
      <c r="BB36" s="5" t="str">
        <f t="shared" si="110"/>
        <v/>
      </c>
      <c r="BC36" s="36" t="str">
        <f t="shared" si="111"/>
        <v/>
      </c>
      <c r="BD36" s="29"/>
      <c r="BE36" s="32"/>
      <c r="BF36" s="25"/>
      <c r="BG36" s="4"/>
      <c r="BH36" s="5" t="str">
        <f t="shared" si="112"/>
        <v/>
      </c>
      <c r="BI36" s="5"/>
      <c r="BJ36" s="5" t="str">
        <f t="shared" si="113"/>
        <v/>
      </c>
      <c r="BK36" s="5"/>
      <c r="BL36" s="5" t="str">
        <f t="shared" si="114"/>
        <v/>
      </c>
      <c r="BM36" s="35"/>
      <c r="BN36" s="38" t="str">
        <f t="shared" si="115"/>
        <v/>
      </c>
      <c r="BO36" s="39" t="str">
        <f t="shared" si="116"/>
        <v/>
      </c>
      <c r="BP36" s="5" t="str">
        <f t="shared" si="117"/>
        <v/>
      </c>
      <c r="BQ36" s="36" t="str">
        <f t="shared" si="118"/>
        <v/>
      </c>
      <c r="BR36" s="29"/>
      <c r="BT36" s="25"/>
      <c r="BU36" s="4"/>
      <c r="BV36" s="5" t="str">
        <f t="shared" si="119"/>
        <v/>
      </c>
      <c r="BW36" s="5"/>
      <c r="BX36" s="5" t="str">
        <f t="shared" si="120"/>
        <v/>
      </c>
      <c r="BY36" s="5"/>
      <c r="BZ36" s="5" t="str">
        <f t="shared" si="121"/>
        <v/>
      </c>
      <c r="CA36" s="35"/>
      <c r="CB36" s="38" t="str">
        <f t="shared" si="122"/>
        <v/>
      </c>
      <c r="CC36" s="39" t="str">
        <f t="shared" si="123"/>
        <v/>
      </c>
      <c r="CD36" s="5" t="str">
        <f t="shared" si="124"/>
        <v/>
      </c>
      <c r="CE36" s="36" t="str">
        <f t="shared" si="125"/>
        <v/>
      </c>
      <c r="CF36" s="29"/>
      <c r="CH36" s="14"/>
      <c r="CI36" s="39"/>
      <c r="CJ36" s="5" t="str">
        <f t="shared" si="203"/>
        <v/>
      </c>
      <c r="CK36" s="5"/>
      <c r="CL36" s="5"/>
      <c r="CM36" s="5"/>
      <c r="CN36" s="5" t="str">
        <f t="shared" si="204"/>
        <v/>
      </c>
      <c r="CO36" s="5"/>
      <c r="CP36" s="5"/>
      <c r="CQ36" s="5"/>
      <c r="CR36" s="5" t="str">
        <f t="shared" si="187"/>
        <v/>
      </c>
      <c r="CS36" s="36" t="str">
        <f t="shared" si="188"/>
        <v/>
      </c>
      <c r="CT36" s="29"/>
      <c r="CV36" s="14"/>
      <c r="CW36" s="39"/>
      <c r="CX36" s="5" t="str">
        <f t="shared" si="205"/>
        <v/>
      </c>
      <c r="CY36" s="5"/>
      <c r="CZ36" s="5"/>
      <c r="DA36" s="5"/>
      <c r="DB36" s="5" t="str">
        <f t="shared" si="206"/>
        <v/>
      </c>
      <c r="DC36" s="5"/>
      <c r="DD36" s="5"/>
      <c r="DE36" s="5"/>
      <c r="DF36" s="5" t="str">
        <f t="shared" si="189"/>
        <v/>
      </c>
      <c r="DG36" s="36" t="str">
        <f t="shared" si="190"/>
        <v/>
      </c>
      <c r="DH36" s="29"/>
      <c r="DJ36" s="14"/>
      <c r="DK36" s="39"/>
      <c r="DL36" s="5" t="str">
        <f t="shared" si="207"/>
        <v/>
      </c>
      <c r="DM36" s="5"/>
      <c r="DN36" s="5"/>
      <c r="DO36" s="5"/>
      <c r="DP36" s="5" t="str">
        <f t="shared" si="208"/>
        <v/>
      </c>
      <c r="DQ36" s="5"/>
      <c r="DR36" s="5"/>
      <c r="DS36" s="5"/>
      <c r="DT36" s="5" t="str">
        <f t="shared" si="191"/>
        <v/>
      </c>
      <c r="DU36" s="36" t="str">
        <f t="shared" si="192"/>
        <v/>
      </c>
      <c r="DV36" s="29"/>
      <c r="DX36" s="14"/>
      <c r="DY36" s="39"/>
      <c r="DZ36" s="5" t="str">
        <f t="shared" si="209"/>
        <v/>
      </c>
      <c r="EA36" s="5"/>
      <c r="EB36" s="5"/>
      <c r="EC36" s="5"/>
      <c r="ED36" s="5" t="str">
        <f t="shared" si="210"/>
        <v/>
      </c>
      <c r="EE36" s="5"/>
      <c r="EF36" s="5"/>
      <c r="EG36" s="5"/>
      <c r="EH36" s="5" t="str">
        <f t="shared" si="193"/>
        <v/>
      </c>
      <c r="EI36" s="36" t="str">
        <f t="shared" si="194"/>
        <v/>
      </c>
      <c r="EJ36" s="29"/>
      <c r="EL36" s="14"/>
      <c r="EM36" s="39"/>
      <c r="EN36" s="5" t="str">
        <f t="shared" si="211"/>
        <v/>
      </c>
      <c r="EO36" s="5"/>
      <c r="EP36" s="5"/>
      <c r="EQ36" s="5"/>
      <c r="ER36" s="5" t="str">
        <f t="shared" si="212"/>
        <v/>
      </c>
      <c r="ES36" s="5"/>
      <c r="ET36" s="5"/>
      <c r="EU36" s="5"/>
      <c r="EV36" s="5" t="str">
        <f t="shared" si="195"/>
        <v/>
      </c>
      <c r="EW36" s="36" t="str">
        <f t="shared" si="196"/>
        <v/>
      </c>
      <c r="EX36" s="29"/>
      <c r="EZ36" s="14"/>
      <c r="FA36" s="39"/>
      <c r="FB36" s="5" t="str">
        <f t="shared" si="213"/>
        <v/>
      </c>
      <c r="FC36" s="5"/>
      <c r="FD36" s="5"/>
      <c r="FE36" s="5"/>
      <c r="FF36" s="5" t="str">
        <f t="shared" si="214"/>
        <v/>
      </c>
      <c r="FG36" s="5"/>
      <c r="FH36" s="5"/>
      <c r="FI36" s="5"/>
      <c r="FJ36" s="5" t="str">
        <f t="shared" si="197"/>
        <v/>
      </c>
      <c r="FK36" s="36" t="str">
        <f t="shared" si="198"/>
        <v/>
      </c>
      <c r="FL36" s="29"/>
      <c r="FN36" s="14"/>
      <c r="FO36" s="39"/>
      <c r="FP36" s="5" t="str">
        <f t="shared" si="215"/>
        <v/>
      </c>
      <c r="FQ36" s="5"/>
      <c r="FR36" s="5"/>
      <c r="FS36" s="5"/>
      <c r="FT36" s="5" t="str">
        <f t="shared" si="216"/>
        <v/>
      </c>
      <c r="FU36" s="5"/>
      <c r="FV36" s="5"/>
      <c r="FW36" s="5"/>
      <c r="FX36" s="5" t="str">
        <f t="shared" si="199"/>
        <v/>
      </c>
      <c r="FY36" s="36" t="str">
        <f t="shared" si="200"/>
        <v/>
      </c>
      <c r="FZ36" s="29"/>
      <c r="GB36" s="14"/>
      <c r="GC36" s="39"/>
      <c r="GD36" s="5" t="str">
        <f t="shared" si="217"/>
        <v/>
      </c>
      <c r="GE36" s="5"/>
      <c r="GF36" s="5"/>
      <c r="GG36" s="5"/>
      <c r="GH36" s="5" t="str">
        <f t="shared" si="218"/>
        <v/>
      </c>
      <c r="GI36" s="5"/>
      <c r="GJ36" s="5"/>
      <c r="GK36" s="5"/>
      <c r="GL36" s="5" t="str">
        <f t="shared" si="201"/>
        <v/>
      </c>
      <c r="GM36" s="36" t="str">
        <f t="shared" si="202"/>
        <v/>
      </c>
      <c r="GN36" s="29"/>
      <c r="GP36" s="14"/>
      <c r="GQ36" s="39"/>
      <c r="GR36" s="5" t="str">
        <f t="shared" si="219"/>
        <v/>
      </c>
      <c r="GS36" s="5"/>
      <c r="GT36" s="5"/>
      <c r="GU36" s="5"/>
      <c r="GV36" s="5"/>
      <c r="GW36" s="5"/>
      <c r="GX36" s="5" t="str">
        <f t="shared" si="220"/>
        <v/>
      </c>
      <c r="GY36" s="5"/>
      <c r="GZ36" s="5"/>
      <c r="HA36" s="5"/>
      <c r="HB36" s="5" t="str">
        <f t="shared" si="221"/>
        <v/>
      </c>
      <c r="HC36" s="36" t="str">
        <f t="shared" si="222"/>
        <v/>
      </c>
      <c r="HD36" s="29"/>
      <c r="HF36" s="14"/>
      <c r="HG36" s="39"/>
      <c r="HH36" s="5" t="str">
        <f t="shared" si="223"/>
        <v/>
      </c>
      <c r="HI36" s="5"/>
      <c r="HJ36" s="29"/>
      <c r="HL36" s="14"/>
      <c r="HM36" s="39"/>
      <c r="HN36" s="5" t="str">
        <f t="shared" si="224"/>
        <v/>
      </c>
      <c r="HO36" s="5"/>
      <c r="HP36" s="29"/>
      <c r="HR36" s="14"/>
      <c r="HS36" s="39"/>
      <c r="HT36" s="5" t="str">
        <f t="shared" si="225"/>
        <v/>
      </c>
      <c r="HU36" s="5"/>
      <c r="HV36" s="29"/>
    </row>
    <row r="37" spans="1:230" ht="15" customHeight="1" x14ac:dyDescent="0.2">
      <c r="A37" s="54"/>
      <c r="B37" s="37"/>
      <c r="C37" s="57"/>
      <c r="D37" s="5" t="str">
        <f t="shared" si="126"/>
        <v/>
      </c>
      <c r="E37" s="5"/>
      <c r="F37" s="5" t="str">
        <f t="shared" si="127"/>
        <v/>
      </c>
      <c r="G37" s="5"/>
      <c r="H37" s="5" t="str">
        <f t="shared" si="128"/>
        <v/>
      </c>
      <c r="I37" s="35"/>
      <c r="J37" s="38" t="str">
        <f t="shared" si="226"/>
        <v/>
      </c>
      <c r="K37" s="5" t="str">
        <f t="shared" si="227"/>
        <v/>
      </c>
      <c r="L37" s="5" t="str">
        <f t="shared" si="228"/>
        <v/>
      </c>
      <c r="M37" s="36" t="str">
        <f t="shared" si="229"/>
        <v/>
      </c>
      <c r="N37" s="29"/>
      <c r="P37" s="54"/>
      <c r="Q37" s="57"/>
      <c r="R37" s="5" t="str">
        <f t="shared" si="91"/>
        <v/>
      </c>
      <c r="S37" s="5"/>
      <c r="T37" s="5" t="str">
        <f t="shared" si="92"/>
        <v/>
      </c>
      <c r="U37" s="5"/>
      <c r="V37" s="5" t="str">
        <f t="shared" si="93"/>
        <v/>
      </c>
      <c r="W37" s="35"/>
      <c r="X37" s="38" t="str">
        <f t="shared" si="94"/>
        <v/>
      </c>
      <c r="Y37" s="5" t="str">
        <f t="shared" si="95"/>
        <v/>
      </c>
      <c r="Z37" s="5" t="str">
        <f t="shared" si="96"/>
        <v/>
      </c>
      <c r="AA37" s="36" t="str">
        <f t="shared" si="97"/>
        <v/>
      </c>
      <c r="AB37" s="29"/>
      <c r="AD37" s="54"/>
      <c r="AE37" s="57"/>
      <c r="AF37" s="5" t="str">
        <f t="shared" si="98"/>
        <v/>
      </c>
      <c r="AG37" s="5"/>
      <c r="AH37" s="5" t="str">
        <f t="shared" si="99"/>
        <v/>
      </c>
      <c r="AI37" s="5"/>
      <c r="AJ37" s="5" t="str">
        <f t="shared" si="100"/>
        <v/>
      </c>
      <c r="AK37" s="35"/>
      <c r="AL37" s="38" t="str">
        <f t="shared" si="101"/>
        <v/>
      </c>
      <c r="AM37" s="5" t="str">
        <f t="shared" si="102"/>
        <v/>
      </c>
      <c r="AN37" s="5" t="str">
        <f t="shared" si="103"/>
        <v/>
      </c>
      <c r="AO37" s="36" t="str">
        <f t="shared" si="104"/>
        <v/>
      </c>
      <c r="AP37" s="29"/>
      <c r="AR37" s="54"/>
      <c r="AS37" s="57"/>
      <c r="AT37" s="5" t="str">
        <f t="shared" si="105"/>
        <v/>
      </c>
      <c r="AU37" s="5"/>
      <c r="AV37" s="5" t="str">
        <f t="shared" si="106"/>
        <v/>
      </c>
      <c r="AW37" s="5"/>
      <c r="AX37" s="5" t="str">
        <f t="shared" si="107"/>
        <v/>
      </c>
      <c r="AY37" s="35"/>
      <c r="AZ37" s="38" t="str">
        <f t="shared" si="133"/>
        <v/>
      </c>
      <c r="BA37" s="5" t="str">
        <f t="shared" si="109"/>
        <v/>
      </c>
      <c r="BB37" s="5" t="str">
        <f t="shared" si="110"/>
        <v/>
      </c>
      <c r="BC37" s="36" t="str">
        <f t="shared" si="111"/>
        <v/>
      </c>
      <c r="BD37" s="29"/>
      <c r="BE37" s="32"/>
      <c r="BF37" s="25"/>
      <c r="BG37" s="57"/>
      <c r="BH37" s="5" t="str">
        <f t="shared" si="112"/>
        <v/>
      </c>
      <c r="BI37" s="5"/>
      <c r="BJ37" s="5" t="str">
        <f t="shared" si="113"/>
        <v/>
      </c>
      <c r="BK37" s="5"/>
      <c r="BL37" s="5" t="str">
        <f t="shared" si="114"/>
        <v/>
      </c>
      <c r="BM37" s="35"/>
      <c r="BN37" s="38" t="str">
        <f t="shared" si="115"/>
        <v/>
      </c>
      <c r="BO37" s="5" t="str">
        <f t="shared" si="116"/>
        <v/>
      </c>
      <c r="BP37" s="5" t="str">
        <f t="shared" si="117"/>
        <v/>
      </c>
      <c r="BQ37" s="36" t="str">
        <f t="shared" si="118"/>
        <v/>
      </c>
      <c r="BR37" s="29"/>
      <c r="BT37" s="25"/>
      <c r="BU37" s="57"/>
      <c r="BV37" s="5" t="str">
        <f t="shared" si="119"/>
        <v/>
      </c>
      <c r="BW37" s="5"/>
      <c r="BX37" s="5" t="str">
        <f t="shared" si="120"/>
        <v/>
      </c>
      <c r="BY37" s="5"/>
      <c r="BZ37" s="5" t="str">
        <f t="shared" si="121"/>
        <v/>
      </c>
      <c r="CA37" s="35"/>
      <c r="CB37" s="38" t="str">
        <f t="shared" si="122"/>
        <v/>
      </c>
      <c r="CC37" s="5" t="str">
        <f t="shared" si="123"/>
        <v/>
      </c>
      <c r="CD37" s="5" t="str">
        <f t="shared" si="124"/>
        <v/>
      </c>
      <c r="CE37" s="36" t="str">
        <f t="shared" si="125"/>
        <v/>
      </c>
      <c r="CF37" s="29"/>
      <c r="CH37" s="14"/>
      <c r="CI37" s="39"/>
      <c r="CJ37" s="5" t="str">
        <f t="shared" si="203"/>
        <v/>
      </c>
      <c r="CK37" s="5"/>
      <c r="CL37" s="5"/>
      <c r="CM37" s="5"/>
      <c r="CN37" s="5" t="str">
        <f t="shared" si="204"/>
        <v/>
      </c>
      <c r="CO37" s="5"/>
      <c r="CP37" s="5"/>
      <c r="CQ37" s="5"/>
      <c r="CR37" s="5" t="str">
        <f t="shared" si="187"/>
        <v/>
      </c>
      <c r="CS37" s="36" t="str">
        <f t="shared" si="188"/>
        <v/>
      </c>
      <c r="CT37" s="29"/>
      <c r="CV37" s="14"/>
      <c r="CW37" s="39"/>
      <c r="CX37" s="5" t="str">
        <f t="shared" si="205"/>
        <v/>
      </c>
      <c r="CY37" s="5"/>
      <c r="CZ37" s="5"/>
      <c r="DA37" s="5"/>
      <c r="DB37" s="5" t="str">
        <f t="shared" si="206"/>
        <v/>
      </c>
      <c r="DC37" s="5"/>
      <c r="DD37" s="5"/>
      <c r="DE37" s="5"/>
      <c r="DF37" s="5" t="str">
        <f t="shared" si="189"/>
        <v/>
      </c>
      <c r="DG37" s="36" t="str">
        <f t="shared" si="190"/>
        <v/>
      </c>
      <c r="DH37" s="29"/>
      <c r="DJ37" s="14"/>
      <c r="DK37" s="39"/>
      <c r="DL37" s="5" t="str">
        <f t="shared" si="207"/>
        <v/>
      </c>
      <c r="DM37" s="5"/>
      <c r="DN37" s="5"/>
      <c r="DO37" s="5"/>
      <c r="DP37" s="5" t="str">
        <f t="shared" si="208"/>
        <v/>
      </c>
      <c r="DQ37" s="5"/>
      <c r="DR37" s="5"/>
      <c r="DS37" s="5"/>
      <c r="DT37" s="5" t="str">
        <f t="shared" si="191"/>
        <v/>
      </c>
      <c r="DU37" s="36" t="str">
        <f t="shared" si="192"/>
        <v/>
      </c>
      <c r="DV37" s="29"/>
      <c r="DX37" s="14"/>
      <c r="DY37" s="39"/>
      <c r="DZ37" s="5" t="str">
        <f t="shared" si="209"/>
        <v/>
      </c>
      <c r="EA37" s="5"/>
      <c r="EB37" s="5"/>
      <c r="EC37" s="5"/>
      <c r="ED37" s="5" t="str">
        <f t="shared" si="210"/>
        <v/>
      </c>
      <c r="EE37" s="5"/>
      <c r="EF37" s="5"/>
      <c r="EG37" s="5"/>
      <c r="EH37" s="5" t="str">
        <f t="shared" si="193"/>
        <v/>
      </c>
      <c r="EI37" s="36" t="str">
        <f t="shared" si="194"/>
        <v/>
      </c>
      <c r="EJ37" s="29"/>
      <c r="EL37" s="14"/>
      <c r="EM37" s="39"/>
      <c r="EN37" s="5" t="str">
        <f t="shared" si="211"/>
        <v/>
      </c>
      <c r="EO37" s="5"/>
      <c r="EP37" s="5"/>
      <c r="EQ37" s="5"/>
      <c r="ER37" s="5" t="str">
        <f t="shared" si="212"/>
        <v/>
      </c>
      <c r="ES37" s="5"/>
      <c r="ET37" s="5"/>
      <c r="EU37" s="5"/>
      <c r="EV37" s="5" t="str">
        <f t="shared" si="195"/>
        <v/>
      </c>
      <c r="EW37" s="36" t="str">
        <f t="shared" si="196"/>
        <v/>
      </c>
      <c r="EX37" s="29"/>
      <c r="EZ37" s="14"/>
      <c r="FA37" s="39"/>
      <c r="FB37" s="5" t="str">
        <f t="shared" si="213"/>
        <v/>
      </c>
      <c r="FC37" s="5"/>
      <c r="FD37" s="5"/>
      <c r="FE37" s="5"/>
      <c r="FF37" s="5" t="str">
        <f t="shared" si="214"/>
        <v/>
      </c>
      <c r="FG37" s="5"/>
      <c r="FH37" s="5"/>
      <c r="FI37" s="5"/>
      <c r="FJ37" s="5" t="str">
        <f t="shared" si="197"/>
        <v/>
      </c>
      <c r="FK37" s="36" t="str">
        <f t="shared" si="198"/>
        <v/>
      </c>
      <c r="FL37" s="29"/>
      <c r="FN37" s="14"/>
      <c r="FO37" s="39"/>
      <c r="FP37" s="5" t="str">
        <f t="shared" si="215"/>
        <v/>
      </c>
      <c r="FQ37" s="5"/>
      <c r="FR37" s="5"/>
      <c r="FS37" s="5"/>
      <c r="FT37" s="5" t="str">
        <f t="shared" si="216"/>
        <v/>
      </c>
      <c r="FU37" s="5"/>
      <c r="FV37" s="5"/>
      <c r="FW37" s="5"/>
      <c r="FX37" s="5" t="str">
        <f t="shared" si="199"/>
        <v/>
      </c>
      <c r="FY37" s="36" t="str">
        <f t="shared" si="200"/>
        <v/>
      </c>
      <c r="FZ37" s="29"/>
      <c r="GB37" s="14"/>
      <c r="GC37" s="39"/>
      <c r="GD37" s="5" t="str">
        <f t="shared" si="217"/>
        <v/>
      </c>
      <c r="GE37" s="5"/>
      <c r="GF37" s="5"/>
      <c r="GG37" s="5"/>
      <c r="GH37" s="5" t="str">
        <f t="shared" si="218"/>
        <v/>
      </c>
      <c r="GI37" s="5"/>
      <c r="GJ37" s="5"/>
      <c r="GK37" s="5"/>
      <c r="GL37" s="5" t="str">
        <f t="shared" si="201"/>
        <v/>
      </c>
      <c r="GM37" s="36" t="str">
        <f t="shared" si="202"/>
        <v/>
      </c>
      <c r="GN37" s="29"/>
      <c r="GP37" s="14"/>
      <c r="GQ37" s="39"/>
      <c r="GR37" s="5" t="str">
        <f t="shared" si="219"/>
        <v/>
      </c>
      <c r="GS37" s="5"/>
      <c r="GT37" s="5"/>
      <c r="GU37" s="5"/>
      <c r="GV37" s="5"/>
      <c r="GW37" s="5"/>
      <c r="GX37" s="5" t="str">
        <f t="shared" si="220"/>
        <v/>
      </c>
      <c r="GY37" s="5"/>
      <c r="GZ37" s="5"/>
      <c r="HA37" s="5"/>
      <c r="HB37" s="5" t="str">
        <f t="shared" si="221"/>
        <v/>
      </c>
      <c r="HC37" s="36" t="str">
        <f t="shared" si="222"/>
        <v/>
      </c>
      <c r="HD37" s="29"/>
      <c r="HF37" s="14"/>
      <c r="HG37" s="39"/>
      <c r="HH37" s="5" t="str">
        <f t="shared" si="223"/>
        <v/>
      </c>
      <c r="HI37" s="5"/>
      <c r="HJ37" s="29"/>
      <c r="HL37" s="14"/>
      <c r="HM37" s="39"/>
      <c r="HN37" s="5" t="str">
        <f t="shared" si="224"/>
        <v/>
      </c>
      <c r="HO37" s="5"/>
      <c r="HP37" s="29"/>
      <c r="HR37" s="14"/>
      <c r="HS37" s="39"/>
      <c r="HT37" s="5" t="str">
        <f t="shared" si="225"/>
        <v/>
      </c>
      <c r="HU37" s="5"/>
      <c r="HV37" s="29"/>
    </row>
    <row r="38" spans="1:230" ht="15" customHeight="1" thickBot="1" x14ac:dyDescent="0.25">
      <c r="A38" s="60"/>
      <c r="B38" s="73"/>
      <c r="C38" s="43"/>
      <c r="D38" s="61" t="str">
        <f t="shared" si="126"/>
        <v/>
      </c>
      <c r="E38" s="44"/>
      <c r="F38" s="44" t="str">
        <f t="shared" si="127"/>
        <v/>
      </c>
      <c r="G38" s="44"/>
      <c r="H38" s="44" t="str">
        <f t="shared" si="128"/>
        <v/>
      </c>
      <c r="I38" s="62"/>
      <c r="J38" s="47" t="str">
        <f t="shared" si="226"/>
        <v/>
      </c>
      <c r="K38" s="61" t="str">
        <f t="shared" si="227"/>
        <v/>
      </c>
      <c r="L38" s="44" t="str">
        <f t="shared" si="228"/>
        <v/>
      </c>
      <c r="M38" s="46" t="str">
        <f t="shared" si="229"/>
        <v/>
      </c>
      <c r="N38" s="29"/>
      <c r="P38" s="60"/>
      <c r="Q38" s="43"/>
      <c r="R38" s="61" t="str">
        <f t="shared" si="91"/>
        <v/>
      </c>
      <c r="S38" s="44"/>
      <c r="T38" s="44" t="str">
        <f t="shared" si="92"/>
        <v/>
      </c>
      <c r="U38" s="44"/>
      <c r="V38" s="44" t="str">
        <f t="shared" si="93"/>
        <v/>
      </c>
      <c r="W38" s="62"/>
      <c r="X38" s="47" t="str">
        <f t="shared" si="94"/>
        <v/>
      </c>
      <c r="Y38" s="61" t="str">
        <f t="shared" si="95"/>
        <v/>
      </c>
      <c r="Z38" s="44" t="str">
        <f t="shared" si="96"/>
        <v/>
      </c>
      <c r="AA38" s="46" t="str">
        <f t="shared" si="97"/>
        <v/>
      </c>
      <c r="AB38" s="29"/>
      <c r="AD38" s="60"/>
      <c r="AE38" s="43"/>
      <c r="AF38" s="61" t="str">
        <f t="shared" si="98"/>
        <v/>
      </c>
      <c r="AG38" s="44"/>
      <c r="AH38" s="44" t="str">
        <f t="shared" si="99"/>
        <v/>
      </c>
      <c r="AI38" s="44"/>
      <c r="AJ38" s="44" t="str">
        <f t="shared" si="100"/>
        <v/>
      </c>
      <c r="AK38" s="62"/>
      <c r="AL38" s="47" t="str">
        <f t="shared" si="101"/>
        <v/>
      </c>
      <c r="AM38" s="61" t="str">
        <f t="shared" si="102"/>
        <v/>
      </c>
      <c r="AN38" s="44" t="str">
        <f t="shared" si="103"/>
        <v/>
      </c>
      <c r="AO38" s="46" t="str">
        <f t="shared" si="104"/>
        <v/>
      </c>
      <c r="AP38" s="29"/>
      <c r="AR38" s="60"/>
      <c r="AS38" s="43"/>
      <c r="AT38" s="61" t="str">
        <f t="shared" si="105"/>
        <v/>
      </c>
      <c r="AU38" s="44"/>
      <c r="AV38" s="44" t="str">
        <f t="shared" si="106"/>
        <v/>
      </c>
      <c r="AW38" s="44"/>
      <c r="AX38" s="44" t="str">
        <f t="shared" si="107"/>
        <v/>
      </c>
      <c r="AY38" s="62"/>
      <c r="AZ38" s="47" t="str">
        <f t="shared" si="133"/>
        <v/>
      </c>
      <c r="BA38" s="61" t="str">
        <f t="shared" si="109"/>
        <v/>
      </c>
      <c r="BB38" s="44" t="str">
        <f t="shared" si="110"/>
        <v/>
      </c>
      <c r="BC38" s="46" t="str">
        <f t="shared" si="111"/>
        <v/>
      </c>
      <c r="BD38" s="29"/>
      <c r="BE38" s="32"/>
      <c r="BF38" s="41"/>
      <c r="BG38" s="43"/>
      <c r="BH38" s="61" t="str">
        <f t="shared" si="112"/>
        <v/>
      </c>
      <c r="BI38" s="44"/>
      <c r="BJ38" s="44" t="str">
        <f t="shared" si="113"/>
        <v/>
      </c>
      <c r="BK38" s="44"/>
      <c r="BL38" s="44" t="str">
        <f t="shared" si="114"/>
        <v/>
      </c>
      <c r="BM38" s="62"/>
      <c r="BN38" s="47" t="str">
        <f t="shared" si="115"/>
        <v/>
      </c>
      <c r="BO38" s="61" t="str">
        <f t="shared" si="116"/>
        <v/>
      </c>
      <c r="BP38" s="44" t="str">
        <f t="shared" si="117"/>
        <v/>
      </c>
      <c r="BQ38" s="46" t="str">
        <f t="shared" si="118"/>
        <v/>
      </c>
      <c r="BR38" s="29"/>
      <c r="BT38" s="41"/>
      <c r="BU38" s="43"/>
      <c r="BV38" s="61" t="str">
        <f t="shared" si="119"/>
        <v/>
      </c>
      <c r="BW38" s="44"/>
      <c r="BX38" s="44" t="str">
        <f t="shared" si="120"/>
        <v/>
      </c>
      <c r="BY38" s="44"/>
      <c r="BZ38" s="44" t="str">
        <f t="shared" si="121"/>
        <v/>
      </c>
      <c r="CA38" s="62"/>
      <c r="CB38" s="47" t="str">
        <f t="shared" si="122"/>
        <v/>
      </c>
      <c r="CC38" s="61" t="str">
        <f t="shared" si="123"/>
        <v/>
      </c>
      <c r="CD38" s="44" t="str">
        <f t="shared" si="124"/>
        <v/>
      </c>
      <c r="CE38" s="46" t="str">
        <f t="shared" si="125"/>
        <v/>
      </c>
      <c r="CF38" s="29"/>
      <c r="CH38" s="14"/>
      <c r="CI38" s="39"/>
      <c r="CJ38" s="5" t="str">
        <f t="shared" si="203"/>
        <v/>
      </c>
      <c r="CK38" s="5"/>
      <c r="CL38" s="5"/>
      <c r="CM38" s="5"/>
      <c r="CN38" s="5" t="str">
        <f t="shared" si="204"/>
        <v/>
      </c>
      <c r="CO38" s="5"/>
      <c r="CP38" s="5"/>
      <c r="CQ38" s="5"/>
      <c r="CR38" s="5" t="str">
        <f t="shared" si="187"/>
        <v/>
      </c>
      <c r="CS38" s="36" t="str">
        <f t="shared" si="188"/>
        <v/>
      </c>
      <c r="CT38" s="29"/>
      <c r="CV38" s="14"/>
      <c r="CW38" s="39"/>
      <c r="CX38" s="5" t="str">
        <f t="shared" si="205"/>
        <v/>
      </c>
      <c r="CY38" s="5"/>
      <c r="CZ38" s="5"/>
      <c r="DA38" s="5"/>
      <c r="DB38" s="5" t="str">
        <f t="shared" si="206"/>
        <v/>
      </c>
      <c r="DC38" s="5"/>
      <c r="DD38" s="5"/>
      <c r="DE38" s="5"/>
      <c r="DF38" s="5" t="str">
        <f t="shared" si="189"/>
        <v/>
      </c>
      <c r="DG38" s="36" t="str">
        <f t="shared" si="190"/>
        <v/>
      </c>
      <c r="DH38" s="29"/>
      <c r="DJ38" s="14"/>
      <c r="DK38" s="39"/>
      <c r="DL38" s="5" t="str">
        <f t="shared" si="207"/>
        <v/>
      </c>
      <c r="DM38" s="5"/>
      <c r="DN38" s="5"/>
      <c r="DO38" s="5"/>
      <c r="DP38" s="5" t="str">
        <f t="shared" si="208"/>
        <v/>
      </c>
      <c r="DQ38" s="5"/>
      <c r="DR38" s="5"/>
      <c r="DS38" s="5"/>
      <c r="DT38" s="5" t="str">
        <f t="shared" si="191"/>
        <v/>
      </c>
      <c r="DU38" s="36" t="str">
        <f t="shared" si="192"/>
        <v/>
      </c>
      <c r="DV38" s="29"/>
      <c r="DX38" s="14"/>
      <c r="DY38" s="39"/>
      <c r="DZ38" s="5" t="str">
        <f t="shared" si="209"/>
        <v/>
      </c>
      <c r="EA38" s="5"/>
      <c r="EB38" s="5"/>
      <c r="EC38" s="5"/>
      <c r="ED38" s="5" t="str">
        <f t="shared" si="210"/>
        <v/>
      </c>
      <c r="EE38" s="5"/>
      <c r="EF38" s="5"/>
      <c r="EG38" s="5"/>
      <c r="EH38" s="5" t="str">
        <f t="shared" si="193"/>
        <v/>
      </c>
      <c r="EI38" s="36" t="str">
        <f t="shared" si="194"/>
        <v/>
      </c>
      <c r="EJ38" s="29"/>
      <c r="EL38" s="14"/>
      <c r="EM38" s="39"/>
      <c r="EN38" s="5" t="str">
        <f t="shared" si="211"/>
        <v/>
      </c>
      <c r="EO38" s="5"/>
      <c r="EP38" s="5"/>
      <c r="EQ38" s="5"/>
      <c r="ER38" s="5" t="str">
        <f t="shared" si="212"/>
        <v/>
      </c>
      <c r="ES38" s="5"/>
      <c r="ET38" s="5"/>
      <c r="EU38" s="5"/>
      <c r="EV38" s="5" t="str">
        <f t="shared" si="195"/>
        <v/>
      </c>
      <c r="EW38" s="36" t="str">
        <f t="shared" si="196"/>
        <v/>
      </c>
      <c r="EX38" s="29"/>
      <c r="EZ38" s="14"/>
      <c r="FA38" s="39"/>
      <c r="FB38" s="5" t="str">
        <f t="shared" si="213"/>
        <v/>
      </c>
      <c r="FC38" s="5"/>
      <c r="FD38" s="5"/>
      <c r="FE38" s="5"/>
      <c r="FF38" s="5" t="str">
        <f t="shared" si="214"/>
        <v/>
      </c>
      <c r="FG38" s="5"/>
      <c r="FH38" s="5"/>
      <c r="FI38" s="5"/>
      <c r="FJ38" s="5" t="str">
        <f t="shared" si="197"/>
        <v/>
      </c>
      <c r="FK38" s="36" t="str">
        <f t="shared" si="198"/>
        <v/>
      </c>
      <c r="FL38" s="29"/>
      <c r="FN38" s="14"/>
      <c r="FO38" s="39"/>
      <c r="FP38" s="5" t="str">
        <f t="shared" si="215"/>
        <v/>
      </c>
      <c r="FQ38" s="5"/>
      <c r="FR38" s="5"/>
      <c r="FS38" s="5"/>
      <c r="FT38" s="5" t="str">
        <f t="shared" si="216"/>
        <v/>
      </c>
      <c r="FU38" s="5"/>
      <c r="FV38" s="5"/>
      <c r="FW38" s="5"/>
      <c r="FX38" s="5" t="str">
        <f t="shared" si="199"/>
        <v/>
      </c>
      <c r="FY38" s="36" t="str">
        <f t="shared" si="200"/>
        <v/>
      </c>
      <c r="FZ38" s="29"/>
      <c r="GB38" s="14"/>
      <c r="GC38" s="39"/>
      <c r="GD38" s="5" t="str">
        <f t="shared" si="217"/>
        <v/>
      </c>
      <c r="GE38" s="5"/>
      <c r="GF38" s="5"/>
      <c r="GG38" s="5"/>
      <c r="GH38" s="5" t="str">
        <f t="shared" si="218"/>
        <v/>
      </c>
      <c r="GI38" s="5"/>
      <c r="GJ38" s="5"/>
      <c r="GK38" s="5"/>
      <c r="GL38" s="5" t="str">
        <f t="shared" si="201"/>
        <v/>
      </c>
      <c r="GM38" s="36" t="str">
        <f t="shared" si="202"/>
        <v/>
      </c>
      <c r="GN38" s="29"/>
      <c r="GP38" s="14"/>
      <c r="GQ38" s="39"/>
      <c r="GR38" s="5" t="str">
        <f t="shared" si="219"/>
        <v/>
      </c>
      <c r="GS38" s="5"/>
      <c r="GT38" s="5"/>
      <c r="GU38" s="5"/>
      <c r="GV38" s="5"/>
      <c r="GW38" s="5"/>
      <c r="GX38" s="5" t="str">
        <f t="shared" si="220"/>
        <v/>
      </c>
      <c r="GY38" s="5"/>
      <c r="GZ38" s="5"/>
      <c r="HA38" s="5"/>
      <c r="HB38" s="5" t="str">
        <f t="shared" si="221"/>
        <v/>
      </c>
      <c r="HC38" s="36" t="str">
        <f t="shared" si="222"/>
        <v/>
      </c>
      <c r="HD38" s="29"/>
      <c r="HF38" s="14"/>
      <c r="HG38" s="39"/>
      <c r="HH38" s="5" t="str">
        <f t="shared" si="223"/>
        <v/>
      </c>
      <c r="HI38" s="5"/>
      <c r="HJ38" s="29"/>
      <c r="HL38" s="14"/>
      <c r="HM38" s="39"/>
      <c r="HN38" s="5" t="str">
        <f t="shared" si="224"/>
        <v/>
      </c>
      <c r="HO38" s="5"/>
      <c r="HP38" s="29"/>
      <c r="HR38" s="14"/>
      <c r="HS38" s="39"/>
      <c r="HT38" s="5" t="str">
        <f t="shared" si="225"/>
        <v/>
      </c>
      <c r="HU38" s="5"/>
      <c r="HV38" s="29"/>
    </row>
    <row r="39" spans="1:230" ht="15" customHeight="1" thickTop="1" x14ac:dyDescent="0.2">
      <c r="A39" s="49"/>
      <c r="B39" s="26">
        <f>SUM(D39:D42)+SUM(R39:R42)+SUM(AF39:AF42)+SUM(AT39:AT42)+SUM(CJ12,CX12,DL12,DZ12,EN12,FB12,FP12,GD12,GR12,HH12,HN12,HT12)+SUM(BH39:BH42)+SUM(BV39:BV40)</f>
        <v>0</v>
      </c>
      <c r="C39" s="4"/>
      <c r="D39" s="4" t="str">
        <f t="shared" si="126"/>
        <v/>
      </c>
      <c r="E39" s="4"/>
      <c r="F39" s="50" t="str">
        <f t="shared" si="127"/>
        <v/>
      </c>
      <c r="G39" s="4"/>
      <c r="H39" s="4" t="str">
        <f t="shared" si="128"/>
        <v/>
      </c>
      <c r="I39" s="51"/>
      <c r="J39" s="31" t="str">
        <f t="shared" ref="J39:J58" si="230">IF(C39="","",J35)</f>
        <v/>
      </c>
      <c r="K39" s="27" t="str">
        <f t="shared" si="130"/>
        <v/>
      </c>
      <c r="L39" s="50" t="str">
        <f t="shared" si="131"/>
        <v/>
      </c>
      <c r="M39" s="52" t="str">
        <f t="shared" si="132"/>
        <v/>
      </c>
      <c r="N39" s="29"/>
      <c r="P39" s="53" t="str">
        <f>IF($A39="","",$A39)</f>
        <v/>
      </c>
      <c r="Q39" s="4"/>
      <c r="R39" s="4" t="str">
        <f t="shared" si="91"/>
        <v/>
      </c>
      <c r="S39" s="4"/>
      <c r="T39" s="50" t="str">
        <f t="shared" si="92"/>
        <v/>
      </c>
      <c r="U39" s="4"/>
      <c r="V39" s="4" t="str">
        <f t="shared" si="93"/>
        <v/>
      </c>
      <c r="W39" s="51"/>
      <c r="X39" s="31" t="str">
        <f t="shared" si="94"/>
        <v/>
      </c>
      <c r="Y39" s="27" t="str">
        <f t="shared" si="95"/>
        <v/>
      </c>
      <c r="Z39" s="50" t="str">
        <f t="shared" si="96"/>
        <v/>
      </c>
      <c r="AA39" s="52" t="str">
        <f t="shared" si="97"/>
        <v/>
      </c>
      <c r="AB39" s="29"/>
      <c r="AD39" s="53" t="str">
        <f>IF($A39="","",$A39)</f>
        <v/>
      </c>
      <c r="AE39" s="4"/>
      <c r="AF39" s="4" t="str">
        <f t="shared" si="98"/>
        <v/>
      </c>
      <c r="AG39" s="4"/>
      <c r="AH39" s="50" t="str">
        <f t="shared" si="99"/>
        <v/>
      </c>
      <c r="AI39" s="4"/>
      <c r="AJ39" s="4" t="str">
        <f t="shared" si="100"/>
        <v/>
      </c>
      <c r="AK39" s="51"/>
      <c r="AL39" s="31" t="str">
        <f t="shared" si="101"/>
        <v/>
      </c>
      <c r="AM39" s="27" t="str">
        <f t="shared" si="102"/>
        <v/>
      </c>
      <c r="AN39" s="50" t="str">
        <f t="shared" si="103"/>
        <v/>
      </c>
      <c r="AO39" s="52" t="str">
        <f t="shared" si="104"/>
        <v/>
      </c>
      <c r="AP39" s="29"/>
      <c r="AR39" s="53" t="str">
        <f>IF($A39="","",$A39)</f>
        <v/>
      </c>
      <c r="AS39" s="4"/>
      <c r="AT39" s="4" t="str">
        <f t="shared" si="105"/>
        <v/>
      </c>
      <c r="AU39" s="4"/>
      <c r="AV39" s="50" t="str">
        <f t="shared" si="106"/>
        <v/>
      </c>
      <c r="AW39" s="4"/>
      <c r="AX39" s="4" t="str">
        <f t="shared" si="107"/>
        <v/>
      </c>
      <c r="AY39" s="51"/>
      <c r="AZ39" s="31" t="str">
        <f t="shared" si="133"/>
        <v/>
      </c>
      <c r="BA39" s="27" t="str">
        <f t="shared" si="109"/>
        <v/>
      </c>
      <c r="BB39" s="50" t="str">
        <f t="shared" si="110"/>
        <v/>
      </c>
      <c r="BC39" s="52" t="str">
        <f t="shared" si="111"/>
        <v/>
      </c>
      <c r="BD39" s="29"/>
      <c r="BE39" s="32"/>
      <c r="BF39" s="33" t="str">
        <f>IF($A39="","",$A39)</f>
        <v/>
      </c>
      <c r="BG39" s="4"/>
      <c r="BH39" s="4" t="str">
        <f t="shared" si="112"/>
        <v/>
      </c>
      <c r="BI39" s="4"/>
      <c r="BJ39" s="50" t="str">
        <f t="shared" si="113"/>
        <v/>
      </c>
      <c r="BK39" s="4"/>
      <c r="BL39" s="4" t="str">
        <f t="shared" si="114"/>
        <v/>
      </c>
      <c r="BM39" s="51"/>
      <c r="BN39" s="31" t="str">
        <f t="shared" si="115"/>
        <v/>
      </c>
      <c r="BO39" s="27" t="str">
        <f t="shared" si="116"/>
        <v/>
      </c>
      <c r="BP39" s="50" t="str">
        <f t="shared" si="117"/>
        <v/>
      </c>
      <c r="BQ39" s="52" t="str">
        <f t="shared" si="118"/>
        <v/>
      </c>
      <c r="BR39" s="29"/>
      <c r="BT39" s="33" t="str">
        <f>IF($A39="","",$A39)</f>
        <v/>
      </c>
      <c r="BU39" s="4"/>
      <c r="BV39" s="4" t="str">
        <f t="shared" si="119"/>
        <v/>
      </c>
      <c r="BW39" s="4"/>
      <c r="BX39" s="50" t="str">
        <f t="shared" si="120"/>
        <v/>
      </c>
      <c r="BY39" s="4"/>
      <c r="BZ39" s="4" t="str">
        <f t="shared" si="121"/>
        <v/>
      </c>
      <c r="CA39" s="51"/>
      <c r="CB39" s="31" t="str">
        <f t="shared" si="122"/>
        <v/>
      </c>
      <c r="CC39" s="27" t="str">
        <f t="shared" si="123"/>
        <v/>
      </c>
      <c r="CD39" s="50" t="str">
        <f t="shared" si="124"/>
        <v/>
      </c>
      <c r="CE39" s="52" t="str">
        <f t="shared" si="125"/>
        <v/>
      </c>
      <c r="CF39" s="29"/>
      <c r="CH39" s="14"/>
      <c r="CI39" s="39"/>
      <c r="CJ39" s="5" t="str">
        <f t="shared" si="203"/>
        <v/>
      </c>
      <c r="CK39" s="5"/>
      <c r="CL39" s="5"/>
      <c r="CM39" s="5"/>
      <c r="CN39" s="5" t="str">
        <f t="shared" si="204"/>
        <v/>
      </c>
      <c r="CO39" s="5"/>
      <c r="CP39" s="5"/>
      <c r="CQ39" s="5"/>
      <c r="CR39" s="5" t="str">
        <f t="shared" si="187"/>
        <v/>
      </c>
      <c r="CS39" s="36" t="str">
        <f t="shared" si="188"/>
        <v/>
      </c>
      <c r="CT39" s="29"/>
      <c r="CV39" s="14"/>
      <c r="CW39" s="39"/>
      <c r="CX39" s="5" t="str">
        <f t="shared" si="205"/>
        <v/>
      </c>
      <c r="CY39" s="5"/>
      <c r="CZ39" s="5"/>
      <c r="DA39" s="5"/>
      <c r="DB39" s="5" t="str">
        <f t="shared" si="206"/>
        <v/>
      </c>
      <c r="DC39" s="5"/>
      <c r="DD39" s="5"/>
      <c r="DE39" s="5"/>
      <c r="DF39" s="5" t="str">
        <f t="shared" si="189"/>
        <v/>
      </c>
      <c r="DG39" s="36" t="str">
        <f t="shared" si="190"/>
        <v/>
      </c>
      <c r="DH39" s="29"/>
      <c r="DJ39" s="14"/>
      <c r="DK39" s="39"/>
      <c r="DL39" s="5" t="str">
        <f t="shared" si="207"/>
        <v/>
      </c>
      <c r="DM39" s="5"/>
      <c r="DN39" s="5"/>
      <c r="DO39" s="5"/>
      <c r="DP39" s="5" t="str">
        <f t="shared" si="208"/>
        <v/>
      </c>
      <c r="DQ39" s="5"/>
      <c r="DR39" s="5"/>
      <c r="DS39" s="5"/>
      <c r="DT39" s="5" t="str">
        <f t="shared" si="191"/>
        <v/>
      </c>
      <c r="DU39" s="36" t="str">
        <f t="shared" si="192"/>
        <v/>
      </c>
      <c r="DV39" s="29" t="s">
        <v>152</v>
      </c>
      <c r="DX39" s="14"/>
      <c r="DY39" s="39"/>
      <c r="DZ39" s="5" t="str">
        <f t="shared" si="209"/>
        <v/>
      </c>
      <c r="EA39" s="5"/>
      <c r="EB39" s="5"/>
      <c r="EC39" s="5"/>
      <c r="ED39" s="5" t="str">
        <f t="shared" si="210"/>
        <v/>
      </c>
      <c r="EE39" s="5"/>
      <c r="EF39" s="5"/>
      <c r="EG39" s="5"/>
      <c r="EH39" s="5" t="str">
        <f t="shared" si="193"/>
        <v/>
      </c>
      <c r="EI39" s="36" t="str">
        <f t="shared" si="194"/>
        <v/>
      </c>
      <c r="EJ39" s="29"/>
      <c r="EL39" s="14"/>
      <c r="EM39" s="39"/>
      <c r="EN39" s="5" t="str">
        <f t="shared" si="211"/>
        <v/>
      </c>
      <c r="EO39" s="5"/>
      <c r="EP39" s="5"/>
      <c r="EQ39" s="5"/>
      <c r="ER39" s="5" t="str">
        <f t="shared" si="212"/>
        <v/>
      </c>
      <c r="ES39" s="5"/>
      <c r="ET39" s="5"/>
      <c r="EU39" s="5"/>
      <c r="EV39" s="5" t="str">
        <f t="shared" si="195"/>
        <v/>
      </c>
      <c r="EW39" s="36" t="str">
        <f t="shared" si="196"/>
        <v/>
      </c>
      <c r="EX39" s="29"/>
      <c r="EZ39" s="14"/>
      <c r="FA39" s="39"/>
      <c r="FB39" s="5" t="str">
        <f t="shared" si="213"/>
        <v/>
      </c>
      <c r="FC39" s="5"/>
      <c r="FD39" s="5"/>
      <c r="FE39" s="5"/>
      <c r="FF39" s="5" t="str">
        <f t="shared" si="214"/>
        <v/>
      </c>
      <c r="FG39" s="5"/>
      <c r="FH39" s="5"/>
      <c r="FI39" s="5"/>
      <c r="FJ39" s="5" t="str">
        <f t="shared" si="197"/>
        <v/>
      </c>
      <c r="FK39" s="36" t="str">
        <f t="shared" si="198"/>
        <v/>
      </c>
      <c r="FL39" s="29"/>
      <c r="FN39" s="14"/>
      <c r="FO39" s="39"/>
      <c r="FP39" s="5" t="str">
        <f t="shared" si="215"/>
        <v/>
      </c>
      <c r="FQ39" s="5"/>
      <c r="FR39" s="5"/>
      <c r="FS39" s="5"/>
      <c r="FT39" s="5" t="str">
        <f t="shared" si="216"/>
        <v/>
      </c>
      <c r="FU39" s="5"/>
      <c r="FV39" s="5"/>
      <c r="FW39" s="5"/>
      <c r="FX39" s="5" t="str">
        <f t="shared" si="199"/>
        <v/>
      </c>
      <c r="FY39" s="36" t="str">
        <f t="shared" si="200"/>
        <v/>
      </c>
      <c r="FZ39" s="29"/>
      <c r="GB39" s="14"/>
      <c r="GC39" s="39"/>
      <c r="GD39" s="5" t="str">
        <f t="shared" si="217"/>
        <v/>
      </c>
      <c r="GE39" s="5"/>
      <c r="GF39" s="5"/>
      <c r="GG39" s="5"/>
      <c r="GH39" s="5" t="str">
        <f t="shared" si="218"/>
        <v/>
      </c>
      <c r="GI39" s="5"/>
      <c r="GJ39" s="5"/>
      <c r="GK39" s="5"/>
      <c r="GL39" s="5" t="str">
        <f t="shared" si="201"/>
        <v/>
      </c>
      <c r="GM39" s="36" t="str">
        <f t="shared" si="202"/>
        <v/>
      </c>
      <c r="GN39" s="29"/>
      <c r="GP39" s="14"/>
      <c r="GQ39" s="39"/>
      <c r="GR39" s="5" t="str">
        <f t="shared" si="219"/>
        <v/>
      </c>
      <c r="GS39" s="5"/>
      <c r="GT39" s="5"/>
      <c r="GU39" s="5"/>
      <c r="GV39" s="5"/>
      <c r="GW39" s="5"/>
      <c r="GX39" s="5" t="str">
        <f t="shared" si="220"/>
        <v/>
      </c>
      <c r="GY39" s="5"/>
      <c r="GZ39" s="5"/>
      <c r="HA39" s="5"/>
      <c r="HB39" s="5" t="str">
        <f t="shared" si="221"/>
        <v/>
      </c>
      <c r="HC39" s="36" t="str">
        <f t="shared" si="222"/>
        <v/>
      </c>
      <c r="HD39" s="29"/>
      <c r="HF39" s="14"/>
      <c r="HG39" s="39"/>
      <c r="HH39" s="5" t="str">
        <f t="shared" si="223"/>
        <v/>
      </c>
      <c r="HI39" s="5"/>
      <c r="HJ39" s="29"/>
      <c r="HL39" s="14"/>
      <c r="HM39" s="39"/>
      <c r="HN39" s="5" t="str">
        <f t="shared" si="224"/>
        <v/>
      </c>
      <c r="HO39" s="5"/>
      <c r="HP39" s="29"/>
      <c r="HR39" s="14"/>
      <c r="HS39" s="39"/>
      <c r="HT39" s="5" t="str">
        <f t="shared" si="225"/>
        <v/>
      </c>
      <c r="HU39" s="5"/>
      <c r="HV39" s="29"/>
    </row>
    <row r="40" spans="1:230" ht="15" customHeight="1" x14ac:dyDescent="0.2">
      <c r="A40" s="54"/>
      <c r="B40" s="37"/>
      <c r="C40" s="5"/>
      <c r="D40" s="5" t="str">
        <f t="shared" si="126"/>
        <v/>
      </c>
      <c r="E40" s="5"/>
      <c r="F40" s="5" t="str">
        <f t="shared" si="127"/>
        <v/>
      </c>
      <c r="G40" s="5"/>
      <c r="H40" s="5" t="str">
        <f t="shared" si="128"/>
        <v/>
      </c>
      <c r="I40" s="35"/>
      <c r="J40" s="38" t="str">
        <f t="shared" si="230"/>
        <v/>
      </c>
      <c r="K40" s="39" t="str">
        <f t="shared" si="130"/>
        <v/>
      </c>
      <c r="L40" s="5" t="str">
        <f t="shared" si="131"/>
        <v/>
      </c>
      <c r="M40" s="36" t="str">
        <f t="shared" si="132"/>
        <v/>
      </c>
      <c r="N40" s="29"/>
      <c r="P40" s="54"/>
      <c r="Q40" s="5"/>
      <c r="R40" s="5" t="str">
        <f t="shared" si="91"/>
        <v/>
      </c>
      <c r="S40" s="5"/>
      <c r="T40" s="5" t="str">
        <f t="shared" si="92"/>
        <v/>
      </c>
      <c r="U40" s="5"/>
      <c r="V40" s="5" t="str">
        <f t="shared" si="93"/>
        <v/>
      </c>
      <c r="W40" s="35"/>
      <c r="X40" s="38" t="str">
        <f t="shared" si="94"/>
        <v/>
      </c>
      <c r="Y40" s="39" t="str">
        <f t="shared" si="95"/>
        <v/>
      </c>
      <c r="Z40" s="5" t="str">
        <f t="shared" si="96"/>
        <v/>
      </c>
      <c r="AA40" s="36" t="str">
        <f t="shared" si="97"/>
        <v/>
      </c>
      <c r="AB40" s="29"/>
      <c r="AD40" s="54"/>
      <c r="AE40" s="5"/>
      <c r="AF40" s="5" t="str">
        <f t="shared" si="98"/>
        <v/>
      </c>
      <c r="AG40" s="5"/>
      <c r="AH40" s="5" t="str">
        <f t="shared" si="99"/>
        <v/>
      </c>
      <c r="AI40" s="5"/>
      <c r="AJ40" s="5" t="str">
        <f t="shared" si="100"/>
        <v/>
      </c>
      <c r="AK40" s="35"/>
      <c r="AL40" s="38" t="str">
        <f t="shared" si="101"/>
        <v/>
      </c>
      <c r="AM40" s="39" t="str">
        <f t="shared" si="102"/>
        <v/>
      </c>
      <c r="AN40" s="5" t="str">
        <f t="shared" si="103"/>
        <v/>
      </c>
      <c r="AO40" s="36" t="str">
        <f t="shared" si="104"/>
        <v/>
      </c>
      <c r="AP40" s="29"/>
      <c r="AR40" s="54"/>
      <c r="AS40" s="5"/>
      <c r="AT40" s="5" t="str">
        <f t="shared" si="105"/>
        <v/>
      </c>
      <c r="AU40" s="5"/>
      <c r="AV40" s="5" t="str">
        <f t="shared" si="106"/>
        <v/>
      </c>
      <c r="AW40" s="5"/>
      <c r="AX40" s="5" t="str">
        <f t="shared" si="107"/>
        <v/>
      </c>
      <c r="AY40" s="35"/>
      <c r="AZ40" s="38" t="str">
        <f t="shared" si="133"/>
        <v/>
      </c>
      <c r="BA40" s="39" t="str">
        <f t="shared" si="109"/>
        <v/>
      </c>
      <c r="BB40" s="5" t="str">
        <f t="shared" si="110"/>
        <v/>
      </c>
      <c r="BC40" s="36" t="str">
        <f t="shared" si="111"/>
        <v/>
      </c>
      <c r="BD40" s="29"/>
      <c r="BE40" s="32"/>
      <c r="BF40" s="25"/>
      <c r="BG40" s="5"/>
      <c r="BH40" s="5" t="str">
        <f t="shared" si="112"/>
        <v/>
      </c>
      <c r="BI40" s="5"/>
      <c r="BJ40" s="5" t="str">
        <f t="shared" si="113"/>
        <v/>
      </c>
      <c r="BK40" s="5"/>
      <c r="BL40" s="5" t="str">
        <f t="shared" si="114"/>
        <v/>
      </c>
      <c r="BM40" s="35"/>
      <c r="BN40" s="38" t="str">
        <f t="shared" si="115"/>
        <v/>
      </c>
      <c r="BO40" s="39" t="str">
        <f t="shared" si="116"/>
        <v/>
      </c>
      <c r="BP40" s="5" t="str">
        <f t="shared" si="117"/>
        <v/>
      </c>
      <c r="BQ40" s="36" t="str">
        <f t="shared" si="118"/>
        <v/>
      </c>
      <c r="BR40" s="29"/>
      <c r="BT40" s="25"/>
      <c r="BU40" s="5"/>
      <c r="BV40" s="5" t="str">
        <f t="shared" si="119"/>
        <v/>
      </c>
      <c r="BW40" s="5"/>
      <c r="BX40" s="5" t="str">
        <f t="shared" si="120"/>
        <v/>
      </c>
      <c r="BY40" s="5"/>
      <c r="BZ40" s="5" t="str">
        <f t="shared" si="121"/>
        <v/>
      </c>
      <c r="CA40" s="35"/>
      <c r="CB40" s="38" t="str">
        <f t="shared" si="122"/>
        <v/>
      </c>
      <c r="CC40" s="39" t="str">
        <f t="shared" si="123"/>
        <v/>
      </c>
      <c r="CD40" s="5" t="str">
        <f t="shared" si="124"/>
        <v/>
      </c>
      <c r="CE40" s="36" t="str">
        <f t="shared" si="125"/>
        <v/>
      </c>
      <c r="CF40" s="29"/>
      <c r="CH40" s="14"/>
      <c r="CI40" s="39"/>
      <c r="CJ40" s="5" t="str">
        <f t="shared" si="203"/>
        <v/>
      </c>
      <c r="CK40" s="5"/>
      <c r="CL40" s="5"/>
      <c r="CM40" s="5"/>
      <c r="CN40" s="5" t="str">
        <f t="shared" si="204"/>
        <v/>
      </c>
      <c r="CO40" s="5"/>
      <c r="CP40" s="5"/>
      <c r="CQ40" s="5"/>
      <c r="CR40" s="5" t="str">
        <f t="shared" si="187"/>
        <v/>
      </c>
      <c r="CS40" s="36" t="str">
        <f t="shared" si="188"/>
        <v/>
      </c>
      <c r="CT40" s="29"/>
      <c r="CV40" s="14"/>
      <c r="CW40" s="39"/>
      <c r="CX40" s="5" t="str">
        <f t="shared" si="205"/>
        <v/>
      </c>
      <c r="CY40" s="5"/>
      <c r="CZ40" s="5"/>
      <c r="DA40" s="5"/>
      <c r="DB40" s="5" t="str">
        <f t="shared" si="206"/>
        <v/>
      </c>
      <c r="DC40" s="5"/>
      <c r="DD40" s="5"/>
      <c r="DE40" s="5"/>
      <c r="DF40" s="5" t="str">
        <f t="shared" si="189"/>
        <v/>
      </c>
      <c r="DG40" s="36" t="str">
        <f t="shared" si="190"/>
        <v/>
      </c>
      <c r="DH40" s="29"/>
      <c r="DJ40" s="14"/>
      <c r="DK40" s="39"/>
      <c r="DL40" s="5" t="str">
        <f t="shared" si="207"/>
        <v/>
      </c>
      <c r="DM40" s="5"/>
      <c r="DN40" s="5"/>
      <c r="DO40" s="5"/>
      <c r="DP40" s="5" t="str">
        <f t="shared" si="208"/>
        <v/>
      </c>
      <c r="DQ40" s="5"/>
      <c r="DR40" s="5"/>
      <c r="DS40" s="5"/>
      <c r="DT40" s="5" t="str">
        <f t="shared" si="191"/>
        <v/>
      </c>
      <c r="DU40" s="36" t="str">
        <f t="shared" si="192"/>
        <v/>
      </c>
      <c r="DV40" s="29"/>
      <c r="DX40" s="14"/>
      <c r="DY40" s="39"/>
      <c r="DZ40" s="5" t="str">
        <f t="shared" si="209"/>
        <v/>
      </c>
      <c r="EA40" s="5"/>
      <c r="EB40" s="5"/>
      <c r="EC40" s="5"/>
      <c r="ED40" s="5" t="str">
        <f t="shared" si="210"/>
        <v/>
      </c>
      <c r="EE40" s="5"/>
      <c r="EF40" s="5"/>
      <c r="EG40" s="5"/>
      <c r="EH40" s="5" t="str">
        <f t="shared" si="193"/>
        <v/>
      </c>
      <c r="EI40" s="36" t="str">
        <f t="shared" si="194"/>
        <v/>
      </c>
      <c r="EJ40" s="29"/>
      <c r="EL40" s="14"/>
      <c r="EM40" s="39"/>
      <c r="EN40" s="5" t="str">
        <f t="shared" si="211"/>
        <v/>
      </c>
      <c r="EO40" s="5"/>
      <c r="EP40" s="5"/>
      <c r="EQ40" s="5"/>
      <c r="ER40" s="5" t="str">
        <f t="shared" si="212"/>
        <v/>
      </c>
      <c r="ES40" s="5"/>
      <c r="ET40" s="5"/>
      <c r="EU40" s="5"/>
      <c r="EV40" s="5" t="str">
        <f t="shared" si="195"/>
        <v/>
      </c>
      <c r="EW40" s="36" t="str">
        <f t="shared" si="196"/>
        <v/>
      </c>
      <c r="EX40" s="29"/>
      <c r="EZ40" s="14"/>
      <c r="FA40" s="39"/>
      <c r="FB40" s="5" t="str">
        <f t="shared" si="213"/>
        <v/>
      </c>
      <c r="FC40" s="5"/>
      <c r="FD40" s="5"/>
      <c r="FE40" s="5"/>
      <c r="FF40" s="5" t="str">
        <f t="shared" si="214"/>
        <v/>
      </c>
      <c r="FG40" s="5"/>
      <c r="FH40" s="5"/>
      <c r="FI40" s="5"/>
      <c r="FJ40" s="5" t="str">
        <f t="shared" si="197"/>
        <v/>
      </c>
      <c r="FK40" s="36" t="str">
        <f t="shared" si="198"/>
        <v/>
      </c>
      <c r="FL40" s="29"/>
      <c r="FN40" s="14"/>
      <c r="FO40" s="39"/>
      <c r="FP40" s="5" t="str">
        <f t="shared" si="215"/>
        <v/>
      </c>
      <c r="FQ40" s="5"/>
      <c r="FR40" s="5"/>
      <c r="FS40" s="5"/>
      <c r="FT40" s="5" t="str">
        <f t="shared" si="216"/>
        <v/>
      </c>
      <c r="FU40" s="5"/>
      <c r="FV40" s="5"/>
      <c r="FW40" s="5"/>
      <c r="FX40" s="5" t="str">
        <f t="shared" si="199"/>
        <v/>
      </c>
      <c r="FY40" s="36" t="str">
        <f t="shared" si="200"/>
        <v/>
      </c>
      <c r="FZ40" s="29"/>
      <c r="GB40" s="14"/>
      <c r="GC40" s="39"/>
      <c r="GD40" s="5" t="str">
        <f t="shared" si="217"/>
        <v/>
      </c>
      <c r="GE40" s="5"/>
      <c r="GF40" s="5"/>
      <c r="GG40" s="5"/>
      <c r="GH40" s="5" t="str">
        <f t="shared" si="218"/>
        <v/>
      </c>
      <c r="GI40" s="5"/>
      <c r="GJ40" s="5"/>
      <c r="GK40" s="5"/>
      <c r="GL40" s="5" t="str">
        <f t="shared" si="201"/>
        <v/>
      </c>
      <c r="GM40" s="36" t="str">
        <f t="shared" si="202"/>
        <v/>
      </c>
      <c r="GN40" s="29"/>
      <c r="GP40" s="14"/>
      <c r="GQ40" s="39"/>
      <c r="GR40" s="5" t="str">
        <f t="shared" si="219"/>
        <v/>
      </c>
      <c r="GS40" s="5"/>
      <c r="GT40" s="5"/>
      <c r="GU40" s="5"/>
      <c r="GV40" s="5"/>
      <c r="GW40" s="5"/>
      <c r="GX40" s="5" t="str">
        <f t="shared" si="220"/>
        <v/>
      </c>
      <c r="GY40" s="5"/>
      <c r="GZ40" s="5"/>
      <c r="HA40" s="5"/>
      <c r="HB40" s="5" t="str">
        <f t="shared" si="221"/>
        <v/>
      </c>
      <c r="HC40" s="36" t="str">
        <f t="shared" si="222"/>
        <v/>
      </c>
      <c r="HD40" s="29"/>
      <c r="HF40" s="14"/>
      <c r="HG40" s="39"/>
      <c r="HH40" s="5" t="str">
        <f t="shared" si="223"/>
        <v/>
      </c>
      <c r="HI40" s="5"/>
      <c r="HJ40" s="29"/>
      <c r="HL40" s="14"/>
      <c r="HM40" s="39"/>
      <c r="HN40" s="5" t="str">
        <f t="shared" si="224"/>
        <v/>
      </c>
      <c r="HO40" s="5"/>
      <c r="HP40" s="29"/>
      <c r="HR40" s="14"/>
      <c r="HS40" s="39"/>
      <c r="HT40" s="5" t="str">
        <f t="shared" si="225"/>
        <v/>
      </c>
      <c r="HU40" s="5"/>
      <c r="HV40" s="29"/>
    </row>
    <row r="41" spans="1:230" ht="15" customHeight="1" x14ac:dyDescent="0.2">
      <c r="A41" s="54"/>
      <c r="B41" s="37"/>
      <c r="C41" s="58"/>
      <c r="D41" s="5" t="str">
        <f t="shared" si="126"/>
        <v/>
      </c>
      <c r="E41" s="5"/>
      <c r="F41" s="5" t="str">
        <f t="shared" si="127"/>
        <v/>
      </c>
      <c r="G41" s="58"/>
      <c r="H41" s="5" t="str">
        <f t="shared" si="128"/>
        <v/>
      </c>
      <c r="I41" s="59"/>
      <c r="J41" s="38" t="str">
        <f t="shared" si="230"/>
        <v/>
      </c>
      <c r="K41" s="5" t="str">
        <f t="shared" si="130"/>
        <v/>
      </c>
      <c r="L41" s="5" t="str">
        <f t="shared" si="131"/>
        <v/>
      </c>
      <c r="M41" s="36" t="str">
        <f t="shared" si="132"/>
        <v/>
      </c>
      <c r="N41" s="29"/>
      <c r="P41" s="54"/>
      <c r="Q41" s="58"/>
      <c r="R41" s="5" t="str">
        <f t="shared" si="91"/>
        <v/>
      </c>
      <c r="S41" s="5"/>
      <c r="T41" s="5" t="str">
        <f t="shared" si="92"/>
        <v/>
      </c>
      <c r="U41" s="58"/>
      <c r="V41" s="5" t="str">
        <f t="shared" si="93"/>
        <v/>
      </c>
      <c r="W41" s="59"/>
      <c r="X41" s="38" t="str">
        <f t="shared" si="94"/>
        <v/>
      </c>
      <c r="Y41" s="5" t="str">
        <f t="shared" si="95"/>
        <v/>
      </c>
      <c r="Z41" s="5" t="str">
        <f t="shared" si="96"/>
        <v/>
      </c>
      <c r="AA41" s="36" t="str">
        <f t="shared" si="97"/>
        <v/>
      </c>
      <c r="AB41" s="29"/>
      <c r="AD41" s="54"/>
      <c r="AE41" s="58"/>
      <c r="AF41" s="5" t="str">
        <f t="shared" si="98"/>
        <v/>
      </c>
      <c r="AG41" s="5"/>
      <c r="AH41" s="5" t="str">
        <f t="shared" si="99"/>
        <v/>
      </c>
      <c r="AI41" s="58"/>
      <c r="AJ41" s="5" t="str">
        <f t="shared" si="100"/>
        <v/>
      </c>
      <c r="AK41" s="59"/>
      <c r="AL41" s="38" t="str">
        <f t="shared" si="101"/>
        <v/>
      </c>
      <c r="AM41" s="5" t="str">
        <f t="shared" si="102"/>
        <v/>
      </c>
      <c r="AN41" s="5" t="str">
        <f t="shared" si="103"/>
        <v/>
      </c>
      <c r="AO41" s="36" t="str">
        <f t="shared" si="104"/>
        <v/>
      </c>
      <c r="AP41" s="29"/>
      <c r="AR41" s="54"/>
      <c r="AS41" s="58"/>
      <c r="AT41" s="5" t="str">
        <f t="shared" si="105"/>
        <v/>
      </c>
      <c r="AU41" s="5"/>
      <c r="AV41" s="5" t="str">
        <f t="shared" si="106"/>
        <v/>
      </c>
      <c r="AW41" s="58"/>
      <c r="AX41" s="5" t="str">
        <f t="shared" si="107"/>
        <v/>
      </c>
      <c r="AY41" s="59"/>
      <c r="AZ41" s="38" t="str">
        <f t="shared" si="133"/>
        <v/>
      </c>
      <c r="BA41" s="5" t="str">
        <f t="shared" si="109"/>
        <v/>
      </c>
      <c r="BB41" s="5" t="str">
        <f t="shared" si="110"/>
        <v/>
      </c>
      <c r="BC41" s="36" t="str">
        <f t="shared" si="111"/>
        <v/>
      </c>
      <c r="BD41" s="29"/>
      <c r="BE41" s="32"/>
      <c r="BF41" s="25"/>
      <c r="BG41" s="58"/>
      <c r="BH41" s="5" t="str">
        <f t="shared" si="112"/>
        <v/>
      </c>
      <c r="BI41" s="5"/>
      <c r="BJ41" s="5" t="str">
        <f t="shared" si="113"/>
        <v/>
      </c>
      <c r="BK41" s="58"/>
      <c r="BL41" s="5" t="str">
        <f t="shared" si="114"/>
        <v/>
      </c>
      <c r="BM41" s="59"/>
      <c r="BN41" s="38" t="str">
        <f t="shared" si="115"/>
        <v/>
      </c>
      <c r="BO41" s="5" t="str">
        <f t="shared" si="116"/>
        <v/>
      </c>
      <c r="BP41" s="5" t="str">
        <f t="shared" si="117"/>
        <v/>
      </c>
      <c r="BQ41" s="36" t="str">
        <f t="shared" si="118"/>
        <v/>
      </c>
      <c r="BR41" s="29"/>
      <c r="BT41" s="25"/>
      <c r="BU41" s="58"/>
      <c r="BV41" s="5" t="str">
        <f t="shared" si="119"/>
        <v/>
      </c>
      <c r="BW41" s="5"/>
      <c r="BX41" s="5" t="str">
        <f t="shared" si="120"/>
        <v/>
      </c>
      <c r="BY41" s="58"/>
      <c r="BZ41" s="5" t="str">
        <f t="shared" si="121"/>
        <v/>
      </c>
      <c r="CA41" s="59"/>
      <c r="CB41" s="38" t="str">
        <f t="shared" si="122"/>
        <v/>
      </c>
      <c r="CC41" s="5" t="str">
        <f t="shared" si="123"/>
        <v/>
      </c>
      <c r="CD41" s="5" t="str">
        <f t="shared" si="124"/>
        <v/>
      </c>
      <c r="CE41" s="36" t="str">
        <f t="shared" si="125"/>
        <v/>
      </c>
      <c r="CF41" s="29"/>
      <c r="CH41" s="14"/>
      <c r="CI41" s="39"/>
      <c r="CJ41" s="5" t="str">
        <f t="shared" si="203"/>
        <v/>
      </c>
      <c r="CK41" s="5"/>
      <c r="CL41" s="5"/>
      <c r="CM41" s="5"/>
      <c r="CN41" s="5" t="str">
        <f t="shared" si="204"/>
        <v/>
      </c>
      <c r="CO41" s="5"/>
      <c r="CP41" s="5"/>
      <c r="CQ41" s="5"/>
      <c r="CR41" s="5" t="str">
        <f t="shared" si="187"/>
        <v/>
      </c>
      <c r="CS41" s="36" t="str">
        <f t="shared" si="188"/>
        <v/>
      </c>
      <c r="CT41" s="29"/>
      <c r="CV41" s="14"/>
      <c r="CW41" s="39"/>
      <c r="CX41" s="5" t="str">
        <f t="shared" si="205"/>
        <v/>
      </c>
      <c r="CY41" s="5"/>
      <c r="CZ41" s="5"/>
      <c r="DA41" s="5"/>
      <c r="DB41" s="5" t="str">
        <f t="shared" si="206"/>
        <v/>
      </c>
      <c r="DC41" s="5"/>
      <c r="DD41" s="5"/>
      <c r="DE41" s="5"/>
      <c r="DF41" s="5" t="str">
        <f t="shared" si="189"/>
        <v/>
      </c>
      <c r="DG41" s="36" t="str">
        <f t="shared" si="190"/>
        <v/>
      </c>
      <c r="DH41" s="29"/>
      <c r="DJ41" s="14"/>
      <c r="DK41" s="39"/>
      <c r="DL41" s="5" t="str">
        <f t="shared" si="207"/>
        <v/>
      </c>
      <c r="DM41" s="5"/>
      <c r="DN41" s="5"/>
      <c r="DO41" s="5"/>
      <c r="DP41" s="5" t="str">
        <f t="shared" si="208"/>
        <v/>
      </c>
      <c r="DQ41" s="5"/>
      <c r="DR41" s="5"/>
      <c r="DS41" s="5"/>
      <c r="DT41" s="5" t="str">
        <f t="shared" si="191"/>
        <v/>
      </c>
      <c r="DU41" s="36" t="str">
        <f t="shared" si="192"/>
        <v/>
      </c>
      <c r="DV41" s="29"/>
      <c r="DX41" s="14"/>
      <c r="DY41" s="39"/>
      <c r="DZ41" s="5" t="str">
        <f t="shared" si="209"/>
        <v/>
      </c>
      <c r="EA41" s="5"/>
      <c r="EB41" s="5"/>
      <c r="EC41" s="5"/>
      <c r="ED41" s="5" t="str">
        <f t="shared" si="210"/>
        <v/>
      </c>
      <c r="EE41" s="5"/>
      <c r="EF41" s="5"/>
      <c r="EG41" s="5"/>
      <c r="EH41" s="5" t="str">
        <f t="shared" si="193"/>
        <v/>
      </c>
      <c r="EI41" s="36" t="str">
        <f t="shared" si="194"/>
        <v/>
      </c>
      <c r="EJ41" s="29"/>
      <c r="EL41" s="14"/>
      <c r="EM41" s="39"/>
      <c r="EN41" s="5" t="str">
        <f t="shared" si="211"/>
        <v/>
      </c>
      <c r="EO41" s="5"/>
      <c r="EP41" s="5"/>
      <c r="EQ41" s="5"/>
      <c r="ER41" s="5" t="str">
        <f t="shared" si="212"/>
        <v/>
      </c>
      <c r="ES41" s="5"/>
      <c r="ET41" s="5"/>
      <c r="EU41" s="5"/>
      <c r="EV41" s="5" t="str">
        <f t="shared" si="195"/>
        <v/>
      </c>
      <c r="EW41" s="36" t="str">
        <f t="shared" si="196"/>
        <v/>
      </c>
      <c r="EX41" s="29"/>
      <c r="EZ41" s="14"/>
      <c r="FA41" s="39"/>
      <c r="FB41" s="5" t="str">
        <f t="shared" si="213"/>
        <v/>
      </c>
      <c r="FC41" s="5"/>
      <c r="FD41" s="5"/>
      <c r="FE41" s="5"/>
      <c r="FF41" s="5" t="str">
        <f t="shared" si="214"/>
        <v/>
      </c>
      <c r="FG41" s="5"/>
      <c r="FH41" s="5"/>
      <c r="FI41" s="5"/>
      <c r="FJ41" s="5" t="str">
        <f t="shared" si="197"/>
        <v/>
      </c>
      <c r="FK41" s="36" t="str">
        <f t="shared" si="198"/>
        <v/>
      </c>
      <c r="FL41" s="29"/>
      <c r="FN41" s="14"/>
      <c r="FO41" s="39"/>
      <c r="FP41" s="5" t="str">
        <f t="shared" si="215"/>
        <v/>
      </c>
      <c r="FQ41" s="5"/>
      <c r="FR41" s="5"/>
      <c r="FS41" s="5"/>
      <c r="FT41" s="5" t="str">
        <f t="shared" si="216"/>
        <v/>
      </c>
      <c r="FU41" s="5"/>
      <c r="FV41" s="5"/>
      <c r="FW41" s="5"/>
      <c r="FX41" s="5" t="str">
        <f t="shared" si="199"/>
        <v/>
      </c>
      <c r="FY41" s="36" t="str">
        <f t="shared" si="200"/>
        <v/>
      </c>
      <c r="FZ41" s="29"/>
      <c r="GB41" s="14"/>
      <c r="GC41" s="39"/>
      <c r="GD41" s="5" t="str">
        <f t="shared" si="217"/>
        <v/>
      </c>
      <c r="GE41" s="5"/>
      <c r="GF41" s="5"/>
      <c r="GG41" s="5"/>
      <c r="GH41" s="5" t="str">
        <f t="shared" si="218"/>
        <v/>
      </c>
      <c r="GI41" s="5"/>
      <c r="GJ41" s="5"/>
      <c r="GK41" s="5"/>
      <c r="GL41" s="5" t="str">
        <f t="shared" si="201"/>
        <v/>
      </c>
      <c r="GM41" s="36" t="str">
        <f t="shared" si="202"/>
        <v/>
      </c>
      <c r="GN41" s="29"/>
      <c r="GP41" s="14"/>
      <c r="GQ41" s="39"/>
      <c r="GR41" s="5" t="str">
        <f t="shared" si="219"/>
        <v/>
      </c>
      <c r="GS41" s="5"/>
      <c r="GT41" s="5"/>
      <c r="GU41" s="5"/>
      <c r="GV41" s="5"/>
      <c r="GW41" s="5"/>
      <c r="GX41" s="5" t="str">
        <f t="shared" si="220"/>
        <v/>
      </c>
      <c r="GY41" s="5"/>
      <c r="GZ41" s="5"/>
      <c r="HA41" s="5"/>
      <c r="HB41" s="5" t="str">
        <f t="shared" si="221"/>
        <v/>
      </c>
      <c r="HC41" s="36" t="str">
        <f t="shared" si="222"/>
        <v/>
      </c>
      <c r="HD41" s="29"/>
      <c r="HF41" s="14"/>
      <c r="HG41" s="39"/>
      <c r="HH41" s="5" t="str">
        <f t="shared" si="223"/>
        <v/>
      </c>
      <c r="HI41" s="5"/>
      <c r="HJ41" s="29"/>
      <c r="HL41" s="14"/>
      <c r="HM41" s="39"/>
      <c r="HN41" s="5" t="str">
        <f t="shared" si="224"/>
        <v/>
      </c>
      <c r="HO41" s="5"/>
      <c r="HP41" s="29"/>
      <c r="HR41" s="14"/>
      <c r="HS41" s="39"/>
      <c r="HT41" s="5" t="str">
        <f t="shared" si="225"/>
        <v/>
      </c>
      <c r="HU41" s="5"/>
      <c r="HV41" s="29"/>
    </row>
    <row r="42" spans="1:230" ht="15" customHeight="1" thickBot="1" x14ac:dyDescent="0.25">
      <c r="A42" s="60"/>
      <c r="B42" s="42"/>
      <c r="C42" s="44"/>
      <c r="D42" s="61" t="str">
        <f t="shared" si="126"/>
        <v/>
      </c>
      <c r="E42" s="44"/>
      <c r="F42" s="44" t="str">
        <f t="shared" si="127"/>
        <v/>
      </c>
      <c r="G42" s="44"/>
      <c r="H42" s="44" t="str">
        <f t="shared" si="128"/>
        <v/>
      </c>
      <c r="I42" s="62"/>
      <c r="J42" s="47" t="str">
        <f t="shared" si="230"/>
        <v/>
      </c>
      <c r="K42" s="61" t="str">
        <f t="shared" si="130"/>
        <v/>
      </c>
      <c r="L42" s="44" t="str">
        <f t="shared" si="131"/>
        <v/>
      </c>
      <c r="M42" s="46" t="str">
        <f t="shared" si="132"/>
        <v/>
      </c>
      <c r="N42" s="29"/>
      <c r="P42" s="60"/>
      <c r="Q42" s="44"/>
      <c r="R42" s="61" t="str">
        <f t="shared" si="91"/>
        <v/>
      </c>
      <c r="S42" s="44"/>
      <c r="T42" s="44" t="str">
        <f t="shared" si="92"/>
        <v/>
      </c>
      <c r="U42" s="44"/>
      <c r="V42" s="44" t="str">
        <f t="shared" si="93"/>
        <v/>
      </c>
      <c r="W42" s="62"/>
      <c r="X42" s="47" t="str">
        <f t="shared" si="94"/>
        <v/>
      </c>
      <c r="Y42" s="61" t="str">
        <f t="shared" si="95"/>
        <v/>
      </c>
      <c r="Z42" s="44" t="str">
        <f t="shared" si="96"/>
        <v/>
      </c>
      <c r="AA42" s="46" t="str">
        <f t="shared" si="97"/>
        <v/>
      </c>
      <c r="AB42" s="29"/>
      <c r="AD42" s="60"/>
      <c r="AE42" s="44"/>
      <c r="AF42" s="61" t="str">
        <f t="shared" si="98"/>
        <v/>
      </c>
      <c r="AG42" s="44"/>
      <c r="AH42" s="44" t="str">
        <f t="shared" si="99"/>
        <v/>
      </c>
      <c r="AI42" s="44"/>
      <c r="AJ42" s="44" t="str">
        <f t="shared" si="100"/>
        <v/>
      </c>
      <c r="AK42" s="62"/>
      <c r="AL42" s="47" t="str">
        <f t="shared" si="101"/>
        <v/>
      </c>
      <c r="AM42" s="61" t="str">
        <f t="shared" si="102"/>
        <v/>
      </c>
      <c r="AN42" s="44" t="str">
        <f t="shared" si="103"/>
        <v/>
      </c>
      <c r="AO42" s="46" t="str">
        <f t="shared" si="104"/>
        <v/>
      </c>
      <c r="AP42" s="29"/>
      <c r="AR42" s="60"/>
      <c r="AS42" s="44"/>
      <c r="AT42" s="61" t="str">
        <f t="shared" si="105"/>
        <v/>
      </c>
      <c r="AU42" s="44"/>
      <c r="AV42" s="44" t="str">
        <f t="shared" si="106"/>
        <v/>
      </c>
      <c r="AW42" s="44"/>
      <c r="AX42" s="44" t="str">
        <f t="shared" si="107"/>
        <v/>
      </c>
      <c r="AY42" s="62"/>
      <c r="AZ42" s="47" t="str">
        <f t="shared" si="133"/>
        <v/>
      </c>
      <c r="BA42" s="61" t="str">
        <f t="shared" si="109"/>
        <v/>
      </c>
      <c r="BB42" s="44" t="str">
        <f t="shared" si="110"/>
        <v/>
      </c>
      <c r="BC42" s="46" t="str">
        <f t="shared" si="111"/>
        <v/>
      </c>
      <c r="BD42" s="29"/>
      <c r="BE42" s="32"/>
      <c r="BF42" s="41"/>
      <c r="BG42" s="44"/>
      <c r="BH42" s="61" t="str">
        <f t="shared" si="112"/>
        <v/>
      </c>
      <c r="BI42" s="44"/>
      <c r="BJ42" s="44" t="str">
        <f t="shared" si="113"/>
        <v/>
      </c>
      <c r="BK42" s="44"/>
      <c r="BL42" s="44" t="str">
        <f t="shared" si="114"/>
        <v/>
      </c>
      <c r="BM42" s="62"/>
      <c r="BN42" s="47" t="str">
        <f t="shared" si="115"/>
        <v/>
      </c>
      <c r="BO42" s="61" t="str">
        <f t="shared" si="116"/>
        <v/>
      </c>
      <c r="BP42" s="44" t="str">
        <f t="shared" si="117"/>
        <v/>
      </c>
      <c r="BQ42" s="46" t="str">
        <f t="shared" si="118"/>
        <v/>
      </c>
      <c r="BR42" s="29"/>
      <c r="BT42" s="41"/>
      <c r="BU42" s="44"/>
      <c r="BV42" s="61" t="str">
        <f t="shared" si="119"/>
        <v/>
      </c>
      <c r="BW42" s="44"/>
      <c r="BX42" s="44" t="str">
        <f t="shared" si="120"/>
        <v/>
      </c>
      <c r="BY42" s="44"/>
      <c r="BZ42" s="44" t="str">
        <f t="shared" si="121"/>
        <v/>
      </c>
      <c r="CA42" s="62"/>
      <c r="CB42" s="47" t="str">
        <f t="shared" si="122"/>
        <v/>
      </c>
      <c r="CC42" s="61" t="str">
        <f t="shared" si="123"/>
        <v/>
      </c>
      <c r="CD42" s="44" t="str">
        <f t="shared" si="124"/>
        <v/>
      </c>
      <c r="CE42" s="46" t="str">
        <f t="shared" si="125"/>
        <v/>
      </c>
      <c r="CF42" s="29"/>
      <c r="CH42" s="14"/>
      <c r="CI42" s="39"/>
      <c r="CJ42" s="5" t="str">
        <f t="shared" si="203"/>
        <v/>
      </c>
      <c r="CK42" s="5"/>
      <c r="CL42" s="5"/>
      <c r="CM42" s="5"/>
      <c r="CN42" s="5" t="str">
        <f t="shared" si="204"/>
        <v/>
      </c>
      <c r="CO42" s="5"/>
      <c r="CP42" s="5"/>
      <c r="CQ42" s="5"/>
      <c r="CR42" s="5" t="str">
        <f t="shared" si="187"/>
        <v/>
      </c>
      <c r="CS42" s="36" t="str">
        <f t="shared" si="188"/>
        <v/>
      </c>
      <c r="CT42" s="29"/>
      <c r="CV42" s="14"/>
      <c r="CW42" s="39"/>
      <c r="CX42" s="5" t="str">
        <f t="shared" si="205"/>
        <v/>
      </c>
      <c r="CY42" s="5"/>
      <c r="CZ42" s="5"/>
      <c r="DA42" s="5"/>
      <c r="DB42" s="5" t="str">
        <f t="shared" si="206"/>
        <v/>
      </c>
      <c r="DC42" s="5"/>
      <c r="DD42" s="5"/>
      <c r="DE42" s="5"/>
      <c r="DF42" s="5" t="str">
        <f t="shared" si="189"/>
        <v/>
      </c>
      <c r="DG42" s="36" t="str">
        <f t="shared" si="190"/>
        <v/>
      </c>
      <c r="DH42" s="29"/>
      <c r="DJ42" s="14"/>
      <c r="DK42" s="39"/>
      <c r="DL42" s="5" t="str">
        <f t="shared" si="207"/>
        <v/>
      </c>
      <c r="DM42" s="5"/>
      <c r="DN42" s="5"/>
      <c r="DO42" s="5"/>
      <c r="DP42" s="5" t="str">
        <f t="shared" si="208"/>
        <v/>
      </c>
      <c r="DQ42" s="5"/>
      <c r="DR42" s="5"/>
      <c r="DS42" s="5"/>
      <c r="DT42" s="5" t="str">
        <f t="shared" si="191"/>
        <v/>
      </c>
      <c r="DU42" s="36" t="str">
        <f t="shared" si="192"/>
        <v/>
      </c>
      <c r="DV42" s="29"/>
      <c r="DX42" s="14"/>
      <c r="DY42" s="39"/>
      <c r="DZ42" s="5" t="str">
        <f t="shared" si="209"/>
        <v/>
      </c>
      <c r="EA42" s="5"/>
      <c r="EB42" s="5"/>
      <c r="EC42" s="5"/>
      <c r="ED42" s="5" t="str">
        <f t="shared" si="210"/>
        <v/>
      </c>
      <c r="EE42" s="5"/>
      <c r="EF42" s="5"/>
      <c r="EG42" s="5"/>
      <c r="EH42" s="5" t="str">
        <f t="shared" si="193"/>
        <v/>
      </c>
      <c r="EI42" s="36" t="str">
        <f t="shared" si="194"/>
        <v/>
      </c>
      <c r="EJ42" s="29"/>
      <c r="EL42" s="14"/>
      <c r="EM42" s="39"/>
      <c r="EN42" s="5" t="str">
        <f t="shared" si="211"/>
        <v/>
      </c>
      <c r="EO42" s="5"/>
      <c r="EP42" s="5"/>
      <c r="EQ42" s="5"/>
      <c r="ER42" s="5" t="str">
        <f t="shared" si="212"/>
        <v/>
      </c>
      <c r="ES42" s="5"/>
      <c r="ET42" s="5"/>
      <c r="EU42" s="5"/>
      <c r="EV42" s="5" t="str">
        <f t="shared" si="195"/>
        <v/>
      </c>
      <c r="EW42" s="36" t="str">
        <f t="shared" si="196"/>
        <v/>
      </c>
      <c r="EX42" s="29"/>
      <c r="EZ42" s="14"/>
      <c r="FA42" s="39"/>
      <c r="FB42" s="5" t="str">
        <f t="shared" si="213"/>
        <v/>
      </c>
      <c r="FC42" s="5"/>
      <c r="FD42" s="5"/>
      <c r="FE42" s="5"/>
      <c r="FF42" s="5" t="str">
        <f t="shared" si="214"/>
        <v/>
      </c>
      <c r="FG42" s="5"/>
      <c r="FH42" s="5"/>
      <c r="FI42" s="5"/>
      <c r="FJ42" s="5" t="str">
        <f t="shared" si="197"/>
        <v/>
      </c>
      <c r="FK42" s="36" t="str">
        <f t="shared" si="198"/>
        <v/>
      </c>
      <c r="FL42" s="29"/>
      <c r="FN42" s="14"/>
      <c r="FO42" s="39"/>
      <c r="FP42" s="5" t="str">
        <f t="shared" si="215"/>
        <v/>
      </c>
      <c r="FQ42" s="5"/>
      <c r="FR42" s="5"/>
      <c r="FS42" s="5"/>
      <c r="FT42" s="5" t="str">
        <f t="shared" si="216"/>
        <v/>
      </c>
      <c r="FU42" s="5"/>
      <c r="FV42" s="5"/>
      <c r="FW42" s="5"/>
      <c r="FX42" s="5" t="str">
        <f t="shared" si="199"/>
        <v/>
      </c>
      <c r="FY42" s="36" t="str">
        <f t="shared" si="200"/>
        <v/>
      </c>
      <c r="FZ42" s="29"/>
      <c r="GB42" s="14"/>
      <c r="GC42" s="39"/>
      <c r="GD42" s="5" t="str">
        <f t="shared" si="217"/>
        <v/>
      </c>
      <c r="GE42" s="5"/>
      <c r="GF42" s="5"/>
      <c r="GG42" s="5"/>
      <c r="GH42" s="5" t="str">
        <f t="shared" si="218"/>
        <v/>
      </c>
      <c r="GI42" s="5"/>
      <c r="GJ42" s="5"/>
      <c r="GK42" s="5"/>
      <c r="GL42" s="5" t="str">
        <f t="shared" si="201"/>
        <v/>
      </c>
      <c r="GM42" s="36" t="str">
        <f t="shared" si="202"/>
        <v/>
      </c>
      <c r="GN42" s="29"/>
      <c r="GP42" s="14"/>
      <c r="GQ42" s="39"/>
      <c r="GR42" s="5" t="str">
        <f t="shared" si="219"/>
        <v/>
      </c>
      <c r="GS42" s="5"/>
      <c r="GT42" s="5"/>
      <c r="GU42" s="5"/>
      <c r="GV42" s="5"/>
      <c r="GW42" s="5"/>
      <c r="GX42" s="5" t="str">
        <f t="shared" si="220"/>
        <v/>
      </c>
      <c r="GY42" s="5"/>
      <c r="GZ42" s="5"/>
      <c r="HA42" s="5"/>
      <c r="HB42" s="5" t="str">
        <f t="shared" si="221"/>
        <v/>
      </c>
      <c r="HC42" s="36" t="str">
        <f t="shared" si="222"/>
        <v/>
      </c>
      <c r="HD42" s="29"/>
      <c r="HF42" s="14"/>
      <c r="HG42" s="39"/>
      <c r="HH42" s="5" t="str">
        <f t="shared" si="223"/>
        <v/>
      </c>
      <c r="HI42" s="5"/>
      <c r="HJ42" s="29"/>
      <c r="HL42" s="14"/>
      <c r="HM42" s="39"/>
      <c r="HN42" s="5" t="str">
        <f t="shared" si="224"/>
        <v/>
      </c>
      <c r="HO42" s="5"/>
      <c r="HP42" s="29"/>
      <c r="HR42" s="14"/>
      <c r="HS42" s="39"/>
      <c r="HT42" s="5" t="str">
        <f t="shared" si="225"/>
        <v/>
      </c>
      <c r="HU42" s="5"/>
      <c r="HV42" s="29"/>
    </row>
    <row r="43" spans="1:230" ht="15" customHeight="1" thickTop="1" x14ac:dyDescent="0.2">
      <c r="A43" s="49"/>
      <c r="B43" s="26">
        <f>SUM(D43:D46)+SUM(R43:R46)+SUM(AF43:AF46)+SUM(AT43:AT46)+SUM(CJ13,CX13,DL13,DZ13,EN13,FB13,FP13,GD13,GR13,HH13,HN13,HT13)+SUM(BH43:BH46)+SUM(BV43:BV44)</f>
        <v>0</v>
      </c>
      <c r="C43" s="4"/>
      <c r="D43" s="4" t="str">
        <f t="shared" si="126"/>
        <v/>
      </c>
      <c r="E43" s="4"/>
      <c r="F43" s="50" t="str">
        <f t="shared" si="127"/>
        <v/>
      </c>
      <c r="G43" s="4"/>
      <c r="H43" s="4" t="str">
        <f t="shared" si="128"/>
        <v/>
      </c>
      <c r="I43" s="51"/>
      <c r="J43" s="31" t="str">
        <f t="shared" si="230"/>
        <v/>
      </c>
      <c r="K43" s="27" t="str">
        <f t="shared" si="130"/>
        <v/>
      </c>
      <c r="L43" s="50" t="str">
        <f t="shared" si="131"/>
        <v/>
      </c>
      <c r="M43" s="52" t="str">
        <f t="shared" si="132"/>
        <v/>
      </c>
      <c r="N43" s="29"/>
      <c r="P43" s="53" t="str">
        <f>IF($A43="","",$A43)</f>
        <v/>
      </c>
      <c r="Q43" s="4"/>
      <c r="R43" s="4" t="str">
        <f t="shared" ref="R7:R58" si="231">IF(Q43="","",Q43-Q39)</f>
        <v/>
      </c>
      <c r="S43" s="4"/>
      <c r="T43" s="50" t="str">
        <f t="shared" ref="T7:T58" si="232">IF(S43="","",S43-S39)</f>
        <v/>
      </c>
      <c r="U43" s="4"/>
      <c r="V43" s="4" t="str">
        <f t="shared" ref="V7:V58" si="233">IF(U43="","",U39+W39-U43)</f>
        <v/>
      </c>
      <c r="W43" s="51"/>
      <c r="X43" s="31" t="str">
        <f t="shared" ref="X39:X58" si="234">IF(Q43="","",X39)</f>
        <v/>
      </c>
      <c r="Y43" s="27" t="str">
        <f t="shared" ref="Y26:Y58" si="235">IF(R43="","",Y39)</f>
        <v/>
      </c>
      <c r="Z43" s="50" t="str">
        <f t="shared" ref="Z7:Z58" si="236">IF(U43="","",V43*Y43)</f>
        <v/>
      </c>
      <c r="AA43" s="52" t="str">
        <f t="shared" ref="AA7:AA58" si="237">IF(V43="","",Z43/(R43*100))</f>
        <v/>
      </c>
      <c r="AB43" s="29"/>
      <c r="AD43" s="53" t="str">
        <f>IF($A43="","",$A43)</f>
        <v/>
      </c>
      <c r="AE43" s="4"/>
      <c r="AF43" s="4" t="str">
        <f t="shared" ref="AF27:AF58" si="238">IF(AE43="","",AE43-AE39)</f>
        <v/>
      </c>
      <c r="AG43" s="4"/>
      <c r="AH43" s="50" t="str">
        <f t="shared" ref="AH7:AH58" si="239">IF(AG43="","",AG43-AG39)</f>
        <v/>
      </c>
      <c r="AI43" s="4"/>
      <c r="AJ43" s="4" t="str">
        <f t="shared" ref="AJ7:AJ58" si="240">IF(AI43="","",AI39+AK39-AI43)</f>
        <v/>
      </c>
      <c r="AK43" s="51"/>
      <c r="AL43" s="31" t="str">
        <f t="shared" ref="AL20:AL58" si="241">IF(AE43="","",AL39)</f>
        <v/>
      </c>
      <c r="AM43" s="27" t="str">
        <f t="shared" ref="AM20:AM58" si="242">IF(AF43="","",AM39)</f>
        <v/>
      </c>
      <c r="AN43" s="50" t="str">
        <f t="shared" ref="AN7:AN58" si="243">IF(AI43="","",AJ43*AM43)</f>
        <v/>
      </c>
      <c r="AO43" s="52" t="str">
        <f t="shared" ref="AO7:AO58" si="244">IF(AJ43="","",AN43/(AF43*100))</f>
        <v/>
      </c>
      <c r="AP43" s="29"/>
      <c r="AR43" s="53" t="str">
        <f>IF($A43="","",$A43)</f>
        <v/>
      </c>
      <c r="AS43" s="4"/>
      <c r="AT43" s="4" t="str">
        <f t="shared" ref="AT7:AT58" si="245">IF(AS43="","",AS43-AS39)</f>
        <v/>
      </c>
      <c r="AU43" s="4"/>
      <c r="AV43" s="50" t="str">
        <f t="shared" ref="AV7:AV58" si="246">IF(AU43="","",AU43-AU39)</f>
        <v/>
      </c>
      <c r="AW43" s="4"/>
      <c r="AX43" s="4" t="str">
        <f t="shared" ref="AX7:AX58" si="247">IF(AW43="","",AW39+AY39-AW43)</f>
        <v/>
      </c>
      <c r="AY43" s="51"/>
      <c r="AZ43" s="31" t="str">
        <f t="shared" ref="AZ43:AZ58" si="248">IF(AS43="","",AZ39)</f>
        <v/>
      </c>
      <c r="BA43" s="27" t="str">
        <f t="shared" ref="BA27:BA58" si="249">IF(AT43="","",BA39)</f>
        <v/>
      </c>
      <c r="BB43" s="50" t="str">
        <f t="shared" ref="BB7:BB58" si="250">IF(AW43="","",AX43*BA43)</f>
        <v/>
      </c>
      <c r="BC43" s="52" t="str">
        <f t="shared" ref="BC7:BC58" si="251">IF(AX43="","",BB43/(AT43*100))</f>
        <v/>
      </c>
      <c r="BD43" s="29"/>
      <c r="BE43" s="32"/>
      <c r="BF43" s="33" t="str">
        <f>IF($A43="","",$A43)</f>
        <v/>
      </c>
      <c r="BG43" s="4"/>
      <c r="BH43" s="4" t="str">
        <f t="shared" ref="BH7:BH58" si="252">IF(BG43="","",BG43-BG39)</f>
        <v/>
      </c>
      <c r="BI43" s="4"/>
      <c r="BJ43" s="50" t="str">
        <f t="shared" ref="BJ7:BJ57" si="253">IF(BI43="","",BI43-BI39)</f>
        <v/>
      </c>
      <c r="BK43" s="4"/>
      <c r="BL43" s="4" t="str">
        <f t="shared" ref="BL7:BL57" si="254">IF(BK43="","",BK39+BM39-BK43)</f>
        <v/>
      </c>
      <c r="BM43" s="51"/>
      <c r="BN43" s="31" t="str">
        <f t="shared" ref="BN7:BN46" si="255">IF(BG43="","",BN39)</f>
        <v/>
      </c>
      <c r="BO43" s="27" t="str">
        <f t="shared" ref="BO7:BO46" si="256">IF(BH43="","",BO39)</f>
        <v/>
      </c>
      <c r="BP43" s="50" t="str">
        <f t="shared" ref="BP7:BP58" si="257">IF(BK43="","",BL43*BO43)</f>
        <v/>
      </c>
      <c r="BQ43" s="52" t="str">
        <f t="shared" ref="BQ7:BQ48" si="258">IF(BL43="","",BP43/(BH43*100))</f>
        <v/>
      </c>
      <c r="BR43" s="29"/>
      <c r="BT43" s="33" t="str">
        <f>IF($A43="","",$A43)</f>
        <v/>
      </c>
      <c r="BU43" s="4"/>
      <c r="BV43" s="4" t="str">
        <f t="shared" ref="BV7:BV58" si="259">IF(BU43="","",BU43-BU39)</f>
        <v/>
      </c>
      <c r="BW43" s="4"/>
      <c r="BX43" s="50" t="str">
        <f t="shared" ref="BX7:BX57" si="260">IF(BW43="","",BW43-BW39)</f>
        <v/>
      </c>
      <c r="BY43" s="4"/>
      <c r="BZ43" s="4" t="str">
        <f t="shared" ref="BZ7:BZ48" si="261">IF(BY43="","",BY39+CA39-BY43)</f>
        <v/>
      </c>
      <c r="CA43" s="51"/>
      <c r="CB43" s="31" t="str">
        <f t="shared" ref="CB7:CB46" si="262">IF(BU43="","",CB39)</f>
        <v/>
      </c>
      <c r="CC43" s="27" t="str">
        <f t="shared" ref="CC7:CC46" si="263">IF(BV43="","",CC39)</f>
        <v/>
      </c>
      <c r="CD43" s="50" t="str">
        <f t="shared" ref="CD7:CD48" si="264">IF(BY43="","",BZ43*CC43)</f>
        <v/>
      </c>
      <c r="CE43" s="52" t="str">
        <f t="shared" ref="CE7:CE48" si="265">IF(BZ43="","",CD43/(BV43*100))</f>
        <v/>
      </c>
      <c r="CF43" s="29"/>
      <c r="CH43" s="14"/>
      <c r="CI43" s="39"/>
      <c r="CJ43" s="5" t="str">
        <f t="shared" si="203"/>
        <v/>
      </c>
      <c r="CK43" s="5"/>
      <c r="CL43" s="5"/>
      <c r="CM43" s="5"/>
      <c r="CN43" s="5" t="str">
        <f t="shared" si="204"/>
        <v/>
      </c>
      <c r="CO43" s="5"/>
      <c r="CP43" s="5"/>
      <c r="CQ43" s="5"/>
      <c r="CR43" s="5" t="str">
        <f t="shared" si="187"/>
        <v/>
      </c>
      <c r="CS43" s="36" t="str">
        <f t="shared" si="188"/>
        <v/>
      </c>
      <c r="CT43" s="29"/>
      <c r="CV43" s="14"/>
      <c r="CW43" s="39"/>
      <c r="CX43" s="5" t="str">
        <f t="shared" si="205"/>
        <v/>
      </c>
      <c r="CY43" s="5"/>
      <c r="CZ43" s="5"/>
      <c r="DA43" s="5"/>
      <c r="DB43" s="5" t="str">
        <f t="shared" si="206"/>
        <v/>
      </c>
      <c r="DC43" s="5"/>
      <c r="DD43" s="5"/>
      <c r="DE43" s="5"/>
      <c r="DF43" s="5" t="str">
        <f t="shared" si="189"/>
        <v/>
      </c>
      <c r="DG43" s="36" t="str">
        <f t="shared" si="190"/>
        <v/>
      </c>
      <c r="DH43" s="29"/>
      <c r="DJ43" s="14"/>
      <c r="DK43" s="39"/>
      <c r="DL43" s="5" t="str">
        <f t="shared" si="207"/>
        <v/>
      </c>
      <c r="DM43" s="5"/>
      <c r="DN43" s="5"/>
      <c r="DO43" s="5"/>
      <c r="DP43" s="5" t="str">
        <f t="shared" si="208"/>
        <v/>
      </c>
      <c r="DQ43" s="5"/>
      <c r="DR43" s="5"/>
      <c r="DS43" s="5"/>
      <c r="DT43" s="5" t="str">
        <f t="shared" si="191"/>
        <v/>
      </c>
      <c r="DU43" s="36" t="str">
        <f t="shared" si="192"/>
        <v/>
      </c>
      <c r="DV43" s="29"/>
      <c r="DX43" s="14"/>
      <c r="DY43" s="39"/>
      <c r="DZ43" s="5" t="str">
        <f t="shared" si="209"/>
        <v/>
      </c>
      <c r="EA43" s="5"/>
      <c r="EB43" s="5"/>
      <c r="EC43" s="5"/>
      <c r="ED43" s="5" t="str">
        <f t="shared" si="210"/>
        <v/>
      </c>
      <c r="EE43" s="5"/>
      <c r="EF43" s="5"/>
      <c r="EG43" s="5"/>
      <c r="EH43" s="5" t="str">
        <f t="shared" si="193"/>
        <v/>
      </c>
      <c r="EI43" s="36" t="str">
        <f t="shared" si="194"/>
        <v/>
      </c>
      <c r="EJ43" s="29"/>
      <c r="EL43" s="14"/>
      <c r="EM43" s="39"/>
      <c r="EN43" s="5" t="str">
        <f t="shared" si="211"/>
        <v/>
      </c>
      <c r="EO43" s="5"/>
      <c r="EP43" s="5"/>
      <c r="EQ43" s="5"/>
      <c r="ER43" s="5" t="str">
        <f t="shared" si="212"/>
        <v/>
      </c>
      <c r="ES43" s="5"/>
      <c r="ET43" s="5"/>
      <c r="EU43" s="5"/>
      <c r="EV43" s="5" t="str">
        <f t="shared" si="195"/>
        <v/>
      </c>
      <c r="EW43" s="36" t="str">
        <f t="shared" si="196"/>
        <v/>
      </c>
      <c r="EX43" s="29"/>
      <c r="EZ43" s="14"/>
      <c r="FA43" s="39"/>
      <c r="FB43" s="5" t="str">
        <f t="shared" si="213"/>
        <v/>
      </c>
      <c r="FC43" s="5"/>
      <c r="FD43" s="5"/>
      <c r="FE43" s="5"/>
      <c r="FF43" s="5" t="str">
        <f t="shared" si="214"/>
        <v/>
      </c>
      <c r="FG43" s="5"/>
      <c r="FH43" s="5"/>
      <c r="FI43" s="5"/>
      <c r="FJ43" s="5" t="str">
        <f t="shared" si="197"/>
        <v/>
      </c>
      <c r="FK43" s="36" t="str">
        <f t="shared" si="198"/>
        <v/>
      </c>
      <c r="FL43" s="29"/>
      <c r="FN43" s="14"/>
      <c r="FO43" s="39"/>
      <c r="FP43" s="5" t="str">
        <f t="shared" si="215"/>
        <v/>
      </c>
      <c r="FQ43" s="5"/>
      <c r="FR43" s="5"/>
      <c r="FS43" s="5"/>
      <c r="FT43" s="5" t="str">
        <f t="shared" si="216"/>
        <v/>
      </c>
      <c r="FU43" s="5"/>
      <c r="FV43" s="5"/>
      <c r="FW43" s="5"/>
      <c r="FX43" s="5" t="str">
        <f t="shared" si="199"/>
        <v/>
      </c>
      <c r="FY43" s="36" t="str">
        <f t="shared" si="200"/>
        <v/>
      </c>
      <c r="FZ43" s="29"/>
      <c r="GB43" s="14"/>
      <c r="GC43" s="39"/>
      <c r="GD43" s="5" t="str">
        <f t="shared" si="217"/>
        <v/>
      </c>
      <c r="GE43" s="5"/>
      <c r="GF43" s="5"/>
      <c r="GG43" s="5"/>
      <c r="GH43" s="5" t="str">
        <f t="shared" si="218"/>
        <v/>
      </c>
      <c r="GI43" s="5"/>
      <c r="GJ43" s="5"/>
      <c r="GK43" s="5"/>
      <c r="GL43" s="5" t="str">
        <f t="shared" si="201"/>
        <v/>
      </c>
      <c r="GM43" s="36" t="str">
        <f t="shared" si="202"/>
        <v/>
      </c>
      <c r="GN43" s="29"/>
      <c r="GP43" s="14"/>
      <c r="GQ43" s="39"/>
      <c r="GR43" s="5" t="str">
        <f t="shared" si="219"/>
        <v/>
      </c>
      <c r="GS43" s="5"/>
      <c r="GT43" s="5"/>
      <c r="GU43" s="5"/>
      <c r="GV43" s="5"/>
      <c r="GW43" s="5"/>
      <c r="GX43" s="5" t="str">
        <f t="shared" si="220"/>
        <v/>
      </c>
      <c r="GY43" s="5"/>
      <c r="GZ43" s="5"/>
      <c r="HA43" s="5"/>
      <c r="HB43" s="5" t="str">
        <f t="shared" si="221"/>
        <v/>
      </c>
      <c r="HC43" s="36" t="str">
        <f t="shared" si="222"/>
        <v/>
      </c>
      <c r="HD43" s="29"/>
      <c r="HF43" s="14"/>
      <c r="HG43" s="39"/>
      <c r="HH43" s="5" t="str">
        <f t="shared" si="223"/>
        <v/>
      </c>
      <c r="HI43" s="5"/>
      <c r="HJ43" s="29"/>
      <c r="HL43" s="14"/>
      <c r="HM43" s="39"/>
      <c r="HN43" s="5" t="str">
        <f t="shared" si="224"/>
        <v/>
      </c>
      <c r="HO43" s="5"/>
      <c r="HP43" s="29"/>
      <c r="HR43" s="14"/>
      <c r="HS43" s="39"/>
      <c r="HT43" s="5" t="str">
        <f t="shared" si="225"/>
        <v/>
      </c>
      <c r="HU43" s="5"/>
      <c r="HV43" s="29"/>
    </row>
    <row r="44" spans="1:230" ht="15" customHeight="1" x14ac:dyDescent="0.2">
      <c r="A44" s="54"/>
      <c r="B44" s="37"/>
      <c r="C44" s="4"/>
      <c r="D44" s="5" t="str">
        <f t="shared" si="126"/>
        <v/>
      </c>
      <c r="E44" s="5"/>
      <c r="F44" s="5" t="str">
        <f t="shared" si="127"/>
        <v/>
      </c>
      <c r="G44" s="5"/>
      <c r="H44" s="5" t="str">
        <f t="shared" si="128"/>
        <v/>
      </c>
      <c r="I44" s="35"/>
      <c r="J44" s="38" t="str">
        <f t="shared" si="230"/>
        <v/>
      </c>
      <c r="K44" s="39" t="str">
        <f t="shared" si="130"/>
        <v/>
      </c>
      <c r="L44" s="5" t="str">
        <f t="shared" si="131"/>
        <v/>
      </c>
      <c r="M44" s="36" t="str">
        <f t="shared" si="132"/>
        <v/>
      </c>
      <c r="N44" s="29"/>
      <c r="P44" s="54"/>
      <c r="Q44" s="4"/>
      <c r="R44" s="5" t="str">
        <f t="shared" si="231"/>
        <v/>
      </c>
      <c r="S44" s="5"/>
      <c r="T44" s="5" t="str">
        <f t="shared" si="232"/>
        <v/>
      </c>
      <c r="U44" s="5"/>
      <c r="V44" s="5" t="str">
        <f t="shared" si="233"/>
        <v/>
      </c>
      <c r="W44" s="35"/>
      <c r="X44" s="38" t="str">
        <f t="shared" si="234"/>
        <v/>
      </c>
      <c r="Y44" s="39" t="str">
        <f t="shared" si="235"/>
        <v/>
      </c>
      <c r="Z44" s="5" t="str">
        <f t="shared" si="236"/>
        <v/>
      </c>
      <c r="AA44" s="36" t="str">
        <f t="shared" si="237"/>
        <v/>
      </c>
      <c r="AB44" s="29"/>
      <c r="AD44" s="54"/>
      <c r="AE44" s="4"/>
      <c r="AF44" s="5" t="str">
        <f t="shared" si="238"/>
        <v/>
      </c>
      <c r="AG44" s="5"/>
      <c r="AH44" s="5" t="str">
        <f t="shared" si="239"/>
        <v/>
      </c>
      <c r="AI44" s="5"/>
      <c r="AJ44" s="5" t="str">
        <f t="shared" si="240"/>
        <v/>
      </c>
      <c r="AK44" s="35"/>
      <c r="AL44" s="38" t="str">
        <f t="shared" si="241"/>
        <v/>
      </c>
      <c r="AM44" s="39" t="str">
        <f t="shared" si="242"/>
        <v/>
      </c>
      <c r="AN44" s="5" t="str">
        <f t="shared" si="243"/>
        <v/>
      </c>
      <c r="AO44" s="36" t="str">
        <f t="shared" si="244"/>
        <v/>
      </c>
      <c r="AP44" s="29"/>
      <c r="AR44" s="54"/>
      <c r="AS44" s="4"/>
      <c r="AT44" s="5" t="str">
        <f t="shared" si="245"/>
        <v/>
      </c>
      <c r="AU44" s="5"/>
      <c r="AV44" s="5" t="str">
        <f t="shared" si="246"/>
        <v/>
      </c>
      <c r="AW44" s="5"/>
      <c r="AX44" s="5" t="str">
        <f t="shared" si="247"/>
        <v/>
      </c>
      <c r="AY44" s="35"/>
      <c r="AZ44" s="38" t="str">
        <f t="shared" si="248"/>
        <v/>
      </c>
      <c r="BA44" s="39" t="str">
        <f t="shared" si="249"/>
        <v/>
      </c>
      <c r="BB44" s="5" t="str">
        <f t="shared" si="250"/>
        <v/>
      </c>
      <c r="BC44" s="36" t="str">
        <f t="shared" si="251"/>
        <v/>
      </c>
      <c r="BD44" s="29"/>
      <c r="BE44" s="32"/>
      <c r="BF44" s="25"/>
      <c r="BG44" s="4"/>
      <c r="BH44" s="5" t="str">
        <f t="shared" si="252"/>
        <v/>
      </c>
      <c r="BI44" s="5"/>
      <c r="BJ44" s="5" t="str">
        <f t="shared" si="253"/>
        <v/>
      </c>
      <c r="BK44" s="5"/>
      <c r="BL44" s="5" t="str">
        <f t="shared" si="254"/>
        <v/>
      </c>
      <c r="BM44" s="35"/>
      <c r="BN44" s="38" t="str">
        <f t="shared" si="255"/>
        <v/>
      </c>
      <c r="BO44" s="39" t="str">
        <f t="shared" si="256"/>
        <v/>
      </c>
      <c r="BP44" s="5" t="str">
        <f t="shared" si="257"/>
        <v/>
      </c>
      <c r="BQ44" s="36" t="str">
        <f t="shared" si="258"/>
        <v/>
      </c>
      <c r="BR44" s="29"/>
      <c r="BT44" s="25"/>
      <c r="BU44" s="4"/>
      <c r="BV44" s="5" t="str">
        <f t="shared" si="259"/>
        <v/>
      </c>
      <c r="BW44" s="5"/>
      <c r="BX44" s="5" t="str">
        <f t="shared" si="260"/>
        <v/>
      </c>
      <c r="BY44" s="5"/>
      <c r="BZ44" s="5" t="str">
        <f t="shared" si="261"/>
        <v/>
      </c>
      <c r="CA44" s="35"/>
      <c r="CB44" s="38" t="str">
        <f t="shared" si="262"/>
        <v/>
      </c>
      <c r="CC44" s="39" t="str">
        <f t="shared" si="263"/>
        <v/>
      </c>
      <c r="CD44" s="5" t="str">
        <f t="shared" si="264"/>
        <v/>
      </c>
      <c r="CE44" s="36" t="str">
        <f t="shared" si="265"/>
        <v/>
      </c>
      <c r="CF44" s="29"/>
      <c r="CH44" s="14"/>
      <c r="CI44" s="39"/>
      <c r="CJ44" s="5" t="str">
        <f t="shared" si="203"/>
        <v/>
      </c>
      <c r="CK44" s="5"/>
      <c r="CL44" s="5"/>
      <c r="CM44" s="5"/>
      <c r="CN44" s="5" t="str">
        <f t="shared" si="204"/>
        <v/>
      </c>
      <c r="CO44" s="5"/>
      <c r="CP44" s="5"/>
      <c r="CQ44" s="5"/>
      <c r="CR44" s="5" t="str">
        <f t="shared" si="187"/>
        <v/>
      </c>
      <c r="CS44" s="36" t="str">
        <f t="shared" si="188"/>
        <v/>
      </c>
      <c r="CT44" s="29"/>
      <c r="CV44" s="14"/>
      <c r="CW44" s="39"/>
      <c r="CX44" s="5" t="str">
        <f t="shared" si="205"/>
        <v/>
      </c>
      <c r="CY44" s="5"/>
      <c r="CZ44" s="5"/>
      <c r="DA44" s="5"/>
      <c r="DB44" s="5" t="str">
        <f t="shared" si="206"/>
        <v/>
      </c>
      <c r="DC44" s="5"/>
      <c r="DD44" s="5"/>
      <c r="DE44" s="5"/>
      <c r="DF44" s="5" t="str">
        <f t="shared" si="189"/>
        <v/>
      </c>
      <c r="DG44" s="36" t="str">
        <f t="shared" si="190"/>
        <v/>
      </c>
      <c r="DH44" s="29"/>
      <c r="DJ44" s="14"/>
      <c r="DK44" s="39"/>
      <c r="DL44" s="5" t="str">
        <f t="shared" si="207"/>
        <v/>
      </c>
      <c r="DM44" s="5"/>
      <c r="DN44" s="5"/>
      <c r="DO44" s="5"/>
      <c r="DP44" s="5" t="str">
        <f t="shared" si="208"/>
        <v/>
      </c>
      <c r="DQ44" s="5"/>
      <c r="DR44" s="5"/>
      <c r="DS44" s="5"/>
      <c r="DT44" s="5" t="str">
        <f t="shared" si="191"/>
        <v/>
      </c>
      <c r="DU44" s="36" t="str">
        <f t="shared" si="192"/>
        <v/>
      </c>
      <c r="DV44" s="29"/>
      <c r="DX44" s="14"/>
      <c r="DY44" s="39"/>
      <c r="DZ44" s="5" t="str">
        <f t="shared" si="209"/>
        <v/>
      </c>
      <c r="EA44" s="5"/>
      <c r="EB44" s="5"/>
      <c r="EC44" s="5"/>
      <c r="ED44" s="5" t="str">
        <f t="shared" si="210"/>
        <v/>
      </c>
      <c r="EE44" s="5"/>
      <c r="EF44" s="5"/>
      <c r="EG44" s="5"/>
      <c r="EH44" s="5" t="str">
        <f t="shared" si="193"/>
        <v/>
      </c>
      <c r="EI44" s="36" t="str">
        <f t="shared" si="194"/>
        <v/>
      </c>
      <c r="EJ44" s="29"/>
      <c r="EL44" s="14"/>
      <c r="EM44" s="39"/>
      <c r="EN44" s="5" t="str">
        <f t="shared" si="211"/>
        <v/>
      </c>
      <c r="EO44" s="5"/>
      <c r="EP44" s="5"/>
      <c r="EQ44" s="5"/>
      <c r="ER44" s="5" t="str">
        <f t="shared" si="212"/>
        <v/>
      </c>
      <c r="ES44" s="5"/>
      <c r="ET44" s="5"/>
      <c r="EU44" s="5"/>
      <c r="EV44" s="5" t="str">
        <f t="shared" si="195"/>
        <v/>
      </c>
      <c r="EW44" s="36" t="str">
        <f t="shared" si="196"/>
        <v/>
      </c>
      <c r="EX44" s="29"/>
      <c r="EZ44" s="14"/>
      <c r="FA44" s="39"/>
      <c r="FB44" s="5" t="str">
        <f t="shared" si="213"/>
        <v/>
      </c>
      <c r="FC44" s="5"/>
      <c r="FD44" s="5"/>
      <c r="FE44" s="5"/>
      <c r="FF44" s="5" t="str">
        <f t="shared" si="214"/>
        <v/>
      </c>
      <c r="FG44" s="5"/>
      <c r="FH44" s="5"/>
      <c r="FI44" s="5"/>
      <c r="FJ44" s="5" t="str">
        <f t="shared" si="197"/>
        <v/>
      </c>
      <c r="FK44" s="36" t="str">
        <f t="shared" si="198"/>
        <v/>
      </c>
      <c r="FL44" s="29"/>
      <c r="FN44" s="14"/>
      <c r="FO44" s="39"/>
      <c r="FP44" s="5" t="str">
        <f t="shared" si="215"/>
        <v/>
      </c>
      <c r="FQ44" s="5"/>
      <c r="FR44" s="5"/>
      <c r="FS44" s="5"/>
      <c r="FT44" s="5" t="str">
        <f t="shared" si="216"/>
        <v/>
      </c>
      <c r="FU44" s="5"/>
      <c r="FV44" s="5"/>
      <c r="FW44" s="5"/>
      <c r="FX44" s="5" t="str">
        <f t="shared" si="199"/>
        <v/>
      </c>
      <c r="FY44" s="36" t="str">
        <f t="shared" si="200"/>
        <v/>
      </c>
      <c r="FZ44" s="29"/>
      <c r="GB44" s="14"/>
      <c r="GC44" s="39"/>
      <c r="GD44" s="5" t="str">
        <f t="shared" si="217"/>
        <v/>
      </c>
      <c r="GE44" s="5"/>
      <c r="GF44" s="5"/>
      <c r="GG44" s="5"/>
      <c r="GH44" s="5" t="str">
        <f t="shared" si="218"/>
        <v/>
      </c>
      <c r="GI44" s="5"/>
      <c r="GJ44" s="5"/>
      <c r="GK44" s="5"/>
      <c r="GL44" s="5" t="str">
        <f t="shared" si="201"/>
        <v/>
      </c>
      <c r="GM44" s="36" t="str">
        <f t="shared" si="202"/>
        <v/>
      </c>
      <c r="GN44" s="29"/>
      <c r="GP44" s="14"/>
      <c r="GQ44" s="39"/>
      <c r="GR44" s="5" t="str">
        <f t="shared" si="219"/>
        <v/>
      </c>
      <c r="GS44" s="5"/>
      <c r="GT44" s="5"/>
      <c r="GU44" s="5"/>
      <c r="GV44" s="5"/>
      <c r="GW44" s="5"/>
      <c r="GX44" s="5" t="str">
        <f t="shared" si="220"/>
        <v/>
      </c>
      <c r="GY44" s="5"/>
      <c r="GZ44" s="5"/>
      <c r="HA44" s="5"/>
      <c r="HB44" s="5" t="str">
        <f t="shared" si="221"/>
        <v/>
      </c>
      <c r="HC44" s="36" t="str">
        <f t="shared" si="222"/>
        <v/>
      </c>
      <c r="HD44" s="29"/>
      <c r="HF44" s="14"/>
      <c r="HG44" s="39"/>
      <c r="HH44" s="5" t="str">
        <f t="shared" si="223"/>
        <v/>
      </c>
      <c r="HI44" s="5"/>
      <c r="HJ44" s="29"/>
      <c r="HL44" s="14"/>
      <c r="HM44" s="39"/>
      <c r="HN44" s="5" t="str">
        <f t="shared" si="224"/>
        <v/>
      </c>
      <c r="HO44" s="5"/>
      <c r="HP44" s="29"/>
      <c r="HR44" s="14"/>
      <c r="HS44" s="39"/>
      <c r="HT44" s="5" t="str">
        <f t="shared" si="225"/>
        <v/>
      </c>
      <c r="HU44" s="5"/>
      <c r="HV44" s="29"/>
    </row>
    <row r="45" spans="1:230" ht="15" customHeight="1" x14ac:dyDescent="0.2">
      <c r="A45" s="54"/>
      <c r="B45" s="37"/>
      <c r="C45" s="57"/>
      <c r="D45" s="5" t="str">
        <f t="shared" si="126"/>
        <v/>
      </c>
      <c r="E45" s="5"/>
      <c r="F45" s="5" t="str">
        <f t="shared" si="127"/>
        <v/>
      </c>
      <c r="G45" s="5"/>
      <c r="H45" s="5" t="str">
        <f t="shared" si="128"/>
        <v/>
      </c>
      <c r="I45" s="35"/>
      <c r="J45" s="38" t="str">
        <f t="shared" si="230"/>
        <v/>
      </c>
      <c r="K45" s="5" t="str">
        <f t="shared" si="130"/>
        <v/>
      </c>
      <c r="L45" s="5" t="str">
        <f t="shared" si="131"/>
        <v/>
      </c>
      <c r="M45" s="36" t="str">
        <f t="shared" si="132"/>
        <v/>
      </c>
      <c r="N45" s="29"/>
      <c r="P45" s="54"/>
      <c r="Q45" s="57"/>
      <c r="R45" s="5" t="str">
        <f t="shared" si="231"/>
        <v/>
      </c>
      <c r="S45" s="5"/>
      <c r="T45" s="5" t="str">
        <f t="shared" si="232"/>
        <v/>
      </c>
      <c r="U45" s="5"/>
      <c r="V45" s="5" t="str">
        <f t="shared" si="233"/>
        <v/>
      </c>
      <c r="W45" s="35"/>
      <c r="X45" s="38" t="str">
        <f t="shared" si="234"/>
        <v/>
      </c>
      <c r="Y45" s="5" t="str">
        <f t="shared" si="235"/>
        <v/>
      </c>
      <c r="Z45" s="5" t="str">
        <f t="shared" si="236"/>
        <v/>
      </c>
      <c r="AA45" s="36" t="str">
        <f t="shared" si="237"/>
        <v/>
      </c>
      <c r="AB45" s="29"/>
      <c r="AD45" s="54"/>
      <c r="AE45" s="57"/>
      <c r="AF45" s="5" t="str">
        <f t="shared" si="238"/>
        <v/>
      </c>
      <c r="AG45" s="5"/>
      <c r="AH45" s="5" t="str">
        <f t="shared" si="239"/>
        <v/>
      </c>
      <c r="AI45" s="5"/>
      <c r="AJ45" s="5" t="str">
        <f t="shared" si="240"/>
        <v/>
      </c>
      <c r="AK45" s="35"/>
      <c r="AL45" s="38" t="str">
        <f t="shared" si="241"/>
        <v/>
      </c>
      <c r="AM45" s="5" t="str">
        <f t="shared" si="242"/>
        <v/>
      </c>
      <c r="AN45" s="5" t="str">
        <f t="shared" si="243"/>
        <v/>
      </c>
      <c r="AO45" s="36" t="str">
        <f t="shared" si="244"/>
        <v/>
      </c>
      <c r="AP45" s="29"/>
      <c r="AR45" s="54"/>
      <c r="AS45" s="57"/>
      <c r="AT45" s="5" t="str">
        <f t="shared" si="245"/>
        <v/>
      </c>
      <c r="AU45" s="5"/>
      <c r="AV45" s="5" t="str">
        <f t="shared" si="246"/>
        <v/>
      </c>
      <c r="AW45" s="5"/>
      <c r="AX45" s="5" t="str">
        <f t="shared" si="247"/>
        <v/>
      </c>
      <c r="AY45" s="35"/>
      <c r="AZ45" s="38" t="str">
        <f t="shared" si="248"/>
        <v/>
      </c>
      <c r="BA45" s="5" t="str">
        <f t="shared" si="249"/>
        <v/>
      </c>
      <c r="BB45" s="5" t="str">
        <f t="shared" si="250"/>
        <v/>
      </c>
      <c r="BC45" s="36" t="str">
        <f t="shared" si="251"/>
        <v/>
      </c>
      <c r="BD45" s="29"/>
      <c r="BE45" s="32"/>
      <c r="BF45" s="25"/>
      <c r="BG45" s="57"/>
      <c r="BH45" s="5" t="str">
        <f t="shared" si="252"/>
        <v/>
      </c>
      <c r="BI45" s="5"/>
      <c r="BJ45" s="5" t="str">
        <f t="shared" si="253"/>
        <v/>
      </c>
      <c r="BK45" s="5"/>
      <c r="BL45" s="5" t="str">
        <f t="shared" si="254"/>
        <v/>
      </c>
      <c r="BM45" s="35"/>
      <c r="BN45" s="38" t="str">
        <f t="shared" si="255"/>
        <v/>
      </c>
      <c r="BO45" s="5" t="str">
        <f t="shared" si="256"/>
        <v/>
      </c>
      <c r="BP45" s="5" t="str">
        <f t="shared" si="257"/>
        <v/>
      </c>
      <c r="BQ45" s="36" t="str">
        <f t="shared" si="258"/>
        <v/>
      </c>
      <c r="BR45" s="29"/>
      <c r="BT45" s="25"/>
      <c r="BU45" s="57"/>
      <c r="BV45" s="5" t="str">
        <f t="shared" si="259"/>
        <v/>
      </c>
      <c r="BW45" s="5"/>
      <c r="BX45" s="5" t="str">
        <f t="shared" si="260"/>
        <v/>
      </c>
      <c r="BY45" s="5"/>
      <c r="BZ45" s="5" t="str">
        <f t="shared" si="261"/>
        <v/>
      </c>
      <c r="CA45" s="35"/>
      <c r="CB45" s="38" t="str">
        <f t="shared" si="262"/>
        <v/>
      </c>
      <c r="CC45" s="5" t="str">
        <f t="shared" si="263"/>
        <v/>
      </c>
      <c r="CD45" s="5" t="str">
        <f t="shared" si="264"/>
        <v/>
      </c>
      <c r="CE45" s="36" t="str">
        <f t="shared" si="265"/>
        <v/>
      </c>
      <c r="CF45" s="29"/>
      <c r="CH45" s="14"/>
      <c r="CI45" s="39"/>
      <c r="CJ45" s="5" t="str">
        <f t="shared" si="203"/>
        <v/>
      </c>
      <c r="CK45" s="5"/>
      <c r="CL45" s="5"/>
      <c r="CM45" s="5"/>
      <c r="CN45" s="5" t="str">
        <f t="shared" si="204"/>
        <v/>
      </c>
      <c r="CO45" s="5"/>
      <c r="CP45" s="5"/>
      <c r="CQ45" s="5"/>
      <c r="CR45" s="5" t="str">
        <f t="shared" si="187"/>
        <v/>
      </c>
      <c r="CS45" s="36" t="str">
        <f t="shared" si="188"/>
        <v/>
      </c>
      <c r="CT45" s="29"/>
      <c r="CV45" s="14"/>
      <c r="CW45" s="39"/>
      <c r="CX45" s="5" t="str">
        <f t="shared" si="205"/>
        <v/>
      </c>
      <c r="CY45" s="5"/>
      <c r="CZ45" s="5"/>
      <c r="DA45" s="5"/>
      <c r="DB45" s="5" t="str">
        <f t="shared" si="206"/>
        <v/>
      </c>
      <c r="DC45" s="5"/>
      <c r="DD45" s="5"/>
      <c r="DE45" s="5"/>
      <c r="DF45" s="5" t="str">
        <f t="shared" si="189"/>
        <v/>
      </c>
      <c r="DG45" s="36" t="str">
        <f t="shared" si="190"/>
        <v/>
      </c>
      <c r="DH45" s="29"/>
      <c r="DJ45" s="14"/>
      <c r="DK45" s="39"/>
      <c r="DL45" s="5" t="str">
        <f t="shared" si="207"/>
        <v/>
      </c>
      <c r="DM45" s="5"/>
      <c r="DN45" s="5"/>
      <c r="DO45" s="5"/>
      <c r="DP45" s="5" t="str">
        <f t="shared" si="208"/>
        <v/>
      </c>
      <c r="DQ45" s="5"/>
      <c r="DR45" s="5"/>
      <c r="DS45" s="5"/>
      <c r="DT45" s="5" t="str">
        <f t="shared" si="191"/>
        <v/>
      </c>
      <c r="DU45" s="36" t="str">
        <f t="shared" si="192"/>
        <v/>
      </c>
      <c r="DV45" s="29"/>
      <c r="DX45" s="14"/>
      <c r="DY45" s="39"/>
      <c r="DZ45" s="5" t="str">
        <f t="shared" si="209"/>
        <v/>
      </c>
      <c r="EA45" s="5"/>
      <c r="EB45" s="5"/>
      <c r="EC45" s="5"/>
      <c r="ED45" s="5" t="str">
        <f t="shared" si="210"/>
        <v/>
      </c>
      <c r="EE45" s="5"/>
      <c r="EF45" s="5"/>
      <c r="EG45" s="5"/>
      <c r="EH45" s="5" t="str">
        <f t="shared" si="193"/>
        <v/>
      </c>
      <c r="EI45" s="36" t="str">
        <f t="shared" si="194"/>
        <v/>
      </c>
      <c r="EJ45" s="29"/>
      <c r="EL45" s="14"/>
      <c r="EM45" s="39"/>
      <c r="EN45" s="5" t="str">
        <f t="shared" si="211"/>
        <v/>
      </c>
      <c r="EO45" s="5"/>
      <c r="EP45" s="5"/>
      <c r="EQ45" s="5"/>
      <c r="ER45" s="5" t="str">
        <f t="shared" si="212"/>
        <v/>
      </c>
      <c r="ES45" s="5"/>
      <c r="ET45" s="5"/>
      <c r="EU45" s="5"/>
      <c r="EV45" s="5" t="str">
        <f t="shared" si="195"/>
        <v/>
      </c>
      <c r="EW45" s="36" t="str">
        <f t="shared" si="196"/>
        <v/>
      </c>
      <c r="EX45" s="29"/>
      <c r="EZ45" s="14"/>
      <c r="FA45" s="39"/>
      <c r="FB45" s="5" t="str">
        <f t="shared" si="213"/>
        <v/>
      </c>
      <c r="FC45" s="5"/>
      <c r="FD45" s="5"/>
      <c r="FE45" s="5"/>
      <c r="FF45" s="5" t="str">
        <f t="shared" si="214"/>
        <v/>
      </c>
      <c r="FG45" s="5"/>
      <c r="FH45" s="5"/>
      <c r="FI45" s="5"/>
      <c r="FJ45" s="5" t="str">
        <f t="shared" si="197"/>
        <v/>
      </c>
      <c r="FK45" s="36" t="str">
        <f t="shared" si="198"/>
        <v/>
      </c>
      <c r="FL45" s="29"/>
      <c r="FN45" s="14"/>
      <c r="FO45" s="39"/>
      <c r="FP45" s="5" t="str">
        <f t="shared" si="215"/>
        <v/>
      </c>
      <c r="FQ45" s="5"/>
      <c r="FR45" s="5"/>
      <c r="FS45" s="5"/>
      <c r="FT45" s="5" t="str">
        <f t="shared" si="216"/>
        <v/>
      </c>
      <c r="FU45" s="5"/>
      <c r="FV45" s="5"/>
      <c r="FW45" s="5"/>
      <c r="FX45" s="5" t="str">
        <f t="shared" si="199"/>
        <v/>
      </c>
      <c r="FY45" s="36" t="str">
        <f t="shared" si="200"/>
        <v/>
      </c>
      <c r="FZ45" s="29"/>
      <c r="GB45" s="14"/>
      <c r="GC45" s="39"/>
      <c r="GD45" s="5" t="str">
        <f t="shared" si="217"/>
        <v/>
      </c>
      <c r="GE45" s="5"/>
      <c r="GF45" s="5"/>
      <c r="GG45" s="5"/>
      <c r="GH45" s="5" t="str">
        <f t="shared" si="218"/>
        <v/>
      </c>
      <c r="GI45" s="5"/>
      <c r="GJ45" s="5"/>
      <c r="GK45" s="5"/>
      <c r="GL45" s="5" t="str">
        <f t="shared" si="201"/>
        <v/>
      </c>
      <c r="GM45" s="36" t="str">
        <f t="shared" si="202"/>
        <v/>
      </c>
      <c r="GN45" s="29"/>
      <c r="GP45" s="14"/>
      <c r="GQ45" s="39"/>
      <c r="GR45" s="5" t="str">
        <f t="shared" si="219"/>
        <v/>
      </c>
      <c r="GS45" s="5"/>
      <c r="GT45" s="5"/>
      <c r="GU45" s="5"/>
      <c r="GV45" s="5"/>
      <c r="GW45" s="5"/>
      <c r="GX45" s="5" t="str">
        <f t="shared" si="220"/>
        <v/>
      </c>
      <c r="GY45" s="5"/>
      <c r="GZ45" s="5"/>
      <c r="HA45" s="5"/>
      <c r="HB45" s="5" t="str">
        <f t="shared" si="221"/>
        <v/>
      </c>
      <c r="HC45" s="36" t="str">
        <f t="shared" si="222"/>
        <v/>
      </c>
      <c r="HD45" s="29"/>
      <c r="HF45" s="14"/>
      <c r="HG45" s="39"/>
      <c r="HH45" s="5" t="str">
        <f t="shared" si="223"/>
        <v/>
      </c>
      <c r="HI45" s="5"/>
      <c r="HJ45" s="29"/>
      <c r="HL45" s="14"/>
      <c r="HM45" s="39"/>
      <c r="HN45" s="5" t="str">
        <f t="shared" si="224"/>
        <v/>
      </c>
      <c r="HO45" s="5"/>
      <c r="HP45" s="29"/>
      <c r="HR45" s="14"/>
      <c r="HS45" s="39"/>
      <c r="HT45" s="5" t="str">
        <f t="shared" si="225"/>
        <v/>
      </c>
      <c r="HU45" s="5"/>
      <c r="HV45" s="29"/>
    </row>
    <row r="46" spans="1:230" ht="15" customHeight="1" thickBot="1" x14ac:dyDescent="0.25">
      <c r="A46" s="60"/>
      <c r="B46" s="42"/>
      <c r="C46" s="43"/>
      <c r="D46" s="61" t="str">
        <f t="shared" si="126"/>
        <v/>
      </c>
      <c r="E46" s="44"/>
      <c r="F46" s="44" t="str">
        <f t="shared" si="127"/>
        <v/>
      </c>
      <c r="G46" s="44"/>
      <c r="H46" s="44" t="str">
        <f t="shared" si="128"/>
        <v/>
      </c>
      <c r="I46" s="62"/>
      <c r="J46" s="47" t="str">
        <f t="shared" si="230"/>
        <v/>
      </c>
      <c r="K46" s="61" t="str">
        <f t="shared" si="130"/>
        <v/>
      </c>
      <c r="L46" s="44" t="str">
        <f t="shared" si="131"/>
        <v/>
      </c>
      <c r="M46" s="46" t="str">
        <f t="shared" si="132"/>
        <v/>
      </c>
      <c r="N46" s="29"/>
      <c r="P46" s="60"/>
      <c r="Q46" s="43"/>
      <c r="R46" s="61" t="str">
        <f t="shared" si="231"/>
        <v/>
      </c>
      <c r="S46" s="44"/>
      <c r="T46" s="44" t="str">
        <f t="shared" si="232"/>
        <v/>
      </c>
      <c r="U46" s="44"/>
      <c r="V46" s="44" t="str">
        <f t="shared" si="233"/>
        <v/>
      </c>
      <c r="W46" s="62"/>
      <c r="X46" s="47" t="str">
        <f t="shared" si="234"/>
        <v/>
      </c>
      <c r="Y46" s="61" t="str">
        <f t="shared" si="235"/>
        <v/>
      </c>
      <c r="Z46" s="44" t="str">
        <f t="shared" si="236"/>
        <v/>
      </c>
      <c r="AA46" s="46" t="str">
        <f t="shared" si="237"/>
        <v/>
      </c>
      <c r="AB46" s="29"/>
      <c r="AD46" s="60"/>
      <c r="AE46" s="43"/>
      <c r="AF46" s="61" t="str">
        <f t="shared" si="238"/>
        <v/>
      </c>
      <c r="AG46" s="44"/>
      <c r="AH46" s="44" t="str">
        <f t="shared" si="239"/>
        <v/>
      </c>
      <c r="AI46" s="44"/>
      <c r="AJ46" s="44" t="str">
        <f t="shared" si="240"/>
        <v/>
      </c>
      <c r="AK46" s="62"/>
      <c r="AL46" s="47" t="str">
        <f t="shared" si="241"/>
        <v/>
      </c>
      <c r="AM46" s="61" t="str">
        <f t="shared" si="242"/>
        <v/>
      </c>
      <c r="AN46" s="44" t="str">
        <f t="shared" si="243"/>
        <v/>
      </c>
      <c r="AO46" s="46" t="str">
        <f t="shared" si="244"/>
        <v/>
      </c>
      <c r="AP46" s="29"/>
      <c r="AR46" s="60"/>
      <c r="AS46" s="43"/>
      <c r="AT46" s="61" t="str">
        <f t="shared" si="245"/>
        <v/>
      </c>
      <c r="AU46" s="44"/>
      <c r="AV46" s="44" t="str">
        <f t="shared" si="246"/>
        <v/>
      </c>
      <c r="AW46" s="44"/>
      <c r="AX46" s="44" t="str">
        <f t="shared" si="247"/>
        <v/>
      </c>
      <c r="AY46" s="62"/>
      <c r="AZ46" s="47" t="str">
        <f t="shared" si="248"/>
        <v/>
      </c>
      <c r="BA46" s="61" t="str">
        <f t="shared" si="249"/>
        <v/>
      </c>
      <c r="BB46" s="44" t="str">
        <f t="shared" si="250"/>
        <v/>
      </c>
      <c r="BC46" s="46" t="str">
        <f t="shared" si="251"/>
        <v/>
      </c>
      <c r="BD46" s="29"/>
      <c r="BE46" s="32"/>
      <c r="BF46" s="41"/>
      <c r="BG46" s="43"/>
      <c r="BH46" s="61" t="str">
        <f t="shared" si="252"/>
        <v/>
      </c>
      <c r="BI46" s="44"/>
      <c r="BJ46" s="44" t="str">
        <f t="shared" si="253"/>
        <v/>
      </c>
      <c r="BK46" s="44"/>
      <c r="BL46" s="44" t="str">
        <f t="shared" si="254"/>
        <v/>
      </c>
      <c r="BM46" s="62"/>
      <c r="BN46" s="47" t="str">
        <f t="shared" si="255"/>
        <v/>
      </c>
      <c r="BO46" s="61" t="str">
        <f t="shared" si="256"/>
        <v/>
      </c>
      <c r="BP46" s="44" t="str">
        <f t="shared" si="257"/>
        <v/>
      </c>
      <c r="BQ46" s="46" t="str">
        <f t="shared" si="258"/>
        <v/>
      </c>
      <c r="BR46" s="29"/>
      <c r="BT46" s="41"/>
      <c r="BU46" s="43"/>
      <c r="BV46" s="61" t="str">
        <f t="shared" si="259"/>
        <v/>
      </c>
      <c r="BW46" s="44"/>
      <c r="BX46" s="44" t="str">
        <f t="shared" si="260"/>
        <v/>
      </c>
      <c r="BY46" s="44"/>
      <c r="BZ46" s="44" t="str">
        <f t="shared" si="261"/>
        <v/>
      </c>
      <c r="CA46" s="62"/>
      <c r="CB46" s="47" t="str">
        <f t="shared" si="262"/>
        <v/>
      </c>
      <c r="CC46" s="61" t="str">
        <f t="shared" si="263"/>
        <v/>
      </c>
      <c r="CD46" s="44" t="str">
        <f t="shared" si="264"/>
        <v/>
      </c>
      <c r="CE46" s="46" t="str">
        <f t="shared" si="265"/>
        <v/>
      </c>
      <c r="CF46" s="29"/>
      <c r="CH46" s="14"/>
      <c r="CI46" s="39"/>
      <c r="CJ46" s="5" t="str">
        <f t="shared" si="203"/>
        <v/>
      </c>
      <c r="CK46" s="5"/>
      <c r="CL46" s="5"/>
      <c r="CM46" s="5"/>
      <c r="CN46" s="5" t="str">
        <f t="shared" si="204"/>
        <v/>
      </c>
      <c r="CO46" s="5"/>
      <c r="CP46" s="5"/>
      <c r="CQ46" s="5"/>
      <c r="CR46" s="5" t="str">
        <f t="shared" si="187"/>
        <v/>
      </c>
      <c r="CS46" s="36" t="str">
        <f t="shared" si="188"/>
        <v/>
      </c>
      <c r="CT46" s="29"/>
      <c r="CV46" s="14"/>
      <c r="CW46" s="39"/>
      <c r="CX46" s="5" t="str">
        <f t="shared" si="205"/>
        <v/>
      </c>
      <c r="CY46" s="5"/>
      <c r="CZ46" s="5"/>
      <c r="DA46" s="5"/>
      <c r="DB46" s="5" t="str">
        <f t="shared" si="206"/>
        <v/>
      </c>
      <c r="DC46" s="5"/>
      <c r="DD46" s="5"/>
      <c r="DE46" s="5"/>
      <c r="DF46" s="5" t="str">
        <f t="shared" si="189"/>
        <v/>
      </c>
      <c r="DG46" s="36" t="str">
        <f t="shared" si="190"/>
        <v/>
      </c>
      <c r="DH46" s="29"/>
      <c r="DJ46" s="14"/>
      <c r="DK46" s="39"/>
      <c r="DL46" s="5" t="str">
        <f t="shared" si="207"/>
        <v/>
      </c>
      <c r="DM46" s="5"/>
      <c r="DN46" s="5"/>
      <c r="DO46" s="5"/>
      <c r="DP46" s="5" t="str">
        <f t="shared" si="208"/>
        <v/>
      </c>
      <c r="DQ46" s="5"/>
      <c r="DR46" s="5"/>
      <c r="DS46" s="5"/>
      <c r="DT46" s="5" t="str">
        <f t="shared" si="191"/>
        <v/>
      </c>
      <c r="DU46" s="36" t="str">
        <f t="shared" si="192"/>
        <v/>
      </c>
      <c r="DV46" s="29"/>
      <c r="DX46" s="14"/>
      <c r="DY46" s="39"/>
      <c r="DZ46" s="5" t="str">
        <f t="shared" si="209"/>
        <v/>
      </c>
      <c r="EA46" s="5"/>
      <c r="EB46" s="5"/>
      <c r="EC46" s="5"/>
      <c r="ED46" s="5" t="str">
        <f t="shared" si="210"/>
        <v/>
      </c>
      <c r="EE46" s="5"/>
      <c r="EF46" s="5"/>
      <c r="EG46" s="5"/>
      <c r="EH46" s="5" t="str">
        <f t="shared" si="193"/>
        <v/>
      </c>
      <c r="EI46" s="36" t="str">
        <f t="shared" si="194"/>
        <v/>
      </c>
      <c r="EJ46" s="29"/>
      <c r="EL46" s="14"/>
      <c r="EM46" s="39"/>
      <c r="EN46" s="5" t="str">
        <f t="shared" si="211"/>
        <v/>
      </c>
      <c r="EO46" s="5"/>
      <c r="EP46" s="5"/>
      <c r="EQ46" s="5"/>
      <c r="ER46" s="5" t="str">
        <f t="shared" si="212"/>
        <v/>
      </c>
      <c r="ES46" s="5"/>
      <c r="ET46" s="5"/>
      <c r="EU46" s="5"/>
      <c r="EV46" s="5" t="str">
        <f t="shared" si="195"/>
        <v/>
      </c>
      <c r="EW46" s="36" t="str">
        <f t="shared" si="196"/>
        <v/>
      </c>
      <c r="EX46" s="29"/>
      <c r="EZ46" s="14"/>
      <c r="FA46" s="39"/>
      <c r="FB46" s="5" t="str">
        <f t="shared" si="213"/>
        <v/>
      </c>
      <c r="FC46" s="5"/>
      <c r="FD46" s="5"/>
      <c r="FE46" s="5"/>
      <c r="FF46" s="5" t="str">
        <f t="shared" si="214"/>
        <v/>
      </c>
      <c r="FG46" s="5"/>
      <c r="FH46" s="5"/>
      <c r="FI46" s="5"/>
      <c r="FJ46" s="5" t="str">
        <f t="shared" si="197"/>
        <v/>
      </c>
      <c r="FK46" s="36" t="str">
        <f t="shared" si="198"/>
        <v/>
      </c>
      <c r="FL46" s="29"/>
      <c r="FN46" s="14"/>
      <c r="FO46" s="39"/>
      <c r="FP46" s="5" t="str">
        <f t="shared" si="215"/>
        <v/>
      </c>
      <c r="FQ46" s="5"/>
      <c r="FR46" s="5"/>
      <c r="FS46" s="5"/>
      <c r="FT46" s="5" t="str">
        <f t="shared" si="216"/>
        <v/>
      </c>
      <c r="FU46" s="5"/>
      <c r="FV46" s="5"/>
      <c r="FW46" s="5"/>
      <c r="FX46" s="5" t="str">
        <f t="shared" si="199"/>
        <v/>
      </c>
      <c r="FY46" s="36" t="str">
        <f t="shared" si="200"/>
        <v/>
      </c>
      <c r="FZ46" s="29"/>
      <c r="GB46" s="14"/>
      <c r="GC46" s="39"/>
      <c r="GD46" s="5" t="str">
        <f t="shared" si="217"/>
        <v/>
      </c>
      <c r="GE46" s="5"/>
      <c r="GF46" s="5"/>
      <c r="GG46" s="5"/>
      <c r="GH46" s="5" t="str">
        <f t="shared" si="218"/>
        <v/>
      </c>
      <c r="GI46" s="5"/>
      <c r="GJ46" s="5"/>
      <c r="GK46" s="5"/>
      <c r="GL46" s="5" t="str">
        <f t="shared" si="201"/>
        <v/>
      </c>
      <c r="GM46" s="36" t="str">
        <f t="shared" si="202"/>
        <v/>
      </c>
      <c r="GN46" s="29"/>
      <c r="GP46" s="14"/>
      <c r="GQ46" s="39"/>
      <c r="GR46" s="5" t="str">
        <f t="shared" si="219"/>
        <v/>
      </c>
      <c r="GS46" s="5"/>
      <c r="GT46" s="5"/>
      <c r="GU46" s="5"/>
      <c r="GV46" s="5"/>
      <c r="GW46" s="5"/>
      <c r="GX46" s="5" t="str">
        <f t="shared" si="220"/>
        <v/>
      </c>
      <c r="GY46" s="5"/>
      <c r="GZ46" s="5"/>
      <c r="HA46" s="5"/>
      <c r="HB46" s="5" t="str">
        <f t="shared" si="221"/>
        <v/>
      </c>
      <c r="HC46" s="36" t="str">
        <f t="shared" si="222"/>
        <v/>
      </c>
      <c r="HD46" s="29"/>
      <c r="HF46" s="14"/>
      <c r="HG46" s="39"/>
      <c r="HH46" s="5" t="str">
        <f t="shared" si="223"/>
        <v/>
      </c>
      <c r="HI46" s="5"/>
      <c r="HJ46" s="29"/>
      <c r="HL46" s="14"/>
      <c r="HM46" s="39"/>
      <c r="HN46" s="5" t="str">
        <f t="shared" si="224"/>
        <v/>
      </c>
      <c r="HO46" s="5"/>
      <c r="HP46" s="29"/>
      <c r="HR46" s="14"/>
      <c r="HS46" s="39"/>
      <c r="HT46" s="5" t="str">
        <f t="shared" si="225"/>
        <v/>
      </c>
      <c r="HU46" s="5"/>
      <c r="HV46" s="29"/>
    </row>
    <row r="47" spans="1:230" ht="15" customHeight="1" thickTop="1" x14ac:dyDescent="0.2">
      <c r="A47" s="49"/>
      <c r="B47" s="26">
        <f>SUM(D47:D50)+SUM(R47:R50)+SUM(AF47:AF50)+SUM(AT47:AT50)+SUM(CJ41,DL41,DZ41,EN41,FB41,FP41,GD41,GR41,HH41,HN41,HT41)+SUM(BH47:BH48)+SUM(BV47:BV48)</f>
        <v>0</v>
      </c>
      <c r="C47" s="4"/>
      <c r="D47" s="4" t="str">
        <f t="shared" si="126"/>
        <v/>
      </c>
      <c r="E47" s="4"/>
      <c r="F47" s="50" t="str">
        <f t="shared" si="127"/>
        <v/>
      </c>
      <c r="G47" s="4"/>
      <c r="H47" s="4" t="str">
        <f t="shared" si="128"/>
        <v/>
      </c>
      <c r="I47" s="35"/>
      <c r="J47" s="31" t="str">
        <f t="shared" si="230"/>
        <v/>
      </c>
      <c r="K47" s="27" t="str">
        <f t="shared" si="130"/>
        <v/>
      </c>
      <c r="L47" s="50" t="str">
        <f t="shared" si="131"/>
        <v/>
      </c>
      <c r="M47" s="52" t="str">
        <f t="shared" si="132"/>
        <v/>
      </c>
      <c r="N47" s="29"/>
      <c r="P47" s="53" t="str">
        <f>IF($A$417="","",$A$417)</f>
        <v/>
      </c>
      <c r="Q47" s="4"/>
      <c r="R47" s="4" t="str">
        <f t="shared" si="231"/>
        <v/>
      </c>
      <c r="S47" s="4"/>
      <c r="T47" s="50" t="str">
        <f t="shared" si="232"/>
        <v/>
      </c>
      <c r="U47" s="4"/>
      <c r="V47" s="4" t="str">
        <f t="shared" si="233"/>
        <v/>
      </c>
      <c r="W47" s="35"/>
      <c r="X47" s="2" t="str">
        <f t="shared" si="234"/>
        <v/>
      </c>
      <c r="Y47" s="27" t="str">
        <f t="shared" si="235"/>
        <v/>
      </c>
      <c r="Z47" s="50" t="str">
        <f t="shared" si="236"/>
        <v/>
      </c>
      <c r="AA47" s="52" t="str">
        <f t="shared" si="237"/>
        <v/>
      </c>
      <c r="AB47" s="29"/>
      <c r="AD47" s="53" t="str">
        <f>IF($A$417="","",$A$417)</f>
        <v/>
      </c>
      <c r="AE47" s="4"/>
      <c r="AF47" s="4" t="str">
        <f t="shared" si="238"/>
        <v/>
      </c>
      <c r="AG47" s="4"/>
      <c r="AH47" s="50" t="str">
        <f t="shared" si="239"/>
        <v/>
      </c>
      <c r="AI47" s="4"/>
      <c r="AJ47" s="4" t="str">
        <f t="shared" si="240"/>
        <v/>
      </c>
      <c r="AK47" s="35"/>
      <c r="AL47" s="31" t="str">
        <f t="shared" si="241"/>
        <v/>
      </c>
      <c r="AM47" s="27" t="str">
        <f t="shared" si="242"/>
        <v/>
      </c>
      <c r="AN47" s="50" t="str">
        <f t="shared" si="243"/>
        <v/>
      </c>
      <c r="AO47" s="52" t="str">
        <f t="shared" si="244"/>
        <v/>
      </c>
      <c r="AP47" s="29"/>
      <c r="AR47" s="53" t="str">
        <f>IF($A$417="","",$A$417)</f>
        <v/>
      </c>
      <c r="AS47" s="4"/>
      <c r="AT47" s="4" t="str">
        <f t="shared" si="245"/>
        <v/>
      </c>
      <c r="AU47" s="4"/>
      <c r="AV47" s="50" t="str">
        <f t="shared" si="246"/>
        <v/>
      </c>
      <c r="AW47" s="4"/>
      <c r="AX47" s="4" t="str">
        <f t="shared" si="247"/>
        <v/>
      </c>
      <c r="AY47" s="35"/>
      <c r="AZ47" s="31" t="str">
        <f t="shared" si="248"/>
        <v/>
      </c>
      <c r="BA47" s="27" t="str">
        <f t="shared" si="249"/>
        <v/>
      </c>
      <c r="BB47" s="50" t="str">
        <f t="shared" si="250"/>
        <v/>
      </c>
      <c r="BC47" s="52" t="str">
        <f t="shared" si="251"/>
        <v/>
      </c>
      <c r="BD47" s="29"/>
      <c r="BE47" s="32"/>
      <c r="BF47" s="33" t="str">
        <f>IF($A14="","",$A14)</f>
        <v/>
      </c>
      <c r="BG47" s="4"/>
      <c r="BH47" s="4" t="str">
        <f t="shared" si="252"/>
        <v/>
      </c>
      <c r="BI47" s="4"/>
      <c r="BJ47" s="50" t="str">
        <f t="shared" si="253"/>
        <v/>
      </c>
      <c r="BK47" s="4"/>
      <c r="BL47" s="4" t="str">
        <f t="shared" si="254"/>
        <v/>
      </c>
      <c r="BM47" s="4"/>
      <c r="BN47" s="2" t="str">
        <f>IF(BG47="","",BN43)</f>
        <v/>
      </c>
      <c r="BO47" s="27" t="str">
        <f>IF(BG47="","",BO43)</f>
        <v/>
      </c>
      <c r="BP47" s="5" t="str">
        <f t="shared" si="257"/>
        <v/>
      </c>
      <c r="BQ47" s="52" t="str">
        <f t="shared" si="258"/>
        <v/>
      </c>
      <c r="BR47" s="29"/>
      <c r="BT47" s="33" t="str">
        <f>IF($A14="","",$A14)</f>
        <v/>
      </c>
      <c r="BU47" s="4"/>
      <c r="BV47" s="4" t="str">
        <f t="shared" si="259"/>
        <v/>
      </c>
      <c r="BW47" s="4"/>
      <c r="BX47" s="50" t="str">
        <f t="shared" si="260"/>
        <v/>
      </c>
      <c r="BY47" s="4"/>
      <c r="BZ47" s="4" t="str">
        <f t="shared" si="261"/>
        <v/>
      </c>
      <c r="CA47" s="4"/>
      <c r="CB47" s="2" t="str">
        <f>IF(BU47="","",CB43)</f>
        <v/>
      </c>
      <c r="CC47" s="27" t="str">
        <f>IF(BU47="","",CC43)</f>
        <v/>
      </c>
      <c r="CD47" s="5" t="str">
        <f t="shared" si="264"/>
        <v/>
      </c>
      <c r="CE47" s="52" t="str">
        <f t="shared" si="265"/>
        <v/>
      </c>
      <c r="CF47" s="29"/>
      <c r="CH47" s="14"/>
      <c r="CI47" s="39"/>
      <c r="CJ47" s="5" t="str">
        <f t="shared" si="203"/>
        <v/>
      </c>
      <c r="CK47" s="5"/>
      <c r="CL47" s="5"/>
      <c r="CM47" s="5"/>
      <c r="CN47" s="5" t="str">
        <f t="shared" si="204"/>
        <v/>
      </c>
      <c r="CO47" s="5"/>
      <c r="CP47" s="5"/>
      <c r="CQ47" s="5"/>
      <c r="CR47" s="5" t="str">
        <f t="shared" si="187"/>
        <v/>
      </c>
      <c r="CS47" s="36" t="str">
        <f t="shared" si="188"/>
        <v/>
      </c>
      <c r="CT47" s="29"/>
      <c r="CV47" s="14"/>
      <c r="CW47" s="39"/>
      <c r="CX47" s="5" t="str">
        <f t="shared" si="205"/>
        <v/>
      </c>
      <c r="CY47" s="5"/>
      <c r="CZ47" s="5"/>
      <c r="DA47" s="5"/>
      <c r="DB47" s="5" t="str">
        <f t="shared" si="206"/>
        <v/>
      </c>
      <c r="DC47" s="5"/>
      <c r="DD47" s="5"/>
      <c r="DE47" s="5"/>
      <c r="DF47" s="5" t="str">
        <f t="shared" si="189"/>
        <v/>
      </c>
      <c r="DG47" s="36" t="str">
        <f t="shared" si="190"/>
        <v/>
      </c>
      <c r="DH47" s="29"/>
      <c r="DJ47" s="14"/>
      <c r="DK47" s="39"/>
      <c r="DL47" s="5" t="str">
        <f t="shared" si="207"/>
        <v/>
      </c>
      <c r="DM47" s="5"/>
      <c r="DN47" s="5"/>
      <c r="DO47" s="5"/>
      <c r="DP47" s="5" t="str">
        <f t="shared" si="208"/>
        <v/>
      </c>
      <c r="DQ47" s="5"/>
      <c r="DR47" s="5"/>
      <c r="DS47" s="5"/>
      <c r="DT47" s="5" t="str">
        <f t="shared" si="191"/>
        <v/>
      </c>
      <c r="DU47" s="36" t="str">
        <f t="shared" si="192"/>
        <v/>
      </c>
      <c r="DV47" s="29"/>
      <c r="DX47" s="14"/>
      <c r="DY47" s="39"/>
      <c r="DZ47" s="5" t="str">
        <f t="shared" si="209"/>
        <v/>
      </c>
      <c r="EA47" s="5"/>
      <c r="EB47" s="5"/>
      <c r="EC47" s="5"/>
      <c r="ED47" s="5" t="str">
        <f t="shared" si="210"/>
        <v/>
      </c>
      <c r="EE47" s="5"/>
      <c r="EF47" s="5"/>
      <c r="EG47" s="5"/>
      <c r="EH47" s="5" t="str">
        <f t="shared" si="193"/>
        <v/>
      </c>
      <c r="EI47" s="36" t="str">
        <f t="shared" si="194"/>
        <v/>
      </c>
      <c r="EJ47" s="29"/>
      <c r="EL47" s="14"/>
      <c r="EM47" s="39"/>
      <c r="EN47" s="5" t="str">
        <f t="shared" si="211"/>
        <v/>
      </c>
      <c r="EO47" s="5"/>
      <c r="EP47" s="5"/>
      <c r="EQ47" s="5"/>
      <c r="ER47" s="5" t="str">
        <f t="shared" si="212"/>
        <v/>
      </c>
      <c r="ES47" s="5"/>
      <c r="ET47" s="5"/>
      <c r="EU47" s="5"/>
      <c r="EV47" s="5" t="str">
        <f t="shared" si="195"/>
        <v/>
      </c>
      <c r="EW47" s="36" t="str">
        <f t="shared" si="196"/>
        <v/>
      </c>
      <c r="EX47" s="29"/>
      <c r="EZ47" s="14"/>
      <c r="FA47" s="39"/>
      <c r="FB47" s="5" t="str">
        <f t="shared" si="213"/>
        <v/>
      </c>
      <c r="FC47" s="5"/>
      <c r="FD47" s="5"/>
      <c r="FE47" s="5"/>
      <c r="FF47" s="5" t="str">
        <f t="shared" si="214"/>
        <v/>
      </c>
      <c r="FG47" s="5"/>
      <c r="FH47" s="5"/>
      <c r="FI47" s="5"/>
      <c r="FJ47" s="5" t="str">
        <f t="shared" si="197"/>
        <v/>
      </c>
      <c r="FK47" s="36" t="str">
        <f t="shared" si="198"/>
        <v/>
      </c>
      <c r="FL47" s="29"/>
      <c r="FN47" s="14"/>
      <c r="FO47" s="39"/>
      <c r="FP47" s="5" t="str">
        <f t="shared" si="215"/>
        <v/>
      </c>
      <c r="FQ47" s="5"/>
      <c r="FR47" s="5"/>
      <c r="FS47" s="5"/>
      <c r="FT47" s="5" t="str">
        <f t="shared" si="216"/>
        <v/>
      </c>
      <c r="FU47" s="5"/>
      <c r="FV47" s="5"/>
      <c r="FW47" s="5"/>
      <c r="FX47" s="5" t="str">
        <f t="shared" si="199"/>
        <v/>
      </c>
      <c r="FY47" s="36" t="str">
        <f t="shared" si="200"/>
        <v/>
      </c>
      <c r="FZ47" s="29"/>
      <c r="GB47" s="14"/>
      <c r="GC47" s="39"/>
      <c r="GD47" s="5" t="str">
        <f t="shared" si="217"/>
        <v/>
      </c>
      <c r="GE47" s="5"/>
      <c r="GF47" s="5"/>
      <c r="GG47" s="5"/>
      <c r="GH47" s="5" t="str">
        <f t="shared" si="218"/>
        <v/>
      </c>
      <c r="GI47" s="5"/>
      <c r="GJ47" s="5"/>
      <c r="GK47" s="5"/>
      <c r="GL47" s="5" t="str">
        <f t="shared" si="201"/>
        <v/>
      </c>
      <c r="GM47" s="36" t="str">
        <f t="shared" si="202"/>
        <v/>
      </c>
      <c r="GN47" s="29"/>
      <c r="GP47" s="14"/>
      <c r="GQ47" s="39"/>
      <c r="GR47" s="5" t="str">
        <f t="shared" si="219"/>
        <v/>
      </c>
      <c r="GS47" s="5"/>
      <c r="GT47" s="5"/>
      <c r="GU47" s="5"/>
      <c r="GV47" s="5"/>
      <c r="GW47" s="5"/>
      <c r="GX47" s="5" t="str">
        <f t="shared" si="220"/>
        <v/>
      </c>
      <c r="GY47" s="5"/>
      <c r="GZ47" s="5"/>
      <c r="HA47" s="5"/>
      <c r="HB47" s="5" t="str">
        <f t="shared" si="221"/>
        <v/>
      </c>
      <c r="HC47" s="36" t="str">
        <f t="shared" si="222"/>
        <v/>
      </c>
      <c r="HD47" s="29"/>
      <c r="HF47" s="14"/>
      <c r="HG47" s="39"/>
      <c r="HH47" s="5" t="str">
        <f t="shared" si="223"/>
        <v/>
      </c>
      <c r="HI47" s="5"/>
      <c r="HJ47" s="29"/>
      <c r="HL47" s="14"/>
      <c r="HM47" s="39"/>
      <c r="HN47" s="5" t="str">
        <f t="shared" si="224"/>
        <v/>
      </c>
      <c r="HO47" s="5"/>
      <c r="HP47" s="29"/>
      <c r="HR47" s="14"/>
      <c r="HS47" s="39"/>
      <c r="HT47" s="5" t="str">
        <f t="shared" si="225"/>
        <v/>
      </c>
      <c r="HU47" s="5"/>
      <c r="HV47" s="29"/>
    </row>
    <row r="48" spans="1:230" ht="15" customHeight="1" x14ac:dyDescent="0.2">
      <c r="A48" s="54"/>
      <c r="B48" s="37"/>
      <c r="C48" s="5"/>
      <c r="D48" s="5" t="str">
        <f t="shared" si="126"/>
        <v/>
      </c>
      <c r="E48" s="5"/>
      <c r="F48" s="5" t="str">
        <f t="shared" si="127"/>
        <v/>
      </c>
      <c r="G48" s="5"/>
      <c r="H48" s="5" t="str">
        <f t="shared" si="128"/>
        <v/>
      </c>
      <c r="I48" s="35"/>
      <c r="J48" s="38" t="str">
        <f t="shared" si="230"/>
        <v/>
      </c>
      <c r="K48" s="39" t="str">
        <f t="shared" si="130"/>
        <v/>
      </c>
      <c r="L48" s="5" t="str">
        <f t="shared" si="131"/>
        <v/>
      </c>
      <c r="M48" s="36" t="str">
        <f t="shared" si="132"/>
        <v/>
      </c>
      <c r="N48" s="29"/>
      <c r="P48" s="54"/>
      <c r="Q48" s="5"/>
      <c r="R48" s="5" t="str">
        <f t="shared" si="231"/>
        <v/>
      </c>
      <c r="S48" s="5"/>
      <c r="T48" s="5" t="str">
        <f t="shared" si="232"/>
        <v/>
      </c>
      <c r="U48" s="5"/>
      <c r="V48" s="5" t="str">
        <f t="shared" si="233"/>
        <v/>
      </c>
      <c r="W48" s="35"/>
      <c r="X48" s="3" t="str">
        <f t="shared" si="234"/>
        <v/>
      </c>
      <c r="Y48" s="39" t="str">
        <f t="shared" si="235"/>
        <v/>
      </c>
      <c r="Z48" s="5" t="str">
        <f t="shared" si="236"/>
        <v/>
      </c>
      <c r="AA48" s="36" t="str">
        <f t="shared" si="237"/>
        <v/>
      </c>
      <c r="AB48" s="29"/>
      <c r="AD48" s="54"/>
      <c r="AE48" s="5"/>
      <c r="AF48" s="5" t="str">
        <f t="shared" si="238"/>
        <v/>
      </c>
      <c r="AG48" s="5"/>
      <c r="AH48" s="5" t="str">
        <f t="shared" si="239"/>
        <v/>
      </c>
      <c r="AI48" s="5"/>
      <c r="AJ48" s="5" t="str">
        <f t="shared" si="240"/>
        <v/>
      </c>
      <c r="AK48" s="35"/>
      <c r="AL48" s="38" t="str">
        <f t="shared" si="241"/>
        <v/>
      </c>
      <c r="AM48" s="39" t="str">
        <f t="shared" si="242"/>
        <v/>
      </c>
      <c r="AN48" s="5" t="str">
        <f t="shared" si="243"/>
        <v/>
      </c>
      <c r="AO48" s="36" t="str">
        <f t="shared" si="244"/>
        <v/>
      </c>
      <c r="AP48" s="29"/>
      <c r="AR48" s="54"/>
      <c r="AS48" s="5"/>
      <c r="AT48" s="5" t="str">
        <f t="shared" si="245"/>
        <v/>
      </c>
      <c r="AU48" s="5"/>
      <c r="AV48" s="5" t="str">
        <f t="shared" si="246"/>
        <v/>
      </c>
      <c r="AW48" s="5"/>
      <c r="AX48" s="5" t="str">
        <f t="shared" si="247"/>
        <v/>
      </c>
      <c r="AY48" s="35"/>
      <c r="AZ48" s="38" t="str">
        <f t="shared" si="248"/>
        <v/>
      </c>
      <c r="BA48" s="39" t="str">
        <f t="shared" si="249"/>
        <v/>
      </c>
      <c r="BB48" s="5" t="str">
        <f t="shared" si="250"/>
        <v/>
      </c>
      <c r="BC48" s="36" t="str">
        <f t="shared" si="251"/>
        <v/>
      </c>
      <c r="BD48" s="29"/>
      <c r="BE48" s="32"/>
      <c r="BF48" s="25"/>
      <c r="BG48" s="5"/>
      <c r="BH48" s="5" t="str">
        <f t="shared" si="252"/>
        <v/>
      </c>
      <c r="BI48" s="5"/>
      <c r="BJ48" s="5" t="str">
        <f t="shared" si="253"/>
        <v/>
      </c>
      <c r="BK48" s="5"/>
      <c r="BL48" s="5" t="str">
        <f t="shared" si="254"/>
        <v/>
      </c>
      <c r="BM48" s="5"/>
      <c r="BN48" s="3" t="str">
        <f>IF(BG47="","",BN44)</f>
        <v/>
      </c>
      <c r="BO48" s="39" t="str">
        <f>IF(BG47="","",BO44)</f>
        <v/>
      </c>
      <c r="BP48" s="4" t="str">
        <f t="shared" si="257"/>
        <v/>
      </c>
      <c r="BQ48" s="36" t="str">
        <f t="shared" si="258"/>
        <v/>
      </c>
      <c r="BR48" s="29"/>
      <c r="BT48" s="25"/>
      <c r="BU48" s="5"/>
      <c r="BV48" s="5" t="str">
        <f t="shared" si="259"/>
        <v/>
      </c>
      <c r="BW48" s="5"/>
      <c r="BX48" s="5" t="str">
        <f t="shared" si="260"/>
        <v/>
      </c>
      <c r="BY48" s="5"/>
      <c r="BZ48" s="5" t="str">
        <f t="shared" si="261"/>
        <v/>
      </c>
      <c r="CA48" s="4"/>
      <c r="CB48" s="3" t="str">
        <f>IF(BU48="","",CB44)</f>
        <v/>
      </c>
      <c r="CC48" s="39" t="str">
        <f>IF(BU47="","",CC44)</f>
        <v/>
      </c>
      <c r="CD48" s="4" t="str">
        <f t="shared" si="264"/>
        <v/>
      </c>
      <c r="CE48" s="36" t="str">
        <f t="shared" si="265"/>
        <v/>
      </c>
      <c r="CF48" s="29"/>
      <c r="CH48" s="14"/>
      <c r="CI48" s="39"/>
      <c r="CJ48" s="5" t="str">
        <f t="shared" si="203"/>
        <v/>
      </c>
      <c r="CK48" s="5"/>
      <c r="CL48" s="5"/>
      <c r="CM48" s="5"/>
      <c r="CN48" s="5" t="str">
        <f t="shared" si="204"/>
        <v/>
      </c>
      <c r="CO48" s="5"/>
      <c r="CP48" s="5"/>
      <c r="CQ48" s="5"/>
      <c r="CR48" s="5" t="str">
        <f t="shared" si="187"/>
        <v/>
      </c>
      <c r="CS48" s="36" t="str">
        <f t="shared" si="188"/>
        <v/>
      </c>
      <c r="CT48" s="29"/>
      <c r="CV48" s="14"/>
      <c r="CW48" s="39"/>
      <c r="CX48" s="5" t="str">
        <f t="shared" si="205"/>
        <v/>
      </c>
      <c r="CY48" s="5"/>
      <c r="CZ48" s="5"/>
      <c r="DA48" s="5"/>
      <c r="DB48" s="5" t="str">
        <f t="shared" si="206"/>
        <v/>
      </c>
      <c r="DC48" s="5"/>
      <c r="DD48" s="5"/>
      <c r="DE48" s="5"/>
      <c r="DF48" s="5" t="str">
        <f t="shared" si="189"/>
        <v/>
      </c>
      <c r="DG48" s="36" t="str">
        <f t="shared" si="190"/>
        <v/>
      </c>
      <c r="DH48" s="29"/>
      <c r="DJ48" s="14"/>
      <c r="DK48" s="39"/>
      <c r="DL48" s="5" t="str">
        <f t="shared" si="207"/>
        <v/>
      </c>
      <c r="DM48" s="5"/>
      <c r="DN48" s="5"/>
      <c r="DO48" s="5"/>
      <c r="DP48" s="5" t="str">
        <f t="shared" si="208"/>
        <v/>
      </c>
      <c r="DQ48" s="5"/>
      <c r="DR48" s="5"/>
      <c r="DS48" s="5"/>
      <c r="DT48" s="5" t="str">
        <f t="shared" si="191"/>
        <v/>
      </c>
      <c r="DU48" s="36" t="str">
        <f t="shared" si="192"/>
        <v/>
      </c>
      <c r="DV48" s="29"/>
      <c r="DX48" s="14"/>
      <c r="DY48" s="39"/>
      <c r="DZ48" s="5" t="str">
        <f t="shared" si="209"/>
        <v/>
      </c>
      <c r="EA48" s="5"/>
      <c r="EB48" s="5"/>
      <c r="EC48" s="5"/>
      <c r="ED48" s="5" t="str">
        <f t="shared" si="210"/>
        <v/>
      </c>
      <c r="EE48" s="5"/>
      <c r="EF48" s="5"/>
      <c r="EG48" s="5"/>
      <c r="EH48" s="5" t="str">
        <f t="shared" si="193"/>
        <v/>
      </c>
      <c r="EI48" s="36" t="str">
        <f t="shared" si="194"/>
        <v/>
      </c>
      <c r="EJ48" s="29"/>
      <c r="EL48" s="14"/>
      <c r="EM48" s="39"/>
      <c r="EN48" s="5" t="str">
        <f t="shared" si="211"/>
        <v/>
      </c>
      <c r="EO48" s="5"/>
      <c r="EP48" s="5"/>
      <c r="EQ48" s="5"/>
      <c r="ER48" s="5" t="str">
        <f t="shared" si="212"/>
        <v/>
      </c>
      <c r="ES48" s="5"/>
      <c r="ET48" s="5"/>
      <c r="EU48" s="5"/>
      <c r="EV48" s="5" t="str">
        <f t="shared" si="195"/>
        <v/>
      </c>
      <c r="EW48" s="36" t="str">
        <f t="shared" si="196"/>
        <v/>
      </c>
      <c r="EX48" s="29"/>
      <c r="EZ48" s="14"/>
      <c r="FA48" s="39"/>
      <c r="FB48" s="5" t="str">
        <f t="shared" si="213"/>
        <v/>
      </c>
      <c r="FC48" s="5"/>
      <c r="FD48" s="5"/>
      <c r="FE48" s="5"/>
      <c r="FF48" s="5" t="str">
        <f t="shared" si="214"/>
        <v/>
      </c>
      <c r="FG48" s="5"/>
      <c r="FH48" s="5"/>
      <c r="FI48" s="5"/>
      <c r="FJ48" s="5" t="str">
        <f t="shared" si="197"/>
        <v/>
      </c>
      <c r="FK48" s="36" t="str">
        <f t="shared" si="198"/>
        <v/>
      </c>
      <c r="FL48" s="29"/>
      <c r="FN48" s="14"/>
      <c r="FO48" s="39"/>
      <c r="FP48" s="5" t="str">
        <f t="shared" si="215"/>
        <v/>
      </c>
      <c r="FQ48" s="5"/>
      <c r="FR48" s="5"/>
      <c r="FS48" s="5"/>
      <c r="FT48" s="5" t="str">
        <f t="shared" si="216"/>
        <v/>
      </c>
      <c r="FU48" s="5"/>
      <c r="FV48" s="5"/>
      <c r="FW48" s="5"/>
      <c r="FX48" s="5" t="str">
        <f t="shared" si="199"/>
        <v/>
      </c>
      <c r="FY48" s="36" t="str">
        <f t="shared" si="200"/>
        <v/>
      </c>
      <c r="FZ48" s="29"/>
      <c r="GB48" s="14"/>
      <c r="GC48" s="39"/>
      <c r="GD48" s="5" t="str">
        <f t="shared" si="217"/>
        <v/>
      </c>
      <c r="GE48" s="5"/>
      <c r="GF48" s="5"/>
      <c r="GG48" s="5"/>
      <c r="GH48" s="5" t="str">
        <f t="shared" si="218"/>
        <v/>
      </c>
      <c r="GI48" s="5"/>
      <c r="GJ48" s="5"/>
      <c r="GK48" s="5"/>
      <c r="GL48" s="5" t="str">
        <f t="shared" si="201"/>
        <v/>
      </c>
      <c r="GM48" s="36" t="str">
        <f t="shared" si="202"/>
        <v/>
      </c>
      <c r="GN48" s="29"/>
      <c r="GP48" s="14"/>
      <c r="GQ48" s="39"/>
      <c r="GR48" s="5" t="str">
        <f t="shared" si="219"/>
        <v/>
      </c>
      <c r="GS48" s="5"/>
      <c r="GT48" s="5"/>
      <c r="GU48" s="5"/>
      <c r="GV48" s="5"/>
      <c r="GW48" s="5"/>
      <c r="GX48" s="5" t="str">
        <f t="shared" si="220"/>
        <v/>
      </c>
      <c r="GY48" s="5"/>
      <c r="GZ48" s="5"/>
      <c r="HA48" s="5"/>
      <c r="HB48" s="5" t="str">
        <f t="shared" si="221"/>
        <v/>
      </c>
      <c r="HC48" s="36" t="str">
        <f t="shared" si="222"/>
        <v/>
      </c>
      <c r="HD48" s="29"/>
      <c r="HF48" s="14"/>
      <c r="HG48" s="39"/>
      <c r="HH48" s="5" t="str">
        <f t="shared" si="223"/>
        <v/>
      </c>
      <c r="HI48" s="5"/>
      <c r="HJ48" s="29"/>
      <c r="HL48" s="14"/>
      <c r="HM48" s="39"/>
      <c r="HN48" s="5" t="str">
        <f t="shared" si="224"/>
        <v/>
      </c>
      <c r="HO48" s="5"/>
      <c r="HP48" s="29"/>
      <c r="HR48" s="14"/>
      <c r="HS48" s="39"/>
      <c r="HT48" s="5" t="str">
        <f t="shared" si="225"/>
        <v/>
      </c>
      <c r="HU48" s="5"/>
      <c r="HV48" s="29"/>
    </row>
    <row r="49" spans="1:230" ht="15" customHeight="1" x14ac:dyDescent="0.2">
      <c r="A49" s="54"/>
      <c r="B49" s="37"/>
      <c r="C49" s="58"/>
      <c r="D49" s="5" t="str">
        <f t="shared" si="126"/>
        <v/>
      </c>
      <c r="E49" s="5"/>
      <c r="F49" s="5" t="str">
        <f t="shared" si="127"/>
        <v/>
      </c>
      <c r="G49" s="58"/>
      <c r="H49" s="5" t="str">
        <f t="shared" si="128"/>
        <v/>
      </c>
      <c r="I49" s="59"/>
      <c r="J49" s="38" t="str">
        <f t="shared" si="230"/>
        <v/>
      </c>
      <c r="K49" s="5" t="str">
        <f t="shared" si="130"/>
        <v/>
      </c>
      <c r="L49" s="5" t="str">
        <f t="shared" si="131"/>
        <v/>
      </c>
      <c r="M49" s="36" t="str">
        <f t="shared" si="132"/>
        <v/>
      </c>
      <c r="N49" s="29"/>
      <c r="P49" s="25"/>
      <c r="Q49" s="58"/>
      <c r="R49" s="5" t="str">
        <f t="shared" si="231"/>
        <v/>
      </c>
      <c r="S49" s="5"/>
      <c r="T49" s="5" t="str">
        <f t="shared" si="232"/>
        <v/>
      </c>
      <c r="U49" s="58"/>
      <c r="V49" s="5" t="str">
        <f t="shared" si="233"/>
        <v/>
      </c>
      <c r="W49" s="35"/>
      <c r="X49" s="3" t="str">
        <f t="shared" si="234"/>
        <v/>
      </c>
      <c r="Y49" s="5" t="str">
        <f t="shared" si="235"/>
        <v/>
      </c>
      <c r="Z49" s="5" t="str">
        <f t="shared" si="236"/>
        <v/>
      </c>
      <c r="AA49" s="36" t="str">
        <f t="shared" si="237"/>
        <v/>
      </c>
      <c r="AB49" s="29"/>
      <c r="AD49" s="25"/>
      <c r="AE49" s="58"/>
      <c r="AF49" s="5" t="str">
        <f t="shared" si="238"/>
        <v/>
      </c>
      <c r="AG49" s="5"/>
      <c r="AH49" s="5" t="str">
        <f t="shared" si="239"/>
        <v/>
      </c>
      <c r="AI49" s="58"/>
      <c r="AJ49" s="5" t="str">
        <f t="shared" si="240"/>
        <v/>
      </c>
      <c r="AK49" s="35"/>
      <c r="AL49" s="38" t="str">
        <f t="shared" si="241"/>
        <v/>
      </c>
      <c r="AM49" s="5" t="str">
        <f t="shared" si="242"/>
        <v/>
      </c>
      <c r="AN49" s="5" t="str">
        <f t="shared" si="243"/>
        <v/>
      </c>
      <c r="AO49" s="36" t="str">
        <f t="shared" si="244"/>
        <v/>
      </c>
      <c r="AP49" s="29"/>
      <c r="AR49" s="25"/>
      <c r="AS49" s="58"/>
      <c r="AT49" s="5" t="str">
        <f t="shared" si="245"/>
        <v/>
      </c>
      <c r="AU49" s="5"/>
      <c r="AV49" s="5" t="str">
        <f t="shared" si="246"/>
        <v/>
      </c>
      <c r="AW49" s="58"/>
      <c r="AX49" s="5" t="str">
        <f t="shared" si="247"/>
        <v/>
      </c>
      <c r="AY49" s="35"/>
      <c r="AZ49" s="38" t="str">
        <f t="shared" si="248"/>
        <v/>
      </c>
      <c r="BA49" s="5" t="str">
        <f t="shared" si="249"/>
        <v/>
      </c>
      <c r="BB49" s="5" t="str">
        <f t="shared" si="250"/>
        <v/>
      </c>
      <c r="BC49" s="36" t="str">
        <f t="shared" si="251"/>
        <v/>
      </c>
      <c r="BD49" s="29"/>
      <c r="BE49" s="32"/>
      <c r="BF49" s="25"/>
      <c r="BG49" s="5"/>
      <c r="BH49" s="5" t="str">
        <f t="shared" si="252"/>
        <v/>
      </c>
      <c r="BI49" s="5"/>
      <c r="BJ49" s="5" t="str">
        <f t="shared" si="253"/>
        <v/>
      </c>
      <c r="BK49" s="5"/>
      <c r="BL49" s="5" t="str">
        <f t="shared" si="254"/>
        <v/>
      </c>
      <c r="BM49" s="5"/>
      <c r="BN49" s="3" t="str">
        <f>IF(BG47="","",BN45)</f>
        <v/>
      </c>
      <c r="BO49" s="39" t="str">
        <f>IF(BG47="","",BO45)</f>
        <v/>
      </c>
      <c r="BP49" s="5" t="str">
        <f t="shared" si="257"/>
        <v/>
      </c>
      <c r="BQ49" s="36" t="str">
        <f>IF(BL49="","",BP49/(BH48*100))</f>
        <v/>
      </c>
      <c r="BR49" s="29"/>
      <c r="BT49" s="25"/>
      <c r="BU49" s="5"/>
      <c r="BV49" s="5" t="str">
        <f t="shared" si="259"/>
        <v/>
      </c>
      <c r="BW49" s="5"/>
      <c r="BX49" s="5" t="str">
        <f t="shared" si="260"/>
        <v/>
      </c>
      <c r="BY49" s="5"/>
      <c r="BZ49" s="5"/>
      <c r="CA49" s="57"/>
      <c r="CB49" s="3"/>
      <c r="CC49" s="39"/>
      <c r="CD49" s="5"/>
      <c r="CE49" s="36"/>
      <c r="CF49" s="29"/>
      <c r="CH49" s="14"/>
      <c r="CI49" s="39"/>
      <c r="CJ49" s="5" t="str">
        <f t="shared" si="203"/>
        <v/>
      </c>
      <c r="CK49" s="5"/>
      <c r="CL49" s="5"/>
      <c r="CM49" s="5"/>
      <c r="CN49" s="5" t="str">
        <f t="shared" si="204"/>
        <v/>
      </c>
      <c r="CO49" s="5"/>
      <c r="CP49" s="5"/>
      <c r="CQ49" s="5"/>
      <c r="CR49" s="5" t="str">
        <f t="shared" si="187"/>
        <v/>
      </c>
      <c r="CS49" s="36" t="str">
        <f t="shared" si="188"/>
        <v/>
      </c>
      <c r="CT49" s="29"/>
      <c r="CV49" s="14"/>
      <c r="CW49" s="39"/>
      <c r="CX49" s="5" t="str">
        <f t="shared" si="205"/>
        <v/>
      </c>
      <c r="CY49" s="5"/>
      <c r="CZ49" s="5"/>
      <c r="DA49" s="5"/>
      <c r="DB49" s="5" t="str">
        <f t="shared" si="206"/>
        <v/>
      </c>
      <c r="DC49" s="5"/>
      <c r="DD49" s="5"/>
      <c r="DE49" s="5"/>
      <c r="DF49" s="5" t="str">
        <f t="shared" si="189"/>
        <v/>
      </c>
      <c r="DG49" s="36" t="str">
        <f t="shared" si="190"/>
        <v/>
      </c>
      <c r="DH49" s="29"/>
      <c r="DJ49" s="14"/>
      <c r="DK49" s="39"/>
      <c r="DL49" s="5" t="str">
        <f t="shared" si="207"/>
        <v/>
      </c>
      <c r="DM49" s="5"/>
      <c r="DN49" s="5"/>
      <c r="DO49" s="5"/>
      <c r="DP49" s="5" t="str">
        <f t="shared" si="208"/>
        <v/>
      </c>
      <c r="DQ49" s="5"/>
      <c r="DR49" s="5"/>
      <c r="DS49" s="5"/>
      <c r="DT49" s="5" t="str">
        <f t="shared" si="191"/>
        <v/>
      </c>
      <c r="DU49" s="36" t="str">
        <f t="shared" si="192"/>
        <v/>
      </c>
      <c r="DV49" s="29"/>
      <c r="DX49" s="14"/>
      <c r="DY49" s="39"/>
      <c r="DZ49" s="5" t="str">
        <f t="shared" si="209"/>
        <v/>
      </c>
      <c r="EA49" s="5"/>
      <c r="EB49" s="5"/>
      <c r="EC49" s="5"/>
      <c r="ED49" s="5" t="str">
        <f t="shared" si="210"/>
        <v/>
      </c>
      <c r="EE49" s="5"/>
      <c r="EF49" s="5"/>
      <c r="EG49" s="5"/>
      <c r="EH49" s="5" t="str">
        <f t="shared" si="193"/>
        <v/>
      </c>
      <c r="EI49" s="36" t="str">
        <f t="shared" si="194"/>
        <v/>
      </c>
      <c r="EJ49" s="29"/>
      <c r="EL49" s="14"/>
      <c r="EM49" s="39"/>
      <c r="EN49" s="5" t="str">
        <f t="shared" si="211"/>
        <v/>
      </c>
      <c r="EO49" s="5"/>
      <c r="EP49" s="5"/>
      <c r="EQ49" s="5"/>
      <c r="ER49" s="5" t="str">
        <f t="shared" si="212"/>
        <v/>
      </c>
      <c r="ES49" s="5"/>
      <c r="ET49" s="5"/>
      <c r="EU49" s="5"/>
      <c r="EV49" s="5" t="str">
        <f t="shared" si="195"/>
        <v/>
      </c>
      <c r="EW49" s="36" t="str">
        <f t="shared" si="196"/>
        <v/>
      </c>
      <c r="EX49" s="29"/>
      <c r="EZ49" s="14"/>
      <c r="FA49" s="39"/>
      <c r="FB49" s="5" t="str">
        <f t="shared" si="213"/>
        <v/>
      </c>
      <c r="FC49" s="5"/>
      <c r="FD49" s="5"/>
      <c r="FE49" s="5"/>
      <c r="FF49" s="5" t="str">
        <f t="shared" si="214"/>
        <v/>
      </c>
      <c r="FG49" s="5"/>
      <c r="FH49" s="5"/>
      <c r="FI49" s="5"/>
      <c r="FJ49" s="5" t="str">
        <f t="shared" si="197"/>
        <v/>
      </c>
      <c r="FK49" s="36" t="str">
        <f t="shared" si="198"/>
        <v/>
      </c>
      <c r="FL49" s="29"/>
      <c r="FN49" s="14"/>
      <c r="FO49" s="39"/>
      <c r="FP49" s="5" t="str">
        <f t="shared" si="215"/>
        <v/>
      </c>
      <c r="FQ49" s="5"/>
      <c r="FR49" s="5"/>
      <c r="FS49" s="5"/>
      <c r="FT49" s="5" t="str">
        <f t="shared" si="216"/>
        <v/>
      </c>
      <c r="FU49" s="5"/>
      <c r="FV49" s="5"/>
      <c r="FW49" s="5"/>
      <c r="FX49" s="5" t="str">
        <f t="shared" si="199"/>
        <v/>
      </c>
      <c r="FY49" s="36" t="str">
        <f t="shared" si="200"/>
        <v/>
      </c>
      <c r="FZ49" s="29"/>
      <c r="GB49" s="14"/>
      <c r="GC49" s="39"/>
      <c r="GD49" s="5" t="str">
        <f t="shared" si="217"/>
        <v/>
      </c>
      <c r="GE49" s="5"/>
      <c r="GF49" s="5"/>
      <c r="GG49" s="5"/>
      <c r="GH49" s="5" t="str">
        <f t="shared" si="218"/>
        <v/>
      </c>
      <c r="GI49" s="5"/>
      <c r="GJ49" s="5"/>
      <c r="GK49" s="5"/>
      <c r="GL49" s="5" t="str">
        <f t="shared" si="201"/>
        <v/>
      </c>
      <c r="GM49" s="36" t="str">
        <f t="shared" si="202"/>
        <v/>
      </c>
      <c r="GN49" s="29"/>
      <c r="GP49" s="14"/>
      <c r="GQ49" s="39"/>
      <c r="GR49" s="5" t="str">
        <f t="shared" si="219"/>
        <v/>
      </c>
      <c r="GS49" s="5"/>
      <c r="GT49" s="5"/>
      <c r="GU49" s="5"/>
      <c r="GV49" s="5"/>
      <c r="GW49" s="5"/>
      <c r="GX49" s="5" t="str">
        <f t="shared" si="220"/>
        <v/>
      </c>
      <c r="GY49" s="5"/>
      <c r="GZ49" s="5"/>
      <c r="HA49" s="5"/>
      <c r="HB49" s="5" t="str">
        <f t="shared" si="221"/>
        <v/>
      </c>
      <c r="HC49" s="36" t="str">
        <f t="shared" si="222"/>
        <v/>
      </c>
      <c r="HD49" s="29"/>
      <c r="HF49" s="14"/>
      <c r="HG49" s="39"/>
      <c r="HH49" s="5" t="str">
        <f t="shared" si="223"/>
        <v/>
      </c>
      <c r="HI49" s="5"/>
      <c r="HJ49" s="29"/>
      <c r="HL49" s="14"/>
      <c r="HM49" s="39"/>
      <c r="HN49" s="5" t="str">
        <f t="shared" si="224"/>
        <v/>
      </c>
      <c r="HO49" s="5"/>
      <c r="HP49" s="29"/>
      <c r="HR49" s="14"/>
      <c r="HS49" s="39"/>
      <c r="HT49" s="5" t="str">
        <f t="shared" si="225"/>
        <v/>
      </c>
      <c r="HU49" s="5"/>
      <c r="HV49" s="29"/>
    </row>
    <row r="50" spans="1:230" ht="15" customHeight="1" thickBot="1" x14ac:dyDescent="0.25">
      <c r="A50" s="60"/>
      <c r="B50" s="73"/>
      <c r="C50" s="44"/>
      <c r="D50" s="61" t="str">
        <f t="shared" si="126"/>
        <v/>
      </c>
      <c r="E50" s="44"/>
      <c r="F50" s="44" t="str">
        <f t="shared" si="127"/>
        <v/>
      </c>
      <c r="G50" s="76"/>
      <c r="H50" s="77" t="str">
        <f t="shared" si="128"/>
        <v/>
      </c>
      <c r="I50" s="78"/>
      <c r="J50" s="79" t="str">
        <f t="shared" si="230"/>
        <v/>
      </c>
      <c r="K50" s="61" t="str">
        <f t="shared" si="130"/>
        <v/>
      </c>
      <c r="L50" s="44" t="str">
        <f t="shared" si="131"/>
        <v/>
      </c>
      <c r="M50" s="46" t="str">
        <f t="shared" si="132"/>
        <v/>
      </c>
      <c r="N50" s="29"/>
      <c r="P50" s="41"/>
      <c r="Q50" s="44"/>
      <c r="R50" s="61" t="str">
        <f t="shared" si="231"/>
        <v/>
      </c>
      <c r="S50" s="44"/>
      <c r="T50" s="44" t="str">
        <f t="shared" si="232"/>
        <v/>
      </c>
      <c r="U50" s="76"/>
      <c r="V50" s="44" t="str">
        <f t="shared" si="233"/>
        <v/>
      </c>
      <c r="W50" s="78"/>
      <c r="X50" s="45" t="str">
        <f t="shared" si="234"/>
        <v/>
      </c>
      <c r="Y50" s="61" t="str">
        <f t="shared" si="235"/>
        <v/>
      </c>
      <c r="Z50" s="44" t="str">
        <f t="shared" si="236"/>
        <v/>
      </c>
      <c r="AA50" s="46" t="str">
        <f t="shared" si="237"/>
        <v/>
      </c>
      <c r="AB50" s="29"/>
      <c r="AD50" s="41"/>
      <c r="AE50" s="44"/>
      <c r="AF50" s="61" t="str">
        <f t="shared" si="238"/>
        <v/>
      </c>
      <c r="AG50" s="44"/>
      <c r="AH50" s="44" t="str">
        <f t="shared" si="239"/>
        <v/>
      </c>
      <c r="AI50" s="76"/>
      <c r="AJ50" s="44" t="str">
        <f t="shared" si="240"/>
        <v/>
      </c>
      <c r="AK50" s="78"/>
      <c r="AL50" s="47" t="str">
        <f t="shared" si="241"/>
        <v/>
      </c>
      <c r="AM50" s="61" t="str">
        <f t="shared" si="242"/>
        <v/>
      </c>
      <c r="AN50" s="44" t="str">
        <f t="shared" si="243"/>
        <v/>
      </c>
      <c r="AO50" s="46" t="str">
        <f t="shared" si="244"/>
        <v/>
      </c>
      <c r="AP50" s="29"/>
      <c r="AR50" s="41"/>
      <c r="AS50" s="44"/>
      <c r="AT50" s="61" t="str">
        <f t="shared" si="245"/>
        <v/>
      </c>
      <c r="AU50" s="44"/>
      <c r="AV50" s="44" t="str">
        <f t="shared" si="246"/>
        <v/>
      </c>
      <c r="AW50" s="76"/>
      <c r="AX50" s="44" t="str">
        <f t="shared" si="247"/>
        <v/>
      </c>
      <c r="AY50" s="78"/>
      <c r="AZ50" s="47" t="str">
        <f t="shared" si="248"/>
        <v/>
      </c>
      <c r="BA50" s="61" t="str">
        <f t="shared" si="249"/>
        <v/>
      </c>
      <c r="BB50" s="44" t="str">
        <f t="shared" si="250"/>
        <v/>
      </c>
      <c r="BC50" s="46" t="str">
        <f t="shared" si="251"/>
        <v/>
      </c>
      <c r="BD50" s="29"/>
      <c r="BE50" s="32"/>
      <c r="BF50" s="41"/>
      <c r="BG50" s="44"/>
      <c r="BH50" s="44" t="str">
        <f t="shared" si="252"/>
        <v/>
      </c>
      <c r="BI50" s="44"/>
      <c r="BJ50" s="44" t="str">
        <f t="shared" si="253"/>
        <v/>
      </c>
      <c r="BK50" s="44"/>
      <c r="BL50" s="44" t="str">
        <f t="shared" si="254"/>
        <v/>
      </c>
      <c r="BM50" s="44"/>
      <c r="BN50" s="45" t="str">
        <f>IF(BG47="","",BN46)</f>
        <v/>
      </c>
      <c r="BO50" s="61" t="str">
        <f>IF(BG47="","",BO46)</f>
        <v/>
      </c>
      <c r="BP50" s="44" t="str">
        <f t="shared" si="257"/>
        <v/>
      </c>
      <c r="BQ50" s="46" t="str">
        <f>IF(BL50="","",BP50/(BH48*100))</f>
        <v/>
      </c>
      <c r="BR50" s="29"/>
      <c r="BT50" s="41"/>
      <c r="BU50" s="44"/>
      <c r="BV50" s="44" t="str">
        <f t="shared" si="259"/>
        <v/>
      </c>
      <c r="BW50" s="44"/>
      <c r="BX50" s="44" t="str">
        <f t="shared" si="260"/>
        <v/>
      </c>
      <c r="BY50" s="44"/>
      <c r="BZ50" s="44"/>
      <c r="CA50" s="44"/>
      <c r="CB50" s="45"/>
      <c r="CC50" s="61"/>
      <c r="CD50" s="44"/>
      <c r="CE50" s="46"/>
      <c r="CF50" s="29"/>
      <c r="CH50" s="14"/>
      <c r="CI50" s="39"/>
      <c r="CJ50" s="5" t="str">
        <f t="shared" si="203"/>
        <v/>
      </c>
      <c r="CK50" s="5"/>
      <c r="CL50" s="5"/>
      <c r="CM50" s="5"/>
      <c r="CN50" s="5" t="str">
        <f t="shared" si="204"/>
        <v/>
      </c>
      <c r="CO50" s="5"/>
      <c r="CP50" s="5"/>
      <c r="CQ50" s="5"/>
      <c r="CR50" s="5" t="str">
        <f t="shared" si="187"/>
        <v/>
      </c>
      <c r="CS50" s="36" t="str">
        <f t="shared" si="188"/>
        <v/>
      </c>
      <c r="CT50" s="29"/>
      <c r="CV50" s="14"/>
      <c r="CW50" s="39"/>
      <c r="CX50" s="5" t="str">
        <f t="shared" si="205"/>
        <v/>
      </c>
      <c r="CY50" s="5"/>
      <c r="CZ50" s="5"/>
      <c r="DA50" s="5"/>
      <c r="DB50" s="5" t="str">
        <f t="shared" si="206"/>
        <v/>
      </c>
      <c r="DC50" s="5"/>
      <c r="DD50" s="5"/>
      <c r="DE50" s="5"/>
      <c r="DF50" s="5" t="str">
        <f t="shared" si="189"/>
        <v/>
      </c>
      <c r="DG50" s="36" t="str">
        <f t="shared" si="190"/>
        <v/>
      </c>
      <c r="DH50" s="29"/>
      <c r="DJ50" s="14"/>
      <c r="DK50" s="39"/>
      <c r="DL50" s="5" t="str">
        <f t="shared" si="207"/>
        <v/>
      </c>
      <c r="DM50" s="5"/>
      <c r="DN50" s="5"/>
      <c r="DO50" s="5"/>
      <c r="DP50" s="5" t="str">
        <f t="shared" si="208"/>
        <v/>
      </c>
      <c r="DQ50" s="5"/>
      <c r="DR50" s="5"/>
      <c r="DS50" s="5"/>
      <c r="DT50" s="5" t="str">
        <f t="shared" si="191"/>
        <v/>
      </c>
      <c r="DU50" s="36" t="str">
        <f t="shared" si="192"/>
        <v/>
      </c>
      <c r="DV50" s="29"/>
      <c r="DX50" s="14"/>
      <c r="DY50" s="39"/>
      <c r="DZ50" s="5" t="str">
        <f t="shared" si="209"/>
        <v/>
      </c>
      <c r="EA50" s="5"/>
      <c r="EB50" s="5"/>
      <c r="EC50" s="5"/>
      <c r="ED50" s="5" t="str">
        <f t="shared" si="210"/>
        <v/>
      </c>
      <c r="EE50" s="5"/>
      <c r="EF50" s="5"/>
      <c r="EG50" s="5"/>
      <c r="EH50" s="5" t="str">
        <f t="shared" si="193"/>
        <v/>
      </c>
      <c r="EI50" s="36" t="str">
        <f t="shared" si="194"/>
        <v/>
      </c>
      <c r="EJ50" s="29"/>
      <c r="EL50" s="14"/>
      <c r="EM50" s="39"/>
      <c r="EN50" s="5" t="str">
        <f t="shared" si="211"/>
        <v/>
      </c>
      <c r="EO50" s="5"/>
      <c r="EP50" s="5"/>
      <c r="EQ50" s="5"/>
      <c r="ER50" s="5" t="str">
        <f t="shared" si="212"/>
        <v/>
      </c>
      <c r="ES50" s="5"/>
      <c r="ET50" s="5"/>
      <c r="EU50" s="5"/>
      <c r="EV50" s="5" t="str">
        <f t="shared" si="195"/>
        <v/>
      </c>
      <c r="EW50" s="36" t="str">
        <f t="shared" si="196"/>
        <v/>
      </c>
      <c r="EX50" s="29"/>
      <c r="EZ50" s="14"/>
      <c r="FA50" s="39"/>
      <c r="FB50" s="5" t="str">
        <f t="shared" si="213"/>
        <v/>
      </c>
      <c r="FC50" s="5"/>
      <c r="FD50" s="5"/>
      <c r="FE50" s="5"/>
      <c r="FF50" s="5" t="str">
        <f t="shared" si="214"/>
        <v/>
      </c>
      <c r="FG50" s="5"/>
      <c r="FH50" s="5"/>
      <c r="FI50" s="5"/>
      <c r="FJ50" s="5" t="str">
        <f t="shared" si="197"/>
        <v/>
      </c>
      <c r="FK50" s="36" t="str">
        <f t="shared" si="198"/>
        <v/>
      </c>
      <c r="FL50" s="29"/>
      <c r="FN50" s="14"/>
      <c r="FO50" s="39"/>
      <c r="FP50" s="5" t="str">
        <f t="shared" si="215"/>
        <v/>
      </c>
      <c r="FQ50" s="5"/>
      <c r="FR50" s="5"/>
      <c r="FS50" s="5"/>
      <c r="FT50" s="5" t="str">
        <f t="shared" si="216"/>
        <v/>
      </c>
      <c r="FU50" s="5"/>
      <c r="FV50" s="5"/>
      <c r="FW50" s="5"/>
      <c r="FX50" s="5" t="str">
        <f t="shared" si="199"/>
        <v/>
      </c>
      <c r="FY50" s="36" t="str">
        <f t="shared" si="200"/>
        <v/>
      </c>
      <c r="FZ50" s="29"/>
      <c r="GB50" s="14"/>
      <c r="GC50" s="39"/>
      <c r="GD50" s="5" t="str">
        <f t="shared" si="217"/>
        <v/>
      </c>
      <c r="GE50" s="5"/>
      <c r="GF50" s="5"/>
      <c r="GG50" s="5"/>
      <c r="GH50" s="5" t="str">
        <f t="shared" si="218"/>
        <v/>
      </c>
      <c r="GI50" s="5"/>
      <c r="GJ50" s="5"/>
      <c r="GK50" s="5"/>
      <c r="GL50" s="5" t="str">
        <f t="shared" si="201"/>
        <v/>
      </c>
      <c r="GM50" s="36" t="str">
        <f t="shared" si="202"/>
        <v/>
      </c>
      <c r="GN50" s="29"/>
      <c r="GP50" s="14"/>
      <c r="GQ50" s="39"/>
      <c r="GR50" s="5" t="str">
        <f t="shared" si="219"/>
        <v/>
      </c>
      <c r="GS50" s="5"/>
      <c r="GT50" s="5"/>
      <c r="GU50" s="5"/>
      <c r="GV50" s="5"/>
      <c r="GW50" s="5"/>
      <c r="GX50" s="5" t="str">
        <f t="shared" si="220"/>
        <v/>
      </c>
      <c r="GY50" s="5"/>
      <c r="GZ50" s="5"/>
      <c r="HA50" s="5"/>
      <c r="HB50" s="5" t="str">
        <f t="shared" si="221"/>
        <v/>
      </c>
      <c r="HC50" s="36" t="str">
        <f t="shared" si="222"/>
        <v/>
      </c>
      <c r="HD50" s="29"/>
      <c r="HF50" s="14"/>
      <c r="HG50" s="39"/>
      <c r="HH50" s="5" t="str">
        <f t="shared" si="223"/>
        <v/>
      </c>
      <c r="HI50" s="5"/>
      <c r="HJ50" s="29"/>
      <c r="HL50" s="14"/>
      <c r="HM50" s="39"/>
      <c r="HN50" s="5" t="str">
        <f t="shared" si="224"/>
        <v/>
      </c>
      <c r="HO50" s="5"/>
      <c r="HP50" s="29"/>
      <c r="HR50" s="14"/>
      <c r="HS50" s="39"/>
      <c r="HT50" s="5" t="str">
        <f t="shared" si="225"/>
        <v/>
      </c>
      <c r="HU50" s="5"/>
      <c r="HV50" s="29"/>
    </row>
    <row r="51" spans="1:230" ht="15" customHeight="1" thickTop="1" x14ac:dyDescent="0.2">
      <c r="A51" s="49"/>
      <c r="B51" s="26">
        <f>SUM(D51:D54)+SUM(R51:R54)+SUM(AF51:AF54)+SUM(AT51:AT54)+SUM(CJ45,DL45,DZ45,EN45,FB45,FP45,GD45,GR45,HH45,HN45,HT45)+SUM(BH51:BH52)+SUM(BV51:BV52)</f>
        <v>0</v>
      </c>
      <c r="C51" s="4"/>
      <c r="D51" s="4" t="str">
        <f t="shared" si="126"/>
        <v/>
      </c>
      <c r="E51" s="4"/>
      <c r="F51" s="50" t="str">
        <f t="shared" si="127"/>
        <v/>
      </c>
      <c r="G51" s="4"/>
      <c r="H51" s="4" t="str">
        <f t="shared" si="128"/>
        <v/>
      </c>
      <c r="I51" s="4"/>
      <c r="J51" s="2" t="str">
        <f t="shared" si="230"/>
        <v/>
      </c>
      <c r="K51" s="27" t="str">
        <f t="shared" si="130"/>
        <v/>
      </c>
      <c r="L51" s="50" t="str">
        <f t="shared" si="131"/>
        <v/>
      </c>
      <c r="M51" s="52" t="str">
        <f t="shared" si="132"/>
        <v/>
      </c>
      <c r="N51" s="29"/>
      <c r="P51" s="80" t="str">
        <f>IF($A$421="","",$A$421)</f>
        <v/>
      </c>
      <c r="Q51" s="4"/>
      <c r="R51" s="4" t="str">
        <f t="shared" si="231"/>
        <v/>
      </c>
      <c r="S51" s="4"/>
      <c r="T51" s="50" t="str">
        <f t="shared" si="232"/>
        <v/>
      </c>
      <c r="U51" s="4"/>
      <c r="V51" s="4" t="str">
        <f t="shared" si="233"/>
        <v/>
      </c>
      <c r="W51" s="4"/>
      <c r="X51" s="2" t="str">
        <f t="shared" si="234"/>
        <v/>
      </c>
      <c r="Y51" s="27" t="str">
        <f t="shared" si="235"/>
        <v/>
      </c>
      <c r="Z51" s="50" t="str">
        <f t="shared" si="236"/>
        <v/>
      </c>
      <c r="AA51" s="52" t="str">
        <f t="shared" si="237"/>
        <v/>
      </c>
      <c r="AB51" s="29"/>
      <c r="AD51" s="80" t="str">
        <f>IF($A$421="","",$A$421)</f>
        <v/>
      </c>
      <c r="AE51" s="4"/>
      <c r="AF51" s="4" t="str">
        <f t="shared" si="238"/>
        <v/>
      </c>
      <c r="AG51" s="4"/>
      <c r="AH51" s="50" t="str">
        <f t="shared" si="239"/>
        <v/>
      </c>
      <c r="AI51" s="4"/>
      <c r="AJ51" s="4" t="str">
        <f t="shared" si="240"/>
        <v/>
      </c>
      <c r="AK51" s="4"/>
      <c r="AL51" s="31" t="str">
        <f t="shared" si="241"/>
        <v/>
      </c>
      <c r="AM51" s="27" t="str">
        <f t="shared" si="242"/>
        <v/>
      </c>
      <c r="AN51" s="50" t="str">
        <f t="shared" si="243"/>
        <v/>
      </c>
      <c r="AO51" s="52" t="str">
        <f t="shared" si="244"/>
        <v/>
      </c>
      <c r="AP51" s="29"/>
      <c r="AR51" s="80" t="str">
        <f>IF($A$421="","",$A$421)</f>
        <v/>
      </c>
      <c r="AS51" s="4"/>
      <c r="AT51" s="4" t="str">
        <f t="shared" si="245"/>
        <v/>
      </c>
      <c r="AU51" s="4"/>
      <c r="AV51" s="50" t="str">
        <f t="shared" si="246"/>
        <v/>
      </c>
      <c r="AW51" s="4"/>
      <c r="AX51" s="4" t="str">
        <f t="shared" si="247"/>
        <v/>
      </c>
      <c r="AY51" s="4"/>
      <c r="AZ51" s="31" t="str">
        <f t="shared" si="248"/>
        <v/>
      </c>
      <c r="BA51" s="27" t="str">
        <f t="shared" si="249"/>
        <v/>
      </c>
      <c r="BB51" s="50" t="str">
        <f t="shared" si="250"/>
        <v/>
      </c>
      <c r="BC51" s="52" t="str">
        <f t="shared" si="251"/>
        <v/>
      </c>
      <c r="BD51" s="29"/>
      <c r="BE51" s="32"/>
      <c r="BF51" s="33"/>
      <c r="BG51" s="4"/>
      <c r="BH51" s="4" t="str">
        <f t="shared" si="252"/>
        <v/>
      </c>
      <c r="BI51" s="4"/>
      <c r="BJ51" s="50" t="str">
        <f t="shared" si="253"/>
        <v/>
      </c>
      <c r="BK51" s="4"/>
      <c r="BL51" s="4" t="str">
        <f t="shared" si="254"/>
        <v/>
      </c>
      <c r="BM51" s="4"/>
      <c r="BN51" s="2" t="str">
        <f>IF(BG51="","",BN47)</f>
        <v/>
      </c>
      <c r="BO51" s="27" t="str">
        <f>IF(BG51="","",BO47)</f>
        <v/>
      </c>
      <c r="BP51" s="5" t="str">
        <f t="shared" si="257"/>
        <v/>
      </c>
      <c r="BQ51" s="52" t="str">
        <f t="shared" ref="BQ51:BQ58" si="266">IF(BL51="","",BP51/(BH51*100))</f>
        <v/>
      </c>
      <c r="BR51" s="29"/>
      <c r="BT51" s="33"/>
      <c r="BU51" s="4"/>
      <c r="BV51" s="4" t="str">
        <f t="shared" si="259"/>
        <v/>
      </c>
      <c r="BW51" s="4"/>
      <c r="BX51" s="50" t="str">
        <f t="shared" si="260"/>
        <v/>
      </c>
      <c r="BY51" s="4"/>
      <c r="BZ51" s="4" t="str">
        <f>IF(BY51="","",BY47+CA47-BY51)</f>
        <v/>
      </c>
      <c r="CA51" s="4"/>
      <c r="CB51" s="2" t="str">
        <f>IF(BU51="","",CB47)</f>
        <v/>
      </c>
      <c r="CC51" s="27" t="str">
        <f>IF(BU51="","",CC47)</f>
        <v/>
      </c>
      <c r="CD51" s="5" t="str">
        <f>IF(BY51="","",BZ51*CC51)</f>
        <v/>
      </c>
      <c r="CE51" s="52" t="str">
        <f>IF(BZ51="","",CD51/(BV51*100))</f>
        <v/>
      </c>
      <c r="CF51" s="29"/>
      <c r="CH51" s="14"/>
      <c r="CI51" s="39"/>
      <c r="CJ51" s="5"/>
      <c r="CK51" s="5"/>
      <c r="CL51" s="5"/>
      <c r="CM51" s="5"/>
      <c r="CN51" s="5"/>
      <c r="CO51" s="5"/>
      <c r="CP51" s="5"/>
      <c r="CQ51" s="5"/>
      <c r="CR51" s="5"/>
      <c r="CS51" s="36"/>
      <c r="CT51" s="29"/>
      <c r="CV51" s="14"/>
      <c r="CW51" s="39"/>
      <c r="CX51" s="5"/>
      <c r="CY51" s="5"/>
      <c r="CZ51" s="5"/>
      <c r="DA51" s="5"/>
      <c r="DB51" s="5"/>
      <c r="DC51" s="5"/>
      <c r="DD51" s="5"/>
      <c r="DE51" s="5"/>
      <c r="DF51" s="5"/>
      <c r="DG51" s="36"/>
      <c r="DH51" s="29"/>
      <c r="DJ51" s="14"/>
      <c r="DK51" s="39"/>
      <c r="DL51" s="5"/>
      <c r="DM51" s="5"/>
      <c r="DN51" s="5"/>
      <c r="DO51" s="5"/>
      <c r="DP51" s="5"/>
      <c r="DQ51" s="5"/>
      <c r="DR51" s="5"/>
      <c r="DS51" s="5"/>
      <c r="DT51" s="5"/>
      <c r="DU51" s="36"/>
      <c r="DV51" s="29"/>
      <c r="DX51" s="14"/>
      <c r="DY51" s="39"/>
      <c r="DZ51" s="5"/>
      <c r="EA51" s="5"/>
      <c r="EB51" s="5"/>
      <c r="EC51" s="5"/>
      <c r="ED51" s="5"/>
      <c r="EE51" s="5"/>
      <c r="EF51" s="5"/>
      <c r="EG51" s="5"/>
      <c r="EH51" s="5"/>
      <c r="EI51" s="36"/>
      <c r="EJ51" s="29"/>
      <c r="EL51" s="14"/>
      <c r="EM51" s="39"/>
      <c r="EN51" s="5"/>
      <c r="EO51" s="5"/>
      <c r="EP51" s="5"/>
      <c r="EQ51" s="5"/>
      <c r="ER51" s="5"/>
      <c r="ES51" s="5"/>
      <c r="ET51" s="5"/>
      <c r="EU51" s="5"/>
      <c r="EV51" s="5"/>
      <c r="EW51" s="36"/>
      <c r="EX51" s="29"/>
      <c r="EZ51" s="14"/>
      <c r="FA51" s="39"/>
      <c r="FB51" s="5"/>
      <c r="FC51" s="5"/>
      <c r="FD51" s="5"/>
      <c r="FE51" s="5"/>
      <c r="FF51" s="5"/>
      <c r="FG51" s="5"/>
      <c r="FH51" s="5"/>
      <c r="FI51" s="5"/>
      <c r="FJ51" s="5"/>
      <c r="FK51" s="36"/>
      <c r="FL51" s="29"/>
      <c r="FN51" s="14"/>
      <c r="FO51" s="39"/>
      <c r="FP51" s="5"/>
      <c r="FQ51" s="5"/>
      <c r="FR51" s="5"/>
      <c r="FS51" s="5"/>
      <c r="FT51" s="5"/>
      <c r="FU51" s="5"/>
      <c r="FV51" s="5"/>
      <c r="FW51" s="5"/>
      <c r="FX51" s="5"/>
      <c r="FY51" s="36"/>
      <c r="FZ51" s="29"/>
      <c r="GB51" s="14"/>
      <c r="GC51" s="39"/>
      <c r="GD51" s="5"/>
      <c r="GE51" s="5"/>
      <c r="GF51" s="5"/>
      <c r="GG51" s="5"/>
      <c r="GH51" s="5"/>
      <c r="GI51" s="5"/>
      <c r="GJ51" s="5"/>
      <c r="GK51" s="5"/>
      <c r="GL51" s="5"/>
      <c r="GM51" s="36"/>
      <c r="GN51" s="29"/>
      <c r="GP51" s="14"/>
      <c r="GQ51" s="39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36"/>
      <c r="HD51" s="29"/>
      <c r="HF51" s="14"/>
      <c r="HG51" s="39"/>
      <c r="HH51" s="5"/>
      <c r="HI51" s="5"/>
      <c r="HJ51" s="29"/>
      <c r="HL51" s="14"/>
      <c r="HM51" s="39"/>
      <c r="HN51" s="5"/>
      <c r="HO51" s="5"/>
      <c r="HP51" s="29"/>
      <c r="HR51" s="14"/>
      <c r="HS51" s="39"/>
      <c r="HT51" s="5"/>
      <c r="HU51" s="5"/>
      <c r="HV51" s="29"/>
    </row>
    <row r="52" spans="1:230" ht="15" customHeight="1" x14ac:dyDescent="0.2">
      <c r="A52" s="54"/>
      <c r="B52" s="37"/>
      <c r="C52" s="5"/>
      <c r="D52" s="5" t="str">
        <f t="shared" si="126"/>
        <v/>
      </c>
      <c r="E52" s="5"/>
      <c r="F52" s="5" t="str">
        <f t="shared" si="127"/>
        <v/>
      </c>
      <c r="G52" s="5"/>
      <c r="H52" s="5" t="str">
        <f t="shared" si="128"/>
        <v/>
      </c>
      <c r="I52" s="5"/>
      <c r="J52" s="3" t="str">
        <f t="shared" si="230"/>
        <v/>
      </c>
      <c r="K52" s="39" t="str">
        <f t="shared" si="130"/>
        <v/>
      </c>
      <c r="L52" s="5" t="str">
        <f t="shared" si="131"/>
        <v/>
      </c>
      <c r="M52" s="36" t="str">
        <f t="shared" si="132"/>
        <v/>
      </c>
      <c r="N52" s="29"/>
      <c r="P52" s="25"/>
      <c r="Q52" s="5"/>
      <c r="R52" s="5" t="str">
        <f t="shared" si="231"/>
        <v/>
      </c>
      <c r="S52" s="5"/>
      <c r="T52" s="5" t="str">
        <f t="shared" si="232"/>
        <v/>
      </c>
      <c r="U52" s="5"/>
      <c r="V52" s="5" t="str">
        <f t="shared" si="233"/>
        <v/>
      </c>
      <c r="W52" s="5"/>
      <c r="X52" s="3" t="str">
        <f t="shared" si="234"/>
        <v/>
      </c>
      <c r="Y52" s="39" t="str">
        <f t="shared" si="235"/>
        <v/>
      </c>
      <c r="Z52" s="5" t="str">
        <f t="shared" si="236"/>
        <v/>
      </c>
      <c r="AA52" s="36" t="str">
        <f t="shared" si="237"/>
        <v/>
      </c>
      <c r="AB52" s="29"/>
      <c r="AD52" s="25"/>
      <c r="AE52" s="5"/>
      <c r="AF52" s="5" t="str">
        <f t="shared" si="238"/>
        <v/>
      </c>
      <c r="AG52" s="5"/>
      <c r="AH52" s="5" t="str">
        <f t="shared" si="239"/>
        <v/>
      </c>
      <c r="AI52" s="5"/>
      <c r="AJ52" s="5" t="str">
        <f t="shared" si="240"/>
        <v/>
      </c>
      <c r="AK52" s="5"/>
      <c r="AL52" s="38" t="str">
        <f t="shared" si="241"/>
        <v/>
      </c>
      <c r="AM52" s="39" t="str">
        <f t="shared" si="242"/>
        <v/>
      </c>
      <c r="AN52" s="5" t="str">
        <f t="shared" si="243"/>
        <v/>
      </c>
      <c r="AO52" s="36" t="str">
        <f t="shared" si="244"/>
        <v/>
      </c>
      <c r="AP52" s="29"/>
      <c r="AR52" s="25"/>
      <c r="AS52" s="5"/>
      <c r="AT52" s="5" t="str">
        <f t="shared" si="245"/>
        <v/>
      </c>
      <c r="AU52" s="5"/>
      <c r="AV52" s="5" t="str">
        <f t="shared" si="246"/>
        <v/>
      </c>
      <c r="AW52" s="5"/>
      <c r="AX52" s="5" t="str">
        <f t="shared" si="247"/>
        <v/>
      </c>
      <c r="AY52" s="5"/>
      <c r="AZ52" s="38" t="str">
        <f t="shared" si="248"/>
        <v/>
      </c>
      <c r="BA52" s="39" t="str">
        <f t="shared" si="249"/>
        <v/>
      </c>
      <c r="BB52" s="5" t="str">
        <f t="shared" si="250"/>
        <v/>
      </c>
      <c r="BC52" s="36" t="str">
        <f t="shared" si="251"/>
        <v/>
      </c>
      <c r="BD52" s="29"/>
      <c r="BE52" s="32"/>
      <c r="BF52" s="25"/>
      <c r="BG52" s="5"/>
      <c r="BH52" s="5" t="str">
        <f t="shared" si="252"/>
        <v/>
      </c>
      <c r="BI52" s="5"/>
      <c r="BJ52" s="5" t="str">
        <f t="shared" si="253"/>
        <v/>
      </c>
      <c r="BK52" s="5"/>
      <c r="BL52" s="5" t="str">
        <f t="shared" si="254"/>
        <v/>
      </c>
      <c r="BM52" s="5"/>
      <c r="BN52" s="3" t="str">
        <f>IF(BG51="","",BN48)</f>
        <v/>
      </c>
      <c r="BO52" s="39" t="str">
        <f>IF(BG51="","",BO48)</f>
        <v/>
      </c>
      <c r="BP52" s="4" t="str">
        <f t="shared" si="257"/>
        <v/>
      </c>
      <c r="BQ52" s="36" t="str">
        <f t="shared" si="266"/>
        <v/>
      </c>
      <c r="BR52" s="29"/>
      <c r="BT52" s="25"/>
      <c r="BU52" s="5"/>
      <c r="BV52" s="5" t="str">
        <f t="shared" si="259"/>
        <v/>
      </c>
      <c r="BW52" s="5"/>
      <c r="BX52" s="5" t="str">
        <f t="shared" si="260"/>
        <v/>
      </c>
      <c r="BY52" s="5"/>
      <c r="BZ52" s="5" t="str">
        <f>IF(BY52="","",BY48+CA48-BY52)</f>
        <v/>
      </c>
      <c r="CA52" s="4"/>
      <c r="CB52" s="3" t="str">
        <f>IF(BU52="","",CB48)</f>
        <v/>
      </c>
      <c r="CC52" s="39" t="str">
        <f>IF(BU51="","",CC48)</f>
        <v/>
      </c>
      <c r="CD52" s="4" t="str">
        <f>IF(BY52="","",BZ52*CC52)</f>
        <v/>
      </c>
      <c r="CE52" s="36" t="str">
        <f>IF(BZ52="","",CD52/(BV52*100))</f>
        <v/>
      </c>
      <c r="CF52" s="29"/>
      <c r="CH52" s="14"/>
      <c r="CI52" s="39"/>
      <c r="CJ52" s="5" t="str">
        <f>IF(CI52="","",CI52-#REF!)</f>
        <v/>
      </c>
      <c r="CK52" s="5"/>
      <c r="CL52" s="5"/>
      <c r="CM52" s="5"/>
      <c r="CN52" s="5" t="str">
        <f>IF(CM52="","",#REF!+#REF!-CM52)</f>
        <v/>
      </c>
      <c r="CO52" s="5"/>
      <c r="CP52" s="5"/>
      <c r="CQ52" s="5"/>
      <c r="CR52" s="5" t="str">
        <f>IF(CQ52="","",CN52*CQ52)</f>
        <v/>
      </c>
      <c r="CS52" s="36" t="str">
        <f>IF(CR52="","",CR52/(CJ52*100))</f>
        <v/>
      </c>
      <c r="CT52" s="29"/>
      <c r="CV52" s="14"/>
      <c r="CW52" s="39"/>
      <c r="CX52" s="5" t="str">
        <f>IF(CW52="","",CW52-#REF!)</f>
        <v/>
      </c>
      <c r="CY52" s="5"/>
      <c r="CZ52" s="5"/>
      <c r="DA52" s="5"/>
      <c r="DB52" s="5" t="str">
        <f>IF(DA52="","",#REF!+#REF!-DA52)</f>
        <v/>
      </c>
      <c r="DC52" s="5"/>
      <c r="DD52" s="5"/>
      <c r="DE52" s="5"/>
      <c r="DF52" s="5" t="str">
        <f>IF(DE52="","",DB52*DE52)</f>
        <v/>
      </c>
      <c r="DG52" s="36" t="str">
        <f>IF(DF52="","",DF52/(CX52*100))</f>
        <v/>
      </c>
      <c r="DH52" s="29"/>
      <c r="DJ52" s="14"/>
      <c r="DK52" s="39"/>
      <c r="DL52" s="5" t="str">
        <f>IF(DK52="","",DK52-#REF!)</f>
        <v/>
      </c>
      <c r="DM52" s="5"/>
      <c r="DN52" s="5"/>
      <c r="DO52" s="5"/>
      <c r="DP52" s="5" t="str">
        <f>IF(DO52="","",#REF!+#REF!-DO52)</f>
        <v/>
      </c>
      <c r="DQ52" s="5"/>
      <c r="DR52" s="5"/>
      <c r="DS52" s="5"/>
      <c r="DT52" s="5" t="str">
        <f>IF(DS52="","",DP52*DS52)</f>
        <v/>
      </c>
      <c r="DU52" s="36" t="str">
        <f>IF(DT52="","",DT52/(DL52*100))</f>
        <v/>
      </c>
      <c r="DV52" s="29"/>
      <c r="DX52" s="14"/>
      <c r="DY52" s="39"/>
      <c r="DZ52" s="5" t="str">
        <f>IF(DY52="","",DY52-#REF!)</f>
        <v/>
      </c>
      <c r="EA52" s="5"/>
      <c r="EB52" s="5"/>
      <c r="EC52" s="5"/>
      <c r="ED52" s="5" t="str">
        <f>IF(EC52="","",#REF!+#REF!-EC52)</f>
        <v/>
      </c>
      <c r="EE52" s="5"/>
      <c r="EF52" s="5"/>
      <c r="EG52" s="5"/>
      <c r="EH52" s="5" t="str">
        <f>IF(EG52="","",ED52*EG52)</f>
        <v/>
      </c>
      <c r="EI52" s="36" t="str">
        <f>IF(EH52="","",EH52/(DZ52*100))</f>
        <v/>
      </c>
      <c r="EJ52" s="29"/>
      <c r="EL52" s="14"/>
      <c r="EM52" s="39"/>
      <c r="EN52" s="5" t="str">
        <f>IF(EM52="","",EM52-#REF!)</f>
        <v/>
      </c>
      <c r="EO52" s="5"/>
      <c r="EP52" s="5"/>
      <c r="EQ52" s="5"/>
      <c r="ER52" s="5" t="str">
        <f>IF(EQ52="","",#REF!+#REF!-EQ52)</f>
        <v/>
      </c>
      <c r="ES52" s="5"/>
      <c r="ET52" s="5"/>
      <c r="EU52" s="5"/>
      <c r="EV52" s="5" t="str">
        <f>IF(EU52="","",ER52*EU52)</f>
        <v/>
      </c>
      <c r="EW52" s="36" t="str">
        <f>IF(EV52="","",EV52/(EN52*100))</f>
        <v/>
      </c>
      <c r="EX52" s="29"/>
      <c r="EZ52" s="14"/>
      <c r="FA52" s="39"/>
      <c r="FB52" s="5" t="str">
        <f>IF(FA52="","",FA52-#REF!)</f>
        <v/>
      </c>
      <c r="FC52" s="5"/>
      <c r="FD52" s="5"/>
      <c r="FE52" s="5"/>
      <c r="FF52" s="5" t="str">
        <f>IF(FE52="","",#REF!+#REF!-FE52)</f>
        <v/>
      </c>
      <c r="FG52" s="5"/>
      <c r="FH52" s="5"/>
      <c r="FI52" s="5"/>
      <c r="FJ52" s="5" t="str">
        <f>IF(FI52="","",FF52*FI52)</f>
        <v/>
      </c>
      <c r="FK52" s="36" t="str">
        <f>IF(FJ52="","",FJ52/(FB52*100))</f>
        <v/>
      </c>
      <c r="FL52" s="29"/>
      <c r="FN52" s="14"/>
      <c r="FO52" s="39"/>
      <c r="FP52" s="5" t="str">
        <f>IF(FO52="","",FO52-#REF!)</f>
        <v/>
      </c>
      <c r="FQ52" s="5"/>
      <c r="FR52" s="5"/>
      <c r="FS52" s="5"/>
      <c r="FT52" s="5" t="str">
        <f>IF(FS52="","",#REF!+#REF!-FS52)</f>
        <v/>
      </c>
      <c r="FU52" s="5"/>
      <c r="FV52" s="5"/>
      <c r="FW52" s="5"/>
      <c r="FX52" s="5" t="str">
        <f>IF(FW52="","",FT52*FW52)</f>
        <v/>
      </c>
      <c r="FY52" s="36" t="str">
        <f>IF(FX52="","",FX52/(FP52*100))</f>
        <v/>
      </c>
      <c r="FZ52" s="29"/>
      <c r="GB52" s="14"/>
      <c r="GC52" s="39"/>
      <c r="GD52" s="5" t="str">
        <f>IF(GC52="","",GC52-#REF!)</f>
        <v/>
      </c>
      <c r="GE52" s="5"/>
      <c r="GF52" s="5"/>
      <c r="GG52" s="5"/>
      <c r="GH52" s="5" t="str">
        <f>IF(GG52="","",#REF!+#REF!-GG52)</f>
        <v/>
      </c>
      <c r="GI52" s="5"/>
      <c r="GJ52" s="5"/>
      <c r="GK52" s="5"/>
      <c r="GL52" s="5" t="str">
        <f>IF(GK52="","",GH52*GK52)</f>
        <v/>
      </c>
      <c r="GM52" s="36" t="str">
        <f>IF(GL52="","",GL52/(GD52*100))</f>
        <v/>
      </c>
      <c r="GN52" s="29"/>
      <c r="GP52" s="14"/>
      <c r="GQ52" s="39"/>
      <c r="GR52" s="5" t="str">
        <f>IF(GQ52="","",GQ52-#REF!)</f>
        <v/>
      </c>
      <c r="GS52" s="5"/>
      <c r="GT52" s="5"/>
      <c r="GU52" s="5"/>
      <c r="GV52" s="5"/>
      <c r="GW52" s="5"/>
      <c r="GX52" s="5" t="str">
        <f>IF(GW52="","",#REF!+#REF!-GW52)</f>
        <v/>
      </c>
      <c r="GY52" s="5"/>
      <c r="GZ52" s="5"/>
      <c r="HA52" s="5"/>
      <c r="HB52" s="5" t="str">
        <f>IF(HA52="","",GX52*HA52)</f>
        <v/>
      </c>
      <c r="HC52" s="36" t="str">
        <f>IF(HB52="","",HB52/(GR52*100))</f>
        <v/>
      </c>
      <c r="HD52" s="29"/>
      <c r="HF52" s="14"/>
      <c r="HG52" s="39"/>
      <c r="HH52" s="5" t="str">
        <f>IF(HG52="","",HG52-#REF!)</f>
        <v/>
      </c>
      <c r="HI52" s="5"/>
      <c r="HJ52" s="29"/>
      <c r="HL52" s="14"/>
      <c r="HM52" s="39"/>
      <c r="HN52" s="5" t="str">
        <f>IF(HM52="","",HM52-#REF!)</f>
        <v/>
      </c>
      <c r="HO52" s="5"/>
      <c r="HP52" s="29"/>
      <c r="HR52" s="14"/>
      <c r="HS52" s="39"/>
      <c r="HT52" s="5" t="str">
        <f>IF(HS52="","",HS52-#REF!)</f>
        <v/>
      </c>
      <c r="HU52" s="5"/>
      <c r="HV52" s="29"/>
    </row>
    <row r="53" spans="1:230" ht="15" customHeight="1" x14ac:dyDescent="0.2">
      <c r="A53" s="54"/>
      <c r="B53" s="37"/>
      <c r="C53" s="5"/>
      <c r="D53" s="5" t="str">
        <f t="shared" si="126"/>
        <v/>
      </c>
      <c r="E53" s="5"/>
      <c r="F53" s="5" t="str">
        <f t="shared" si="127"/>
        <v/>
      </c>
      <c r="G53" s="5"/>
      <c r="H53" s="5" t="str">
        <f t="shared" si="128"/>
        <v/>
      </c>
      <c r="I53" s="5"/>
      <c r="J53" s="3" t="str">
        <f t="shared" si="230"/>
        <v/>
      </c>
      <c r="K53" s="5" t="str">
        <f t="shared" si="130"/>
        <v/>
      </c>
      <c r="L53" s="5" t="str">
        <f t="shared" si="131"/>
        <v/>
      </c>
      <c r="M53" s="36" t="str">
        <f t="shared" si="132"/>
        <v/>
      </c>
      <c r="N53" s="29"/>
      <c r="P53" s="25"/>
      <c r="Q53" s="5"/>
      <c r="R53" s="5" t="str">
        <f t="shared" si="231"/>
        <v/>
      </c>
      <c r="S53" s="5"/>
      <c r="T53" s="5" t="str">
        <f t="shared" si="232"/>
        <v/>
      </c>
      <c r="U53" s="5"/>
      <c r="V53" s="5" t="str">
        <f t="shared" si="233"/>
        <v/>
      </c>
      <c r="W53" s="5"/>
      <c r="X53" s="3" t="str">
        <f t="shared" si="234"/>
        <v/>
      </c>
      <c r="Y53" s="5" t="str">
        <f t="shared" si="235"/>
        <v/>
      </c>
      <c r="Z53" s="5" t="str">
        <f t="shared" si="236"/>
        <v/>
      </c>
      <c r="AA53" s="36" t="str">
        <f t="shared" si="237"/>
        <v/>
      </c>
      <c r="AB53" s="29"/>
      <c r="AD53" s="25"/>
      <c r="AE53" s="5"/>
      <c r="AF53" s="5" t="str">
        <f t="shared" si="238"/>
        <v/>
      </c>
      <c r="AG53" s="5"/>
      <c r="AH53" s="5" t="str">
        <f t="shared" si="239"/>
        <v/>
      </c>
      <c r="AI53" s="5"/>
      <c r="AJ53" s="5" t="str">
        <f t="shared" si="240"/>
        <v/>
      </c>
      <c r="AK53" s="5"/>
      <c r="AL53" s="38" t="str">
        <f t="shared" si="241"/>
        <v/>
      </c>
      <c r="AM53" s="5" t="str">
        <f t="shared" si="242"/>
        <v/>
      </c>
      <c r="AN53" s="5" t="str">
        <f t="shared" si="243"/>
        <v/>
      </c>
      <c r="AO53" s="36" t="str">
        <f t="shared" si="244"/>
        <v/>
      </c>
      <c r="AP53" s="29"/>
      <c r="AR53" s="25"/>
      <c r="AS53" s="5"/>
      <c r="AT53" s="5" t="str">
        <f t="shared" si="245"/>
        <v/>
      </c>
      <c r="AU53" s="5"/>
      <c r="AV53" s="5" t="str">
        <f t="shared" si="246"/>
        <v/>
      </c>
      <c r="AW53" s="5"/>
      <c r="AX53" s="5" t="str">
        <f t="shared" si="247"/>
        <v/>
      </c>
      <c r="AY53" s="5"/>
      <c r="AZ53" s="38" t="str">
        <f t="shared" si="248"/>
        <v/>
      </c>
      <c r="BA53" s="5" t="str">
        <f t="shared" si="249"/>
        <v/>
      </c>
      <c r="BB53" s="5" t="str">
        <f t="shared" si="250"/>
        <v/>
      </c>
      <c r="BC53" s="36" t="str">
        <f t="shared" si="251"/>
        <v/>
      </c>
      <c r="BD53" s="29"/>
      <c r="BE53" s="32"/>
      <c r="BF53" s="25"/>
      <c r="BG53" s="5"/>
      <c r="BH53" s="5" t="str">
        <f t="shared" si="252"/>
        <v/>
      </c>
      <c r="BI53" s="5"/>
      <c r="BJ53" s="5" t="str">
        <f t="shared" si="253"/>
        <v/>
      </c>
      <c r="BK53" s="5"/>
      <c r="BL53" s="5" t="str">
        <f t="shared" si="254"/>
        <v/>
      </c>
      <c r="BM53" s="5"/>
      <c r="BN53" s="3" t="str">
        <f>IF(BG51="","",BN49)</f>
        <v/>
      </c>
      <c r="BO53" s="39" t="str">
        <f>IF(BG51="","",BO49)</f>
        <v/>
      </c>
      <c r="BP53" s="5" t="str">
        <f t="shared" si="257"/>
        <v/>
      </c>
      <c r="BQ53" s="36" t="str">
        <f t="shared" si="266"/>
        <v/>
      </c>
      <c r="BR53" s="29"/>
      <c r="BT53" s="25"/>
      <c r="BU53" s="5"/>
      <c r="BV53" s="5" t="str">
        <f t="shared" si="259"/>
        <v/>
      </c>
      <c r="BW53" s="5"/>
      <c r="BX53" s="5" t="str">
        <f t="shared" si="260"/>
        <v/>
      </c>
      <c r="BY53" s="5"/>
      <c r="BZ53" s="5"/>
      <c r="CA53" s="57"/>
      <c r="CB53" s="3"/>
      <c r="CC53" s="39"/>
      <c r="CD53" s="5"/>
      <c r="CE53" s="36"/>
      <c r="CF53" s="29"/>
      <c r="CH53" s="14"/>
      <c r="CI53" s="39"/>
      <c r="CJ53" s="5" t="str">
        <f>IF(CI53="","",CI53-CI52)</f>
        <v/>
      </c>
      <c r="CK53" s="5"/>
      <c r="CL53" s="5"/>
      <c r="CM53" s="5"/>
      <c r="CN53" s="5" t="str">
        <f>IF(CM53="","",CM52+CO52-CM53)</f>
        <v/>
      </c>
      <c r="CO53" s="5"/>
      <c r="CP53" s="5"/>
      <c r="CQ53" s="5"/>
      <c r="CR53" s="5" t="str">
        <f>IF(CQ53="","",CN53*CQ53)</f>
        <v/>
      </c>
      <c r="CS53" s="36" t="str">
        <f>IF(CR53="","",CR53/(CJ53*100))</f>
        <v/>
      </c>
      <c r="CT53" s="29"/>
      <c r="CV53" s="14"/>
      <c r="CW53" s="39"/>
      <c r="CX53" s="5" t="str">
        <f>IF(CW53="","",CW53-CW52)</f>
        <v/>
      </c>
      <c r="CY53" s="5"/>
      <c r="CZ53" s="5"/>
      <c r="DA53" s="5"/>
      <c r="DB53" s="5" t="str">
        <f>IF(DA53="","",DA52+DC52-DA53)</f>
        <v/>
      </c>
      <c r="DC53" s="5"/>
      <c r="DD53" s="5"/>
      <c r="DE53" s="5"/>
      <c r="DF53" s="5" t="str">
        <f>IF(DE53="","",DB53*DE53)</f>
        <v/>
      </c>
      <c r="DG53" s="36" t="str">
        <f>IF(DF53="","",DF53/(CX53*100))</f>
        <v/>
      </c>
      <c r="DH53" s="29"/>
      <c r="DJ53" s="14"/>
      <c r="DK53" s="39"/>
      <c r="DL53" s="5" t="str">
        <f>IF(DK53="","",DK53-DK52)</f>
        <v/>
      </c>
      <c r="DM53" s="5"/>
      <c r="DN53" s="5"/>
      <c r="DO53" s="5"/>
      <c r="DP53" s="5" t="str">
        <f>IF(DO53="","",DO52+DQ52-DO53)</f>
        <v/>
      </c>
      <c r="DQ53" s="5"/>
      <c r="DR53" s="5"/>
      <c r="DS53" s="5"/>
      <c r="DT53" s="5" t="str">
        <f>IF(DS53="","",DP53*DS53)</f>
        <v/>
      </c>
      <c r="DU53" s="36" t="str">
        <f>IF(DT53="","",DT53/(DL53*100))</f>
        <v/>
      </c>
      <c r="DV53" s="29"/>
      <c r="DX53" s="14"/>
      <c r="DY53" s="39"/>
      <c r="DZ53" s="5" t="str">
        <f>IF(DY53="","",DY53-DY52)</f>
        <v/>
      </c>
      <c r="EA53" s="5"/>
      <c r="EB53" s="5"/>
      <c r="EC53" s="5"/>
      <c r="ED53" s="5" t="str">
        <f>IF(EC53="","",EC52+EE52-EC53)</f>
        <v/>
      </c>
      <c r="EE53" s="5"/>
      <c r="EF53" s="5"/>
      <c r="EG53" s="5"/>
      <c r="EH53" s="5" t="str">
        <f>IF(EG53="","",ED53*EG53)</f>
        <v/>
      </c>
      <c r="EI53" s="36" t="str">
        <f>IF(EH53="","",EH53/(DZ53*100))</f>
        <v/>
      </c>
      <c r="EJ53" s="29"/>
      <c r="EL53" s="14"/>
      <c r="EM53" s="39"/>
      <c r="EN53" s="5" t="str">
        <f>IF(EM53="","",EM53-EM52)</f>
        <v/>
      </c>
      <c r="EO53" s="5"/>
      <c r="EP53" s="5"/>
      <c r="EQ53" s="5"/>
      <c r="ER53" s="5" t="str">
        <f>IF(EQ53="","",EQ52+ES52-EQ53)</f>
        <v/>
      </c>
      <c r="ES53" s="5"/>
      <c r="ET53" s="5"/>
      <c r="EU53" s="5"/>
      <c r="EV53" s="5" t="str">
        <f>IF(EU53="","",ER53*EU53)</f>
        <v/>
      </c>
      <c r="EW53" s="36" t="str">
        <f>IF(EV53="","",EV53/(EN53*100))</f>
        <v/>
      </c>
      <c r="EX53" s="29"/>
      <c r="EZ53" s="14"/>
      <c r="FA53" s="39"/>
      <c r="FB53" s="5" t="str">
        <f>IF(FA53="","",FA53-FA52)</f>
        <v/>
      </c>
      <c r="FC53" s="5"/>
      <c r="FD53" s="5"/>
      <c r="FE53" s="5"/>
      <c r="FF53" s="5" t="str">
        <f>IF(FE53="","",FE52+FG52-FE53)</f>
        <v/>
      </c>
      <c r="FG53" s="5"/>
      <c r="FH53" s="5"/>
      <c r="FI53" s="5"/>
      <c r="FJ53" s="5" t="str">
        <f>IF(FI53="","",FF53*FI53)</f>
        <v/>
      </c>
      <c r="FK53" s="36" t="str">
        <f>IF(FJ53="","",FJ53/(FB53*100))</f>
        <v/>
      </c>
      <c r="FL53" s="29"/>
      <c r="FN53" s="14"/>
      <c r="FO53" s="39"/>
      <c r="FP53" s="5" t="str">
        <f>IF(FO53="","",FO53-FO52)</f>
        <v/>
      </c>
      <c r="FQ53" s="5"/>
      <c r="FR53" s="5"/>
      <c r="FS53" s="5"/>
      <c r="FT53" s="5" t="str">
        <f>IF(FS53="","",FS52+FU52-FS53)</f>
        <v/>
      </c>
      <c r="FU53" s="5"/>
      <c r="FV53" s="5"/>
      <c r="FW53" s="5"/>
      <c r="FX53" s="5" t="str">
        <f>IF(FW53="","",FT53*FW53)</f>
        <v/>
      </c>
      <c r="FY53" s="36" t="str">
        <f>IF(FX53="","",FX53/(FP53*100))</f>
        <v/>
      </c>
      <c r="FZ53" s="29"/>
      <c r="GB53" s="14"/>
      <c r="GC53" s="39"/>
      <c r="GD53" s="5" t="str">
        <f>IF(GC53="","",GC53-GC52)</f>
        <v/>
      </c>
      <c r="GE53" s="5"/>
      <c r="GF53" s="5"/>
      <c r="GG53" s="5"/>
      <c r="GH53" s="5" t="str">
        <f>IF(GG53="","",GG52+GI52-GG53)</f>
        <v/>
      </c>
      <c r="GI53" s="5"/>
      <c r="GJ53" s="5"/>
      <c r="GK53" s="5"/>
      <c r="GL53" s="5" t="str">
        <f>IF(GK53="","",GH53*GK53)</f>
        <v/>
      </c>
      <c r="GM53" s="36" t="str">
        <f>IF(GL53="","",GL53/(GD53*100))</f>
        <v/>
      </c>
      <c r="GN53" s="29"/>
      <c r="GP53" s="14"/>
      <c r="GQ53" s="39"/>
      <c r="GR53" s="5" t="str">
        <f>IF(GQ53="","",GQ53-GQ52)</f>
        <v/>
      </c>
      <c r="GS53" s="5"/>
      <c r="GT53" s="5"/>
      <c r="GU53" s="5"/>
      <c r="GV53" s="5"/>
      <c r="GW53" s="5"/>
      <c r="GX53" s="5" t="str">
        <f>IF(GW53="","",GW52+GY52-GW53)</f>
        <v/>
      </c>
      <c r="GY53" s="5"/>
      <c r="GZ53" s="5"/>
      <c r="HA53" s="5"/>
      <c r="HB53" s="5" t="str">
        <f>IF(HA53="","",GX53*HA53)</f>
        <v/>
      </c>
      <c r="HC53" s="36" t="str">
        <f>IF(HB53="","",HB53/(GR53*100))</f>
        <v/>
      </c>
      <c r="HD53" s="29"/>
      <c r="HF53" s="14"/>
      <c r="HG53" s="39"/>
      <c r="HH53" s="5" t="str">
        <f>IF(HG53="","",HG53-HG52)</f>
        <v/>
      </c>
      <c r="HI53" s="5"/>
      <c r="HJ53" s="29"/>
      <c r="HL53" s="14"/>
      <c r="HM53" s="39"/>
      <c r="HN53" s="5" t="str">
        <f>IF(HM53="","",HM53-HM52)</f>
        <v/>
      </c>
      <c r="HO53" s="5"/>
      <c r="HP53" s="29"/>
      <c r="HR53" s="14"/>
      <c r="HS53" s="39"/>
      <c r="HT53" s="5" t="str">
        <f>IF(HS53="","",HS53-HS52)</f>
        <v/>
      </c>
      <c r="HU53" s="5"/>
      <c r="HV53" s="29"/>
    </row>
    <row r="54" spans="1:230" ht="15" customHeight="1" thickBot="1" x14ac:dyDescent="0.25">
      <c r="A54" s="60"/>
      <c r="B54" s="73"/>
      <c r="C54" s="44"/>
      <c r="D54" s="44" t="str">
        <f t="shared" si="126"/>
        <v/>
      </c>
      <c r="E54" s="44"/>
      <c r="F54" s="44" t="str">
        <f t="shared" si="127"/>
        <v/>
      </c>
      <c r="G54" s="44"/>
      <c r="H54" s="44"/>
      <c r="I54" s="44"/>
      <c r="J54" s="45" t="str">
        <f t="shared" si="230"/>
        <v/>
      </c>
      <c r="K54" s="61" t="str">
        <f t="shared" si="130"/>
        <v/>
      </c>
      <c r="L54" s="44" t="str">
        <f t="shared" si="131"/>
        <v/>
      </c>
      <c r="M54" s="46" t="str">
        <f t="shared" si="132"/>
        <v/>
      </c>
      <c r="N54" s="29"/>
      <c r="P54" s="41"/>
      <c r="Q54" s="44"/>
      <c r="R54" s="44" t="str">
        <f t="shared" si="231"/>
        <v/>
      </c>
      <c r="S54" s="44"/>
      <c r="T54" s="44" t="str">
        <f t="shared" si="232"/>
        <v/>
      </c>
      <c r="U54" s="44"/>
      <c r="V54" s="44" t="str">
        <f t="shared" si="233"/>
        <v/>
      </c>
      <c r="W54" s="44"/>
      <c r="X54" s="45" t="str">
        <f t="shared" si="234"/>
        <v/>
      </c>
      <c r="Y54" s="61" t="str">
        <f t="shared" si="235"/>
        <v/>
      </c>
      <c r="Z54" s="44" t="str">
        <f t="shared" si="236"/>
        <v/>
      </c>
      <c r="AA54" s="46" t="str">
        <f t="shared" si="237"/>
        <v/>
      </c>
      <c r="AB54" s="29"/>
      <c r="AD54" s="41"/>
      <c r="AE54" s="44"/>
      <c r="AF54" s="44" t="str">
        <f t="shared" si="238"/>
        <v/>
      </c>
      <c r="AG54" s="44"/>
      <c r="AH54" s="44" t="str">
        <f t="shared" si="239"/>
        <v/>
      </c>
      <c r="AI54" s="44"/>
      <c r="AJ54" s="44" t="str">
        <f t="shared" si="240"/>
        <v/>
      </c>
      <c r="AK54" s="44"/>
      <c r="AL54" s="47" t="str">
        <f t="shared" si="241"/>
        <v/>
      </c>
      <c r="AM54" s="61" t="str">
        <f t="shared" si="242"/>
        <v/>
      </c>
      <c r="AN54" s="44" t="str">
        <f t="shared" si="243"/>
        <v/>
      </c>
      <c r="AO54" s="46" t="str">
        <f t="shared" si="244"/>
        <v/>
      </c>
      <c r="AP54" s="29"/>
      <c r="AR54" s="41"/>
      <c r="AS54" s="44"/>
      <c r="AT54" s="44" t="str">
        <f t="shared" si="245"/>
        <v/>
      </c>
      <c r="AU54" s="44"/>
      <c r="AV54" s="44" t="str">
        <f t="shared" si="246"/>
        <v/>
      </c>
      <c r="AW54" s="44"/>
      <c r="AX54" s="44" t="str">
        <f t="shared" si="247"/>
        <v/>
      </c>
      <c r="AY54" s="44"/>
      <c r="AZ54" s="47" t="str">
        <f t="shared" si="248"/>
        <v/>
      </c>
      <c r="BA54" s="61" t="str">
        <f t="shared" si="249"/>
        <v/>
      </c>
      <c r="BB54" s="44" t="str">
        <f t="shared" si="250"/>
        <v/>
      </c>
      <c r="BC54" s="46" t="str">
        <f t="shared" si="251"/>
        <v/>
      </c>
      <c r="BD54" s="29"/>
      <c r="BE54" s="32"/>
      <c r="BF54" s="41"/>
      <c r="BG54" s="44"/>
      <c r="BH54" s="44" t="str">
        <f t="shared" si="252"/>
        <v/>
      </c>
      <c r="BI54" s="44"/>
      <c r="BJ54" s="44" t="str">
        <f t="shared" si="253"/>
        <v/>
      </c>
      <c r="BK54" s="44"/>
      <c r="BL54" s="44" t="str">
        <f t="shared" si="254"/>
        <v/>
      </c>
      <c r="BM54" s="44"/>
      <c r="BN54" s="45" t="str">
        <f>IF(BG51="","",BN50)</f>
        <v/>
      </c>
      <c r="BO54" s="61" t="str">
        <f>IF(BG51="","",BO50)</f>
        <v/>
      </c>
      <c r="BP54" s="44" t="str">
        <f t="shared" si="257"/>
        <v/>
      </c>
      <c r="BQ54" s="46" t="str">
        <f t="shared" si="266"/>
        <v/>
      </c>
      <c r="BR54" s="29"/>
      <c r="BT54" s="41"/>
      <c r="BU54" s="44"/>
      <c r="BV54" s="44" t="str">
        <f t="shared" si="259"/>
        <v/>
      </c>
      <c r="BW54" s="44"/>
      <c r="BX54" s="44" t="str">
        <f t="shared" si="260"/>
        <v/>
      </c>
      <c r="BY54" s="44"/>
      <c r="BZ54" s="44"/>
      <c r="CA54" s="44"/>
      <c r="CB54" s="45"/>
      <c r="CC54" s="61"/>
      <c r="CD54" s="44"/>
      <c r="CE54" s="46"/>
      <c r="CF54" s="29"/>
      <c r="CH54" s="14"/>
      <c r="CI54" s="39"/>
      <c r="CJ54" s="5" t="str">
        <f>IF(CI54="","",CI54-CI53)</f>
        <v/>
      </c>
      <c r="CK54" s="5"/>
      <c r="CL54" s="5"/>
      <c r="CM54" s="5"/>
      <c r="CN54" s="5" t="str">
        <f>IF(CM54="","",CM53+CO53-CM54)</f>
        <v/>
      </c>
      <c r="CO54" s="5"/>
      <c r="CP54" s="5"/>
      <c r="CQ54" s="5"/>
      <c r="CR54" s="5" t="str">
        <f>IF(CQ54="","",CN54*CQ54)</f>
        <v/>
      </c>
      <c r="CS54" s="36" t="str">
        <f>IF(CR54="","",CR54/(CJ54*100))</f>
        <v/>
      </c>
      <c r="CT54" s="29"/>
      <c r="CV54" s="14"/>
      <c r="CW54" s="39"/>
      <c r="CX54" s="5" t="str">
        <f>IF(CW54="","",CW54-CW53)</f>
        <v/>
      </c>
      <c r="CY54" s="5"/>
      <c r="CZ54" s="5"/>
      <c r="DA54" s="5"/>
      <c r="DB54" s="5" t="str">
        <f>IF(DA54="","",DA53+DC53-DA54)</f>
        <v/>
      </c>
      <c r="DC54" s="5"/>
      <c r="DD54" s="5"/>
      <c r="DE54" s="5"/>
      <c r="DF54" s="5" t="str">
        <f>IF(DE54="","",DB54*DE54)</f>
        <v/>
      </c>
      <c r="DG54" s="36" t="str">
        <f>IF(DF54="","",DF54/(CX54*100))</f>
        <v/>
      </c>
      <c r="DH54" s="29"/>
      <c r="DJ54" s="14"/>
      <c r="DK54" s="39"/>
      <c r="DL54" s="5" t="str">
        <f>IF(DK54="","",DK54-DK53)</f>
        <v/>
      </c>
      <c r="DM54" s="5"/>
      <c r="DN54" s="5"/>
      <c r="DO54" s="5"/>
      <c r="DP54" s="5" t="str">
        <f>IF(DO54="","",DO53+DQ53-DO54)</f>
        <v/>
      </c>
      <c r="DQ54" s="5"/>
      <c r="DR54" s="5"/>
      <c r="DS54" s="5"/>
      <c r="DT54" s="5" t="str">
        <f>IF(DS54="","",DP54*DS54)</f>
        <v/>
      </c>
      <c r="DU54" s="36" t="str">
        <f>IF(DT54="","",DT54/(DL54*100))</f>
        <v/>
      </c>
      <c r="DV54" s="29"/>
      <c r="DX54" s="14"/>
      <c r="DY54" s="39"/>
      <c r="DZ54" s="5" t="str">
        <f>IF(DY54="","",DY54-DY53)</f>
        <v/>
      </c>
      <c r="EA54" s="5"/>
      <c r="EB54" s="5"/>
      <c r="EC54" s="5"/>
      <c r="ED54" s="5" t="str">
        <f>IF(EC54="","",EC53+EE53-EC54)</f>
        <v/>
      </c>
      <c r="EE54" s="5"/>
      <c r="EF54" s="5"/>
      <c r="EG54" s="5"/>
      <c r="EH54" s="5" t="str">
        <f>IF(EG54="","",ED54*EG54)</f>
        <v/>
      </c>
      <c r="EI54" s="36" t="str">
        <f>IF(EH54="","",EH54/(DZ54*100))</f>
        <v/>
      </c>
      <c r="EJ54" s="29"/>
      <c r="EL54" s="14"/>
      <c r="EM54" s="39"/>
      <c r="EN54" s="5" t="str">
        <f>IF(EM54="","",EM54-EM53)</f>
        <v/>
      </c>
      <c r="EO54" s="5"/>
      <c r="EP54" s="5"/>
      <c r="EQ54" s="5"/>
      <c r="ER54" s="5" t="str">
        <f>IF(EQ54="","",EQ53+ES53-EQ54)</f>
        <v/>
      </c>
      <c r="ES54" s="5"/>
      <c r="ET54" s="5"/>
      <c r="EU54" s="5"/>
      <c r="EV54" s="5" t="str">
        <f>IF(EU54="","",ER54*EU54)</f>
        <v/>
      </c>
      <c r="EW54" s="36" t="str">
        <f>IF(EV54="","",EV54/(EN54*100))</f>
        <v/>
      </c>
      <c r="EX54" s="29"/>
      <c r="EZ54" s="14"/>
      <c r="FA54" s="39"/>
      <c r="FB54" s="5" t="str">
        <f>IF(FA54="","",FA54-FA53)</f>
        <v/>
      </c>
      <c r="FC54" s="5"/>
      <c r="FD54" s="5"/>
      <c r="FE54" s="5"/>
      <c r="FF54" s="5" t="str">
        <f>IF(FE54="","",FE53+FG53-FE54)</f>
        <v/>
      </c>
      <c r="FG54" s="5"/>
      <c r="FH54" s="5"/>
      <c r="FI54" s="5"/>
      <c r="FJ54" s="5" t="str">
        <f>IF(FI54="","",FF54*FI54)</f>
        <v/>
      </c>
      <c r="FK54" s="36" t="str">
        <f>IF(FJ54="","",FJ54/(FB54*100))</f>
        <v/>
      </c>
      <c r="FL54" s="29"/>
      <c r="FN54" s="14"/>
      <c r="FO54" s="39"/>
      <c r="FP54" s="5" t="str">
        <f>IF(FO54="","",FO54-FO53)</f>
        <v/>
      </c>
      <c r="FQ54" s="5"/>
      <c r="FR54" s="5"/>
      <c r="FS54" s="5"/>
      <c r="FT54" s="5" t="str">
        <f>IF(FS54="","",FS53+FU53-FS54)</f>
        <v/>
      </c>
      <c r="FU54" s="5"/>
      <c r="FV54" s="5"/>
      <c r="FW54" s="5"/>
      <c r="FX54" s="5" t="str">
        <f>IF(FW54="","",FT54*FW54)</f>
        <v/>
      </c>
      <c r="FY54" s="36" t="str">
        <f>IF(FX54="","",FX54/(FP54*100))</f>
        <v/>
      </c>
      <c r="FZ54" s="29"/>
      <c r="GB54" s="14"/>
      <c r="GC54" s="39"/>
      <c r="GD54" s="5" t="str">
        <f>IF(GC54="","",GC54-GC53)</f>
        <v/>
      </c>
      <c r="GE54" s="5"/>
      <c r="GF54" s="5"/>
      <c r="GG54" s="5"/>
      <c r="GH54" s="5" t="str">
        <f>IF(GG54="","",GG53+GI53-GG54)</f>
        <v/>
      </c>
      <c r="GI54" s="5"/>
      <c r="GJ54" s="5"/>
      <c r="GK54" s="5"/>
      <c r="GL54" s="5" t="str">
        <f>IF(GK54="","",GH54*GK54)</f>
        <v/>
      </c>
      <c r="GM54" s="36" t="str">
        <f>IF(GL54="","",GL54/(GD54*100))</f>
        <v/>
      </c>
      <c r="GN54" s="29"/>
      <c r="GP54" s="14"/>
      <c r="GQ54" s="39"/>
      <c r="GR54" s="5" t="str">
        <f>IF(GQ54="","",GQ54-GQ53)</f>
        <v/>
      </c>
      <c r="GS54" s="5"/>
      <c r="GT54" s="5"/>
      <c r="GU54" s="5"/>
      <c r="GV54" s="5"/>
      <c r="GW54" s="5"/>
      <c r="GX54" s="5" t="str">
        <f>IF(GW54="","",GW53+GY53-GW54)</f>
        <v/>
      </c>
      <c r="GY54" s="5"/>
      <c r="GZ54" s="5"/>
      <c r="HA54" s="5"/>
      <c r="HB54" s="5" t="str">
        <f>IF(HA54="","",GX54*HA54)</f>
        <v/>
      </c>
      <c r="HC54" s="36" t="str">
        <f>IF(HB54="","",HB54/(GR54*100))</f>
        <v/>
      </c>
      <c r="HD54" s="29"/>
      <c r="HF54" s="14"/>
      <c r="HG54" s="39"/>
      <c r="HH54" s="5" t="str">
        <f>IF(HG54="","",HG54-HG53)</f>
        <v/>
      </c>
      <c r="HI54" s="5"/>
      <c r="HJ54" s="29"/>
      <c r="HL54" s="14"/>
      <c r="HM54" s="39"/>
      <c r="HN54" s="5" t="str">
        <f>IF(HM54="","",HM54-HM53)</f>
        <v/>
      </c>
      <c r="HO54" s="5"/>
      <c r="HP54" s="29"/>
      <c r="HR54" s="14"/>
      <c r="HS54" s="39"/>
      <c r="HT54" s="5" t="str">
        <f>IF(HS54="","",HS54-HS53)</f>
        <v/>
      </c>
      <c r="HU54" s="5"/>
      <c r="HV54" s="29"/>
    </row>
    <row r="55" spans="1:230" ht="15" customHeight="1" thickTop="1" x14ac:dyDescent="0.2">
      <c r="A55" s="49"/>
      <c r="B55" s="26">
        <f>SUM(D55:D58)+SUM(R55:R58)+SUM(AF55:AF58)+SUM(AT55:AT58)+SUM(CJ49,DL49,DZ49,EN49,FB49,FP49,GD49,GR49,HH49,HN49,HT49)+SUM(BH55:BH56)+SUM(BV55:BV56)</f>
        <v>0</v>
      </c>
      <c r="C55" s="4"/>
      <c r="D55" s="4" t="str">
        <f t="shared" si="126"/>
        <v/>
      </c>
      <c r="E55" s="4"/>
      <c r="F55" s="4" t="str">
        <f t="shared" si="127"/>
        <v/>
      </c>
      <c r="G55" s="4"/>
      <c r="H55" s="4" t="str">
        <f>IF(G55="","",G51+I51-G55)</f>
        <v/>
      </c>
      <c r="I55" s="4"/>
      <c r="J55" s="2" t="str">
        <f t="shared" si="230"/>
        <v/>
      </c>
      <c r="K55" s="4" t="str">
        <f t="shared" si="130"/>
        <v/>
      </c>
      <c r="L55" s="4" t="str">
        <f t="shared" si="131"/>
        <v/>
      </c>
      <c r="M55" s="4" t="str">
        <f t="shared" si="132"/>
        <v/>
      </c>
      <c r="N55" s="29"/>
      <c r="P55" s="80" t="str">
        <f>IF($A$425="","",$A$425)</f>
        <v/>
      </c>
      <c r="Q55" s="4"/>
      <c r="R55" s="4" t="str">
        <f t="shared" si="231"/>
        <v/>
      </c>
      <c r="S55" s="4"/>
      <c r="T55" s="4" t="str">
        <f t="shared" si="232"/>
        <v/>
      </c>
      <c r="U55" s="4"/>
      <c r="V55" s="4" t="str">
        <f t="shared" si="233"/>
        <v/>
      </c>
      <c r="W55" s="4"/>
      <c r="X55" s="2" t="str">
        <f t="shared" si="234"/>
        <v/>
      </c>
      <c r="Y55" s="4" t="str">
        <f t="shared" si="235"/>
        <v/>
      </c>
      <c r="Z55" s="4" t="str">
        <f t="shared" si="236"/>
        <v/>
      </c>
      <c r="AA55" s="4" t="str">
        <f t="shared" si="237"/>
        <v/>
      </c>
      <c r="AB55" s="29"/>
      <c r="AD55" s="80" t="str">
        <f>IF($A$425="","",$A$425)</f>
        <v/>
      </c>
      <c r="AE55" s="4"/>
      <c r="AF55" s="4" t="str">
        <f t="shared" si="238"/>
        <v/>
      </c>
      <c r="AG55" s="4"/>
      <c r="AH55" s="4" t="str">
        <f t="shared" si="239"/>
        <v/>
      </c>
      <c r="AI55" s="4"/>
      <c r="AJ55" s="4" t="str">
        <f t="shared" si="240"/>
        <v/>
      </c>
      <c r="AK55" s="4"/>
      <c r="AL55" s="31" t="str">
        <f t="shared" si="241"/>
        <v/>
      </c>
      <c r="AM55" s="4" t="str">
        <f t="shared" si="242"/>
        <v/>
      </c>
      <c r="AN55" s="4" t="str">
        <f t="shared" si="243"/>
        <v/>
      </c>
      <c r="AO55" s="4" t="str">
        <f t="shared" si="244"/>
        <v/>
      </c>
      <c r="AP55" s="29"/>
      <c r="AR55" s="80" t="str">
        <f>IF($A$425="","",$A$425)</f>
        <v/>
      </c>
      <c r="AS55" s="4"/>
      <c r="AT55" s="4" t="str">
        <f t="shared" si="245"/>
        <v/>
      </c>
      <c r="AU55" s="4"/>
      <c r="AV55" s="4" t="str">
        <f t="shared" si="246"/>
        <v/>
      </c>
      <c r="AW55" s="4"/>
      <c r="AX55" s="4" t="str">
        <f t="shared" si="247"/>
        <v/>
      </c>
      <c r="AY55" s="4"/>
      <c r="AZ55" s="31" t="str">
        <f t="shared" si="248"/>
        <v/>
      </c>
      <c r="BA55" s="4" t="str">
        <f t="shared" si="249"/>
        <v/>
      </c>
      <c r="BB55" s="4" t="str">
        <f t="shared" si="250"/>
        <v/>
      </c>
      <c r="BC55" s="4" t="str">
        <f t="shared" si="251"/>
        <v/>
      </c>
      <c r="BD55" s="29"/>
      <c r="BE55" s="32"/>
      <c r="BF55" s="33" t="str">
        <f>IF($A16="","",$A16)</f>
        <v/>
      </c>
      <c r="BG55" s="4"/>
      <c r="BH55" s="4" t="str">
        <f t="shared" si="252"/>
        <v/>
      </c>
      <c r="BI55" s="4"/>
      <c r="BJ55" s="50" t="str">
        <f t="shared" si="253"/>
        <v/>
      </c>
      <c r="BK55" s="4"/>
      <c r="BL55" s="4" t="str">
        <f t="shared" si="254"/>
        <v/>
      </c>
      <c r="BM55" s="4"/>
      <c r="BN55" s="2" t="str">
        <f t="shared" ref="BN55:BN58" si="267">IF(BG55="","",BN51)</f>
        <v/>
      </c>
      <c r="BO55" s="27" t="str">
        <f t="shared" ref="BO55:BO58" si="268">IF(BH55="","",BO51)</f>
        <v/>
      </c>
      <c r="BP55" s="50" t="str">
        <f t="shared" si="257"/>
        <v/>
      </c>
      <c r="BQ55" s="52" t="str">
        <f t="shared" si="266"/>
        <v/>
      </c>
      <c r="BR55" s="29"/>
      <c r="BT55" s="33" t="str">
        <f>IF($A16="","",$A16)</f>
        <v/>
      </c>
      <c r="BU55" s="4"/>
      <c r="BV55" s="4" t="str">
        <f t="shared" si="259"/>
        <v/>
      </c>
      <c r="BW55" s="4"/>
      <c r="BX55" s="50" t="str">
        <f t="shared" si="260"/>
        <v/>
      </c>
      <c r="BY55" s="4"/>
      <c r="BZ55" s="4" t="str">
        <f>IF(BY55="","",BY51+CA51-BY55)</f>
        <v/>
      </c>
      <c r="CA55" s="4"/>
      <c r="CB55" s="2" t="str">
        <f>IF(BU55="","",CB51)</f>
        <v/>
      </c>
      <c r="CC55" s="27" t="str">
        <f>IF(BU55="","",CC51)</f>
        <v/>
      </c>
      <c r="CD55" s="5" t="str">
        <f>IF(BY55="","",BZ55*CC55)</f>
        <v/>
      </c>
      <c r="CE55" s="52" t="str">
        <f>IF(BZ55="","",CD55/(BV55*100))</f>
        <v/>
      </c>
      <c r="CF55" s="29"/>
      <c r="CH55" s="14"/>
      <c r="CI55" s="39"/>
      <c r="CJ55" s="5"/>
      <c r="CK55" s="5"/>
      <c r="CL55" s="5"/>
      <c r="CM55" s="5"/>
      <c r="CN55" s="5" t="str">
        <f>IF(CM55="","",CM54+CO54-CM55)</f>
        <v/>
      </c>
      <c r="CO55" s="5"/>
      <c r="CP55" s="5"/>
      <c r="CQ55" s="5"/>
      <c r="CR55" s="5" t="str">
        <f>IF(CQ55="","",CN55*CQ55)</f>
        <v/>
      </c>
      <c r="CS55" s="36" t="str">
        <f>IF(CR55="","",CR55/(CJ55*100))</f>
        <v/>
      </c>
      <c r="CT55" s="29"/>
      <c r="CV55" s="14"/>
      <c r="CW55" s="39"/>
      <c r="CX55" s="5"/>
      <c r="CY55" s="5"/>
      <c r="CZ55" s="5"/>
      <c r="DA55" s="5"/>
      <c r="DB55" s="5" t="str">
        <f>IF(DA55="","",DA54+DC54-DA55)</f>
        <v/>
      </c>
      <c r="DC55" s="5"/>
      <c r="DD55" s="5"/>
      <c r="DE55" s="5"/>
      <c r="DF55" s="5" t="str">
        <f>IF(DE55="","",DB55*DE55)</f>
        <v/>
      </c>
      <c r="DG55" s="36" t="str">
        <f>IF(DF55="","",DF55/(CX55*100))</f>
        <v/>
      </c>
      <c r="DH55" s="29"/>
      <c r="DJ55" s="14"/>
      <c r="DK55" s="39"/>
      <c r="DL55" s="5"/>
      <c r="DM55" s="5"/>
      <c r="DN55" s="5"/>
      <c r="DO55" s="5"/>
      <c r="DP55" s="5" t="str">
        <f>IF(DO55="","",DO54+DQ54-DO55)</f>
        <v/>
      </c>
      <c r="DQ55" s="5"/>
      <c r="DR55" s="5"/>
      <c r="DS55" s="5"/>
      <c r="DT55" s="5" t="str">
        <f>IF(DS55="","",DP55*DS55)</f>
        <v/>
      </c>
      <c r="DU55" s="36" t="str">
        <f>IF(DT55="","",DT55/(DL55*100))</f>
        <v/>
      </c>
      <c r="DV55" s="29"/>
      <c r="DX55" s="14"/>
      <c r="DY55" s="39"/>
      <c r="DZ55" s="5"/>
      <c r="EA55" s="5"/>
      <c r="EB55" s="5"/>
      <c r="EC55" s="5"/>
      <c r="ED55" s="5" t="str">
        <f>IF(EC55="","",EC54+EE54-EC55)</f>
        <v/>
      </c>
      <c r="EE55" s="5"/>
      <c r="EF55" s="5"/>
      <c r="EG55" s="5"/>
      <c r="EH55" s="5" t="str">
        <f>IF(EG55="","",ED55*EG55)</f>
        <v/>
      </c>
      <c r="EI55" s="36" t="str">
        <f>IF(EH55="","",EH55/(DZ55*100))</f>
        <v/>
      </c>
      <c r="EJ55" s="29"/>
      <c r="EL55" s="14"/>
      <c r="EM55" s="39"/>
      <c r="EN55" s="5"/>
      <c r="EO55" s="5"/>
      <c r="EP55" s="5"/>
      <c r="EQ55" s="5"/>
      <c r="ER55" s="5" t="str">
        <f>IF(EQ55="","",EQ54+ES54-EQ55)</f>
        <v/>
      </c>
      <c r="ES55" s="5"/>
      <c r="ET55" s="5"/>
      <c r="EU55" s="5"/>
      <c r="EV55" s="5" t="str">
        <f>IF(EU55="","",ER55*EU55)</f>
        <v/>
      </c>
      <c r="EW55" s="36" t="str">
        <f>IF(EV55="","",EV55/(EN55*100))</f>
        <v/>
      </c>
      <c r="EX55" s="29"/>
      <c r="EZ55" s="14"/>
      <c r="FA55" s="39"/>
      <c r="FB55" s="5"/>
      <c r="FC55" s="5"/>
      <c r="FD55" s="5"/>
      <c r="FE55" s="5"/>
      <c r="FF55" s="5" t="str">
        <f>IF(FE55="","",FE54+FG54-FE55)</f>
        <v/>
      </c>
      <c r="FG55" s="5"/>
      <c r="FH55" s="5"/>
      <c r="FI55" s="5"/>
      <c r="FJ55" s="5" t="str">
        <f>IF(FI55="","",FF55*FI55)</f>
        <v/>
      </c>
      <c r="FK55" s="36" t="str">
        <f>IF(FJ55="","",FJ55/(FB55*100))</f>
        <v/>
      </c>
      <c r="FL55" s="29"/>
      <c r="FN55" s="14"/>
      <c r="FO55" s="39"/>
      <c r="FP55" s="5"/>
      <c r="FQ55" s="5"/>
      <c r="FR55" s="5"/>
      <c r="FS55" s="5"/>
      <c r="FT55" s="5" t="str">
        <f>IF(FS55="","",FS54+FU54-FS55)</f>
        <v/>
      </c>
      <c r="FU55" s="5"/>
      <c r="FV55" s="5"/>
      <c r="FW55" s="5"/>
      <c r="FX55" s="5" t="str">
        <f>IF(FW55="","",FT55*FW55)</f>
        <v/>
      </c>
      <c r="FY55" s="36" t="str">
        <f>IF(FX55="","",FX55/(FP55*100))</f>
        <v/>
      </c>
      <c r="FZ55" s="29"/>
      <c r="GB55" s="14"/>
      <c r="GC55" s="39"/>
      <c r="GD55" s="5"/>
      <c r="GE55" s="5"/>
      <c r="GF55" s="5"/>
      <c r="GG55" s="5"/>
      <c r="GH55" s="5" t="str">
        <f>IF(GG55="","",GG54+GI54-GG55)</f>
        <v/>
      </c>
      <c r="GI55" s="5"/>
      <c r="GJ55" s="5"/>
      <c r="GK55" s="5"/>
      <c r="GL55" s="5" t="str">
        <f>IF(GK55="","",GH55*GK55)</f>
        <v/>
      </c>
      <c r="GM55" s="36" t="str">
        <f>IF(GL55="","",GL55/(GD55*100))</f>
        <v/>
      </c>
      <c r="GN55" s="29"/>
      <c r="GP55" s="14"/>
      <c r="GQ55" s="39"/>
      <c r="GR55" s="5"/>
      <c r="GS55" s="5"/>
      <c r="GT55" s="5"/>
      <c r="GU55" s="5"/>
      <c r="GV55" s="5"/>
      <c r="GW55" s="5"/>
      <c r="GX55" s="5" t="str">
        <f>IF(GW55="","",GW54+GY54-GW55)</f>
        <v/>
      </c>
      <c r="GY55" s="5"/>
      <c r="GZ55" s="5"/>
      <c r="HA55" s="5"/>
      <c r="HB55" s="5" t="str">
        <f>IF(HA55="","",GX55*HA55)</f>
        <v/>
      </c>
      <c r="HC55" s="36" t="str">
        <f>IF(HB55="","",HB55/(GR55*100))</f>
        <v/>
      </c>
      <c r="HD55" s="29"/>
      <c r="HF55" s="14"/>
      <c r="HG55" s="39"/>
      <c r="HH55" s="5"/>
      <c r="HI55" s="5"/>
      <c r="HJ55" s="29"/>
      <c r="HL55" s="14"/>
      <c r="HM55" s="39"/>
      <c r="HN55" s="5"/>
      <c r="HO55" s="5"/>
      <c r="HP55" s="29"/>
      <c r="HR55" s="14"/>
      <c r="HS55" s="39"/>
      <c r="HT55" s="5"/>
      <c r="HU55" s="5"/>
      <c r="HV55" s="29"/>
    </row>
    <row r="56" spans="1:230" ht="15" customHeight="1" x14ac:dyDescent="0.2">
      <c r="A56" s="49"/>
      <c r="B56" s="26"/>
      <c r="C56" s="4"/>
      <c r="D56" s="4" t="str">
        <f t="shared" si="126"/>
        <v/>
      </c>
      <c r="E56" s="4"/>
      <c r="F56" s="4" t="str">
        <f t="shared" si="127"/>
        <v/>
      </c>
      <c r="G56" s="4"/>
      <c r="H56" s="4" t="str">
        <f>IF(G56="","",G52+I52-G56)</f>
        <v/>
      </c>
      <c r="I56" s="4"/>
      <c r="J56" s="2" t="str">
        <f t="shared" si="230"/>
        <v/>
      </c>
      <c r="K56" s="4" t="str">
        <f t="shared" si="130"/>
        <v/>
      </c>
      <c r="L56" s="4" t="str">
        <f t="shared" si="131"/>
        <v/>
      </c>
      <c r="M56" s="4" t="str">
        <f t="shared" si="132"/>
        <v/>
      </c>
      <c r="N56" s="29"/>
      <c r="P56" s="33"/>
      <c r="Q56" s="4"/>
      <c r="R56" s="4" t="str">
        <f t="shared" si="231"/>
        <v/>
      </c>
      <c r="S56" s="4"/>
      <c r="T56" s="4" t="str">
        <f t="shared" si="232"/>
        <v/>
      </c>
      <c r="U56" s="4"/>
      <c r="V56" s="4" t="str">
        <f t="shared" si="233"/>
        <v/>
      </c>
      <c r="W56" s="4"/>
      <c r="X56" s="31" t="str">
        <f t="shared" si="234"/>
        <v/>
      </c>
      <c r="Y56" s="4" t="str">
        <f t="shared" si="235"/>
        <v/>
      </c>
      <c r="Z56" s="4" t="str">
        <f t="shared" si="236"/>
        <v/>
      </c>
      <c r="AA56" s="4" t="str">
        <f t="shared" si="237"/>
        <v/>
      </c>
      <c r="AB56" s="29"/>
      <c r="AD56" s="33"/>
      <c r="AE56" s="4"/>
      <c r="AF56" s="4" t="str">
        <f t="shared" si="238"/>
        <v/>
      </c>
      <c r="AG56" s="4"/>
      <c r="AH56" s="4" t="str">
        <f t="shared" si="239"/>
        <v/>
      </c>
      <c r="AI56" s="4"/>
      <c r="AJ56" s="4" t="str">
        <f t="shared" si="240"/>
        <v/>
      </c>
      <c r="AK56" s="4"/>
      <c r="AL56" s="31" t="str">
        <f t="shared" si="241"/>
        <v/>
      </c>
      <c r="AM56" s="4" t="str">
        <f t="shared" si="242"/>
        <v/>
      </c>
      <c r="AN56" s="4" t="str">
        <f t="shared" si="243"/>
        <v/>
      </c>
      <c r="AO56" s="4" t="str">
        <f t="shared" si="244"/>
        <v/>
      </c>
      <c r="AP56" s="29"/>
      <c r="AR56" s="33"/>
      <c r="AS56" s="4"/>
      <c r="AT56" s="4" t="str">
        <f t="shared" si="245"/>
        <v/>
      </c>
      <c r="AU56" s="4"/>
      <c r="AV56" s="4" t="str">
        <f t="shared" si="246"/>
        <v/>
      </c>
      <c r="AW56" s="4"/>
      <c r="AX56" s="4" t="str">
        <f t="shared" si="247"/>
        <v/>
      </c>
      <c r="AY56" s="4"/>
      <c r="AZ56" s="31" t="str">
        <f t="shared" si="248"/>
        <v/>
      </c>
      <c r="BA56" s="4" t="str">
        <f t="shared" si="249"/>
        <v/>
      </c>
      <c r="BB56" s="4" t="str">
        <f t="shared" si="250"/>
        <v/>
      </c>
      <c r="BC56" s="4" t="str">
        <f t="shared" si="251"/>
        <v/>
      </c>
      <c r="BD56" s="29"/>
      <c r="BE56" s="32"/>
      <c r="BF56" s="33"/>
      <c r="BG56" s="4"/>
      <c r="BH56" s="5" t="str">
        <f t="shared" si="252"/>
        <v/>
      </c>
      <c r="BI56" s="4"/>
      <c r="BJ56" s="5" t="str">
        <f t="shared" si="253"/>
        <v/>
      </c>
      <c r="BK56" s="4"/>
      <c r="BL56" s="5" t="str">
        <f t="shared" si="254"/>
        <v/>
      </c>
      <c r="BM56" s="4"/>
      <c r="BN56" s="3" t="str">
        <f t="shared" si="267"/>
        <v/>
      </c>
      <c r="BO56" s="39" t="str">
        <f t="shared" si="268"/>
        <v/>
      </c>
      <c r="BP56" s="5" t="str">
        <f t="shared" si="257"/>
        <v/>
      </c>
      <c r="BQ56" s="36" t="str">
        <f t="shared" si="266"/>
        <v/>
      </c>
      <c r="BR56" s="29"/>
      <c r="BT56" s="33"/>
      <c r="BU56" s="4"/>
      <c r="BV56" s="5" t="str">
        <f t="shared" si="259"/>
        <v/>
      </c>
      <c r="BW56" s="4"/>
      <c r="BX56" s="5" t="str">
        <f t="shared" si="260"/>
        <v/>
      </c>
      <c r="BY56" s="5"/>
      <c r="BZ56" s="5" t="str">
        <f>IF(BY56="","",BY52+CA52-BY56)</f>
        <v/>
      </c>
      <c r="CA56" s="4"/>
      <c r="CB56" s="3" t="str">
        <f>IF(BU56="","",CB52)</f>
        <v/>
      </c>
      <c r="CC56" s="39" t="str">
        <f>IF(BU55="","",CC52)</f>
        <v/>
      </c>
      <c r="CD56" s="4" t="str">
        <f>IF(BY56="","",BZ56*CC56)</f>
        <v/>
      </c>
      <c r="CE56" s="36" t="str">
        <f>IF(BZ56="","",CD56/(BV56*100))</f>
        <v/>
      </c>
      <c r="CF56" s="29"/>
      <c r="CH56" s="14"/>
      <c r="CI56" s="39"/>
      <c r="CJ56" s="5"/>
      <c r="CK56" s="5"/>
      <c r="CL56" s="5"/>
      <c r="CM56" s="5"/>
      <c r="CN56" s="5"/>
      <c r="CO56" s="5"/>
      <c r="CP56" s="5"/>
      <c r="CQ56" s="5"/>
      <c r="CR56" s="5"/>
      <c r="CS56" s="36"/>
      <c r="CT56" s="29"/>
      <c r="CV56" s="14"/>
      <c r="CW56" s="39"/>
      <c r="CX56" s="5"/>
      <c r="CY56" s="5"/>
      <c r="CZ56" s="5"/>
      <c r="DA56" s="5"/>
      <c r="DB56" s="5"/>
      <c r="DC56" s="5"/>
      <c r="DD56" s="5"/>
      <c r="DE56" s="5"/>
      <c r="DF56" s="5"/>
      <c r="DG56" s="36"/>
      <c r="DH56" s="29"/>
      <c r="DJ56" s="14"/>
      <c r="DK56" s="39"/>
      <c r="DL56" s="5"/>
      <c r="DM56" s="5"/>
      <c r="DN56" s="5"/>
      <c r="DO56" s="5"/>
      <c r="DP56" s="5"/>
      <c r="DQ56" s="5"/>
      <c r="DR56" s="5"/>
      <c r="DS56" s="5"/>
      <c r="DT56" s="5"/>
      <c r="DU56" s="36"/>
      <c r="DV56" s="29"/>
      <c r="DX56" s="14"/>
      <c r="DY56" s="39"/>
      <c r="DZ56" s="5"/>
      <c r="EA56" s="5"/>
      <c r="EB56" s="5"/>
      <c r="EC56" s="5"/>
      <c r="ED56" s="5"/>
      <c r="EE56" s="5"/>
      <c r="EF56" s="5"/>
      <c r="EG56" s="5"/>
      <c r="EH56" s="5"/>
      <c r="EI56" s="36"/>
      <c r="EJ56" s="29"/>
      <c r="EL56" s="14"/>
      <c r="EM56" s="39"/>
      <c r="EN56" s="5"/>
      <c r="EO56" s="5"/>
      <c r="EP56" s="5"/>
      <c r="EQ56" s="5"/>
      <c r="ER56" s="5"/>
      <c r="ES56" s="5"/>
      <c r="ET56" s="5"/>
      <c r="EU56" s="5"/>
      <c r="EV56" s="5"/>
      <c r="EW56" s="36"/>
      <c r="EX56" s="29"/>
      <c r="EZ56" s="14"/>
      <c r="FA56" s="39"/>
      <c r="FB56" s="5"/>
      <c r="FC56" s="5"/>
      <c r="FD56" s="5"/>
      <c r="FE56" s="5"/>
      <c r="FF56" s="5"/>
      <c r="FG56" s="5"/>
      <c r="FH56" s="5"/>
      <c r="FI56" s="5"/>
      <c r="FJ56" s="5"/>
      <c r="FK56" s="36"/>
      <c r="FL56" s="29"/>
      <c r="FN56" s="14"/>
      <c r="FO56" s="39"/>
      <c r="FP56" s="5"/>
      <c r="FQ56" s="5"/>
      <c r="FR56" s="5"/>
      <c r="FS56" s="5"/>
      <c r="FT56" s="5"/>
      <c r="FU56" s="5"/>
      <c r="FV56" s="5"/>
      <c r="FW56" s="5"/>
      <c r="FX56" s="5"/>
      <c r="FY56" s="36"/>
      <c r="FZ56" s="29"/>
      <c r="GB56" s="14"/>
      <c r="GC56" s="39"/>
      <c r="GD56" s="5"/>
      <c r="GE56" s="5"/>
      <c r="GF56" s="5"/>
      <c r="GG56" s="5"/>
      <c r="GH56" s="5"/>
      <c r="GI56" s="5"/>
      <c r="GJ56" s="5"/>
      <c r="GK56" s="5"/>
      <c r="GL56" s="5"/>
      <c r="GM56" s="36"/>
      <c r="GN56" s="29"/>
      <c r="GP56" s="14"/>
      <c r="GQ56" s="39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36"/>
      <c r="HD56" s="29"/>
      <c r="HF56" s="14"/>
      <c r="HG56" s="39"/>
      <c r="HH56" s="5"/>
      <c r="HI56" s="5"/>
      <c r="HJ56" s="29"/>
      <c r="HL56" s="14"/>
      <c r="HM56" s="39"/>
      <c r="HN56" s="5"/>
      <c r="HO56" s="5"/>
      <c r="HP56" s="29"/>
      <c r="HR56" s="14"/>
      <c r="HS56" s="39"/>
      <c r="HT56" s="5"/>
      <c r="HU56" s="5"/>
      <c r="HV56" s="29"/>
    </row>
    <row r="57" spans="1:230" ht="15" customHeight="1" x14ac:dyDescent="0.2">
      <c r="A57" s="15"/>
      <c r="B57" s="64"/>
      <c r="C57" s="57"/>
      <c r="D57" s="57" t="str">
        <f t="shared" si="126"/>
        <v/>
      </c>
      <c r="E57" s="57"/>
      <c r="F57" s="57" t="str">
        <f t="shared" si="127"/>
        <v/>
      </c>
      <c r="G57" s="57"/>
      <c r="H57" s="57" t="str">
        <f>IF(G57="","",G53+I53-G57)</f>
        <v/>
      </c>
      <c r="I57" s="57"/>
      <c r="J57" s="81" t="str">
        <f t="shared" si="230"/>
        <v/>
      </c>
      <c r="K57" s="57" t="str">
        <f t="shared" si="130"/>
        <v/>
      </c>
      <c r="L57" s="57" t="str">
        <f t="shared" si="131"/>
        <v/>
      </c>
      <c r="M57" s="57" t="str">
        <f t="shared" si="132"/>
        <v/>
      </c>
      <c r="N57" s="82"/>
      <c r="P57" s="72"/>
      <c r="Q57" s="57"/>
      <c r="R57" s="57" t="str">
        <f t="shared" si="231"/>
        <v/>
      </c>
      <c r="S57" s="57"/>
      <c r="T57" s="57" t="str">
        <f t="shared" si="232"/>
        <v/>
      </c>
      <c r="U57" s="57"/>
      <c r="V57" s="57" t="str">
        <f t="shared" si="233"/>
        <v/>
      </c>
      <c r="W57" s="57"/>
      <c r="X57" s="83" t="str">
        <f t="shared" si="234"/>
        <v/>
      </c>
      <c r="Y57" s="57" t="str">
        <f t="shared" si="235"/>
        <v/>
      </c>
      <c r="Z57" s="57" t="str">
        <f t="shared" si="236"/>
        <v/>
      </c>
      <c r="AA57" s="57" t="str">
        <f t="shared" si="237"/>
        <v/>
      </c>
      <c r="AB57" s="82"/>
      <c r="AD57" s="72"/>
      <c r="AE57" s="57"/>
      <c r="AF57" s="57" t="str">
        <f t="shared" si="238"/>
        <v/>
      </c>
      <c r="AG57" s="57"/>
      <c r="AH57" s="57" t="str">
        <f t="shared" si="239"/>
        <v/>
      </c>
      <c r="AI57" s="57"/>
      <c r="AJ57" s="57" t="str">
        <f t="shared" si="240"/>
        <v/>
      </c>
      <c r="AK57" s="57"/>
      <c r="AL57" s="83" t="str">
        <f t="shared" si="241"/>
        <v/>
      </c>
      <c r="AM57" s="57" t="str">
        <f t="shared" si="242"/>
        <v/>
      </c>
      <c r="AN57" s="57" t="str">
        <f t="shared" si="243"/>
        <v/>
      </c>
      <c r="AO57" s="57" t="str">
        <f t="shared" si="244"/>
        <v/>
      </c>
      <c r="AP57" s="82"/>
      <c r="AR57" s="72"/>
      <c r="AS57" s="57"/>
      <c r="AT57" s="57" t="str">
        <f t="shared" si="245"/>
        <v/>
      </c>
      <c r="AU57" s="57"/>
      <c r="AV57" s="57" t="str">
        <f t="shared" si="246"/>
        <v/>
      </c>
      <c r="AW57" s="57"/>
      <c r="AX57" s="57" t="str">
        <f t="shared" si="247"/>
        <v/>
      </c>
      <c r="AY57" s="57"/>
      <c r="AZ57" s="83" t="str">
        <f t="shared" si="248"/>
        <v/>
      </c>
      <c r="BA57" s="57" t="str">
        <f t="shared" si="249"/>
        <v/>
      </c>
      <c r="BB57" s="57" t="str">
        <f t="shared" si="250"/>
        <v/>
      </c>
      <c r="BC57" s="57" t="str">
        <f t="shared" si="251"/>
        <v/>
      </c>
      <c r="BD57" s="82"/>
      <c r="BE57" s="32"/>
      <c r="BF57" s="33"/>
      <c r="BG57" s="4"/>
      <c r="BH57" s="5" t="str">
        <f t="shared" si="252"/>
        <v/>
      </c>
      <c r="BI57" s="4"/>
      <c r="BJ57" s="5" t="str">
        <f t="shared" si="253"/>
        <v/>
      </c>
      <c r="BK57" s="4"/>
      <c r="BL57" s="5" t="str">
        <f t="shared" si="254"/>
        <v/>
      </c>
      <c r="BM57" s="4"/>
      <c r="BN57" s="3" t="str">
        <f t="shared" si="267"/>
        <v/>
      </c>
      <c r="BO57" s="39" t="str">
        <f t="shared" si="268"/>
        <v/>
      </c>
      <c r="BP57" s="5" t="str">
        <f t="shared" si="257"/>
        <v/>
      </c>
      <c r="BQ57" s="36" t="str">
        <f t="shared" si="266"/>
        <v/>
      </c>
      <c r="BR57" s="29"/>
      <c r="BT57" s="33"/>
      <c r="BU57" s="4"/>
      <c r="BV57" s="5" t="str">
        <f t="shared" si="259"/>
        <v/>
      </c>
      <c r="BW57" s="4"/>
      <c r="BX57" s="5" t="str">
        <f t="shared" si="260"/>
        <v/>
      </c>
      <c r="BY57" s="5"/>
      <c r="BZ57" s="5"/>
      <c r="CA57" s="57"/>
      <c r="CB57" s="3"/>
      <c r="CC57" s="39"/>
      <c r="CD57" s="5"/>
      <c r="CE57" s="36"/>
      <c r="CF57" s="29"/>
      <c r="CH57" s="14"/>
      <c r="CI57" s="39"/>
      <c r="CJ57" s="5"/>
      <c r="CK57" s="5"/>
      <c r="CL57" s="5"/>
      <c r="CM57" s="5"/>
      <c r="CN57" s="5"/>
      <c r="CO57" s="5"/>
      <c r="CP57" s="5"/>
      <c r="CQ57" s="5"/>
      <c r="CR57" s="5"/>
      <c r="CS57" s="36"/>
      <c r="CT57" s="29"/>
      <c r="CV57" s="14"/>
      <c r="CW57" s="39"/>
      <c r="CX57" s="5"/>
      <c r="CY57" s="5"/>
      <c r="CZ57" s="5"/>
      <c r="DA57" s="5"/>
      <c r="DB57" s="5"/>
      <c r="DC57" s="5"/>
      <c r="DD57" s="5"/>
      <c r="DE57" s="5"/>
      <c r="DF57" s="5"/>
      <c r="DG57" s="36"/>
      <c r="DH57" s="29"/>
      <c r="DJ57" s="14"/>
      <c r="DK57" s="39"/>
      <c r="DL57" s="5"/>
      <c r="DM57" s="5"/>
      <c r="DN57" s="5"/>
      <c r="DO57" s="5"/>
      <c r="DP57" s="5"/>
      <c r="DQ57" s="5"/>
      <c r="DR57" s="5"/>
      <c r="DS57" s="5"/>
      <c r="DT57" s="5"/>
      <c r="DU57" s="36"/>
      <c r="DV57" s="29"/>
      <c r="DX57" s="14"/>
      <c r="DY57" s="39"/>
      <c r="DZ57" s="5"/>
      <c r="EA57" s="5"/>
      <c r="EB57" s="5"/>
      <c r="EC57" s="5"/>
      <c r="ED57" s="5"/>
      <c r="EE57" s="5"/>
      <c r="EF57" s="5"/>
      <c r="EG57" s="5"/>
      <c r="EH57" s="5"/>
      <c r="EI57" s="36"/>
      <c r="EJ57" s="29"/>
      <c r="EL57" s="14"/>
      <c r="EM57" s="39"/>
      <c r="EN57" s="5"/>
      <c r="EO57" s="5"/>
      <c r="EP57" s="5"/>
      <c r="EQ57" s="5"/>
      <c r="ER57" s="5"/>
      <c r="ES57" s="5"/>
      <c r="ET57" s="5"/>
      <c r="EU57" s="5"/>
      <c r="EV57" s="5"/>
      <c r="EW57" s="36"/>
      <c r="EX57" s="29"/>
      <c r="EZ57" s="14"/>
      <c r="FA57" s="39"/>
      <c r="FB57" s="5"/>
      <c r="FC57" s="5"/>
      <c r="FD57" s="5"/>
      <c r="FE57" s="5"/>
      <c r="FF57" s="5"/>
      <c r="FG57" s="5"/>
      <c r="FH57" s="5"/>
      <c r="FI57" s="5"/>
      <c r="FJ57" s="5"/>
      <c r="FK57" s="36"/>
      <c r="FL57" s="29"/>
      <c r="FN57" s="14"/>
      <c r="FO57" s="39"/>
      <c r="FP57" s="5"/>
      <c r="FQ57" s="5"/>
      <c r="FR57" s="5"/>
      <c r="FS57" s="5"/>
      <c r="FT57" s="5"/>
      <c r="FU57" s="5"/>
      <c r="FV57" s="5"/>
      <c r="FW57" s="5"/>
      <c r="FX57" s="5"/>
      <c r="FY57" s="36"/>
      <c r="FZ57" s="29"/>
      <c r="GB57" s="14"/>
      <c r="GC57" s="39"/>
      <c r="GD57" s="5"/>
      <c r="GE57" s="5"/>
      <c r="GF57" s="5"/>
      <c r="GG57" s="5"/>
      <c r="GH57" s="5"/>
      <c r="GI57" s="5"/>
      <c r="GJ57" s="5"/>
      <c r="GK57" s="5"/>
      <c r="GL57" s="5"/>
      <c r="GM57" s="36"/>
      <c r="GN57" s="29"/>
      <c r="GP57" s="14"/>
      <c r="GQ57" s="39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36"/>
      <c r="HD57" s="29"/>
      <c r="HF57" s="14"/>
      <c r="HG57" s="39"/>
      <c r="HH57" s="5"/>
      <c r="HI57" s="5"/>
      <c r="HJ57" s="29"/>
      <c r="HL57" s="14"/>
      <c r="HM57" s="39"/>
      <c r="HN57" s="5"/>
      <c r="HO57" s="5"/>
      <c r="HP57" s="29"/>
      <c r="HR57" s="14"/>
      <c r="HS57" s="39"/>
      <c r="HT57" s="5"/>
      <c r="HU57" s="5"/>
      <c r="HV57" s="29"/>
    </row>
    <row r="58" spans="1:230" ht="15" customHeight="1" thickBot="1" x14ac:dyDescent="0.25">
      <c r="A58" s="84"/>
      <c r="B58" s="66"/>
      <c r="C58" s="43"/>
      <c r="D58" s="43" t="str">
        <f t="shared" si="126"/>
        <v/>
      </c>
      <c r="E58" s="43"/>
      <c r="F58" s="43" t="str">
        <f t="shared" si="127"/>
        <v/>
      </c>
      <c r="G58" s="43"/>
      <c r="H58" s="43" t="str">
        <f>IF(G58="","",G54+I54-G58)</f>
        <v/>
      </c>
      <c r="I58" s="43"/>
      <c r="J58" s="85" t="str">
        <f t="shared" si="230"/>
        <v/>
      </c>
      <c r="K58" s="43" t="str">
        <f t="shared" si="130"/>
        <v/>
      </c>
      <c r="L58" s="43" t="str">
        <f t="shared" si="131"/>
        <v/>
      </c>
      <c r="M58" s="43" t="str">
        <f t="shared" si="132"/>
        <v/>
      </c>
      <c r="N58" s="86"/>
      <c r="P58" s="87"/>
      <c r="Q58" s="43"/>
      <c r="R58" s="43" t="str">
        <f t="shared" si="231"/>
        <v/>
      </c>
      <c r="S58" s="43"/>
      <c r="T58" s="43" t="str">
        <f t="shared" si="232"/>
        <v/>
      </c>
      <c r="U58" s="43"/>
      <c r="V58" s="43" t="str">
        <f t="shared" si="233"/>
        <v/>
      </c>
      <c r="W58" s="43"/>
      <c r="X58" s="88" t="str">
        <f t="shared" si="234"/>
        <v/>
      </c>
      <c r="Y58" s="43" t="str">
        <f t="shared" si="235"/>
        <v/>
      </c>
      <c r="Z58" s="43" t="str">
        <f t="shared" si="236"/>
        <v/>
      </c>
      <c r="AA58" s="43" t="str">
        <f t="shared" si="237"/>
        <v/>
      </c>
      <c r="AB58" s="86"/>
      <c r="AD58" s="87"/>
      <c r="AE58" s="43"/>
      <c r="AF58" s="43" t="str">
        <f t="shared" si="238"/>
        <v/>
      </c>
      <c r="AG58" s="43"/>
      <c r="AH58" s="43" t="str">
        <f t="shared" si="239"/>
        <v/>
      </c>
      <c r="AI58" s="43"/>
      <c r="AJ58" s="43" t="str">
        <f t="shared" si="240"/>
        <v/>
      </c>
      <c r="AK58" s="43"/>
      <c r="AL58" s="88" t="str">
        <f t="shared" si="241"/>
        <v/>
      </c>
      <c r="AM58" s="43" t="str">
        <f t="shared" si="242"/>
        <v/>
      </c>
      <c r="AN58" s="43" t="str">
        <f t="shared" si="243"/>
        <v/>
      </c>
      <c r="AO58" s="43" t="str">
        <f t="shared" si="244"/>
        <v/>
      </c>
      <c r="AP58" s="86"/>
      <c r="AR58" s="87"/>
      <c r="AS58" s="43"/>
      <c r="AT58" s="43" t="str">
        <f t="shared" si="245"/>
        <v/>
      </c>
      <c r="AU58" s="43"/>
      <c r="AV58" s="43" t="str">
        <f t="shared" si="246"/>
        <v/>
      </c>
      <c r="AW58" s="43"/>
      <c r="AX58" s="43" t="str">
        <f t="shared" si="247"/>
        <v/>
      </c>
      <c r="AY58" s="43"/>
      <c r="AZ58" s="88" t="str">
        <f t="shared" si="248"/>
        <v/>
      </c>
      <c r="BA58" s="43" t="str">
        <f t="shared" si="249"/>
        <v/>
      </c>
      <c r="BB58" s="43" t="str">
        <f t="shared" si="250"/>
        <v/>
      </c>
      <c r="BC58" s="43" t="str">
        <f t="shared" si="251"/>
        <v/>
      </c>
      <c r="BD58" s="86"/>
      <c r="BE58" s="32"/>
      <c r="BF58" s="33"/>
      <c r="BG58" s="4"/>
      <c r="BH58" s="5" t="str">
        <f t="shared" si="252"/>
        <v/>
      </c>
      <c r="BI58" s="5"/>
      <c r="BJ58" s="5"/>
      <c r="BK58" s="5"/>
      <c r="BL58" s="5"/>
      <c r="BM58" s="4"/>
      <c r="BN58" s="45" t="str">
        <f t="shared" si="267"/>
        <v/>
      </c>
      <c r="BO58" s="61" t="str">
        <f t="shared" si="268"/>
        <v/>
      </c>
      <c r="BP58" s="44" t="str">
        <f t="shared" si="257"/>
        <v/>
      </c>
      <c r="BQ58" s="46" t="str">
        <f t="shared" si="266"/>
        <v/>
      </c>
      <c r="BR58" s="29"/>
      <c r="BT58" s="87"/>
      <c r="BU58" s="43"/>
      <c r="BV58" s="43" t="str">
        <f t="shared" si="259"/>
        <v/>
      </c>
      <c r="BW58" s="43"/>
      <c r="BX58" s="43"/>
      <c r="BY58" s="44"/>
      <c r="BZ58" s="44"/>
      <c r="CA58" s="44"/>
      <c r="CB58" s="45"/>
      <c r="CC58" s="61"/>
      <c r="CD58" s="44"/>
      <c r="CE58" s="46"/>
      <c r="CF58" s="29"/>
      <c r="CH58" s="14"/>
      <c r="CI58" s="39"/>
      <c r="CJ58" s="5"/>
      <c r="CK58" s="5"/>
      <c r="CL58" s="5"/>
      <c r="CM58" s="5"/>
      <c r="CN58" s="5"/>
      <c r="CO58" s="5"/>
      <c r="CP58" s="5"/>
      <c r="CQ58" s="5"/>
      <c r="CR58" s="5"/>
      <c r="CS58" s="36"/>
      <c r="CT58" s="29"/>
      <c r="CV58" s="14"/>
      <c r="CW58" s="39"/>
      <c r="CX58" s="5"/>
      <c r="CY58" s="5"/>
      <c r="CZ58" s="5"/>
      <c r="DA58" s="5"/>
      <c r="DB58" s="5"/>
      <c r="DC58" s="5"/>
      <c r="DD58" s="5"/>
      <c r="DE58" s="5"/>
      <c r="DF58" s="5"/>
      <c r="DG58" s="36"/>
      <c r="DH58" s="29"/>
      <c r="DJ58" s="14"/>
      <c r="DK58" s="39"/>
      <c r="DL58" s="5"/>
      <c r="DM58" s="5"/>
      <c r="DN58" s="5"/>
      <c r="DO58" s="5"/>
      <c r="DP58" s="5"/>
      <c r="DQ58" s="5"/>
      <c r="DR58" s="5"/>
      <c r="DS58" s="5"/>
      <c r="DT58" s="5"/>
      <c r="DU58" s="36"/>
      <c r="DV58" s="29"/>
      <c r="DX58" s="14"/>
      <c r="DY58" s="39"/>
      <c r="DZ58" s="5"/>
      <c r="EA58" s="5"/>
      <c r="EB58" s="5"/>
      <c r="EC58" s="5"/>
      <c r="ED58" s="5"/>
      <c r="EE58" s="5"/>
      <c r="EF58" s="5"/>
      <c r="EG58" s="5"/>
      <c r="EH58" s="5"/>
      <c r="EI58" s="36"/>
      <c r="EJ58" s="29"/>
      <c r="EL58" s="14"/>
      <c r="EM58" s="39"/>
      <c r="EN58" s="5"/>
      <c r="EO58" s="5"/>
      <c r="EP58" s="5"/>
      <c r="EQ58" s="5"/>
      <c r="ER58" s="5"/>
      <c r="ES58" s="5"/>
      <c r="ET58" s="5"/>
      <c r="EU58" s="5"/>
      <c r="EV58" s="5"/>
      <c r="EW58" s="36"/>
      <c r="EX58" s="29"/>
      <c r="EZ58" s="14"/>
      <c r="FA58" s="39"/>
      <c r="FB58" s="5"/>
      <c r="FC58" s="5"/>
      <c r="FD58" s="5"/>
      <c r="FE58" s="5"/>
      <c r="FF58" s="5"/>
      <c r="FG58" s="5"/>
      <c r="FH58" s="5"/>
      <c r="FI58" s="5"/>
      <c r="FJ58" s="5"/>
      <c r="FK58" s="36"/>
      <c r="FL58" s="29"/>
      <c r="FN58" s="14"/>
      <c r="FO58" s="39"/>
      <c r="FP58" s="5"/>
      <c r="FQ58" s="5"/>
      <c r="FR58" s="5"/>
      <c r="FS58" s="5"/>
      <c r="FT58" s="5"/>
      <c r="FU58" s="5"/>
      <c r="FV58" s="5"/>
      <c r="FW58" s="5"/>
      <c r="FX58" s="5"/>
      <c r="FY58" s="36"/>
      <c r="FZ58" s="29"/>
      <c r="GB58" s="14"/>
      <c r="GC58" s="39"/>
      <c r="GD58" s="5"/>
      <c r="GE58" s="5"/>
      <c r="GF58" s="5"/>
      <c r="GG58" s="5"/>
      <c r="GH58" s="5"/>
      <c r="GI58" s="5"/>
      <c r="GJ58" s="5"/>
      <c r="GK58" s="5"/>
      <c r="GL58" s="5"/>
      <c r="GM58" s="36"/>
      <c r="GN58" s="29"/>
      <c r="GP58" s="14"/>
      <c r="GQ58" s="39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36"/>
      <c r="HD58" s="29"/>
      <c r="HF58" s="14"/>
      <c r="HG58" s="39"/>
      <c r="HH58" s="5"/>
      <c r="HI58" s="5"/>
      <c r="HJ58" s="29"/>
      <c r="HL58" s="14"/>
      <c r="HM58" s="39"/>
      <c r="HN58" s="5"/>
      <c r="HO58" s="5"/>
      <c r="HP58" s="29"/>
      <c r="HR58" s="14"/>
      <c r="HS58" s="39"/>
      <c r="HT58" s="5"/>
      <c r="HU58" s="5"/>
      <c r="HV58" s="29"/>
    </row>
    <row r="59" spans="1:230" ht="15" customHeight="1" thickTop="1" x14ac:dyDescent="0.2">
      <c r="A59" s="33"/>
      <c r="B59" s="26"/>
      <c r="C59" s="89" t="s">
        <v>20</v>
      </c>
      <c r="D59" s="4">
        <f>SUM(D3:D55)*100</f>
        <v>67000</v>
      </c>
      <c r="E59" s="90" t="s">
        <v>284</v>
      </c>
      <c r="F59" s="4"/>
      <c r="G59" s="89"/>
      <c r="H59" s="4"/>
      <c r="I59" s="4"/>
      <c r="J59" s="164" t="s">
        <v>21</v>
      </c>
      <c r="K59" s="164"/>
      <c r="L59" s="4">
        <f>SUM(L3:L55)</f>
        <v>18536</v>
      </c>
      <c r="M59" s="4"/>
      <c r="N59" s="34"/>
      <c r="P59" s="33"/>
      <c r="Q59" s="89" t="s">
        <v>20</v>
      </c>
      <c r="R59" s="4">
        <f>SUM(R3:R55)*100</f>
        <v>79900</v>
      </c>
      <c r="S59" s="90" t="s">
        <v>284</v>
      </c>
      <c r="T59" s="4"/>
      <c r="U59" s="89"/>
      <c r="V59" s="4"/>
      <c r="W59" s="4"/>
      <c r="X59" s="164" t="s">
        <v>21</v>
      </c>
      <c r="Y59" s="164"/>
      <c r="Z59" s="4">
        <f>SUM(Z3:Z55)</f>
        <v>6788</v>
      </c>
      <c r="AA59" s="4"/>
      <c r="AB59" s="34"/>
      <c r="AD59" s="33"/>
      <c r="AE59" s="89" t="s">
        <v>20</v>
      </c>
      <c r="AF59" s="4">
        <f>SUM(AF3:AF55)*100</f>
        <v>58600</v>
      </c>
      <c r="AG59" s="90" t="s">
        <v>284</v>
      </c>
      <c r="AH59" s="4"/>
      <c r="AI59" s="89"/>
      <c r="AJ59" s="4"/>
      <c r="AK59" s="4"/>
      <c r="AL59" s="164" t="s">
        <v>21</v>
      </c>
      <c r="AM59" s="164"/>
      <c r="AN59" s="4">
        <f>SUM(AN3:AN55)</f>
        <v>6556</v>
      </c>
      <c r="AO59" s="4"/>
      <c r="AP59" s="34"/>
      <c r="AR59" s="33"/>
      <c r="AS59" s="89" t="s">
        <v>20</v>
      </c>
      <c r="AT59" s="4">
        <f>SUM(AT3:AT55)*100</f>
        <v>51500</v>
      </c>
      <c r="AU59" s="90" t="s">
        <v>284</v>
      </c>
      <c r="AV59" s="4"/>
      <c r="AW59" s="89"/>
      <c r="AX59" s="4"/>
      <c r="AY59" s="4"/>
      <c r="AZ59" s="164" t="s">
        <v>21</v>
      </c>
      <c r="BA59" s="164"/>
      <c r="BB59" s="4">
        <f>SUM(BB3:BB55)</f>
        <v>11678</v>
      </c>
      <c r="BC59" s="4"/>
      <c r="BD59" s="34"/>
      <c r="BE59" s="32"/>
      <c r="BF59" s="25"/>
      <c r="BG59" s="16" t="s">
        <v>20</v>
      </c>
      <c r="BH59" s="4">
        <f>SUM(BH3:BH55)*100</f>
        <v>66800</v>
      </c>
      <c r="BI59" s="4"/>
      <c r="BJ59" s="4"/>
      <c r="BK59" s="16"/>
      <c r="BL59" s="5"/>
      <c r="BM59" s="5"/>
      <c r="BN59" s="154" t="s">
        <v>21</v>
      </c>
      <c r="BO59" s="154"/>
      <c r="BP59" s="5">
        <f>SUM(BP3:BP55)</f>
        <v>1500</v>
      </c>
      <c r="BQ59" s="5"/>
      <c r="BR59" s="29"/>
      <c r="BT59" s="33"/>
      <c r="BU59" s="89" t="s">
        <v>20</v>
      </c>
      <c r="BV59" s="4">
        <f>SUM(BV3:BV55)*100</f>
        <v>16200</v>
      </c>
      <c r="BW59" s="4"/>
      <c r="BX59" s="4"/>
      <c r="BY59" s="16"/>
      <c r="BZ59" s="5"/>
      <c r="CA59" s="5"/>
      <c r="CB59" s="154" t="s">
        <v>21</v>
      </c>
      <c r="CC59" s="154"/>
      <c r="CD59" s="5">
        <f>SUM(CD3:CD55)</f>
        <v>13350</v>
      </c>
      <c r="CE59" s="5"/>
      <c r="CF59" s="29"/>
      <c r="CH59" s="14"/>
      <c r="CI59" s="23" t="s">
        <v>20</v>
      </c>
      <c r="CJ59" s="5">
        <f>SUM(CJ3:CJ55)*100</f>
        <v>28800</v>
      </c>
      <c r="CK59" s="5"/>
      <c r="CL59" s="5"/>
      <c r="CM59" s="16"/>
      <c r="CN59" s="5"/>
      <c r="CO59" s="5"/>
      <c r="CP59" s="5"/>
      <c r="CQ59" s="5"/>
      <c r="CR59" s="5"/>
      <c r="CS59" s="5"/>
      <c r="CT59" s="29"/>
      <c r="CV59" s="14"/>
      <c r="CW59" s="23" t="s">
        <v>20</v>
      </c>
      <c r="CX59" s="5">
        <f>SUM(CX3:CX55)*100</f>
        <v>5900</v>
      </c>
      <c r="CY59" s="5"/>
      <c r="CZ59" s="5"/>
      <c r="DA59" s="16"/>
      <c r="DB59" s="5"/>
      <c r="DC59" s="5"/>
      <c r="DD59" s="5"/>
      <c r="DE59" s="5"/>
      <c r="DF59" s="5"/>
      <c r="DG59" s="5"/>
      <c r="DH59" s="29"/>
      <c r="DJ59" s="14"/>
      <c r="DK59" s="23" t="s">
        <v>20</v>
      </c>
      <c r="DL59" s="5">
        <f>SUM(DL3:DL55)*100</f>
        <v>11000</v>
      </c>
      <c r="DM59" s="5"/>
      <c r="DN59" s="5"/>
      <c r="DO59" s="16"/>
      <c r="DP59" s="5"/>
      <c r="DQ59" s="5"/>
      <c r="DR59" s="5"/>
      <c r="DS59" s="5"/>
      <c r="DT59" s="5"/>
      <c r="DU59" s="5"/>
      <c r="DV59" s="29"/>
      <c r="DX59" s="14"/>
      <c r="DY59" s="23" t="s">
        <v>20</v>
      </c>
      <c r="DZ59" s="5">
        <f>SUM(DZ3:DZ55)*100</f>
        <v>78100</v>
      </c>
      <c r="EA59" s="5"/>
      <c r="EB59" s="5"/>
      <c r="EC59" s="16"/>
      <c r="ED59" s="5"/>
      <c r="EE59" s="5"/>
      <c r="EF59" s="5"/>
      <c r="EG59" s="5"/>
      <c r="EH59" s="5"/>
      <c r="EI59" s="5"/>
      <c r="EJ59" s="29"/>
      <c r="EL59" s="14"/>
      <c r="EM59" s="23" t="s">
        <v>20</v>
      </c>
      <c r="EN59" s="5">
        <f>SUM(EN3:EN55)*100</f>
        <v>16500</v>
      </c>
      <c r="EO59" s="5"/>
      <c r="EP59" s="5"/>
      <c r="EQ59" s="16"/>
      <c r="ER59" s="5"/>
      <c r="ES59" s="5"/>
      <c r="ET59" s="5"/>
      <c r="EU59" s="5"/>
      <c r="EV59" s="5"/>
      <c r="EW59" s="5"/>
      <c r="EX59" s="29"/>
      <c r="EZ59" s="14"/>
      <c r="FA59" s="23" t="s">
        <v>20</v>
      </c>
      <c r="FB59" s="5">
        <f>SUM(FB3:FB55)*100</f>
        <v>7800</v>
      </c>
      <c r="FC59" s="5"/>
      <c r="FD59" s="5"/>
      <c r="FE59" s="16"/>
      <c r="FF59" s="5"/>
      <c r="FG59" s="5"/>
      <c r="FH59" s="5"/>
      <c r="FI59" s="5"/>
      <c r="FJ59" s="5"/>
      <c r="FK59" s="5"/>
      <c r="FL59" s="29"/>
      <c r="FN59" s="14"/>
      <c r="FO59" s="23" t="s">
        <v>20</v>
      </c>
      <c r="FP59" s="5">
        <f>SUM(FP3:FP55)*100</f>
        <v>20600</v>
      </c>
      <c r="FQ59" s="5"/>
      <c r="FR59" s="5"/>
      <c r="FS59" s="16"/>
      <c r="FT59" s="5"/>
      <c r="FU59" s="5"/>
      <c r="FV59" s="5"/>
      <c r="FW59" s="5"/>
      <c r="FX59" s="5"/>
      <c r="FY59" s="5"/>
      <c r="FZ59" s="29"/>
      <c r="GB59" s="14"/>
      <c r="GC59" s="23" t="s">
        <v>20</v>
      </c>
      <c r="GD59" s="5">
        <f>SUM(GD3:GD55)*100</f>
        <v>7700</v>
      </c>
      <c r="GE59" s="5"/>
      <c r="GF59" s="5"/>
      <c r="GG59" s="16"/>
      <c r="GH59" s="5"/>
      <c r="GI59" s="5"/>
      <c r="GJ59" s="5"/>
      <c r="GK59" s="5"/>
      <c r="GL59" s="5"/>
      <c r="GM59" s="5"/>
      <c r="GN59" s="29"/>
      <c r="GP59" s="14"/>
      <c r="GQ59" s="23" t="s">
        <v>20</v>
      </c>
      <c r="GR59" s="5">
        <f>SUM(GR3:GR55)*100</f>
        <v>19700</v>
      </c>
      <c r="GS59" s="5"/>
      <c r="GT59" s="5"/>
      <c r="GU59" s="5"/>
      <c r="GV59" s="5"/>
      <c r="GW59" s="16"/>
      <c r="GX59" s="5"/>
      <c r="GY59" s="5"/>
      <c r="GZ59" s="5"/>
      <c r="HA59" s="5"/>
      <c r="HB59" s="5"/>
      <c r="HC59" s="5"/>
      <c r="HD59" s="29"/>
      <c r="HF59" s="14"/>
      <c r="HG59" s="23" t="s">
        <v>20</v>
      </c>
      <c r="HH59" s="5">
        <f>SUM(HH3:HH55)*100</f>
        <v>6600</v>
      </c>
      <c r="HI59" s="5"/>
      <c r="HJ59" s="29"/>
      <c r="HL59" s="14"/>
      <c r="HM59" s="23" t="s">
        <v>20</v>
      </c>
      <c r="HN59" s="5">
        <f>SUM(HN3:HN55)*100</f>
        <v>6600</v>
      </c>
      <c r="HO59" s="5"/>
      <c r="HP59" s="29"/>
      <c r="HR59" s="14"/>
      <c r="HS59" s="23" t="s">
        <v>20</v>
      </c>
      <c r="HT59" s="5">
        <f>SUM(HT3:HT55)*100</f>
        <v>8900</v>
      </c>
      <c r="HU59" s="5"/>
      <c r="HV59" s="29"/>
    </row>
    <row r="60" spans="1:230" x14ac:dyDescent="0.2">
      <c r="A60" s="91"/>
      <c r="B60" s="71"/>
      <c r="C60" s="16" t="s">
        <v>22</v>
      </c>
      <c r="D60" s="5">
        <f>D59/A64</f>
        <v>6700</v>
      </c>
      <c r="E60" s="5">
        <f>D60*A63</f>
        <v>201000</v>
      </c>
      <c r="F60" s="5"/>
      <c r="G60" s="16"/>
      <c r="H60" s="5"/>
      <c r="I60" s="5"/>
      <c r="J60" s="161" t="s">
        <v>23</v>
      </c>
      <c r="K60" s="161"/>
      <c r="L60" s="5"/>
      <c r="M60" s="92">
        <f>L59/D59</f>
        <v>0.27665671641791045</v>
      </c>
      <c r="N60" s="29"/>
      <c r="P60" s="93"/>
      <c r="Q60" s="16" t="s">
        <v>22</v>
      </c>
      <c r="R60" s="5">
        <f>R59/A64</f>
        <v>7990</v>
      </c>
      <c r="S60" s="5">
        <f>R60*A63</f>
        <v>239700</v>
      </c>
      <c r="T60" s="5"/>
      <c r="U60" s="16"/>
      <c r="V60" s="5"/>
      <c r="W60" s="5"/>
      <c r="X60" s="161" t="s">
        <v>23</v>
      </c>
      <c r="Y60" s="161"/>
      <c r="Z60" s="5"/>
      <c r="AA60" s="92">
        <f>Z59/R59</f>
        <v>8.4956195244055066E-2</v>
      </c>
      <c r="AB60" s="29"/>
      <c r="AD60" s="93"/>
      <c r="AE60" s="16" t="s">
        <v>22</v>
      </c>
      <c r="AF60" s="5">
        <f>AF59/A64</f>
        <v>5860</v>
      </c>
      <c r="AG60" s="5">
        <f>AF60*A63</f>
        <v>175800</v>
      </c>
      <c r="AH60" s="5"/>
      <c r="AI60" s="16"/>
      <c r="AJ60" s="5"/>
      <c r="AK60" s="5"/>
      <c r="AL60" s="161" t="s">
        <v>23</v>
      </c>
      <c r="AM60" s="161"/>
      <c r="AN60" s="5"/>
      <c r="AO60" s="92">
        <f>AN59/AF59</f>
        <v>0.11187713310580205</v>
      </c>
      <c r="AP60" s="29"/>
      <c r="AR60" s="93"/>
      <c r="AS60" s="16" t="s">
        <v>22</v>
      </c>
      <c r="AT60" s="5">
        <f>AT59/A64</f>
        <v>5150</v>
      </c>
      <c r="AU60" s="5">
        <f>AT60*A63</f>
        <v>154500</v>
      </c>
      <c r="AV60" s="5"/>
      <c r="AW60" s="16"/>
      <c r="AX60" s="5"/>
      <c r="AY60" s="5"/>
      <c r="AZ60" s="161" t="s">
        <v>23</v>
      </c>
      <c r="BA60" s="161"/>
      <c r="BB60" s="5"/>
      <c r="BC60" s="92">
        <f>BB59/AT59</f>
        <v>0.22675728155339805</v>
      </c>
      <c r="BD60" s="29"/>
      <c r="BE60" s="32"/>
      <c r="BF60" s="25"/>
      <c r="BG60" s="16" t="s">
        <v>22</v>
      </c>
      <c r="BH60" s="5">
        <f>BH59/A64</f>
        <v>6680</v>
      </c>
      <c r="BI60" s="5">
        <f>BH60*$A63</f>
        <v>200400</v>
      </c>
      <c r="BJ60" s="5"/>
      <c r="BK60" s="16"/>
      <c r="BL60" s="5"/>
      <c r="BM60" s="5"/>
      <c r="BN60" s="154" t="s">
        <v>23</v>
      </c>
      <c r="BO60" s="154"/>
      <c r="BP60" s="5"/>
      <c r="BQ60" s="92">
        <f>BP59/BH59</f>
        <v>2.2455089820359281E-2</v>
      </c>
      <c r="BR60" s="29"/>
      <c r="BT60" s="25"/>
      <c r="BU60" s="16" t="s">
        <v>22</v>
      </c>
      <c r="BV60" s="5">
        <f>BV59/A64</f>
        <v>1620</v>
      </c>
      <c r="BW60" s="5">
        <f>BV60*$A63</f>
        <v>48600</v>
      </c>
      <c r="BX60" s="5"/>
      <c r="BY60" s="16"/>
      <c r="BZ60" s="5"/>
      <c r="CA60" s="5"/>
      <c r="CB60" s="154" t="s">
        <v>23</v>
      </c>
      <c r="CC60" s="154"/>
      <c r="CD60" s="5"/>
      <c r="CE60" s="92">
        <f>CD59/BV59</f>
        <v>0.82407407407407407</v>
      </c>
      <c r="CF60" s="29"/>
      <c r="CH60" s="14"/>
      <c r="CI60" s="23" t="s">
        <v>22</v>
      </c>
      <c r="CJ60" s="5">
        <f>CJ59/A64</f>
        <v>2880</v>
      </c>
      <c r="CK60" s="5">
        <f>CJ60*A63</f>
        <v>86400</v>
      </c>
      <c r="CL60" s="5"/>
      <c r="CM60" s="16"/>
      <c r="CN60" s="5"/>
      <c r="CO60" s="5"/>
      <c r="CP60" s="5"/>
      <c r="CQ60" s="5"/>
      <c r="CR60" s="5"/>
      <c r="CS60" s="5"/>
      <c r="CT60" s="29"/>
      <c r="CV60" s="14"/>
      <c r="CW60" s="23" t="s">
        <v>22</v>
      </c>
      <c r="CX60" s="5">
        <f>CX59/A64</f>
        <v>590</v>
      </c>
      <c r="CY60" s="5">
        <f>CX60*A63</f>
        <v>17700</v>
      </c>
      <c r="CZ60" s="5"/>
      <c r="DA60" s="16"/>
      <c r="DB60" s="5"/>
      <c r="DC60" s="5"/>
      <c r="DD60" s="5"/>
      <c r="DE60" s="5"/>
      <c r="DF60" s="5"/>
      <c r="DG60" s="5"/>
      <c r="DH60" s="29"/>
      <c r="DJ60" s="14"/>
      <c r="DK60" s="23" t="s">
        <v>22</v>
      </c>
      <c r="DL60" s="5">
        <f>DL59/A64</f>
        <v>1100</v>
      </c>
      <c r="DM60" s="5">
        <f>DL60*A63</f>
        <v>33000</v>
      </c>
      <c r="DN60" s="5"/>
      <c r="DO60" s="16"/>
      <c r="DP60" s="5"/>
      <c r="DQ60" s="5"/>
      <c r="DR60" s="5"/>
      <c r="DS60" s="5"/>
      <c r="DT60" s="5"/>
      <c r="DU60" s="5"/>
      <c r="DV60" s="29"/>
      <c r="DX60" s="14"/>
      <c r="DY60" s="23" t="s">
        <v>22</v>
      </c>
      <c r="DZ60" s="5">
        <f>DZ59/A64</f>
        <v>7810</v>
      </c>
      <c r="EA60" s="5">
        <f>DZ60*A63</f>
        <v>234300</v>
      </c>
      <c r="EB60" s="5"/>
      <c r="EC60" s="16"/>
      <c r="ED60" s="5"/>
      <c r="EE60" s="5"/>
      <c r="EF60" s="5"/>
      <c r="EG60" s="5"/>
      <c r="EH60" s="5"/>
      <c r="EI60" s="5"/>
      <c r="EJ60" s="29"/>
      <c r="EL60" s="14"/>
      <c r="EM60" s="23" t="s">
        <v>22</v>
      </c>
      <c r="EN60" s="5">
        <f>EN59/A64</f>
        <v>1650</v>
      </c>
      <c r="EO60" s="5">
        <f>EN60*A63</f>
        <v>49500</v>
      </c>
      <c r="EP60" s="5"/>
      <c r="EQ60" s="16"/>
      <c r="ER60" s="5"/>
      <c r="ES60" s="5"/>
      <c r="ET60" s="5"/>
      <c r="EU60" s="5"/>
      <c r="EV60" s="5"/>
      <c r="EW60" s="5"/>
      <c r="EX60" s="29"/>
      <c r="EZ60" s="14"/>
      <c r="FA60" s="23" t="s">
        <v>22</v>
      </c>
      <c r="FB60" s="5">
        <f>FB59/A64</f>
        <v>780</v>
      </c>
      <c r="FC60" s="5">
        <f>FB60*A63</f>
        <v>23400</v>
      </c>
      <c r="FD60" s="5"/>
      <c r="FE60" s="16"/>
      <c r="FF60" s="5"/>
      <c r="FG60" s="5"/>
      <c r="FH60" s="5"/>
      <c r="FI60" s="5"/>
      <c r="FJ60" s="5"/>
      <c r="FK60" s="5"/>
      <c r="FL60" s="29"/>
      <c r="FN60" s="14"/>
      <c r="FO60" s="23" t="s">
        <v>22</v>
      </c>
      <c r="FP60" s="5">
        <f>FP59/A64</f>
        <v>2060</v>
      </c>
      <c r="FQ60" s="5">
        <f>FP60*A63</f>
        <v>61800</v>
      </c>
      <c r="FR60" s="5"/>
      <c r="FS60" s="16"/>
      <c r="FT60" s="5"/>
      <c r="FU60" s="5"/>
      <c r="FV60" s="5"/>
      <c r="FW60" s="5"/>
      <c r="FX60" s="5"/>
      <c r="FY60" s="5"/>
      <c r="FZ60" s="29"/>
      <c r="GB60" s="14"/>
      <c r="GC60" s="23" t="s">
        <v>22</v>
      </c>
      <c r="GD60" s="5">
        <f>GD59/A64</f>
        <v>770</v>
      </c>
      <c r="GE60" s="5">
        <f>GD60*A63</f>
        <v>23100</v>
      </c>
      <c r="GF60" s="5"/>
      <c r="GG60" s="16"/>
      <c r="GH60" s="5"/>
      <c r="GI60" s="5"/>
      <c r="GJ60" s="5"/>
      <c r="GK60" s="5"/>
      <c r="GL60" s="5"/>
      <c r="GM60" s="5"/>
      <c r="GN60" s="29"/>
      <c r="GP60" s="14"/>
      <c r="GQ60" s="23" t="s">
        <v>22</v>
      </c>
      <c r="GR60" s="5">
        <f>GR59/A64</f>
        <v>1970</v>
      </c>
      <c r="GS60" s="5"/>
      <c r="GT60" s="5"/>
      <c r="GU60" s="5">
        <f>GR60*A63</f>
        <v>59100</v>
      </c>
      <c r="GV60" s="5"/>
      <c r="GW60" s="16"/>
      <c r="GX60" s="5"/>
      <c r="GY60" s="5"/>
      <c r="GZ60" s="5"/>
      <c r="HA60" s="5"/>
      <c r="HB60" s="5"/>
      <c r="HC60" s="5"/>
      <c r="HD60" s="29"/>
      <c r="HF60" s="14"/>
      <c r="HG60" s="23" t="s">
        <v>22</v>
      </c>
      <c r="HH60" s="5">
        <f>HH59/A64</f>
        <v>660</v>
      </c>
      <c r="HI60" s="5">
        <f>HH60*A63</f>
        <v>19800</v>
      </c>
      <c r="HJ60" s="29"/>
      <c r="HL60" s="14"/>
      <c r="HM60" s="23" t="s">
        <v>22</v>
      </c>
      <c r="HN60" s="5">
        <f>HN59/A64</f>
        <v>660</v>
      </c>
      <c r="HO60" s="5">
        <f>HN60*A63</f>
        <v>19800</v>
      </c>
      <c r="HP60" s="29"/>
      <c r="HR60" s="14"/>
      <c r="HS60" s="23" t="s">
        <v>22</v>
      </c>
      <c r="HT60" s="5">
        <f>HT59/A64</f>
        <v>890</v>
      </c>
      <c r="HU60" s="5">
        <f>HT60*A63</f>
        <v>26700</v>
      </c>
      <c r="HV60" s="29"/>
    </row>
    <row r="61" spans="1:230" x14ac:dyDescent="0.2">
      <c r="A61" s="25"/>
      <c r="B61" s="94"/>
      <c r="C61" s="23" t="s">
        <v>24</v>
      </c>
      <c r="D61" s="5">
        <f>D59*0.6</f>
        <v>40200</v>
      </c>
      <c r="E61" s="5"/>
      <c r="F61" s="5"/>
      <c r="G61" s="16"/>
      <c r="H61" s="5"/>
      <c r="I61" s="5"/>
      <c r="J61" s="161" t="s">
        <v>25</v>
      </c>
      <c r="K61" s="161"/>
      <c r="L61" s="5">
        <f>D61-L59</f>
        <v>21664</v>
      </c>
      <c r="M61" s="92">
        <f>L61/D59</f>
        <v>0.32334328358208952</v>
      </c>
      <c r="N61" s="29"/>
      <c r="P61" s="25"/>
      <c r="Q61" s="23" t="s">
        <v>24</v>
      </c>
      <c r="R61" s="5">
        <f>R59*0.6</f>
        <v>47940</v>
      </c>
      <c r="S61" s="5"/>
      <c r="T61" s="5"/>
      <c r="U61" s="16"/>
      <c r="V61" s="5"/>
      <c r="W61" s="5"/>
      <c r="X61" s="161" t="s">
        <v>25</v>
      </c>
      <c r="Y61" s="161"/>
      <c r="Z61" s="5">
        <f>R61-Z59</f>
        <v>41152</v>
      </c>
      <c r="AA61" s="92">
        <f>Z61/R59</f>
        <v>0.51504380475594491</v>
      </c>
      <c r="AB61" s="29"/>
      <c r="AD61" s="25"/>
      <c r="AE61" s="23" t="s">
        <v>24</v>
      </c>
      <c r="AF61" s="5">
        <f>AF59*0.6</f>
        <v>35160</v>
      </c>
      <c r="AG61" s="5"/>
      <c r="AH61" s="5"/>
      <c r="AI61" s="16"/>
      <c r="AJ61" s="5"/>
      <c r="AK61" s="5"/>
      <c r="AL61" s="161" t="s">
        <v>25</v>
      </c>
      <c r="AM61" s="161"/>
      <c r="AN61" s="5">
        <f>AF61-AN59</f>
        <v>28604</v>
      </c>
      <c r="AO61" s="92">
        <f>AN61/AF59</f>
        <v>0.48812286689419793</v>
      </c>
      <c r="AP61" s="29"/>
      <c r="AR61" s="25"/>
      <c r="AS61" s="23" t="s">
        <v>24</v>
      </c>
      <c r="AT61" s="5">
        <f>AT59*0.6</f>
        <v>30900</v>
      </c>
      <c r="AU61" s="5"/>
      <c r="AV61" s="5"/>
      <c r="AW61" s="16"/>
      <c r="AX61" s="5"/>
      <c r="AY61" s="5"/>
      <c r="AZ61" s="161" t="s">
        <v>25</v>
      </c>
      <c r="BA61" s="161"/>
      <c r="BB61" s="5">
        <f>AT61-BB59</f>
        <v>19222</v>
      </c>
      <c r="BC61" s="92">
        <f>BB61/AT59</f>
        <v>0.37324271844660195</v>
      </c>
      <c r="BD61" s="29"/>
      <c r="BE61" s="32"/>
      <c r="BF61" s="25"/>
      <c r="BG61" s="16" t="s">
        <v>24</v>
      </c>
      <c r="BH61" s="5">
        <f>BH59*$K69</f>
        <v>0</v>
      </c>
      <c r="BI61" s="5"/>
      <c r="BJ61" s="5"/>
      <c r="BK61" s="16"/>
      <c r="BL61" s="5"/>
      <c r="BM61" s="5"/>
      <c r="BN61" s="154" t="s">
        <v>25</v>
      </c>
      <c r="BO61" s="154"/>
      <c r="BP61" s="5">
        <f>BH61-BP59</f>
        <v>-1500</v>
      </c>
      <c r="BQ61" s="92">
        <f>BP61/BH59</f>
        <v>-2.2455089820359281E-2</v>
      </c>
      <c r="BR61" s="29"/>
      <c r="BT61" s="25"/>
      <c r="BU61" s="16" t="s">
        <v>24</v>
      </c>
      <c r="BV61" s="5">
        <f>BV59*$K69</f>
        <v>0</v>
      </c>
      <c r="BW61" s="5"/>
      <c r="BX61" s="5"/>
      <c r="BY61" s="16"/>
      <c r="BZ61" s="5"/>
      <c r="CA61" s="5"/>
      <c r="CB61" s="154" t="s">
        <v>25</v>
      </c>
      <c r="CC61" s="154"/>
      <c r="CD61" s="5">
        <f>BV61-CD59</f>
        <v>-13350</v>
      </c>
      <c r="CE61" s="92">
        <f>CD61/BV59</f>
        <v>-0.82407407407407407</v>
      </c>
      <c r="CF61" s="29"/>
      <c r="CH61" s="14"/>
      <c r="CI61" s="23" t="s">
        <v>24</v>
      </c>
      <c r="CJ61" s="5">
        <f>CJ59*0.6</f>
        <v>17280</v>
      </c>
      <c r="CK61" s="5"/>
      <c r="CL61" s="5"/>
      <c r="CM61" s="16" t="s">
        <v>37</v>
      </c>
      <c r="CN61" s="5">
        <f>SUM(CR3:CR55)</f>
        <v>5280</v>
      </c>
      <c r="CO61" s="92">
        <f>CN61/CJ59</f>
        <v>0.18333333333333332</v>
      </c>
      <c r="CP61" s="92"/>
      <c r="CQ61" s="5"/>
      <c r="CR61" s="5"/>
      <c r="CS61" s="5"/>
      <c r="CT61" s="29"/>
      <c r="CV61" s="14"/>
      <c r="CW61" s="23" t="s">
        <v>24</v>
      </c>
      <c r="CX61" s="5">
        <f>CX59*0.6</f>
        <v>3540</v>
      </c>
      <c r="CY61" s="5"/>
      <c r="CZ61" s="5"/>
      <c r="DA61" s="16" t="s">
        <v>37</v>
      </c>
      <c r="DB61" s="5">
        <f>SUM(DF3:DF55)</f>
        <v>1760</v>
      </c>
      <c r="DC61" s="92">
        <f>DB61/CX59</f>
        <v>0.29830508474576273</v>
      </c>
      <c r="DD61" s="92"/>
      <c r="DE61" s="5"/>
      <c r="DF61" s="5"/>
      <c r="DG61" s="5"/>
      <c r="DH61" s="29"/>
      <c r="DJ61" s="14"/>
      <c r="DK61" s="23" t="s">
        <v>24</v>
      </c>
      <c r="DL61" s="5">
        <f>DL59*0.6</f>
        <v>6600</v>
      </c>
      <c r="DM61" s="5"/>
      <c r="DN61" s="5"/>
      <c r="DO61" s="16" t="s">
        <v>37</v>
      </c>
      <c r="DP61" s="5">
        <f>SUM(DT3:DT55)</f>
        <v>3520</v>
      </c>
      <c r="DQ61" s="92">
        <f>DP61/DL59</f>
        <v>0.32</v>
      </c>
      <c r="DR61" s="92"/>
      <c r="DS61" s="5"/>
      <c r="DT61" s="5"/>
      <c r="DU61" s="5"/>
      <c r="DV61" s="29"/>
      <c r="DX61" s="14"/>
      <c r="DY61" s="23" t="s">
        <v>24</v>
      </c>
      <c r="DZ61" s="5">
        <f>DZ59*0.6</f>
        <v>46860</v>
      </c>
      <c r="EA61" s="5"/>
      <c r="EB61" s="5"/>
      <c r="EC61" s="16" t="s">
        <v>37</v>
      </c>
      <c r="ED61" s="5">
        <f>SUM(EH3:EH55)</f>
        <v>22500</v>
      </c>
      <c r="EE61" s="92">
        <f>ED61/DZ59</f>
        <v>0.28809218950064019</v>
      </c>
      <c r="EF61" s="92"/>
      <c r="EG61" s="5"/>
      <c r="EH61" s="5"/>
      <c r="EI61" s="5"/>
      <c r="EJ61" s="29"/>
      <c r="EL61" s="14"/>
      <c r="EM61" s="23" t="s">
        <v>24</v>
      </c>
      <c r="EN61" s="5">
        <f>EN59*0.6</f>
        <v>9900</v>
      </c>
      <c r="EO61" s="5"/>
      <c r="EP61" s="5"/>
      <c r="EQ61" s="16" t="s">
        <v>37</v>
      </c>
      <c r="ER61" s="5">
        <f>SUM(EV3:EV55)</f>
        <v>1144</v>
      </c>
      <c r="ES61" s="92">
        <f>ER61/EN59</f>
        <v>6.933333333333333E-2</v>
      </c>
      <c r="ET61" s="92"/>
      <c r="EU61" s="5"/>
      <c r="EV61" s="5"/>
      <c r="EW61" s="5"/>
      <c r="EX61" s="29"/>
      <c r="EZ61" s="14"/>
      <c r="FA61" s="23" t="s">
        <v>24</v>
      </c>
      <c r="FB61" s="5">
        <f>FB59*0.6</f>
        <v>4680</v>
      </c>
      <c r="FC61" s="5"/>
      <c r="FD61" s="5"/>
      <c r="FE61" s="16" t="s">
        <v>37</v>
      </c>
      <c r="FF61" s="5">
        <f>SUM(FJ3:FJ55)</f>
        <v>2400</v>
      </c>
      <c r="FG61" s="92">
        <f>FF61/FB59</f>
        <v>0.30769230769230771</v>
      </c>
      <c r="FH61" s="92"/>
      <c r="FI61" s="5"/>
      <c r="FJ61" s="5"/>
      <c r="FK61" s="5"/>
      <c r="FL61" s="29"/>
      <c r="FN61" s="14"/>
      <c r="FO61" s="23" t="s">
        <v>24</v>
      </c>
      <c r="FP61" s="5">
        <f>FP59*0.6</f>
        <v>12360</v>
      </c>
      <c r="FQ61" s="5"/>
      <c r="FR61" s="5"/>
      <c r="FS61" s="16" t="s">
        <v>37</v>
      </c>
      <c r="FT61" s="5">
        <f>SUM(FX3:FX55)</f>
        <v>5280</v>
      </c>
      <c r="FU61" s="92">
        <f>FT61/FP59</f>
        <v>0.25631067961165049</v>
      </c>
      <c r="FV61" s="92"/>
      <c r="FW61" s="5"/>
      <c r="FX61" s="5"/>
      <c r="FY61" s="5"/>
      <c r="FZ61" s="29"/>
      <c r="GB61" s="14"/>
      <c r="GC61" s="23" t="s">
        <v>24</v>
      </c>
      <c r="GD61" s="5">
        <f>GD59*0.6</f>
        <v>4620</v>
      </c>
      <c r="GE61" s="5"/>
      <c r="GF61" s="5"/>
      <c r="GG61" s="16" t="s">
        <v>37</v>
      </c>
      <c r="GH61" s="5">
        <f>SUM(GL3:GL55)</f>
        <v>2860</v>
      </c>
      <c r="GI61" s="92">
        <f>GH61/GD59</f>
        <v>0.37142857142857144</v>
      </c>
      <c r="GJ61" s="92"/>
      <c r="GK61" s="5"/>
      <c r="GL61" s="5"/>
      <c r="GM61" s="5"/>
      <c r="GN61" s="29"/>
      <c r="GP61" s="14"/>
      <c r="GQ61" s="23" t="s">
        <v>24</v>
      </c>
      <c r="GR61" s="5">
        <f>GR59*0.6</f>
        <v>11820</v>
      </c>
      <c r="GS61" s="5"/>
      <c r="GT61" s="5"/>
      <c r="GU61" s="5"/>
      <c r="GV61" s="5"/>
      <c r="GW61" s="16" t="s">
        <v>37</v>
      </c>
      <c r="GX61" s="5">
        <f>SUM(HB3:HB55)</f>
        <v>2000</v>
      </c>
      <c r="GY61" s="92">
        <f>GX61/GR59</f>
        <v>0.10152284263959391</v>
      </c>
      <c r="GZ61" s="92"/>
      <c r="HA61" s="5"/>
      <c r="HB61" s="5"/>
      <c r="HC61" s="5"/>
      <c r="HD61" s="29"/>
      <c r="HF61" s="14"/>
      <c r="HG61" s="23" t="s">
        <v>24</v>
      </c>
      <c r="HH61" s="5">
        <f>HH59*0.6</f>
        <v>3960</v>
      </c>
      <c r="HI61" s="5"/>
      <c r="HJ61" s="29"/>
      <c r="HL61" s="14"/>
      <c r="HM61" s="23" t="s">
        <v>24</v>
      </c>
      <c r="HN61" s="5">
        <f>HN59*0.6</f>
        <v>3960</v>
      </c>
      <c r="HO61" s="5"/>
      <c r="HP61" s="29"/>
      <c r="HR61" s="14"/>
      <c r="HS61" s="23" t="s">
        <v>24</v>
      </c>
      <c r="HT61" s="5">
        <f>HT59*0.6</f>
        <v>5340</v>
      </c>
      <c r="HU61" s="5"/>
      <c r="HV61" s="29"/>
    </row>
    <row r="62" spans="1:230" x14ac:dyDescent="0.2">
      <c r="A62" s="33"/>
      <c r="B62" s="26"/>
      <c r="C62" s="16" t="s">
        <v>26</v>
      </c>
      <c r="D62" s="5"/>
      <c r="E62" s="5"/>
      <c r="F62" s="5"/>
      <c r="G62" s="16"/>
      <c r="H62" s="5"/>
      <c r="I62" s="95"/>
      <c r="J62" s="159" t="s">
        <v>285</v>
      </c>
      <c r="K62" s="159"/>
      <c r="L62" s="4" t="e">
        <f>(G27+I27)*K27+(G28+I28)*K28+(G29+I29)*K29+(G30+I30)*K30</f>
        <v>#VALUE!</v>
      </c>
      <c r="M62" s="36"/>
      <c r="N62" s="29"/>
      <c r="P62" s="33"/>
      <c r="Q62" s="16" t="s">
        <v>26</v>
      </c>
      <c r="R62" s="5"/>
      <c r="S62" s="5"/>
      <c r="T62" s="5"/>
      <c r="U62" s="16"/>
      <c r="V62" s="5"/>
      <c r="W62" s="95"/>
      <c r="X62" s="159" t="s">
        <v>285</v>
      </c>
      <c r="Y62" s="159"/>
      <c r="Z62" s="4" t="e">
        <f>(U27+W27)*Y27+(U28+W28)*Y28+(U29+W29)*Y29+(U30+W30)*Y30</f>
        <v>#VALUE!</v>
      </c>
      <c r="AA62" s="36"/>
      <c r="AB62" s="29"/>
      <c r="AD62" s="33"/>
      <c r="AE62" s="16" t="s">
        <v>26</v>
      </c>
      <c r="AF62" s="5"/>
      <c r="AG62" s="5"/>
      <c r="AH62" s="5"/>
      <c r="AI62" s="16"/>
      <c r="AJ62" s="5"/>
      <c r="AK62" s="95"/>
      <c r="AL62" s="159" t="s">
        <v>285</v>
      </c>
      <c r="AM62" s="159"/>
      <c r="AN62" s="4" t="e">
        <f>(AI27+AK27)*AM27+(AI28+AK28)*AM28+(AI29+AK29)*AM29+(AI30+AK30)*AM30</f>
        <v>#VALUE!</v>
      </c>
      <c r="AO62" s="36"/>
      <c r="AP62" s="29"/>
      <c r="AR62" s="33"/>
      <c r="AS62" s="16" t="s">
        <v>26</v>
      </c>
      <c r="AT62" s="5"/>
      <c r="AU62" s="5"/>
      <c r="AV62" s="5"/>
      <c r="AW62" s="16"/>
      <c r="AX62" s="5"/>
      <c r="AY62" s="95"/>
      <c r="AZ62" s="159" t="s">
        <v>285</v>
      </c>
      <c r="BA62" s="159"/>
      <c r="BB62" s="4" t="e">
        <f>(AW27+AY27)*BA27+(AW28+AY28)*BA28+(AW29+AY29)*BA29+(AW30+AY30)*BA30</f>
        <v>#VALUE!</v>
      </c>
      <c r="BC62" s="36"/>
      <c r="BD62" s="29"/>
      <c r="BE62" s="32"/>
      <c r="BF62" s="25"/>
      <c r="BG62" s="16" t="s">
        <v>26</v>
      </c>
      <c r="BH62" s="5">
        <f>CH131</f>
        <v>0</v>
      </c>
      <c r="BI62" s="5"/>
      <c r="BJ62" s="5"/>
      <c r="BK62" s="16"/>
      <c r="BL62" s="5"/>
      <c r="BM62" s="5"/>
      <c r="BN62" s="159" t="s">
        <v>285</v>
      </c>
      <c r="BO62" s="160"/>
      <c r="BP62" s="4" t="e">
        <f>(BK35+BM35)*BO35+(BK36+BM36)*BO36+(BK37+BM37)*BO37+(BK38+BM38)*BO38</f>
        <v>#VALUE!</v>
      </c>
      <c r="BQ62" s="36"/>
      <c r="BR62" s="29"/>
      <c r="BT62" s="25"/>
      <c r="BU62" s="16" t="s">
        <v>26</v>
      </c>
      <c r="BV62" s="5">
        <f>DK131</f>
        <v>0</v>
      </c>
      <c r="BW62" s="5"/>
      <c r="BX62" s="5"/>
      <c r="BY62" s="16"/>
      <c r="BZ62" s="5"/>
      <c r="CA62" s="5"/>
      <c r="CB62" s="159" t="s">
        <v>285</v>
      </c>
      <c r="CC62" s="160"/>
      <c r="CD62" s="4" t="e">
        <f>(BY35+CA35)*CC35+(BY36+CA36)*CC36+(BY37+CA37)*CC37+(BY38+CA38)*CC38</f>
        <v>#VALUE!</v>
      </c>
      <c r="CE62" s="36"/>
      <c r="CF62" s="29"/>
      <c r="CH62" s="14"/>
      <c r="CI62" s="23" t="s">
        <v>26</v>
      </c>
      <c r="CJ62" s="5" t="e">
        <f>#REF!</f>
        <v>#REF!</v>
      </c>
      <c r="CK62" s="5"/>
      <c r="CL62" s="5"/>
      <c r="CM62" s="16" t="s">
        <v>25</v>
      </c>
      <c r="CN62" s="5">
        <f>CJ61-CN61</f>
        <v>12000</v>
      </c>
      <c r="CO62" s="92">
        <f>CN62/CJ59</f>
        <v>0.41666666666666669</v>
      </c>
      <c r="CP62" s="92"/>
      <c r="CQ62" s="36"/>
      <c r="CR62" s="36"/>
      <c r="CS62" s="36"/>
      <c r="CT62" s="29"/>
      <c r="CV62" s="14"/>
      <c r="CW62" s="23" t="s">
        <v>26</v>
      </c>
      <c r="CX62" s="5" t="e">
        <f>#REF!</f>
        <v>#REF!</v>
      </c>
      <c r="CY62" s="5"/>
      <c r="CZ62" s="5"/>
      <c r="DA62" s="16" t="s">
        <v>25</v>
      </c>
      <c r="DB62" s="5">
        <f>CX61-DB61</f>
        <v>1780</v>
      </c>
      <c r="DC62" s="92">
        <f>DB62/CX59</f>
        <v>0.30169491525423731</v>
      </c>
      <c r="DD62" s="92"/>
      <c r="DE62" s="36"/>
      <c r="DF62" s="36"/>
      <c r="DG62" s="36"/>
      <c r="DH62" s="29"/>
      <c r="DJ62" s="14"/>
      <c r="DK62" s="23" t="s">
        <v>26</v>
      </c>
      <c r="DL62" s="5" t="e">
        <f>#REF!</f>
        <v>#REF!</v>
      </c>
      <c r="DM62" s="5"/>
      <c r="DN62" s="5"/>
      <c r="DO62" s="16" t="s">
        <v>25</v>
      </c>
      <c r="DP62" s="5">
        <f>DL61-DP61</f>
        <v>3080</v>
      </c>
      <c r="DQ62" s="92">
        <f>DP62/DL59</f>
        <v>0.28000000000000003</v>
      </c>
      <c r="DR62" s="92"/>
      <c r="DS62" s="36"/>
      <c r="DT62" s="36"/>
      <c r="DU62" s="36"/>
      <c r="DV62" s="29"/>
      <c r="DX62" s="14"/>
      <c r="DY62" s="23" t="s">
        <v>26</v>
      </c>
      <c r="DZ62" s="5">
        <f>DZ133</f>
        <v>252800</v>
      </c>
      <c r="EA62" s="5"/>
      <c r="EB62" s="5"/>
      <c r="EC62" s="16" t="s">
        <v>25</v>
      </c>
      <c r="ED62" s="5">
        <f>DZ61-ED61</f>
        <v>24360</v>
      </c>
      <c r="EE62" s="92">
        <f>ED62/DZ59</f>
        <v>0.31190781049935978</v>
      </c>
      <c r="EF62" s="92"/>
      <c r="EG62" s="36"/>
      <c r="EH62" s="36"/>
      <c r="EI62" s="36"/>
      <c r="EJ62" s="29"/>
      <c r="EL62" s="14"/>
      <c r="EM62" s="23" t="s">
        <v>26</v>
      </c>
      <c r="EN62" s="5" t="e">
        <f>#REF!</f>
        <v>#REF!</v>
      </c>
      <c r="EO62" s="5"/>
      <c r="EP62" s="5"/>
      <c r="EQ62" s="16" t="s">
        <v>25</v>
      </c>
      <c r="ER62" s="5">
        <f>EN61-ER61</f>
        <v>8756</v>
      </c>
      <c r="ES62" s="92">
        <f>ER62/EN59</f>
        <v>0.53066666666666662</v>
      </c>
      <c r="ET62" s="92"/>
      <c r="EU62" s="36"/>
      <c r="EV62" s="36"/>
      <c r="EW62" s="36"/>
      <c r="EX62" s="29"/>
      <c r="EZ62" s="14"/>
      <c r="FA62" s="23" t="s">
        <v>26</v>
      </c>
      <c r="FB62" s="5" t="e">
        <f>#REF!</f>
        <v>#REF!</v>
      </c>
      <c r="FC62" s="5"/>
      <c r="FD62" s="5"/>
      <c r="FE62" s="16" t="s">
        <v>25</v>
      </c>
      <c r="FF62" s="5">
        <f>FB61-FF61</f>
        <v>2280</v>
      </c>
      <c r="FG62" s="92">
        <f>FF62/FB59</f>
        <v>0.29230769230769232</v>
      </c>
      <c r="FH62" s="92"/>
      <c r="FI62" s="36"/>
      <c r="FJ62" s="36"/>
      <c r="FK62" s="36"/>
      <c r="FL62" s="29"/>
      <c r="FN62" s="14"/>
      <c r="FO62" s="23" t="s">
        <v>26</v>
      </c>
      <c r="FP62" s="5" t="e">
        <f>#REF!</f>
        <v>#REF!</v>
      </c>
      <c r="FQ62" s="5"/>
      <c r="FR62" s="5"/>
      <c r="FS62" s="16" t="s">
        <v>25</v>
      </c>
      <c r="FT62" s="5">
        <f>FP61-FT61</f>
        <v>7080</v>
      </c>
      <c r="FU62" s="92">
        <f>FT62/FP59</f>
        <v>0.34368932038834954</v>
      </c>
      <c r="FV62" s="92"/>
      <c r="FW62" s="36"/>
      <c r="FX62" s="36"/>
      <c r="FY62" s="36"/>
      <c r="FZ62" s="29"/>
      <c r="GB62" s="14"/>
      <c r="GC62" s="23" t="s">
        <v>26</v>
      </c>
      <c r="GD62" s="5" t="e">
        <f>#REF!</f>
        <v>#REF!</v>
      </c>
      <c r="GE62" s="5"/>
      <c r="GF62" s="5"/>
      <c r="GG62" s="16" t="s">
        <v>25</v>
      </c>
      <c r="GH62" s="5">
        <f>GD61-GH61</f>
        <v>1760</v>
      </c>
      <c r="GI62" s="92">
        <f>GH62/GD59</f>
        <v>0.22857142857142856</v>
      </c>
      <c r="GJ62" s="92"/>
      <c r="GK62" s="36"/>
      <c r="GL62" s="36"/>
      <c r="GM62" s="36"/>
      <c r="GN62" s="29"/>
      <c r="GP62" s="14"/>
      <c r="GQ62" s="23" t="s">
        <v>26</v>
      </c>
      <c r="GR62" s="5" t="e">
        <f>#REF!</f>
        <v>#REF!</v>
      </c>
      <c r="GS62" s="5"/>
      <c r="GT62" s="5"/>
      <c r="GU62" s="5"/>
      <c r="GV62" s="5"/>
      <c r="GW62" s="16" t="s">
        <v>25</v>
      </c>
      <c r="GX62" s="5">
        <f>GR61-GX61</f>
        <v>9820</v>
      </c>
      <c r="GY62" s="92">
        <f>GX62/GR59</f>
        <v>0.4984771573604061</v>
      </c>
      <c r="GZ62" s="92"/>
      <c r="HA62" s="36"/>
      <c r="HB62" s="36"/>
      <c r="HC62" s="36"/>
      <c r="HD62" s="29"/>
      <c r="HF62" s="14"/>
      <c r="HG62" s="23" t="s">
        <v>26</v>
      </c>
      <c r="HH62" s="5" t="e">
        <f>#REF!</f>
        <v>#REF!</v>
      </c>
      <c r="HI62" s="5"/>
      <c r="HJ62" s="29"/>
      <c r="HL62" s="14"/>
      <c r="HM62" s="23" t="s">
        <v>26</v>
      </c>
      <c r="HN62" s="5" t="e">
        <f>#REF!</f>
        <v>#REF!</v>
      </c>
      <c r="HO62" s="5"/>
      <c r="HP62" s="29"/>
      <c r="HR62" s="14"/>
      <c r="HS62" s="23" t="s">
        <v>26</v>
      </c>
      <c r="HT62" s="5" t="e">
        <f>#REF!</f>
        <v>#REF!</v>
      </c>
      <c r="HU62" s="5"/>
      <c r="HV62" s="29"/>
    </row>
    <row r="63" spans="1:230" x14ac:dyDescent="0.2">
      <c r="A63" s="15">
        <v>30</v>
      </c>
      <c r="B63" s="96">
        <f>SUM(B3:B55)*100</f>
        <v>558200</v>
      </c>
      <c r="C63" s="16"/>
      <c r="D63" s="5"/>
      <c r="E63" s="5"/>
      <c r="F63" s="5"/>
      <c r="G63" s="16"/>
      <c r="H63" s="5"/>
      <c r="I63" s="95"/>
      <c r="J63" s="97"/>
      <c r="K63" s="98"/>
      <c r="L63" s="27"/>
      <c r="M63" s="36"/>
      <c r="N63" s="29"/>
      <c r="P63" s="33"/>
      <c r="Q63" s="16"/>
      <c r="R63" s="5"/>
      <c r="S63" s="5"/>
      <c r="T63" s="5"/>
      <c r="U63" s="16"/>
      <c r="V63" s="5"/>
      <c r="W63" s="95"/>
      <c r="X63" s="97"/>
      <c r="Y63" s="98"/>
      <c r="Z63" s="27"/>
      <c r="AA63" s="36"/>
      <c r="AB63" s="29"/>
      <c r="AD63" s="33"/>
      <c r="AE63" s="16"/>
      <c r="AF63" s="5"/>
      <c r="AG63" s="5"/>
      <c r="AH63" s="5"/>
      <c r="AI63" s="16"/>
      <c r="AJ63" s="5"/>
      <c r="AK63" s="95"/>
      <c r="AL63" s="97"/>
      <c r="AM63" s="98"/>
      <c r="AN63" s="27"/>
      <c r="AO63" s="36"/>
      <c r="AP63" s="29"/>
      <c r="AR63" s="33"/>
      <c r="AS63" s="16"/>
      <c r="AT63" s="5"/>
      <c r="AU63" s="5"/>
      <c r="AV63" s="5"/>
      <c r="AW63" s="16"/>
      <c r="AX63" s="5"/>
      <c r="AY63" s="95"/>
      <c r="AZ63" s="97"/>
      <c r="BA63" s="98"/>
      <c r="BB63" s="27"/>
      <c r="BC63" s="36"/>
      <c r="BD63" s="29"/>
      <c r="BE63" s="32"/>
      <c r="BF63" s="25"/>
      <c r="BG63" s="5"/>
      <c r="BH63" s="5"/>
      <c r="BI63" s="5"/>
      <c r="BJ63" s="5"/>
      <c r="BK63" s="16"/>
      <c r="BL63" s="5"/>
      <c r="BM63" s="5"/>
      <c r="BN63" s="95"/>
      <c r="BO63" s="99"/>
      <c r="BP63" s="39"/>
      <c r="BQ63" s="36"/>
      <c r="BR63" s="29"/>
      <c r="BT63" s="25"/>
      <c r="BU63" s="5"/>
      <c r="BV63" s="5"/>
      <c r="BW63" s="5"/>
      <c r="BX63" s="5"/>
      <c r="BY63" s="16"/>
      <c r="BZ63" s="5"/>
      <c r="CA63" s="5"/>
      <c r="CB63" s="95"/>
      <c r="CC63" s="99"/>
      <c r="CD63" s="39"/>
      <c r="CE63" s="36"/>
      <c r="CF63" s="29"/>
      <c r="CH63" s="14"/>
      <c r="CI63" s="39"/>
      <c r="CJ63" s="5"/>
      <c r="CK63" s="5"/>
      <c r="CL63" s="5"/>
      <c r="CM63" s="154" t="s">
        <v>286</v>
      </c>
      <c r="CN63" s="158"/>
      <c r="CO63" s="5" t="e">
        <f>(CM6+CO6)*CQ6</f>
        <v>#VALUE!</v>
      </c>
      <c r="CP63" s="5"/>
      <c r="CQ63" s="36"/>
      <c r="CR63" s="36"/>
      <c r="CS63" s="36"/>
      <c r="CT63" s="29"/>
      <c r="CV63" s="14"/>
      <c r="CW63" s="39"/>
      <c r="CX63" s="5"/>
      <c r="CY63" s="5"/>
      <c r="CZ63" s="5"/>
      <c r="DA63" s="154" t="s">
        <v>286</v>
      </c>
      <c r="DB63" s="158"/>
      <c r="DC63" s="5" t="e">
        <f>(DA6+DC6)*DE6</f>
        <v>#VALUE!</v>
      </c>
      <c r="DD63" s="5"/>
      <c r="DE63" s="36"/>
      <c r="DF63" s="36"/>
      <c r="DG63" s="36"/>
      <c r="DH63" s="29"/>
      <c r="DJ63" s="14"/>
      <c r="DK63" s="39"/>
      <c r="DL63" s="5"/>
      <c r="DM63" s="5"/>
      <c r="DN63" s="5"/>
      <c r="DO63" s="154" t="s">
        <v>286</v>
      </c>
      <c r="DP63" s="158"/>
      <c r="DQ63" s="5" t="e">
        <f>(DO6+DQ6)*DS6</f>
        <v>#VALUE!</v>
      </c>
      <c r="DR63" s="5"/>
      <c r="DS63" s="36"/>
      <c r="DT63" s="36"/>
      <c r="DU63" s="36"/>
      <c r="DV63" s="29"/>
      <c r="DX63" s="14"/>
      <c r="DY63" s="39"/>
      <c r="DZ63" s="5"/>
      <c r="EA63" s="5"/>
      <c r="EB63" s="5"/>
      <c r="EC63" s="154" t="s">
        <v>286</v>
      </c>
      <c r="ED63" s="158"/>
      <c r="EE63" s="5" t="e">
        <f>(EC6+EE6)*EG6</f>
        <v>#VALUE!</v>
      </c>
      <c r="EF63" s="5"/>
      <c r="EG63" s="36"/>
      <c r="EH63" s="36"/>
      <c r="EI63" s="36"/>
      <c r="EJ63" s="29"/>
      <c r="EL63" s="14"/>
      <c r="EM63" s="39"/>
      <c r="EN63" s="5"/>
      <c r="EO63" s="5"/>
      <c r="EP63" s="5"/>
      <c r="EQ63" s="154" t="s">
        <v>286</v>
      </c>
      <c r="ER63" s="158"/>
      <c r="ES63" s="5" t="e">
        <f>(EQ6+ES6)*EU6</f>
        <v>#VALUE!</v>
      </c>
      <c r="ET63" s="5"/>
      <c r="EU63" s="36"/>
      <c r="EV63" s="36"/>
      <c r="EW63" s="36"/>
      <c r="EX63" s="29"/>
      <c r="EZ63" s="14"/>
      <c r="FA63" s="39"/>
      <c r="FB63" s="5"/>
      <c r="FC63" s="5"/>
      <c r="FD63" s="5"/>
      <c r="FE63" s="154" t="s">
        <v>286</v>
      </c>
      <c r="FF63" s="158"/>
      <c r="FG63" s="5" t="e">
        <f>(FE6+FG6)*FI6</f>
        <v>#VALUE!</v>
      </c>
      <c r="FH63" s="5"/>
      <c r="FI63" s="36"/>
      <c r="FJ63" s="36"/>
      <c r="FK63" s="36"/>
      <c r="FL63" s="29"/>
      <c r="FN63" s="14"/>
      <c r="FO63" s="39"/>
      <c r="FP63" s="5"/>
      <c r="FQ63" s="5"/>
      <c r="FR63" s="5"/>
      <c r="FS63" s="154" t="s">
        <v>286</v>
      </c>
      <c r="FT63" s="158"/>
      <c r="FU63" s="5" t="e">
        <f>(FS6+FU6)*FW6</f>
        <v>#VALUE!</v>
      </c>
      <c r="FV63" s="5"/>
      <c r="FW63" s="36"/>
      <c r="FX63" s="36"/>
      <c r="FY63" s="36"/>
      <c r="FZ63" s="29"/>
      <c r="GB63" s="14"/>
      <c r="GC63" s="39"/>
      <c r="GD63" s="5"/>
      <c r="GE63" s="5"/>
      <c r="GF63" s="5"/>
      <c r="GG63" s="154" t="s">
        <v>286</v>
      </c>
      <c r="GH63" s="158"/>
      <c r="GI63" s="5" t="e">
        <f>(GG6+GI6)*GK6</f>
        <v>#VALUE!</v>
      </c>
      <c r="GJ63" s="5"/>
      <c r="GK63" s="36"/>
      <c r="GL63" s="36"/>
      <c r="GM63" s="36"/>
      <c r="GN63" s="29"/>
      <c r="GP63" s="14"/>
      <c r="GQ63" s="39"/>
      <c r="GR63" s="5"/>
      <c r="GS63" s="5"/>
      <c r="GT63" s="5"/>
      <c r="GU63" s="5"/>
      <c r="GV63" s="5"/>
      <c r="GW63" s="154" t="s">
        <v>286</v>
      </c>
      <c r="GX63" s="158"/>
      <c r="GY63" s="5" t="e">
        <f>(GW6+GY6)*HA6</f>
        <v>#VALUE!</v>
      </c>
      <c r="GZ63" s="5"/>
      <c r="HA63" s="36"/>
      <c r="HB63" s="36"/>
      <c r="HC63" s="36"/>
      <c r="HD63" s="29"/>
      <c r="HF63" s="14"/>
      <c r="HG63" s="39"/>
      <c r="HH63" s="5"/>
      <c r="HI63" s="5"/>
      <c r="HJ63" s="29"/>
      <c r="HL63" s="14"/>
      <c r="HM63" s="39"/>
      <c r="HN63" s="5"/>
      <c r="HO63" s="5"/>
      <c r="HP63" s="29"/>
      <c r="HR63" s="14"/>
      <c r="HS63" s="39"/>
      <c r="HT63" s="5"/>
      <c r="HU63" s="5"/>
      <c r="HV63" s="29"/>
    </row>
    <row r="64" spans="1:230" x14ac:dyDescent="0.2">
      <c r="A64" s="100">
        <f>DATEDIF(A$105,A11,"d")</f>
        <v>10</v>
      </c>
      <c r="B64" s="96"/>
      <c r="C64" s="16"/>
      <c r="D64" s="5"/>
      <c r="E64" s="58"/>
      <c r="F64" s="5"/>
      <c r="G64" s="16"/>
      <c r="H64" s="5"/>
      <c r="I64" s="95"/>
      <c r="J64" s="97"/>
      <c r="K64" s="98"/>
      <c r="L64" s="27"/>
      <c r="M64" s="36"/>
      <c r="N64" s="29"/>
      <c r="P64" s="33"/>
      <c r="Q64" s="16"/>
      <c r="R64" s="5"/>
      <c r="S64" s="5"/>
      <c r="T64" s="5"/>
      <c r="U64" s="16"/>
      <c r="V64" s="5"/>
      <c r="W64" s="95"/>
      <c r="X64" s="97"/>
      <c r="Y64" s="98"/>
      <c r="Z64" s="27"/>
      <c r="AA64" s="36"/>
      <c r="AB64" s="29"/>
      <c r="AD64" s="33"/>
      <c r="AE64" s="16"/>
      <c r="AF64" s="5"/>
      <c r="AG64" s="5"/>
      <c r="AH64" s="5"/>
      <c r="AI64" s="16"/>
      <c r="AJ64" s="5"/>
      <c r="AK64" s="95"/>
      <c r="AL64" s="97"/>
      <c r="AM64" s="98"/>
      <c r="AN64" s="27"/>
      <c r="AO64" s="36"/>
      <c r="AP64" s="29"/>
      <c r="AR64" s="33"/>
      <c r="AS64" s="16"/>
      <c r="AT64" s="5"/>
      <c r="AU64" s="5"/>
      <c r="AV64" s="5"/>
      <c r="AW64" s="16"/>
      <c r="AX64" s="5"/>
      <c r="AY64" s="95"/>
      <c r="AZ64" s="97"/>
      <c r="BA64" s="98"/>
      <c r="BB64" s="27"/>
      <c r="BC64" s="36"/>
      <c r="BD64" s="29"/>
      <c r="BE64" s="32"/>
      <c r="BF64" s="25"/>
      <c r="BG64" s="5"/>
      <c r="BH64" s="5"/>
      <c r="BI64" s="5"/>
      <c r="BJ64" s="5"/>
      <c r="BK64" s="16"/>
      <c r="BL64" s="5"/>
      <c r="BM64" s="5"/>
      <c r="BN64" s="21"/>
      <c r="BO64" s="101"/>
      <c r="BP64" s="102"/>
      <c r="BQ64" s="36"/>
      <c r="BR64" s="29"/>
      <c r="BT64" s="25"/>
      <c r="BU64" s="5"/>
      <c r="BV64" s="5"/>
      <c r="BW64" s="5"/>
      <c r="BX64" s="5"/>
      <c r="BY64" s="16"/>
      <c r="BZ64" s="5"/>
      <c r="CA64" s="5"/>
      <c r="CB64" s="21"/>
      <c r="CC64" s="101"/>
      <c r="CD64" s="102"/>
      <c r="CE64" s="36"/>
      <c r="CF64" s="29"/>
      <c r="CH64" s="14"/>
      <c r="CI64" s="39"/>
      <c r="CJ64" s="5"/>
      <c r="CK64" s="5"/>
      <c r="CL64" s="5"/>
      <c r="CM64" s="16"/>
      <c r="CN64" s="5"/>
      <c r="CO64" s="5"/>
      <c r="CP64" s="5"/>
      <c r="CQ64" s="36"/>
      <c r="CR64" s="36"/>
      <c r="CS64" s="36"/>
      <c r="CT64" s="29"/>
      <c r="CV64" s="14"/>
      <c r="CW64" s="39"/>
      <c r="CX64" s="5"/>
      <c r="CY64" s="5"/>
      <c r="CZ64" s="5"/>
      <c r="DA64" s="16"/>
      <c r="DB64" s="5"/>
      <c r="DC64" s="5"/>
      <c r="DD64" s="5"/>
      <c r="DE64" s="36"/>
      <c r="DF64" s="36"/>
      <c r="DG64" s="36"/>
      <c r="DH64" s="29"/>
      <c r="DJ64" s="14"/>
      <c r="DK64" s="39"/>
      <c r="DL64" s="5"/>
      <c r="DM64" s="5"/>
      <c r="DN64" s="5"/>
      <c r="DO64" s="16"/>
      <c r="DP64" s="5"/>
      <c r="DQ64" s="5"/>
      <c r="DR64" s="5"/>
      <c r="DS64" s="36"/>
      <c r="DT64" s="36"/>
      <c r="DU64" s="36"/>
      <c r="DV64" s="29"/>
      <c r="DX64" s="14"/>
      <c r="DY64" s="39"/>
      <c r="DZ64" s="5"/>
      <c r="EA64" s="5"/>
      <c r="EB64" s="5"/>
      <c r="EC64" s="16"/>
      <c r="ED64" s="5"/>
      <c r="EE64" s="5"/>
      <c r="EF64" s="5"/>
      <c r="EG64" s="36"/>
      <c r="EH64" s="36"/>
      <c r="EI64" s="36"/>
      <c r="EJ64" s="29"/>
      <c r="EL64" s="14"/>
      <c r="EM64" s="39"/>
      <c r="EN64" s="5"/>
      <c r="EO64" s="5"/>
      <c r="EP64" s="5"/>
      <c r="EQ64" s="16"/>
      <c r="ER64" s="5"/>
      <c r="ES64" s="5"/>
      <c r="ET64" s="5"/>
      <c r="EU64" s="36"/>
      <c r="EV64" s="36"/>
      <c r="EW64" s="36"/>
      <c r="EX64" s="29"/>
      <c r="EZ64" s="14"/>
      <c r="FA64" s="39"/>
      <c r="FB64" s="5"/>
      <c r="FC64" s="5"/>
      <c r="FD64" s="5"/>
      <c r="FE64" s="16"/>
      <c r="FF64" s="5"/>
      <c r="FG64" s="5"/>
      <c r="FH64" s="5"/>
      <c r="FI64" s="36"/>
      <c r="FJ64" s="36"/>
      <c r="FK64" s="36"/>
      <c r="FL64" s="29"/>
      <c r="FN64" s="14"/>
      <c r="FO64" s="39"/>
      <c r="FP64" s="5"/>
      <c r="FQ64" s="5"/>
      <c r="FR64" s="5"/>
      <c r="FS64" s="16"/>
      <c r="FT64" s="5"/>
      <c r="FU64" s="5"/>
      <c r="FV64" s="5"/>
      <c r="FW64" s="36"/>
      <c r="FX64" s="36"/>
      <c r="FY64" s="36"/>
      <c r="FZ64" s="29"/>
      <c r="GB64" s="14"/>
      <c r="GC64" s="39"/>
      <c r="GD64" s="5"/>
      <c r="GE64" s="5"/>
      <c r="GF64" s="5"/>
      <c r="GG64" s="16"/>
      <c r="GH64" s="5"/>
      <c r="GI64" s="5"/>
      <c r="GJ64" s="5"/>
      <c r="GK64" s="36"/>
      <c r="GL64" s="36"/>
      <c r="GM64" s="36"/>
      <c r="GN64" s="29"/>
      <c r="GP64" s="14"/>
      <c r="GQ64" s="39"/>
      <c r="GR64" s="5"/>
      <c r="GS64" s="5"/>
      <c r="GT64" s="5"/>
      <c r="GU64" s="5"/>
      <c r="GV64" s="5"/>
      <c r="GW64" s="16"/>
      <c r="GX64" s="5"/>
      <c r="GY64" s="5"/>
      <c r="GZ64" s="5"/>
      <c r="HA64" s="36"/>
      <c r="HB64" s="36"/>
      <c r="HC64" s="36"/>
      <c r="HD64" s="29"/>
      <c r="HF64" s="14"/>
      <c r="HG64" s="39"/>
      <c r="HH64" s="5"/>
      <c r="HI64" s="5"/>
      <c r="HJ64" s="29"/>
      <c r="HL64" s="14"/>
      <c r="HM64" s="39"/>
      <c r="HN64" s="5"/>
      <c r="HO64" s="5"/>
      <c r="HP64" s="29"/>
      <c r="HR64" s="14"/>
      <c r="HS64" s="39"/>
      <c r="HT64" s="5"/>
      <c r="HU64" s="5"/>
      <c r="HV64" s="29"/>
    </row>
    <row r="65" spans="1:230" x14ac:dyDescent="0.2">
      <c r="A65" s="157" t="s">
        <v>27</v>
      </c>
      <c r="B65" s="157"/>
      <c r="C65" s="157"/>
      <c r="D65" s="103">
        <f>SUM(D3,D7,D11,D15,D19,D23,D27,D31,D35,D39,D43,D47,D51)*100</f>
        <v>13200</v>
      </c>
      <c r="E65" s="39"/>
      <c r="F65" s="5"/>
      <c r="G65" s="16">
        <f>D65/H65</f>
        <v>3300</v>
      </c>
      <c r="H65" s="103">
        <f>SUM(H3,H7,H11,H15,H19,H23,H28,H31,H35,H39,H43,H47,H51)</f>
        <v>4</v>
      </c>
      <c r="I65" s="5"/>
      <c r="J65" s="2" t="str">
        <f t="shared" ref="J65:K65" si="269">J3</f>
        <v>キティダブルミラー</v>
      </c>
      <c r="K65" s="27">
        <f t="shared" si="269"/>
        <v>660</v>
      </c>
      <c r="L65" s="103">
        <f>SUM(L3,L7,L11,L15,L19,L23,L28,L31,L35,L39,L43,L47,L51)</f>
        <v>2640</v>
      </c>
      <c r="M65" s="92">
        <f>L65/D65</f>
        <v>0.2</v>
      </c>
      <c r="N65" s="29"/>
      <c r="O65" s="104"/>
      <c r="P65" s="157" t="s">
        <v>27</v>
      </c>
      <c r="Q65" s="157"/>
      <c r="R65" s="103">
        <f>SUM(R3,R7,R11,R15,R19,R23,R27,R31,R35,R39,R43,R47,R51)*100</f>
        <v>17200</v>
      </c>
      <c r="S65" s="39"/>
      <c r="T65" s="5"/>
      <c r="U65" s="16">
        <f>R65/V65</f>
        <v>8600</v>
      </c>
      <c r="V65" s="103">
        <f>SUM(V3,V7,V11,V15,V19,V23,V28,V31,V35,V39,V43,V47,V51)</f>
        <v>2</v>
      </c>
      <c r="W65" s="5"/>
      <c r="X65" s="31" t="str">
        <f t="shared" ref="X65:Y65" si="270">X3</f>
        <v>サンリオボアバンスクリップ</v>
      </c>
      <c r="Y65" s="27">
        <f t="shared" si="270"/>
        <v>660</v>
      </c>
      <c r="Z65" s="103">
        <f>SUM(Z3,Z7,Z11,Z15,Z19,Z23,Z28,Z31,Z35,Z39,Z43,Z47,Z51)</f>
        <v>1320</v>
      </c>
      <c r="AA65" s="92">
        <f>Z65/R65</f>
        <v>7.6744186046511634E-2</v>
      </c>
      <c r="AB65" s="29"/>
      <c r="AD65" s="157" t="s">
        <v>27</v>
      </c>
      <c r="AE65" s="157"/>
      <c r="AF65" s="103">
        <f>SUM(AF3,AF7,AF11,AF15,AF19,AF23,AF27,AF31,AF35,AF39,AF43,AF47,AF51)*100</f>
        <v>10900</v>
      </c>
      <c r="AG65" s="39"/>
      <c r="AH65" s="5"/>
      <c r="AI65" s="16">
        <f>AF65/AJ65</f>
        <v>5450</v>
      </c>
      <c r="AJ65" s="103">
        <f>SUM(AJ3,AJ7,AJ11,AJ15,AJ19,AJ23,AJ28,AJ31,AJ35,AJ39,AJ43,AJ47,AJ51)</f>
        <v>2</v>
      </c>
      <c r="AK65" s="5"/>
      <c r="AL65" s="31" t="str">
        <f t="shared" ref="AL65:AM65" si="271">AL3</f>
        <v>マリオカートマスコット</v>
      </c>
      <c r="AM65" s="27">
        <f t="shared" si="271"/>
        <v>792</v>
      </c>
      <c r="AN65" s="103">
        <f>SUM(AN3,AN7,AN11,AN15,AN19,AN23,AN28,AN31,AN35,AN39,AN43,AN47,AN51)</f>
        <v>1584</v>
      </c>
      <c r="AO65" s="92">
        <f>AN65/AF65</f>
        <v>0.1453211009174312</v>
      </c>
      <c r="AP65" s="29"/>
      <c r="AR65" s="157" t="s">
        <v>27</v>
      </c>
      <c r="AS65" s="157"/>
      <c r="AT65" s="103">
        <f>SUM(AT3,AT7,AT11,AT15,AT19,AT23,AT27,AT31,AT35,AT39,AT43,AT47,AT51)*100</f>
        <v>15700</v>
      </c>
      <c r="AU65" s="39"/>
      <c r="AV65" s="5"/>
      <c r="AW65" s="16">
        <f>AT65/AX65</f>
        <v>3925</v>
      </c>
      <c r="AX65" s="103">
        <f>SUM(AX3,AX7,AX11,AX15,AX19,AX23,AX28,AX31,AX35,AX39,AX43,AX47,AX51)</f>
        <v>4</v>
      </c>
      <c r="AY65" s="5"/>
      <c r="AZ65" s="31" t="str">
        <f t="shared" ref="AZ65:BA65" si="272">AZ3</f>
        <v>ベアブリック</v>
      </c>
      <c r="BA65" s="27">
        <f t="shared" si="272"/>
        <v>847</v>
      </c>
      <c r="BB65" s="103">
        <f>SUM(BB3,BB7,BB11,BB15,BB19,BB23,BB28,BB31,BB35,BB39,BB43,BB47,BB51)</f>
        <v>3388</v>
      </c>
      <c r="BC65" s="92">
        <f>BB65/AT65</f>
        <v>0.21579617834394904</v>
      </c>
      <c r="BD65" s="29"/>
      <c r="BE65" s="105"/>
      <c r="BF65" s="157" t="s">
        <v>27</v>
      </c>
      <c r="BG65" s="157"/>
      <c r="BH65" s="103">
        <f>SUM(BH3,BH7,BH11,BH15,BH19,BH23,BH27,BH31,BH35,BH39,BH43,BH47,BH51)*100</f>
        <v>12100</v>
      </c>
      <c r="BI65" s="39"/>
      <c r="BJ65" s="5"/>
      <c r="BK65" s="16" t="e">
        <f>BH65/BL65</f>
        <v>#DIV/0!</v>
      </c>
      <c r="BL65" s="103">
        <f>SUM(BL3,BL7,BL11,BL15,BL20,BL23,BL28,BL31,BL35,BL39,BL43,BL47,BL51)</f>
        <v>0</v>
      </c>
      <c r="BM65" s="5"/>
      <c r="BN65" s="2" t="str">
        <f t="shared" ref="BN65:BO65" si="273">BN3</f>
        <v>ボンボンドロップシール</v>
      </c>
      <c r="BO65" s="4">
        <f t="shared" si="273"/>
        <v>1500</v>
      </c>
      <c r="BP65" s="103">
        <f>SUM(BP3,BP7,BP11,BP15,BP19,BP23,BP27,BP31,BP35,BP39,BP43,BP47,BP51)</f>
        <v>0</v>
      </c>
      <c r="BQ65" s="92">
        <f>BP65/BH65</f>
        <v>0</v>
      </c>
      <c r="BR65" s="29"/>
      <c r="BT65" s="157" t="s">
        <v>27</v>
      </c>
      <c r="BU65" s="157"/>
      <c r="BV65" s="103">
        <f>SUM(BV3,BV7,BV11,BV15,BV19,BV23,BV27,BV31,BV35,BV39,BV43,BV47,BV51)*100</f>
        <v>4700</v>
      </c>
      <c r="BW65" s="39"/>
      <c r="BX65" s="5"/>
      <c r="BY65" s="16">
        <f>BV65/BZ65</f>
        <v>470</v>
      </c>
      <c r="BZ65" s="103">
        <f>SUM(BZ3,BZ7,BZ11,BZ15,BZ20,BZ23,BZ28,BZ31,BZ35,BZ39,BZ43,BZ47,BZ51)</f>
        <v>10</v>
      </c>
      <c r="CA65" s="5"/>
      <c r="CB65" s="2" t="str">
        <f t="shared" ref="CB65:CC65" si="274">CB3</f>
        <v>ベイビースリーフェイス</v>
      </c>
      <c r="CC65" s="4">
        <f t="shared" si="274"/>
        <v>1050</v>
      </c>
      <c r="CD65" s="103">
        <f>SUM(CD3,CD7,CD11,CD15,CD19,CD23,CD27,CD31,CD35,CD39,CD43,CD47,CD51)</f>
        <v>10500</v>
      </c>
      <c r="CE65" s="92">
        <f>CD65/BV65</f>
        <v>2.2340425531914891</v>
      </c>
      <c r="CF65" s="29"/>
      <c r="CH65" s="14"/>
      <c r="CI65" s="39"/>
      <c r="CJ65" s="5"/>
      <c r="CK65" s="5"/>
      <c r="CL65" s="5"/>
      <c r="CM65" s="16"/>
      <c r="CN65" s="5"/>
      <c r="CO65" s="92"/>
      <c r="CP65" s="92"/>
      <c r="CQ65" s="5"/>
      <c r="CR65" s="5"/>
      <c r="CS65" s="5"/>
      <c r="CT65" s="29"/>
      <c r="CV65" s="14"/>
      <c r="CW65" s="39"/>
      <c r="CX65" s="5"/>
      <c r="CY65" s="5"/>
      <c r="CZ65" s="5"/>
      <c r="DA65" s="16"/>
      <c r="DB65" s="5"/>
      <c r="DC65" s="92"/>
      <c r="DD65" s="92"/>
      <c r="DE65" s="5"/>
      <c r="DF65" s="5"/>
      <c r="DG65" s="5"/>
      <c r="DH65" s="29"/>
      <c r="DJ65" s="14"/>
      <c r="DK65" s="39"/>
      <c r="DL65" s="5"/>
      <c r="DM65" s="5"/>
      <c r="DN65" s="5"/>
      <c r="DO65" s="16"/>
      <c r="DP65" s="5"/>
      <c r="DQ65" s="92"/>
      <c r="DR65" s="92"/>
      <c r="DS65" s="5"/>
      <c r="DT65" s="5"/>
      <c r="DU65" s="5"/>
      <c r="DV65" s="29"/>
      <c r="DX65" s="14"/>
      <c r="DY65" s="39"/>
      <c r="DZ65" s="5"/>
      <c r="EA65" s="5"/>
      <c r="EB65" s="5"/>
      <c r="EC65" s="16"/>
      <c r="ED65" s="5"/>
      <c r="EE65" s="92"/>
      <c r="EF65" s="92"/>
      <c r="EG65" s="5"/>
      <c r="EH65" s="5"/>
      <c r="EI65" s="5"/>
      <c r="EJ65" s="29"/>
      <c r="EL65" s="14"/>
      <c r="EM65" s="39"/>
      <c r="EN65" s="5"/>
      <c r="EO65" s="5"/>
      <c r="EP65" s="5"/>
      <c r="EQ65" s="16"/>
      <c r="ER65" s="5"/>
      <c r="ES65" s="92"/>
      <c r="ET65" s="92"/>
      <c r="EU65" s="5"/>
      <c r="EV65" s="5"/>
      <c r="EW65" s="5"/>
      <c r="EX65" s="29"/>
      <c r="EZ65" s="14"/>
      <c r="FA65" s="39"/>
      <c r="FB65" s="5"/>
      <c r="FC65" s="5"/>
      <c r="FD65" s="5"/>
      <c r="FE65" s="16"/>
      <c r="FF65" s="5"/>
      <c r="FG65" s="92"/>
      <c r="FH65" s="92"/>
      <c r="FI65" s="5"/>
      <c r="FJ65" s="5"/>
      <c r="FK65" s="5"/>
      <c r="FL65" s="29"/>
      <c r="FN65" s="14"/>
      <c r="FO65" s="39"/>
      <c r="FP65" s="5"/>
      <c r="FQ65" s="5"/>
      <c r="FR65" s="5"/>
      <c r="FS65" s="16"/>
      <c r="FT65" s="5"/>
      <c r="FU65" s="92"/>
      <c r="FV65" s="92"/>
      <c r="FW65" s="5"/>
      <c r="FX65" s="5"/>
      <c r="FY65" s="5"/>
      <c r="FZ65" s="29"/>
      <c r="GB65" s="14"/>
      <c r="GC65" s="39"/>
      <c r="GD65" s="5"/>
      <c r="GE65" s="5"/>
      <c r="GF65" s="5"/>
      <c r="GG65" s="16"/>
      <c r="GH65" s="5"/>
      <c r="GI65" s="92"/>
      <c r="GJ65" s="92"/>
      <c r="GK65" s="5"/>
      <c r="GL65" s="5"/>
      <c r="GM65" s="5"/>
      <c r="GN65" s="29"/>
      <c r="GP65" s="14"/>
      <c r="GQ65" s="39"/>
      <c r="GR65" s="5"/>
      <c r="GS65" s="5"/>
      <c r="GT65" s="5"/>
      <c r="GU65" s="5"/>
      <c r="GV65" s="5"/>
      <c r="GW65" s="16"/>
      <c r="GX65" s="5"/>
      <c r="GY65" s="92"/>
      <c r="GZ65" s="92"/>
      <c r="HA65" s="5"/>
      <c r="HB65" s="5"/>
      <c r="HC65" s="5"/>
      <c r="HD65" s="29"/>
      <c r="HF65" s="14"/>
      <c r="HG65" s="39"/>
      <c r="HH65" s="5"/>
      <c r="HI65" s="5"/>
      <c r="HJ65" s="29"/>
      <c r="HL65" s="14"/>
      <c r="HM65" s="39"/>
      <c r="HN65" s="5"/>
      <c r="HO65" s="5"/>
      <c r="HP65" s="29"/>
      <c r="HR65" s="14"/>
      <c r="HS65" s="39"/>
      <c r="HT65" s="5"/>
      <c r="HU65" s="5"/>
      <c r="HV65" s="29"/>
    </row>
    <row r="66" spans="1:230" x14ac:dyDescent="0.2">
      <c r="A66" s="157" t="s">
        <v>27</v>
      </c>
      <c r="B66" s="157"/>
      <c r="C66" s="157"/>
      <c r="D66" s="103">
        <f>SUM(D4,D8,D12,D16,D20,D24,D28,D32,D36,D40,D44,D48,D52)*100</f>
        <v>21800</v>
      </c>
      <c r="E66" s="39"/>
      <c r="F66" s="5"/>
      <c r="G66" s="16">
        <f>D66/H66</f>
        <v>1676.9230769230769</v>
      </c>
      <c r="H66" s="103">
        <f>SUM(H4,H8,H12,H16,H20,H24,H27,H32,H36,H40,H44,H48,H52)</f>
        <v>13</v>
      </c>
      <c r="I66" s="5"/>
      <c r="J66" s="2" t="str">
        <f t="shared" ref="J66:K66" si="275">J4</f>
        <v>サンリオカラビナ付きミニファン</v>
      </c>
      <c r="K66" s="27">
        <f t="shared" si="275"/>
        <v>1100</v>
      </c>
      <c r="L66" s="103">
        <f>SUM(L4,L8,L12,L16,L20,L24,L27,L32,L36,L40,L44,L48,L52)</f>
        <v>14300</v>
      </c>
      <c r="M66" s="92">
        <f>L66/D66</f>
        <v>0.65596330275229353</v>
      </c>
      <c r="N66" s="29"/>
      <c r="O66" s="30"/>
      <c r="P66" s="157" t="s">
        <v>27</v>
      </c>
      <c r="Q66" s="157"/>
      <c r="R66" s="103">
        <f>SUM(R4,R8,R12,R16,R20,R24,R28,R32,R36,R40,R44,R48,R52)*100</f>
        <v>21100</v>
      </c>
      <c r="S66" s="39"/>
      <c r="T66" s="5"/>
      <c r="U66" s="16">
        <f>R66/V66</f>
        <v>4220</v>
      </c>
      <c r="V66" s="103">
        <f>SUM(V4,V8,V12,V16,V20,V24,V27,V32,V36,V40,V44,V48,V52)</f>
        <v>5</v>
      </c>
      <c r="W66" s="5"/>
      <c r="X66" s="31" t="str">
        <f t="shared" ref="X66:Y66" si="276">X4</f>
        <v>サンリオヘアバンド</v>
      </c>
      <c r="Y66" s="27">
        <f t="shared" si="276"/>
        <v>825</v>
      </c>
      <c r="Z66" s="103">
        <f>SUM(Z4,Z8,Z12,Z16,Z20,Z24,Z27,Z32,Z36,Z40,Z44,Z48,Z52)</f>
        <v>4125</v>
      </c>
      <c r="AA66" s="92">
        <f>Z66/R66</f>
        <v>0.19549763033175355</v>
      </c>
      <c r="AB66" s="29"/>
      <c r="AD66" s="157" t="s">
        <v>27</v>
      </c>
      <c r="AE66" s="157"/>
      <c r="AF66" s="103">
        <f>SUM(AF4,AF8,AF12,AF16,AF20,AF24,AF28,AF32,AF36,AF40,AF44,AF48,AF52)*100</f>
        <v>16000</v>
      </c>
      <c r="AG66" s="39"/>
      <c r="AH66" s="5"/>
      <c r="AI66" s="16">
        <f>AF66/AJ66</f>
        <v>16000</v>
      </c>
      <c r="AJ66" s="103">
        <f>SUM(AJ4,AJ8,AJ12,AJ16,AJ20,AJ24,AJ27,AJ32,AJ36,AJ40,AJ44,AJ48,AJ52)</f>
        <v>1</v>
      </c>
      <c r="AK66" s="5"/>
      <c r="AL66" s="31" t="str">
        <f t="shared" ref="AL66:AM66" si="277">AL4</f>
        <v>電ブル</v>
      </c>
      <c r="AM66" s="27">
        <f t="shared" si="277"/>
        <v>292</v>
      </c>
      <c r="AN66" s="103">
        <f>SUM(AN4,AN8,AN12,AN16,AN20,AN24,AN27,AN32,AN36,AN40,AN44,AN48,AN52)</f>
        <v>292</v>
      </c>
      <c r="AO66" s="92">
        <f>AN66/AF66</f>
        <v>1.8249999999999999E-2</v>
      </c>
      <c r="AP66" s="29"/>
      <c r="AR66" s="157" t="s">
        <v>27</v>
      </c>
      <c r="AS66" s="157"/>
      <c r="AT66" s="103">
        <f>SUM(AT4,AT8,AT12,AT16,AT20,AT24,AT28,AT32,AT36,AT40,AT44,AT48,AT52)*100</f>
        <v>17300</v>
      </c>
      <c r="AU66" s="39"/>
      <c r="AV66" s="5"/>
      <c r="AW66" s="16">
        <f>AT66/AX66</f>
        <v>1922.2222222222222</v>
      </c>
      <c r="AX66" s="103">
        <f>SUM(AX4,AX8,AX12,AX16,AX20,AX24,AX27,AX32,AX36,AX40,AX44,AX48,AX52)</f>
        <v>9</v>
      </c>
      <c r="AY66" s="5"/>
      <c r="AZ66" s="31" t="str">
        <f t="shared" ref="AZ66:BA66" si="278">AZ4</f>
        <v>ジャグラーボタン</v>
      </c>
      <c r="BA66" s="27">
        <f t="shared" si="278"/>
        <v>770</v>
      </c>
      <c r="BB66" s="103">
        <f>SUM(BB4,BB8,BB12,BB16,BB20,BB24,BB27,BB32,BB36,BB40,BB44,BB48,BB52)</f>
        <v>6930</v>
      </c>
      <c r="BC66" s="92">
        <f>BB66/AT66</f>
        <v>0.40057803468208092</v>
      </c>
      <c r="BD66" s="29"/>
      <c r="BE66" s="105"/>
      <c r="BF66" s="157" t="s">
        <v>27</v>
      </c>
      <c r="BG66" s="157"/>
      <c r="BH66" s="103">
        <f>SUM(BH4,BH8,BH12,BH16,BH20,BH24,BH28,BH32,BH36,BH40,BH44,BH48,BH52)*100</f>
        <v>18500</v>
      </c>
      <c r="BI66" s="39"/>
      <c r="BJ66" s="5"/>
      <c r="BK66" s="16" t="e">
        <f>BH66/BL66</f>
        <v>#DIV/0!</v>
      </c>
      <c r="BL66" s="103">
        <f>SUM(BL4,BL8,BL12,BL16,BL20,BL24,BL27,BL32,BL36,BL40,BL44,BL48,BL52)</f>
        <v>0</v>
      </c>
      <c r="BM66" s="5"/>
      <c r="BN66" s="2" t="str">
        <f t="shared" ref="BN66:BO66" si="279">BN4</f>
        <v>ボンボンドロップシール</v>
      </c>
      <c r="BO66" s="4">
        <f t="shared" si="279"/>
        <v>1500</v>
      </c>
      <c r="BP66" s="103">
        <f>SUM(BP4,BP8,BP12,BP16,BP20,BP24,BP27,BP32,BP36,BP40,BP44,BP48,BP52)</f>
        <v>0</v>
      </c>
      <c r="BQ66" s="92">
        <f>BP66/BH66</f>
        <v>0</v>
      </c>
      <c r="BR66" s="29"/>
      <c r="BT66" s="157" t="s">
        <v>27</v>
      </c>
      <c r="BU66" s="157"/>
      <c r="BV66" s="103">
        <f>SUM(BV4,BV8,BV12,BV16,BV20,BV24,BV28,BV32,BV36,BV40,BV44,BV48,BV52)*100</f>
        <v>11500</v>
      </c>
      <c r="BW66" s="39"/>
      <c r="BX66" s="5"/>
      <c r="BY66" s="16">
        <f>BV66/BZ66</f>
        <v>3833.3333333333335</v>
      </c>
      <c r="BZ66" s="103">
        <f>SUM(BZ4,BZ8,BZ12,BZ16,BZ20,BZ24,BZ27,BZ32,BZ36,BZ40,BZ44,BZ48,BZ52)</f>
        <v>3</v>
      </c>
      <c r="CA66" s="5"/>
      <c r="CB66" s="2" t="str">
        <f t="shared" ref="CB66:CC66" si="280">CB4</f>
        <v>サンリオボアポーチ</v>
      </c>
      <c r="CC66" s="4">
        <f t="shared" si="280"/>
        <v>950</v>
      </c>
      <c r="CD66" s="103">
        <f>SUM(CD4,CD8,CD12,CD16,CD20,CD24,CD27,CD32,CD36,CD40,CD44,CD48,CD52)</f>
        <v>2850</v>
      </c>
      <c r="CE66" s="92">
        <f>CD66/BV66</f>
        <v>0.24782608695652175</v>
      </c>
      <c r="CF66" s="29"/>
      <c r="CH66" s="14"/>
      <c r="CI66" s="5"/>
      <c r="CJ66" s="5"/>
      <c r="CK66" s="5"/>
      <c r="CL66" s="5"/>
      <c r="CM66" s="16"/>
      <c r="CN66" s="5"/>
      <c r="CO66" s="92"/>
      <c r="CP66" s="92"/>
      <c r="CQ66" s="5"/>
      <c r="CR66" s="5"/>
      <c r="CS66" s="5"/>
      <c r="CT66" s="29"/>
      <c r="CV66" s="14"/>
      <c r="CW66" s="5"/>
      <c r="CX66" s="5"/>
      <c r="CY66" s="5"/>
      <c r="CZ66" s="5"/>
      <c r="DA66" s="16"/>
      <c r="DB66" s="5"/>
      <c r="DC66" s="92"/>
      <c r="DD66" s="92"/>
      <c r="DE66" s="5"/>
      <c r="DF66" s="5"/>
      <c r="DG66" s="5"/>
      <c r="DH66" s="29"/>
      <c r="DJ66" s="14"/>
      <c r="DK66" s="5"/>
      <c r="DL66" s="5"/>
      <c r="DM66" s="5"/>
      <c r="DN66" s="5"/>
      <c r="DO66" s="16"/>
      <c r="DP66" s="5"/>
      <c r="DQ66" s="92"/>
      <c r="DR66" s="92"/>
      <c r="DS66" s="5"/>
      <c r="DT66" s="5"/>
      <c r="DU66" s="5"/>
      <c r="DV66" s="29"/>
      <c r="DX66" s="14"/>
      <c r="DY66" s="5"/>
      <c r="DZ66" s="5"/>
      <c r="EA66" s="5"/>
      <c r="EB66" s="5"/>
      <c r="EC66" s="16"/>
      <c r="ED66" s="5"/>
      <c r="EE66" s="92"/>
      <c r="EF66" s="92"/>
      <c r="EG66" s="5"/>
      <c r="EH66" s="5"/>
      <c r="EI66" s="5"/>
      <c r="EJ66" s="29"/>
      <c r="EL66" s="14"/>
      <c r="EM66" s="5"/>
      <c r="EN66" s="5"/>
      <c r="EO66" s="5"/>
      <c r="EP66" s="5"/>
      <c r="EQ66" s="16"/>
      <c r="ER66" s="5"/>
      <c r="ES66" s="92"/>
      <c r="ET66" s="92"/>
      <c r="EU66" s="5"/>
      <c r="EV66" s="5"/>
      <c r="EW66" s="5"/>
      <c r="EX66" s="29"/>
      <c r="EZ66" s="14"/>
      <c r="FA66" s="5"/>
      <c r="FB66" s="5"/>
      <c r="FC66" s="5"/>
      <c r="FD66" s="5"/>
      <c r="FE66" s="16"/>
      <c r="FF66" s="5"/>
      <c r="FG66" s="92"/>
      <c r="FH66" s="92"/>
      <c r="FI66" s="5"/>
      <c r="FJ66" s="5"/>
      <c r="FK66" s="5"/>
      <c r="FL66" s="29"/>
      <c r="FN66" s="14"/>
      <c r="FO66" s="5"/>
      <c r="FP66" s="5"/>
      <c r="FQ66" s="5"/>
      <c r="FR66" s="5"/>
      <c r="FS66" s="16"/>
      <c r="FT66" s="5"/>
      <c r="FU66" s="92"/>
      <c r="FV66" s="92"/>
      <c r="FW66" s="5"/>
      <c r="FX66" s="5"/>
      <c r="FY66" s="5"/>
      <c r="FZ66" s="29"/>
      <c r="GB66" s="14"/>
      <c r="GC66" s="5"/>
      <c r="GD66" s="5"/>
      <c r="GE66" s="5"/>
      <c r="GF66" s="5"/>
      <c r="GG66" s="16"/>
      <c r="GH66" s="5"/>
      <c r="GI66" s="92"/>
      <c r="GJ66" s="92"/>
      <c r="GK66" s="5"/>
      <c r="GL66" s="5"/>
      <c r="GM66" s="5"/>
      <c r="GN66" s="29"/>
      <c r="GP66" s="14"/>
      <c r="GQ66" s="5"/>
      <c r="GR66" s="5"/>
      <c r="GS66" s="5"/>
      <c r="GT66" s="5"/>
      <c r="GU66" s="5"/>
      <c r="GV66" s="5"/>
      <c r="GW66" s="16"/>
      <c r="GX66" s="5"/>
      <c r="GY66" s="92"/>
      <c r="GZ66" s="92"/>
      <c r="HA66" s="5"/>
      <c r="HB66" s="5"/>
      <c r="HC66" s="5"/>
      <c r="HD66" s="29"/>
      <c r="HF66" s="14"/>
      <c r="HG66" s="5"/>
      <c r="HH66" s="5"/>
      <c r="HI66" s="5"/>
      <c r="HJ66" s="29"/>
      <c r="HL66" s="14"/>
      <c r="HM66" s="5"/>
      <c r="HN66" s="5"/>
      <c r="HO66" s="5"/>
      <c r="HP66" s="29"/>
      <c r="HR66" s="14"/>
      <c r="HS66" s="5"/>
      <c r="HT66" s="5"/>
      <c r="HU66" s="5"/>
      <c r="HV66" s="29"/>
    </row>
    <row r="67" spans="1:230" x14ac:dyDescent="0.2">
      <c r="A67" s="157" t="s">
        <v>27</v>
      </c>
      <c r="B67" s="157"/>
      <c r="C67" s="157"/>
      <c r="D67" s="103">
        <f>SUM(D5,D9,D13,D17,D21,D25,D29,D33,D37,D41,D45,D49,D53)*100</f>
        <v>14900</v>
      </c>
      <c r="E67" s="39"/>
      <c r="F67" s="5"/>
      <c r="G67" s="16">
        <f>D67/H67</f>
        <v>7450</v>
      </c>
      <c r="H67" s="103">
        <f>SUM(H5,H9,H13,H18,H21,H25,H29,H33,H37,H41,H45,H49,H53)</f>
        <v>2</v>
      </c>
      <c r="I67" s="5"/>
      <c r="J67" s="2" t="str">
        <f t="shared" ref="J67:K67" si="281">J5</f>
        <v>たまごっちブロックシール</v>
      </c>
      <c r="K67" s="27">
        <f t="shared" si="281"/>
        <v>600</v>
      </c>
      <c r="L67" s="103">
        <f>SUM(L5,L9,L13,L18,L21,L25,L29,L33,L37,L41,L45,L49,L53)</f>
        <v>1200</v>
      </c>
      <c r="M67" s="92">
        <f>L67/D67</f>
        <v>8.0536912751677847E-2</v>
      </c>
      <c r="N67" s="29"/>
      <c r="O67" s="30"/>
      <c r="P67" s="157" t="s">
        <v>27</v>
      </c>
      <c r="Q67" s="157"/>
      <c r="R67" s="103">
        <f>SUM(R5,R9,R13,R17,R21,R25,R29,R33,R37,R41,R45,R49,R53)*100</f>
        <v>16500</v>
      </c>
      <c r="S67" s="39"/>
      <c r="T67" s="5"/>
      <c r="U67" s="16">
        <f>R67/V67</f>
        <v>5500</v>
      </c>
      <c r="V67" s="103">
        <f>SUM(V5,V9,V13,V18,V21,V25,V29,V33,V37,V41,V45,V49,V53)</f>
        <v>3</v>
      </c>
      <c r="W67" s="5"/>
      <c r="X67" s="31" t="str">
        <f t="shared" ref="X67:Y67" si="282">X5</f>
        <v>パンケーキスクイーズ</v>
      </c>
      <c r="Y67" s="27">
        <f t="shared" si="282"/>
        <v>181</v>
      </c>
      <c r="Z67" s="103">
        <f>SUM(Z5,Z9,Z13,Z18,Z21,Z25,Z29,Z33,Z37,Z41,Z45,Z49,Z53)</f>
        <v>543</v>
      </c>
      <c r="AA67" s="92">
        <f>Z67/R67</f>
        <v>3.2909090909090909E-2</v>
      </c>
      <c r="AB67" s="29"/>
      <c r="AD67" s="157" t="s">
        <v>27</v>
      </c>
      <c r="AE67" s="157"/>
      <c r="AF67" s="103">
        <f>SUM(AF5,AF9,AF13,AF17,AF21,AF25,AF29,AF33,AF37,AF41,AF45,AF49,AF53)*100</f>
        <v>14600</v>
      </c>
      <c r="AG67" s="39"/>
      <c r="AH67" s="5"/>
      <c r="AI67" s="16">
        <f>AF67/AJ67</f>
        <v>7300</v>
      </c>
      <c r="AJ67" s="103">
        <f>SUM(AJ5,AJ9,AJ13,AJ18,AJ21,AJ25,AJ29,AJ33,AJ37,AJ41,AJ45,AJ49,AJ53)</f>
        <v>2</v>
      </c>
      <c r="AK67" s="5"/>
      <c r="AL67" s="31" t="str">
        <f t="shared" ref="AL67:AM67" si="283">AL5</f>
        <v>たまごっちマスコット</v>
      </c>
      <c r="AM67" s="27">
        <f t="shared" si="283"/>
        <v>1430</v>
      </c>
      <c r="AN67" s="103">
        <f>SUM(AN5,AN9,AN13,AN18,AN21,AN25,AN29,AN33,AN37,AN41,AN45,AN49,AN53)</f>
        <v>2860</v>
      </c>
      <c r="AO67" s="92">
        <f>AN67/AF67</f>
        <v>0.19589041095890411</v>
      </c>
      <c r="AP67" s="29"/>
      <c r="AR67" s="157" t="s">
        <v>27</v>
      </c>
      <c r="AS67" s="157"/>
      <c r="AT67" s="103">
        <f>SUM(AT5,AT9,AT13,AT17,AT21,AT25,AT29,AT33,AT37,AT41,AT45,AT49,AT53)*100</f>
        <v>12900</v>
      </c>
      <c r="AU67" s="39"/>
      <c r="AV67" s="5"/>
      <c r="AW67" s="16">
        <f>AT67/AX67</f>
        <v>992.30769230769226</v>
      </c>
      <c r="AX67" s="103">
        <f>SUM(AX5,AX9,AX13,AX18,AX21,AX25,AX29,AX33,AX37,AX41,AX45,AX49,AX53)</f>
        <v>13</v>
      </c>
      <c r="AY67" s="5"/>
      <c r="AZ67" s="31" t="str">
        <f t="shared" ref="AZ67:BA67" si="284">AZ5</f>
        <v>カエル</v>
      </c>
      <c r="BA67" s="27">
        <f t="shared" si="284"/>
        <v>0</v>
      </c>
      <c r="BB67" s="103">
        <f>SUM(BB5,BB9,BB13,BB18,BB21,BB25,BB29,BB33,BB37,BB41,BB45,BB49,BB53)</f>
        <v>0</v>
      </c>
      <c r="BC67" s="92">
        <f>BB67/AT67</f>
        <v>0</v>
      </c>
      <c r="BD67" s="29"/>
      <c r="BE67" s="105"/>
      <c r="BF67" s="157" t="s">
        <v>27</v>
      </c>
      <c r="BG67" s="157"/>
      <c r="BH67" s="103">
        <f>SUM(BH5,BH9,BH13,BH17,BH21,BH25,BH29,BH33,BH37,BH41,BH45,BH49,BH53)*100</f>
        <v>23900</v>
      </c>
      <c r="BI67" s="39"/>
      <c r="BJ67" s="5"/>
      <c r="BK67" s="16" t="e">
        <f>BH67/BL67</f>
        <v>#DIV/0!</v>
      </c>
      <c r="BL67" s="103">
        <f>SUM(BL5,BL9,BL13,BL17,BL21,BL25,BL29,BL33,BL37,BL41,BL45,BL49,BL53)</f>
        <v>0</v>
      </c>
      <c r="BM67" s="5"/>
      <c r="BN67" s="2" t="str">
        <f t="shared" ref="BN67:BO67" si="285">BN5</f>
        <v>ボンボンドロップシール</v>
      </c>
      <c r="BO67" s="4">
        <f t="shared" si="285"/>
        <v>1500</v>
      </c>
      <c r="BP67" s="103">
        <f>SUM(BP5,BP9,BP13,BP17,BP21,BP25,BP29,BP33,BP37,BP41,BP45,BP49,BP53)</f>
        <v>0</v>
      </c>
      <c r="BQ67" s="92">
        <f>BP67/BH67</f>
        <v>0</v>
      </c>
      <c r="BR67" s="29"/>
      <c r="BT67" s="157" t="s">
        <v>27</v>
      </c>
      <c r="BU67" s="157"/>
      <c r="BV67" s="103">
        <f>SUM(BV5,BV9,BV13,BV17,BV21,BV25,BV29,BV33,BV37,BV41,BV45,BV49,BV53)*100</f>
        <v>0</v>
      </c>
      <c r="BW67" s="39"/>
      <c r="BX67" s="5"/>
      <c r="BY67" s="16" t="e">
        <f>BV67/BZ67</f>
        <v>#DIV/0!</v>
      </c>
      <c r="BZ67" s="103">
        <f>SUM(BZ5,BZ9,BZ13,BZ17,BZ21,BZ25,BZ29,BZ33,BZ37,BZ41,BZ45,BZ49,BZ53)</f>
        <v>0</v>
      </c>
      <c r="CA67" s="5"/>
      <c r="CB67" s="2" t="str">
        <f t="shared" ref="CB67:CC67" si="286">CB5</f>
        <v/>
      </c>
      <c r="CC67" s="4" t="str">
        <f t="shared" si="286"/>
        <v/>
      </c>
      <c r="CD67" s="103">
        <f>SUM(CD5,CD9,CD13,CD17,CD21,CD25,CD29,CD33,CD37,CD41,CD45,CD49,CD53)</f>
        <v>0</v>
      </c>
      <c r="CE67" s="92" t="e">
        <f>CD67/BV67</f>
        <v>#DIV/0!</v>
      </c>
      <c r="CF67" s="29"/>
      <c r="CH67" s="14"/>
      <c r="CI67" s="154"/>
      <c r="CJ67" s="154"/>
      <c r="CK67" s="106"/>
      <c r="CL67" s="5"/>
      <c r="CM67" s="16"/>
      <c r="CN67" s="5"/>
      <c r="CO67" s="92"/>
      <c r="CP67" s="92"/>
      <c r="CQ67" s="5"/>
      <c r="CR67" s="5"/>
      <c r="CS67" s="5"/>
      <c r="CT67" s="29"/>
      <c r="CV67" s="14"/>
      <c r="CW67" s="154"/>
      <c r="CX67" s="154"/>
      <c r="CY67" s="106"/>
      <c r="CZ67" s="5"/>
      <c r="DA67" s="16"/>
      <c r="DB67" s="5"/>
      <c r="DC67" s="92"/>
      <c r="DD67" s="92"/>
      <c r="DE67" s="5"/>
      <c r="DF67" s="5"/>
      <c r="DG67" s="5"/>
      <c r="DH67" s="29"/>
      <c r="DJ67" s="14"/>
      <c r="DK67" s="154"/>
      <c r="DL67" s="154"/>
      <c r="DM67" s="106"/>
      <c r="DN67" s="5"/>
      <c r="DO67" s="16"/>
      <c r="DP67" s="5"/>
      <c r="DQ67" s="92"/>
      <c r="DR67" s="92"/>
      <c r="DS67" s="5"/>
      <c r="DT67" s="5"/>
      <c r="DU67" s="5"/>
      <c r="DV67" s="29"/>
      <c r="DX67" s="14"/>
      <c r="DY67" s="154"/>
      <c r="DZ67" s="154"/>
      <c r="EA67" s="106"/>
      <c r="EB67" s="5"/>
      <c r="EC67" s="16"/>
      <c r="ED67" s="5"/>
      <c r="EE67" s="92"/>
      <c r="EF67" s="92"/>
      <c r="EG67" s="5"/>
      <c r="EH67" s="5"/>
      <c r="EI67" s="5"/>
      <c r="EJ67" s="29"/>
      <c r="EL67" s="14"/>
      <c r="EM67" s="154"/>
      <c r="EN67" s="154"/>
      <c r="EO67" s="106"/>
      <c r="EP67" s="5"/>
      <c r="EQ67" s="16"/>
      <c r="ER67" s="5"/>
      <c r="ES67" s="92"/>
      <c r="ET67" s="92"/>
      <c r="EU67" s="5"/>
      <c r="EV67" s="5"/>
      <c r="EW67" s="5"/>
      <c r="EX67" s="29"/>
      <c r="EZ67" s="14"/>
      <c r="FA67" s="154"/>
      <c r="FB67" s="154"/>
      <c r="FC67" s="106"/>
      <c r="FD67" s="5"/>
      <c r="FE67" s="16"/>
      <c r="FF67" s="5"/>
      <c r="FG67" s="92"/>
      <c r="FH67" s="92"/>
      <c r="FI67" s="5"/>
      <c r="FJ67" s="5"/>
      <c r="FK67" s="5"/>
      <c r="FL67" s="29"/>
      <c r="FN67" s="14"/>
      <c r="FO67" s="154"/>
      <c r="FP67" s="154"/>
      <c r="FQ67" s="106"/>
      <c r="FR67" s="5"/>
      <c r="FS67" s="16"/>
      <c r="FT67" s="5"/>
      <c r="FU67" s="92"/>
      <c r="FV67" s="92"/>
      <c r="FW67" s="5"/>
      <c r="FX67" s="5"/>
      <c r="FY67" s="5"/>
      <c r="FZ67" s="29"/>
      <c r="GB67" s="14"/>
      <c r="GC67" s="154"/>
      <c r="GD67" s="154"/>
      <c r="GE67" s="106"/>
      <c r="GF67" s="5"/>
      <c r="GG67" s="16"/>
      <c r="GH67" s="5"/>
      <c r="GI67" s="92"/>
      <c r="GJ67" s="92"/>
      <c r="GK67" s="5"/>
      <c r="GL67" s="5"/>
      <c r="GM67" s="5"/>
      <c r="GN67" s="29"/>
      <c r="GP67" s="14"/>
      <c r="GQ67" s="154"/>
      <c r="GR67" s="154"/>
      <c r="GS67" s="21"/>
      <c r="GT67" s="21"/>
      <c r="GU67" s="106"/>
      <c r="GV67" s="5"/>
      <c r="GW67" s="16"/>
      <c r="GX67" s="5"/>
      <c r="GY67" s="92"/>
      <c r="GZ67" s="92"/>
      <c r="HA67" s="5"/>
      <c r="HB67" s="5"/>
      <c r="HC67" s="5"/>
      <c r="HD67" s="29"/>
      <c r="HF67" s="14"/>
      <c r="HG67" s="154"/>
      <c r="HH67" s="154"/>
      <c r="HI67" s="106"/>
      <c r="HJ67" s="29"/>
      <c r="HL67" s="14"/>
      <c r="HM67" s="154"/>
      <c r="HN67" s="154"/>
      <c r="HO67" s="106"/>
      <c r="HP67" s="29"/>
      <c r="HR67" s="14"/>
      <c r="HS67" s="154"/>
      <c r="HT67" s="154"/>
      <c r="HU67" s="106"/>
      <c r="HV67" s="29"/>
    </row>
    <row r="68" spans="1:230" ht="15" customHeight="1" thickBot="1" x14ac:dyDescent="0.25">
      <c r="A68" s="157" t="s">
        <v>27</v>
      </c>
      <c r="B68" s="157"/>
      <c r="C68" s="157"/>
      <c r="D68" s="103">
        <f>SUM(D6,D10,D14,D18,D22,D26,D30,D34,D38,D42,D46,D50,D54)*100</f>
        <v>17100</v>
      </c>
      <c r="E68" s="39"/>
      <c r="F68" s="5"/>
      <c r="G68" s="16">
        <f>D68/H68</f>
        <v>4275</v>
      </c>
      <c r="H68" s="103">
        <f>SUM(H6,H10,H14,H17,H22,H26,H30,H34,H38,H42,H46,H50,H54)</f>
        <v>4</v>
      </c>
      <c r="I68" s="5"/>
      <c r="J68" s="2" t="str">
        <f t="shared" ref="J68:K68" si="287">J6</f>
        <v>フルーツスクイーズ</v>
      </c>
      <c r="K68" s="27">
        <f t="shared" si="287"/>
        <v>99</v>
      </c>
      <c r="L68" s="103">
        <f>SUM(L6,L10,L14,L17,L22,L26,L30,L34,L38,L42,L46,L50,L54)</f>
        <v>396</v>
      </c>
      <c r="M68" s="92">
        <f>L68/D68</f>
        <v>2.3157894736842106E-2</v>
      </c>
      <c r="N68" s="29"/>
      <c r="O68" s="30"/>
      <c r="P68" s="157" t="s">
        <v>27</v>
      </c>
      <c r="Q68" s="157"/>
      <c r="R68" s="103">
        <f>SUM(R6,R10,R14,R18,R22,R26,R30,R34,R38,R42,R46,R50,R54)*100</f>
        <v>25100</v>
      </c>
      <c r="S68" s="39"/>
      <c r="T68" s="5"/>
      <c r="U68" s="16">
        <f>R68/V68</f>
        <v>6275</v>
      </c>
      <c r="V68" s="103">
        <f>SUM(V6,V10,V14,V17,V22,V26,V30,V34,V38,V42,V46,V50,V54)</f>
        <v>4</v>
      </c>
      <c r="W68" s="5"/>
      <c r="X68" s="31" t="str">
        <f t="shared" ref="X68:Y68" si="288">X6</f>
        <v>たまごっちカスタムキーリング</v>
      </c>
      <c r="Y68" s="27">
        <f t="shared" si="288"/>
        <v>200</v>
      </c>
      <c r="Z68" s="103">
        <f>SUM(Z6,Z10,Z14,Z17,Z22,Z26,Z30,Z34,Z38,Z42,Z46,Z50,Z54)</f>
        <v>800</v>
      </c>
      <c r="AA68" s="92">
        <f>Z68/R68</f>
        <v>3.1872509960159362E-2</v>
      </c>
      <c r="AB68" s="29"/>
      <c r="AD68" s="157" t="s">
        <v>27</v>
      </c>
      <c r="AE68" s="157"/>
      <c r="AF68" s="103">
        <f>SUM(AF6,AF10,AF14,AF18,AF22,AF26,AF30,AF34,AF38,AF42,AF46,AF50,AF54)*100</f>
        <v>17100</v>
      </c>
      <c r="AG68" s="39"/>
      <c r="AH68" s="5"/>
      <c r="AI68" s="16">
        <f>AF68/AJ68</f>
        <v>2442.8571428571427</v>
      </c>
      <c r="AJ68" s="103">
        <f>SUM(AJ6,AJ10,AJ14,AJ17,AJ22,AJ26,AJ30,AJ34,AJ38,AJ42,AJ46,AJ50,AJ54)</f>
        <v>7</v>
      </c>
      <c r="AK68" s="5"/>
      <c r="AL68" s="31" t="str">
        <f t="shared" ref="AL68:AM68" si="289">AL6</f>
        <v>バタースクイーズ</v>
      </c>
      <c r="AM68" s="27">
        <f t="shared" si="289"/>
        <v>260</v>
      </c>
      <c r="AN68" s="103">
        <f>SUM(AN6,AN10,AN14,AN17,AN22,AN26,AN30,AN34,AN38,AN42,AN46,AN50,AN54)</f>
        <v>1820</v>
      </c>
      <c r="AO68" s="92">
        <f>AN68/AF68</f>
        <v>0.1064327485380117</v>
      </c>
      <c r="AP68" s="29"/>
      <c r="AR68" s="157" t="s">
        <v>27</v>
      </c>
      <c r="AS68" s="157"/>
      <c r="AT68" s="103">
        <f>SUM(AT6,AT10,AT14,AT18,AT22,AT26,AT30,AT34,AT38,AT42,AT46,AT50,AT54)*100</f>
        <v>5600</v>
      </c>
      <c r="AU68" s="39"/>
      <c r="AV68" s="5"/>
      <c r="AW68" s="16">
        <f>AT68/AX68</f>
        <v>700</v>
      </c>
      <c r="AX68" s="103">
        <f>SUM(AX6,AX10,AX14,AX17,AX22,AX26,AX30,AX34,AX38,AX42,AX46,AX50,AX54)</f>
        <v>8</v>
      </c>
      <c r="AY68" s="5"/>
      <c r="AZ68" s="31" t="str">
        <f t="shared" ref="AZ68:BA68" si="290">AZ6</f>
        <v>半熟玉子スクイーズ</v>
      </c>
      <c r="BA68" s="27">
        <f t="shared" si="290"/>
        <v>170</v>
      </c>
      <c r="BB68" s="103">
        <f>SUM(BB6,BB10,BB14,BB17,BB22,BB26,BB30,BB34,BB38,BB42,BB46,BB50,BB54)</f>
        <v>1360</v>
      </c>
      <c r="BC68" s="92">
        <f>BB68/AT68</f>
        <v>0.24285714285714285</v>
      </c>
      <c r="BD68" s="29"/>
      <c r="BE68" s="105"/>
      <c r="BF68" s="157" t="s">
        <v>27</v>
      </c>
      <c r="BG68" s="157"/>
      <c r="BH68" s="103">
        <f>SUM(BH6,BH10,BH14,BH18,BH22,BH26,BH30,BH34,BH38,BH42,BH46,BH50,BH54)*100</f>
        <v>12300</v>
      </c>
      <c r="BI68" s="39"/>
      <c r="BJ68" s="5"/>
      <c r="BK68" s="16">
        <f>BH68/BL68</f>
        <v>12300</v>
      </c>
      <c r="BL68" s="103">
        <f>SUM(BL6,BL10,BL14,BL18,BL22,BL26,BL30,BL34,BL38,BL42,BL46,BL50,BL54)</f>
        <v>1</v>
      </c>
      <c r="BM68" s="5"/>
      <c r="BN68" s="2" t="str">
        <f t="shared" ref="BN68:BO68" si="291">BN6</f>
        <v>ボンボンドロップシール</v>
      </c>
      <c r="BO68" s="4">
        <f t="shared" si="291"/>
        <v>1500</v>
      </c>
      <c r="BP68" s="103">
        <f>SUM(BP6,BP10,BP14,BP18,BP22,BP26,BP30,BP34,BP38,BP42,BP46,BP50,BP54)</f>
        <v>1500</v>
      </c>
      <c r="BQ68" s="92">
        <f>BP68/BH68</f>
        <v>0.12195121951219512</v>
      </c>
      <c r="BR68" s="29"/>
      <c r="BT68" s="157" t="s">
        <v>27</v>
      </c>
      <c r="BU68" s="157"/>
      <c r="BV68" s="103">
        <f>SUM(BV6,BV10,BV14,BV18,BV22,BV26,BV30,BV34,BV38,BV42,BV46,BV50,BV54)*100</f>
        <v>0</v>
      </c>
      <c r="BW68" s="39"/>
      <c r="BX68" s="5"/>
      <c r="BY68" s="16" t="e">
        <f>BV68/BZ68</f>
        <v>#DIV/0!</v>
      </c>
      <c r="BZ68" s="103">
        <f>SUM(BZ6,BZ10,BZ14,BZ18,BZ22,BZ26,BZ30,BZ34,BZ38,BZ42,BZ46,BZ50,BZ54)</f>
        <v>0</v>
      </c>
      <c r="CA68" s="5"/>
      <c r="CB68" s="2" t="str">
        <f t="shared" ref="CB68:CC68" si="292">CB6</f>
        <v/>
      </c>
      <c r="CC68" s="4" t="str">
        <f t="shared" si="292"/>
        <v/>
      </c>
      <c r="CD68" s="103">
        <f>SUM(CD6,CD10,CD14,CD18,CD22,CD26,CD30,CD34,CD38,CD42,CD46,CD50,CD54)</f>
        <v>0</v>
      </c>
      <c r="CE68" s="92" t="e">
        <f>CD68/BV68</f>
        <v>#DIV/0!</v>
      </c>
      <c r="CF68" s="29"/>
      <c r="CH68" s="14"/>
      <c r="CI68" s="154"/>
      <c r="CJ68" s="154"/>
      <c r="CK68" s="5"/>
      <c r="CL68" s="5"/>
      <c r="CM68" s="16"/>
      <c r="CN68" s="5"/>
      <c r="CO68" s="92"/>
      <c r="CP68" s="92"/>
      <c r="CQ68" s="36"/>
      <c r="CR68" s="36"/>
      <c r="CS68" s="36"/>
      <c r="CT68" s="29"/>
      <c r="CV68" s="14"/>
      <c r="CW68" s="154"/>
      <c r="CX68" s="154"/>
      <c r="CY68" s="5"/>
      <c r="CZ68" s="5"/>
      <c r="DA68" s="16"/>
      <c r="DB68" s="5"/>
      <c r="DC68" s="92"/>
      <c r="DD68" s="92"/>
      <c r="DE68" s="36"/>
      <c r="DF68" s="36"/>
      <c r="DG68" s="36"/>
      <c r="DH68" s="29"/>
      <c r="DJ68" s="14"/>
      <c r="DK68" s="154"/>
      <c r="DL68" s="154"/>
      <c r="DM68" s="5"/>
      <c r="DN68" s="5"/>
      <c r="DO68" s="16"/>
      <c r="DP68" s="5"/>
      <c r="DQ68" s="92"/>
      <c r="DR68" s="92"/>
      <c r="DS68" s="36"/>
      <c r="DT68" s="36"/>
      <c r="DU68" s="36"/>
      <c r="DV68" s="29"/>
      <c r="DX68" s="14"/>
      <c r="DY68" s="154"/>
      <c r="DZ68" s="154"/>
      <c r="EA68" s="5"/>
      <c r="EB68" s="5"/>
      <c r="EC68" s="16"/>
      <c r="ED68" s="5"/>
      <c r="EE68" s="92"/>
      <c r="EF68" s="92"/>
      <c r="EG68" s="36"/>
      <c r="EH68" s="36"/>
      <c r="EI68" s="36"/>
      <c r="EJ68" s="29"/>
      <c r="EL68" s="14"/>
      <c r="EM68" s="154"/>
      <c r="EN68" s="154"/>
      <c r="EO68" s="5"/>
      <c r="EP68" s="5"/>
      <c r="EQ68" s="16"/>
      <c r="ER68" s="5"/>
      <c r="ES68" s="92"/>
      <c r="ET68" s="92"/>
      <c r="EU68" s="36"/>
      <c r="EV68" s="36"/>
      <c r="EW68" s="36"/>
      <c r="EX68" s="29"/>
      <c r="EZ68" s="14"/>
      <c r="FA68" s="154"/>
      <c r="FB68" s="154"/>
      <c r="FC68" s="5"/>
      <c r="FD68" s="5"/>
      <c r="FE68" s="16"/>
      <c r="FF68" s="5"/>
      <c r="FG68" s="92"/>
      <c r="FH68" s="92"/>
      <c r="FI68" s="36"/>
      <c r="FJ68" s="36"/>
      <c r="FK68" s="36"/>
      <c r="FL68" s="29"/>
      <c r="FN68" s="14"/>
      <c r="FO68" s="154"/>
      <c r="FP68" s="154"/>
      <c r="FQ68" s="5"/>
      <c r="FR68" s="5"/>
      <c r="FS68" s="16"/>
      <c r="FT68" s="5"/>
      <c r="FU68" s="92"/>
      <c r="FV68" s="92"/>
      <c r="FW68" s="36"/>
      <c r="FX68" s="36"/>
      <c r="FY68" s="36"/>
      <c r="FZ68" s="29"/>
      <c r="GB68" s="14"/>
      <c r="GC68" s="154"/>
      <c r="GD68" s="154"/>
      <c r="GE68" s="5"/>
      <c r="GF68" s="5"/>
      <c r="GG68" s="16"/>
      <c r="GH68" s="5"/>
      <c r="GI68" s="92"/>
      <c r="GJ68" s="92"/>
      <c r="GK68" s="36"/>
      <c r="GL68" s="36"/>
      <c r="GM68" s="36"/>
      <c r="GN68" s="29"/>
      <c r="GP68" s="14"/>
      <c r="GQ68" s="154"/>
      <c r="GR68" s="154"/>
      <c r="GS68" s="21"/>
      <c r="GT68" s="21"/>
      <c r="GU68" s="5"/>
      <c r="GV68" s="5"/>
      <c r="GW68" s="16"/>
      <c r="GX68" s="5"/>
      <c r="GY68" s="92"/>
      <c r="GZ68" s="92"/>
      <c r="HA68" s="36"/>
      <c r="HB68" s="36"/>
      <c r="HC68" s="36"/>
      <c r="HD68" s="29"/>
      <c r="HF68" s="14"/>
      <c r="HG68" s="154"/>
      <c r="HH68" s="154"/>
      <c r="HI68" s="5"/>
      <c r="HJ68" s="29"/>
      <c r="HL68" s="14"/>
      <c r="HM68" s="154"/>
      <c r="HN68" s="154"/>
      <c r="HO68" s="5"/>
      <c r="HP68" s="29"/>
      <c r="HR68" s="14"/>
      <c r="HS68" s="154"/>
      <c r="HT68" s="154"/>
      <c r="HU68" s="5"/>
      <c r="HV68" s="29"/>
    </row>
    <row r="69" spans="1:230" ht="15" customHeight="1" thickTop="1" x14ac:dyDescent="0.2">
      <c r="A69" s="25"/>
      <c r="B69" s="37"/>
      <c r="C69" s="16" t="s">
        <v>20</v>
      </c>
      <c r="D69" s="5">
        <f>SUM(D65:D68)</f>
        <v>67000</v>
      </c>
      <c r="E69" s="39"/>
      <c r="F69" s="5"/>
      <c r="G69" s="5"/>
      <c r="H69" s="5">
        <f>SUM(H65:H68)</f>
        <v>23</v>
      </c>
      <c r="I69" s="5"/>
      <c r="J69" s="156" t="s">
        <v>28</v>
      </c>
      <c r="K69" s="156"/>
      <c r="L69" s="4">
        <f>SUM(L65:L68)</f>
        <v>18536</v>
      </c>
      <c r="M69" s="107">
        <f>L69/D69</f>
        <v>0.27665671641791045</v>
      </c>
      <c r="N69" s="34"/>
      <c r="O69" s="30"/>
      <c r="P69" s="25"/>
      <c r="Q69" s="16" t="s">
        <v>20</v>
      </c>
      <c r="R69" s="5">
        <f>SUM(R65:R68)</f>
        <v>79900</v>
      </c>
      <c r="S69" s="39"/>
      <c r="T69" s="5"/>
      <c r="U69" s="5"/>
      <c r="V69" s="5">
        <f>SUM(V65:V68)</f>
        <v>14</v>
      </c>
      <c r="W69" s="5"/>
      <c r="X69" s="156" t="s">
        <v>28</v>
      </c>
      <c r="Y69" s="156"/>
      <c r="Z69" s="4">
        <f>SUM(Z65:Z68)</f>
        <v>6788</v>
      </c>
      <c r="AA69" s="107">
        <f>Z69/R69</f>
        <v>8.4956195244055066E-2</v>
      </c>
      <c r="AB69" s="29"/>
      <c r="AD69" s="25"/>
      <c r="AE69" s="16" t="s">
        <v>20</v>
      </c>
      <c r="AF69" s="5">
        <f>SUM(AF65:AF68)</f>
        <v>58600</v>
      </c>
      <c r="AG69" s="39"/>
      <c r="AH69" s="5"/>
      <c r="AI69" s="5"/>
      <c r="AJ69" s="5">
        <f>SUM(AJ65:AJ68)</f>
        <v>12</v>
      </c>
      <c r="AK69" s="5"/>
      <c r="AL69" s="156" t="s">
        <v>28</v>
      </c>
      <c r="AM69" s="156"/>
      <c r="AN69" s="4">
        <f>SUM(AN65:AN68)</f>
        <v>6556</v>
      </c>
      <c r="AO69" s="107">
        <f>AN69/AF69</f>
        <v>0.11187713310580205</v>
      </c>
      <c r="AP69" s="29"/>
      <c r="AR69" s="25"/>
      <c r="AS69" s="16" t="s">
        <v>20</v>
      </c>
      <c r="AT69" s="5">
        <f>SUM(AT65:AT68)</f>
        <v>51500</v>
      </c>
      <c r="AU69" s="39"/>
      <c r="AV69" s="5"/>
      <c r="AW69" s="5"/>
      <c r="AX69" s="5">
        <f>SUM(AX65:AX68)</f>
        <v>34</v>
      </c>
      <c r="AY69" s="5"/>
      <c r="AZ69" s="156" t="s">
        <v>28</v>
      </c>
      <c r="BA69" s="156"/>
      <c r="BB69" s="4">
        <f>SUM(BB65:BB68)</f>
        <v>11678</v>
      </c>
      <c r="BC69" s="107">
        <f>BB69/AT69</f>
        <v>0.22675728155339805</v>
      </c>
      <c r="BD69" s="29"/>
      <c r="BE69" s="32"/>
      <c r="BF69" s="25"/>
      <c r="BG69" s="16" t="s">
        <v>20</v>
      </c>
      <c r="BH69" s="5">
        <f>SUM(BH65:BH68)</f>
        <v>66800</v>
      </c>
      <c r="BI69" s="5"/>
      <c r="BJ69" s="5"/>
      <c r="BK69" s="5"/>
      <c r="BL69" s="5">
        <f>SUM(BL65:BL68)</f>
        <v>1</v>
      </c>
      <c r="BM69" s="5"/>
      <c r="BN69" s="155" t="s">
        <v>28</v>
      </c>
      <c r="BO69" s="155"/>
      <c r="BP69" s="4">
        <f>SUM(BP65:BP68)</f>
        <v>1500</v>
      </c>
      <c r="BQ69" s="107">
        <f>BP69/BH69</f>
        <v>2.2455089820359281E-2</v>
      </c>
      <c r="BR69" s="29"/>
      <c r="BT69" s="25"/>
      <c r="BU69" s="16" t="s">
        <v>20</v>
      </c>
      <c r="BV69" s="5">
        <f>SUM(BV65:BV68)</f>
        <v>16200</v>
      </c>
      <c r="BW69" s="5"/>
      <c r="BX69" s="5"/>
      <c r="BY69" s="5"/>
      <c r="BZ69" s="5">
        <f>SUM(BZ65:BZ68)</f>
        <v>13</v>
      </c>
      <c r="CA69" s="5"/>
      <c r="CB69" s="155" t="s">
        <v>28</v>
      </c>
      <c r="CC69" s="155"/>
      <c r="CD69" s="4">
        <f>SUM(CD65:CD68)</f>
        <v>13350</v>
      </c>
      <c r="CE69" s="107">
        <f>CD69/BV69</f>
        <v>0.82407407407407407</v>
      </c>
      <c r="CF69" s="29"/>
      <c r="CH69" s="14"/>
      <c r="CI69" s="154"/>
      <c r="CJ69" s="154"/>
      <c r="CK69" s="92"/>
      <c r="CL69" s="5"/>
      <c r="CM69" s="16"/>
      <c r="CN69" s="5"/>
      <c r="CO69" s="92"/>
      <c r="CP69" s="92"/>
      <c r="CQ69" s="36"/>
      <c r="CR69" s="36"/>
      <c r="CS69" s="36"/>
      <c r="CT69" s="29"/>
      <c r="CV69" s="14"/>
      <c r="CW69" s="154"/>
      <c r="CX69" s="154"/>
      <c r="CY69" s="92"/>
      <c r="CZ69" s="5"/>
      <c r="DA69" s="16"/>
      <c r="DB69" s="5"/>
      <c r="DC69" s="92"/>
      <c r="DD69" s="92"/>
      <c r="DE69" s="36"/>
      <c r="DF69" s="36"/>
      <c r="DG69" s="36"/>
      <c r="DH69" s="29"/>
      <c r="DJ69" s="14"/>
      <c r="DK69" s="154"/>
      <c r="DL69" s="154"/>
      <c r="DM69" s="92"/>
      <c r="DN69" s="5"/>
      <c r="DO69" s="16"/>
      <c r="DP69" s="5"/>
      <c r="DQ69" s="92"/>
      <c r="DR69" s="92"/>
      <c r="DS69" s="36"/>
      <c r="DT69" s="36"/>
      <c r="DU69" s="36"/>
      <c r="DV69" s="29"/>
      <c r="DX69" s="14"/>
      <c r="DY69" s="154"/>
      <c r="DZ69" s="154"/>
      <c r="EA69" s="92"/>
      <c r="EB69" s="5"/>
      <c r="EC69" s="16"/>
      <c r="ED69" s="5"/>
      <c r="EE69" s="92"/>
      <c r="EF69" s="92"/>
      <c r="EG69" s="36"/>
      <c r="EH69" s="36"/>
      <c r="EI69" s="36"/>
      <c r="EJ69" s="29"/>
      <c r="EL69" s="14"/>
      <c r="EM69" s="154"/>
      <c r="EN69" s="154"/>
      <c r="EO69" s="92"/>
      <c r="EP69" s="5"/>
      <c r="EQ69" s="16"/>
      <c r="ER69" s="5"/>
      <c r="ES69" s="92"/>
      <c r="ET69" s="92"/>
      <c r="EU69" s="36"/>
      <c r="EV69" s="36"/>
      <c r="EW69" s="36"/>
      <c r="EX69" s="29"/>
      <c r="EZ69" s="14"/>
      <c r="FA69" s="154"/>
      <c r="FB69" s="154"/>
      <c r="FC69" s="92"/>
      <c r="FD69" s="5"/>
      <c r="FE69" s="16"/>
      <c r="FF69" s="5"/>
      <c r="FG69" s="92"/>
      <c r="FH69" s="92"/>
      <c r="FI69" s="36"/>
      <c r="FJ69" s="36"/>
      <c r="FK69" s="36"/>
      <c r="FL69" s="29"/>
      <c r="FN69" s="14"/>
      <c r="FO69" s="154"/>
      <c r="FP69" s="154"/>
      <c r="FQ69" s="92"/>
      <c r="FR69" s="5"/>
      <c r="FS69" s="16"/>
      <c r="FT69" s="5"/>
      <c r="FU69" s="92"/>
      <c r="FV69" s="92"/>
      <c r="FW69" s="36"/>
      <c r="FX69" s="36"/>
      <c r="FY69" s="36"/>
      <c r="FZ69" s="29"/>
      <c r="GB69" s="14"/>
      <c r="GC69" s="154"/>
      <c r="GD69" s="154"/>
      <c r="GE69" s="92"/>
      <c r="GF69" s="5"/>
      <c r="GG69" s="16"/>
      <c r="GH69" s="5"/>
      <c r="GI69" s="92"/>
      <c r="GJ69" s="92"/>
      <c r="GK69" s="36"/>
      <c r="GL69" s="36"/>
      <c r="GM69" s="36"/>
      <c r="GN69" s="29"/>
      <c r="GP69" s="14"/>
      <c r="GQ69" s="154"/>
      <c r="GR69" s="154"/>
      <c r="GS69" s="21"/>
      <c r="GT69" s="21"/>
      <c r="GU69" s="92"/>
      <c r="GV69" s="5"/>
      <c r="GW69" s="16"/>
      <c r="GX69" s="5"/>
      <c r="GY69" s="92"/>
      <c r="GZ69" s="92"/>
      <c r="HA69" s="36"/>
      <c r="HB69" s="36"/>
      <c r="HC69" s="36"/>
      <c r="HD69" s="29"/>
      <c r="HF69" s="14"/>
      <c r="HG69" s="154"/>
      <c r="HH69" s="154"/>
      <c r="HI69" s="92"/>
      <c r="HJ69" s="29"/>
      <c r="HL69" s="14"/>
      <c r="HM69" s="154"/>
      <c r="HN69" s="154"/>
      <c r="HO69" s="92"/>
      <c r="HP69" s="29"/>
      <c r="HR69" s="14"/>
      <c r="HS69" s="154"/>
      <c r="HT69" s="154"/>
      <c r="HU69" s="92"/>
      <c r="HV69" s="29"/>
    </row>
    <row r="70" spans="1:230" x14ac:dyDescent="0.2">
      <c r="A70" s="108"/>
      <c r="J70" s="110"/>
      <c r="K70" s="13"/>
      <c r="N70" s="111"/>
      <c r="O70" s="30"/>
      <c r="P70" s="108"/>
      <c r="X70" s="1"/>
      <c r="AB70" s="111"/>
      <c r="AD70" s="108"/>
      <c r="AL70" s="1"/>
      <c r="AP70" s="111"/>
      <c r="AR70" s="108"/>
      <c r="AZ70" s="1"/>
      <c r="BD70" s="111"/>
      <c r="CH70" s="112"/>
      <c r="CV70" s="112"/>
      <c r="DJ70" s="112"/>
      <c r="DX70" s="112"/>
      <c r="EL70" s="112"/>
      <c r="EZ70" s="112"/>
      <c r="FN70" s="112"/>
      <c r="GB70" s="112"/>
      <c r="GP70" s="112"/>
      <c r="HF70" s="112"/>
      <c r="HL70" s="112"/>
      <c r="HR70" s="112"/>
    </row>
    <row r="71" spans="1:230" ht="15" customHeight="1" x14ac:dyDescent="0.2">
      <c r="B71" s="146" t="s">
        <v>287</v>
      </c>
      <c r="C71" s="147"/>
      <c r="D71" s="148" t="s">
        <v>288</v>
      </c>
      <c r="E71" s="149"/>
      <c r="F71" s="148" t="s">
        <v>289</v>
      </c>
      <c r="G71" s="149"/>
      <c r="K71" s="13"/>
      <c r="CH71" s="112"/>
      <c r="CV71" s="112"/>
      <c r="DJ71" s="112"/>
      <c r="DX71" s="112"/>
      <c r="EL71" s="112"/>
      <c r="EZ71" s="112"/>
      <c r="FN71" s="112"/>
      <c r="GB71" s="112"/>
      <c r="GP71" s="112"/>
      <c r="HF71" s="112"/>
      <c r="HL71" s="112"/>
      <c r="HR71" s="112"/>
    </row>
    <row r="72" spans="1:230" x14ac:dyDescent="0.2">
      <c r="B72" s="150">
        <f>B63/A64*A63</f>
        <v>1674600</v>
      </c>
      <c r="C72" s="151"/>
      <c r="D72" s="152">
        <f>L59+Z59+BB59+CN61+DB61+DP61+ED61+ER61+FF61+FT61+GH61+BP59+CD59+GX61+AN59</f>
        <v>105152</v>
      </c>
      <c r="E72" s="153"/>
      <c r="F72" s="152">
        <f>K62+Y62</f>
        <v>0</v>
      </c>
      <c r="G72" s="153"/>
      <c r="K72" s="13"/>
      <c r="CH72" s="112"/>
      <c r="CV72" s="112"/>
      <c r="DJ72" s="112"/>
      <c r="DX72" s="112"/>
      <c r="EL72" s="112"/>
      <c r="EZ72" s="112"/>
      <c r="FN72" s="112"/>
      <c r="GB72" s="112"/>
      <c r="GP72" s="112"/>
      <c r="HF72" s="112"/>
      <c r="HL72" s="112"/>
      <c r="HR72" s="112"/>
    </row>
    <row r="73" spans="1:230" x14ac:dyDescent="0.2">
      <c r="B73" s="113"/>
      <c r="C73" s="113"/>
      <c r="D73" s="23" t="s">
        <v>290</v>
      </c>
      <c r="E73" s="114">
        <f>D72/B63</f>
        <v>0.18837692583303475</v>
      </c>
      <c r="F73" s="5"/>
      <c r="G73" s="5"/>
      <c r="K73" s="13"/>
      <c r="CH73" s="112"/>
      <c r="CV73" s="112"/>
      <c r="DJ73" s="112"/>
      <c r="DX73" s="112"/>
      <c r="EL73" s="112"/>
      <c r="EZ73" s="112"/>
      <c r="FN73" s="112"/>
      <c r="GB73" s="112"/>
      <c r="GP73" s="112"/>
      <c r="HF73" s="112"/>
      <c r="HL73" s="112"/>
      <c r="HR73" s="112"/>
    </row>
    <row r="74" spans="1:230" x14ac:dyDescent="0.2">
      <c r="E74" s="30"/>
      <c r="F74" s="30"/>
      <c r="G74" s="30"/>
      <c r="H74" s="30"/>
      <c r="K74" s="13"/>
    </row>
    <row r="75" spans="1:230" ht="15" customHeight="1" x14ac:dyDescent="0.2">
      <c r="A75" s="162" t="s">
        <v>244</v>
      </c>
      <c r="B75" s="162"/>
      <c r="C75" s="162"/>
      <c r="D75" s="162"/>
      <c r="E75" s="166" t="s">
        <v>0</v>
      </c>
      <c r="F75" s="166"/>
      <c r="G75" s="166"/>
      <c r="H75" s="166"/>
      <c r="I75" s="6"/>
      <c r="J75" s="7"/>
      <c r="K75" s="6"/>
      <c r="L75" s="6"/>
      <c r="M75" s="6"/>
      <c r="N75" s="8"/>
      <c r="O75" s="9"/>
      <c r="P75" s="162" t="s">
        <v>244</v>
      </c>
      <c r="Q75" s="162"/>
      <c r="R75" s="162"/>
      <c r="S75" s="166" t="s">
        <v>1</v>
      </c>
      <c r="T75" s="166"/>
      <c r="U75" s="166"/>
      <c r="V75" s="166"/>
      <c r="W75" s="6"/>
      <c r="X75" s="10"/>
      <c r="Y75" s="6"/>
      <c r="Z75" s="6"/>
      <c r="AA75" s="6"/>
      <c r="AB75" s="8"/>
      <c r="AC75" s="6"/>
      <c r="AD75" s="162" t="s">
        <v>244</v>
      </c>
      <c r="AE75" s="162"/>
      <c r="AF75" s="162"/>
      <c r="AG75" s="166" t="s">
        <v>38</v>
      </c>
      <c r="AH75" s="166"/>
      <c r="AI75" s="166"/>
      <c r="AJ75" s="166"/>
      <c r="AK75" s="6"/>
      <c r="AL75" s="10"/>
      <c r="AM75" s="6"/>
      <c r="AN75" s="6"/>
      <c r="AO75" s="6"/>
      <c r="AP75" s="8"/>
      <c r="AQ75" s="6"/>
      <c r="AR75" s="162" t="s">
        <v>244</v>
      </c>
      <c r="AS75" s="162"/>
      <c r="AT75" s="162"/>
      <c r="AU75" s="166" t="s">
        <v>39</v>
      </c>
      <c r="AV75" s="166"/>
      <c r="AW75" s="166"/>
      <c r="AX75" s="166"/>
      <c r="AY75" s="6"/>
      <c r="AZ75" s="10"/>
      <c r="BA75" s="6"/>
      <c r="BB75" s="6"/>
      <c r="BC75" s="6"/>
      <c r="BD75" s="8"/>
      <c r="BE75" s="11"/>
      <c r="BF75" s="162" t="s">
        <v>244</v>
      </c>
      <c r="BG75" s="162"/>
      <c r="BH75" s="162"/>
      <c r="BI75" s="165" t="s">
        <v>245</v>
      </c>
      <c r="BJ75" s="165"/>
      <c r="BK75" s="165"/>
      <c r="BL75" s="165"/>
      <c r="BM75" s="11"/>
      <c r="BN75" s="11"/>
      <c r="BO75" s="11"/>
      <c r="BP75" s="11"/>
      <c r="BQ75" s="11"/>
      <c r="BR75" s="11"/>
      <c r="BS75" s="6"/>
      <c r="BT75" s="162" t="s">
        <v>244</v>
      </c>
      <c r="BU75" s="162"/>
      <c r="BV75" s="162"/>
      <c r="BW75" s="165" t="s">
        <v>246</v>
      </c>
      <c r="BX75" s="165"/>
      <c r="BY75" s="165"/>
      <c r="BZ75" s="165"/>
      <c r="CA75" s="11"/>
      <c r="CB75" s="11"/>
      <c r="CC75" s="11"/>
      <c r="CD75" s="11"/>
      <c r="CE75" s="11"/>
      <c r="CF75" s="11"/>
      <c r="CG75" s="6"/>
      <c r="CH75" s="162" t="s">
        <v>244</v>
      </c>
      <c r="CI75" s="162"/>
      <c r="CJ75" s="162"/>
      <c r="CK75" s="162" t="s">
        <v>247</v>
      </c>
      <c r="CL75" s="162"/>
      <c r="CM75" s="162"/>
      <c r="CN75" s="162"/>
      <c r="CO75" s="11"/>
      <c r="CP75" s="11"/>
      <c r="CQ75" s="11"/>
      <c r="CR75" s="11"/>
      <c r="CS75" s="11"/>
      <c r="CT75" s="11"/>
      <c r="CU75" s="6"/>
      <c r="CV75" s="162" t="s">
        <v>244</v>
      </c>
      <c r="CW75" s="162"/>
      <c r="CX75" s="162"/>
      <c r="CY75" s="162" t="s">
        <v>248</v>
      </c>
      <c r="CZ75" s="162"/>
      <c r="DA75" s="162"/>
      <c r="DB75" s="162"/>
      <c r="DC75" s="11"/>
      <c r="DD75" s="11"/>
      <c r="DE75" s="11"/>
      <c r="DF75" s="11"/>
      <c r="DG75" s="11"/>
      <c r="DH75" s="11"/>
      <c r="DI75" s="6"/>
      <c r="DJ75" s="162" t="s">
        <v>244</v>
      </c>
      <c r="DK75" s="162"/>
      <c r="DL75" s="162"/>
      <c r="DM75" s="162" t="s">
        <v>249</v>
      </c>
      <c r="DN75" s="162"/>
      <c r="DO75" s="162"/>
      <c r="DP75" s="162"/>
      <c r="DQ75" s="11"/>
      <c r="DR75" s="11"/>
      <c r="DS75" s="11"/>
      <c r="DT75" s="11"/>
      <c r="DU75" s="11"/>
      <c r="DV75" s="11"/>
      <c r="DW75" s="6"/>
      <c r="DX75" s="162" t="s">
        <v>244</v>
      </c>
      <c r="DY75" s="162"/>
      <c r="DZ75" s="162"/>
      <c r="EA75" s="162" t="s">
        <v>250</v>
      </c>
      <c r="EB75" s="162"/>
      <c r="EC75" s="162"/>
      <c r="ED75" s="162"/>
      <c r="EE75" s="11"/>
      <c r="EF75" s="11"/>
      <c r="EG75" s="11"/>
      <c r="EH75" s="11"/>
      <c r="EI75" s="11"/>
      <c r="EJ75" s="11"/>
      <c r="EK75" s="6"/>
      <c r="EL75" s="162" t="s">
        <v>244</v>
      </c>
      <c r="EM75" s="162"/>
      <c r="EN75" s="162"/>
      <c r="EO75" s="162" t="s">
        <v>251</v>
      </c>
      <c r="EP75" s="162"/>
      <c r="EQ75" s="162"/>
      <c r="ER75" s="162"/>
      <c r="ES75" s="11"/>
      <c r="ET75" s="11"/>
      <c r="EU75" s="11"/>
      <c r="EV75" s="11"/>
      <c r="EW75" s="11"/>
      <c r="EX75" s="11"/>
      <c r="EY75" s="6"/>
      <c r="EZ75" s="162" t="s">
        <v>244</v>
      </c>
      <c r="FA75" s="162"/>
      <c r="FB75" s="162"/>
      <c r="FC75" s="162" t="s">
        <v>252</v>
      </c>
      <c r="FD75" s="162"/>
      <c r="FE75" s="162"/>
      <c r="FF75" s="162"/>
      <c r="FG75" s="11"/>
      <c r="FH75" s="11"/>
      <c r="FI75" s="11"/>
      <c r="FJ75" s="11"/>
      <c r="FK75" s="11"/>
      <c r="FL75" s="11"/>
      <c r="FM75" s="6"/>
      <c r="FN75" s="162" t="s">
        <v>244</v>
      </c>
      <c r="FO75" s="162"/>
      <c r="FP75" s="162"/>
      <c r="FQ75" s="162" t="s">
        <v>111</v>
      </c>
      <c r="FR75" s="162"/>
      <c r="FS75" s="162"/>
      <c r="FT75" s="162"/>
      <c r="FU75" s="11"/>
      <c r="FV75" s="11"/>
      <c r="FW75" s="11"/>
      <c r="FX75" s="11"/>
      <c r="FY75" s="11"/>
      <c r="FZ75" s="11"/>
      <c r="GA75" s="6"/>
      <c r="GB75" s="162" t="s">
        <v>244</v>
      </c>
      <c r="GC75" s="162"/>
      <c r="GD75" s="162"/>
      <c r="GE75" s="162" t="s">
        <v>253</v>
      </c>
      <c r="GF75" s="162"/>
      <c r="GG75" s="162"/>
      <c r="GH75" s="162"/>
      <c r="GI75" s="11"/>
      <c r="GJ75" s="11"/>
      <c r="GK75" s="11"/>
      <c r="GL75" s="11"/>
      <c r="GM75" s="11"/>
      <c r="GN75" s="11"/>
      <c r="GO75" s="6"/>
      <c r="GP75" s="162" t="s">
        <v>244</v>
      </c>
      <c r="GQ75" s="162"/>
      <c r="GR75" s="162"/>
      <c r="GS75" s="12"/>
      <c r="GT75" s="12"/>
      <c r="GU75" s="162" t="s">
        <v>254</v>
      </c>
      <c r="GV75" s="162"/>
      <c r="GW75" s="162"/>
      <c r="GX75" s="162"/>
      <c r="GY75" s="11"/>
      <c r="GZ75" s="11"/>
      <c r="HA75" s="11"/>
      <c r="HB75" s="11"/>
      <c r="HC75" s="11"/>
      <c r="HD75" s="11"/>
      <c r="HF75" s="162" t="s">
        <v>244</v>
      </c>
      <c r="HG75" s="162"/>
      <c r="HH75" s="163" t="s">
        <v>255</v>
      </c>
      <c r="HI75" s="163"/>
      <c r="HJ75" s="163"/>
      <c r="HL75" s="162" t="s">
        <v>244</v>
      </c>
      <c r="HM75" s="162"/>
      <c r="HN75" s="162" t="s">
        <v>256</v>
      </c>
      <c r="HO75" s="162"/>
      <c r="HP75" s="162"/>
      <c r="HR75" s="162" t="s">
        <v>244</v>
      </c>
      <c r="HS75" s="162"/>
      <c r="HT75" s="162" t="s">
        <v>257</v>
      </c>
      <c r="HU75" s="162"/>
      <c r="HV75" s="162"/>
    </row>
    <row r="76" spans="1:230" ht="15" customHeight="1" x14ac:dyDescent="0.2">
      <c r="A76" s="14" t="s">
        <v>2</v>
      </c>
      <c r="B76" s="15" t="s">
        <v>258</v>
      </c>
      <c r="C76" s="16" t="s">
        <v>3</v>
      </c>
      <c r="D76" s="16" t="s">
        <v>4</v>
      </c>
      <c r="E76" s="17" t="s">
        <v>5</v>
      </c>
      <c r="F76" s="16" t="s">
        <v>4</v>
      </c>
      <c r="G76" s="16" t="s">
        <v>6</v>
      </c>
      <c r="H76" s="16" t="s">
        <v>7</v>
      </c>
      <c r="I76" s="16" t="s">
        <v>8</v>
      </c>
      <c r="J76" s="17" t="s">
        <v>9</v>
      </c>
      <c r="K76" s="16" t="s">
        <v>10</v>
      </c>
      <c r="L76" s="16" t="s">
        <v>7</v>
      </c>
      <c r="M76" s="16" t="s">
        <v>11</v>
      </c>
      <c r="N76" s="16" t="s">
        <v>12</v>
      </c>
      <c r="O76" s="18"/>
      <c r="P76" s="14" t="s">
        <v>2</v>
      </c>
      <c r="Q76" s="16" t="s">
        <v>3</v>
      </c>
      <c r="R76" s="16" t="s">
        <v>4</v>
      </c>
      <c r="S76" s="17" t="s">
        <v>5</v>
      </c>
      <c r="T76" s="16" t="s">
        <v>4</v>
      </c>
      <c r="U76" s="16" t="s">
        <v>6</v>
      </c>
      <c r="V76" s="16" t="s">
        <v>7</v>
      </c>
      <c r="W76" s="16" t="s">
        <v>8</v>
      </c>
      <c r="X76" s="19" t="s">
        <v>9</v>
      </c>
      <c r="Y76" s="16" t="s">
        <v>10</v>
      </c>
      <c r="Z76" s="16" t="s">
        <v>7</v>
      </c>
      <c r="AA76" s="16" t="s">
        <v>11</v>
      </c>
      <c r="AB76" s="16" t="s">
        <v>12</v>
      </c>
      <c r="AD76" s="14" t="s">
        <v>2</v>
      </c>
      <c r="AE76" s="16" t="s">
        <v>3</v>
      </c>
      <c r="AF76" s="16" t="s">
        <v>4</v>
      </c>
      <c r="AG76" s="17" t="s">
        <v>5</v>
      </c>
      <c r="AH76" s="16" t="s">
        <v>4</v>
      </c>
      <c r="AI76" s="16" t="s">
        <v>6</v>
      </c>
      <c r="AJ76" s="16" t="s">
        <v>7</v>
      </c>
      <c r="AK76" s="16" t="s">
        <v>8</v>
      </c>
      <c r="AL76" s="19" t="s">
        <v>9</v>
      </c>
      <c r="AM76" s="16" t="s">
        <v>10</v>
      </c>
      <c r="AN76" s="16" t="s">
        <v>7</v>
      </c>
      <c r="AO76" s="16" t="s">
        <v>11</v>
      </c>
      <c r="AP76" s="16" t="s">
        <v>12</v>
      </c>
      <c r="AR76" s="14" t="s">
        <v>2</v>
      </c>
      <c r="AS76" s="16" t="s">
        <v>3</v>
      </c>
      <c r="AT76" s="16" t="s">
        <v>4</v>
      </c>
      <c r="AU76" s="17" t="s">
        <v>5</v>
      </c>
      <c r="AV76" s="16" t="s">
        <v>4</v>
      </c>
      <c r="AW76" s="16" t="s">
        <v>6</v>
      </c>
      <c r="AX76" s="16" t="s">
        <v>7</v>
      </c>
      <c r="AY76" s="16" t="s">
        <v>8</v>
      </c>
      <c r="AZ76" s="19" t="s">
        <v>9</v>
      </c>
      <c r="BA76" s="16" t="s">
        <v>10</v>
      </c>
      <c r="BB76" s="16" t="s">
        <v>7</v>
      </c>
      <c r="BC76" s="16" t="s">
        <v>11</v>
      </c>
      <c r="BD76" s="16" t="s">
        <v>12</v>
      </c>
      <c r="BE76" s="20"/>
      <c r="BF76" s="14" t="s">
        <v>2</v>
      </c>
      <c r="BG76" s="16" t="s">
        <v>3</v>
      </c>
      <c r="BH76" s="16" t="s">
        <v>4</v>
      </c>
      <c r="BI76" s="17" t="s">
        <v>5</v>
      </c>
      <c r="BJ76" s="16" t="s">
        <v>4</v>
      </c>
      <c r="BK76" s="16" t="s">
        <v>6</v>
      </c>
      <c r="BL76" s="16" t="s">
        <v>7</v>
      </c>
      <c r="BM76" s="16" t="s">
        <v>8</v>
      </c>
      <c r="BN76" s="16" t="s">
        <v>9</v>
      </c>
      <c r="BO76" s="16" t="s">
        <v>10</v>
      </c>
      <c r="BP76" s="21" t="s">
        <v>7</v>
      </c>
      <c r="BQ76" s="22" t="s">
        <v>11</v>
      </c>
      <c r="BR76" s="23" t="s">
        <v>12</v>
      </c>
      <c r="BT76" s="14" t="s">
        <v>2</v>
      </c>
      <c r="BU76" s="16" t="s">
        <v>3</v>
      </c>
      <c r="BV76" s="16" t="s">
        <v>4</v>
      </c>
      <c r="BW76" s="17" t="s">
        <v>5</v>
      </c>
      <c r="BX76" s="16" t="s">
        <v>4</v>
      </c>
      <c r="BY76" s="16" t="s">
        <v>6</v>
      </c>
      <c r="BZ76" s="16" t="s">
        <v>7</v>
      </c>
      <c r="CA76" s="16" t="s">
        <v>8</v>
      </c>
      <c r="CB76" s="16" t="s">
        <v>9</v>
      </c>
      <c r="CC76" s="16" t="s">
        <v>10</v>
      </c>
      <c r="CD76" s="16" t="s">
        <v>7</v>
      </c>
      <c r="CE76" s="16" t="s">
        <v>11</v>
      </c>
      <c r="CF76" s="16" t="s">
        <v>12</v>
      </c>
      <c r="CH76" s="24" t="s">
        <v>2</v>
      </c>
      <c r="CI76" s="16" t="s">
        <v>3</v>
      </c>
      <c r="CJ76" s="16" t="s">
        <v>4</v>
      </c>
      <c r="CK76" s="17" t="s">
        <v>5</v>
      </c>
      <c r="CL76" s="16" t="s">
        <v>4</v>
      </c>
      <c r="CM76" s="16" t="s">
        <v>6</v>
      </c>
      <c r="CN76" s="16" t="s">
        <v>7</v>
      </c>
      <c r="CO76" s="16" t="s">
        <v>8</v>
      </c>
      <c r="CP76" s="16" t="s">
        <v>259</v>
      </c>
      <c r="CQ76" s="16" t="s">
        <v>10</v>
      </c>
      <c r="CR76" s="16" t="s">
        <v>32</v>
      </c>
      <c r="CS76" s="16" t="s">
        <v>33</v>
      </c>
      <c r="CT76" s="16" t="s">
        <v>12</v>
      </c>
      <c r="CV76" s="24" t="s">
        <v>2</v>
      </c>
      <c r="CW76" s="16" t="s">
        <v>3</v>
      </c>
      <c r="CX76" s="16" t="s">
        <v>4</v>
      </c>
      <c r="CY76" s="17" t="s">
        <v>5</v>
      </c>
      <c r="CZ76" s="16" t="s">
        <v>4</v>
      </c>
      <c r="DA76" s="16" t="s">
        <v>6</v>
      </c>
      <c r="DB76" s="16" t="s">
        <v>7</v>
      </c>
      <c r="DC76" s="16" t="s">
        <v>8</v>
      </c>
      <c r="DD76" s="16" t="s">
        <v>259</v>
      </c>
      <c r="DE76" s="16" t="s">
        <v>10</v>
      </c>
      <c r="DF76" s="16" t="s">
        <v>32</v>
      </c>
      <c r="DG76" s="16" t="s">
        <v>33</v>
      </c>
      <c r="DH76" s="16" t="s">
        <v>12</v>
      </c>
      <c r="DJ76" s="24" t="s">
        <v>2</v>
      </c>
      <c r="DK76" s="16" t="s">
        <v>3</v>
      </c>
      <c r="DL76" s="16" t="s">
        <v>4</v>
      </c>
      <c r="DM76" s="17" t="s">
        <v>5</v>
      </c>
      <c r="DN76" s="16" t="s">
        <v>4</v>
      </c>
      <c r="DO76" s="16" t="s">
        <v>6</v>
      </c>
      <c r="DP76" s="16" t="s">
        <v>7</v>
      </c>
      <c r="DQ76" s="16" t="s">
        <v>8</v>
      </c>
      <c r="DR76" s="16" t="s">
        <v>259</v>
      </c>
      <c r="DS76" s="16" t="s">
        <v>10</v>
      </c>
      <c r="DT76" s="16" t="s">
        <v>32</v>
      </c>
      <c r="DU76" s="16" t="s">
        <v>33</v>
      </c>
      <c r="DV76" s="16" t="s">
        <v>12</v>
      </c>
      <c r="DX76" s="24" t="s">
        <v>2</v>
      </c>
      <c r="DY76" s="16" t="s">
        <v>3</v>
      </c>
      <c r="DZ76" s="16" t="s">
        <v>4</v>
      </c>
      <c r="EA76" s="17" t="s">
        <v>5</v>
      </c>
      <c r="EB76" s="16" t="s">
        <v>4</v>
      </c>
      <c r="EC76" s="16" t="s">
        <v>6</v>
      </c>
      <c r="ED76" s="16" t="s">
        <v>7</v>
      </c>
      <c r="EE76" s="16" t="s">
        <v>8</v>
      </c>
      <c r="EF76" s="16"/>
      <c r="EG76" s="16" t="s">
        <v>10</v>
      </c>
      <c r="EH76" s="16" t="s">
        <v>32</v>
      </c>
      <c r="EI76" s="16" t="s">
        <v>33</v>
      </c>
      <c r="EJ76" s="16" t="s">
        <v>12</v>
      </c>
      <c r="EL76" s="24" t="s">
        <v>2</v>
      </c>
      <c r="EM76" s="16" t="s">
        <v>3</v>
      </c>
      <c r="EN76" s="16" t="s">
        <v>4</v>
      </c>
      <c r="EO76" s="17" t="s">
        <v>5</v>
      </c>
      <c r="EP76" s="16" t="s">
        <v>4</v>
      </c>
      <c r="EQ76" s="16" t="s">
        <v>6</v>
      </c>
      <c r="ER76" s="16" t="s">
        <v>7</v>
      </c>
      <c r="ES76" s="16" t="s">
        <v>8</v>
      </c>
      <c r="ET76" s="16" t="s">
        <v>259</v>
      </c>
      <c r="EU76" s="16" t="s">
        <v>10</v>
      </c>
      <c r="EV76" s="16" t="s">
        <v>32</v>
      </c>
      <c r="EW76" s="16" t="s">
        <v>33</v>
      </c>
      <c r="EX76" s="16" t="s">
        <v>12</v>
      </c>
      <c r="EZ76" s="24" t="s">
        <v>2</v>
      </c>
      <c r="FA76" s="16" t="s">
        <v>3</v>
      </c>
      <c r="FB76" s="16" t="s">
        <v>4</v>
      </c>
      <c r="FC76" s="17" t="s">
        <v>5</v>
      </c>
      <c r="FD76" s="16" t="s">
        <v>4</v>
      </c>
      <c r="FE76" s="16" t="s">
        <v>6</v>
      </c>
      <c r="FF76" s="16" t="s">
        <v>7</v>
      </c>
      <c r="FG76" s="16" t="s">
        <v>8</v>
      </c>
      <c r="FH76" s="16" t="s">
        <v>259</v>
      </c>
      <c r="FI76" s="16" t="s">
        <v>10</v>
      </c>
      <c r="FJ76" s="16" t="s">
        <v>32</v>
      </c>
      <c r="FK76" s="16" t="s">
        <v>33</v>
      </c>
      <c r="FL76" s="16" t="s">
        <v>12</v>
      </c>
      <c r="FN76" s="24" t="s">
        <v>2</v>
      </c>
      <c r="FO76" s="16" t="s">
        <v>3</v>
      </c>
      <c r="FP76" s="16" t="s">
        <v>4</v>
      </c>
      <c r="FQ76" s="17" t="s">
        <v>5</v>
      </c>
      <c r="FR76" s="16" t="s">
        <v>4</v>
      </c>
      <c r="FS76" s="16" t="s">
        <v>6</v>
      </c>
      <c r="FT76" s="16" t="s">
        <v>7</v>
      </c>
      <c r="FU76" s="16" t="s">
        <v>8</v>
      </c>
      <c r="FV76" s="16" t="s">
        <v>259</v>
      </c>
      <c r="FW76" s="16" t="s">
        <v>10</v>
      </c>
      <c r="FX76" s="16" t="s">
        <v>32</v>
      </c>
      <c r="FY76" s="16" t="s">
        <v>33</v>
      </c>
      <c r="FZ76" s="16" t="s">
        <v>12</v>
      </c>
      <c r="GB76" s="24" t="s">
        <v>2</v>
      </c>
      <c r="GC76" s="16" t="s">
        <v>3</v>
      </c>
      <c r="GD76" s="16" t="s">
        <v>4</v>
      </c>
      <c r="GE76" s="17" t="s">
        <v>5</v>
      </c>
      <c r="GF76" s="16" t="s">
        <v>4</v>
      </c>
      <c r="GG76" s="16" t="s">
        <v>6</v>
      </c>
      <c r="GH76" s="16" t="s">
        <v>7</v>
      </c>
      <c r="GI76" s="16" t="s">
        <v>8</v>
      </c>
      <c r="GJ76" s="16" t="s">
        <v>259</v>
      </c>
      <c r="GK76" s="16" t="s">
        <v>10</v>
      </c>
      <c r="GL76" s="16" t="s">
        <v>32</v>
      </c>
      <c r="GM76" s="16" t="s">
        <v>33</v>
      </c>
      <c r="GN76" s="16" t="s">
        <v>12</v>
      </c>
      <c r="GP76" s="24" t="s">
        <v>2</v>
      </c>
      <c r="GQ76" s="16" t="s">
        <v>3</v>
      </c>
      <c r="GR76" s="16" t="s">
        <v>4</v>
      </c>
      <c r="GS76" s="16" t="s">
        <v>260</v>
      </c>
      <c r="GT76" s="16" t="s">
        <v>4</v>
      </c>
      <c r="GU76" s="17" t="s">
        <v>5</v>
      </c>
      <c r="GV76" s="16" t="s">
        <v>4</v>
      </c>
      <c r="GW76" s="16" t="s">
        <v>6</v>
      </c>
      <c r="GX76" s="16" t="s">
        <v>7</v>
      </c>
      <c r="GY76" s="16" t="s">
        <v>8</v>
      </c>
      <c r="GZ76" s="16" t="s">
        <v>259</v>
      </c>
      <c r="HA76" s="16" t="s">
        <v>10</v>
      </c>
      <c r="HB76" s="16" t="s">
        <v>32</v>
      </c>
      <c r="HC76" s="16" t="s">
        <v>33</v>
      </c>
      <c r="HD76" s="16" t="s">
        <v>12</v>
      </c>
      <c r="HF76" s="24" t="s">
        <v>2</v>
      </c>
      <c r="HG76" s="16" t="s">
        <v>3</v>
      </c>
      <c r="HH76" s="16" t="s">
        <v>4</v>
      </c>
      <c r="HI76" s="17"/>
      <c r="HJ76" s="16" t="s">
        <v>261</v>
      </c>
      <c r="HL76" s="24" t="s">
        <v>2</v>
      </c>
      <c r="HM76" s="16" t="s">
        <v>3</v>
      </c>
      <c r="HN76" s="16" t="s">
        <v>4</v>
      </c>
      <c r="HO76" s="17"/>
      <c r="HP76" s="16" t="s">
        <v>261</v>
      </c>
      <c r="HR76" s="24" t="s">
        <v>2</v>
      </c>
      <c r="HS76" s="16" t="s">
        <v>3</v>
      </c>
      <c r="HT76" s="16" t="s">
        <v>4</v>
      </c>
      <c r="HU76" s="17"/>
      <c r="HV76" s="16" t="s">
        <v>261</v>
      </c>
    </row>
    <row r="77" spans="1:230" ht="15" customHeight="1" x14ac:dyDescent="0.2">
      <c r="A77" s="25">
        <v>46132</v>
      </c>
      <c r="B77" s="26">
        <v>2277</v>
      </c>
      <c r="C77" s="4">
        <v>13442</v>
      </c>
      <c r="D77" s="4">
        <v>27</v>
      </c>
      <c r="E77" s="4">
        <v>350</v>
      </c>
      <c r="F77" s="4">
        <v>2</v>
      </c>
      <c r="G77" s="4">
        <v>5</v>
      </c>
      <c r="H77" s="4">
        <v>2</v>
      </c>
      <c r="I77" s="4">
        <v>5</v>
      </c>
      <c r="J77" s="2" t="s">
        <v>262</v>
      </c>
      <c r="K77" s="27">
        <v>660</v>
      </c>
      <c r="L77" s="4">
        <v>1320</v>
      </c>
      <c r="M77" s="28">
        <v>0.48888888888888887</v>
      </c>
      <c r="N77" s="29" t="s">
        <v>212</v>
      </c>
      <c r="O77" s="30"/>
      <c r="P77" s="25">
        <v>46132</v>
      </c>
      <c r="Q77" s="4">
        <v>4162</v>
      </c>
      <c r="R77" s="4">
        <v>69</v>
      </c>
      <c r="S77" s="4">
        <v>193</v>
      </c>
      <c r="T77" s="4">
        <v>2</v>
      </c>
      <c r="U77" s="4">
        <v>5</v>
      </c>
      <c r="V77" s="4">
        <v>2</v>
      </c>
      <c r="W77" s="4">
        <v>0</v>
      </c>
      <c r="X77" s="31" t="s">
        <v>263</v>
      </c>
      <c r="Y77" s="27">
        <v>660</v>
      </c>
      <c r="Z77" s="4">
        <v>1320</v>
      </c>
      <c r="AA77" s="28">
        <v>0.19130434782608696</v>
      </c>
      <c r="AB77" s="29"/>
      <c r="AD77" s="25">
        <v>46132</v>
      </c>
      <c r="AE77" s="4">
        <v>2018</v>
      </c>
      <c r="AF77" s="4">
        <v>14</v>
      </c>
      <c r="AG77" s="4">
        <v>29</v>
      </c>
      <c r="AH77" s="4">
        <v>1</v>
      </c>
      <c r="AI77" s="4">
        <v>5</v>
      </c>
      <c r="AJ77" s="4">
        <v>1</v>
      </c>
      <c r="AK77" s="4">
        <v>2</v>
      </c>
      <c r="AL77" s="31" t="s">
        <v>264</v>
      </c>
      <c r="AM77" s="27">
        <v>462</v>
      </c>
      <c r="AN77" s="4">
        <v>462</v>
      </c>
      <c r="AO77" s="28">
        <v>0.33</v>
      </c>
      <c r="AP77" s="29" t="s">
        <v>210</v>
      </c>
      <c r="AR77" s="25">
        <v>46132</v>
      </c>
      <c r="AS77" s="4">
        <v>1459</v>
      </c>
      <c r="AT77" s="4">
        <v>85</v>
      </c>
      <c r="AU77" s="4">
        <v>35</v>
      </c>
      <c r="AV77" s="4">
        <v>3</v>
      </c>
      <c r="AW77" s="4">
        <v>14</v>
      </c>
      <c r="AX77" s="4">
        <v>3</v>
      </c>
      <c r="AY77" s="4">
        <v>2</v>
      </c>
      <c r="AZ77" s="31" t="s">
        <v>265</v>
      </c>
      <c r="BA77" s="27">
        <v>847</v>
      </c>
      <c r="BB77" s="4">
        <v>3225</v>
      </c>
      <c r="BC77" s="28">
        <v>0.37941176470588234</v>
      </c>
      <c r="BD77" s="29"/>
      <c r="BE77" s="32"/>
      <c r="BF77" s="33">
        <v>46132</v>
      </c>
      <c r="BG77" s="4">
        <v>2891</v>
      </c>
      <c r="BH77" s="4">
        <v>53</v>
      </c>
      <c r="BI77" s="5">
        <v>26</v>
      </c>
      <c r="BJ77" s="4">
        <v>1</v>
      </c>
      <c r="BK77" s="4">
        <v>3</v>
      </c>
      <c r="BL77" s="4">
        <v>0</v>
      </c>
      <c r="BM77" s="4">
        <v>0</v>
      </c>
      <c r="BN77" s="3" t="s">
        <v>129</v>
      </c>
      <c r="BO77" s="4">
        <v>1500</v>
      </c>
      <c r="BP77" s="4">
        <v>0</v>
      </c>
      <c r="BQ77" s="28">
        <v>0</v>
      </c>
      <c r="BR77" s="34"/>
      <c r="BT77" s="33">
        <v>46132</v>
      </c>
      <c r="BU77" s="4">
        <v>35867</v>
      </c>
      <c r="BV77" s="4">
        <v>29</v>
      </c>
      <c r="BW77" s="5">
        <v>3875</v>
      </c>
      <c r="BX77" s="4">
        <v>1</v>
      </c>
      <c r="BY77" s="4">
        <v>45</v>
      </c>
      <c r="BZ77" s="4">
        <v>1</v>
      </c>
      <c r="CA77" s="4">
        <v>6</v>
      </c>
      <c r="CB77" s="3" t="s">
        <v>131</v>
      </c>
      <c r="CC77" s="4">
        <v>1050</v>
      </c>
      <c r="CD77" s="4">
        <v>1050</v>
      </c>
      <c r="CE77" s="28">
        <v>0.36206896551724138</v>
      </c>
      <c r="CF77" s="34"/>
      <c r="CH77" s="14">
        <v>46132</v>
      </c>
      <c r="CI77" s="35">
        <v>31433</v>
      </c>
      <c r="CJ77" s="4">
        <v>117</v>
      </c>
      <c r="CK77" s="5">
        <v>528</v>
      </c>
      <c r="CL77" s="4">
        <v>4</v>
      </c>
      <c r="CM77" s="4">
        <v>34</v>
      </c>
      <c r="CN77" s="4">
        <v>4</v>
      </c>
      <c r="CO77" s="4">
        <v>6</v>
      </c>
      <c r="CP77" s="2" t="s">
        <v>266</v>
      </c>
      <c r="CQ77" s="4">
        <v>880</v>
      </c>
      <c r="CR77" s="5">
        <v>3520</v>
      </c>
      <c r="CS77" s="36">
        <v>0.30085470085470084</v>
      </c>
      <c r="CT77" s="29"/>
      <c r="CV77" s="14">
        <v>46132</v>
      </c>
      <c r="CW77" s="35">
        <v>52251</v>
      </c>
      <c r="CX77" s="4">
        <v>23</v>
      </c>
      <c r="CY77" s="5">
        <v>3280</v>
      </c>
      <c r="CZ77" s="4">
        <v>1</v>
      </c>
      <c r="DA77" s="4">
        <v>29</v>
      </c>
      <c r="DB77" s="4">
        <v>1</v>
      </c>
      <c r="DC77" s="4">
        <v>3</v>
      </c>
      <c r="DD77" s="2" t="s">
        <v>267</v>
      </c>
      <c r="DE77" s="4">
        <v>880</v>
      </c>
      <c r="DF77" s="5">
        <v>0</v>
      </c>
      <c r="DG77" s="36">
        <v>0</v>
      </c>
      <c r="DH77" s="29"/>
      <c r="DJ77" s="14">
        <v>46132</v>
      </c>
      <c r="DK77" s="35">
        <v>17767</v>
      </c>
      <c r="DL77" s="4">
        <v>52</v>
      </c>
      <c r="DM77" s="5">
        <v>346</v>
      </c>
      <c r="DN77" s="4">
        <v>1</v>
      </c>
      <c r="DO77" s="4">
        <v>33</v>
      </c>
      <c r="DP77" s="4">
        <v>1</v>
      </c>
      <c r="DQ77" s="4">
        <v>4</v>
      </c>
      <c r="DR77" s="2" t="s">
        <v>268</v>
      </c>
      <c r="DS77" s="4">
        <v>990</v>
      </c>
      <c r="DT77" s="5">
        <v>990</v>
      </c>
      <c r="DU77" s="36">
        <v>0.19038461538461537</v>
      </c>
      <c r="DV77" s="29"/>
      <c r="DX77" s="14">
        <v>46132</v>
      </c>
      <c r="DY77" s="35">
        <v>14904</v>
      </c>
      <c r="DZ77" s="4">
        <v>313</v>
      </c>
      <c r="EA77" s="5">
        <v>135</v>
      </c>
      <c r="EB77" s="4">
        <v>5</v>
      </c>
      <c r="EC77" s="4">
        <v>8</v>
      </c>
      <c r="ED77" s="4">
        <v>6</v>
      </c>
      <c r="EE77" s="4">
        <v>5</v>
      </c>
      <c r="EF77" s="2" t="s">
        <v>129</v>
      </c>
      <c r="EG77" s="4">
        <v>1500</v>
      </c>
      <c r="EH77" s="5">
        <v>9000</v>
      </c>
      <c r="EI77" s="36">
        <v>0.28753993610223644</v>
      </c>
      <c r="EJ77" s="29"/>
      <c r="EL77" s="14">
        <v>46132</v>
      </c>
      <c r="EM77" s="35">
        <v>1138</v>
      </c>
      <c r="EN77" s="4">
        <v>50</v>
      </c>
      <c r="EO77" s="5">
        <v>1070</v>
      </c>
      <c r="EP77" s="4">
        <v>3</v>
      </c>
      <c r="EQ77" s="4">
        <v>27</v>
      </c>
      <c r="ER77" s="4">
        <v>3</v>
      </c>
      <c r="ES77" s="4">
        <v>0</v>
      </c>
      <c r="ET77" s="2" t="s">
        <v>269</v>
      </c>
      <c r="EU77" s="4">
        <v>286</v>
      </c>
      <c r="EV77" s="5">
        <v>528</v>
      </c>
      <c r="EW77" s="36">
        <v>0.1056</v>
      </c>
      <c r="EX77" s="29"/>
      <c r="EZ77" s="14">
        <v>46132</v>
      </c>
      <c r="FA77" s="35">
        <v>764</v>
      </c>
      <c r="FB77" s="4">
        <v>50</v>
      </c>
      <c r="FC77" s="5">
        <v>71</v>
      </c>
      <c r="FD77" s="4">
        <v>4</v>
      </c>
      <c r="FE77" s="4">
        <v>44</v>
      </c>
      <c r="FF77" s="4">
        <v>4</v>
      </c>
      <c r="FG77" s="4">
        <v>5</v>
      </c>
      <c r="FH77" s="2" t="s">
        <v>270</v>
      </c>
      <c r="FI77" s="4">
        <v>300</v>
      </c>
      <c r="FJ77" s="5">
        <v>1200</v>
      </c>
      <c r="FK77" s="36">
        <v>0.24</v>
      </c>
      <c r="FL77" s="29"/>
      <c r="FN77" s="14">
        <v>46132</v>
      </c>
      <c r="FO77" s="35">
        <v>949</v>
      </c>
      <c r="FP77" s="4">
        <v>64</v>
      </c>
      <c r="FQ77" s="5">
        <v>81</v>
      </c>
      <c r="FR77" s="4">
        <v>4</v>
      </c>
      <c r="FS77" s="4">
        <v>36</v>
      </c>
      <c r="FT77" s="4">
        <v>4</v>
      </c>
      <c r="FU77" s="4">
        <v>0</v>
      </c>
      <c r="FV77" s="2" t="s">
        <v>166</v>
      </c>
      <c r="FW77" s="4">
        <v>660</v>
      </c>
      <c r="FX77" s="5">
        <v>2640</v>
      </c>
      <c r="FY77" s="36">
        <v>0.41249999999999998</v>
      </c>
      <c r="FZ77" s="29"/>
      <c r="GB77" s="14">
        <v>46132</v>
      </c>
      <c r="GC77" s="35">
        <v>732</v>
      </c>
      <c r="GD77" s="4">
        <v>30</v>
      </c>
      <c r="GE77" s="5">
        <v>70</v>
      </c>
      <c r="GF77" s="4">
        <v>4</v>
      </c>
      <c r="GG77" s="4">
        <v>25</v>
      </c>
      <c r="GH77" s="4">
        <v>4</v>
      </c>
      <c r="GI77" s="4">
        <v>5</v>
      </c>
      <c r="GJ77" s="2" t="s">
        <v>271</v>
      </c>
      <c r="GK77" s="4">
        <v>220</v>
      </c>
      <c r="GL77" s="5">
        <v>0</v>
      </c>
      <c r="GM77" s="36">
        <v>0</v>
      </c>
      <c r="GN77" s="29"/>
      <c r="GP77" s="14">
        <v>46132</v>
      </c>
      <c r="GQ77" s="35">
        <v>85440</v>
      </c>
      <c r="GR77" s="4">
        <v>58</v>
      </c>
      <c r="GS77" s="4">
        <v>3223</v>
      </c>
      <c r="GT77" s="4">
        <v>0</v>
      </c>
      <c r="GU77" s="5">
        <v>3509</v>
      </c>
      <c r="GV77" s="4">
        <v>1</v>
      </c>
      <c r="GW77" s="4">
        <v>20</v>
      </c>
      <c r="GX77" s="4">
        <v>1</v>
      </c>
      <c r="GY77" s="4">
        <v>3</v>
      </c>
      <c r="GZ77" s="2" t="s">
        <v>153</v>
      </c>
      <c r="HA77" s="4">
        <v>1000</v>
      </c>
      <c r="HB77" s="5">
        <v>1000</v>
      </c>
      <c r="HC77" s="36">
        <v>0.17241379310344829</v>
      </c>
      <c r="HD77" s="29"/>
      <c r="HF77" s="14">
        <v>46132</v>
      </c>
      <c r="HG77" s="35">
        <v>61394</v>
      </c>
      <c r="HH77" s="4">
        <v>54</v>
      </c>
      <c r="HI77" s="5"/>
      <c r="HJ77" s="29"/>
      <c r="HL77" s="14">
        <v>46132</v>
      </c>
      <c r="HM77" s="35">
        <v>45488</v>
      </c>
      <c r="HN77" s="4">
        <v>34</v>
      </c>
      <c r="HO77" s="5"/>
      <c r="HP77" s="29"/>
      <c r="HR77" s="14">
        <v>46132</v>
      </c>
      <c r="HS77" s="35">
        <v>43013</v>
      </c>
      <c r="HT77" s="4">
        <v>48</v>
      </c>
      <c r="HU77" s="5"/>
      <c r="HV77" s="29"/>
    </row>
    <row r="78" spans="1:230" x14ac:dyDescent="0.2">
      <c r="A78" s="14"/>
      <c r="B78" s="37"/>
      <c r="C78" s="4">
        <v>17016</v>
      </c>
      <c r="D78" s="5">
        <v>71</v>
      </c>
      <c r="E78" s="4">
        <v>529</v>
      </c>
      <c r="F78" s="5">
        <v>2</v>
      </c>
      <c r="G78" s="5">
        <v>6</v>
      </c>
      <c r="H78" s="5">
        <v>4</v>
      </c>
      <c r="I78" s="5">
        <v>5</v>
      </c>
      <c r="J78" s="2" t="s">
        <v>272</v>
      </c>
      <c r="K78" s="4">
        <v>1100</v>
      </c>
      <c r="L78" s="5">
        <v>0</v>
      </c>
      <c r="M78" s="36">
        <v>0</v>
      </c>
      <c r="N78" s="29"/>
      <c r="O78" s="30"/>
      <c r="P78" s="25"/>
      <c r="Q78" s="4">
        <v>10844</v>
      </c>
      <c r="R78" s="5">
        <v>37</v>
      </c>
      <c r="S78" s="4">
        <v>185</v>
      </c>
      <c r="T78" s="5">
        <v>1</v>
      </c>
      <c r="U78" s="5">
        <v>9</v>
      </c>
      <c r="V78" s="5">
        <v>1</v>
      </c>
      <c r="W78" s="5">
        <v>0</v>
      </c>
      <c r="X78" s="38" t="s">
        <v>273</v>
      </c>
      <c r="Y78" s="39">
        <v>825</v>
      </c>
      <c r="Z78" s="5">
        <v>825</v>
      </c>
      <c r="AA78" s="36">
        <v>0.22297297297297297</v>
      </c>
      <c r="AB78" s="29"/>
      <c r="AD78" s="25"/>
      <c r="AE78" s="4">
        <v>1779</v>
      </c>
      <c r="AF78" s="5">
        <v>56</v>
      </c>
      <c r="AG78" s="4">
        <v>31</v>
      </c>
      <c r="AH78" s="5">
        <v>0</v>
      </c>
      <c r="AI78" s="5">
        <v>13</v>
      </c>
      <c r="AJ78" s="5">
        <v>0</v>
      </c>
      <c r="AK78" s="5">
        <v>0</v>
      </c>
      <c r="AL78" s="38" t="s">
        <v>274</v>
      </c>
      <c r="AM78" s="39">
        <v>260</v>
      </c>
      <c r="AN78" s="5">
        <v>0</v>
      </c>
      <c r="AO78" s="36">
        <v>0</v>
      </c>
      <c r="AP78" s="29"/>
      <c r="AR78" s="25"/>
      <c r="AS78" s="4">
        <v>1442</v>
      </c>
      <c r="AT78" s="5">
        <v>88</v>
      </c>
      <c r="AU78" s="4">
        <v>3</v>
      </c>
      <c r="AV78" s="5">
        <v>0</v>
      </c>
      <c r="AW78" s="5">
        <v>10</v>
      </c>
      <c r="AX78" s="5">
        <v>0</v>
      </c>
      <c r="AY78" s="5">
        <v>0</v>
      </c>
      <c r="AZ78" s="38" t="s">
        <v>275</v>
      </c>
      <c r="BA78" s="39">
        <v>770</v>
      </c>
      <c r="BB78" s="5">
        <v>0</v>
      </c>
      <c r="BC78" s="36">
        <v>0</v>
      </c>
      <c r="BD78" s="29"/>
      <c r="BE78" s="32"/>
      <c r="BF78" s="25"/>
      <c r="BG78" s="5">
        <v>4866</v>
      </c>
      <c r="BH78" s="5">
        <v>140</v>
      </c>
      <c r="BI78" s="4">
        <v>41</v>
      </c>
      <c r="BJ78" s="5">
        <v>2</v>
      </c>
      <c r="BK78" s="5">
        <v>2</v>
      </c>
      <c r="BL78" s="4">
        <v>1</v>
      </c>
      <c r="BM78" s="5">
        <v>1</v>
      </c>
      <c r="BN78" s="2" t="s">
        <v>129</v>
      </c>
      <c r="BO78" s="4">
        <v>1500</v>
      </c>
      <c r="BP78" s="5">
        <v>1500</v>
      </c>
      <c r="BQ78" s="36">
        <v>0.10714285714285714</v>
      </c>
      <c r="BR78" s="29"/>
      <c r="BT78" s="25"/>
      <c r="BU78" s="5">
        <v>31829</v>
      </c>
      <c r="BV78" s="5">
        <v>39</v>
      </c>
      <c r="BW78" s="4">
        <v>1684</v>
      </c>
      <c r="BX78" s="5">
        <v>3</v>
      </c>
      <c r="BY78" s="5">
        <v>35</v>
      </c>
      <c r="BZ78" s="4">
        <v>3</v>
      </c>
      <c r="CA78" s="5">
        <v>0</v>
      </c>
      <c r="CB78" s="2" t="s">
        <v>123</v>
      </c>
      <c r="CC78" s="4">
        <v>950</v>
      </c>
      <c r="CD78" s="5">
        <v>2850</v>
      </c>
      <c r="CE78" s="36">
        <v>0.73076923076923073</v>
      </c>
      <c r="CF78" s="29"/>
      <c r="CH78" s="40">
        <f>IF($A81="","",$A81)</f>
        <v>46136</v>
      </c>
      <c r="CI78" s="35">
        <v>31505</v>
      </c>
      <c r="CJ78" s="5">
        <f t="shared" ref="CJ78:CJ90" si="293">IF(CI78="","",CI78-CI77)</f>
        <v>72</v>
      </c>
      <c r="CK78" s="5">
        <v>530</v>
      </c>
      <c r="CL78" s="5">
        <f t="shared" ref="CL78:CL90" si="294">IF(CK78="","",CK78-CK77)</f>
        <v>2</v>
      </c>
      <c r="CM78" s="4">
        <v>38</v>
      </c>
      <c r="CN78" s="5">
        <f t="shared" ref="CN78:CN90" si="295">IF(CM78="","",CM77+CO77-CM78)</f>
        <v>2</v>
      </c>
      <c r="CO78" s="4">
        <v>5</v>
      </c>
      <c r="CP78" s="2" t="str">
        <f t="shared" ref="CP78:CP96" si="296">IF(CI78="","",CP77)</f>
        <v>サンリオマスコットポーチ</v>
      </c>
      <c r="CQ78" s="4">
        <f t="shared" ref="CQ78:CQ90" si="297">IF(CI78="","",CQ77)</f>
        <v>880</v>
      </c>
      <c r="CR78" s="5">
        <f t="shared" ref="CR78:CR90" si="298">IF(CQ78="","",CN78*CQ78)</f>
        <v>1760</v>
      </c>
      <c r="CS78" s="36">
        <f t="shared" ref="CS78:CS89" si="299">IF(CR78="","",CR78/(CJ78*100))</f>
        <v>0.24444444444444444</v>
      </c>
      <c r="CT78" s="29"/>
      <c r="CV78" s="40">
        <f>IF($A81="","",$A81)</f>
        <v>46136</v>
      </c>
      <c r="CW78" s="35">
        <v>52260</v>
      </c>
      <c r="CX78" s="5">
        <f t="shared" ref="CX78:CX90" si="300">IF(CW78="","",CW78-CW77)</f>
        <v>9</v>
      </c>
      <c r="CY78" s="5">
        <v>3282</v>
      </c>
      <c r="CZ78" s="5">
        <f t="shared" ref="CZ78:CZ90" si="301">IF(CY78="","",CY78-CY77)</f>
        <v>2</v>
      </c>
      <c r="DA78" s="4">
        <v>30</v>
      </c>
      <c r="DB78" s="5">
        <f t="shared" ref="DB78:DB90" si="302">IF(DA78="","",DA77+DC77-DA78)</f>
        <v>2</v>
      </c>
      <c r="DC78" s="4">
        <v>0</v>
      </c>
      <c r="DD78" s="2" t="str">
        <f>IF(CW78="","",DD77)</f>
        <v>サンリオボアミラーポーチ</v>
      </c>
      <c r="DE78" s="4">
        <f t="shared" ref="DE78:DE90" si="303">IF(CW78="","",DE77)</f>
        <v>880</v>
      </c>
      <c r="DF78" s="5">
        <f t="shared" ref="DF78:DF90" si="304">IF(DE78="","",DB78*DE78)</f>
        <v>1760</v>
      </c>
      <c r="DG78" s="36">
        <f t="shared" ref="DG78:DG89" si="305">IF(DF78="","",DF78/(CX78*100))</f>
        <v>1.9555555555555555</v>
      </c>
      <c r="DH78" s="29"/>
      <c r="DJ78" s="40">
        <f>IF($A81="","",$A81)</f>
        <v>46136</v>
      </c>
      <c r="DK78" s="35">
        <v>17862</v>
      </c>
      <c r="DL78" s="5">
        <f t="shared" ref="DL78:DL90" si="306">IF(DK78="","",DK78-DK77)</f>
        <v>95</v>
      </c>
      <c r="DM78" s="5">
        <v>346</v>
      </c>
      <c r="DN78" s="5">
        <f t="shared" ref="DN78:DN90" si="307">IF(DM78="","",DM78-DM77)</f>
        <v>0</v>
      </c>
      <c r="DO78" s="4">
        <v>37</v>
      </c>
      <c r="DP78" s="5">
        <f t="shared" ref="DP78:DP90" si="308">IF(DO78="","",DO77+DQ77-DO78)</f>
        <v>0</v>
      </c>
      <c r="DQ78" s="4">
        <v>3</v>
      </c>
      <c r="DR78" s="2" t="str">
        <f>IF(DK78="","",DR77)</f>
        <v>サンリオ豹柄リールパスケース</v>
      </c>
      <c r="DS78" s="4">
        <f>IF(DK78="","",DS77)</f>
        <v>990</v>
      </c>
      <c r="DT78" s="5">
        <f t="shared" ref="DT78:DT90" si="309">IF(DS78="","",DP78*DS78)</f>
        <v>0</v>
      </c>
      <c r="DU78" s="36">
        <f t="shared" ref="DU78:DU89" si="310">IF(DT78="","",DT78/(DL78*100))</f>
        <v>0</v>
      </c>
      <c r="DV78" s="29"/>
      <c r="DX78" s="40">
        <f>IF($A81="","",$A81)</f>
        <v>46136</v>
      </c>
      <c r="DY78" s="35">
        <v>15203</v>
      </c>
      <c r="DZ78" s="5">
        <f t="shared" ref="DZ78:DZ90" si="311">IF(DY78="","",DY78-DY77)</f>
        <v>299</v>
      </c>
      <c r="EA78" s="5">
        <v>137</v>
      </c>
      <c r="EB78" s="5">
        <f t="shared" ref="EB78:EB90" si="312">IF(EA78="","",EA78-EA77)</f>
        <v>2</v>
      </c>
      <c r="EC78" s="4">
        <v>10</v>
      </c>
      <c r="ED78" s="5">
        <f t="shared" ref="ED78:ED90" si="313">IF(EC78="","",EC77+EE77-EC78)</f>
        <v>3</v>
      </c>
      <c r="EE78" s="4">
        <v>5</v>
      </c>
      <c r="EF78" s="2" t="str">
        <f t="shared" ref="EF78:EF96" si="314">IF(DY78="","",EF77)</f>
        <v>ボンボンドロップシール</v>
      </c>
      <c r="EG78" s="4">
        <f t="shared" ref="EG78:EG90" si="315">IF(DY78="","",EG77)</f>
        <v>1500</v>
      </c>
      <c r="EH78" s="5">
        <f t="shared" ref="EH78:EH90" si="316">IF(EG78="","",ED78*EG78)</f>
        <v>4500</v>
      </c>
      <c r="EI78" s="36">
        <f t="shared" ref="EI78:EI89" si="317">IF(EH78="","",EH78/(DZ78*100))</f>
        <v>0.15050167224080269</v>
      </c>
      <c r="EJ78" s="29"/>
      <c r="EL78" s="40">
        <f>IF($A81="","",$A81)</f>
        <v>46136</v>
      </c>
      <c r="EM78" s="35">
        <v>1172</v>
      </c>
      <c r="EN78" s="5">
        <f t="shared" ref="EN78:EN90" si="318">IF(EM78="","",EM78-EM77)</f>
        <v>34</v>
      </c>
      <c r="EO78" s="5">
        <v>1071</v>
      </c>
      <c r="EP78" s="5">
        <f t="shared" ref="EP78:EP90" si="319">IF(EO78="","",EO78-EO77)</f>
        <v>1</v>
      </c>
      <c r="EQ78" s="4">
        <v>26</v>
      </c>
      <c r="ER78" s="5">
        <f t="shared" ref="ER78:ER90" si="320">IF(EQ78="","",EQ77+ES77-EQ78)</f>
        <v>1</v>
      </c>
      <c r="ES78" s="4">
        <v>4</v>
      </c>
      <c r="ET78" s="2" t="str">
        <f t="shared" ref="ET78:ET96" si="321">IF(EM78="","",ET77)</f>
        <v>ケース入バタースクイーズ</v>
      </c>
      <c r="EU78" s="4">
        <f t="shared" ref="EU78:EU90" si="322">IF(EM78="","",EU77)</f>
        <v>286</v>
      </c>
      <c r="EV78" s="5">
        <f t="shared" ref="EV78:EV90" si="323">IF(EU78="","",ER78*EU78)</f>
        <v>286</v>
      </c>
      <c r="EW78" s="36">
        <f t="shared" ref="EW78:EW89" si="324">IF(EV78="","",EV78/(EN78*100))</f>
        <v>8.4117647058823533E-2</v>
      </c>
      <c r="EX78" s="29"/>
      <c r="EZ78" s="40">
        <f>IF($A81="","",$A81)</f>
        <v>46136</v>
      </c>
      <c r="FA78" s="35">
        <v>782</v>
      </c>
      <c r="FB78" s="5">
        <f t="shared" ref="FB78:FB90" si="325">IF(FA78="","",FA78-FA77)</f>
        <v>18</v>
      </c>
      <c r="FC78" s="5">
        <v>73</v>
      </c>
      <c r="FD78" s="5">
        <f t="shared" ref="FD78:FD90" si="326">IF(FC78="","",FC78-FC77)</f>
        <v>2</v>
      </c>
      <c r="FE78" s="4">
        <v>47</v>
      </c>
      <c r="FF78" s="5">
        <f t="shared" ref="FF78:FF90" si="327">IF(FE78="","",FE77+FG77-FE78)</f>
        <v>2</v>
      </c>
      <c r="FG78" s="4">
        <v>0</v>
      </c>
      <c r="FH78" s="2" t="str">
        <f>IF(FA78="","",FH77)</f>
        <v>おさるのジョージぷくぷくシール</v>
      </c>
      <c r="FI78" s="4">
        <f t="shared" ref="FI78:FI83" si="328">IF(FA78="","",FI77)</f>
        <v>300</v>
      </c>
      <c r="FJ78" s="5">
        <f t="shared" ref="FJ78:FJ90" si="329">IF(FI78="","",FF78*FI78)</f>
        <v>600</v>
      </c>
      <c r="FK78" s="36">
        <f t="shared" ref="FK78:FK89" si="330">IF(FJ78="","",FJ78/(FB78*100))</f>
        <v>0.33333333333333331</v>
      </c>
      <c r="FL78" s="29"/>
      <c r="FN78" s="40">
        <f>IF($A81="","",$A81)</f>
        <v>46136</v>
      </c>
      <c r="FO78" s="35">
        <v>975</v>
      </c>
      <c r="FP78" s="5">
        <f t="shared" ref="FP78:FP90" si="331">IF(FO78="","",FO78-FO77)</f>
        <v>26</v>
      </c>
      <c r="FQ78" s="5">
        <v>82</v>
      </c>
      <c r="FR78" s="5">
        <f t="shared" ref="FR78:FR90" si="332">IF(FQ78="","",FQ78-FQ77)</f>
        <v>1</v>
      </c>
      <c r="FS78" s="4">
        <v>35</v>
      </c>
      <c r="FT78" s="5">
        <f t="shared" ref="FT78:FT90" si="333">IF(FS78="","",FS77+FU77-FS78)</f>
        <v>1</v>
      </c>
      <c r="FU78" s="4">
        <v>3</v>
      </c>
      <c r="FV78" s="2" t="str">
        <f t="shared" ref="FV78:FV96" si="334">IF(FO78="","",FV77)</f>
        <v>カラビナ付きぬいぐるみファスナーマスコット</v>
      </c>
      <c r="FW78" s="4">
        <f t="shared" ref="FW78:FW83" si="335">IF(FO78="","",FW77)</f>
        <v>660</v>
      </c>
      <c r="FX78" s="5">
        <f t="shared" ref="FX78:FX90" si="336">IF(FW78="","",FT78*FW78)</f>
        <v>660</v>
      </c>
      <c r="FY78" s="36">
        <f t="shared" ref="FY78:FY89" si="337">IF(FX78="","",FX78/(FP78*100))</f>
        <v>0.25384615384615383</v>
      </c>
      <c r="FZ78" s="29"/>
      <c r="GB78" s="40">
        <f>IF($A81="","",$A81)</f>
        <v>46136</v>
      </c>
      <c r="GC78" s="35">
        <v>760</v>
      </c>
      <c r="GD78" s="5">
        <f t="shared" ref="GD78:GD90" si="338">IF(GC78="","",GC78-GC77)</f>
        <v>28</v>
      </c>
      <c r="GE78" s="5">
        <v>73</v>
      </c>
      <c r="GF78" s="5">
        <f t="shared" ref="GF78:GF90" si="339">IF(GE78="","",GE78-GE77)</f>
        <v>3</v>
      </c>
      <c r="GG78" s="4">
        <v>27</v>
      </c>
      <c r="GH78" s="5">
        <f t="shared" ref="GH78:GH90" si="340">IF(GG78="","",GG77+GI77-GG78)</f>
        <v>3</v>
      </c>
      <c r="GI78" s="4">
        <v>5</v>
      </c>
      <c r="GJ78" s="2" t="str">
        <f>IF(GC78="","",GJ77)</f>
        <v>ディズニーぷくぷくシール</v>
      </c>
      <c r="GK78" s="4">
        <f t="shared" ref="GK78:GK83" si="341">IF(GC78="","",GK77)</f>
        <v>220</v>
      </c>
      <c r="GL78" s="5">
        <f t="shared" ref="GL78:GL90" si="342">IF(GK78="","",GH78*GK78)</f>
        <v>660</v>
      </c>
      <c r="GM78" s="36">
        <f t="shared" ref="GM78:GM89" si="343">IF(GL78="","",GL78/(GD78*100))</f>
        <v>0.23571428571428571</v>
      </c>
      <c r="GN78" s="29"/>
      <c r="GP78" s="40">
        <f>IF($A81="","",$A81)</f>
        <v>46136</v>
      </c>
      <c r="GQ78" s="35">
        <v>85502</v>
      </c>
      <c r="GR78" s="5">
        <f t="shared" ref="GR78:GR90" si="344">IF(GQ78="","",GQ78-GQ77)</f>
        <v>62</v>
      </c>
      <c r="GS78" s="5">
        <v>3223</v>
      </c>
      <c r="GT78" s="5">
        <f t="shared" ref="GT78:GT90" si="345">IF(GS78="","",GS78-GS77)</f>
        <v>0</v>
      </c>
      <c r="GU78" s="5">
        <v>3509</v>
      </c>
      <c r="GV78" s="5">
        <f t="shared" ref="GV78:GV90" si="346">IF(GU78="","",GU78-GU77)</f>
        <v>0</v>
      </c>
      <c r="GW78" s="4">
        <v>23</v>
      </c>
      <c r="GX78" s="5">
        <f t="shared" ref="GX78:GX90" si="347">IF(GW78="","",GW77+GY77-GW78)</f>
        <v>0</v>
      </c>
      <c r="GY78" s="4"/>
      <c r="GZ78" s="2" t="str">
        <f t="shared" ref="GZ78:GZ100" si="348">IF(GS78="","",GZ77)</f>
        <v>サンリオ毛布</v>
      </c>
      <c r="HA78" s="4">
        <f t="shared" ref="HA78:HA90" si="349">IF(GQ78="","",HA77)</f>
        <v>1000</v>
      </c>
      <c r="HB78" s="5">
        <f t="shared" ref="HB78:HB90" si="350">IF(HA78="","",GX78*HA78)</f>
        <v>0</v>
      </c>
      <c r="HC78" s="36">
        <f t="shared" ref="HC78:HC89" si="351">IF(HB78="","",HB78/(GR78*100))</f>
        <v>0</v>
      </c>
      <c r="HD78" s="29"/>
      <c r="HF78" s="40">
        <f>IF($A81="","",$A81)</f>
        <v>46136</v>
      </c>
      <c r="HG78" s="35">
        <v>61415</v>
      </c>
      <c r="HH78" s="5">
        <f t="shared" ref="HH78:HH90" si="352">IF(HG78="","",HG78-HG77)</f>
        <v>21</v>
      </c>
      <c r="HI78" s="5"/>
      <c r="HJ78" s="29"/>
      <c r="HL78" s="40">
        <f>IF($A81="","",$A81)</f>
        <v>46136</v>
      </c>
      <c r="HM78" s="35">
        <v>45503</v>
      </c>
      <c r="HN78" s="5">
        <f t="shared" ref="HN78:HN90" si="353">IF(HM78="","",HM78-HM77)</f>
        <v>15</v>
      </c>
      <c r="HO78" s="5"/>
      <c r="HP78" s="29"/>
      <c r="HR78" s="40">
        <f>IF($A81="","",$A81)</f>
        <v>46136</v>
      </c>
      <c r="HS78" s="35">
        <v>43027</v>
      </c>
      <c r="HT78" s="5">
        <f t="shared" ref="HT78:HT90" si="354">IF(HS78="","",HS78-HS77)</f>
        <v>14</v>
      </c>
      <c r="HU78" s="5"/>
      <c r="HV78" s="29"/>
    </row>
    <row r="79" spans="1:230" x14ac:dyDescent="0.2">
      <c r="A79" s="25"/>
      <c r="B79" s="37"/>
      <c r="C79" s="4">
        <v>18683</v>
      </c>
      <c r="D79" s="5">
        <v>79</v>
      </c>
      <c r="E79" s="4">
        <v>653</v>
      </c>
      <c r="F79" s="5">
        <v>0</v>
      </c>
      <c r="G79" s="5">
        <v>7</v>
      </c>
      <c r="H79" s="5">
        <v>1</v>
      </c>
      <c r="I79" s="5">
        <v>1</v>
      </c>
      <c r="J79" s="3" t="s">
        <v>276</v>
      </c>
      <c r="K79" s="39">
        <v>600</v>
      </c>
      <c r="L79" s="5">
        <v>600</v>
      </c>
      <c r="M79" s="36">
        <v>7.5949367088607597E-2</v>
      </c>
      <c r="N79" s="29"/>
      <c r="O79" s="30"/>
      <c r="P79" s="25"/>
      <c r="Q79" s="4">
        <v>10427</v>
      </c>
      <c r="R79" s="5">
        <v>16</v>
      </c>
      <c r="S79" s="4">
        <v>283</v>
      </c>
      <c r="T79" s="5">
        <v>0</v>
      </c>
      <c r="U79" s="5">
        <v>10</v>
      </c>
      <c r="V79" s="5">
        <v>0</v>
      </c>
      <c r="W79" s="5">
        <v>0</v>
      </c>
      <c r="X79" s="38" t="s">
        <v>277</v>
      </c>
      <c r="Y79" s="39">
        <v>638</v>
      </c>
      <c r="Z79" s="5">
        <v>0</v>
      </c>
      <c r="AA79" s="36">
        <v>0</v>
      </c>
      <c r="AB79" s="29"/>
      <c r="AD79" s="25"/>
      <c r="AE79" s="4">
        <v>1391</v>
      </c>
      <c r="AF79" s="5">
        <v>102</v>
      </c>
      <c r="AG79" s="4">
        <v>33</v>
      </c>
      <c r="AH79" s="5">
        <v>1</v>
      </c>
      <c r="AI79" s="5">
        <v>16</v>
      </c>
      <c r="AJ79" s="5">
        <v>1</v>
      </c>
      <c r="AK79" s="5">
        <v>0</v>
      </c>
      <c r="AL79" s="38" t="s">
        <v>278</v>
      </c>
      <c r="AM79" s="39">
        <v>1430</v>
      </c>
      <c r="AN79" s="5">
        <v>1430</v>
      </c>
      <c r="AO79" s="36">
        <v>0.14019607843137255</v>
      </c>
      <c r="AP79" s="29"/>
      <c r="AR79" s="25"/>
      <c r="AS79" s="4">
        <v>1024</v>
      </c>
      <c r="AT79" s="5">
        <v>70</v>
      </c>
      <c r="AU79" s="4">
        <v>1</v>
      </c>
      <c r="AV79" s="5">
        <v>0</v>
      </c>
      <c r="AW79" s="5">
        <v>7</v>
      </c>
      <c r="AX79" s="5">
        <v>0</v>
      </c>
      <c r="AY79" s="5">
        <v>0</v>
      </c>
      <c r="AZ79" s="38" t="s">
        <v>279</v>
      </c>
      <c r="BA79" s="39">
        <v>682</v>
      </c>
      <c r="BB79" s="5">
        <v>0</v>
      </c>
      <c r="BC79" s="36">
        <v>0</v>
      </c>
      <c r="BD79" s="29"/>
      <c r="BE79" s="32"/>
      <c r="BF79" s="25"/>
      <c r="BG79" s="5">
        <v>2330</v>
      </c>
      <c r="BH79" s="5">
        <v>140</v>
      </c>
      <c r="BI79" s="5">
        <v>20</v>
      </c>
      <c r="BJ79" s="5">
        <v>2</v>
      </c>
      <c r="BK79" s="5">
        <v>2</v>
      </c>
      <c r="BL79" s="4">
        <v>1</v>
      </c>
      <c r="BM79" s="5">
        <v>1</v>
      </c>
      <c r="BN79" s="2" t="s">
        <v>129</v>
      </c>
      <c r="BO79" s="4">
        <v>1500</v>
      </c>
      <c r="BP79" s="5">
        <v>1500</v>
      </c>
      <c r="BQ79" s="36">
        <v>0.10714285714285714</v>
      </c>
      <c r="BR79" s="29"/>
      <c r="BT79" s="25"/>
      <c r="BU79" s="5"/>
      <c r="BV79" s="5" t="s">
        <v>147</v>
      </c>
      <c r="BW79" s="5"/>
      <c r="BX79" s="5" t="s">
        <v>147</v>
      </c>
      <c r="BY79" s="5"/>
      <c r="BZ79" s="4"/>
      <c r="CA79" s="5"/>
      <c r="CB79" s="3"/>
      <c r="CC79" s="5"/>
      <c r="CD79" s="5"/>
      <c r="CE79" s="36"/>
      <c r="CF79" s="29"/>
      <c r="CH79" s="40">
        <f>IF($A85="","",$A85)</f>
        <v>46139</v>
      </c>
      <c r="CI79" s="35">
        <v>31573</v>
      </c>
      <c r="CJ79" s="5">
        <f t="shared" si="293"/>
        <v>68</v>
      </c>
      <c r="CK79" s="5">
        <v>531</v>
      </c>
      <c r="CL79" s="5">
        <f t="shared" si="294"/>
        <v>1</v>
      </c>
      <c r="CM79" s="4">
        <v>42</v>
      </c>
      <c r="CN79" s="5">
        <f t="shared" si="295"/>
        <v>1</v>
      </c>
      <c r="CO79" s="4">
        <v>4</v>
      </c>
      <c r="CP79" s="2" t="str">
        <f t="shared" si="296"/>
        <v>サンリオマスコットポーチ</v>
      </c>
      <c r="CQ79" s="4">
        <f t="shared" si="297"/>
        <v>880</v>
      </c>
      <c r="CR79" s="5">
        <f t="shared" si="298"/>
        <v>880</v>
      </c>
      <c r="CS79" s="36">
        <f t="shared" si="299"/>
        <v>0.12941176470588237</v>
      </c>
      <c r="CT79" s="29"/>
      <c r="CV79" s="40">
        <f>IF($A85="","",$A85)</f>
        <v>46139</v>
      </c>
      <c r="CW79" s="35">
        <v>52277</v>
      </c>
      <c r="CX79" s="5">
        <f t="shared" si="300"/>
        <v>17</v>
      </c>
      <c r="CY79" s="5">
        <v>3282</v>
      </c>
      <c r="CZ79" s="5">
        <f t="shared" si="301"/>
        <v>0</v>
      </c>
      <c r="DA79" s="4">
        <v>30</v>
      </c>
      <c r="DB79" s="5">
        <f t="shared" si="302"/>
        <v>0</v>
      </c>
      <c r="DC79" s="4"/>
      <c r="DD79" s="2" t="str">
        <f>IF(CW79="","",DD78)</f>
        <v>サンリオボアミラーポーチ</v>
      </c>
      <c r="DE79" s="4">
        <f t="shared" si="303"/>
        <v>880</v>
      </c>
      <c r="DF79" s="5">
        <f t="shared" si="304"/>
        <v>0</v>
      </c>
      <c r="DG79" s="36">
        <f t="shared" si="305"/>
        <v>0</v>
      </c>
      <c r="DH79" s="29"/>
      <c r="DJ79" s="40">
        <f>IF($A85="","",$A85)</f>
        <v>46139</v>
      </c>
      <c r="DK79" s="35">
        <v>17920</v>
      </c>
      <c r="DL79" s="5">
        <f t="shared" si="306"/>
        <v>58</v>
      </c>
      <c r="DM79" s="5">
        <v>348</v>
      </c>
      <c r="DN79" s="5">
        <f t="shared" si="307"/>
        <v>2</v>
      </c>
      <c r="DO79" s="4">
        <v>38</v>
      </c>
      <c r="DP79" s="5">
        <f t="shared" si="308"/>
        <v>2</v>
      </c>
      <c r="DQ79" s="4">
        <v>-10</v>
      </c>
      <c r="DR79" s="2" t="str">
        <f>IF(DK79="","",DR78)</f>
        <v>サンリオ豹柄リールパスケース</v>
      </c>
      <c r="DS79" s="4">
        <f>IF(DK79="","",DS78)</f>
        <v>990</v>
      </c>
      <c r="DT79" s="5">
        <f t="shared" si="309"/>
        <v>1980</v>
      </c>
      <c r="DU79" s="36">
        <f t="shared" si="310"/>
        <v>0.3413793103448276</v>
      </c>
      <c r="DV79" s="29" t="s">
        <v>226</v>
      </c>
      <c r="DX79" s="40">
        <f>IF($A85="","",$A85)</f>
        <v>46139</v>
      </c>
      <c r="DY79" s="35">
        <v>15550</v>
      </c>
      <c r="DZ79" s="5">
        <f t="shared" si="311"/>
        <v>347</v>
      </c>
      <c r="EA79" s="5">
        <v>139</v>
      </c>
      <c r="EB79" s="5">
        <f t="shared" si="312"/>
        <v>2</v>
      </c>
      <c r="EC79" s="4">
        <v>13</v>
      </c>
      <c r="ED79" s="5">
        <f t="shared" si="313"/>
        <v>2</v>
      </c>
      <c r="EE79" s="4"/>
      <c r="EF79" s="2" t="str">
        <f t="shared" si="314"/>
        <v>ボンボンドロップシール</v>
      </c>
      <c r="EG79" s="4">
        <f t="shared" si="315"/>
        <v>1500</v>
      </c>
      <c r="EH79" s="5">
        <f t="shared" si="316"/>
        <v>3000</v>
      </c>
      <c r="EI79" s="36">
        <f t="shared" si="317"/>
        <v>8.645533141210375E-2</v>
      </c>
      <c r="EJ79" s="29"/>
      <c r="EL79" s="40">
        <f>IF($A85="","",$A85)</f>
        <v>46139</v>
      </c>
      <c r="EM79" s="35">
        <v>1254</v>
      </c>
      <c r="EN79" s="5">
        <f t="shared" si="318"/>
        <v>82</v>
      </c>
      <c r="EO79" s="5">
        <v>1075</v>
      </c>
      <c r="EP79" s="5">
        <f t="shared" si="319"/>
        <v>4</v>
      </c>
      <c r="EQ79" s="4">
        <v>26</v>
      </c>
      <c r="ER79" s="5">
        <f t="shared" si="320"/>
        <v>4</v>
      </c>
      <c r="ES79" s="4">
        <v>4</v>
      </c>
      <c r="ET79" s="2" t="str">
        <f t="shared" si="321"/>
        <v>ケース入バタースクイーズ</v>
      </c>
      <c r="EU79" s="4">
        <f t="shared" si="322"/>
        <v>286</v>
      </c>
      <c r="EV79" s="5">
        <f t="shared" si="323"/>
        <v>1144</v>
      </c>
      <c r="EW79" s="36">
        <f t="shared" si="324"/>
        <v>0.13951219512195123</v>
      </c>
      <c r="EX79" s="29"/>
      <c r="EZ79" s="40">
        <f>IF($A85="","",$A85)</f>
        <v>46139</v>
      </c>
      <c r="FA79" s="35">
        <v>819</v>
      </c>
      <c r="FB79" s="5">
        <f t="shared" si="325"/>
        <v>37</v>
      </c>
      <c r="FC79" s="5">
        <v>76</v>
      </c>
      <c r="FD79" s="5">
        <f t="shared" si="326"/>
        <v>3</v>
      </c>
      <c r="FE79" s="4">
        <v>44</v>
      </c>
      <c r="FF79" s="5">
        <f t="shared" si="327"/>
        <v>3</v>
      </c>
      <c r="FG79" s="4">
        <v>0</v>
      </c>
      <c r="FH79" s="2" t="str">
        <f>IF(FA79="","",FH78)</f>
        <v>おさるのジョージぷくぷくシール</v>
      </c>
      <c r="FI79" s="4">
        <f t="shared" si="328"/>
        <v>300</v>
      </c>
      <c r="FJ79" s="5">
        <f t="shared" si="329"/>
        <v>900</v>
      </c>
      <c r="FK79" s="36">
        <f t="shared" si="330"/>
        <v>0.24324324324324326</v>
      </c>
      <c r="FL79" s="29"/>
      <c r="FN79" s="40">
        <f>IF($A85="","",$A85)</f>
        <v>46139</v>
      </c>
      <c r="FO79" s="35">
        <v>1002</v>
      </c>
      <c r="FP79" s="5">
        <f t="shared" si="331"/>
        <v>27</v>
      </c>
      <c r="FQ79" s="5">
        <v>86</v>
      </c>
      <c r="FR79" s="5">
        <f t="shared" si="332"/>
        <v>4</v>
      </c>
      <c r="FS79" s="4">
        <v>36</v>
      </c>
      <c r="FT79" s="5">
        <f t="shared" si="333"/>
        <v>2</v>
      </c>
      <c r="FU79" s="4">
        <v>8</v>
      </c>
      <c r="FV79" s="2" t="str">
        <f t="shared" si="334"/>
        <v>カラビナ付きぬいぐるみファスナーマスコット</v>
      </c>
      <c r="FW79" s="4">
        <f t="shared" si="335"/>
        <v>660</v>
      </c>
      <c r="FX79" s="5">
        <f t="shared" si="336"/>
        <v>1320</v>
      </c>
      <c r="FY79" s="36">
        <f t="shared" si="337"/>
        <v>0.48888888888888887</v>
      </c>
      <c r="FZ79" s="29" t="s">
        <v>223</v>
      </c>
      <c r="GB79" s="40">
        <f>IF($A85="","",$A85)</f>
        <v>46139</v>
      </c>
      <c r="GC79" s="35">
        <v>797</v>
      </c>
      <c r="GD79" s="5">
        <f t="shared" si="338"/>
        <v>37</v>
      </c>
      <c r="GE79" s="5">
        <v>77</v>
      </c>
      <c r="GF79" s="5">
        <f t="shared" si="339"/>
        <v>4</v>
      </c>
      <c r="GG79" s="4">
        <v>28</v>
      </c>
      <c r="GH79" s="5">
        <f t="shared" si="340"/>
        <v>4</v>
      </c>
      <c r="GI79" s="4">
        <v>8</v>
      </c>
      <c r="GJ79" s="2" t="str">
        <f>IF(GC79="","",GJ78)</f>
        <v>ディズニーぷくぷくシール</v>
      </c>
      <c r="GK79" s="4">
        <f t="shared" si="341"/>
        <v>220</v>
      </c>
      <c r="GL79" s="5">
        <f t="shared" si="342"/>
        <v>880</v>
      </c>
      <c r="GM79" s="36">
        <f t="shared" si="343"/>
        <v>0.23783783783783785</v>
      </c>
      <c r="GN79" s="29"/>
      <c r="GP79" s="40">
        <f>IF($A85="","",$A85)</f>
        <v>46139</v>
      </c>
      <c r="GQ79" s="35">
        <v>85750</v>
      </c>
      <c r="GR79" s="5">
        <f t="shared" si="344"/>
        <v>248</v>
      </c>
      <c r="GS79" s="5">
        <v>3225</v>
      </c>
      <c r="GT79" s="5">
        <f t="shared" si="345"/>
        <v>2</v>
      </c>
      <c r="GU79" s="5">
        <v>3515</v>
      </c>
      <c r="GV79" s="5">
        <f t="shared" si="346"/>
        <v>6</v>
      </c>
      <c r="GW79" s="4">
        <v>16</v>
      </c>
      <c r="GX79" s="5">
        <f t="shared" si="347"/>
        <v>7</v>
      </c>
      <c r="GY79" s="4">
        <v>8</v>
      </c>
      <c r="GZ79" s="2" t="str">
        <f t="shared" si="348"/>
        <v>サンリオ毛布</v>
      </c>
      <c r="HA79" s="4">
        <f t="shared" si="349"/>
        <v>1000</v>
      </c>
      <c r="HB79" s="5">
        <f t="shared" si="350"/>
        <v>7000</v>
      </c>
      <c r="HC79" s="36">
        <f t="shared" si="351"/>
        <v>0.28225806451612906</v>
      </c>
      <c r="HD79" s="29"/>
      <c r="HF79" s="40">
        <f>IF($A85="","",$A85)</f>
        <v>46139</v>
      </c>
      <c r="HG79" s="35">
        <v>61440</v>
      </c>
      <c r="HH79" s="5">
        <f t="shared" si="352"/>
        <v>25</v>
      </c>
      <c r="HI79" s="5"/>
      <c r="HJ79" s="29"/>
      <c r="HL79" s="40">
        <f>IF($A85="","",$A85)</f>
        <v>46139</v>
      </c>
      <c r="HM79" s="35">
        <v>45550</v>
      </c>
      <c r="HN79" s="5">
        <f t="shared" si="353"/>
        <v>47</v>
      </c>
      <c r="HO79" s="5"/>
      <c r="HP79" s="29"/>
      <c r="HR79" s="40">
        <f>IF($A85="","",$A85)</f>
        <v>46139</v>
      </c>
      <c r="HS79" s="35">
        <v>43075</v>
      </c>
      <c r="HT79" s="5">
        <f t="shared" si="354"/>
        <v>48</v>
      </c>
      <c r="HU79" s="5"/>
      <c r="HV79" s="29"/>
    </row>
    <row r="80" spans="1:230" ht="15" customHeight="1" thickBot="1" x14ac:dyDescent="0.25">
      <c r="A80" s="41"/>
      <c r="B80" s="42"/>
      <c r="C80" s="43">
        <v>23271</v>
      </c>
      <c r="D80" s="43">
        <v>104</v>
      </c>
      <c r="E80" s="43">
        <v>1168</v>
      </c>
      <c r="F80" s="44">
        <v>4</v>
      </c>
      <c r="G80" s="44">
        <v>53</v>
      </c>
      <c r="H80" s="44">
        <v>4</v>
      </c>
      <c r="I80" s="44">
        <v>0</v>
      </c>
      <c r="J80" s="45" t="s">
        <v>280</v>
      </c>
      <c r="K80" s="44">
        <v>99</v>
      </c>
      <c r="L80" s="44">
        <v>396</v>
      </c>
      <c r="M80" s="46">
        <v>3.8076923076923078E-2</v>
      </c>
      <c r="N80" s="29"/>
      <c r="O80" s="30"/>
      <c r="P80" s="41"/>
      <c r="Q80" s="43">
        <v>9166</v>
      </c>
      <c r="R80" s="43">
        <v>57</v>
      </c>
      <c r="S80" s="43">
        <v>223</v>
      </c>
      <c r="T80" s="44">
        <v>0</v>
      </c>
      <c r="U80" s="44">
        <v>21</v>
      </c>
      <c r="V80" s="44">
        <v>1</v>
      </c>
      <c r="W80" s="44">
        <v>0</v>
      </c>
      <c r="X80" s="47" t="s">
        <v>281</v>
      </c>
      <c r="Y80" s="44">
        <v>150</v>
      </c>
      <c r="Z80" s="44">
        <v>150</v>
      </c>
      <c r="AA80" s="46">
        <v>2.6315789473684209E-2</v>
      </c>
      <c r="AB80" s="29"/>
      <c r="AD80" s="41"/>
      <c r="AE80" s="43">
        <v>691</v>
      </c>
      <c r="AF80" s="43">
        <v>9</v>
      </c>
      <c r="AG80" s="43">
        <v>27</v>
      </c>
      <c r="AH80" s="44">
        <v>0</v>
      </c>
      <c r="AI80" s="44">
        <v>7</v>
      </c>
      <c r="AJ80" s="44">
        <v>0</v>
      </c>
      <c r="AK80" s="44">
        <v>3</v>
      </c>
      <c r="AL80" s="47" t="s">
        <v>282</v>
      </c>
      <c r="AM80" s="44">
        <v>1100</v>
      </c>
      <c r="AN80" s="44">
        <v>0</v>
      </c>
      <c r="AO80" s="46">
        <v>0</v>
      </c>
      <c r="AP80" s="29"/>
      <c r="AR80" s="41"/>
      <c r="AS80" s="43">
        <v>887</v>
      </c>
      <c r="AT80" s="43">
        <v>14</v>
      </c>
      <c r="AU80" s="43">
        <v>26</v>
      </c>
      <c r="AV80" s="44">
        <v>0</v>
      </c>
      <c r="AW80" s="44">
        <v>7</v>
      </c>
      <c r="AX80" s="44">
        <v>0</v>
      </c>
      <c r="AY80" s="44">
        <v>5</v>
      </c>
      <c r="AZ80" s="47" t="s">
        <v>283</v>
      </c>
      <c r="BA80" s="44">
        <v>110</v>
      </c>
      <c r="BB80" s="44">
        <v>0</v>
      </c>
      <c r="BC80" s="46">
        <v>0</v>
      </c>
      <c r="BD80" s="29" t="s">
        <v>211</v>
      </c>
      <c r="BE80" s="32"/>
      <c r="BF80" s="41"/>
      <c r="BG80" s="44">
        <v>3936</v>
      </c>
      <c r="BH80" s="44">
        <v>85</v>
      </c>
      <c r="BI80" s="44">
        <v>44</v>
      </c>
      <c r="BJ80" s="44">
        <v>1</v>
      </c>
      <c r="BK80" s="44">
        <v>3</v>
      </c>
      <c r="BL80" s="44">
        <v>0</v>
      </c>
      <c r="BM80" s="44">
        <v>0</v>
      </c>
      <c r="BN80" s="45" t="s">
        <v>129</v>
      </c>
      <c r="BO80" s="44">
        <v>1500</v>
      </c>
      <c r="BP80" s="44">
        <v>0</v>
      </c>
      <c r="BQ80" s="46">
        <v>0</v>
      </c>
      <c r="BR80" s="29"/>
      <c r="BT80" s="41"/>
      <c r="BU80" s="44"/>
      <c r="BV80" s="44" t="s">
        <v>147</v>
      </c>
      <c r="BW80" s="44"/>
      <c r="BX80" s="44" t="s">
        <v>147</v>
      </c>
      <c r="BY80" s="44"/>
      <c r="BZ80" s="44"/>
      <c r="CA80" s="44"/>
      <c r="CB80" s="45"/>
      <c r="CC80" s="44"/>
      <c r="CD80" s="44"/>
      <c r="CE80" s="46"/>
      <c r="CF80" s="29"/>
      <c r="CH80" s="40">
        <f>IF($A89="","",$A89)</f>
        <v>46143</v>
      </c>
      <c r="CI80" s="35">
        <v>31705</v>
      </c>
      <c r="CJ80" s="5">
        <f t="shared" si="293"/>
        <v>132</v>
      </c>
      <c r="CK80" s="5">
        <v>533</v>
      </c>
      <c r="CL80" s="5">
        <f t="shared" si="294"/>
        <v>2</v>
      </c>
      <c r="CM80" s="4">
        <v>44</v>
      </c>
      <c r="CN80" s="5">
        <f t="shared" si="295"/>
        <v>2</v>
      </c>
      <c r="CO80" s="4">
        <v>0</v>
      </c>
      <c r="CP80" s="2" t="str">
        <f t="shared" si="296"/>
        <v>サンリオマスコットポーチ</v>
      </c>
      <c r="CQ80" s="4">
        <f t="shared" si="297"/>
        <v>880</v>
      </c>
      <c r="CR80" s="5">
        <f t="shared" si="298"/>
        <v>1760</v>
      </c>
      <c r="CS80" s="36">
        <f t="shared" si="299"/>
        <v>0.13333333333333333</v>
      </c>
      <c r="CT80" s="29"/>
      <c r="CV80" s="40">
        <f>IF($A89="","",$A89)</f>
        <v>46143</v>
      </c>
      <c r="CW80" s="35">
        <v>52298</v>
      </c>
      <c r="CX80" s="5">
        <f t="shared" si="300"/>
        <v>21</v>
      </c>
      <c r="CY80" s="5">
        <v>3285</v>
      </c>
      <c r="CZ80" s="5">
        <f t="shared" si="301"/>
        <v>3</v>
      </c>
      <c r="DA80" s="4">
        <v>27</v>
      </c>
      <c r="DB80" s="5">
        <f t="shared" si="302"/>
        <v>3</v>
      </c>
      <c r="DC80" s="4">
        <v>3</v>
      </c>
      <c r="DD80" s="2" t="str">
        <f>IF(CW80="","",DD79)</f>
        <v>サンリオボアミラーポーチ</v>
      </c>
      <c r="DE80" s="4">
        <f t="shared" si="303"/>
        <v>880</v>
      </c>
      <c r="DF80" s="5">
        <f t="shared" si="304"/>
        <v>2640</v>
      </c>
      <c r="DG80" s="36">
        <f t="shared" si="305"/>
        <v>1.2571428571428571</v>
      </c>
      <c r="DH80" s="29"/>
      <c r="DJ80" s="40">
        <f>IF($A89="","",$A89)</f>
        <v>46143</v>
      </c>
      <c r="DK80" s="35">
        <v>17977</v>
      </c>
      <c r="DL80" s="5">
        <f t="shared" si="306"/>
        <v>57</v>
      </c>
      <c r="DM80" s="5">
        <v>354</v>
      </c>
      <c r="DN80" s="5">
        <f t="shared" si="307"/>
        <v>6</v>
      </c>
      <c r="DO80" s="4">
        <v>21</v>
      </c>
      <c r="DP80" s="5">
        <f t="shared" si="308"/>
        <v>7</v>
      </c>
      <c r="DQ80" s="4">
        <v>4</v>
      </c>
      <c r="DR80" s="2" t="s">
        <v>226</v>
      </c>
      <c r="DS80" s="4">
        <v>220</v>
      </c>
      <c r="DT80" s="5">
        <f t="shared" si="309"/>
        <v>1540</v>
      </c>
      <c r="DU80" s="36">
        <f t="shared" si="310"/>
        <v>0.27017543859649124</v>
      </c>
      <c r="DV80" s="29"/>
      <c r="DX80" s="40">
        <f>IF($A89="","",$A89)</f>
        <v>46143</v>
      </c>
      <c r="DY80" s="35">
        <v>15974</v>
      </c>
      <c r="DZ80" s="5">
        <f t="shared" si="311"/>
        <v>424</v>
      </c>
      <c r="EA80" s="5">
        <v>143</v>
      </c>
      <c r="EB80" s="5">
        <f t="shared" si="312"/>
        <v>4</v>
      </c>
      <c r="EC80" s="4">
        <v>11</v>
      </c>
      <c r="ED80" s="5">
        <f t="shared" si="313"/>
        <v>2</v>
      </c>
      <c r="EE80" s="4">
        <v>5</v>
      </c>
      <c r="EF80" s="2" t="str">
        <f t="shared" si="314"/>
        <v>ボンボンドロップシール</v>
      </c>
      <c r="EG80" s="4">
        <f t="shared" si="315"/>
        <v>1500</v>
      </c>
      <c r="EH80" s="5">
        <f t="shared" si="316"/>
        <v>3000</v>
      </c>
      <c r="EI80" s="36">
        <f t="shared" si="317"/>
        <v>7.0754716981132074E-2</v>
      </c>
      <c r="EJ80" s="29"/>
      <c r="EL80" s="40">
        <f>IF($A89="","",$A89)</f>
        <v>46143</v>
      </c>
      <c r="EM80" s="35">
        <v>1338</v>
      </c>
      <c r="EN80" s="5">
        <f t="shared" si="318"/>
        <v>84</v>
      </c>
      <c r="EO80" s="5">
        <v>1078</v>
      </c>
      <c r="EP80" s="5">
        <f t="shared" si="319"/>
        <v>3</v>
      </c>
      <c r="EQ80" s="4">
        <v>27</v>
      </c>
      <c r="ER80" s="5">
        <f t="shared" si="320"/>
        <v>3</v>
      </c>
      <c r="ES80" s="4">
        <v>4</v>
      </c>
      <c r="ET80" s="2" t="str">
        <f t="shared" si="321"/>
        <v>ケース入バタースクイーズ</v>
      </c>
      <c r="EU80" s="4">
        <f t="shared" si="322"/>
        <v>286</v>
      </c>
      <c r="EV80" s="5">
        <f t="shared" si="323"/>
        <v>858</v>
      </c>
      <c r="EW80" s="36">
        <f t="shared" si="324"/>
        <v>0.10214285714285715</v>
      </c>
      <c r="EX80" s="29"/>
      <c r="EZ80" s="40">
        <f>IF($A89="","",$A89)</f>
        <v>46143</v>
      </c>
      <c r="FA80" s="35">
        <v>837</v>
      </c>
      <c r="FB80" s="48">
        <f t="shared" si="325"/>
        <v>18</v>
      </c>
      <c r="FC80" s="5">
        <v>78</v>
      </c>
      <c r="FD80" s="5">
        <f t="shared" si="326"/>
        <v>2</v>
      </c>
      <c r="FE80" s="4">
        <v>42</v>
      </c>
      <c r="FF80" s="5">
        <f t="shared" si="327"/>
        <v>2</v>
      </c>
      <c r="FG80" s="4">
        <v>0</v>
      </c>
      <c r="FH80" s="2" t="str">
        <f>IF(FA80="","",FH79)</f>
        <v>おさるのジョージぷくぷくシール</v>
      </c>
      <c r="FI80" s="4">
        <f t="shared" si="328"/>
        <v>300</v>
      </c>
      <c r="FJ80" s="5">
        <f t="shared" si="329"/>
        <v>600</v>
      </c>
      <c r="FK80" s="36">
        <f t="shared" si="330"/>
        <v>0.33333333333333331</v>
      </c>
      <c r="FL80" s="29"/>
      <c r="FN80" s="40">
        <f>IF($A89="","",$A89)</f>
        <v>46143</v>
      </c>
      <c r="FO80" s="35">
        <v>1047</v>
      </c>
      <c r="FP80" s="5">
        <f t="shared" si="331"/>
        <v>45</v>
      </c>
      <c r="FQ80" s="5">
        <v>88</v>
      </c>
      <c r="FR80" s="5">
        <f t="shared" si="332"/>
        <v>2</v>
      </c>
      <c r="FS80" s="4">
        <v>42</v>
      </c>
      <c r="FT80" s="5">
        <f t="shared" si="333"/>
        <v>2</v>
      </c>
      <c r="FU80" s="4">
        <v>0</v>
      </c>
      <c r="FV80" s="2" t="str">
        <f t="shared" si="334"/>
        <v>カラビナ付きぬいぐるみファスナーマスコット</v>
      </c>
      <c r="FW80" s="4">
        <f t="shared" si="335"/>
        <v>660</v>
      </c>
      <c r="FX80" s="5">
        <f t="shared" si="336"/>
        <v>1320</v>
      </c>
      <c r="FY80" s="36">
        <f t="shared" si="337"/>
        <v>0.29333333333333333</v>
      </c>
      <c r="FZ80" s="29"/>
      <c r="GB80" s="40">
        <f>IF($A89="","",$A89)</f>
        <v>46143</v>
      </c>
      <c r="GC80" s="35">
        <v>820</v>
      </c>
      <c r="GD80" s="5">
        <f t="shared" si="338"/>
        <v>23</v>
      </c>
      <c r="GE80" s="5">
        <v>82</v>
      </c>
      <c r="GF80" s="5">
        <f t="shared" si="339"/>
        <v>5</v>
      </c>
      <c r="GG80" s="4">
        <v>29</v>
      </c>
      <c r="GH80" s="5">
        <f t="shared" si="340"/>
        <v>7</v>
      </c>
      <c r="GI80" s="4">
        <v>5</v>
      </c>
      <c r="GJ80" s="2" t="str">
        <f>IF(GC80="","",GJ79)</f>
        <v>ディズニーぷくぷくシール</v>
      </c>
      <c r="GK80" s="4">
        <f t="shared" si="341"/>
        <v>220</v>
      </c>
      <c r="GL80" s="5">
        <f t="shared" si="342"/>
        <v>1540</v>
      </c>
      <c r="GM80" s="36">
        <f t="shared" si="343"/>
        <v>0.66956521739130437</v>
      </c>
      <c r="GN80" s="29"/>
      <c r="GP80" s="40">
        <f>IF($A89="","",$A89)</f>
        <v>46143</v>
      </c>
      <c r="GQ80" s="35">
        <v>85902</v>
      </c>
      <c r="GR80" s="5">
        <f t="shared" si="344"/>
        <v>152</v>
      </c>
      <c r="GS80" s="5">
        <v>3226</v>
      </c>
      <c r="GT80" s="5">
        <f t="shared" si="345"/>
        <v>1</v>
      </c>
      <c r="GU80" s="5">
        <v>3516</v>
      </c>
      <c r="GV80" s="5">
        <f t="shared" si="346"/>
        <v>1</v>
      </c>
      <c r="GW80" s="4">
        <v>23</v>
      </c>
      <c r="GX80" s="5">
        <f t="shared" si="347"/>
        <v>1</v>
      </c>
      <c r="GY80" s="4">
        <v>0</v>
      </c>
      <c r="GZ80" s="2" t="str">
        <f t="shared" si="348"/>
        <v>サンリオ毛布</v>
      </c>
      <c r="HA80" s="4">
        <f t="shared" si="349"/>
        <v>1000</v>
      </c>
      <c r="HB80" s="5">
        <f t="shared" si="350"/>
        <v>1000</v>
      </c>
      <c r="HC80" s="36">
        <f t="shared" si="351"/>
        <v>6.5789473684210523E-2</v>
      </c>
      <c r="HD80" s="29"/>
      <c r="HF80" s="40">
        <f>IF($A89="","",$A89)</f>
        <v>46143</v>
      </c>
      <c r="HG80" s="35">
        <v>61472</v>
      </c>
      <c r="HH80" s="5">
        <f t="shared" si="352"/>
        <v>32</v>
      </c>
      <c r="HI80" s="5"/>
      <c r="HJ80" s="29"/>
      <c r="HL80" s="40">
        <f>IF($A89="","",$A89)</f>
        <v>46143</v>
      </c>
      <c r="HM80" s="35">
        <v>45570</v>
      </c>
      <c r="HN80" s="5">
        <f t="shared" si="353"/>
        <v>20</v>
      </c>
      <c r="HO80" s="5"/>
      <c r="HP80" s="29"/>
      <c r="HR80" s="40">
        <f>IF($A89="","",$A89)</f>
        <v>46143</v>
      </c>
      <c r="HS80" s="35">
        <v>43103</v>
      </c>
      <c r="HT80" s="5">
        <f t="shared" si="354"/>
        <v>28</v>
      </c>
      <c r="HU80" s="5"/>
      <c r="HV80" s="29"/>
    </row>
    <row r="81" spans="1:230" ht="15" customHeight="1" thickTop="1" x14ac:dyDescent="0.2">
      <c r="A81" s="49">
        <v>46136</v>
      </c>
      <c r="B81" s="26">
        <f>SUM(D81:D84)+SUM(R81:R84)+SUM(AF81:AF84)+SUM(AT81:AT84)+SUM(CJ78,CX78,DL78,DZ78,EN78,FB78,FP78,GD78,GR78,HH78,HN78,HT78)+SUM(BH81:BH84)+SUM(BV81:BV82)</f>
        <v>1675</v>
      </c>
      <c r="C81" s="4">
        <v>13477</v>
      </c>
      <c r="D81" s="4">
        <f t="shared" ref="D81:D112" si="355">IF(C81="","",C81-C77)</f>
        <v>35</v>
      </c>
      <c r="E81" s="4">
        <v>350</v>
      </c>
      <c r="F81" s="50">
        <f t="shared" ref="F81:F112" si="356">IF(E81="","",E81-E77)</f>
        <v>0</v>
      </c>
      <c r="G81" s="4">
        <v>10</v>
      </c>
      <c r="H81" s="4">
        <f t="shared" ref="H81:H127" si="357">IF(G81="","",G77+I77-G81)</f>
        <v>0</v>
      </c>
      <c r="I81" s="51">
        <v>0</v>
      </c>
      <c r="J81" s="31" t="str">
        <f t="shared" ref="J81:J111" si="358">IF(C81="","",J77)</f>
        <v>キティダブルミラー</v>
      </c>
      <c r="K81" s="27">
        <f t="shared" ref="K81:K112" si="359">IF(D81="","",K77)</f>
        <v>660</v>
      </c>
      <c r="L81" s="50">
        <f t="shared" ref="L81:L112" si="360">IF(G81="","",H81*K81)</f>
        <v>0</v>
      </c>
      <c r="M81" s="52">
        <f t="shared" ref="M81:M112" si="361">IF(H81="","",L81/(D81*100))</f>
        <v>0</v>
      </c>
      <c r="N81" s="29"/>
      <c r="O81" s="30"/>
      <c r="P81" s="53">
        <f>IF($A81="","",$A81)</f>
        <v>46136</v>
      </c>
      <c r="Q81" s="4">
        <v>4181</v>
      </c>
      <c r="R81" s="4">
        <f t="shared" ref="R81:R112" si="362">IF(Q81="","",Q81-Q77)</f>
        <v>19</v>
      </c>
      <c r="S81" s="4">
        <v>194</v>
      </c>
      <c r="T81" s="50">
        <f t="shared" ref="T81:T112" si="363">IF(S81="","",S81-S77)</f>
        <v>1</v>
      </c>
      <c r="U81" s="4">
        <v>4</v>
      </c>
      <c r="V81" s="4">
        <f t="shared" ref="V81:V112" si="364">IF(U81="","",U77+W77-U81)</f>
        <v>1</v>
      </c>
      <c r="W81" s="51">
        <v>0</v>
      </c>
      <c r="X81" s="31" t="str">
        <f t="shared" ref="X81:X91" si="365">IF(Q81="","",X77)</f>
        <v>サンリオボアバンスクリップ</v>
      </c>
      <c r="Y81" s="27">
        <f t="shared" ref="Y81:Y91" si="366">IF(R81="","",Y77)</f>
        <v>660</v>
      </c>
      <c r="Z81" s="50">
        <f t="shared" ref="Z81:Z112" si="367">IF(U81="","",V81*Y81)</f>
        <v>660</v>
      </c>
      <c r="AA81" s="52">
        <f t="shared" ref="AA81:AA112" si="368">IF(V81="","",Z81/(R81*100))</f>
        <v>0.3473684210526316</v>
      </c>
      <c r="AB81" s="29"/>
      <c r="AD81" s="53">
        <f>IF($A81="","",$A81)</f>
        <v>46136</v>
      </c>
      <c r="AE81" s="4">
        <v>2060</v>
      </c>
      <c r="AF81" s="4">
        <f t="shared" ref="AF81:AF112" si="369">IF(AE81="","",AE81-AE77)</f>
        <v>42</v>
      </c>
      <c r="AG81" s="4">
        <v>29</v>
      </c>
      <c r="AH81" s="50">
        <f t="shared" ref="AH81:AH112" si="370">IF(AG81="","",AG81-AG77)</f>
        <v>0</v>
      </c>
      <c r="AI81" s="4">
        <v>5</v>
      </c>
      <c r="AJ81" s="4">
        <f t="shared" ref="AJ81:AJ112" si="371">IF(AI81="","",AI77+AK77-AI81)</f>
        <v>2</v>
      </c>
      <c r="AK81" s="51">
        <v>0</v>
      </c>
      <c r="AL81" s="31" t="s">
        <v>214</v>
      </c>
      <c r="AM81" s="27">
        <f>IF(AF81="","",AM77)</f>
        <v>462</v>
      </c>
      <c r="AN81" s="50">
        <f t="shared" ref="AN81:AN112" si="372">IF(AI81="","",AJ81*AM81)</f>
        <v>924</v>
      </c>
      <c r="AO81" s="52">
        <f t="shared" ref="AO81:AO112" si="373">IF(AJ81="","",AN81/(AF81*100))</f>
        <v>0.22</v>
      </c>
      <c r="AP81" s="29"/>
      <c r="AR81" s="53">
        <f>IF($A81="","",$A81)</f>
        <v>46136</v>
      </c>
      <c r="AS81" s="4">
        <v>1539</v>
      </c>
      <c r="AT81" s="4">
        <f t="shared" ref="AT81:AT112" si="374">IF(AS81="","",AS81-AS77)</f>
        <v>80</v>
      </c>
      <c r="AU81" s="4">
        <v>37</v>
      </c>
      <c r="AV81" s="50">
        <f t="shared" ref="AV81:AV112" si="375">IF(AU81="","",AU81-AU77)</f>
        <v>2</v>
      </c>
      <c r="AW81" s="4">
        <v>12</v>
      </c>
      <c r="AX81" s="4">
        <f t="shared" ref="AX81:AX112" si="376">IF(AW81="","",AW77+AY77-AW81)</f>
        <v>4</v>
      </c>
      <c r="AY81" s="51">
        <v>4</v>
      </c>
      <c r="AZ81" s="31" t="str">
        <f t="shared" ref="AZ81:BA86" si="377">IF(AS81="","",AZ77)</f>
        <v>ベアブリック</v>
      </c>
      <c r="BA81" s="27">
        <f t="shared" si="377"/>
        <v>847</v>
      </c>
      <c r="BB81" s="50">
        <f t="shared" ref="BB81:BB112" si="378">IF(AW81="","",AX81*BA81)</f>
        <v>3388</v>
      </c>
      <c r="BC81" s="52">
        <f t="shared" ref="BC81:BC112" si="379">IF(AX81="","",BB81/(AT81*100))</f>
        <v>0.42349999999999999</v>
      </c>
      <c r="BD81" s="29"/>
      <c r="BE81" s="32"/>
      <c r="BF81" s="33">
        <f>IF($A81="","",$A81)</f>
        <v>46136</v>
      </c>
      <c r="BG81" s="4">
        <v>3027</v>
      </c>
      <c r="BH81" s="4">
        <f t="shared" ref="BH81:BH112" si="380">IF(BG81="","",BG81-BG77)</f>
        <v>136</v>
      </c>
      <c r="BI81" s="4">
        <v>27</v>
      </c>
      <c r="BJ81" s="50">
        <f t="shared" ref="BJ81:BJ112" si="381">IF(BI81="","",BI81-BI77)</f>
        <v>1</v>
      </c>
      <c r="BK81" s="4">
        <v>3</v>
      </c>
      <c r="BL81" s="4">
        <f t="shared" ref="BL81:BL112" si="382">IF(BK81="","",BK77+BM77-BK81)</f>
        <v>0</v>
      </c>
      <c r="BM81" s="51">
        <v>0</v>
      </c>
      <c r="BN81" s="31" t="str">
        <f t="shared" ref="BN81:BN120" si="383">IF(BG81="","",BN77)</f>
        <v>ボンボンドロップシール</v>
      </c>
      <c r="BO81" s="27">
        <f t="shared" ref="BO81:BO120" si="384">IF(BH81="","",BO77)</f>
        <v>1500</v>
      </c>
      <c r="BP81" s="50">
        <f t="shared" ref="BP81:BP112" si="385">IF(BK81="","",BL81*BO81)</f>
        <v>0</v>
      </c>
      <c r="BQ81" s="52">
        <f t="shared" ref="BQ81:BQ122" si="386">IF(BL81="","",BP81/(BH81*100))</f>
        <v>0</v>
      </c>
      <c r="BR81" s="29"/>
      <c r="BT81" s="33">
        <f>IF($A81="","",$A81)</f>
        <v>46136</v>
      </c>
      <c r="BU81" s="4">
        <v>35926</v>
      </c>
      <c r="BV81" s="4">
        <f t="shared" ref="BV81:BV112" si="387">IF(BU81="","",BU81-BU77)</f>
        <v>59</v>
      </c>
      <c r="BW81" s="4">
        <v>3878</v>
      </c>
      <c r="BX81" s="50">
        <f t="shared" ref="BX81:BX112" si="388">IF(BW81="","",BW81-BW77)</f>
        <v>3</v>
      </c>
      <c r="BY81" s="4">
        <v>48</v>
      </c>
      <c r="BZ81" s="4">
        <f t="shared" ref="BZ81:BZ122" si="389">IF(BY81="","",BY77+CA77-BY81)</f>
        <v>3</v>
      </c>
      <c r="CA81" s="51"/>
      <c r="CB81" s="31" t="str">
        <f t="shared" ref="CB81:CB120" si="390">IF(BU81="","",CB77)</f>
        <v>ベイビースリーフェイス</v>
      </c>
      <c r="CC81" s="27">
        <f t="shared" ref="CC81:CC120" si="391">IF(BV81="","",CC77)</f>
        <v>1050</v>
      </c>
      <c r="CD81" s="50">
        <f t="shared" ref="CD81:CD122" si="392">IF(BY81="","",BZ81*CC81)</f>
        <v>3150</v>
      </c>
      <c r="CE81" s="52">
        <f t="shared" ref="CE81:CE122" si="393">IF(BZ81="","",CD81/(BV81*100))</f>
        <v>0.53389830508474578</v>
      </c>
      <c r="CF81" s="29"/>
      <c r="CH81" s="40">
        <f>IF($A93="","",$A93)</f>
        <v>46146</v>
      </c>
      <c r="CI81" s="35">
        <v>31806</v>
      </c>
      <c r="CJ81" s="5">
        <f t="shared" si="293"/>
        <v>101</v>
      </c>
      <c r="CK81" s="5">
        <v>537</v>
      </c>
      <c r="CL81" s="5">
        <f t="shared" si="294"/>
        <v>4</v>
      </c>
      <c r="CM81" s="4">
        <v>40</v>
      </c>
      <c r="CN81" s="5">
        <f t="shared" si="295"/>
        <v>4</v>
      </c>
      <c r="CO81" s="4">
        <v>6</v>
      </c>
      <c r="CP81" s="2" t="str">
        <f t="shared" si="296"/>
        <v>サンリオマスコットポーチ</v>
      </c>
      <c r="CQ81" s="4">
        <f t="shared" si="297"/>
        <v>880</v>
      </c>
      <c r="CR81" s="5">
        <f t="shared" si="298"/>
        <v>3520</v>
      </c>
      <c r="CS81" s="36">
        <f t="shared" si="299"/>
        <v>0.34851485148514849</v>
      </c>
      <c r="CT81" s="29"/>
      <c r="CV81" s="40">
        <f>IF($A93="","",$A93)</f>
        <v>46146</v>
      </c>
      <c r="CW81" s="35">
        <v>52316</v>
      </c>
      <c r="CX81" s="5">
        <f t="shared" si="300"/>
        <v>18</v>
      </c>
      <c r="CY81" s="5">
        <v>3290</v>
      </c>
      <c r="CZ81" s="5">
        <f t="shared" si="301"/>
        <v>5</v>
      </c>
      <c r="DA81" s="4">
        <v>26</v>
      </c>
      <c r="DB81" s="5">
        <f t="shared" si="302"/>
        <v>4</v>
      </c>
      <c r="DC81" s="4">
        <v>0</v>
      </c>
      <c r="DD81" s="2" t="str">
        <f>IF(CW81="","",DD80)</f>
        <v>サンリオボアミラーポーチ</v>
      </c>
      <c r="DE81" s="4">
        <f t="shared" si="303"/>
        <v>880</v>
      </c>
      <c r="DF81" s="5">
        <f t="shared" si="304"/>
        <v>3520</v>
      </c>
      <c r="DG81" s="36">
        <f t="shared" si="305"/>
        <v>1.9555555555555555</v>
      </c>
      <c r="DH81" s="29" t="s">
        <v>236</v>
      </c>
      <c r="DJ81" s="40">
        <f>IF($A93="","",$A93)</f>
        <v>46146</v>
      </c>
      <c r="DK81" s="35">
        <v>18026</v>
      </c>
      <c r="DL81" s="5">
        <f t="shared" si="306"/>
        <v>49</v>
      </c>
      <c r="DM81" s="5">
        <v>362</v>
      </c>
      <c r="DN81" s="5">
        <f t="shared" si="307"/>
        <v>8</v>
      </c>
      <c r="DO81" s="4">
        <v>17</v>
      </c>
      <c r="DP81" s="5">
        <f t="shared" si="308"/>
        <v>8</v>
      </c>
      <c r="DQ81" s="4">
        <v>5</v>
      </c>
      <c r="DR81" s="2" t="str">
        <f t="shared" ref="DR81:DR96" si="394">IF(DK81="","",DR80)</f>
        <v>お尻プニプニシール</v>
      </c>
      <c r="DS81" s="4">
        <f t="shared" ref="DS81:DS90" si="395">IF(DK81="","",DS80)</f>
        <v>220</v>
      </c>
      <c r="DT81" s="5">
        <f t="shared" si="309"/>
        <v>1760</v>
      </c>
      <c r="DU81" s="36">
        <f t="shared" si="310"/>
        <v>0.35918367346938773</v>
      </c>
      <c r="DV81" s="29" t="s">
        <v>234</v>
      </c>
      <c r="DX81" s="40">
        <f>IF($A93="","",$A93)</f>
        <v>46146</v>
      </c>
      <c r="DY81" s="35">
        <v>16320</v>
      </c>
      <c r="DZ81" s="5">
        <f t="shared" si="311"/>
        <v>346</v>
      </c>
      <c r="EA81" s="5">
        <v>144</v>
      </c>
      <c r="EB81" s="5">
        <f t="shared" si="312"/>
        <v>1</v>
      </c>
      <c r="EC81" s="4">
        <v>14</v>
      </c>
      <c r="ED81" s="5">
        <f t="shared" si="313"/>
        <v>2</v>
      </c>
      <c r="EE81" s="4">
        <v>4</v>
      </c>
      <c r="EF81" s="2" t="str">
        <f t="shared" si="314"/>
        <v>ボンボンドロップシール</v>
      </c>
      <c r="EG81" s="4">
        <f t="shared" si="315"/>
        <v>1500</v>
      </c>
      <c r="EH81" s="5">
        <f t="shared" si="316"/>
        <v>3000</v>
      </c>
      <c r="EI81" s="36">
        <f t="shared" si="317"/>
        <v>8.6705202312138727E-2</v>
      </c>
      <c r="EJ81" s="29"/>
      <c r="EL81" s="40">
        <f>IF($A93="","",$A93)</f>
        <v>46146</v>
      </c>
      <c r="EM81" s="35">
        <v>1399</v>
      </c>
      <c r="EN81" s="5">
        <f t="shared" si="318"/>
        <v>61</v>
      </c>
      <c r="EO81" s="5">
        <v>1082</v>
      </c>
      <c r="EP81" s="5">
        <f t="shared" si="319"/>
        <v>4</v>
      </c>
      <c r="EQ81" s="4">
        <v>27</v>
      </c>
      <c r="ER81" s="5">
        <f t="shared" si="320"/>
        <v>4</v>
      </c>
      <c r="ES81" s="4">
        <v>6</v>
      </c>
      <c r="ET81" s="2" t="str">
        <f t="shared" si="321"/>
        <v>ケース入バタースクイーズ</v>
      </c>
      <c r="EU81" s="4">
        <f t="shared" si="322"/>
        <v>286</v>
      </c>
      <c r="EV81" s="5">
        <f t="shared" si="323"/>
        <v>1144</v>
      </c>
      <c r="EW81" s="36">
        <f t="shared" si="324"/>
        <v>0.18754098360655738</v>
      </c>
      <c r="EX81" s="29"/>
      <c r="EZ81" s="40">
        <f>IF($A93="","",$A93)</f>
        <v>46146</v>
      </c>
      <c r="FA81" s="35">
        <v>848</v>
      </c>
      <c r="FB81" s="48">
        <f t="shared" si="325"/>
        <v>11</v>
      </c>
      <c r="FC81" s="5">
        <v>84</v>
      </c>
      <c r="FD81" s="5">
        <f t="shared" si="326"/>
        <v>6</v>
      </c>
      <c r="FE81" s="4">
        <v>35</v>
      </c>
      <c r="FF81" s="5">
        <f t="shared" si="327"/>
        <v>7</v>
      </c>
      <c r="FG81" s="4">
        <v>13</v>
      </c>
      <c r="FH81" s="2" t="str">
        <f>IF(FA81="","",FH80)</f>
        <v>おさるのジョージぷくぷくシール</v>
      </c>
      <c r="FI81" s="4">
        <f t="shared" si="328"/>
        <v>300</v>
      </c>
      <c r="FJ81" s="5">
        <f t="shared" si="329"/>
        <v>2100</v>
      </c>
      <c r="FK81" s="36">
        <f t="shared" si="330"/>
        <v>1.9090909090909092</v>
      </c>
      <c r="FL81" s="29" t="s">
        <v>235</v>
      </c>
      <c r="FN81" s="40">
        <f>IF($A93="","",$A93)</f>
        <v>46146</v>
      </c>
      <c r="FO81" s="35">
        <v>1103</v>
      </c>
      <c r="FP81" s="5">
        <f t="shared" si="331"/>
        <v>56</v>
      </c>
      <c r="FQ81" s="5">
        <v>92</v>
      </c>
      <c r="FR81" s="5">
        <f t="shared" si="332"/>
        <v>4</v>
      </c>
      <c r="FS81" s="4">
        <v>38</v>
      </c>
      <c r="FT81" s="5">
        <f t="shared" si="333"/>
        <v>4</v>
      </c>
      <c r="FU81" s="4">
        <v>3</v>
      </c>
      <c r="FV81" s="2" t="str">
        <f t="shared" si="334"/>
        <v>カラビナ付きぬいぐるみファスナーマスコット</v>
      </c>
      <c r="FW81" s="4">
        <f t="shared" si="335"/>
        <v>660</v>
      </c>
      <c r="FX81" s="5">
        <f t="shared" si="336"/>
        <v>2640</v>
      </c>
      <c r="FY81" s="36">
        <f t="shared" si="337"/>
        <v>0.47142857142857142</v>
      </c>
      <c r="FZ81" s="29"/>
      <c r="GB81" s="40">
        <f>IF($A93="","",$A93)</f>
        <v>46146</v>
      </c>
      <c r="GC81" s="35">
        <v>868</v>
      </c>
      <c r="GD81" s="5">
        <f t="shared" si="338"/>
        <v>48</v>
      </c>
      <c r="GE81" s="5">
        <v>82</v>
      </c>
      <c r="GF81" s="5">
        <f t="shared" si="339"/>
        <v>0</v>
      </c>
      <c r="GG81" s="4">
        <v>30</v>
      </c>
      <c r="GH81" s="5">
        <f t="shared" si="340"/>
        <v>4</v>
      </c>
      <c r="GI81" s="4">
        <v>6</v>
      </c>
      <c r="GJ81" s="2" t="str">
        <f>IF(GC81="","",GJ80)</f>
        <v>ディズニーぷくぷくシール</v>
      </c>
      <c r="GK81" s="4">
        <f t="shared" si="341"/>
        <v>220</v>
      </c>
      <c r="GL81" s="5">
        <f t="shared" si="342"/>
        <v>880</v>
      </c>
      <c r="GM81" s="36">
        <f t="shared" si="343"/>
        <v>0.18333333333333332</v>
      </c>
      <c r="GN81" s="29"/>
      <c r="GP81" s="40">
        <f>IF($A93="","",$A93)</f>
        <v>46146</v>
      </c>
      <c r="GQ81" s="35">
        <v>86124</v>
      </c>
      <c r="GR81" s="5">
        <f t="shared" si="344"/>
        <v>222</v>
      </c>
      <c r="GS81" s="5">
        <v>3227</v>
      </c>
      <c r="GT81" s="5">
        <f t="shared" si="345"/>
        <v>1</v>
      </c>
      <c r="GU81" s="5">
        <v>3522</v>
      </c>
      <c r="GV81" s="5">
        <f t="shared" si="346"/>
        <v>6</v>
      </c>
      <c r="GW81" s="4">
        <v>13</v>
      </c>
      <c r="GX81" s="5">
        <f t="shared" si="347"/>
        <v>10</v>
      </c>
      <c r="GY81" s="4">
        <v>10</v>
      </c>
      <c r="GZ81" s="2" t="str">
        <f t="shared" si="348"/>
        <v>サンリオ毛布</v>
      </c>
      <c r="HA81" s="4">
        <f t="shared" si="349"/>
        <v>1000</v>
      </c>
      <c r="HB81" s="5">
        <f t="shared" si="350"/>
        <v>10000</v>
      </c>
      <c r="HC81" s="36">
        <f t="shared" si="351"/>
        <v>0.45045045045045046</v>
      </c>
      <c r="HD81" s="29"/>
      <c r="HF81" s="40">
        <f>IF($A93="","",$A93)</f>
        <v>46146</v>
      </c>
      <c r="HG81" s="35">
        <v>61522</v>
      </c>
      <c r="HH81" s="5">
        <f t="shared" si="352"/>
        <v>50</v>
      </c>
      <c r="HI81" s="5"/>
      <c r="HJ81" s="29"/>
      <c r="HL81" s="40">
        <f>IF($A93="","",$A93)</f>
        <v>46146</v>
      </c>
      <c r="HM81" s="35">
        <v>45626</v>
      </c>
      <c r="HN81" s="5">
        <f t="shared" si="353"/>
        <v>56</v>
      </c>
      <c r="HO81" s="5"/>
      <c r="HP81" s="29"/>
      <c r="HR81" s="40">
        <f>IF($A93="","",$A93)</f>
        <v>46146</v>
      </c>
      <c r="HS81" s="35">
        <v>43171</v>
      </c>
      <c r="HT81" s="5">
        <f t="shared" si="354"/>
        <v>68</v>
      </c>
      <c r="HU81" s="5"/>
      <c r="HV81" s="29"/>
    </row>
    <row r="82" spans="1:230" x14ac:dyDescent="0.2">
      <c r="A82" s="54"/>
      <c r="B82" s="55"/>
      <c r="C82" s="4">
        <v>17062</v>
      </c>
      <c r="D82" s="5">
        <f t="shared" si="355"/>
        <v>46</v>
      </c>
      <c r="E82" s="5">
        <v>530</v>
      </c>
      <c r="F82" s="5">
        <f t="shared" si="356"/>
        <v>1</v>
      </c>
      <c r="G82" s="5">
        <v>11</v>
      </c>
      <c r="H82" s="5">
        <f t="shared" si="357"/>
        <v>0</v>
      </c>
      <c r="I82" s="35">
        <v>0</v>
      </c>
      <c r="J82" s="38" t="str">
        <f t="shared" si="358"/>
        <v>サンリオカラビナ付きミニファン</v>
      </c>
      <c r="K82" s="39">
        <f t="shared" si="359"/>
        <v>1100</v>
      </c>
      <c r="L82" s="5">
        <f t="shared" si="360"/>
        <v>0</v>
      </c>
      <c r="M82" s="36">
        <f t="shared" si="361"/>
        <v>0</v>
      </c>
      <c r="N82" s="29"/>
      <c r="O82" s="30"/>
      <c r="P82" s="54"/>
      <c r="Q82" s="4">
        <v>10850</v>
      </c>
      <c r="R82" s="5">
        <f t="shared" si="362"/>
        <v>6</v>
      </c>
      <c r="S82" s="5">
        <v>185</v>
      </c>
      <c r="T82" s="5">
        <f t="shared" si="363"/>
        <v>0</v>
      </c>
      <c r="U82" s="5">
        <v>9</v>
      </c>
      <c r="V82" s="5">
        <f t="shared" si="364"/>
        <v>0</v>
      </c>
      <c r="W82" s="35">
        <v>0</v>
      </c>
      <c r="X82" s="38" t="str">
        <f t="shared" si="365"/>
        <v>サンリオヘアバンド</v>
      </c>
      <c r="Y82" s="39">
        <f t="shared" si="366"/>
        <v>825</v>
      </c>
      <c r="Z82" s="5">
        <f t="shared" si="367"/>
        <v>0</v>
      </c>
      <c r="AA82" s="36">
        <f t="shared" si="368"/>
        <v>0</v>
      </c>
      <c r="AB82" s="29"/>
      <c r="AD82" s="54"/>
      <c r="AE82" s="4">
        <v>1882</v>
      </c>
      <c r="AF82" s="5">
        <f t="shared" si="369"/>
        <v>103</v>
      </c>
      <c r="AG82" s="5">
        <v>32</v>
      </c>
      <c r="AH82" s="5">
        <f t="shared" si="370"/>
        <v>1</v>
      </c>
      <c r="AI82" s="5">
        <v>12</v>
      </c>
      <c r="AJ82" s="5">
        <f t="shared" si="371"/>
        <v>1</v>
      </c>
      <c r="AK82" s="35">
        <v>43</v>
      </c>
      <c r="AL82" s="38" t="str">
        <f>IF(AE82="","",AL78)</f>
        <v>バタースクイーズ</v>
      </c>
      <c r="AM82" s="39">
        <f>IF(AF82="","",AM78)</f>
        <v>260</v>
      </c>
      <c r="AN82" s="5">
        <f t="shared" si="372"/>
        <v>260</v>
      </c>
      <c r="AO82" s="36">
        <f t="shared" si="373"/>
        <v>2.524271844660194E-2</v>
      </c>
      <c r="AP82" s="29" t="s">
        <v>217</v>
      </c>
      <c r="AR82" s="54"/>
      <c r="AS82" s="4">
        <v>1459</v>
      </c>
      <c r="AT82" s="5">
        <f t="shared" si="374"/>
        <v>17</v>
      </c>
      <c r="AU82" s="5">
        <v>3</v>
      </c>
      <c r="AV82" s="5">
        <f t="shared" si="375"/>
        <v>0</v>
      </c>
      <c r="AW82" s="5">
        <v>10</v>
      </c>
      <c r="AX82" s="5">
        <f t="shared" si="376"/>
        <v>0</v>
      </c>
      <c r="AY82" s="35">
        <v>0</v>
      </c>
      <c r="AZ82" s="38" t="str">
        <f t="shared" si="377"/>
        <v>ゲーム機イヤホン</v>
      </c>
      <c r="BA82" s="39">
        <f t="shared" si="377"/>
        <v>770</v>
      </c>
      <c r="BB82" s="5">
        <f t="shared" si="378"/>
        <v>0</v>
      </c>
      <c r="BC82" s="36">
        <f t="shared" si="379"/>
        <v>0</v>
      </c>
      <c r="BD82" s="29"/>
      <c r="BE82" s="32"/>
      <c r="BF82" s="25"/>
      <c r="BG82" s="4">
        <v>4895</v>
      </c>
      <c r="BH82" s="5">
        <f t="shared" si="380"/>
        <v>29</v>
      </c>
      <c r="BI82" s="5">
        <v>42</v>
      </c>
      <c r="BJ82" s="5">
        <f t="shared" si="381"/>
        <v>1</v>
      </c>
      <c r="BK82" s="5">
        <v>3</v>
      </c>
      <c r="BL82" s="5">
        <f t="shared" si="382"/>
        <v>0</v>
      </c>
      <c r="BM82" s="35">
        <v>0</v>
      </c>
      <c r="BN82" s="38" t="str">
        <f t="shared" si="383"/>
        <v>ボンボンドロップシール</v>
      </c>
      <c r="BO82" s="39">
        <f t="shared" si="384"/>
        <v>1500</v>
      </c>
      <c r="BP82" s="5">
        <f t="shared" si="385"/>
        <v>0</v>
      </c>
      <c r="BQ82" s="36">
        <f t="shared" si="386"/>
        <v>0</v>
      </c>
      <c r="BR82" s="29"/>
      <c r="BT82" s="56"/>
      <c r="BU82" s="4">
        <v>31861</v>
      </c>
      <c r="BV82" s="5">
        <f t="shared" si="387"/>
        <v>32</v>
      </c>
      <c r="BW82" s="5">
        <v>1684</v>
      </c>
      <c r="BX82" s="5">
        <f t="shared" si="388"/>
        <v>0</v>
      </c>
      <c r="BY82" s="5">
        <v>35</v>
      </c>
      <c r="BZ82" s="5">
        <f t="shared" si="389"/>
        <v>0</v>
      </c>
      <c r="CA82" s="35"/>
      <c r="CB82" s="38" t="str">
        <f t="shared" si="390"/>
        <v>サンリオボアポーチ</v>
      </c>
      <c r="CC82" s="39">
        <f t="shared" si="391"/>
        <v>950</v>
      </c>
      <c r="CD82" s="5">
        <f t="shared" si="392"/>
        <v>0</v>
      </c>
      <c r="CE82" s="36">
        <f t="shared" si="393"/>
        <v>0</v>
      </c>
      <c r="CF82" s="29"/>
      <c r="CH82" s="40">
        <f>IF($A97="","",$A97)</f>
        <v>46150</v>
      </c>
      <c r="CI82" s="35">
        <v>31872</v>
      </c>
      <c r="CJ82" s="5">
        <f t="shared" si="293"/>
        <v>66</v>
      </c>
      <c r="CK82" s="5">
        <v>539</v>
      </c>
      <c r="CL82" s="5">
        <f t="shared" si="294"/>
        <v>2</v>
      </c>
      <c r="CM82" s="4">
        <v>44</v>
      </c>
      <c r="CN82" s="5">
        <f t="shared" si="295"/>
        <v>2</v>
      </c>
      <c r="CO82" s="4">
        <v>4</v>
      </c>
      <c r="CP82" s="2" t="str">
        <f t="shared" si="296"/>
        <v>サンリオマスコットポーチ</v>
      </c>
      <c r="CQ82" s="4">
        <f t="shared" si="297"/>
        <v>880</v>
      </c>
      <c r="CR82" s="5">
        <f t="shared" si="298"/>
        <v>1760</v>
      </c>
      <c r="CS82" s="36">
        <f t="shared" si="299"/>
        <v>0.26666666666666666</v>
      </c>
      <c r="CT82" s="29"/>
      <c r="CV82" s="40">
        <f>IF($A97="","",$A97)</f>
        <v>46150</v>
      </c>
      <c r="CW82" s="35">
        <v>52323</v>
      </c>
      <c r="CX82" s="5">
        <f t="shared" si="300"/>
        <v>7</v>
      </c>
      <c r="CY82" s="5">
        <v>3290</v>
      </c>
      <c r="CZ82" s="5">
        <f t="shared" si="301"/>
        <v>0</v>
      </c>
      <c r="DA82" s="4">
        <v>26</v>
      </c>
      <c r="DB82" s="5">
        <f t="shared" si="302"/>
        <v>0</v>
      </c>
      <c r="DC82" s="4">
        <v>0</v>
      </c>
      <c r="DD82" s="2" t="s">
        <v>239</v>
      </c>
      <c r="DE82" s="4">
        <f t="shared" si="303"/>
        <v>880</v>
      </c>
      <c r="DF82" s="5">
        <f t="shared" si="304"/>
        <v>0</v>
      </c>
      <c r="DG82" s="36">
        <f t="shared" si="305"/>
        <v>0</v>
      </c>
      <c r="DH82" s="29"/>
      <c r="DJ82" s="40">
        <f>IF($A97="","",$A97)</f>
        <v>46150</v>
      </c>
      <c r="DK82" s="35">
        <v>18081</v>
      </c>
      <c r="DL82" s="5">
        <f t="shared" si="306"/>
        <v>55</v>
      </c>
      <c r="DM82" s="5">
        <v>371</v>
      </c>
      <c r="DN82" s="5">
        <f t="shared" si="307"/>
        <v>9</v>
      </c>
      <c r="DO82" s="4">
        <v>13</v>
      </c>
      <c r="DP82" s="5">
        <f t="shared" si="308"/>
        <v>9</v>
      </c>
      <c r="DQ82" s="4">
        <v>12</v>
      </c>
      <c r="DR82" s="2" t="str">
        <f t="shared" si="394"/>
        <v>お尻プニプニシール</v>
      </c>
      <c r="DS82" s="4">
        <f t="shared" si="395"/>
        <v>220</v>
      </c>
      <c r="DT82" s="5">
        <f t="shared" si="309"/>
        <v>1980</v>
      </c>
      <c r="DU82" s="36">
        <f t="shared" si="310"/>
        <v>0.36</v>
      </c>
      <c r="DV82" s="29"/>
      <c r="DX82" s="40">
        <f>IF($A97="","",$A97)</f>
        <v>46150</v>
      </c>
      <c r="DY82" s="35">
        <v>16786</v>
      </c>
      <c r="DZ82" s="5">
        <f t="shared" si="311"/>
        <v>466</v>
      </c>
      <c r="EA82" s="5">
        <v>148</v>
      </c>
      <c r="EB82" s="5">
        <f t="shared" si="312"/>
        <v>4</v>
      </c>
      <c r="EC82" s="4">
        <v>15</v>
      </c>
      <c r="ED82" s="5">
        <f t="shared" si="313"/>
        <v>3</v>
      </c>
      <c r="EE82" s="4">
        <v>7</v>
      </c>
      <c r="EF82" s="2" t="str">
        <f t="shared" si="314"/>
        <v>ボンボンドロップシール</v>
      </c>
      <c r="EG82" s="4">
        <f t="shared" si="315"/>
        <v>1500</v>
      </c>
      <c r="EH82" s="5">
        <f t="shared" si="316"/>
        <v>4500</v>
      </c>
      <c r="EI82" s="36">
        <f t="shared" si="317"/>
        <v>9.6566523605150209E-2</v>
      </c>
      <c r="EJ82" s="29"/>
      <c r="EL82" s="40">
        <f>IF($A97="","",$A97)</f>
        <v>46150</v>
      </c>
      <c r="EM82" s="35">
        <v>1506</v>
      </c>
      <c r="EN82" s="5">
        <f t="shared" si="318"/>
        <v>107</v>
      </c>
      <c r="EO82" s="5">
        <v>1085</v>
      </c>
      <c r="EP82" s="5">
        <f t="shared" si="319"/>
        <v>3</v>
      </c>
      <c r="EQ82" s="4">
        <v>29</v>
      </c>
      <c r="ER82" s="5">
        <f t="shared" si="320"/>
        <v>4</v>
      </c>
      <c r="ES82" s="4">
        <v>0</v>
      </c>
      <c r="ET82" s="2" t="str">
        <f t="shared" si="321"/>
        <v>ケース入バタースクイーズ</v>
      </c>
      <c r="EU82" s="4">
        <f t="shared" si="322"/>
        <v>286</v>
      </c>
      <c r="EV82" s="5">
        <f t="shared" si="323"/>
        <v>1144</v>
      </c>
      <c r="EW82" s="36">
        <f t="shared" si="324"/>
        <v>0.10691588785046729</v>
      </c>
      <c r="EX82" s="29"/>
      <c r="EZ82" s="40">
        <f>IF($A97="","",$A97)</f>
        <v>46150</v>
      </c>
      <c r="FA82" s="35">
        <v>907</v>
      </c>
      <c r="FB82" s="5">
        <f t="shared" si="325"/>
        <v>59</v>
      </c>
      <c r="FC82" s="5">
        <v>84</v>
      </c>
      <c r="FD82" s="5">
        <f t="shared" si="326"/>
        <v>0</v>
      </c>
      <c r="FE82" s="4">
        <v>48</v>
      </c>
      <c r="FF82" s="5">
        <f t="shared" si="327"/>
        <v>0</v>
      </c>
      <c r="FG82" s="4">
        <v>0</v>
      </c>
      <c r="FH82" s="2" t="s">
        <v>238</v>
      </c>
      <c r="FI82" s="4">
        <f t="shared" si="328"/>
        <v>300</v>
      </c>
      <c r="FJ82" s="5">
        <f t="shared" si="329"/>
        <v>0</v>
      </c>
      <c r="FK82" s="36">
        <f t="shared" si="330"/>
        <v>0</v>
      </c>
      <c r="FL82" s="29"/>
      <c r="FN82" s="40">
        <f>IF($A97="","",$A97)</f>
        <v>46150</v>
      </c>
      <c r="FO82" s="35">
        <v>1162</v>
      </c>
      <c r="FP82" s="5">
        <f t="shared" si="331"/>
        <v>59</v>
      </c>
      <c r="FQ82" s="5">
        <v>92</v>
      </c>
      <c r="FR82" s="5">
        <f t="shared" si="332"/>
        <v>0</v>
      </c>
      <c r="FS82" s="4">
        <v>41</v>
      </c>
      <c r="FT82" s="5">
        <f t="shared" si="333"/>
        <v>0</v>
      </c>
      <c r="FU82" s="4">
        <v>3</v>
      </c>
      <c r="FV82" s="2" t="str">
        <f t="shared" si="334"/>
        <v>カラビナ付きぬいぐるみファスナーマスコット</v>
      </c>
      <c r="FW82" s="4">
        <f t="shared" si="335"/>
        <v>660</v>
      </c>
      <c r="FX82" s="5">
        <f t="shared" si="336"/>
        <v>0</v>
      </c>
      <c r="FY82" s="36">
        <f t="shared" si="337"/>
        <v>0</v>
      </c>
      <c r="FZ82" s="29"/>
      <c r="GB82" s="40">
        <f>IF($A97="","",$A97)</f>
        <v>46150</v>
      </c>
      <c r="GC82" s="35">
        <v>874</v>
      </c>
      <c r="GD82" s="5">
        <f t="shared" si="338"/>
        <v>6</v>
      </c>
      <c r="GE82" s="5">
        <v>88</v>
      </c>
      <c r="GF82" s="5">
        <f t="shared" si="339"/>
        <v>6</v>
      </c>
      <c r="GG82" s="4">
        <v>27</v>
      </c>
      <c r="GH82" s="5">
        <f t="shared" si="340"/>
        <v>9</v>
      </c>
      <c r="GI82" s="4">
        <v>33</v>
      </c>
      <c r="GJ82" s="2" t="str">
        <f>IF(GC82="","",GJ81)</f>
        <v>ディズニーぷくぷくシール</v>
      </c>
      <c r="GK82" s="4">
        <f t="shared" si="341"/>
        <v>220</v>
      </c>
      <c r="GL82" s="5">
        <f t="shared" si="342"/>
        <v>1980</v>
      </c>
      <c r="GM82" s="36">
        <f t="shared" si="343"/>
        <v>3.3</v>
      </c>
      <c r="GN82" s="29" t="s">
        <v>240</v>
      </c>
      <c r="GP82" s="40">
        <f>IF($A97="","",$A97)</f>
        <v>46150</v>
      </c>
      <c r="GQ82" s="35">
        <v>86383</v>
      </c>
      <c r="GR82" s="5">
        <f t="shared" si="344"/>
        <v>259</v>
      </c>
      <c r="GS82" s="5">
        <v>3228</v>
      </c>
      <c r="GT82" s="5">
        <f t="shared" si="345"/>
        <v>1</v>
      </c>
      <c r="GU82" s="5">
        <v>3527</v>
      </c>
      <c r="GV82" s="5">
        <f t="shared" si="346"/>
        <v>5</v>
      </c>
      <c r="GW82" s="4">
        <v>22</v>
      </c>
      <c r="GX82" s="5">
        <f t="shared" si="347"/>
        <v>1</v>
      </c>
      <c r="GY82" s="4">
        <v>0</v>
      </c>
      <c r="GZ82" s="2" t="str">
        <f t="shared" si="348"/>
        <v>サンリオ毛布</v>
      </c>
      <c r="HA82" s="4">
        <f t="shared" si="349"/>
        <v>1000</v>
      </c>
      <c r="HB82" s="5">
        <f t="shared" si="350"/>
        <v>1000</v>
      </c>
      <c r="HC82" s="36">
        <f t="shared" si="351"/>
        <v>3.8610038610038609E-2</v>
      </c>
      <c r="HD82" s="29"/>
      <c r="HF82" s="40">
        <f>IF($A97="","",$A97)</f>
        <v>46150</v>
      </c>
      <c r="HG82" s="35">
        <v>61575</v>
      </c>
      <c r="HH82" s="5">
        <f t="shared" si="352"/>
        <v>53</v>
      </c>
      <c r="HI82" s="5"/>
      <c r="HJ82" s="29"/>
      <c r="HL82" s="40">
        <f>IF($A97="","",$A97)</f>
        <v>46150</v>
      </c>
      <c r="HM82" s="35">
        <v>45659</v>
      </c>
      <c r="HN82" s="5">
        <f t="shared" si="353"/>
        <v>33</v>
      </c>
      <c r="HO82" s="5"/>
      <c r="HP82" s="29"/>
      <c r="HR82" s="40">
        <f>IF($A97="","",$A97)</f>
        <v>46150</v>
      </c>
      <c r="HS82" s="35">
        <v>43216</v>
      </c>
      <c r="HT82" s="5">
        <f t="shared" si="354"/>
        <v>45</v>
      </c>
      <c r="HU82" s="5"/>
      <c r="HV82" s="29"/>
    </row>
    <row r="83" spans="1:230" x14ac:dyDescent="0.2">
      <c r="A83" s="54"/>
      <c r="B83" s="55"/>
      <c r="C83" s="57">
        <v>18727</v>
      </c>
      <c r="D83" s="5">
        <f t="shared" si="355"/>
        <v>44</v>
      </c>
      <c r="E83" s="5">
        <v>654</v>
      </c>
      <c r="F83" s="5">
        <f t="shared" si="356"/>
        <v>1</v>
      </c>
      <c r="G83" s="58">
        <v>5</v>
      </c>
      <c r="H83" s="5">
        <f t="shared" si="357"/>
        <v>3</v>
      </c>
      <c r="I83" s="59">
        <v>0</v>
      </c>
      <c r="J83" s="38" t="str">
        <f t="shared" si="358"/>
        <v>たまごっちブロックシール</v>
      </c>
      <c r="K83" s="5">
        <f t="shared" si="359"/>
        <v>600</v>
      </c>
      <c r="L83" s="5">
        <f t="shared" si="360"/>
        <v>1800</v>
      </c>
      <c r="M83" s="36">
        <f t="shared" si="361"/>
        <v>0.40909090909090912</v>
      </c>
      <c r="N83" s="29"/>
      <c r="O83" s="30"/>
      <c r="P83" s="54"/>
      <c r="Q83" s="57">
        <v>10478</v>
      </c>
      <c r="R83" s="5">
        <f t="shared" si="362"/>
        <v>51</v>
      </c>
      <c r="S83" s="5">
        <v>283</v>
      </c>
      <c r="T83" s="5">
        <f t="shared" si="363"/>
        <v>0</v>
      </c>
      <c r="U83" s="58">
        <v>10</v>
      </c>
      <c r="V83" s="5">
        <f t="shared" si="364"/>
        <v>0</v>
      </c>
      <c r="W83" s="59">
        <v>4</v>
      </c>
      <c r="X83" s="38" t="str">
        <f t="shared" si="365"/>
        <v>キララメシールバインダー</v>
      </c>
      <c r="Y83" s="5">
        <f t="shared" si="366"/>
        <v>638</v>
      </c>
      <c r="Z83" s="5">
        <f t="shared" si="367"/>
        <v>0</v>
      </c>
      <c r="AA83" s="36">
        <f t="shared" si="368"/>
        <v>0</v>
      </c>
      <c r="AB83" s="29"/>
      <c r="AD83" s="54"/>
      <c r="AE83" s="57">
        <v>1453</v>
      </c>
      <c r="AF83" s="5">
        <f t="shared" si="369"/>
        <v>62</v>
      </c>
      <c r="AG83" s="5">
        <v>33</v>
      </c>
      <c r="AH83" s="5">
        <f t="shared" si="370"/>
        <v>0</v>
      </c>
      <c r="AI83" s="58">
        <v>16</v>
      </c>
      <c r="AJ83" s="5">
        <f t="shared" si="371"/>
        <v>0</v>
      </c>
      <c r="AK83" s="59">
        <v>3</v>
      </c>
      <c r="AL83" s="38" t="str">
        <f>IF(AE83="","",AL79)</f>
        <v>たまごっちマスコット</v>
      </c>
      <c r="AM83" s="5">
        <f>IF(AF83="","",AM79)</f>
        <v>1430</v>
      </c>
      <c r="AN83" s="5">
        <f t="shared" si="372"/>
        <v>0</v>
      </c>
      <c r="AO83" s="36">
        <f t="shared" si="373"/>
        <v>0</v>
      </c>
      <c r="AP83" s="29"/>
      <c r="AR83" s="54"/>
      <c r="AS83" s="57">
        <v>1029</v>
      </c>
      <c r="AT83" s="5">
        <f t="shared" si="374"/>
        <v>5</v>
      </c>
      <c r="AU83" s="5">
        <v>1</v>
      </c>
      <c r="AV83" s="5">
        <f t="shared" si="375"/>
        <v>0</v>
      </c>
      <c r="AW83" s="58">
        <v>7</v>
      </c>
      <c r="AX83" s="5">
        <f t="shared" si="376"/>
        <v>0</v>
      </c>
      <c r="AY83" s="59">
        <v>13</v>
      </c>
      <c r="AZ83" s="38" t="str">
        <f t="shared" si="377"/>
        <v>ゲームアーク</v>
      </c>
      <c r="BA83" s="5">
        <f t="shared" si="377"/>
        <v>682</v>
      </c>
      <c r="BB83" s="5">
        <f t="shared" si="378"/>
        <v>0</v>
      </c>
      <c r="BC83" s="36">
        <f t="shared" si="379"/>
        <v>0</v>
      </c>
      <c r="BD83" s="29" t="s">
        <v>215</v>
      </c>
      <c r="BE83" s="32"/>
      <c r="BF83" s="25"/>
      <c r="BG83" s="57">
        <v>2408</v>
      </c>
      <c r="BH83" s="5">
        <f t="shared" si="380"/>
        <v>78</v>
      </c>
      <c r="BI83" s="5">
        <v>22</v>
      </c>
      <c r="BJ83" s="5">
        <f t="shared" si="381"/>
        <v>2</v>
      </c>
      <c r="BK83" s="58">
        <v>3</v>
      </c>
      <c r="BL83" s="5">
        <f t="shared" si="382"/>
        <v>0</v>
      </c>
      <c r="BM83" s="59">
        <v>0</v>
      </c>
      <c r="BN83" s="38" t="str">
        <f t="shared" si="383"/>
        <v>ボンボンドロップシール</v>
      </c>
      <c r="BO83" s="5">
        <f t="shared" si="384"/>
        <v>1500</v>
      </c>
      <c r="BP83" s="5">
        <f t="shared" si="385"/>
        <v>0</v>
      </c>
      <c r="BQ83" s="36">
        <f t="shared" si="386"/>
        <v>0</v>
      </c>
      <c r="BR83" s="29"/>
      <c r="BT83" s="25"/>
      <c r="BU83" s="57"/>
      <c r="BV83" s="5" t="str">
        <f t="shared" si="387"/>
        <v/>
      </c>
      <c r="BW83" s="5"/>
      <c r="BX83" s="5" t="str">
        <f t="shared" si="388"/>
        <v/>
      </c>
      <c r="BY83" s="58"/>
      <c r="BZ83" s="5" t="str">
        <f t="shared" si="389"/>
        <v/>
      </c>
      <c r="CA83" s="59"/>
      <c r="CB83" s="38" t="str">
        <f t="shared" si="390"/>
        <v/>
      </c>
      <c r="CC83" s="5" t="str">
        <f t="shared" si="391"/>
        <v/>
      </c>
      <c r="CD83" s="5" t="str">
        <f t="shared" si="392"/>
        <v/>
      </c>
      <c r="CE83" s="36" t="str">
        <f t="shared" si="393"/>
        <v/>
      </c>
      <c r="CF83" s="29"/>
      <c r="CH83" s="40">
        <f>IF($A101="","",$A101)</f>
        <v>46153</v>
      </c>
      <c r="CI83" s="35">
        <v>31972</v>
      </c>
      <c r="CJ83" s="5">
        <f t="shared" si="293"/>
        <v>100</v>
      </c>
      <c r="CK83" s="5">
        <v>542</v>
      </c>
      <c r="CL83" s="5">
        <f t="shared" si="294"/>
        <v>3</v>
      </c>
      <c r="CM83" s="4">
        <v>45</v>
      </c>
      <c r="CN83" s="5">
        <f t="shared" si="295"/>
        <v>3</v>
      </c>
      <c r="CO83" s="4">
        <v>0</v>
      </c>
      <c r="CP83" s="2" t="str">
        <f t="shared" si="296"/>
        <v>サンリオマスコットポーチ</v>
      </c>
      <c r="CQ83" s="4">
        <f t="shared" si="297"/>
        <v>880</v>
      </c>
      <c r="CR83" s="5">
        <f t="shared" si="298"/>
        <v>2640</v>
      </c>
      <c r="CS83" s="36">
        <f t="shared" si="299"/>
        <v>0.26400000000000001</v>
      </c>
      <c r="CT83" s="29"/>
      <c r="CV83" s="40">
        <f>IF($A101="","",$A101)</f>
        <v>46153</v>
      </c>
      <c r="CW83" s="35">
        <v>52332</v>
      </c>
      <c r="CX83" s="5">
        <f t="shared" si="300"/>
        <v>9</v>
      </c>
      <c r="CY83" s="5">
        <v>3290</v>
      </c>
      <c r="CZ83" s="5">
        <f t="shared" si="301"/>
        <v>0</v>
      </c>
      <c r="DA83" s="4">
        <v>26</v>
      </c>
      <c r="DB83" s="5">
        <f t="shared" si="302"/>
        <v>0</v>
      </c>
      <c r="DC83" s="4">
        <v>-19</v>
      </c>
      <c r="DD83" s="2" t="str">
        <f t="shared" ref="DD83:DD96" si="396">IF(CW83="","",DD82)</f>
        <v>メイドキティマスコット</v>
      </c>
      <c r="DE83" s="4">
        <f t="shared" si="303"/>
        <v>880</v>
      </c>
      <c r="DF83" s="5">
        <f t="shared" si="304"/>
        <v>0</v>
      </c>
      <c r="DG83" s="36">
        <f t="shared" si="305"/>
        <v>0</v>
      </c>
      <c r="DH83" s="29" t="s">
        <v>362</v>
      </c>
      <c r="DJ83" s="40">
        <f>IF($A101="","",$A101)</f>
        <v>46153</v>
      </c>
      <c r="DK83" s="35">
        <v>18107</v>
      </c>
      <c r="DL83" s="5">
        <f t="shared" si="306"/>
        <v>26</v>
      </c>
      <c r="DM83" s="5">
        <v>375</v>
      </c>
      <c r="DN83" s="5">
        <f t="shared" si="307"/>
        <v>4</v>
      </c>
      <c r="DO83" s="4">
        <v>21</v>
      </c>
      <c r="DP83" s="5">
        <f t="shared" si="308"/>
        <v>4</v>
      </c>
      <c r="DQ83" s="4">
        <v>9</v>
      </c>
      <c r="DR83" s="2" t="str">
        <f t="shared" si="394"/>
        <v>お尻プニプニシール</v>
      </c>
      <c r="DS83" s="4">
        <f t="shared" si="395"/>
        <v>220</v>
      </c>
      <c r="DT83" s="5">
        <f t="shared" si="309"/>
        <v>880</v>
      </c>
      <c r="DU83" s="36">
        <f t="shared" si="310"/>
        <v>0.33846153846153848</v>
      </c>
      <c r="DV83" s="29"/>
      <c r="DX83" s="40">
        <f>IF($A101="","",$A101)</f>
        <v>46153</v>
      </c>
      <c r="DY83" s="35">
        <v>17012</v>
      </c>
      <c r="DZ83" s="5">
        <f t="shared" si="311"/>
        <v>226</v>
      </c>
      <c r="EA83" s="5">
        <v>151</v>
      </c>
      <c r="EB83" s="5">
        <f t="shared" si="312"/>
        <v>3</v>
      </c>
      <c r="EC83" s="4">
        <v>17</v>
      </c>
      <c r="ED83" s="5">
        <f t="shared" si="313"/>
        <v>5</v>
      </c>
      <c r="EE83" s="4">
        <v>6</v>
      </c>
      <c r="EF83" s="2" t="str">
        <f t="shared" si="314"/>
        <v>ボンボンドロップシール</v>
      </c>
      <c r="EG83" s="4">
        <f t="shared" si="315"/>
        <v>1500</v>
      </c>
      <c r="EH83" s="5">
        <f t="shared" si="316"/>
        <v>7500</v>
      </c>
      <c r="EI83" s="36">
        <f t="shared" si="317"/>
        <v>0.33185840707964603</v>
      </c>
      <c r="EJ83" s="29"/>
      <c r="EL83" s="40">
        <f>IF($A101="","",$A101)</f>
        <v>46153</v>
      </c>
      <c r="EM83" s="35">
        <v>1561</v>
      </c>
      <c r="EN83" s="5">
        <f t="shared" si="318"/>
        <v>55</v>
      </c>
      <c r="EO83" s="5">
        <v>1089</v>
      </c>
      <c r="EP83" s="5">
        <f t="shared" si="319"/>
        <v>4</v>
      </c>
      <c r="EQ83" s="4">
        <v>25</v>
      </c>
      <c r="ER83" s="5">
        <f t="shared" si="320"/>
        <v>4</v>
      </c>
      <c r="ES83" s="4">
        <v>30</v>
      </c>
      <c r="ET83" s="2" t="str">
        <f t="shared" si="321"/>
        <v>ケース入バタースクイーズ</v>
      </c>
      <c r="EU83" s="4">
        <f t="shared" si="322"/>
        <v>286</v>
      </c>
      <c r="EV83" s="5">
        <f t="shared" si="323"/>
        <v>1144</v>
      </c>
      <c r="EW83" s="36">
        <f t="shared" si="324"/>
        <v>0.20799999999999999</v>
      </c>
      <c r="EX83" s="29"/>
      <c r="EZ83" s="40">
        <f>IF($A101="","",$A101)</f>
        <v>46153</v>
      </c>
      <c r="FA83" s="35">
        <v>942</v>
      </c>
      <c r="FB83" s="5">
        <f t="shared" si="325"/>
        <v>35</v>
      </c>
      <c r="FC83" s="5">
        <v>89</v>
      </c>
      <c r="FD83" s="5">
        <f t="shared" si="326"/>
        <v>5</v>
      </c>
      <c r="FE83" s="4">
        <v>43</v>
      </c>
      <c r="FF83" s="5">
        <f t="shared" si="327"/>
        <v>5</v>
      </c>
      <c r="FG83" s="4">
        <v>16</v>
      </c>
      <c r="FH83" s="2" t="str">
        <f t="shared" ref="FH83:FH96" si="397">IF(FA83="","",FH82)</f>
        <v>ドーナツスクイーズ</v>
      </c>
      <c r="FI83" s="4">
        <f t="shared" si="328"/>
        <v>300</v>
      </c>
      <c r="FJ83" s="5">
        <f t="shared" ref="FJ83" si="398">IF(FI83="","",FF83*FI83)</f>
        <v>1500</v>
      </c>
      <c r="FK83" s="36">
        <f t="shared" ref="FK83" si="399">IF(FJ83="","",FJ83/(FB83*100))</f>
        <v>0.42857142857142855</v>
      </c>
      <c r="FL83" s="29"/>
      <c r="FN83" s="40">
        <f>IF($A101="","",$A101)</f>
        <v>46153</v>
      </c>
      <c r="FO83" s="35">
        <v>1217</v>
      </c>
      <c r="FP83" s="5">
        <f t="shared" si="331"/>
        <v>55</v>
      </c>
      <c r="FQ83" s="5">
        <v>95</v>
      </c>
      <c r="FR83" s="5">
        <f t="shared" si="332"/>
        <v>3</v>
      </c>
      <c r="FS83" s="4">
        <v>41</v>
      </c>
      <c r="FT83" s="5">
        <f t="shared" si="333"/>
        <v>3</v>
      </c>
      <c r="FU83" s="4">
        <v>4</v>
      </c>
      <c r="FV83" s="2" t="str">
        <f t="shared" si="334"/>
        <v>カラビナ付きぬいぐるみファスナーマスコット</v>
      </c>
      <c r="FW83" s="4">
        <f t="shared" si="335"/>
        <v>660</v>
      </c>
      <c r="FX83" s="5">
        <f t="shared" ref="FX83" si="400">IF(FW83="","",FT83*FW83)</f>
        <v>1980</v>
      </c>
      <c r="FY83" s="36">
        <f t="shared" ref="FY83" si="401">IF(FX83="","",FX83/(FP83*100))</f>
        <v>0.36</v>
      </c>
      <c r="FZ83" s="29"/>
      <c r="GB83" s="40">
        <f>IF($A101="","",$A101)</f>
        <v>46153</v>
      </c>
      <c r="GC83" s="35">
        <v>895</v>
      </c>
      <c r="GD83" s="5">
        <f t="shared" si="338"/>
        <v>21</v>
      </c>
      <c r="GE83" s="5">
        <v>96</v>
      </c>
      <c r="GF83" s="5">
        <f t="shared" si="339"/>
        <v>8</v>
      </c>
      <c r="GG83" s="4">
        <v>52</v>
      </c>
      <c r="GH83" s="5">
        <f t="shared" si="340"/>
        <v>8</v>
      </c>
      <c r="GI83" s="4">
        <v>20</v>
      </c>
      <c r="GJ83" s="2" t="s">
        <v>241</v>
      </c>
      <c r="GK83" s="4">
        <f t="shared" si="341"/>
        <v>220</v>
      </c>
      <c r="GL83" s="5">
        <f t="shared" ref="GL83" si="402">IF(GK83="","",GH83*GK83)</f>
        <v>1760</v>
      </c>
      <c r="GM83" s="36">
        <f t="shared" ref="GM83" si="403">IF(GL83="","",GL83/(GD83*100))</f>
        <v>0.83809523809523812</v>
      </c>
      <c r="GN83" s="29"/>
      <c r="GP83" s="40">
        <f>IF($A101="","",$A101)</f>
        <v>46153</v>
      </c>
      <c r="GQ83" s="35">
        <v>86473</v>
      </c>
      <c r="GR83" s="5">
        <f t="shared" si="344"/>
        <v>90</v>
      </c>
      <c r="GS83" s="5">
        <v>3229</v>
      </c>
      <c r="GT83" s="5">
        <f t="shared" si="345"/>
        <v>1</v>
      </c>
      <c r="GU83" s="5">
        <v>3527</v>
      </c>
      <c r="GV83" s="5">
        <f t="shared" si="346"/>
        <v>0</v>
      </c>
      <c r="GW83" s="4">
        <v>20</v>
      </c>
      <c r="GX83" s="5">
        <f t="shared" si="347"/>
        <v>2</v>
      </c>
      <c r="GY83" s="4"/>
      <c r="GZ83" s="2" t="str">
        <f t="shared" si="348"/>
        <v>サンリオ毛布</v>
      </c>
      <c r="HA83" s="4">
        <f t="shared" si="349"/>
        <v>1000</v>
      </c>
      <c r="HB83" s="5">
        <f t="shared" si="350"/>
        <v>2000</v>
      </c>
      <c r="HC83" s="36">
        <f t="shared" si="351"/>
        <v>0.22222222222222221</v>
      </c>
      <c r="HD83" s="29"/>
      <c r="HF83" s="40">
        <f>IF($A101="","",$A101)</f>
        <v>46153</v>
      </c>
      <c r="HG83" s="35">
        <v>61602</v>
      </c>
      <c r="HH83" s="5">
        <f t="shared" si="352"/>
        <v>27</v>
      </c>
      <c r="HI83" s="5"/>
      <c r="HJ83" s="29"/>
      <c r="HL83" s="40">
        <f>IF($A101="","",$A101)</f>
        <v>46153</v>
      </c>
      <c r="HM83" s="35">
        <v>45689</v>
      </c>
      <c r="HN83" s="5">
        <f t="shared" si="353"/>
        <v>30</v>
      </c>
      <c r="HO83" s="5"/>
      <c r="HP83" s="29"/>
      <c r="HR83" s="40">
        <f>IF($A101="","",$A101)</f>
        <v>46153</v>
      </c>
      <c r="HS83" s="35">
        <v>43242</v>
      </c>
      <c r="HT83" s="5">
        <f t="shared" si="354"/>
        <v>26</v>
      </c>
      <c r="HU83" s="5"/>
      <c r="HV83" s="29"/>
    </row>
    <row r="84" spans="1:230" ht="15" customHeight="1" thickBot="1" x14ac:dyDescent="0.25">
      <c r="A84" s="60"/>
      <c r="B84" s="42"/>
      <c r="C84" s="43">
        <v>23285</v>
      </c>
      <c r="D84" s="61">
        <f t="shared" si="355"/>
        <v>14</v>
      </c>
      <c r="E84" s="44">
        <v>1170</v>
      </c>
      <c r="F84" s="44">
        <f t="shared" si="356"/>
        <v>2</v>
      </c>
      <c r="G84" s="44">
        <v>51</v>
      </c>
      <c r="H84" s="44">
        <f t="shared" si="357"/>
        <v>2</v>
      </c>
      <c r="I84" s="62">
        <v>0</v>
      </c>
      <c r="J84" s="47" t="str">
        <f t="shared" si="358"/>
        <v>ふわもちミニスクイーズ</v>
      </c>
      <c r="K84" s="61">
        <f t="shared" si="359"/>
        <v>99</v>
      </c>
      <c r="L84" s="44">
        <f t="shared" si="360"/>
        <v>198</v>
      </c>
      <c r="M84" s="46">
        <f t="shared" si="361"/>
        <v>0.14142857142857143</v>
      </c>
      <c r="N84" s="29"/>
      <c r="O84" s="30"/>
      <c r="P84" s="60"/>
      <c r="Q84" s="43">
        <v>9208</v>
      </c>
      <c r="R84" s="61">
        <f t="shared" si="362"/>
        <v>42</v>
      </c>
      <c r="S84" s="44">
        <v>224</v>
      </c>
      <c r="T84" s="44">
        <f t="shared" si="363"/>
        <v>1</v>
      </c>
      <c r="U84" s="44">
        <v>18</v>
      </c>
      <c r="V84" s="44">
        <f t="shared" si="364"/>
        <v>3</v>
      </c>
      <c r="W84" s="62">
        <v>4</v>
      </c>
      <c r="X84" s="47" t="str">
        <f t="shared" si="365"/>
        <v>ボンドロ海外製</v>
      </c>
      <c r="Y84" s="61">
        <f t="shared" si="366"/>
        <v>150</v>
      </c>
      <c r="Z84" s="44">
        <f t="shared" si="367"/>
        <v>450</v>
      </c>
      <c r="AA84" s="46">
        <f t="shared" si="368"/>
        <v>0.10714285714285714</v>
      </c>
      <c r="AB84" s="29"/>
      <c r="AD84" s="60"/>
      <c r="AE84" s="43">
        <v>694</v>
      </c>
      <c r="AF84" s="61">
        <f t="shared" si="369"/>
        <v>3</v>
      </c>
      <c r="AG84" s="44">
        <v>27</v>
      </c>
      <c r="AH84" s="44">
        <f t="shared" si="370"/>
        <v>0</v>
      </c>
      <c r="AI84" s="44">
        <v>10</v>
      </c>
      <c r="AJ84" s="44">
        <f t="shared" si="371"/>
        <v>0</v>
      </c>
      <c r="AK84" s="62">
        <v>4</v>
      </c>
      <c r="AL84" s="47" t="str">
        <f>IF(AE84="","",AL80)</f>
        <v>キティ着物マスコット</v>
      </c>
      <c r="AM84" s="61">
        <f>IF(AF84="","",AM80)</f>
        <v>1100</v>
      </c>
      <c r="AN84" s="44">
        <f t="shared" si="372"/>
        <v>0</v>
      </c>
      <c r="AO84" s="46">
        <f t="shared" si="373"/>
        <v>0</v>
      </c>
      <c r="AP84" s="29" t="s">
        <v>216</v>
      </c>
      <c r="AR84" s="60"/>
      <c r="AS84" s="43">
        <v>900</v>
      </c>
      <c r="AT84" s="61">
        <f t="shared" si="374"/>
        <v>13</v>
      </c>
      <c r="AU84" s="44">
        <v>26</v>
      </c>
      <c r="AV84" s="44">
        <f t="shared" si="375"/>
        <v>0</v>
      </c>
      <c r="AW84" s="44">
        <v>10</v>
      </c>
      <c r="AX84" s="44">
        <f t="shared" si="376"/>
        <v>2</v>
      </c>
      <c r="AY84" s="62">
        <v>-3</v>
      </c>
      <c r="AZ84" s="47" t="str">
        <f t="shared" si="377"/>
        <v>しばこ</v>
      </c>
      <c r="BA84" s="61">
        <f t="shared" si="377"/>
        <v>110</v>
      </c>
      <c r="BB84" s="44">
        <f t="shared" si="378"/>
        <v>220</v>
      </c>
      <c r="BC84" s="46">
        <f t="shared" si="379"/>
        <v>0.16923076923076924</v>
      </c>
      <c r="BD84" s="29" t="s">
        <v>218</v>
      </c>
      <c r="BE84" s="32"/>
      <c r="BF84" s="41"/>
      <c r="BG84" s="43">
        <v>4002</v>
      </c>
      <c r="BH84" s="61">
        <f t="shared" si="380"/>
        <v>66</v>
      </c>
      <c r="BI84" s="44">
        <v>45</v>
      </c>
      <c r="BJ84" s="44">
        <f t="shared" si="381"/>
        <v>1</v>
      </c>
      <c r="BK84" s="44">
        <v>3</v>
      </c>
      <c r="BL84" s="44">
        <f t="shared" si="382"/>
        <v>0</v>
      </c>
      <c r="BM84" s="62">
        <v>0</v>
      </c>
      <c r="BN84" s="47" t="str">
        <f t="shared" si="383"/>
        <v>ボンボンドロップシール</v>
      </c>
      <c r="BO84" s="61">
        <f t="shared" si="384"/>
        <v>1500</v>
      </c>
      <c r="BP84" s="44">
        <f t="shared" si="385"/>
        <v>0</v>
      </c>
      <c r="BQ84" s="46">
        <f t="shared" si="386"/>
        <v>0</v>
      </c>
      <c r="BR84" s="29"/>
      <c r="BT84" s="41"/>
      <c r="BU84" s="43"/>
      <c r="BV84" s="61" t="str">
        <f t="shared" si="387"/>
        <v/>
      </c>
      <c r="BW84" s="44"/>
      <c r="BX84" s="44" t="str">
        <f t="shared" si="388"/>
        <v/>
      </c>
      <c r="BY84" s="44"/>
      <c r="BZ84" s="44" t="str">
        <f t="shared" si="389"/>
        <v/>
      </c>
      <c r="CA84" s="62"/>
      <c r="CB84" s="47" t="str">
        <f t="shared" si="390"/>
        <v/>
      </c>
      <c r="CC84" s="61" t="str">
        <f t="shared" si="391"/>
        <v/>
      </c>
      <c r="CD84" s="44" t="str">
        <f t="shared" si="392"/>
        <v/>
      </c>
      <c r="CE84" s="46" t="str">
        <f t="shared" si="393"/>
        <v/>
      </c>
      <c r="CF84" s="29"/>
      <c r="CH84" s="40">
        <f>IF($A105="","",$A105)</f>
        <v>46157</v>
      </c>
      <c r="CI84" s="35">
        <v>32016</v>
      </c>
      <c r="CJ84" s="5">
        <f t="shared" si="293"/>
        <v>44</v>
      </c>
      <c r="CK84" s="5">
        <v>544</v>
      </c>
      <c r="CL84" s="5">
        <f t="shared" si="294"/>
        <v>2</v>
      </c>
      <c r="CM84" s="4">
        <v>33</v>
      </c>
      <c r="CN84" s="48">
        <f t="shared" si="295"/>
        <v>12</v>
      </c>
      <c r="CO84" s="4">
        <v>10</v>
      </c>
      <c r="CP84" s="2" t="str">
        <f t="shared" si="296"/>
        <v>サンリオマスコットポーチ</v>
      </c>
      <c r="CQ84" s="4">
        <f t="shared" si="297"/>
        <v>880</v>
      </c>
      <c r="CR84" s="5">
        <f t="shared" si="298"/>
        <v>10560</v>
      </c>
      <c r="CS84" s="36">
        <f t="shared" si="299"/>
        <v>2.4</v>
      </c>
      <c r="CT84" s="29"/>
      <c r="CV84" s="40">
        <f>IF($A105="","",$A105)</f>
        <v>46157</v>
      </c>
      <c r="CW84" s="35">
        <v>52341</v>
      </c>
      <c r="CX84" s="5">
        <f t="shared" si="300"/>
        <v>9</v>
      </c>
      <c r="CY84" s="5">
        <v>3291</v>
      </c>
      <c r="CZ84" s="5">
        <f t="shared" si="301"/>
        <v>1</v>
      </c>
      <c r="DA84" s="4">
        <v>6</v>
      </c>
      <c r="DB84" s="5">
        <f t="shared" si="302"/>
        <v>1</v>
      </c>
      <c r="DC84" s="4">
        <v>13</v>
      </c>
      <c r="DD84" s="2" t="s">
        <v>363</v>
      </c>
      <c r="DE84" s="4">
        <f t="shared" si="303"/>
        <v>880</v>
      </c>
      <c r="DF84" s="5">
        <f t="shared" si="304"/>
        <v>880</v>
      </c>
      <c r="DG84" s="36">
        <f t="shared" si="305"/>
        <v>0.97777777777777775</v>
      </c>
      <c r="DH84" s="29"/>
      <c r="DJ84" s="40">
        <f>IF($A105="","",$A105)</f>
        <v>46157</v>
      </c>
      <c r="DK84" s="35">
        <v>18137</v>
      </c>
      <c r="DL84" s="5">
        <f t="shared" si="306"/>
        <v>30</v>
      </c>
      <c r="DM84" s="5">
        <v>376</v>
      </c>
      <c r="DN84" s="5">
        <f t="shared" si="307"/>
        <v>1</v>
      </c>
      <c r="DO84" s="4">
        <v>28</v>
      </c>
      <c r="DP84" s="5">
        <f t="shared" si="308"/>
        <v>2</v>
      </c>
      <c r="DQ84" s="4"/>
      <c r="DR84" s="2" t="str">
        <f t="shared" si="394"/>
        <v>お尻プニプニシール</v>
      </c>
      <c r="DS84" s="4">
        <f t="shared" si="395"/>
        <v>220</v>
      </c>
      <c r="DT84" s="5">
        <f t="shared" si="309"/>
        <v>440</v>
      </c>
      <c r="DU84" s="36">
        <f t="shared" si="310"/>
        <v>0.14666666666666667</v>
      </c>
      <c r="DV84" s="29"/>
      <c r="DX84" s="40">
        <f>IF($A105="","",$A105)</f>
        <v>46157</v>
      </c>
      <c r="DY84" s="35">
        <v>17119</v>
      </c>
      <c r="DZ84" s="5">
        <f t="shared" si="311"/>
        <v>107</v>
      </c>
      <c r="EA84" s="5">
        <v>153</v>
      </c>
      <c r="EB84" s="5">
        <f t="shared" si="312"/>
        <v>2</v>
      </c>
      <c r="EC84" s="4">
        <v>17</v>
      </c>
      <c r="ED84" s="48">
        <f t="shared" si="313"/>
        <v>6</v>
      </c>
      <c r="EE84" s="4">
        <v>6</v>
      </c>
      <c r="EF84" s="2" t="str">
        <f t="shared" si="314"/>
        <v>ボンボンドロップシール</v>
      </c>
      <c r="EG84" s="4">
        <f t="shared" si="315"/>
        <v>1500</v>
      </c>
      <c r="EH84" s="5">
        <f t="shared" si="316"/>
        <v>9000</v>
      </c>
      <c r="EI84" s="36">
        <f t="shared" si="317"/>
        <v>0.84112149532710279</v>
      </c>
      <c r="EJ84" s="29"/>
      <c r="EL84" s="40">
        <f>IF($A105="","",$A105)</f>
        <v>46157</v>
      </c>
      <c r="EM84" s="35">
        <v>1590</v>
      </c>
      <c r="EN84" s="5">
        <f t="shared" si="318"/>
        <v>29</v>
      </c>
      <c r="EO84" s="5">
        <v>1090</v>
      </c>
      <c r="EP84" s="5">
        <f t="shared" si="319"/>
        <v>1</v>
      </c>
      <c r="EQ84" s="4">
        <v>54</v>
      </c>
      <c r="ER84" s="5">
        <f t="shared" si="320"/>
        <v>1</v>
      </c>
      <c r="ES84" s="4"/>
      <c r="ET84" s="2" t="str">
        <f t="shared" si="321"/>
        <v>ケース入バタースクイーズ</v>
      </c>
      <c r="EU84" s="4">
        <f t="shared" si="322"/>
        <v>286</v>
      </c>
      <c r="EV84" s="5">
        <f t="shared" si="323"/>
        <v>286</v>
      </c>
      <c r="EW84" s="36">
        <f t="shared" si="324"/>
        <v>9.8620689655172414E-2</v>
      </c>
      <c r="EX84" s="29"/>
      <c r="EZ84" s="40">
        <f>IF($A105="","",$A105)</f>
        <v>46157</v>
      </c>
      <c r="FA84" s="35">
        <v>950</v>
      </c>
      <c r="FB84" s="5">
        <f t="shared" si="325"/>
        <v>8</v>
      </c>
      <c r="FC84" s="5">
        <v>92</v>
      </c>
      <c r="FD84" s="5">
        <f t="shared" si="326"/>
        <v>3</v>
      </c>
      <c r="FE84" s="4">
        <v>51</v>
      </c>
      <c r="FF84" s="48">
        <f t="shared" si="327"/>
        <v>8</v>
      </c>
      <c r="FG84" s="4"/>
      <c r="FH84" s="2" t="str">
        <f t="shared" si="397"/>
        <v>ドーナツスクイーズ</v>
      </c>
      <c r="FI84" s="4">
        <f t="shared" ref="FI84:FI90" si="404">IF(FA84="","",FI83)</f>
        <v>300</v>
      </c>
      <c r="FJ84" s="5">
        <f t="shared" si="329"/>
        <v>2400</v>
      </c>
      <c r="FK84" s="36">
        <f t="shared" si="330"/>
        <v>3</v>
      </c>
      <c r="FL84" s="29" t="s">
        <v>358</v>
      </c>
      <c r="FN84" s="40">
        <f>IF($A105="","",$A105)</f>
        <v>46157</v>
      </c>
      <c r="FO84" s="35">
        <v>1231</v>
      </c>
      <c r="FP84" s="5">
        <f t="shared" si="331"/>
        <v>14</v>
      </c>
      <c r="FQ84" s="5">
        <v>96</v>
      </c>
      <c r="FR84" s="5">
        <f t="shared" si="332"/>
        <v>1</v>
      </c>
      <c r="FS84" s="4">
        <v>38</v>
      </c>
      <c r="FT84" s="48">
        <f t="shared" si="333"/>
        <v>7</v>
      </c>
      <c r="FU84" s="4">
        <v>1</v>
      </c>
      <c r="FV84" s="2" t="str">
        <f t="shared" si="334"/>
        <v>カラビナ付きぬいぐるみファスナーマスコット</v>
      </c>
      <c r="FW84" s="4">
        <f t="shared" ref="FW84:FW90" si="405">IF(FO84="","",FW83)</f>
        <v>660</v>
      </c>
      <c r="FX84" s="5">
        <f t="shared" si="336"/>
        <v>4620</v>
      </c>
      <c r="FY84" s="36">
        <f t="shared" si="337"/>
        <v>3.3</v>
      </c>
      <c r="FZ84" s="29"/>
      <c r="GB84" s="40">
        <f>IF($A105="","",$A105)</f>
        <v>46157</v>
      </c>
      <c r="GC84" s="35">
        <v>903</v>
      </c>
      <c r="GD84" s="5">
        <f t="shared" si="338"/>
        <v>8</v>
      </c>
      <c r="GE84" s="5">
        <v>98</v>
      </c>
      <c r="GF84" s="5">
        <f t="shared" si="339"/>
        <v>2</v>
      </c>
      <c r="GG84" s="4">
        <v>63</v>
      </c>
      <c r="GH84" s="48">
        <f t="shared" si="340"/>
        <v>9</v>
      </c>
      <c r="GI84" s="4"/>
      <c r="GJ84" s="2" t="str">
        <f t="shared" ref="GJ84:GJ96" si="406">IF(GC84="","",GJ83)</f>
        <v>忍者めし鋼</v>
      </c>
      <c r="GK84" s="4">
        <f t="shared" ref="GK84:GK90" si="407">IF(GC84="","",GK83)</f>
        <v>220</v>
      </c>
      <c r="GL84" s="5">
        <f t="shared" si="342"/>
        <v>1980</v>
      </c>
      <c r="GM84" s="36">
        <f t="shared" si="343"/>
        <v>2.4750000000000001</v>
      </c>
      <c r="GN84" s="29"/>
      <c r="GP84" s="40">
        <f>IF($A105="","",$A105)</f>
        <v>46157</v>
      </c>
      <c r="GQ84" s="35">
        <v>86545</v>
      </c>
      <c r="GR84" s="5">
        <f t="shared" si="344"/>
        <v>72</v>
      </c>
      <c r="GS84" s="5">
        <v>3229</v>
      </c>
      <c r="GT84" s="5">
        <f t="shared" si="345"/>
        <v>0</v>
      </c>
      <c r="GU84" s="5">
        <v>3529</v>
      </c>
      <c r="GV84" s="5">
        <f t="shared" si="346"/>
        <v>2</v>
      </c>
      <c r="GW84" s="4">
        <v>15</v>
      </c>
      <c r="GX84" s="5">
        <f t="shared" si="347"/>
        <v>5</v>
      </c>
      <c r="GY84" s="4"/>
      <c r="GZ84" s="2" t="str">
        <f t="shared" si="348"/>
        <v>サンリオ毛布</v>
      </c>
      <c r="HA84" s="4">
        <f t="shared" si="349"/>
        <v>1000</v>
      </c>
      <c r="HB84" s="5">
        <f t="shared" si="350"/>
        <v>5000</v>
      </c>
      <c r="HC84" s="36">
        <f t="shared" si="351"/>
        <v>0.69444444444444442</v>
      </c>
      <c r="HD84" s="29"/>
      <c r="HF84" s="40">
        <f>IF($A105="","",$A105)</f>
        <v>46157</v>
      </c>
      <c r="HG84" s="35">
        <v>61617</v>
      </c>
      <c r="HH84" s="5">
        <f t="shared" si="352"/>
        <v>15</v>
      </c>
      <c r="HI84" s="5"/>
      <c r="HJ84" s="29"/>
      <c r="HL84" s="40">
        <f>IF($A105="","",$A105)</f>
        <v>46157</v>
      </c>
      <c r="HM84" s="35">
        <v>45694</v>
      </c>
      <c r="HN84" s="5">
        <f t="shared" si="353"/>
        <v>5</v>
      </c>
      <c r="HO84" s="5"/>
      <c r="HP84" s="29"/>
      <c r="HR84" s="40">
        <f>IF($A105="","",$A105)</f>
        <v>46157</v>
      </c>
      <c r="HS84" s="35">
        <v>43265</v>
      </c>
      <c r="HT84" s="5">
        <f t="shared" si="354"/>
        <v>23</v>
      </c>
      <c r="HU84" s="5"/>
      <c r="HV84" s="29"/>
    </row>
    <row r="85" spans="1:230" ht="15" customHeight="1" thickTop="1" x14ac:dyDescent="0.2">
      <c r="A85" s="49">
        <v>46139</v>
      </c>
      <c r="B85" s="26">
        <f>SUM(D85:D88)+SUM(R85:R88)+SUM(AF85:AF88)+SUM(AT85:AT88)+SUM(CJ79,CX79,DL79,DZ79,EN79,FB79,FP79,GD79,GR79,HH79,HN79,HT79)+SUM(BH85:BH88)+SUM(BV85:BV86)</f>
        <v>2862</v>
      </c>
      <c r="C85" s="4">
        <v>13528</v>
      </c>
      <c r="D85" s="4">
        <f t="shared" si="355"/>
        <v>51</v>
      </c>
      <c r="E85" s="4">
        <v>351</v>
      </c>
      <c r="F85" s="50">
        <f t="shared" si="356"/>
        <v>1</v>
      </c>
      <c r="G85" s="4">
        <v>8</v>
      </c>
      <c r="H85" s="4">
        <f t="shared" si="357"/>
        <v>2</v>
      </c>
      <c r="I85" s="51">
        <v>0</v>
      </c>
      <c r="J85" s="31" t="str">
        <f t="shared" si="358"/>
        <v>キティダブルミラー</v>
      </c>
      <c r="K85" s="27">
        <f t="shared" si="359"/>
        <v>660</v>
      </c>
      <c r="L85" s="50">
        <f t="shared" si="360"/>
        <v>1320</v>
      </c>
      <c r="M85" s="52">
        <f t="shared" si="361"/>
        <v>0.25882352941176473</v>
      </c>
      <c r="N85" s="29"/>
      <c r="O85" s="30"/>
      <c r="P85" s="53">
        <f>IF($A85="","",$A85)</f>
        <v>46139</v>
      </c>
      <c r="Q85" s="4">
        <v>4262</v>
      </c>
      <c r="R85" s="4">
        <f t="shared" si="362"/>
        <v>81</v>
      </c>
      <c r="S85" s="4">
        <v>195</v>
      </c>
      <c r="T85" s="50">
        <f t="shared" si="363"/>
        <v>1</v>
      </c>
      <c r="U85" s="4">
        <v>3</v>
      </c>
      <c r="V85" s="4">
        <f t="shared" si="364"/>
        <v>1</v>
      </c>
      <c r="W85" s="51">
        <v>0</v>
      </c>
      <c r="X85" s="31" t="str">
        <f t="shared" si="365"/>
        <v>サンリオボアバンスクリップ</v>
      </c>
      <c r="Y85" s="27">
        <f t="shared" si="366"/>
        <v>660</v>
      </c>
      <c r="Z85" s="50">
        <f t="shared" si="367"/>
        <v>660</v>
      </c>
      <c r="AA85" s="52">
        <f t="shared" si="368"/>
        <v>8.1481481481481488E-2</v>
      </c>
      <c r="AB85" s="29"/>
      <c r="AD85" s="53">
        <f>IF($A85="","",$A85)</f>
        <v>46139</v>
      </c>
      <c r="AE85" s="4">
        <v>2161</v>
      </c>
      <c r="AF85" s="4">
        <f t="shared" si="369"/>
        <v>101</v>
      </c>
      <c r="AG85" s="4">
        <v>31</v>
      </c>
      <c r="AH85" s="50">
        <f t="shared" si="370"/>
        <v>2</v>
      </c>
      <c r="AI85" s="4">
        <v>4</v>
      </c>
      <c r="AJ85" s="4">
        <f t="shared" si="371"/>
        <v>1</v>
      </c>
      <c r="AK85" s="51">
        <v>0</v>
      </c>
      <c r="AL85" s="31" t="str">
        <f>IF(AE85="","",AL81)</f>
        <v>キティバンスクリップビッグ</v>
      </c>
      <c r="AM85" s="27">
        <f>IF(AF85="","",AM81)</f>
        <v>462</v>
      </c>
      <c r="AN85" s="50">
        <f t="shared" si="372"/>
        <v>462</v>
      </c>
      <c r="AO85" s="52">
        <f t="shared" si="373"/>
        <v>4.5742574257425742E-2</v>
      </c>
      <c r="AP85" s="29"/>
      <c r="AR85" s="53">
        <f>IF($A85="","",$A85)</f>
        <v>46139</v>
      </c>
      <c r="AS85" s="4">
        <v>1730</v>
      </c>
      <c r="AT85" s="4">
        <f t="shared" si="374"/>
        <v>191</v>
      </c>
      <c r="AU85" s="4">
        <v>41</v>
      </c>
      <c r="AV85" s="50">
        <f t="shared" si="375"/>
        <v>4</v>
      </c>
      <c r="AW85" s="4">
        <v>12</v>
      </c>
      <c r="AX85" s="4">
        <f t="shared" si="376"/>
        <v>4</v>
      </c>
      <c r="AY85" s="51">
        <v>4</v>
      </c>
      <c r="AZ85" s="31" t="str">
        <f t="shared" si="377"/>
        <v>ベアブリック</v>
      </c>
      <c r="BA85" s="27">
        <f t="shared" si="377"/>
        <v>847</v>
      </c>
      <c r="BB85" s="50">
        <f t="shared" si="378"/>
        <v>3388</v>
      </c>
      <c r="BC85" s="52">
        <f t="shared" si="379"/>
        <v>0.17738219895287957</v>
      </c>
      <c r="BD85" s="29"/>
      <c r="BE85" s="32"/>
      <c r="BF85" s="33">
        <f>IF($A85="","",$A85)</f>
        <v>46139</v>
      </c>
      <c r="BG85" s="4">
        <v>3197</v>
      </c>
      <c r="BH85" s="4">
        <f t="shared" si="380"/>
        <v>170</v>
      </c>
      <c r="BI85" s="4">
        <v>29</v>
      </c>
      <c r="BJ85" s="50">
        <f t="shared" si="381"/>
        <v>2</v>
      </c>
      <c r="BK85" s="4">
        <v>2</v>
      </c>
      <c r="BL85" s="4">
        <f t="shared" si="382"/>
        <v>1</v>
      </c>
      <c r="BM85" s="51">
        <v>1</v>
      </c>
      <c r="BN85" s="31" t="str">
        <f t="shared" si="383"/>
        <v>ボンボンドロップシール</v>
      </c>
      <c r="BO85" s="27">
        <f t="shared" si="384"/>
        <v>1500</v>
      </c>
      <c r="BP85" s="50">
        <f t="shared" si="385"/>
        <v>1500</v>
      </c>
      <c r="BQ85" s="52">
        <f t="shared" si="386"/>
        <v>8.8235294117647065E-2</v>
      </c>
      <c r="BR85" s="29"/>
      <c r="BT85" s="33">
        <f>IF($A85="","",$A85)</f>
        <v>46139</v>
      </c>
      <c r="BU85" s="4">
        <v>35967</v>
      </c>
      <c r="BV85" s="4">
        <f t="shared" si="387"/>
        <v>41</v>
      </c>
      <c r="BW85" s="4">
        <v>3882</v>
      </c>
      <c r="BX85" s="50">
        <f t="shared" si="388"/>
        <v>4</v>
      </c>
      <c r="BY85" s="4">
        <v>44</v>
      </c>
      <c r="BZ85" s="4">
        <f t="shared" si="389"/>
        <v>4</v>
      </c>
      <c r="CA85" s="51">
        <v>8</v>
      </c>
      <c r="CB85" s="31" t="str">
        <f t="shared" si="390"/>
        <v>ベイビースリーフェイス</v>
      </c>
      <c r="CC85" s="27">
        <f t="shared" si="391"/>
        <v>1050</v>
      </c>
      <c r="CD85" s="50">
        <f t="shared" si="392"/>
        <v>4200</v>
      </c>
      <c r="CE85" s="52">
        <f t="shared" si="393"/>
        <v>1.024390243902439</v>
      </c>
      <c r="CF85" s="29"/>
      <c r="CH85" s="40" t="str">
        <f>IF($A109="","",$A109)</f>
        <v/>
      </c>
      <c r="CI85" s="35"/>
      <c r="CJ85" s="5"/>
      <c r="CK85" s="5"/>
      <c r="CL85" s="5"/>
      <c r="CM85" s="4"/>
      <c r="CN85" s="5"/>
      <c r="CO85" s="4"/>
      <c r="CP85" s="2"/>
      <c r="CQ85" s="4"/>
      <c r="CR85" s="5"/>
      <c r="CS85" s="36"/>
      <c r="CT85" s="63"/>
      <c r="CV85" s="40"/>
      <c r="CW85" s="35"/>
      <c r="CX85" s="5"/>
      <c r="CY85" s="5"/>
      <c r="CZ85" s="5"/>
      <c r="DA85" s="4"/>
      <c r="DB85" s="5"/>
      <c r="DC85" s="4"/>
      <c r="DD85" s="2"/>
      <c r="DE85" s="4"/>
      <c r="DF85" s="5"/>
      <c r="DG85" s="36"/>
      <c r="DH85" s="63"/>
      <c r="DJ85" s="40"/>
      <c r="DK85" s="35"/>
      <c r="DL85" s="5"/>
      <c r="DM85" s="5"/>
      <c r="DN85" s="5"/>
      <c r="DO85" s="4"/>
      <c r="DP85" s="5"/>
      <c r="DQ85" s="4"/>
      <c r="DR85" s="2"/>
      <c r="DS85" s="4"/>
      <c r="DT85" s="5"/>
      <c r="DU85" s="36"/>
      <c r="DV85" s="63"/>
      <c r="DX85" s="40"/>
      <c r="DY85" s="35"/>
      <c r="DZ85" s="5"/>
      <c r="EA85" s="5"/>
      <c r="EB85" s="5"/>
      <c r="EC85" s="4"/>
      <c r="ED85" s="5"/>
      <c r="EE85" s="4"/>
      <c r="EF85" s="2"/>
      <c r="EG85" s="4"/>
      <c r="EH85" s="5"/>
      <c r="EI85" s="36"/>
      <c r="EJ85" s="63"/>
      <c r="EL85" s="40"/>
      <c r="EM85" s="35"/>
      <c r="EN85" s="5"/>
      <c r="EO85" s="5"/>
      <c r="EP85" s="5"/>
      <c r="EQ85" s="4"/>
      <c r="ER85" s="5"/>
      <c r="ES85" s="4"/>
      <c r="ET85" s="2"/>
      <c r="EU85" s="4"/>
      <c r="EV85" s="5"/>
      <c r="EW85" s="36"/>
      <c r="EX85" s="63"/>
      <c r="EZ85" s="40"/>
      <c r="FA85" s="35"/>
      <c r="FB85" s="5"/>
      <c r="FC85" s="5"/>
      <c r="FD85" s="5"/>
      <c r="FE85" s="4"/>
      <c r="FF85" s="5"/>
      <c r="FG85" s="4"/>
      <c r="FH85" s="2"/>
      <c r="FI85" s="4"/>
      <c r="FJ85" s="5"/>
      <c r="FK85" s="36"/>
      <c r="FL85" s="63"/>
      <c r="FN85" s="40"/>
      <c r="FO85" s="35"/>
      <c r="FP85" s="5"/>
      <c r="FQ85" s="5"/>
      <c r="FR85" s="5"/>
      <c r="FS85" s="4"/>
      <c r="FT85" s="5"/>
      <c r="FU85" s="4"/>
      <c r="FV85" s="2"/>
      <c r="FW85" s="4"/>
      <c r="FX85" s="5"/>
      <c r="FY85" s="36"/>
      <c r="FZ85" s="63"/>
      <c r="GB85" s="40"/>
      <c r="GC85" s="35"/>
      <c r="GD85" s="5"/>
      <c r="GE85" s="5"/>
      <c r="GF85" s="5"/>
      <c r="GG85" s="4"/>
      <c r="GH85" s="5"/>
      <c r="GI85" s="4"/>
      <c r="GJ85" s="2"/>
      <c r="GK85" s="4"/>
      <c r="GL85" s="5"/>
      <c r="GM85" s="36"/>
      <c r="GN85" s="63"/>
      <c r="GP85" s="40"/>
      <c r="GQ85" s="35"/>
      <c r="GR85" s="5"/>
      <c r="GS85" s="5"/>
      <c r="GT85" s="5"/>
      <c r="GU85" s="5"/>
      <c r="GV85" s="5"/>
      <c r="GW85" s="4"/>
      <c r="GX85" s="5"/>
      <c r="GY85" s="4"/>
      <c r="GZ85" s="2"/>
      <c r="HA85" s="4"/>
      <c r="HB85" s="5"/>
      <c r="HC85" s="36"/>
      <c r="HD85" s="63"/>
      <c r="HF85" s="40"/>
      <c r="HG85" s="35"/>
      <c r="HH85" s="5"/>
      <c r="HI85" s="5"/>
      <c r="HJ85" s="63"/>
      <c r="HL85" s="40"/>
      <c r="HM85" s="35"/>
      <c r="HN85" s="5"/>
      <c r="HO85" s="5"/>
      <c r="HP85" s="63"/>
      <c r="HR85" s="40"/>
      <c r="HS85" s="35"/>
      <c r="HT85" s="5"/>
      <c r="HU85" s="5"/>
      <c r="HV85" s="63"/>
    </row>
    <row r="86" spans="1:230" x14ac:dyDescent="0.2">
      <c r="A86" s="54"/>
      <c r="B86" s="26"/>
      <c r="C86" s="4">
        <v>17138</v>
      </c>
      <c r="D86" s="5">
        <f t="shared" si="355"/>
        <v>76</v>
      </c>
      <c r="E86" s="5">
        <v>533</v>
      </c>
      <c r="F86" s="5">
        <f t="shared" si="356"/>
        <v>3</v>
      </c>
      <c r="G86" s="5">
        <v>6</v>
      </c>
      <c r="H86" s="5">
        <f t="shared" si="357"/>
        <v>5</v>
      </c>
      <c r="I86" s="35">
        <v>5</v>
      </c>
      <c r="J86" s="38" t="str">
        <f t="shared" si="358"/>
        <v>サンリオカラビナ付きミニファン</v>
      </c>
      <c r="K86" s="39">
        <f t="shared" si="359"/>
        <v>1100</v>
      </c>
      <c r="L86" s="5">
        <f t="shared" si="360"/>
        <v>5500</v>
      </c>
      <c r="M86" s="36">
        <f t="shared" si="361"/>
        <v>0.72368421052631582</v>
      </c>
      <c r="N86" s="29" t="s">
        <v>220</v>
      </c>
      <c r="O86" s="30"/>
      <c r="P86" s="25"/>
      <c r="Q86" s="4">
        <v>10914</v>
      </c>
      <c r="R86" s="5">
        <f t="shared" si="362"/>
        <v>64</v>
      </c>
      <c r="S86" s="5">
        <v>186</v>
      </c>
      <c r="T86" s="5">
        <f t="shared" si="363"/>
        <v>1</v>
      </c>
      <c r="U86" s="5">
        <v>8</v>
      </c>
      <c r="V86" s="5">
        <f t="shared" si="364"/>
        <v>1</v>
      </c>
      <c r="W86" s="35">
        <v>0</v>
      </c>
      <c r="X86" s="38" t="str">
        <f t="shared" si="365"/>
        <v>サンリオヘアバンド</v>
      </c>
      <c r="Y86" s="39">
        <f t="shared" si="366"/>
        <v>825</v>
      </c>
      <c r="Z86" s="5">
        <f t="shared" si="367"/>
        <v>825</v>
      </c>
      <c r="AA86" s="36">
        <f t="shared" si="368"/>
        <v>0.12890625</v>
      </c>
      <c r="AB86" s="29"/>
      <c r="AD86" s="25"/>
      <c r="AE86" s="4">
        <v>1921</v>
      </c>
      <c r="AF86" s="5">
        <f t="shared" si="369"/>
        <v>39</v>
      </c>
      <c r="AG86" s="5">
        <v>32</v>
      </c>
      <c r="AH86" s="5">
        <f t="shared" si="370"/>
        <v>0</v>
      </c>
      <c r="AI86" s="5">
        <v>55</v>
      </c>
      <c r="AJ86" s="5">
        <f t="shared" si="371"/>
        <v>0</v>
      </c>
      <c r="AK86" s="35">
        <v>0</v>
      </c>
      <c r="AL86" s="38" t="s">
        <v>13</v>
      </c>
      <c r="AM86" s="39">
        <v>292</v>
      </c>
      <c r="AN86" s="5">
        <f t="shared" si="372"/>
        <v>0</v>
      </c>
      <c r="AO86" s="36">
        <f t="shared" si="373"/>
        <v>0</v>
      </c>
      <c r="AP86" s="29"/>
      <c r="AR86" s="25"/>
      <c r="AS86" s="4">
        <v>1527</v>
      </c>
      <c r="AT86" s="5">
        <f t="shared" si="374"/>
        <v>68</v>
      </c>
      <c r="AU86" s="5">
        <v>3</v>
      </c>
      <c r="AV86" s="5">
        <f t="shared" si="375"/>
        <v>0</v>
      </c>
      <c r="AW86" s="5">
        <v>10</v>
      </c>
      <c r="AX86" s="5">
        <f t="shared" si="376"/>
        <v>0</v>
      </c>
      <c r="AY86" s="35">
        <v>0</v>
      </c>
      <c r="AZ86" s="38" t="str">
        <f t="shared" si="377"/>
        <v>ゲーム機イヤホン</v>
      </c>
      <c r="BA86" s="39">
        <f t="shared" si="377"/>
        <v>770</v>
      </c>
      <c r="BB86" s="5">
        <f t="shared" si="378"/>
        <v>0</v>
      </c>
      <c r="BC86" s="36">
        <f t="shared" si="379"/>
        <v>0</v>
      </c>
      <c r="BD86" s="29"/>
      <c r="BE86" s="32"/>
      <c r="BF86" s="25"/>
      <c r="BG86" s="4">
        <v>4958</v>
      </c>
      <c r="BH86" s="5">
        <f t="shared" si="380"/>
        <v>63</v>
      </c>
      <c r="BI86" s="5">
        <v>43</v>
      </c>
      <c r="BJ86" s="5">
        <f t="shared" si="381"/>
        <v>1</v>
      </c>
      <c r="BK86" s="5">
        <v>3</v>
      </c>
      <c r="BL86" s="5">
        <f t="shared" si="382"/>
        <v>0</v>
      </c>
      <c r="BM86" s="35">
        <v>0</v>
      </c>
      <c r="BN86" s="38" t="str">
        <f t="shared" si="383"/>
        <v>ボンボンドロップシール</v>
      </c>
      <c r="BO86" s="39">
        <f t="shared" si="384"/>
        <v>1500</v>
      </c>
      <c r="BP86" s="5">
        <f t="shared" si="385"/>
        <v>0</v>
      </c>
      <c r="BQ86" s="36">
        <f t="shared" si="386"/>
        <v>0</v>
      </c>
      <c r="BR86" s="29"/>
      <c r="BT86" s="25"/>
      <c r="BU86" s="4">
        <v>31909</v>
      </c>
      <c r="BV86" s="5">
        <f t="shared" si="387"/>
        <v>48</v>
      </c>
      <c r="BW86" s="5">
        <v>1686</v>
      </c>
      <c r="BX86" s="5">
        <f t="shared" si="388"/>
        <v>2</v>
      </c>
      <c r="BY86" s="5">
        <v>33</v>
      </c>
      <c r="BZ86" s="5">
        <f t="shared" si="389"/>
        <v>2</v>
      </c>
      <c r="CA86" s="35">
        <v>0</v>
      </c>
      <c r="CB86" s="38" t="str">
        <f t="shared" si="390"/>
        <v>サンリオボアポーチ</v>
      </c>
      <c r="CC86" s="39">
        <f t="shared" si="391"/>
        <v>950</v>
      </c>
      <c r="CD86" s="5">
        <f t="shared" si="392"/>
        <v>1900</v>
      </c>
      <c r="CE86" s="36">
        <f t="shared" si="393"/>
        <v>0.39583333333333331</v>
      </c>
      <c r="CF86" s="29"/>
      <c r="CH86" s="40" t="str">
        <f>IF($A113="","",$A113)</f>
        <v/>
      </c>
      <c r="CI86" s="35"/>
      <c r="CJ86" s="5"/>
      <c r="CK86" s="5"/>
      <c r="CL86" s="5"/>
      <c r="CM86" s="5"/>
      <c r="CN86" s="5"/>
      <c r="CO86" s="5"/>
      <c r="CP86" s="2"/>
      <c r="CQ86" s="4"/>
      <c r="CR86" s="5"/>
      <c r="CS86" s="36"/>
      <c r="CT86" s="63"/>
      <c r="CV86" s="40"/>
      <c r="CW86" s="35"/>
      <c r="CX86" s="5"/>
      <c r="CY86" s="5"/>
      <c r="CZ86" s="5"/>
      <c r="DA86" s="5"/>
      <c r="DB86" s="5"/>
      <c r="DC86" s="5"/>
      <c r="DD86" s="2"/>
      <c r="DE86" s="4"/>
      <c r="DF86" s="5"/>
      <c r="DG86" s="36"/>
      <c r="DH86" s="63"/>
      <c r="DJ86" s="40"/>
      <c r="DK86" s="35"/>
      <c r="DL86" s="5"/>
      <c r="DM86" s="5"/>
      <c r="DN86" s="5"/>
      <c r="DO86" s="5"/>
      <c r="DP86" s="5"/>
      <c r="DQ86" s="5"/>
      <c r="DR86" s="2"/>
      <c r="DS86" s="4"/>
      <c r="DT86" s="5"/>
      <c r="DU86" s="36"/>
      <c r="DV86" s="63"/>
      <c r="DX86" s="40"/>
      <c r="DY86" s="35"/>
      <c r="DZ86" s="5"/>
      <c r="EA86" s="5"/>
      <c r="EB86" s="5"/>
      <c r="EC86" s="5"/>
      <c r="ED86" s="5"/>
      <c r="EE86" s="5"/>
      <c r="EF86" s="2"/>
      <c r="EG86" s="4"/>
      <c r="EH86" s="5"/>
      <c r="EI86" s="36"/>
      <c r="EJ86" s="63"/>
      <c r="EL86" s="40"/>
      <c r="EM86" s="35"/>
      <c r="EN86" s="5"/>
      <c r="EO86" s="5"/>
      <c r="EP86" s="5"/>
      <c r="EQ86" s="5"/>
      <c r="ER86" s="5"/>
      <c r="ES86" s="5"/>
      <c r="ET86" s="2"/>
      <c r="EU86" s="4"/>
      <c r="EV86" s="5"/>
      <c r="EW86" s="36"/>
      <c r="EX86" s="63"/>
      <c r="EZ86" s="40"/>
      <c r="FA86" s="35"/>
      <c r="FB86" s="5"/>
      <c r="FC86" s="5"/>
      <c r="FD86" s="5"/>
      <c r="FE86" s="5"/>
      <c r="FF86" s="5"/>
      <c r="FG86" s="5"/>
      <c r="FH86" s="2"/>
      <c r="FI86" s="4"/>
      <c r="FJ86" s="5"/>
      <c r="FK86" s="36"/>
      <c r="FL86" s="63"/>
      <c r="FN86" s="40"/>
      <c r="FO86" s="35"/>
      <c r="FP86" s="5"/>
      <c r="FQ86" s="5"/>
      <c r="FR86" s="5"/>
      <c r="FS86" s="5"/>
      <c r="FT86" s="5"/>
      <c r="FU86" s="5"/>
      <c r="FV86" s="2"/>
      <c r="FW86" s="4"/>
      <c r="FX86" s="5"/>
      <c r="FY86" s="36"/>
      <c r="FZ86" s="63"/>
      <c r="GB86" s="40"/>
      <c r="GC86" s="35"/>
      <c r="GD86" s="5"/>
      <c r="GE86" s="5"/>
      <c r="GF86" s="5"/>
      <c r="GG86" s="5"/>
      <c r="GH86" s="5"/>
      <c r="GI86" s="5"/>
      <c r="GJ86" s="2"/>
      <c r="GK86" s="4"/>
      <c r="GL86" s="5"/>
      <c r="GM86" s="36"/>
      <c r="GN86" s="63"/>
      <c r="GP86" s="40"/>
      <c r="GQ86" s="35"/>
      <c r="GR86" s="5"/>
      <c r="GS86" s="5"/>
      <c r="GT86" s="5"/>
      <c r="GU86" s="5"/>
      <c r="GV86" s="5"/>
      <c r="GW86" s="5"/>
      <c r="GX86" s="5"/>
      <c r="GY86" s="5"/>
      <c r="GZ86" s="2"/>
      <c r="HA86" s="4"/>
      <c r="HB86" s="5"/>
      <c r="HC86" s="36"/>
      <c r="HD86" s="63"/>
      <c r="HF86" s="40"/>
      <c r="HG86" s="35"/>
      <c r="HH86" s="5"/>
      <c r="HI86" s="5"/>
      <c r="HJ86" s="63"/>
      <c r="HL86" s="40"/>
      <c r="HM86" s="35"/>
      <c r="HN86" s="5"/>
      <c r="HO86" s="5"/>
      <c r="HP86" s="63"/>
      <c r="HR86" s="40"/>
      <c r="HS86" s="35"/>
      <c r="HT86" s="5"/>
      <c r="HU86" s="5"/>
      <c r="HV86" s="63"/>
    </row>
    <row r="87" spans="1:230" x14ac:dyDescent="0.2">
      <c r="A87" s="54"/>
      <c r="B87" s="64"/>
      <c r="C87" s="57">
        <v>18827</v>
      </c>
      <c r="D87" s="5">
        <f t="shared" si="355"/>
        <v>100</v>
      </c>
      <c r="E87" s="5">
        <v>655</v>
      </c>
      <c r="F87" s="5">
        <f t="shared" si="356"/>
        <v>1</v>
      </c>
      <c r="G87" s="5">
        <v>5</v>
      </c>
      <c r="H87" s="5">
        <f t="shared" si="357"/>
        <v>0</v>
      </c>
      <c r="I87" s="35">
        <v>3</v>
      </c>
      <c r="J87" s="38" t="str">
        <f t="shared" si="358"/>
        <v>たまごっちブロックシール</v>
      </c>
      <c r="K87" s="5">
        <f t="shared" si="359"/>
        <v>600</v>
      </c>
      <c r="L87" s="5">
        <f t="shared" si="360"/>
        <v>0</v>
      </c>
      <c r="M87" s="36">
        <f t="shared" si="361"/>
        <v>0</v>
      </c>
      <c r="N87" s="29"/>
      <c r="O87" s="30"/>
      <c r="P87" s="25"/>
      <c r="Q87" s="57">
        <v>10532</v>
      </c>
      <c r="R87" s="5">
        <f t="shared" si="362"/>
        <v>54</v>
      </c>
      <c r="S87" s="5">
        <v>283</v>
      </c>
      <c r="T87" s="5">
        <f t="shared" si="363"/>
        <v>0</v>
      </c>
      <c r="U87" s="5">
        <v>12</v>
      </c>
      <c r="V87" s="5">
        <f t="shared" si="364"/>
        <v>2</v>
      </c>
      <c r="W87" s="35">
        <v>2</v>
      </c>
      <c r="X87" s="38" t="str">
        <f t="shared" si="365"/>
        <v>キララメシールバインダー</v>
      </c>
      <c r="Y87" s="5">
        <f t="shared" si="366"/>
        <v>638</v>
      </c>
      <c r="Z87" s="5">
        <f t="shared" si="367"/>
        <v>1276</v>
      </c>
      <c r="AA87" s="36">
        <f t="shared" si="368"/>
        <v>0.23629629629629631</v>
      </c>
      <c r="AB87" s="29"/>
      <c r="AD87" s="25"/>
      <c r="AE87" s="57">
        <v>1521</v>
      </c>
      <c r="AF87" s="5">
        <f t="shared" si="369"/>
        <v>68</v>
      </c>
      <c r="AG87" s="5">
        <v>34</v>
      </c>
      <c r="AH87" s="5">
        <f t="shared" si="370"/>
        <v>1</v>
      </c>
      <c r="AI87" s="5">
        <v>18</v>
      </c>
      <c r="AJ87" s="5">
        <f t="shared" si="371"/>
        <v>1</v>
      </c>
      <c r="AK87" s="35">
        <v>0</v>
      </c>
      <c r="AL87" s="38" t="str">
        <f>IF(AE87="","",AL83)</f>
        <v>たまごっちマスコット</v>
      </c>
      <c r="AM87" s="5">
        <f>IF(AF87="","",AM83)</f>
        <v>1430</v>
      </c>
      <c r="AN87" s="5">
        <f t="shared" si="372"/>
        <v>1430</v>
      </c>
      <c r="AO87" s="36">
        <f t="shared" si="373"/>
        <v>0.21029411764705883</v>
      </c>
      <c r="AP87" s="29"/>
      <c r="AR87" s="25"/>
      <c r="AS87" s="57">
        <v>1082</v>
      </c>
      <c r="AT87" s="5">
        <f t="shared" si="374"/>
        <v>53</v>
      </c>
      <c r="AU87" s="5">
        <v>6</v>
      </c>
      <c r="AV87" s="5">
        <f t="shared" si="375"/>
        <v>5</v>
      </c>
      <c r="AW87" s="5">
        <v>14</v>
      </c>
      <c r="AX87" s="5">
        <f t="shared" si="376"/>
        <v>6</v>
      </c>
      <c r="AY87" s="35">
        <v>7</v>
      </c>
      <c r="AZ87" s="38" t="s">
        <v>219</v>
      </c>
      <c r="BA87" s="5"/>
      <c r="BB87" s="5">
        <f t="shared" si="378"/>
        <v>0</v>
      </c>
      <c r="BC87" s="36">
        <f t="shared" si="379"/>
        <v>0</v>
      </c>
      <c r="BD87" s="29"/>
      <c r="BE87" s="32"/>
      <c r="BF87" s="25"/>
      <c r="BG87" s="57">
        <v>2573</v>
      </c>
      <c r="BH87" s="5">
        <f t="shared" si="380"/>
        <v>165</v>
      </c>
      <c r="BI87" s="5">
        <v>23</v>
      </c>
      <c r="BJ87" s="5">
        <f t="shared" si="381"/>
        <v>1</v>
      </c>
      <c r="BK87" s="5">
        <v>3</v>
      </c>
      <c r="BL87" s="5">
        <f t="shared" si="382"/>
        <v>0</v>
      </c>
      <c r="BM87" s="35">
        <v>0</v>
      </c>
      <c r="BN87" s="38" t="str">
        <f t="shared" si="383"/>
        <v>ボンボンドロップシール</v>
      </c>
      <c r="BO87" s="5">
        <f t="shared" si="384"/>
        <v>1500</v>
      </c>
      <c r="BP87" s="5">
        <f t="shared" si="385"/>
        <v>0</v>
      </c>
      <c r="BQ87" s="36">
        <f t="shared" si="386"/>
        <v>0</v>
      </c>
      <c r="BR87" s="29"/>
      <c r="BT87" s="25"/>
      <c r="BU87" s="57"/>
      <c r="BV87" s="5" t="str">
        <f t="shared" si="387"/>
        <v/>
      </c>
      <c r="BW87" s="5"/>
      <c r="BX87" s="5" t="str">
        <f t="shared" si="388"/>
        <v/>
      </c>
      <c r="BY87" s="5"/>
      <c r="BZ87" s="5" t="str">
        <f t="shared" si="389"/>
        <v/>
      </c>
      <c r="CA87" s="35"/>
      <c r="CB87" s="38" t="str">
        <f t="shared" si="390"/>
        <v/>
      </c>
      <c r="CC87" s="5" t="str">
        <f t="shared" si="391"/>
        <v/>
      </c>
      <c r="CD87" s="5" t="str">
        <f t="shared" si="392"/>
        <v/>
      </c>
      <c r="CE87" s="36" t="str">
        <f t="shared" si="393"/>
        <v/>
      </c>
      <c r="CF87" s="29"/>
      <c r="CH87" s="40" t="str">
        <f>IF($A117="","",$A117)</f>
        <v/>
      </c>
      <c r="CI87" s="35"/>
      <c r="CJ87" s="5" t="str">
        <f t="shared" si="293"/>
        <v/>
      </c>
      <c r="CK87" s="5"/>
      <c r="CL87" s="5" t="str">
        <f t="shared" si="294"/>
        <v/>
      </c>
      <c r="CM87" s="5"/>
      <c r="CN87" s="5" t="str">
        <f t="shared" si="295"/>
        <v/>
      </c>
      <c r="CO87" s="5"/>
      <c r="CP87" s="2" t="str">
        <f t="shared" si="296"/>
        <v/>
      </c>
      <c r="CQ87" s="4" t="str">
        <f t="shared" si="297"/>
        <v/>
      </c>
      <c r="CR87" s="5" t="str">
        <f t="shared" si="298"/>
        <v/>
      </c>
      <c r="CS87" s="36" t="str">
        <f t="shared" si="299"/>
        <v/>
      </c>
      <c r="CT87" s="63"/>
      <c r="CV87" s="40" t="str">
        <f>IF($A117="","",$A117)</f>
        <v/>
      </c>
      <c r="CW87" s="35"/>
      <c r="CX87" s="5" t="str">
        <f t="shared" si="300"/>
        <v/>
      </c>
      <c r="CY87" s="5"/>
      <c r="CZ87" s="5" t="str">
        <f t="shared" si="301"/>
        <v/>
      </c>
      <c r="DA87" s="5"/>
      <c r="DB87" s="5" t="str">
        <f t="shared" si="302"/>
        <v/>
      </c>
      <c r="DC87" s="5"/>
      <c r="DD87" s="2" t="str">
        <f t="shared" si="396"/>
        <v/>
      </c>
      <c r="DE87" s="4" t="str">
        <f t="shared" si="303"/>
        <v/>
      </c>
      <c r="DF87" s="5" t="str">
        <f t="shared" si="304"/>
        <v/>
      </c>
      <c r="DG87" s="36" t="str">
        <f t="shared" si="305"/>
        <v/>
      </c>
      <c r="DH87" s="63"/>
      <c r="DJ87" s="40" t="str">
        <f>IF($A117="","",$A117)</f>
        <v/>
      </c>
      <c r="DK87" s="35"/>
      <c r="DL87" s="5" t="str">
        <f t="shared" si="306"/>
        <v/>
      </c>
      <c r="DM87" s="5"/>
      <c r="DN87" s="5" t="str">
        <f t="shared" si="307"/>
        <v/>
      </c>
      <c r="DO87" s="5"/>
      <c r="DP87" s="5" t="str">
        <f t="shared" si="308"/>
        <v/>
      </c>
      <c r="DQ87" s="5"/>
      <c r="DR87" s="2" t="str">
        <f t="shared" si="394"/>
        <v/>
      </c>
      <c r="DS87" s="4" t="str">
        <f t="shared" si="395"/>
        <v/>
      </c>
      <c r="DT87" s="5" t="str">
        <f t="shared" si="309"/>
        <v/>
      </c>
      <c r="DU87" s="36" t="str">
        <f t="shared" si="310"/>
        <v/>
      </c>
      <c r="DV87" s="63"/>
      <c r="DX87" s="40" t="str">
        <f>IF($A117="","",$A117)</f>
        <v/>
      </c>
      <c r="DY87" s="35"/>
      <c r="DZ87" s="5" t="str">
        <f t="shared" si="311"/>
        <v/>
      </c>
      <c r="EA87" s="5"/>
      <c r="EB87" s="5" t="str">
        <f t="shared" si="312"/>
        <v/>
      </c>
      <c r="EC87" s="5"/>
      <c r="ED87" s="5" t="str">
        <f t="shared" si="313"/>
        <v/>
      </c>
      <c r="EE87" s="5"/>
      <c r="EF87" s="2" t="str">
        <f t="shared" si="314"/>
        <v/>
      </c>
      <c r="EG87" s="4" t="str">
        <f t="shared" si="315"/>
        <v/>
      </c>
      <c r="EH87" s="5" t="str">
        <f t="shared" si="316"/>
        <v/>
      </c>
      <c r="EI87" s="36" t="str">
        <f t="shared" si="317"/>
        <v/>
      </c>
      <c r="EJ87" s="63"/>
      <c r="EL87" s="40" t="str">
        <f>IF($A117="","",$A117)</f>
        <v/>
      </c>
      <c r="EM87" s="35"/>
      <c r="EN87" s="5" t="str">
        <f t="shared" si="318"/>
        <v/>
      </c>
      <c r="EO87" s="5"/>
      <c r="EP87" s="5" t="str">
        <f t="shared" si="319"/>
        <v/>
      </c>
      <c r="EQ87" s="5"/>
      <c r="ER87" s="5" t="str">
        <f t="shared" si="320"/>
        <v/>
      </c>
      <c r="ES87" s="5"/>
      <c r="ET87" s="2" t="str">
        <f t="shared" si="321"/>
        <v/>
      </c>
      <c r="EU87" s="4" t="str">
        <f t="shared" si="322"/>
        <v/>
      </c>
      <c r="EV87" s="5" t="str">
        <f t="shared" si="323"/>
        <v/>
      </c>
      <c r="EW87" s="36" t="str">
        <f t="shared" si="324"/>
        <v/>
      </c>
      <c r="EX87" s="63"/>
      <c r="EZ87" s="40" t="str">
        <f>IF($A117="","",$A117)</f>
        <v/>
      </c>
      <c r="FA87" s="35"/>
      <c r="FB87" s="5" t="str">
        <f t="shared" si="325"/>
        <v/>
      </c>
      <c r="FC87" s="5"/>
      <c r="FD87" s="5" t="str">
        <f t="shared" si="326"/>
        <v/>
      </c>
      <c r="FE87" s="5"/>
      <c r="FF87" s="5" t="str">
        <f t="shared" si="327"/>
        <v/>
      </c>
      <c r="FG87" s="5"/>
      <c r="FH87" s="2" t="str">
        <f t="shared" si="397"/>
        <v/>
      </c>
      <c r="FI87" s="4" t="str">
        <f t="shared" si="404"/>
        <v/>
      </c>
      <c r="FJ87" s="5" t="str">
        <f t="shared" si="329"/>
        <v/>
      </c>
      <c r="FK87" s="36" t="str">
        <f t="shared" si="330"/>
        <v/>
      </c>
      <c r="FL87" s="63"/>
      <c r="FN87" s="40" t="str">
        <f>IF($A117="","",$A117)</f>
        <v/>
      </c>
      <c r="FO87" s="35"/>
      <c r="FP87" s="5" t="str">
        <f t="shared" si="331"/>
        <v/>
      </c>
      <c r="FQ87" s="5"/>
      <c r="FR87" s="5" t="str">
        <f t="shared" si="332"/>
        <v/>
      </c>
      <c r="FS87" s="5"/>
      <c r="FT87" s="5" t="str">
        <f t="shared" si="333"/>
        <v/>
      </c>
      <c r="FU87" s="5"/>
      <c r="FV87" s="2" t="str">
        <f t="shared" si="334"/>
        <v/>
      </c>
      <c r="FW87" s="4" t="str">
        <f t="shared" si="405"/>
        <v/>
      </c>
      <c r="FX87" s="5" t="str">
        <f t="shared" si="336"/>
        <v/>
      </c>
      <c r="FY87" s="36" t="str">
        <f t="shared" si="337"/>
        <v/>
      </c>
      <c r="FZ87" s="63"/>
      <c r="GB87" s="40" t="str">
        <f>IF($A117="","",$A117)</f>
        <v/>
      </c>
      <c r="GC87" s="35"/>
      <c r="GD87" s="5" t="str">
        <f t="shared" si="338"/>
        <v/>
      </c>
      <c r="GE87" s="5"/>
      <c r="GF87" s="5" t="str">
        <f t="shared" si="339"/>
        <v/>
      </c>
      <c r="GG87" s="5"/>
      <c r="GH87" s="5" t="str">
        <f t="shared" si="340"/>
        <v/>
      </c>
      <c r="GI87" s="5"/>
      <c r="GJ87" s="2" t="str">
        <f t="shared" si="406"/>
        <v/>
      </c>
      <c r="GK87" s="4" t="str">
        <f t="shared" si="407"/>
        <v/>
      </c>
      <c r="GL87" s="5" t="str">
        <f t="shared" si="342"/>
        <v/>
      </c>
      <c r="GM87" s="36" t="str">
        <f t="shared" si="343"/>
        <v/>
      </c>
      <c r="GN87" s="63"/>
      <c r="GP87" s="40" t="str">
        <f>IF($A117="","",$A117)</f>
        <v/>
      </c>
      <c r="GQ87" s="35"/>
      <c r="GR87" s="5" t="str">
        <f t="shared" si="344"/>
        <v/>
      </c>
      <c r="GS87" s="5"/>
      <c r="GT87" s="5" t="str">
        <f t="shared" si="345"/>
        <v/>
      </c>
      <c r="GU87" s="5"/>
      <c r="GV87" s="5" t="str">
        <f t="shared" si="346"/>
        <v/>
      </c>
      <c r="GW87" s="5"/>
      <c r="GX87" s="5" t="str">
        <f t="shared" si="347"/>
        <v/>
      </c>
      <c r="GY87" s="5"/>
      <c r="GZ87" s="2" t="str">
        <f t="shared" si="348"/>
        <v/>
      </c>
      <c r="HA87" s="4" t="str">
        <f t="shared" si="349"/>
        <v/>
      </c>
      <c r="HB87" s="5" t="str">
        <f t="shared" si="350"/>
        <v/>
      </c>
      <c r="HC87" s="36" t="str">
        <f t="shared" si="351"/>
        <v/>
      </c>
      <c r="HD87" s="63"/>
      <c r="HF87" s="40" t="str">
        <f>IF($A117="","",$A117)</f>
        <v/>
      </c>
      <c r="HG87" s="35"/>
      <c r="HH87" s="5" t="str">
        <f t="shared" si="352"/>
        <v/>
      </c>
      <c r="HI87" s="5"/>
      <c r="HJ87" s="63"/>
      <c r="HL87" s="40" t="str">
        <f>IF($A117="","",$A117)</f>
        <v/>
      </c>
      <c r="HM87" s="35"/>
      <c r="HN87" s="5" t="str">
        <f t="shared" si="353"/>
        <v/>
      </c>
      <c r="HO87" s="5"/>
      <c r="HP87" s="63"/>
      <c r="HR87" s="40" t="str">
        <f>IF($A117="","",$A117)</f>
        <v/>
      </c>
      <c r="HS87" s="35"/>
      <c r="HT87" s="5" t="str">
        <f t="shared" si="354"/>
        <v/>
      </c>
      <c r="HU87" s="5"/>
      <c r="HV87" s="63"/>
    </row>
    <row r="88" spans="1:230" ht="15" customHeight="1" thickBot="1" x14ac:dyDescent="0.25">
      <c r="A88" s="65"/>
      <c r="B88" s="66"/>
      <c r="C88" s="43">
        <v>23339</v>
      </c>
      <c r="D88" s="61">
        <f t="shared" si="355"/>
        <v>54</v>
      </c>
      <c r="E88" s="44">
        <v>1173</v>
      </c>
      <c r="F88" s="44">
        <f t="shared" si="356"/>
        <v>3</v>
      </c>
      <c r="G88" s="44">
        <v>48</v>
      </c>
      <c r="H88" s="44">
        <f t="shared" si="357"/>
        <v>3</v>
      </c>
      <c r="I88" s="62">
        <v>0</v>
      </c>
      <c r="J88" s="47" t="str">
        <f t="shared" si="358"/>
        <v>ふわもちミニスクイーズ</v>
      </c>
      <c r="K88" s="61">
        <f t="shared" si="359"/>
        <v>99</v>
      </c>
      <c r="L88" s="44">
        <f t="shared" si="360"/>
        <v>297</v>
      </c>
      <c r="M88" s="46">
        <f t="shared" si="361"/>
        <v>5.5E-2</v>
      </c>
      <c r="N88" s="29"/>
      <c r="O88" s="30"/>
      <c r="P88" s="67"/>
      <c r="Q88" s="43">
        <v>9230</v>
      </c>
      <c r="R88" s="61">
        <f t="shared" si="362"/>
        <v>22</v>
      </c>
      <c r="S88" s="44">
        <v>225</v>
      </c>
      <c r="T88" s="44">
        <f t="shared" si="363"/>
        <v>1</v>
      </c>
      <c r="U88" s="44">
        <v>21</v>
      </c>
      <c r="V88" s="44">
        <f t="shared" si="364"/>
        <v>1</v>
      </c>
      <c r="W88" s="62">
        <v>-3</v>
      </c>
      <c r="X88" s="47" t="str">
        <f t="shared" si="365"/>
        <v>ボンドロ海外製</v>
      </c>
      <c r="Y88" s="61">
        <f t="shared" si="366"/>
        <v>150</v>
      </c>
      <c r="Z88" s="44">
        <f t="shared" si="367"/>
        <v>150</v>
      </c>
      <c r="AA88" s="46">
        <f t="shared" si="368"/>
        <v>6.8181818181818177E-2</v>
      </c>
      <c r="AB88" s="29" t="s">
        <v>221</v>
      </c>
      <c r="AD88" s="67"/>
      <c r="AE88" s="43">
        <v>774</v>
      </c>
      <c r="AF88" s="61">
        <f t="shared" si="369"/>
        <v>80</v>
      </c>
      <c r="AG88" s="44">
        <v>27</v>
      </c>
      <c r="AH88" s="44">
        <f t="shared" si="370"/>
        <v>0</v>
      </c>
      <c r="AI88" s="44">
        <v>14</v>
      </c>
      <c r="AJ88" s="44">
        <f t="shared" si="371"/>
        <v>0</v>
      </c>
      <c r="AK88" s="62">
        <v>0</v>
      </c>
      <c r="AL88" s="47" t="s">
        <v>121</v>
      </c>
      <c r="AM88" s="61">
        <v>260</v>
      </c>
      <c r="AN88" s="44">
        <f t="shared" si="372"/>
        <v>0</v>
      </c>
      <c r="AO88" s="46">
        <f t="shared" si="373"/>
        <v>0</v>
      </c>
      <c r="AP88" s="29"/>
      <c r="AR88" s="67"/>
      <c r="AS88" s="43">
        <v>1057</v>
      </c>
      <c r="AT88" s="61">
        <f t="shared" si="374"/>
        <v>157</v>
      </c>
      <c r="AU88" s="44">
        <v>29</v>
      </c>
      <c r="AV88" s="44">
        <f t="shared" si="375"/>
        <v>3</v>
      </c>
      <c r="AW88" s="44">
        <v>4</v>
      </c>
      <c r="AX88" s="44">
        <f t="shared" si="376"/>
        <v>3</v>
      </c>
      <c r="AY88" s="62">
        <v>2</v>
      </c>
      <c r="AZ88" s="47" t="s">
        <v>222</v>
      </c>
      <c r="BA88" s="61">
        <v>437</v>
      </c>
      <c r="BB88" s="44">
        <f t="shared" si="378"/>
        <v>1311</v>
      </c>
      <c r="BC88" s="46">
        <f t="shared" si="379"/>
        <v>8.3503184713375797E-2</v>
      </c>
      <c r="BD88" s="29"/>
      <c r="BE88" s="32"/>
      <c r="BF88" s="41"/>
      <c r="BG88" s="43">
        <v>4077</v>
      </c>
      <c r="BH88" s="61">
        <f t="shared" si="380"/>
        <v>75</v>
      </c>
      <c r="BI88" s="44">
        <v>46</v>
      </c>
      <c r="BJ88" s="44">
        <f t="shared" si="381"/>
        <v>1</v>
      </c>
      <c r="BK88" s="44">
        <v>3</v>
      </c>
      <c r="BL88" s="44">
        <f t="shared" si="382"/>
        <v>0</v>
      </c>
      <c r="BM88" s="62">
        <v>0</v>
      </c>
      <c r="BN88" s="47" t="str">
        <f t="shared" si="383"/>
        <v>ボンボンドロップシール</v>
      </c>
      <c r="BO88" s="61">
        <f t="shared" si="384"/>
        <v>1500</v>
      </c>
      <c r="BP88" s="44">
        <f t="shared" si="385"/>
        <v>0</v>
      </c>
      <c r="BQ88" s="46">
        <f t="shared" si="386"/>
        <v>0</v>
      </c>
      <c r="BR88" s="29"/>
      <c r="BT88" s="41"/>
      <c r="BU88" s="43"/>
      <c r="BV88" s="61" t="str">
        <f t="shared" si="387"/>
        <v/>
      </c>
      <c r="BW88" s="44"/>
      <c r="BX88" s="44" t="str">
        <f t="shared" si="388"/>
        <v/>
      </c>
      <c r="BY88" s="44"/>
      <c r="BZ88" s="44" t="str">
        <f t="shared" si="389"/>
        <v/>
      </c>
      <c r="CA88" s="62"/>
      <c r="CB88" s="47" t="str">
        <f t="shared" si="390"/>
        <v/>
      </c>
      <c r="CC88" s="61" t="str">
        <f t="shared" si="391"/>
        <v/>
      </c>
      <c r="CD88" s="44" t="str">
        <f t="shared" si="392"/>
        <v/>
      </c>
      <c r="CE88" s="46" t="str">
        <f t="shared" si="393"/>
        <v/>
      </c>
      <c r="CF88" s="29"/>
      <c r="CH88" s="40" t="str">
        <f>IF($A121="","",$A121)</f>
        <v/>
      </c>
      <c r="CI88" s="35"/>
      <c r="CJ88" s="5" t="str">
        <f t="shared" si="293"/>
        <v/>
      </c>
      <c r="CK88" s="5"/>
      <c r="CL88" s="5" t="str">
        <f t="shared" si="294"/>
        <v/>
      </c>
      <c r="CM88" s="5"/>
      <c r="CN88" s="5" t="str">
        <f t="shared" si="295"/>
        <v/>
      </c>
      <c r="CO88" s="5"/>
      <c r="CP88" s="2" t="str">
        <f t="shared" si="296"/>
        <v/>
      </c>
      <c r="CQ88" s="4" t="str">
        <f t="shared" si="297"/>
        <v/>
      </c>
      <c r="CR88" s="5" t="str">
        <f t="shared" si="298"/>
        <v/>
      </c>
      <c r="CS88" s="36" t="str">
        <f t="shared" si="299"/>
        <v/>
      </c>
      <c r="CT88" s="29"/>
      <c r="CV88" s="40" t="str">
        <f>IF($A121="","",$A121)</f>
        <v/>
      </c>
      <c r="CW88" s="35"/>
      <c r="CX88" s="5" t="str">
        <f t="shared" si="300"/>
        <v/>
      </c>
      <c r="CY88" s="5"/>
      <c r="CZ88" s="5" t="str">
        <f t="shared" si="301"/>
        <v/>
      </c>
      <c r="DA88" s="5"/>
      <c r="DB88" s="5" t="str">
        <f t="shared" si="302"/>
        <v/>
      </c>
      <c r="DC88" s="5"/>
      <c r="DD88" s="2" t="str">
        <f t="shared" si="396"/>
        <v/>
      </c>
      <c r="DE88" s="4" t="str">
        <f t="shared" si="303"/>
        <v/>
      </c>
      <c r="DF88" s="5" t="str">
        <f t="shared" si="304"/>
        <v/>
      </c>
      <c r="DG88" s="36" t="str">
        <f t="shared" si="305"/>
        <v/>
      </c>
      <c r="DH88" s="29"/>
      <c r="DJ88" s="40" t="str">
        <f>IF($A121="","",$A121)</f>
        <v/>
      </c>
      <c r="DK88" s="35"/>
      <c r="DL88" s="5" t="str">
        <f t="shared" si="306"/>
        <v/>
      </c>
      <c r="DM88" s="5"/>
      <c r="DN88" s="5" t="str">
        <f t="shared" si="307"/>
        <v/>
      </c>
      <c r="DO88" s="5"/>
      <c r="DP88" s="5" t="str">
        <f t="shared" si="308"/>
        <v/>
      </c>
      <c r="DQ88" s="5"/>
      <c r="DR88" s="2" t="str">
        <f t="shared" si="394"/>
        <v/>
      </c>
      <c r="DS88" s="4" t="str">
        <f t="shared" si="395"/>
        <v/>
      </c>
      <c r="DT88" s="5" t="str">
        <f t="shared" si="309"/>
        <v/>
      </c>
      <c r="DU88" s="36" t="str">
        <f t="shared" si="310"/>
        <v/>
      </c>
      <c r="DV88" s="29"/>
      <c r="DX88" s="40" t="str">
        <f>IF($A121="","",$A121)</f>
        <v/>
      </c>
      <c r="DY88" s="35"/>
      <c r="DZ88" s="5" t="str">
        <f t="shared" si="311"/>
        <v/>
      </c>
      <c r="EA88" s="5"/>
      <c r="EB88" s="5" t="str">
        <f t="shared" si="312"/>
        <v/>
      </c>
      <c r="EC88" s="5"/>
      <c r="ED88" s="5" t="str">
        <f t="shared" si="313"/>
        <v/>
      </c>
      <c r="EE88" s="5"/>
      <c r="EF88" s="2" t="str">
        <f t="shared" si="314"/>
        <v/>
      </c>
      <c r="EG88" s="4" t="str">
        <f t="shared" si="315"/>
        <v/>
      </c>
      <c r="EH88" s="5" t="str">
        <f t="shared" si="316"/>
        <v/>
      </c>
      <c r="EI88" s="36" t="str">
        <f t="shared" si="317"/>
        <v/>
      </c>
      <c r="EJ88" s="29"/>
      <c r="EL88" s="40" t="str">
        <f>IF($A121="","",$A121)</f>
        <v/>
      </c>
      <c r="EM88" s="35"/>
      <c r="EN88" s="5" t="str">
        <f t="shared" si="318"/>
        <v/>
      </c>
      <c r="EO88" s="5"/>
      <c r="EP88" s="5" t="str">
        <f t="shared" si="319"/>
        <v/>
      </c>
      <c r="EQ88" s="5"/>
      <c r="ER88" s="5" t="str">
        <f t="shared" si="320"/>
        <v/>
      </c>
      <c r="ES88" s="5"/>
      <c r="ET88" s="2" t="str">
        <f t="shared" si="321"/>
        <v/>
      </c>
      <c r="EU88" s="4" t="str">
        <f t="shared" si="322"/>
        <v/>
      </c>
      <c r="EV88" s="5" t="str">
        <f t="shared" si="323"/>
        <v/>
      </c>
      <c r="EW88" s="36" t="str">
        <f t="shared" si="324"/>
        <v/>
      </c>
      <c r="EX88" s="29"/>
      <c r="EZ88" s="40" t="str">
        <f>IF($A121="","",$A121)</f>
        <v/>
      </c>
      <c r="FA88" s="35"/>
      <c r="FB88" s="5" t="str">
        <f t="shared" si="325"/>
        <v/>
      </c>
      <c r="FC88" s="5"/>
      <c r="FD88" s="5" t="str">
        <f t="shared" si="326"/>
        <v/>
      </c>
      <c r="FE88" s="5"/>
      <c r="FF88" s="5" t="str">
        <f t="shared" si="327"/>
        <v/>
      </c>
      <c r="FG88" s="5"/>
      <c r="FH88" s="2" t="str">
        <f t="shared" si="397"/>
        <v/>
      </c>
      <c r="FI88" s="4" t="str">
        <f t="shared" si="404"/>
        <v/>
      </c>
      <c r="FJ88" s="5" t="str">
        <f t="shared" si="329"/>
        <v/>
      </c>
      <c r="FK88" s="36" t="str">
        <f t="shared" si="330"/>
        <v/>
      </c>
      <c r="FL88" s="29"/>
      <c r="FN88" s="40" t="str">
        <f>IF($A121="","",$A121)</f>
        <v/>
      </c>
      <c r="FO88" s="35"/>
      <c r="FP88" s="5" t="str">
        <f t="shared" si="331"/>
        <v/>
      </c>
      <c r="FQ88" s="5"/>
      <c r="FR88" s="5" t="str">
        <f t="shared" si="332"/>
        <v/>
      </c>
      <c r="FS88" s="5"/>
      <c r="FT88" s="5" t="str">
        <f t="shared" si="333"/>
        <v/>
      </c>
      <c r="FU88" s="5"/>
      <c r="FV88" s="2" t="str">
        <f t="shared" si="334"/>
        <v/>
      </c>
      <c r="FW88" s="4" t="str">
        <f t="shared" si="405"/>
        <v/>
      </c>
      <c r="FX88" s="5" t="str">
        <f t="shared" si="336"/>
        <v/>
      </c>
      <c r="FY88" s="36" t="str">
        <f t="shared" si="337"/>
        <v/>
      </c>
      <c r="FZ88" s="29"/>
      <c r="GB88" s="40" t="str">
        <f>IF($A121="","",$A121)</f>
        <v/>
      </c>
      <c r="GC88" s="35"/>
      <c r="GD88" s="5" t="str">
        <f t="shared" si="338"/>
        <v/>
      </c>
      <c r="GE88" s="5"/>
      <c r="GF88" s="5" t="str">
        <f t="shared" si="339"/>
        <v/>
      </c>
      <c r="GG88" s="5"/>
      <c r="GH88" s="5" t="str">
        <f t="shared" si="340"/>
        <v/>
      </c>
      <c r="GI88" s="5"/>
      <c r="GJ88" s="2" t="str">
        <f t="shared" si="406"/>
        <v/>
      </c>
      <c r="GK88" s="4" t="str">
        <f t="shared" si="407"/>
        <v/>
      </c>
      <c r="GL88" s="5" t="str">
        <f t="shared" si="342"/>
        <v/>
      </c>
      <c r="GM88" s="36" t="str">
        <f t="shared" si="343"/>
        <v/>
      </c>
      <c r="GN88" s="29"/>
      <c r="GP88" s="40" t="str">
        <f>IF($A121="","",$A121)</f>
        <v/>
      </c>
      <c r="GQ88" s="35"/>
      <c r="GR88" s="5" t="str">
        <f t="shared" si="344"/>
        <v/>
      </c>
      <c r="GS88" s="5"/>
      <c r="GT88" s="5" t="str">
        <f t="shared" si="345"/>
        <v/>
      </c>
      <c r="GU88" s="5"/>
      <c r="GV88" s="5" t="str">
        <f t="shared" si="346"/>
        <v/>
      </c>
      <c r="GW88" s="5"/>
      <c r="GX88" s="5" t="str">
        <f t="shared" si="347"/>
        <v/>
      </c>
      <c r="GY88" s="5"/>
      <c r="GZ88" s="2" t="str">
        <f t="shared" si="348"/>
        <v/>
      </c>
      <c r="HA88" s="4" t="str">
        <f t="shared" si="349"/>
        <v/>
      </c>
      <c r="HB88" s="5" t="str">
        <f t="shared" si="350"/>
        <v/>
      </c>
      <c r="HC88" s="36" t="str">
        <f t="shared" si="351"/>
        <v/>
      </c>
      <c r="HD88" s="29"/>
      <c r="HF88" s="40" t="str">
        <f>IF($A121="","",$A121)</f>
        <v/>
      </c>
      <c r="HG88" s="35"/>
      <c r="HH88" s="5" t="str">
        <f t="shared" si="352"/>
        <v/>
      </c>
      <c r="HI88" s="5"/>
      <c r="HJ88" s="29"/>
      <c r="HL88" s="40" t="str">
        <f>IF($A121="","",$A121)</f>
        <v/>
      </c>
      <c r="HM88" s="35"/>
      <c r="HN88" s="5" t="str">
        <f t="shared" si="353"/>
        <v/>
      </c>
      <c r="HO88" s="5"/>
      <c r="HP88" s="29"/>
      <c r="HR88" s="40" t="str">
        <f>IF($A121="","",$A121)</f>
        <v/>
      </c>
      <c r="HS88" s="35"/>
      <c r="HT88" s="5" t="str">
        <f t="shared" si="354"/>
        <v/>
      </c>
      <c r="HU88" s="5"/>
      <c r="HV88" s="29"/>
    </row>
    <row r="89" spans="1:230" ht="15" customHeight="1" thickTop="1" x14ac:dyDescent="0.2">
      <c r="A89" s="49">
        <v>46143</v>
      </c>
      <c r="B89" s="26">
        <f>SUM(D89:D92)+SUM(R89:R92)+SUM(AF89:AF92)+SUM(AT89:AT92)+SUM(CJ80,CX80,DL80,DZ80,EN80,FB80,FP80,GD80,GR80,HH80,HN80,HT80)+SUM(BH89:BH92)+SUM(BV89:BV90)</f>
        <v>2576</v>
      </c>
      <c r="C89" s="4">
        <v>13574</v>
      </c>
      <c r="D89" s="4">
        <f t="shared" si="355"/>
        <v>46</v>
      </c>
      <c r="E89" s="4">
        <v>353</v>
      </c>
      <c r="F89" s="50">
        <f t="shared" si="356"/>
        <v>2</v>
      </c>
      <c r="G89" s="4">
        <v>6</v>
      </c>
      <c r="H89" s="4">
        <f t="shared" si="357"/>
        <v>2</v>
      </c>
      <c r="I89" s="51">
        <v>5</v>
      </c>
      <c r="J89" s="3" t="str">
        <f t="shared" si="358"/>
        <v>キティダブルミラー</v>
      </c>
      <c r="K89" s="39">
        <f t="shared" si="359"/>
        <v>660</v>
      </c>
      <c r="L89" s="50">
        <f t="shared" si="360"/>
        <v>1320</v>
      </c>
      <c r="M89" s="52">
        <f t="shared" si="361"/>
        <v>0.28695652173913044</v>
      </c>
      <c r="N89" s="29"/>
      <c r="O89" s="30"/>
      <c r="P89" s="53">
        <f>IF($A89="","",$A89)</f>
        <v>46143</v>
      </c>
      <c r="Q89" s="4">
        <v>4326</v>
      </c>
      <c r="R89" s="4">
        <f t="shared" si="362"/>
        <v>64</v>
      </c>
      <c r="S89" s="4">
        <v>196</v>
      </c>
      <c r="T89" s="50">
        <f t="shared" si="363"/>
        <v>1</v>
      </c>
      <c r="U89" s="4">
        <v>1</v>
      </c>
      <c r="V89" s="4">
        <f t="shared" si="364"/>
        <v>2</v>
      </c>
      <c r="W89" s="51">
        <v>2</v>
      </c>
      <c r="X89" s="3" t="str">
        <f t="shared" si="365"/>
        <v>サンリオボアバンスクリップ</v>
      </c>
      <c r="Y89" s="39">
        <f t="shared" si="366"/>
        <v>660</v>
      </c>
      <c r="Z89" s="50">
        <f t="shared" si="367"/>
        <v>1320</v>
      </c>
      <c r="AA89" s="52">
        <f t="shared" si="368"/>
        <v>0.20624999999999999</v>
      </c>
      <c r="AB89" s="29"/>
      <c r="AD89" s="53">
        <f>IF($A89="","",$A89)</f>
        <v>46143</v>
      </c>
      <c r="AE89" s="4">
        <v>2212</v>
      </c>
      <c r="AF89" s="4">
        <f t="shared" si="369"/>
        <v>51</v>
      </c>
      <c r="AG89" s="4">
        <v>32</v>
      </c>
      <c r="AH89" s="50">
        <f t="shared" si="370"/>
        <v>1</v>
      </c>
      <c r="AI89" s="4">
        <v>1</v>
      </c>
      <c r="AJ89" s="4">
        <f t="shared" si="371"/>
        <v>3</v>
      </c>
      <c r="AK89" s="51">
        <v>8</v>
      </c>
      <c r="AL89" s="3" t="str">
        <f t="shared" ref="AL89:AM92" si="408">IF(AE89="","",AL85)</f>
        <v>キティバンスクリップビッグ</v>
      </c>
      <c r="AM89" s="39">
        <f t="shared" si="408"/>
        <v>462</v>
      </c>
      <c r="AN89" s="50">
        <f t="shared" si="372"/>
        <v>1386</v>
      </c>
      <c r="AO89" s="52">
        <f t="shared" si="373"/>
        <v>0.27176470588235296</v>
      </c>
      <c r="AP89" s="29" t="s">
        <v>228</v>
      </c>
      <c r="AR89" s="53">
        <f>IF($A89="","",$A89)</f>
        <v>46143</v>
      </c>
      <c r="AS89" s="4">
        <v>1960</v>
      </c>
      <c r="AT89" s="4">
        <f t="shared" si="374"/>
        <v>230</v>
      </c>
      <c r="AU89" s="4">
        <v>45</v>
      </c>
      <c r="AV89" s="50">
        <f t="shared" si="375"/>
        <v>4</v>
      </c>
      <c r="AW89" s="4">
        <v>10</v>
      </c>
      <c r="AX89" s="4">
        <f t="shared" si="376"/>
        <v>6</v>
      </c>
      <c r="AY89" s="51">
        <v>4</v>
      </c>
      <c r="AZ89" s="3" t="str">
        <f t="shared" ref="AZ89:BA95" si="409">IF(AS89="","",AZ85)</f>
        <v>ベアブリック</v>
      </c>
      <c r="BA89" s="39">
        <f t="shared" si="409"/>
        <v>847</v>
      </c>
      <c r="BB89" s="50">
        <f t="shared" si="378"/>
        <v>5082</v>
      </c>
      <c r="BC89" s="52">
        <f t="shared" si="379"/>
        <v>0.22095652173913044</v>
      </c>
      <c r="BD89" s="29"/>
      <c r="BE89" s="32"/>
      <c r="BF89" s="33">
        <f>IF($A89="","",$A89)</f>
        <v>46143</v>
      </c>
      <c r="BG89" s="4">
        <v>3227</v>
      </c>
      <c r="BH89" s="4">
        <f t="shared" si="380"/>
        <v>30</v>
      </c>
      <c r="BI89" s="4">
        <v>30</v>
      </c>
      <c r="BJ89" s="50">
        <f t="shared" si="381"/>
        <v>1</v>
      </c>
      <c r="BK89" s="4">
        <v>2</v>
      </c>
      <c r="BL89" s="68">
        <f t="shared" si="382"/>
        <v>1</v>
      </c>
      <c r="BM89" s="51">
        <v>1</v>
      </c>
      <c r="BN89" s="3" t="str">
        <f t="shared" si="383"/>
        <v>ボンボンドロップシール</v>
      </c>
      <c r="BO89" s="39">
        <f t="shared" si="384"/>
        <v>1500</v>
      </c>
      <c r="BP89" s="50">
        <f t="shared" si="385"/>
        <v>1500</v>
      </c>
      <c r="BQ89" s="69">
        <f t="shared" si="386"/>
        <v>0.5</v>
      </c>
      <c r="BR89" s="29"/>
      <c r="BT89" s="33">
        <f>IF($A89="","",$A89)</f>
        <v>46143</v>
      </c>
      <c r="BU89" s="4">
        <v>36053</v>
      </c>
      <c r="BV89" s="4">
        <f t="shared" si="387"/>
        <v>86</v>
      </c>
      <c r="BW89" s="4">
        <v>3892</v>
      </c>
      <c r="BX89" s="50">
        <f t="shared" si="388"/>
        <v>10</v>
      </c>
      <c r="BY89" s="4">
        <v>42</v>
      </c>
      <c r="BZ89" s="4">
        <f t="shared" si="389"/>
        <v>10</v>
      </c>
      <c r="CA89" s="51">
        <v>8</v>
      </c>
      <c r="CB89" s="3" t="str">
        <f t="shared" si="390"/>
        <v>ベイビースリーフェイス</v>
      </c>
      <c r="CC89" s="39">
        <f t="shared" si="391"/>
        <v>1050</v>
      </c>
      <c r="CD89" s="50">
        <f t="shared" si="392"/>
        <v>10500</v>
      </c>
      <c r="CE89" s="52">
        <f t="shared" si="393"/>
        <v>1.2209302325581395</v>
      </c>
      <c r="CF89" s="29"/>
      <c r="CH89" s="40" t="str">
        <f>IF($A125="","",$A125)</f>
        <v/>
      </c>
      <c r="CI89" s="35"/>
      <c r="CJ89" s="5" t="str">
        <f t="shared" si="293"/>
        <v/>
      </c>
      <c r="CK89" s="5"/>
      <c r="CL89" s="5" t="str">
        <f t="shared" si="294"/>
        <v/>
      </c>
      <c r="CM89" s="5"/>
      <c r="CN89" s="5" t="str">
        <f t="shared" si="295"/>
        <v/>
      </c>
      <c r="CO89" s="5"/>
      <c r="CP89" s="2" t="str">
        <f t="shared" si="296"/>
        <v/>
      </c>
      <c r="CQ89" s="4" t="str">
        <f t="shared" si="297"/>
        <v/>
      </c>
      <c r="CR89" s="5" t="str">
        <f t="shared" si="298"/>
        <v/>
      </c>
      <c r="CS89" s="36" t="str">
        <f t="shared" si="299"/>
        <v/>
      </c>
      <c r="CT89" s="29"/>
      <c r="CV89" s="40" t="str">
        <f>IF($A125="","",$A125)</f>
        <v/>
      </c>
      <c r="CW89" s="35"/>
      <c r="CX89" s="5" t="str">
        <f t="shared" si="300"/>
        <v/>
      </c>
      <c r="CY89" s="5"/>
      <c r="CZ89" s="5" t="str">
        <f t="shared" si="301"/>
        <v/>
      </c>
      <c r="DA89" s="5"/>
      <c r="DB89" s="5" t="str">
        <f t="shared" si="302"/>
        <v/>
      </c>
      <c r="DC89" s="5"/>
      <c r="DD89" s="2" t="str">
        <f t="shared" si="396"/>
        <v/>
      </c>
      <c r="DE89" s="4" t="str">
        <f t="shared" si="303"/>
        <v/>
      </c>
      <c r="DF89" s="5" t="str">
        <f t="shared" si="304"/>
        <v/>
      </c>
      <c r="DG89" s="36" t="str">
        <f t="shared" si="305"/>
        <v/>
      </c>
      <c r="DH89" s="29"/>
      <c r="DJ89" s="40" t="str">
        <f>IF($A125="","",$A125)</f>
        <v/>
      </c>
      <c r="DK89" s="35"/>
      <c r="DL89" s="5" t="str">
        <f t="shared" si="306"/>
        <v/>
      </c>
      <c r="DM89" s="5"/>
      <c r="DN89" s="5" t="str">
        <f t="shared" si="307"/>
        <v/>
      </c>
      <c r="DO89" s="5"/>
      <c r="DP89" s="5" t="str">
        <f t="shared" si="308"/>
        <v/>
      </c>
      <c r="DQ89" s="5"/>
      <c r="DR89" s="2" t="str">
        <f t="shared" si="394"/>
        <v/>
      </c>
      <c r="DS89" s="4" t="str">
        <f t="shared" si="395"/>
        <v/>
      </c>
      <c r="DT89" s="5" t="str">
        <f t="shared" si="309"/>
        <v/>
      </c>
      <c r="DU89" s="36" t="str">
        <f t="shared" si="310"/>
        <v/>
      </c>
      <c r="DV89" s="29"/>
      <c r="DX89" s="40" t="str">
        <f>IF($A125="","",$A125)</f>
        <v/>
      </c>
      <c r="DY89" s="35"/>
      <c r="DZ89" s="5" t="str">
        <f t="shared" si="311"/>
        <v/>
      </c>
      <c r="EA89" s="5"/>
      <c r="EB89" s="5" t="str">
        <f t="shared" si="312"/>
        <v/>
      </c>
      <c r="EC89" s="5"/>
      <c r="ED89" s="5" t="str">
        <f t="shared" si="313"/>
        <v/>
      </c>
      <c r="EE89" s="5"/>
      <c r="EF89" s="2" t="str">
        <f t="shared" si="314"/>
        <v/>
      </c>
      <c r="EG89" s="4" t="str">
        <f t="shared" si="315"/>
        <v/>
      </c>
      <c r="EH89" s="5" t="str">
        <f t="shared" si="316"/>
        <v/>
      </c>
      <c r="EI89" s="36" t="str">
        <f t="shared" si="317"/>
        <v/>
      </c>
      <c r="EJ89" s="29"/>
      <c r="EL89" s="40" t="str">
        <f>IF($A125="","",$A125)</f>
        <v/>
      </c>
      <c r="EM89" s="35"/>
      <c r="EN89" s="5" t="str">
        <f t="shared" si="318"/>
        <v/>
      </c>
      <c r="EO89" s="5"/>
      <c r="EP89" s="5" t="str">
        <f t="shared" si="319"/>
        <v/>
      </c>
      <c r="EQ89" s="5"/>
      <c r="ER89" s="5" t="str">
        <f t="shared" si="320"/>
        <v/>
      </c>
      <c r="ES89" s="5"/>
      <c r="ET89" s="2" t="str">
        <f t="shared" si="321"/>
        <v/>
      </c>
      <c r="EU89" s="4" t="str">
        <f t="shared" si="322"/>
        <v/>
      </c>
      <c r="EV89" s="5" t="str">
        <f t="shared" si="323"/>
        <v/>
      </c>
      <c r="EW89" s="36" t="str">
        <f t="shared" si="324"/>
        <v/>
      </c>
      <c r="EX89" s="29"/>
      <c r="EZ89" s="40" t="str">
        <f>IF($A125="","",$A125)</f>
        <v/>
      </c>
      <c r="FA89" s="35"/>
      <c r="FB89" s="5" t="str">
        <f t="shared" si="325"/>
        <v/>
      </c>
      <c r="FC89" s="5"/>
      <c r="FD89" s="5" t="str">
        <f t="shared" si="326"/>
        <v/>
      </c>
      <c r="FE89" s="5"/>
      <c r="FF89" s="5" t="str">
        <f t="shared" si="327"/>
        <v/>
      </c>
      <c r="FG89" s="5"/>
      <c r="FH89" s="2" t="str">
        <f t="shared" si="397"/>
        <v/>
      </c>
      <c r="FI89" s="4" t="str">
        <f t="shared" si="404"/>
        <v/>
      </c>
      <c r="FJ89" s="5" t="str">
        <f t="shared" si="329"/>
        <v/>
      </c>
      <c r="FK89" s="36" t="str">
        <f t="shared" si="330"/>
        <v/>
      </c>
      <c r="FL89" s="29"/>
      <c r="FN89" s="40" t="str">
        <f>IF($A125="","",$A125)</f>
        <v/>
      </c>
      <c r="FO89" s="35"/>
      <c r="FP89" s="5" t="str">
        <f t="shared" si="331"/>
        <v/>
      </c>
      <c r="FQ89" s="5"/>
      <c r="FR89" s="5" t="str">
        <f t="shared" si="332"/>
        <v/>
      </c>
      <c r="FS89" s="5"/>
      <c r="FT89" s="5" t="str">
        <f t="shared" si="333"/>
        <v/>
      </c>
      <c r="FU89" s="5"/>
      <c r="FV89" s="2" t="str">
        <f t="shared" si="334"/>
        <v/>
      </c>
      <c r="FW89" s="4" t="str">
        <f t="shared" si="405"/>
        <v/>
      </c>
      <c r="FX89" s="5" t="str">
        <f t="shared" si="336"/>
        <v/>
      </c>
      <c r="FY89" s="36" t="str">
        <f t="shared" si="337"/>
        <v/>
      </c>
      <c r="FZ89" s="29"/>
      <c r="GB89" s="40" t="str">
        <f>IF($A125="","",$A125)</f>
        <v/>
      </c>
      <c r="GC89" s="35"/>
      <c r="GD89" s="5" t="str">
        <f t="shared" si="338"/>
        <v/>
      </c>
      <c r="GE89" s="5"/>
      <c r="GF89" s="5" t="str">
        <f t="shared" si="339"/>
        <v/>
      </c>
      <c r="GG89" s="5"/>
      <c r="GH89" s="5" t="str">
        <f t="shared" si="340"/>
        <v/>
      </c>
      <c r="GI89" s="5"/>
      <c r="GJ89" s="2" t="str">
        <f t="shared" si="406"/>
        <v/>
      </c>
      <c r="GK89" s="4" t="str">
        <f t="shared" si="407"/>
        <v/>
      </c>
      <c r="GL89" s="5" t="str">
        <f t="shared" si="342"/>
        <v/>
      </c>
      <c r="GM89" s="36" t="str">
        <f t="shared" si="343"/>
        <v/>
      </c>
      <c r="GN89" s="29"/>
      <c r="GP89" s="40" t="str">
        <f>IF($A125="","",$A125)</f>
        <v/>
      </c>
      <c r="GQ89" s="35"/>
      <c r="GR89" s="5" t="str">
        <f t="shared" si="344"/>
        <v/>
      </c>
      <c r="GS89" s="5"/>
      <c r="GT89" s="5" t="str">
        <f t="shared" si="345"/>
        <v/>
      </c>
      <c r="GU89" s="5"/>
      <c r="GV89" s="5" t="str">
        <f t="shared" si="346"/>
        <v/>
      </c>
      <c r="GW89" s="5"/>
      <c r="GX89" s="5" t="str">
        <f t="shared" si="347"/>
        <v/>
      </c>
      <c r="GY89" s="5"/>
      <c r="GZ89" s="2" t="str">
        <f t="shared" si="348"/>
        <v/>
      </c>
      <c r="HA89" s="4" t="str">
        <f t="shared" si="349"/>
        <v/>
      </c>
      <c r="HB89" s="5" t="str">
        <f t="shared" si="350"/>
        <v/>
      </c>
      <c r="HC89" s="36" t="str">
        <f t="shared" si="351"/>
        <v/>
      </c>
      <c r="HD89" s="29"/>
      <c r="HF89" s="40" t="str">
        <f>IF($A125="","",$A125)</f>
        <v/>
      </c>
      <c r="HG89" s="35"/>
      <c r="HH89" s="5" t="str">
        <f t="shared" si="352"/>
        <v/>
      </c>
      <c r="HI89" s="5"/>
      <c r="HJ89" s="29"/>
      <c r="HL89" s="40" t="str">
        <f>IF($A125="","",$A125)</f>
        <v/>
      </c>
      <c r="HM89" s="35"/>
      <c r="HN89" s="5" t="str">
        <f t="shared" si="353"/>
        <v/>
      </c>
      <c r="HO89" s="5"/>
      <c r="HP89" s="29"/>
      <c r="HR89" s="40" t="str">
        <f>IF($A125="","",$A125)</f>
        <v/>
      </c>
      <c r="HS89" s="35"/>
      <c r="HT89" s="5" t="str">
        <f t="shared" si="354"/>
        <v/>
      </c>
      <c r="HU89" s="5"/>
      <c r="HV89" s="29"/>
    </row>
    <row r="90" spans="1:230" x14ac:dyDescent="0.2">
      <c r="A90" s="54"/>
      <c r="B90" s="37"/>
      <c r="C90" s="5">
        <v>17216</v>
      </c>
      <c r="D90" s="5">
        <f t="shared" si="355"/>
        <v>78</v>
      </c>
      <c r="E90" s="5">
        <v>535</v>
      </c>
      <c r="F90" s="5">
        <f t="shared" si="356"/>
        <v>2</v>
      </c>
      <c r="G90" s="5">
        <v>7</v>
      </c>
      <c r="H90" s="5">
        <f t="shared" si="357"/>
        <v>4</v>
      </c>
      <c r="I90" s="35">
        <v>3</v>
      </c>
      <c r="J90" s="3" t="str">
        <f t="shared" si="358"/>
        <v>サンリオカラビナ付きミニファン</v>
      </c>
      <c r="K90" s="39">
        <f t="shared" si="359"/>
        <v>1100</v>
      </c>
      <c r="L90" s="5">
        <f t="shared" si="360"/>
        <v>4400</v>
      </c>
      <c r="M90" s="36">
        <f t="shared" si="361"/>
        <v>0.5641025641025641</v>
      </c>
      <c r="N90" s="29"/>
      <c r="O90" s="30"/>
      <c r="P90" s="54"/>
      <c r="Q90" s="5">
        <v>10949</v>
      </c>
      <c r="R90" s="5">
        <f t="shared" si="362"/>
        <v>35</v>
      </c>
      <c r="S90" s="5">
        <v>187</v>
      </c>
      <c r="T90" s="5">
        <f t="shared" si="363"/>
        <v>1</v>
      </c>
      <c r="U90" s="5">
        <v>7</v>
      </c>
      <c r="V90" s="5">
        <f t="shared" si="364"/>
        <v>1</v>
      </c>
      <c r="W90" s="35">
        <v>0</v>
      </c>
      <c r="X90" s="3" t="str">
        <f t="shared" si="365"/>
        <v>サンリオヘアバンド</v>
      </c>
      <c r="Y90" s="39">
        <f t="shared" si="366"/>
        <v>825</v>
      </c>
      <c r="Z90" s="5">
        <f t="shared" si="367"/>
        <v>825</v>
      </c>
      <c r="AA90" s="36">
        <f t="shared" si="368"/>
        <v>0.23571428571428571</v>
      </c>
      <c r="AB90" s="29"/>
      <c r="AD90" s="54"/>
      <c r="AE90" s="5">
        <v>1961</v>
      </c>
      <c r="AF90" s="5">
        <f t="shared" si="369"/>
        <v>40</v>
      </c>
      <c r="AG90" s="5">
        <v>32</v>
      </c>
      <c r="AH90" s="5">
        <f t="shared" si="370"/>
        <v>0</v>
      </c>
      <c r="AI90" s="5">
        <v>55</v>
      </c>
      <c r="AJ90" s="5">
        <f t="shared" si="371"/>
        <v>0</v>
      </c>
      <c r="AK90" s="35">
        <v>0</v>
      </c>
      <c r="AL90" s="3" t="str">
        <f t="shared" si="408"/>
        <v>電ブル</v>
      </c>
      <c r="AM90" s="39">
        <f t="shared" si="408"/>
        <v>292</v>
      </c>
      <c r="AN90" s="5">
        <f t="shared" si="372"/>
        <v>0</v>
      </c>
      <c r="AO90" s="36">
        <f t="shared" si="373"/>
        <v>0</v>
      </c>
      <c r="AP90" s="29"/>
      <c r="AR90" s="54"/>
      <c r="AS90" s="5">
        <v>1561</v>
      </c>
      <c r="AT90" s="5">
        <f t="shared" si="374"/>
        <v>34</v>
      </c>
      <c r="AU90" s="5">
        <v>4</v>
      </c>
      <c r="AV90" s="5">
        <f t="shared" si="375"/>
        <v>1</v>
      </c>
      <c r="AW90" s="5">
        <v>9</v>
      </c>
      <c r="AX90" s="5">
        <f t="shared" si="376"/>
        <v>1</v>
      </c>
      <c r="AY90" s="35">
        <v>0</v>
      </c>
      <c r="AZ90" s="3" t="str">
        <f t="shared" si="409"/>
        <v>ゲーム機イヤホン</v>
      </c>
      <c r="BA90" s="39">
        <f t="shared" si="409"/>
        <v>770</v>
      </c>
      <c r="BB90" s="5">
        <f t="shared" si="378"/>
        <v>770</v>
      </c>
      <c r="BC90" s="36">
        <f t="shared" si="379"/>
        <v>0.22647058823529412</v>
      </c>
      <c r="BD90" s="29"/>
      <c r="BE90" s="32"/>
      <c r="BF90" s="33"/>
      <c r="BG90" s="5">
        <v>5076</v>
      </c>
      <c r="BH90" s="5">
        <f t="shared" si="380"/>
        <v>118</v>
      </c>
      <c r="BI90" s="5">
        <v>44</v>
      </c>
      <c r="BJ90" s="5">
        <f t="shared" si="381"/>
        <v>1</v>
      </c>
      <c r="BK90" s="5">
        <v>2</v>
      </c>
      <c r="BL90" s="5">
        <f t="shared" si="382"/>
        <v>1</v>
      </c>
      <c r="BM90" s="35">
        <v>1</v>
      </c>
      <c r="BN90" s="3" t="str">
        <f t="shared" si="383"/>
        <v>ボンボンドロップシール</v>
      </c>
      <c r="BO90" s="39">
        <f t="shared" si="384"/>
        <v>1500</v>
      </c>
      <c r="BP90" s="5">
        <f t="shared" si="385"/>
        <v>1500</v>
      </c>
      <c r="BQ90" s="36">
        <f t="shared" si="386"/>
        <v>0.1271186440677966</v>
      </c>
      <c r="BR90" s="29"/>
      <c r="BT90" s="33"/>
      <c r="BU90" s="5">
        <v>31951</v>
      </c>
      <c r="BV90" s="5">
        <f t="shared" si="387"/>
        <v>42</v>
      </c>
      <c r="BW90" s="5">
        <v>1689</v>
      </c>
      <c r="BX90" s="5">
        <f t="shared" si="388"/>
        <v>3</v>
      </c>
      <c r="BY90" s="5">
        <v>30</v>
      </c>
      <c r="BZ90" s="5">
        <f t="shared" si="389"/>
        <v>3</v>
      </c>
      <c r="CA90" s="35">
        <v>0</v>
      </c>
      <c r="CB90" s="3" t="str">
        <f t="shared" si="390"/>
        <v>サンリオボアポーチ</v>
      </c>
      <c r="CC90" s="39">
        <f t="shared" si="391"/>
        <v>950</v>
      </c>
      <c r="CD90" s="5">
        <f t="shared" si="392"/>
        <v>2850</v>
      </c>
      <c r="CE90" s="36">
        <f t="shared" si="393"/>
        <v>0.6785714285714286</v>
      </c>
      <c r="CF90" s="29"/>
      <c r="CH90" s="40" t="str">
        <f>IF($A$425="","",$A$425)</f>
        <v/>
      </c>
      <c r="CI90" s="5"/>
      <c r="CJ90" s="5" t="str">
        <f t="shared" si="293"/>
        <v/>
      </c>
      <c r="CK90" s="5"/>
      <c r="CL90" s="5" t="str">
        <f t="shared" si="294"/>
        <v/>
      </c>
      <c r="CM90" s="5"/>
      <c r="CN90" s="5" t="str">
        <f t="shared" si="295"/>
        <v/>
      </c>
      <c r="CO90" s="5"/>
      <c r="CP90" s="2" t="str">
        <f t="shared" si="296"/>
        <v/>
      </c>
      <c r="CQ90" s="4" t="str">
        <f t="shared" si="297"/>
        <v/>
      </c>
      <c r="CR90" s="5" t="str">
        <f t="shared" si="298"/>
        <v/>
      </c>
      <c r="CS90" s="36" t="str">
        <f>IF(CR90="","",CR90/(CI90*100))</f>
        <v/>
      </c>
      <c r="CT90" s="29"/>
      <c r="CV90" s="40" t="str">
        <f>IF($A$425="","",$A$425)</f>
        <v/>
      </c>
      <c r="CW90" s="5"/>
      <c r="CX90" s="5" t="str">
        <f t="shared" si="300"/>
        <v/>
      </c>
      <c r="CY90" s="5"/>
      <c r="CZ90" s="5" t="str">
        <f t="shared" si="301"/>
        <v/>
      </c>
      <c r="DA90" s="5"/>
      <c r="DB90" s="5" t="str">
        <f t="shared" si="302"/>
        <v/>
      </c>
      <c r="DC90" s="5"/>
      <c r="DD90" s="2" t="str">
        <f t="shared" si="396"/>
        <v/>
      </c>
      <c r="DE90" s="4" t="str">
        <f t="shared" si="303"/>
        <v/>
      </c>
      <c r="DF90" s="5" t="str">
        <f t="shared" si="304"/>
        <v/>
      </c>
      <c r="DG90" s="36" t="str">
        <f>IF(DF90="","",DF90/(CW90*100))</f>
        <v/>
      </c>
      <c r="DH90" s="29"/>
      <c r="DJ90" s="40" t="str">
        <f>IF($A$425="","",$A$425)</f>
        <v/>
      </c>
      <c r="DK90" s="5"/>
      <c r="DL90" s="5" t="str">
        <f t="shared" si="306"/>
        <v/>
      </c>
      <c r="DM90" s="5"/>
      <c r="DN90" s="5" t="str">
        <f t="shared" si="307"/>
        <v/>
      </c>
      <c r="DO90" s="5"/>
      <c r="DP90" s="5" t="str">
        <f t="shared" si="308"/>
        <v/>
      </c>
      <c r="DQ90" s="5"/>
      <c r="DR90" s="2" t="str">
        <f t="shared" si="394"/>
        <v/>
      </c>
      <c r="DS90" s="4" t="str">
        <f t="shared" si="395"/>
        <v/>
      </c>
      <c r="DT90" s="5" t="str">
        <f t="shared" si="309"/>
        <v/>
      </c>
      <c r="DU90" s="36" t="str">
        <f>IF(DT90="","",DT90/(DK90*100))</f>
        <v/>
      </c>
      <c r="DV90" s="29"/>
      <c r="DX90" s="40" t="str">
        <f>IF($A$425="","",$A$425)</f>
        <v/>
      </c>
      <c r="DY90" s="5"/>
      <c r="DZ90" s="5" t="str">
        <f t="shared" si="311"/>
        <v/>
      </c>
      <c r="EA90" s="5"/>
      <c r="EB90" s="5" t="str">
        <f t="shared" si="312"/>
        <v/>
      </c>
      <c r="EC90" s="5"/>
      <c r="ED90" s="5" t="str">
        <f t="shared" si="313"/>
        <v/>
      </c>
      <c r="EE90" s="5"/>
      <c r="EF90" s="2" t="str">
        <f t="shared" si="314"/>
        <v/>
      </c>
      <c r="EG90" s="4" t="str">
        <f t="shared" si="315"/>
        <v/>
      </c>
      <c r="EH90" s="5" t="str">
        <f t="shared" si="316"/>
        <v/>
      </c>
      <c r="EI90" s="36" t="str">
        <f>IF(EH90="","",EH90/(DY90*100))</f>
        <v/>
      </c>
      <c r="EJ90" s="29"/>
      <c r="EL90" s="40" t="str">
        <f>IF($A$425="","",$A$425)</f>
        <v/>
      </c>
      <c r="EM90" s="5"/>
      <c r="EN90" s="5" t="str">
        <f t="shared" si="318"/>
        <v/>
      </c>
      <c r="EO90" s="5"/>
      <c r="EP90" s="5" t="str">
        <f t="shared" si="319"/>
        <v/>
      </c>
      <c r="EQ90" s="5"/>
      <c r="ER90" s="5" t="str">
        <f t="shared" si="320"/>
        <v/>
      </c>
      <c r="ES90" s="5"/>
      <c r="ET90" s="2" t="str">
        <f t="shared" si="321"/>
        <v/>
      </c>
      <c r="EU90" s="4" t="str">
        <f t="shared" si="322"/>
        <v/>
      </c>
      <c r="EV90" s="5" t="str">
        <f t="shared" si="323"/>
        <v/>
      </c>
      <c r="EW90" s="36" t="str">
        <f>IF(EV90="","",EV90/(EM90*100))</f>
        <v/>
      </c>
      <c r="EX90" s="29"/>
      <c r="EZ90" s="40" t="str">
        <f>IF($A$425="","",$A$425)</f>
        <v/>
      </c>
      <c r="FA90" s="5"/>
      <c r="FB90" s="5" t="str">
        <f t="shared" si="325"/>
        <v/>
      </c>
      <c r="FC90" s="5"/>
      <c r="FD90" s="5" t="str">
        <f t="shared" si="326"/>
        <v/>
      </c>
      <c r="FE90" s="5"/>
      <c r="FF90" s="5" t="str">
        <f t="shared" si="327"/>
        <v/>
      </c>
      <c r="FG90" s="5"/>
      <c r="FH90" s="2" t="str">
        <f t="shared" si="397"/>
        <v/>
      </c>
      <c r="FI90" s="4" t="str">
        <f t="shared" si="404"/>
        <v/>
      </c>
      <c r="FJ90" s="5" t="str">
        <f t="shared" si="329"/>
        <v/>
      </c>
      <c r="FK90" s="36" t="str">
        <f>IF(FJ90="","",FJ90/(FA90*100))</f>
        <v/>
      </c>
      <c r="FL90" s="29"/>
      <c r="FN90" s="40" t="str">
        <f>IF($A$425="","",$A$425)</f>
        <v/>
      </c>
      <c r="FO90" s="5"/>
      <c r="FP90" s="5" t="str">
        <f t="shared" si="331"/>
        <v/>
      </c>
      <c r="FQ90" s="5"/>
      <c r="FR90" s="5" t="str">
        <f t="shared" si="332"/>
        <v/>
      </c>
      <c r="FS90" s="5"/>
      <c r="FT90" s="5" t="str">
        <f t="shared" si="333"/>
        <v/>
      </c>
      <c r="FU90" s="5"/>
      <c r="FV90" s="2" t="str">
        <f t="shared" si="334"/>
        <v/>
      </c>
      <c r="FW90" s="4" t="str">
        <f t="shared" si="405"/>
        <v/>
      </c>
      <c r="FX90" s="5" t="str">
        <f t="shared" si="336"/>
        <v/>
      </c>
      <c r="FY90" s="36" t="str">
        <f>IF(FX90="","",FX90/(FO90*100))</f>
        <v/>
      </c>
      <c r="FZ90" s="29"/>
      <c r="GB90" s="40" t="str">
        <f>IF($A$425="","",$A$425)</f>
        <v/>
      </c>
      <c r="GC90" s="5"/>
      <c r="GD90" s="5" t="str">
        <f t="shared" si="338"/>
        <v/>
      </c>
      <c r="GE90" s="5"/>
      <c r="GF90" s="5" t="str">
        <f t="shared" si="339"/>
        <v/>
      </c>
      <c r="GG90" s="5"/>
      <c r="GH90" s="5" t="str">
        <f t="shared" si="340"/>
        <v/>
      </c>
      <c r="GI90" s="5"/>
      <c r="GJ90" s="2" t="str">
        <f t="shared" si="406"/>
        <v/>
      </c>
      <c r="GK90" s="4" t="str">
        <f t="shared" si="407"/>
        <v/>
      </c>
      <c r="GL90" s="5" t="str">
        <f t="shared" si="342"/>
        <v/>
      </c>
      <c r="GM90" s="36" t="str">
        <f>IF(GL90="","",GL90/(GC90*100))</f>
        <v/>
      </c>
      <c r="GN90" s="29"/>
      <c r="GP90" s="40" t="str">
        <f>IF($A$425="","",$A$425)</f>
        <v/>
      </c>
      <c r="GQ90" s="5"/>
      <c r="GR90" s="5" t="str">
        <f t="shared" si="344"/>
        <v/>
      </c>
      <c r="GS90" s="5"/>
      <c r="GT90" s="5" t="str">
        <f t="shared" si="345"/>
        <v/>
      </c>
      <c r="GU90" s="5"/>
      <c r="GV90" s="5" t="str">
        <f t="shared" si="346"/>
        <v/>
      </c>
      <c r="GW90" s="5"/>
      <c r="GX90" s="5" t="str">
        <f t="shared" si="347"/>
        <v/>
      </c>
      <c r="GY90" s="5"/>
      <c r="GZ90" s="2" t="str">
        <f t="shared" si="348"/>
        <v/>
      </c>
      <c r="HA90" s="4" t="str">
        <f t="shared" si="349"/>
        <v/>
      </c>
      <c r="HB90" s="5" t="str">
        <f t="shared" si="350"/>
        <v/>
      </c>
      <c r="HC90" s="36" t="str">
        <f>IF(HB90="","",HB90/(GQ90*100))</f>
        <v/>
      </c>
      <c r="HD90" s="29"/>
      <c r="HF90" s="40" t="str">
        <f>IF($A$425="","",$A$425)</f>
        <v/>
      </c>
      <c r="HG90" s="5"/>
      <c r="HH90" s="5" t="str">
        <f t="shared" si="352"/>
        <v/>
      </c>
      <c r="HI90" s="5"/>
      <c r="HJ90" s="29"/>
      <c r="HL90" s="40" t="str">
        <f>IF($A$425="","",$A$425)</f>
        <v/>
      </c>
      <c r="HM90" s="5"/>
      <c r="HN90" s="5" t="str">
        <f t="shared" si="353"/>
        <v/>
      </c>
      <c r="HO90" s="5"/>
      <c r="HP90" s="29"/>
      <c r="HR90" s="40" t="str">
        <f>IF($A$425="","",$A$425)</f>
        <v/>
      </c>
      <c r="HS90" s="5"/>
      <c r="HT90" s="5" t="str">
        <f t="shared" si="354"/>
        <v/>
      </c>
      <c r="HU90" s="5"/>
      <c r="HV90" s="29"/>
    </row>
    <row r="91" spans="1:230" x14ac:dyDescent="0.2">
      <c r="A91" s="70"/>
      <c r="B91" s="71"/>
      <c r="C91" s="58">
        <v>18876</v>
      </c>
      <c r="D91" s="5">
        <f t="shared" si="355"/>
        <v>49</v>
      </c>
      <c r="E91" s="5">
        <v>655</v>
      </c>
      <c r="F91" s="5">
        <f t="shared" si="356"/>
        <v>0</v>
      </c>
      <c r="G91" s="58">
        <v>8</v>
      </c>
      <c r="H91" s="5">
        <f t="shared" si="357"/>
        <v>0</v>
      </c>
      <c r="I91" s="59">
        <v>0</v>
      </c>
      <c r="J91" s="3" t="str">
        <f t="shared" si="358"/>
        <v>たまごっちブロックシール</v>
      </c>
      <c r="K91" s="39">
        <f t="shared" si="359"/>
        <v>600</v>
      </c>
      <c r="L91" s="5">
        <f t="shared" si="360"/>
        <v>0</v>
      </c>
      <c r="M91" s="36">
        <f t="shared" si="361"/>
        <v>0</v>
      </c>
      <c r="N91" s="29"/>
      <c r="P91" s="70"/>
      <c r="Q91" s="58">
        <v>10561</v>
      </c>
      <c r="R91" s="5">
        <f t="shared" si="362"/>
        <v>29</v>
      </c>
      <c r="S91" s="5">
        <v>284</v>
      </c>
      <c r="T91" s="5">
        <f t="shared" si="363"/>
        <v>1</v>
      </c>
      <c r="U91" s="58">
        <v>13</v>
      </c>
      <c r="V91" s="5">
        <f t="shared" si="364"/>
        <v>1</v>
      </c>
      <c r="W91" s="59">
        <v>0</v>
      </c>
      <c r="X91" s="3" t="str">
        <f t="shared" si="365"/>
        <v>キララメシールバインダー</v>
      </c>
      <c r="Y91" s="39">
        <f t="shared" si="366"/>
        <v>638</v>
      </c>
      <c r="Z91" s="5">
        <f t="shared" si="367"/>
        <v>638</v>
      </c>
      <c r="AA91" s="36">
        <f t="shared" si="368"/>
        <v>0.22</v>
      </c>
      <c r="AB91" s="29"/>
      <c r="AD91" s="70"/>
      <c r="AE91" s="58">
        <v>1586</v>
      </c>
      <c r="AF91" s="5">
        <f t="shared" si="369"/>
        <v>65</v>
      </c>
      <c r="AG91" s="5">
        <v>36</v>
      </c>
      <c r="AH91" s="5">
        <f t="shared" si="370"/>
        <v>2</v>
      </c>
      <c r="AI91" s="58">
        <v>16</v>
      </c>
      <c r="AJ91" s="5">
        <f t="shared" si="371"/>
        <v>2</v>
      </c>
      <c r="AK91" s="59">
        <v>2</v>
      </c>
      <c r="AL91" s="3" t="str">
        <f t="shared" si="408"/>
        <v>たまごっちマスコット</v>
      </c>
      <c r="AM91" s="39">
        <f t="shared" si="408"/>
        <v>1430</v>
      </c>
      <c r="AN91" s="5">
        <f t="shared" si="372"/>
        <v>2860</v>
      </c>
      <c r="AO91" s="36">
        <f t="shared" si="373"/>
        <v>0.44</v>
      </c>
      <c r="AP91" s="29"/>
      <c r="AR91" s="70"/>
      <c r="AS91" s="58">
        <v>1141</v>
      </c>
      <c r="AT91" s="5">
        <f t="shared" si="374"/>
        <v>59</v>
      </c>
      <c r="AU91" s="5">
        <v>10</v>
      </c>
      <c r="AV91" s="5">
        <f t="shared" si="375"/>
        <v>4</v>
      </c>
      <c r="AW91" s="58">
        <v>16</v>
      </c>
      <c r="AX91" s="5">
        <f t="shared" si="376"/>
        <v>5</v>
      </c>
      <c r="AY91" s="59">
        <v>8</v>
      </c>
      <c r="AZ91" s="3" t="str">
        <f t="shared" si="409"/>
        <v>カエル</v>
      </c>
      <c r="BA91" s="39">
        <f t="shared" si="409"/>
        <v>0</v>
      </c>
      <c r="BB91" s="5">
        <f t="shared" si="378"/>
        <v>0</v>
      </c>
      <c r="BC91" s="36">
        <f t="shared" si="379"/>
        <v>0</v>
      </c>
      <c r="BD91" s="29"/>
      <c r="BE91" s="32"/>
      <c r="BF91" s="72"/>
      <c r="BG91" s="58">
        <v>2684</v>
      </c>
      <c r="BH91" s="5">
        <f t="shared" si="380"/>
        <v>111</v>
      </c>
      <c r="BI91" s="5">
        <v>24</v>
      </c>
      <c r="BJ91" s="5">
        <f t="shared" si="381"/>
        <v>1</v>
      </c>
      <c r="BK91" s="58">
        <v>2</v>
      </c>
      <c r="BL91" s="5">
        <f t="shared" si="382"/>
        <v>1</v>
      </c>
      <c r="BM91" s="59">
        <v>1</v>
      </c>
      <c r="BN91" s="3" t="str">
        <f t="shared" si="383"/>
        <v>ボンボンドロップシール</v>
      </c>
      <c r="BO91" s="39">
        <f t="shared" si="384"/>
        <v>1500</v>
      </c>
      <c r="BP91" s="5">
        <f t="shared" si="385"/>
        <v>1500</v>
      </c>
      <c r="BQ91" s="36">
        <f t="shared" si="386"/>
        <v>0.13513513513513514</v>
      </c>
      <c r="BR91" s="29"/>
      <c r="BT91" s="72"/>
      <c r="BU91" s="58"/>
      <c r="BV91" s="5" t="str">
        <f t="shared" si="387"/>
        <v/>
      </c>
      <c r="BW91" s="5"/>
      <c r="BX91" s="5" t="str">
        <f t="shared" si="388"/>
        <v/>
      </c>
      <c r="BY91" s="58"/>
      <c r="BZ91" s="5" t="str">
        <f t="shared" si="389"/>
        <v/>
      </c>
      <c r="CA91" s="59"/>
      <c r="CB91" s="3" t="str">
        <f t="shared" si="390"/>
        <v/>
      </c>
      <c r="CC91" s="39" t="str">
        <f t="shared" si="391"/>
        <v/>
      </c>
      <c r="CD91" s="5" t="str">
        <f t="shared" si="392"/>
        <v/>
      </c>
      <c r="CE91" s="36" t="str">
        <f t="shared" si="393"/>
        <v/>
      </c>
      <c r="CF91" s="29"/>
      <c r="CH91" s="40"/>
      <c r="CI91" s="5"/>
      <c r="CJ91" s="5"/>
      <c r="CK91" s="5"/>
      <c r="CL91" s="5"/>
      <c r="CM91" s="5"/>
      <c r="CN91" s="5"/>
      <c r="CO91" s="5"/>
      <c r="CP91" s="2" t="str">
        <f t="shared" si="296"/>
        <v/>
      </c>
      <c r="CQ91" s="4"/>
      <c r="CR91" s="5"/>
      <c r="CS91" s="36" t="str">
        <f>IF(CR91="","",CR91/(CI91*100))</f>
        <v/>
      </c>
      <c r="CT91" s="29"/>
      <c r="CV91" s="40"/>
      <c r="CW91" s="5"/>
      <c r="CX91" s="5"/>
      <c r="CY91" s="5"/>
      <c r="CZ91" s="5"/>
      <c r="DA91" s="5"/>
      <c r="DB91" s="5"/>
      <c r="DC91" s="5"/>
      <c r="DD91" s="2" t="str">
        <f t="shared" si="396"/>
        <v/>
      </c>
      <c r="DE91" s="4"/>
      <c r="DF91" s="5"/>
      <c r="DG91" s="36" t="str">
        <f>IF(DF91="","",DF91/(CW91*100))</f>
        <v/>
      </c>
      <c r="DH91" s="29"/>
      <c r="DJ91" s="40"/>
      <c r="DK91" s="5"/>
      <c r="DL91" s="5"/>
      <c r="DM91" s="5"/>
      <c r="DN91" s="5"/>
      <c r="DO91" s="5"/>
      <c r="DP91" s="5"/>
      <c r="DQ91" s="5"/>
      <c r="DR91" s="2" t="str">
        <f t="shared" si="394"/>
        <v/>
      </c>
      <c r="DS91" s="4"/>
      <c r="DT91" s="5"/>
      <c r="DU91" s="36" t="str">
        <f>IF(DT91="","",DT91/(DK91*100))</f>
        <v/>
      </c>
      <c r="DV91" s="29"/>
      <c r="DX91" s="40"/>
      <c r="DY91" s="5"/>
      <c r="DZ91" s="5"/>
      <c r="EA91" s="5"/>
      <c r="EB91" s="5"/>
      <c r="EC91" s="5"/>
      <c r="ED91" s="5"/>
      <c r="EE91" s="5"/>
      <c r="EF91" s="2" t="str">
        <f t="shared" si="314"/>
        <v/>
      </c>
      <c r="EG91" s="4"/>
      <c r="EH91" s="5"/>
      <c r="EI91" s="36" t="str">
        <f>IF(EH91="","",EH91/(DY91*100))</f>
        <v/>
      </c>
      <c r="EJ91" s="29"/>
      <c r="EL91" s="40"/>
      <c r="EM91" s="5"/>
      <c r="EN91" s="5"/>
      <c r="EO91" s="5"/>
      <c r="EP91" s="5"/>
      <c r="EQ91" s="5"/>
      <c r="ER91" s="5"/>
      <c r="ES91" s="5"/>
      <c r="ET91" s="2" t="str">
        <f t="shared" si="321"/>
        <v/>
      </c>
      <c r="EU91" s="4"/>
      <c r="EV91" s="5"/>
      <c r="EW91" s="36" t="str">
        <f>IF(EV91="","",EV91/(EM91*100))</f>
        <v/>
      </c>
      <c r="EX91" s="29"/>
      <c r="EZ91" s="40"/>
      <c r="FA91" s="5"/>
      <c r="FB91" s="5"/>
      <c r="FC91" s="5"/>
      <c r="FD91" s="5"/>
      <c r="FE91" s="5"/>
      <c r="FF91" s="5"/>
      <c r="FG91" s="5"/>
      <c r="FH91" s="2" t="str">
        <f t="shared" si="397"/>
        <v/>
      </c>
      <c r="FI91" s="4"/>
      <c r="FJ91" s="5"/>
      <c r="FK91" s="36" t="str">
        <f>IF(FJ91="","",FJ91/(FA91*100))</f>
        <v/>
      </c>
      <c r="FL91" s="29"/>
      <c r="FN91" s="40"/>
      <c r="FO91" s="5"/>
      <c r="FP91" s="5"/>
      <c r="FQ91" s="5"/>
      <c r="FR91" s="5"/>
      <c r="FS91" s="5"/>
      <c r="FT91" s="5"/>
      <c r="FU91" s="5"/>
      <c r="FV91" s="2" t="str">
        <f t="shared" si="334"/>
        <v/>
      </c>
      <c r="FW91" s="4"/>
      <c r="FX91" s="5"/>
      <c r="FY91" s="36" t="str">
        <f>IF(FX91="","",FX91/(FO91*100))</f>
        <v/>
      </c>
      <c r="FZ91" s="29"/>
      <c r="GB91" s="40"/>
      <c r="GC91" s="5"/>
      <c r="GD91" s="5"/>
      <c r="GE91" s="5"/>
      <c r="GF91" s="5"/>
      <c r="GG91" s="5"/>
      <c r="GH91" s="5"/>
      <c r="GI91" s="5"/>
      <c r="GJ91" s="2" t="str">
        <f t="shared" si="406"/>
        <v/>
      </c>
      <c r="GK91" s="4"/>
      <c r="GL91" s="5"/>
      <c r="GM91" s="36" t="str">
        <f>IF(GL91="","",GL91/(GC91*100))</f>
        <v/>
      </c>
      <c r="GN91" s="29"/>
      <c r="GP91" s="40"/>
      <c r="GQ91" s="5"/>
      <c r="GR91" s="5"/>
      <c r="GS91" s="5"/>
      <c r="GT91" s="5"/>
      <c r="GU91" s="5"/>
      <c r="GV91" s="5"/>
      <c r="GW91" s="5"/>
      <c r="GX91" s="5"/>
      <c r="GY91" s="5"/>
      <c r="GZ91" s="2" t="str">
        <f t="shared" si="348"/>
        <v/>
      </c>
      <c r="HA91" s="4"/>
      <c r="HB91" s="5"/>
      <c r="HC91" s="36" t="str">
        <f>IF(HB91="","",HB91/(GQ91*100))</f>
        <v/>
      </c>
      <c r="HD91" s="29"/>
      <c r="HF91" s="40"/>
      <c r="HG91" s="5"/>
      <c r="HH91" s="5"/>
      <c r="HI91" s="5"/>
      <c r="HJ91" s="29"/>
      <c r="HL91" s="40"/>
      <c r="HM91" s="5"/>
      <c r="HN91" s="5"/>
      <c r="HO91" s="5"/>
      <c r="HP91" s="29"/>
      <c r="HR91" s="40"/>
      <c r="HS91" s="5"/>
      <c r="HT91" s="5"/>
      <c r="HU91" s="5"/>
      <c r="HV91" s="29"/>
    </row>
    <row r="92" spans="1:230" ht="15" customHeight="1" thickBot="1" x14ac:dyDescent="0.25">
      <c r="A92" s="60"/>
      <c r="B92" s="73"/>
      <c r="C92" s="44">
        <v>23352</v>
      </c>
      <c r="D92" s="74">
        <f t="shared" si="355"/>
        <v>13</v>
      </c>
      <c r="E92" s="44">
        <v>1174</v>
      </c>
      <c r="F92" s="44">
        <f t="shared" si="356"/>
        <v>1</v>
      </c>
      <c r="G92" s="44">
        <v>47</v>
      </c>
      <c r="H92" s="44">
        <f t="shared" si="357"/>
        <v>1</v>
      </c>
      <c r="I92" s="62">
        <v>0</v>
      </c>
      <c r="J92" s="45" t="str">
        <f t="shared" si="358"/>
        <v>ふわもちミニスクイーズ</v>
      </c>
      <c r="K92" s="61">
        <f t="shared" si="359"/>
        <v>99</v>
      </c>
      <c r="L92" s="44">
        <f t="shared" si="360"/>
        <v>99</v>
      </c>
      <c r="M92" s="46">
        <f t="shared" si="361"/>
        <v>7.6153846153846155E-2</v>
      </c>
      <c r="N92" s="29"/>
      <c r="P92" s="60"/>
      <c r="Q92" s="44">
        <v>9278</v>
      </c>
      <c r="R92" s="61">
        <f t="shared" si="362"/>
        <v>48</v>
      </c>
      <c r="S92" s="44">
        <v>225</v>
      </c>
      <c r="T92" s="44">
        <f t="shared" si="363"/>
        <v>0</v>
      </c>
      <c r="U92" s="44">
        <v>18</v>
      </c>
      <c r="V92" s="44">
        <f t="shared" si="364"/>
        <v>0</v>
      </c>
      <c r="W92" s="62">
        <v>0</v>
      </c>
      <c r="X92" s="45" t="s">
        <v>225</v>
      </c>
      <c r="Y92" s="61">
        <v>200</v>
      </c>
      <c r="Z92" s="44">
        <f t="shared" si="367"/>
        <v>0</v>
      </c>
      <c r="AA92" s="46">
        <f t="shared" si="368"/>
        <v>0</v>
      </c>
      <c r="AB92" s="29"/>
      <c r="AD92" s="60"/>
      <c r="AE92" s="44">
        <v>837</v>
      </c>
      <c r="AF92" s="61">
        <f t="shared" si="369"/>
        <v>63</v>
      </c>
      <c r="AG92" s="44">
        <v>28</v>
      </c>
      <c r="AH92" s="44">
        <f t="shared" si="370"/>
        <v>1</v>
      </c>
      <c r="AI92" s="44">
        <v>13</v>
      </c>
      <c r="AJ92" s="44">
        <f t="shared" si="371"/>
        <v>1</v>
      </c>
      <c r="AK92" s="62">
        <v>2</v>
      </c>
      <c r="AL92" s="45" t="str">
        <f t="shared" si="408"/>
        <v>バタースクイーズ</v>
      </c>
      <c r="AM92" s="61">
        <f t="shared" si="408"/>
        <v>260</v>
      </c>
      <c r="AN92" s="44">
        <f t="shared" si="372"/>
        <v>260</v>
      </c>
      <c r="AO92" s="46">
        <f t="shared" si="373"/>
        <v>4.1269841269841269E-2</v>
      </c>
      <c r="AP92" s="29"/>
      <c r="AR92" s="60"/>
      <c r="AS92" s="44">
        <v>1133</v>
      </c>
      <c r="AT92" s="61">
        <f t="shared" si="374"/>
        <v>76</v>
      </c>
      <c r="AU92" s="44">
        <v>32</v>
      </c>
      <c r="AV92" s="44">
        <f t="shared" si="375"/>
        <v>3</v>
      </c>
      <c r="AW92" s="44">
        <v>3</v>
      </c>
      <c r="AX92" s="44">
        <f t="shared" si="376"/>
        <v>3</v>
      </c>
      <c r="AY92" s="62">
        <v>9</v>
      </c>
      <c r="AZ92" s="45" t="str">
        <f t="shared" si="409"/>
        <v>パンケーキスクイーズ</v>
      </c>
      <c r="BA92" s="61">
        <f t="shared" si="409"/>
        <v>437</v>
      </c>
      <c r="BB92" s="44">
        <f t="shared" si="378"/>
        <v>1311</v>
      </c>
      <c r="BC92" s="46">
        <f t="shared" si="379"/>
        <v>0.17249999999999999</v>
      </c>
      <c r="BD92" s="29" t="s">
        <v>227</v>
      </c>
      <c r="BE92" s="32"/>
      <c r="BF92" s="41"/>
      <c r="BG92" s="44">
        <v>4250</v>
      </c>
      <c r="BH92" s="61">
        <f t="shared" si="380"/>
        <v>173</v>
      </c>
      <c r="BI92" s="44">
        <v>48</v>
      </c>
      <c r="BJ92" s="44">
        <f t="shared" si="381"/>
        <v>2</v>
      </c>
      <c r="BK92" s="44">
        <v>1</v>
      </c>
      <c r="BL92" s="44">
        <f t="shared" si="382"/>
        <v>2</v>
      </c>
      <c r="BM92" s="62">
        <v>2</v>
      </c>
      <c r="BN92" s="45" t="str">
        <f t="shared" si="383"/>
        <v>ボンボンドロップシール</v>
      </c>
      <c r="BO92" s="61">
        <f t="shared" si="384"/>
        <v>1500</v>
      </c>
      <c r="BP92" s="44">
        <f t="shared" si="385"/>
        <v>3000</v>
      </c>
      <c r="BQ92" s="46">
        <f t="shared" si="386"/>
        <v>0.17341040462427745</v>
      </c>
      <c r="BR92" s="29"/>
      <c r="BT92" s="41"/>
      <c r="BU92" s="44"/>
      <c r="BV92" s="61" t="str">
        <f t="shared" si="387"/>
        <v/>
      </c>
      <c r="BW92" s="44"/>
      <c r="BX92" s="44" t="str">
        <f t="shared" si="388"/>
        <v/>
      </c>
      <c r="BY92" s="44"/>
      <c r="BZ92" s="44" t="str">
        <f t="shared" si="389"/>
        <v/>
      </c>
      <c r="CA92" s="62"/>
      <c r="CB92" s="45" t="str">
        <f t="shared" si="390"/>
        <v/>
      </c>
      <c r="CC92" s="61" t="str">
        <f t="shared" si="391"/>
        <v/>
      </c>
      <c r="CD92" s="44" t="str">
        <f t="shared" si="392"/>
        <v/>
      </c>
      <c r="CE92" s="46" t="str">
        <f t="shared" si="393"/>
        <v/>
      </c>
      <c r="CF92" s="29"/>
      <c r="CH92" s="40"/>
      <c r="CI92" s="5"/>
      <c r="CJ92" s="5" t="str">
        <f>IF(CI92="","",CI92-CI93)</f>
        <v/>
      </c>
      <c r="CK92" s="5"/>
      <c r="CL92" s="5" t="str">
        <f>IF(CK92="","",CK92-CK93)</f>
        <v/>
      </c>
      <c r="CM92" s="5"/>
      <c r="CN92" s="5" t="str">
        <f>IF(CM92="","",CM93+CO93-CM92)</f>
        <v/>
      </c>
      <c r="CO92" s="5"/>
      <c r="CP92" s="2" t="str">
        <f t="shared" si="296"/>
        <v/>
      </c>
      <c r="CQ92" s="4" t="str">
        <f>IF(CI92="","",CQ93)</f>
        <v/>
      </c>
      <c r="CR92" s="5" t="str">
        <f t="shared" ref="CR92:CR124" si="410">IF(CQ92="","",CN92*CQ92)</f>
        <v/>
      </c>
      <c r="CS92" s="36" t="str">
        <f t="shared" ref="CS92:CS124" si="411">IF(CR92="","",CR92/(CJ92*100))</f>
        <v/>
      </c>
      <c r="CT92" s="29"/>
      <c r="CV92" s="40"/>
      <c r="CW92" s="5"/>
      <c r="CX92" s="5" t="str">
        <f>IF(CW92="","",CW92-CW93)</f>
        <v/>
      </c>
      <c r="CY92" s="5"/>
      <c r="CZ92" s="5" t="str">
        <f>IF(CY92="","",CY92-CY93)</f>
        <v/>
      </c>
      <c r="DA92" s="5"/>
      <c r="DB92" s="5" t="str">
        <f>IF(DA92="","",DA93+DC93-DA92)</f>
        <v/>
      </c>
      <c r="DC92" s="5"/>
      <c r="DD92" s="2" t="str">
        <f t="shared" si="396"/>
        <v/>
      </c>
      <c r="DE92" s="4" t="str">
        <f>IF(CW92="","",DE93)</f>
        <v/>
      </c>
      <c r="DF92" s="5" t="str">
        <f t="shared" ref="DF92:DF124" si="412">IF(DE92="","",DB92*DE92)</f>
        <v/>
      </c>
      <c r="DG92" s="36" t="str">
        <f t="shared" ref="DG92:DG124" si="413">IF(DF92="","",DF92/(CX92*100))</f>
        <v/>
      </c>
      <c r="DH92" s="29"/>
      <c r="DJ92" s="40"/>
      <c r="DK92" s="5"/>
      <c r="DL92" s="5" t="str">
        <f>IF(DK92="","",DK92-DK93)</f>
        <v/>
      </c>
      <c r="DM92" s="5"/>
      <c r="DN92" s="5" t="str">
        <f>IF(DM92="","",DM92-DM93)</f>
        <v/>
      </c>
      <c r="DO92" s="5"/>
      <c r="DP92" s="5" t="str">
        <f>IF(DO92="","",DO93+DQ93-DO92)</f>
        <v/>
      </c>
      <c r="DQ92" s="5"/>
      <c r="DR92" s="2" t="str">
        <f t="shared" si="394"/>
        <v/>
      </c>
      <c r="DS92" s="4" t="str">
        <f>IF(DK92="","",DS93)</f>
        <v/>
      </c>
      <c r="DT92" s="5" t="str">
        <f t="shared" ref="DT92:DT124" si="414">IF(DS92="","",DP92*DS92)</f>
        <v/>
      </c>
      <c r="DU92" s="36" t="str">
        <f t="shared" ref="DU92:DU124" si="415">IF(DT92="","",DT92/(DL92*100))</f>
        <v/>
      </c>
      <c r="DV92" s="29"/>
      <c r="DX92" s="40"/>
      <c r="DY92" s="5"/>
      <c r="DZ92" s="5" t="str">
        <f>IF(DY92="","",DY92-DY93)</f>
        <v/>
      </c>
      <c r="EA92" s="5"/>
      <c r="EB92" s="5" t="str">
        <f>IF(EA92="","",EA92-EA93)</f>
        <v/>
      </c>
      <c r="EC92" s="5"/>
      <c r="ED92" s="5" t="str">
        <f>IF(EC92="","",EC93+EE93-EC92)</f>
        <v/>
      </c>
      <c r="EE92" s="5"/>
      <c r="EF92" s="2" t="str">
        <f t="shared" si="314"/>
        <v/>
      </c>
      <c r="EG92" s="4" t="str">
        <f>IF(DY92="","",EG93)</f>
        <v/>
      </c>
      <c r="EH92" s="5" t="str">
        <f t="shared" ref="EH92:EH124" si="416">IF(EG92="","",ED92*EG92)</f>
        <v/>
      </c>
      <c r="EI92" s="36" t="str">
        <f t="shared" ref="EI92:EI124" si="417">IF(EH92="","",EH92/(DZ92*100))</f>
        <v/>
      </c>
      <c r="EJ92" s="29"/>
      <c r="EL92" s="40"/>
      <c r="EM92" s="5"/>
      <c r="EN92" s="5" t="str">
        <f>IF(EM92="","",EM92-EM93)</f>
        <v/>
      </c>
      <c r="EO92" s="5"/>
      <c r="EP92" s="5" t="str">
        <f>IF(EO92="","",EO92-EO93)</f>
        <v/>
      </c>
      <c r="EQ92" s="5"/>
      <c r="ER92" s="5" t="str">
        <f>IF(EQ92="","",EQ93+ES93-EQ92)</f>
        <v/>
      </c>
      <c r="ES92" s="5"/>
      <c r="ET92" s="2" t="str">
        <f t="shared" si="321"/>
        <v/>
      </c>
      <c r="EU92" s="4" t="str">
        <f>IF(EM92="","",EU93)</f>
        <v/>
      </c>
      <c r="EV92" s="5" t="str">
        <f t="shared" ref="EV92:EV124" si="418">IF(EU92="","",ER92*EU92)</f>
        <v/>
      </c>
      <c r="EW92" s="36" t="str">
        <f t="shared" ref="EW92:EW124" si="419">IF(EV92="","",EV92/(EN92*100))</f>
        <v/>
      </c>
      <c r="EX92" s="29"/>
      <c r="EZ92" s="40"/>
      <c r="FA92" s="5"/>
      <c r="FB92" s="5" t="str">
        <f>IF(FA92="","",FA92-FA93)</f>
        <v/>
      </c>
      <c r="FC92" s="5"/>
      <c r="FD92" s="5" t="str">
        <f>IF(FC92="","",FC92-FC93)</f>
        <v/>
      </c>
      <c r="FE92" s="5"/>
      <c r="FF92" s="5" t="str">
        <f>IF(FE92="","",FE93+FG93-FE92)</f>
        <v/>
      </c>
      <c r="FG92" s="5"/>
      <c r="FH92" s="2" t="str">
        <f t="shared" si="397"/>
        <v/>
      </c>
      <c r="FI92" s="4" t="str">
        <f>IF(FA92="","",FI93)</f>
        <v/>
      </c>
      <c r="FJ92" s="5" t="str">
        <f t="shared" ref="FJ92:FJ124" si="420">IF(FI92="","",FF92*FI92)</f>
        <v/>
      </c>
      <c r="FK92" s="36" t="str">
        <f t="shared" ref="FK92:FK124" si="421">IF(FJ92="","",FJ92/(FB92*100))</f>
        <v/>
      </c>
      <c r="FL92" s="29"/>
      <c r="FN92" s="40"/>
      <c r="FO92" s="5"/>
      <c r="FP92" s="5" t="str">
        <f>IF(FO92="","",FO92-FO93)</f>
        <v/>
      </c>
      <c r="FQ92" s="5"/>
      <c r="FR92" s="5" t="str">
        <f>IF(FQ92="","",FQ92-FQ93)</f>
        <v/>
      </c>
      <c r="FS92" s="5"/>
      <c r="FT92" s="5" t="str">
        <f>IF(FS92="","",FS93+FU93-FS92)</f>
        <v/>
      </c>
      <c r="FU92" s="5"/>
      <c r="FV92" s="2" t="str">
        <f t="shared" si="334"/>
        <v/>
      </c>
      <c r="FW92" s="4" t="str">
        <f>IF(FO92="","",FW93)</f>
        <v/>
      </c>
      <c r="FX92" s="5" t="str">
        <f t="shared" ref="FX92:FX124" si="422">IF(FW92="","",FT92*FW92)</f>
        <v/>
      </c>
      <c r="FY92" s="36" t="str">
        <f t="shared" ref="FY92:FY124" si="423">IF(FX92="","",FX92/(FP92*100))</f>
        <v/>
      </c>
      <c r="FZ92" s="29"/>
      <c r="GB92" s="40"/>
      <c r="GC92" s="5"/>
      <c r="GD92" s="5" t="str">
        <f>IF(GC92="","",GC92-GC93)</f>
        <v/>
      </c>
      <c r="GE92" s="5"/>
      <c r="GF92" s="5" t="str">
        <f>IF(GE92="","",GE92-GE93)</f>
        <v/>
      </c>
      <c r="GG92" s="5"/>
      <c r="GH92" s="5" t="str">
        <f>IF(GG92="","",GG93+GI93-GG92)</f>
        <v/>
      </c>
      <c r="GI92" s="5"/>
      <c r="GJ92" s="2" t="str">
        <f t="shared" si="406"/>
        <v/>
      </c>
      <c r="GK92" s="4" t="str">
        <f>IF(GC92="","",GK93)</f>
        <v/>
      </c>
      <c r="GL92" s="5" t="str">
        <f t="shared" ref="GL92:GL124" si="424">IF(GK92="","",GH92*GK92)</f>
        <v/>
      </c>
      <c r="GM92" s="36" t="str">
        <f t="shared" ref="GM92:GM124" si="425">IF(GL92="","",GL92/(GD92*100))</f>
        <v/>
      </c>
      <c r="GN92" s="29"/>
      <c r="GP92" s="40"/>
      <c r="GQ92" s="5"/>
      <c r="GR92" s="5" t="str">
        <f>IF(GQ92="","",GQ92-GQ93)</f>
        <v/>
      </c>
      <c r="GS92" s="5"/>
      <c r="GT92" s="5" t="str">
        <f>IF(GS92="","",GS92-GS93)</f>
        <v/>
      </c>
      <c r="GU92" s="5"/>
      <c r="GV92" s="5" t="str">
        <f>IF(GU92="","",GU92-GU93)</f>
        <v/>
      </c>
      <c r="GW92" s="5"/>
      <c r="GX92" s="5" t="str">
        <f>IF(GW92="","",GW93+GY93-GW92)</f>
        <v/>
      </c>
      <c r="GY92" s="5"/>
      <c r="GZ92" s="2" t="str">
        <f t="shared" si="348"/>
        <v/>
      </c>
      <c r="HA92" s="4" t="str">
        <f>IF(GQ92="","",HA93)</f>
        <v/>
      </c>
      <c r="HB92" s="5" t="str">
        <f t="shared" ref="HB92:HB124" si="426">IF(HA92="","",GX92*HA92)</f>
        <v/>
      </c>
      <c r="HC92" s="36" t="str">
        <f t="shared" ref="HC92:HC124" si="427">IF(HB92="","",HB92/(GR92*100))</f>
        <v/>
      </c>
      <c r="HD92" s="29"/>
      <c r="HF92" s="40"/>
      <c r="HG92" s="5"/>
      <c r="HH92" s="5" t="str">
        <f>IF(HG92="","",HG92-HG93)</f>
        <v/>
      </c>
      <c r="HI92" s="5"/>
      <c r="HJ92" s="29"/>
      <c r="HL92" s="40"/>
      <c r="HM92" s="5"/>
      <c r="HN92" s="5" t="str">
        <f>IF(HM92="","",HM92-HM93)</f>
        <v/>
      </c>
      <c r="HO92" s="5"/>
      <c r="HP92" s="29"/>
      <c r="HR92" s="40"/>
      <c r="HS92" s="5"/>
      <c r="HT92" s="5" t="str">
        <f>IF(HS92="","",HS92-HS93)</f>
        <v/>
      </c>
      <c r="HU92" s="5"/>
      <c r="HV92" s="29"/>
    </row>
    <row r="93" spans="1:230" ht="15" customHeight="1" thickTop="1" x14ac:dyDescent="0.2">
      <c r="A93" s="49">
        <v>46146</v>
      </c>
      <c r="B93" s="26">
        <f>SUM(D93:D96)+SUM(R93:R96)+SUM(AF93:AF96)+SUM(AT93:AT96)+SUM(CJ81,CX81,DL81,DZ81,EN81,FB81,FP81,GD81,GR81,HH81,HN81,HT81)+SUM(BH93:BH96)+SUM(BV93:BV94)</f>
        <v>3356</v>
      </c>
      <c r="C93" s="4">
        <v>13699</v>
      </c>
      <c r="D93" s="4">
        <f t="shared" si="355"/>
        <v>125</v>
      </c>
      <c r="E93" s="4">
        <v>357</v>
      </c>
      <c r="F93" s="50">
        <f t="shared" si="356"/>
        <v>4</v>
      </c>
      <c r="G93" s="4">
        <v>6</v>
      </c>
      <c r="H93" s="4">
        <f t="shared" si="357"/>
        <v>5</v>
      </c>
      <c r="I93" s="51">
        <v>5</v>
      </c>
      <c r="J93" s="3" t="str">
        <f t="shared" si="358"/>
        <v>キティダブルミラー</v>
      </c>
      <c r="K93" s="39">
        <f t="shared" si="359"/>
        <v>660</v>
      </c>
      <c r="L93" s="50">
        <f t="shared" si="360"/>
        <v>3300</v>
      </c>
      <c r="M93" s="52">
        <f t="shared" si="361"/>
        <v>0.26400000000000001</v>
      </c>
      <c r="N93" s="29"/>
      <c r="P93" s="53">
        <f>IF($A93="","",$A93)</f>
        <v>46146</v>
      </c>
      <c r="Q93" s="4">
        <v>4394</v>
      </c>
      <c r="R93" s="4">
        <f t="shared" si="362"/>
        <v>68</v>
      </c>
      <c r="S93" s="4">
        <v>197</v>
      </c>
      <c r="T93" s="50">
        <f t="shared" si="363"/>
        <v>1</v>
      </c>
      <c r="U93" s="4">
        <v>2</v>
      </c>
      <c r="V93" s="4">
        <f t="shared" si="364"/>
        <v>1</v>
      </c>
      <c r="W93" s="51">
        <v>4</v>
      </c>
      <c r="X93" s="3" t="str">
        <f t="shared" ref="X93:Y98" si="428">IF(Q93="","",X89)</f>
        <v>サンリオボアバンスクリップ</v>
      </c>
      <c r="Y93" s="39">
        <f t="shared" si="428"/>
        <v>660</v>
      </c>
      <c r="Z93" s="50">
        <f t="shared" si="367"/>
        <v>660</v>
      </c>
      <c r="AA93" s="52">
        <f t="shared" si="368"/>
        <v>9.7058823529411767E-2</v>
      </c>
      <c r="AB93" s="29"/>
      <c r="AD93" s="53">
        <f>IF($A93="","",$A93)</f>
        <v>46146</v>
      </c>
      <c r="AE93" s="4">
        <v>2262</v>
      </c>
      <c r="AF93" s="4">
        <f t="shared" si="369"/>
        <v>50</v>
      </c>
      <c r="AG93" s="4">
        <v>37</v>
      </c>
      <c r="AH93" s="50">
        <f t="shared" si="370"/>
        <v>5</v>
      </c>
      <c r="AI93" s="4">
        <v>4</v>
      </c>
      <c r="AJ93" s="4">
        <f t="shared" si="371"/>
        <v>5</v>
      </c>
      <c r="AK93" s="51">
        <v>3</v>
      </c>
      <c r="AL93" s="3" t="s">
        <v>229</v>
      </c>
      <c r="AM93" s="39">
        <v>792</v>
      </c>
      <c r="AN93" s="50">
        <f t="shared" si="372"/>
        <v>3960</v>
      </c>
      <c r="AO93" s="52">
        <f t="shared" si="373"/>
        <v>0.79200000000000004</v>
      </c>
      <c r="AP93" s="29" t="s">
        <v>230</v>
      </c>
      <c r="AR93" s="53">
        <f>IF($A93="","",$A93)</f>
        <v>46146</v>
      </c>
      <c r="AS93" s="4">
        <v>2069</v>
      </c>
      <c r="AT93" s="4">
        <f t="shared" si="374"/>
        <v>109</v>
      </c>
      <c r="AU93" s="4">
        <v>48</v>
      </c>
      <c r="AV93" s="50">
        <f t="shared" si="375"/>
        <v>3</v>
      </c>
      <c r="AW93" s="4">
        <v>11</v>
      </c>
      <c r="AX93" s="4">
        <f t="shared" si="376"/>
        <v>3</v>
      </c>
      <c r="AY93" s="51">
        <v>6</v>
      </c>
      <c r="AZ93" s="3" t="str">
        <f t="shared" si="409"/>
        <v>ベアブリック</v>
      </c>
      <c r="BA93" s="39">
        <f t="shared" si="409"/>
        <v>847</v>
      </c>
      <c r="BB93" s="50">
        <f t="shared" si="378"/>
        <v>2541</v>
      </c>
      <c r="BC93" s="52">
        <f t="shared" si="379"/>
        <v>0.23311926605504588</v>
      </c>
      <c r="BD93" s="29"/>
      <c r="BE93" s="32"/>
      <c r="BF93" s="33">
        <f>IF($A93="","",$A93)</f>
        <v>46146</v>
      </c>
      <c r="BG93" s="4">
        <v>3426</v>
      </c>
      <c r="BH93" s="4">
        <f t="shared" si="380"/>
        <v>199</v>
      </c>
      <c r="BI93" s="4">
        <v>30</v>
      </c>
      <c r="BJ93" s="50">
        <f t="shared" si="381"/>
        <v>0</v>
      </c>
      <c r="BK93" s="4">
        <v>2</v>
      </c>
      <c r="BL93" s="4">
        <f t="shared" si="382"/>
        <v>1</v>
      </c>
      <c r="BM93" s="51">
        <v>1</v>
      </c>
      <c r="BN93" s="3" t="str">
        <f t="shared" si="383"/>
        <v>ボンボンドロップシール</v>
      </c>
      <c r="BO93" s="39">
        <f t="shared" si="384"/>
        <v>1500</v>
      </c>
      <c r="BP93" s="50">
        <f t="shared" si="385"/>
        <v>1500</v>
      </c>
      <c r="BQ93" s="52">
        <f t="shared" si="386"/>
        <v>7.5376884422110546E-2</v>
      </c>
      <c r="BR93" s="29"/>
      <c r="BT93" s="33">
        <f>IF($A93="","",$A93)</f>
        <v>46146</v>
      </c>
      <c r="BU93" s="4">
        <v>36197</v>
      </c>
      <c r="BV93" s="4">
        <f t="shared" si="387"/>
        <v>144</v>
      </c>
      <c r="BW93" s="4">
        <v>3894</v>
      </c>
      <c r="BX93" s="50">
        <f t="shared" si="388"/>
        <v>2</v>
      </c>
      <c r="BY93" s="4">
        <v>48</v>
      </c>
      <c r="BZ93" s="4">
        <f t="shared" si="389"/>
        <v>2</v>
      </c>
      <c r="CA93" s="51">
        <v>8</v>
      </c>
      <c r="CB93" s="3" t="str">
        <f t="shared" si="390"/>
        <v>ベイビースリーフェイス</v>
      </c>
      <c r="CC93" s="39">
        <f t="shared" si="391"/>
        <v>1050</v>
      </c>
      <c r="CD93" s="50">
        <f t="shared" si="392"/>
        <v>2100</v>
      </c>
      <c r="CE93" s="52">
        <f t="shared" si="393"/>
        <v>0.14583333333333334</v>
      </c>
      <c r="CF93" s="29"/>
      <c r="CH93" s="40"/>
      <c r="CI93" s="5"/>
      <c r="CJ93" s="5" t="str">
        <f>IF(CI93="","",CI93-CI90)</f>
        <v/>
      </c>
      <c r="CK93" s="5"/>
      <c r="CL93" s="5" t="str">
        <f>IF(CK93="","",CK93-CK90)</f>
        <v/>
      </c>
      <c r="CM93" s="5"/>
      <c r="CN93" s="5" t="str">
        <f>IF(CM93="","",CM90+CO90-CM93)</f>
        <v/>
      </c>
      <c r="CO93" s="5"/>
      <c r="CP93" s="2" t="str">
        <f t="shared" si="296"/>
        <v/>
      </c>
      <c r="CQ93" s="4" t="str">
        <f>IF(CI93="","",CQ90)</f>
        <v/>
      </c>
      <c r="CR93" s="5" t="str">
        <f t="shared" si="410"/>
        <v/>
      </c>
      <c r="CS93" s="36" t="str">
        <f t="shared" si="411"/>
        <v/>
      </c>
      <c r="CT93" s="29"/>
      <c r="CV93" s="40"/>
      <c r="CW93" s="5"/>
      <c r="CX93" s="5" t="str">
        <f>IF(CW93="","",CW93-CW90)</f>
        <v/>
      </c>
      <c r="CY93" s="5"/>
      <c r="CZ93" s="5" t="str">
        <f>IF(CY93="","",CY93-CY90)</f>
        <v/>
      </c>
      <c r="DA93" s="5"/>
      <c r="DB93" s="5" t="str">
        <f>IF(DA93="","",DA90+DC90-DA93)</f>
        <v/>
      </c>
      <c r="DC93" s="5"/>
      <c r="DD93" s="2" t="str">
        <f t="shared" si="396"/>
        <v/>
      </c>
      <c r="DE93" s="4" t="str">
        <f>IF(CW93="","",DE90)</f>
        <v/>
      </c>
      <c r="DF93" s="5" t="str">
        <f t="shared" si="412"/>
        <v/>
      </c>
      <c r="DG93" s="36" t="str">
        <f t="shared" si="413"/>
        <v/>
      </c>
      <c r="DH93" s="29"/>
      <c r="DJ93" s="40"/>
      <c r="DK93" s="5"/>
      <c r="DL93" s="5" t="str">
        <f>IF(DK93="","",DK93-DK90)</f>
        <v/>
      </c>
      <c r="DM93" s="5"/>
      <c r="DN93" s="5" t="str">
        <f>IF(DM93="","",DM93-DM90)</f>
        <v/>
      </c>
      <c r="DO93" s="5"/>
      <c r="DP93" s="5" t="str">
        <f>IF(DO93="","",DO90+DQ90-DO93)</f>
        <v/>
      </c>
      <c r="DQ93" s="5"/>
      <c r="DR93" s="2" t="str">
        <f t="shared" si="394"/>
        <v/>
      </c>
      <c r="DS93" s="4" t="str">
        <f>IF(DK93="","",DS90)</f>
        <v/>
      </c>
      <c r="DT93" s="5" t="str">
        <f t="shared" si="414"/>
        <v/>
      </c>
      <c r="DU93" s="36" t="str">
        <f t="shared" si="415"/>
        <v/>
      </c>
      <c r="DV93" s="29"/>
      <c r="DX93" s="40"/>
      <c r="DY93" s="5"/>
      <c r="DZ93" s="5" t="str">
        <f>IF(DY93="","",DY93-DY90)</f>
        <v/>
      </c>
      <c r="EA93" s="5"/>
      <c r="EB93" s="5" t="str">
        <f>IF(EA93="","",EA93-EA90)</f>
        <v/>
      </c>
      <c r="EC93" s="5"/>
      <c r="ED93" s="5" t="str">
        <f>IF(EC93="","",EC90+EE90-EC93)</f>
        <v/>
      </c>
      <c r="EE93" s="5"/>
      <c r="EF93" s="2" t="str">
        <f t="shared" si="314"/>
        <v/>
      </c>
      <c r="EG93" s="4" t="str">
        <f>IF(DY93="","",EG90)</f>
        <v/>
      </c>
      <c r="EH93" s="5" t="str">
        <f t="shared" si="416"/>
        <v/>
      </c>
      <c r="EI93" s="36" t="str">
        <f t="shared" si="417"/>
        <v/>
      </c>
      <c r="EJ93" s="29"/>
      <c r="EL93" s="40"/>
      <c r="EM93" s="5"/>
      <c r="EN93" s="5" t="str">
        <f>IF(EM93="","",EM93-EM90)</f>
        <v/>
      </c>
      <c r="EO93" s="5"/>
      <c r="EP93" s="5" t="str">
        <f>IF(EO93="","",EO93-EO90)</f>
        <v/>
      </c>
      <c r="EQ93" s="5"/>
      <c r="ER93" s="5" t="str">
        <f>IF(EQ93="","",EQ90+ES90-EQ93)</f>
        <v/>
      </c>
      <c r="ES93" s="5"/>
      <c r="ET93" s="2" t="str">
        <f t="shared" si="321"/>
        <v/>
      </c>
      <c r="EU93" s="4" t="str">
        <f>IF(EM93="","",EU90)</f>
        <v/>
      </c>
      <c r="EV93" s="5" t="str">
        <f t="shared" si="418"/>
        <v/>
      </c>
      <c r="EW93" s="36" t="str">
        <f t="shared" si="419"/>
        <v/>
      </c>
      <c r="EX93" s="29"/>
      <c r="EZ93" s="40"/>
      <c r="FA93" s="5"/>
      <c r="FB93" s="5" t="str">
        <f>IF(FA93="","",FA93-FA90)</f>
        <v/>
      </c>
      <c r="FC93" s="5"/>
      <c r="FD93" s="5" t="str">
        <f>IF(FC93="","",FC93-FC90)</f>
        <v/>
      </c>
      <c r="FE93" s="5"/>
      <c r="FF93" s="5" t="str">
        <f>IF(FE93="","",FE90+FG90-FE93)</f>
        <v/>
      </c>
      <c r="FG93" s="5"/>
      <c r="FH93" s="2" t="str">
        <f t="shared" si="397"/>
        <v/>
      </c>
      <c r="FI93" s="4" t="str">
        <f>IF(FA93="","",FI90)</f>
        <v/>
      </c>
      <c r="FJ93" s="5" t="str">
        <f t="shared" si="420"/>
        <v/>
      </c>
      <c r="FK93" s="36" t="str">
        <f t="shared" si="421"/>
        <v/>
      </c>
      <c r="FL93" s="29"/>
      <c r="FN93" s="40"/>
      <c r="FO93" s="5"/>
      <c r="FP93" s="5" t="str">
        <f>IF(FO93="","",FO93-FO90)</f>
        <v/>
      </c>
      <c r="FQ93" s="5"/>
      <c r="FR93" s="5" t="str">
        <f>IF(FQ93="","",FQ93-FQ90)</f>
        <v/>
      </c>
      <c r="FS93" s="5"/>
      <c r="FT93" s="5" t="str">
        <f>IF(FS93="","",FS90+FU90-FS93)</f>
        <v/>
      </c>
      <c r="FU93" s="5"/>
      <c r="FV93" s="2" t="str">
        <f t="shared" si="334"/>
        <v/>
      </c>
      <c r="FW93" s="4" t="str">
        <f>IF(FO93="","",FW90)</f>
        <v/>
      </c>
      <c r="FX93" s="5" t="str">
        <f t="shared" si="422"/>
        <v/>
      </c>
      <c r="FY93" s="36" t="str">
        <f t="shared" si="423"/>
        <v/>
      </c>
      <c r="FZ93" s="29"/>
      <c r="GB93" s="40"/>
      <c r="GC93" s="5"/>
      <c r="GD93" s="5" t="str">
        <f>IF(GC93="","",GC93-GC90)</f>
        <v/>
      </c>
      <c r="GE93" s="5"/>
      <c r="GF93" s="5" t="str">
        <f>IF(GE93="","",GE93-GE90)</f>
        <v/>
      </c>
      <c r="GG93" s="5"/>
      <c r="GH93" s="5" t="str">
        <f>IF(GG93="","",GG90+GI90-GG93)</f>
        <v/>
      </c>
      <c r="GI93" s="5"/>
      <c r="GJ93" s="2" t="str">
        <f t="shared" si="406"/>
        <v/>
      </c>
      <c r="GK93" s="4" t="str">
        <f>IF(GC93="","",GK90)</f>
        <v/>
      </c>
      <c r="GL93" s="5" t="str">
        <f t="shared" si="424"/>
        <v/>
      </c>
      <c r="GM93" s="36" t="str">
        <f t="shared" si="425"/>
        <v/>
      </c>
      <c r="GN93" s="29"/>
      <c r="GP93" s="40"/>
      <c r="GQ93" s="5"/>
      <c r="GR93" s="5" t="str">
        <f>IF(GQ93="","",GQ93-GQ90)</f>
        <v/>
      </c>
      <c r="GS93" s="5"/>
      <c r="GT93" s="5" t="str">
        <f>IF(GS93="","",GS93-GS90)</f>
        <v/>
      </c>
      <c r="GU93" s="5"/>
      <c r="GV93" s="5" t="str">
        <f>IF(GU93="","",GU93-GU90)</f>
        <v/>
      </c>
      <c r="GW93" s="5"/>
      <c r="GX93" s="5" t="str">
        <f>IF(GW93="","",GW90+GY90-GW93)</f>
        <v/>
      </c>
      <c r="GY93" s="5"/>
      <c r="GZ93" s="2" t="str">
        <f t="shared" si="348"/>
        <v/>
      </c>
      <c r="HA93" s="4" t="str">
        <f>IF(GQ93="","",HA90)</f>
        <v/>
      </c>
      <c r="HB93" s="5" t="str">
        <f t="shared" si="426"/>
        <v/>
      </c>
      <c r="HC93" s="36" t="str">
        <f t="shared" si="427"/>
        <v/>
      </c>
      <c r="HD93" s="29"/>
      <c r="HF93" s="40"/>
      <c r="HG93" s="5"/>
      <c r="HH93" s="5" t="str">
        <f>IF(HG93="","",HG93-HG90)</f>
        <v/>
      </c>
      <c r="HI93" s="5"/>
      <c r="HJ93" s="29"/>
      <c r="HL93" s="40"/>
      <c r="HM93" s="5"/>
      <c r="HN93" s="5" t="str">
        <f>IF(HM93="","",HM93-HM90)</f>
        <v/>
      </c>
      <c r="HO93" s="5"/>
      <c r="HP93" s="29"/>
      <c r="HR93" s="40"/>
      <c r="HS93" s="5"/>
      <c r="HT93" s="5" t="str">
        <f>IF(HS93="","",HS93-HS90)</f>
        <v/>
      </c>
      <c r="HU93" s="5"/>
      <c r="HV93" s="29"/>
    </row>
    <row r="94" spans="1:230" x14ac:dyDescent="0.2">
      <c r="A94" s="49"/>
      <c r="B94" s="26"/>
      <c r="C94" s="4">
        <v>17359</v>
      </c>
      <c r="D94" s="5">
        <f t="shared" si="355"/>
        <v>143</v>
      </c>
      <c r="E94" s="5">
        <v>538</v>
      </c>
      <c r="F94" s="5">
        <f t="shared" si="356"/>
        <v>3</v>
      </c>
      <c r="G94" s="5">
        <v>6</v>
      </c>
      <c r="H94" s="5">
        <f t="shared" si="357"/>
        <v>4</v>
      </c>
      <c r="I94" s="35">
        <v>6</v>
      </c>
      <c r="J94" s="3" t="str">
        <f t="shared" si="358"/>
        <v>サンリオカラビナ付きミニファン</v>
      </c>
      <c r="K94" s="39">
        <f t="shared" si="359"/>
        <v>1100</v>
      </c>
      <c r="L94" s="5">
        <f t="shared" si="360"/>
        <v>4400</v>
      </c>
      <c r="M94" s="36">
        <f t="shared" si="361"/>
        <v>0.30769230769230771</v>
      </c>
      <c r="N94" s="29"/>
      <c r="P94" s="49"/>
      <c r="Q94" s="4">
        <v>11058</v>
      </c>
      <c r="R94" s="5">
        <f t="shared" si="362"/>
        <v>109</v>
      </c>
      <c r="S94" s="5">
        <v>188</v>
      </c>
      <c r="T94" s="5">
        <f t="shared" si="363"/>
        <v>1</v>
      </c>
      <c r="U94" s="5">
        <v>6</v>
      </c>
      <c r="V94" s="5">
        <f t="shared" si="364"/>
        <v>1</v>
      </c>
      <c r="W94" s="35">
        <v>2</v>
      </c>
      <c r="X94" s="3" t="str">
        <f t="shared" si="428"/>
        <v>サンリオヘアバンド</v>
      </c>
      <c r="Y94" s="39">
        <f t="shared" si="428"/>
        <v>825</v>
      </c>
      <c r="Z94" s="5">
        <f t="shared" si="367"/>
        <v>825</v>
      </c>
      <c r="AA94" s="36">
        <f t="shared" si="368"/>
        <v>7.5688073394495417E-2</v>
      </c>
      <c r="AB94" s="29"/>
      <c r="AD94" s="54"/>
      <c r="AE94" s="4">
        <v>2052</v>
      </c>
      <c r="AF94" s="5">
        <f t="shared" si="369"/>
        <v>91</v>
      </c>
      <c r="AG94" s="5">
        <v>33</v>
      </c>
      <c r="AH94" s="5">
        <f t="shared" si="370"/>
        <v>1</v>
      </c>
      <c r="AI94" s="5">
        <v>54</v>
      </c>
      <c r="AJ94" s="5">
        <f t="shared" si="371"/>
        <v>1</v>
      </c>
      <c r="AK94" s="35">
        <v>0</v>
      </c>
      <c r="AL94" s="3" t="str">
        <f t="shared" ref="AL94:AL132" si="429">IF(AE94="","",AL90)</f>
        <v>電ブル</v>
      </c>
      <c r="AM94" s="39">
        <f t="shared" ref="AM94:AM132" si="430">IF(AF94="","",AM90)</f>
        <v>292</v>
      </c>
      <c r="AN94" s="5">
        <f t="shared" si="372"/>
        <v>292</v>
      </c>
      <c r="AO94" s="36">
        <f t="shared" si="373"/>
        <v>3.208791208791209E-2</v>
      </c>
      <c r="AP94" s="29"/>
      <c r="AR94" s="54"/>
      <c r="AS94" s="4">
        <v>1662</v>
      </c>
      <c r="AT94" s="5">
        <f t="shared" si="374"/>
        <v>101</v>
      </c>
      <c r="AU94" s="5">
        <v>5</v>
      </c>
      <c r="AV94" s="5">
        <f t="shared" si="375"/>
        <v>1</v>
      </c>
      <c r="AW94" s="5">
        <v>8</v>
      </c>
      <c r="AX94" s="5">
        <f t="shared" si="376"/>
        <v>1</v>
      </c>
      <c r="AY94" s="35">
        <v>0</v>
      </c>
      <c r="AZ94" s="3" t="str">
        <f t="shared" si="409"/>
        <v>ゲーム機イヤホン</v>
      </c>
      <c r="BA94" s="39">
        <f t="shared" si="409"/>
        <v>770</v>
      </c>
      <c r="BB94" s="5">
        <f t="shared" si="378"/>
        <v>770</v>
      </c>
      <c r="BC94" s="36">
        <f t="shared" si="379"/>
        <v>7.6237623762376236E-2</v>
      </c>
      <c r="BD94" s="29"/>
      <c r="BE94" s="32"/>
      <c r="BF94" s="25"/>
      <c r="BG94" s="4">
        <v>5180</v>
      </c>
      <c r="BH94" s="5">
        <f t="shared" si="380"/>
        <v>104</v>
      </c>
      <c r="BI94" s="5">
        <v>45</v>
      </c>
      <c r="BJ94" s="5">
        <f t="shared" si="381"/>
        <v>1</v>
      </c>
      <c r="BK94" s="5">
        <v>2</v>
      </c>
      <c r="BL94" s="5">
        <f t="shared" si="382"/>
        <v>1</v>
      </c>
      <c r="BM94" s="35">
        <v>1</v>
      </c>
      <c r="BN94" s="3" t="str">
        <f t="shared" si="383"/>
        <v>ボンボンドロップシール</v>
      </c>
      <c r="BO94" s="39">
        <f t="shared" si="384"/>
        <v>1500</v>
      </c>
      <c r="BP94" s="5">
        <f t="shared" si="385"/>
        <v>1500</v>
      </c>
      <c r="BQ94" s="36">
        <f t="shared" si="386"/>
        <v>0.14423076923076922</v>
      </c>
      <c r="BR94" s="29"/>
      <c r="BT94" s="25"/>
      <c r="BU94" s="4">
        <v>32030</v>
      </c>
      <c r="BV94" s="5">
        <f t="shared" si="387"/>
        <v>79</v>
      </c>
      <c r="BW94" s="5">
        <v>1689</v>
      </c>
      <c r="BX94" s="5">
        <f t="shared" si="388"/>
        <v>0</v>
      </c>
      <c r="BY94" s="5">
        <v>30</v>
      </c>
      <c r="BZ94" s="5">
        <f t="shared" si="389"/>
        <v>0</v>
      </c>
      <c r="CA94" s="35">
        <v>8</v>
      </c>
      <c r="CB94" s="3" t="str">
        <f t="shared" si="390"/>
        <v>サンリオボアポーチ</v>
      </c>
      <c r="CC94" s="39">
        <f t="shared" si="391"/>
        <v>950</v>
      </c>
      <c r="CD94" s="5">
        <f t="shared" si="392"/>
        <v>0</v>
      </c>
      <c r="CE94" s="36">
        <f t="shared" si="393"/>
        <v>0</v>
      </c>
      <c r="CF94" s="29"/>
      <c r="CH94" s="75"/>
      <c r="CI94" s="5"/>
      <c r="CJ94" s="5" t="str">
        <f>IF(CI94="","",CI94-CI92)</f>
        <v/>
      </c>
      <c r="CK94" s="5"/>
      <c r="CL94" s="5" t="str">
        <f>IF(CK94="","",CK94-CK92)</f>
        <v/>
      </c>
      <c r="CM94" s="5"/>
      <c r="CN94" s="5" t="str">
        <f>IF(CM94="","",CM92+CO92-CM94)</f>
        <v/>
      </c>
      <c r="CO94" s="5"/>
      <c r="CP94" s="2" t="str">
        <f t="shared" si="296"/>
        <v/>
      </c>
      <c r="CQ94" s="4" t="str">
        <f>IF(CI94="","",CQ92)</f>
        <v/>
      </c>
      <c r="CR94" s="5" t="str">
        <f t="shared" si="410"/>
        <v/>
      </c>
      <c r="CS94" s="36" t="str">
        <f t="shared" si="411"/>
        <v/>
      </c>
      <c r="CT94" s="29"/>
      <c r="CV94" s="75"/>
      <c r="CW94" s="5"/>
      <c r="CX94" s="5" t="str">
        <f>IF(CW94="","",CW94-CW92)</f>
        <v/>
      </c>
      <c r="CY94" s="5"/>
      <c r="CZ94" s="5" t="str">
        <f>IF(CY94="","",CY94-CY92)</f>
        <v/>
      </c>
      <c r="DA94" s="5"/>
      <c r="DB94" s="5" t="str">
        <f>IF(DA94="","",DA92+DC92-DA94)</f>
        <v/>
      </c>
      <c r="DC94" s="5"/>
      <c r="DD94" s="2" t="str">
        <f t="shared" si="396"/>
        <v/>
      </c>
      <c r="DE94" s="4" t="str">
        <f>IF(CW94="","",DE92)</f>
        <v/>
      </c>
      <c r="DF94" s="5" t="str">
        <f t="shared" si="412"/>
        <v/>
      </c>
      <c r="DG94" s="36" t="str">
        <f t="shared" si="413"/>
        <v/>
      </c>
      <c r="DH94" s="29"/>
      <c r="DJ94" s="75"/>
      <c r="DK94" s="5"/>
      <c r="DL94" s="5" t="str">
        <f>IF(DK94="","",DK94-DK92)</f>
        <v/>
      </c>
      <c r="DM94" s="5"/>
      <c r="DN94" s="5" t="str">
        <f>IF(DM94="","",DM94-DM92)</f>
        <v/>
      </c>
      <c r="DO94" s="5"/>
      <c r="DP94" s="5" t="str">
        <f>IF(DO94="","",DO92+DQ92-DO94)</f>
        <v/>
      </c>
      <c r="DQ94" s="5"/>
      <c r="DR94" s="2" t="str">
        <f t="shared" si="394"/>
        <v/>
      </c>
      <c r="DS94" s="4" t="str">
        <f>IF(DK94="","",DS92)</f>
        <v/>
      </c>
      <c r="DT94" s="5" t="str">
        <f t="shared" si="414"/>
        <v/>
      </c>
      <c r="DU94" s="36" t="str">
        <f t="shared" si="415"/>
        <v/>
      </c>
      <c r="DV94" s="29"/>
      <c r="DX94" s="75"/>
      <c r="DY94" s="5"/>
      <c r="DZ94" s="5" t="str">
        <f>IF(DY94="","",DY94-DY92)</f>
        <v/>
      </c>
      <c r="EA94" s="5"/>
      <c r="EB94" s="5" t="str">
        <f>IF(EA94="","",EA94-EA92)</f>
        <v/>
      </c>
      <c r="EC94" s="5"/>
      <c r="ED94" s="5" t="str">
        <f>IF(EC94="","",EC92+EE92-EC94)</f>
        <v/>
      </c>
      <c r="EE94" s="5"/>
      <c r="EF94" s="2" t="str">
        <f t="shared" si="314"/>
        <v/>
      </c>
      <c r="EG94" s="4" t="str">
        <f>IF(DY94="","",EG92)</f>
        <v/>
      </c>
      <c r="EH94" s="5" t="str">
        <f t="shared" si="416"/>
        <v/>
      </c>
      <c r="EI94" s="36" t="str">
        <f t="shared" si="417"/>
        <v/>
      </c>
      <c r="EJ94" s="29"/>
      <c r="EL94" s="75"/>
      <c r="EM94" s="5"/>
      <c r="EN94" s="5" t="str">
        <f>IF(EM94="","",EM94-EM92)</f>
        <v/>
      </c>
      <c r="EO94" s="5"/>
      <c r="EP94" s="5" t="str">
        <f>IF(EO94="","",EO94-EO92)</f>
        <v/>
      </c>
      <c r="EQ94" s="5"/>
      <c r="ER94" s="5" t="str">
        <f>IF(EQ94="","",EQ92+ES92-EQ94)</f>
        <v/>
      </c>
      <c r="ES94" s="5"/>
      <c r="ET94" s="2" t="str">
        <f t="shared" si="321"/>
        <v/>
      </c>
      <c r="EU94" s="4" t="str">
        <f>IF(EM94="","",EU92)</f>
        <v/>
      </c>
      <c r="EV94" s="5" t="str">
        <f t="shared" si="418"/>
        <v/>
      </c>
      <c r="EW94" s="36" t="str">
        <f t="shared" si="419"/>
        <v/>
      </c>
      <c r="EX94" s="29"/>
      <c r="EZ94" s="75"/>
      <c r="FA94" s="5"/>
      <c r="FB94" s="5" t="str">
        <f>IF(FA94="","",FA94-FA92)</f>
        <v/>
      </c>
      <c r="FC94" s="5"/>
      <c r="FD94" s="5" t="str">
        <f>IF(FC94="","",FC94-FC92)</f>
        <v/>
      </c>
      <c r="FE94" s="5"/>
      <c r="FF94" s="5" t="str">
        <f>IF(FE94="","",FE92+FG92-FE94)</f>
        <v/>
      </c>
      <c r="FG94" s="5"/>
      <c r="FH94" s="2" t="str">
        <f t="shared" si="397"/>
        <v/>
      </c>
      <c r="FI94" s="4" t="str">
        <f>IF(FA94="","",FI92)</f>
        <v/>
      </c>
      <c r="FJ94" s="5" t="str">
        <f t="shared" si="420"/>
        <v/>
      </c>
      <c r="FK94" s="36" t="str">
        <f t="shared" si="421"/>
        <v/>
      </c>
      <c r="FL94" s="29"/>
      <c r="FN94" s="75"/>
      <c r="FO94" s="5"/>
      <c r="FP94" s="5" t="str">
        <f>IF(FO94="","",FO94-FO92)</f>
        <v/>
      </c>
      <c r="FQ94" s="5"/>
      <c r="FR94" s="5" t="str">
        <f>IF(FQ94="","",FQ94-FQ92)</f>
        <v/>
      </c>
      <c r="FS94" s="5"/>
      <c r="FT94" s="5" t="str">
        <f>IF(FS94="","",FS92+FU92-FS94)</f>
        <v/>
      </c>
      <c r="FU94" s="5"/>
      <c r="FV94" s="2" t="str">
        <f t="shared" si="334"/>
        <v/>
      </c>
      <c r="FW94" s="4" t="str">
        <f>IF(FO94="","",FW92)</f>
        <v/>
      </c>
      <c r="FX94" s="5" t="str">
        <f t="shared" si="422"/>
        <v/>
      </c>
      <c r="FY94" s="36" t="str">
        <f t="shared" si="423"/>
        <v/>
      </c>
      <c r="FZ94" s="29"/>
      <c r="GB94" s="75"/>
      <c r="GC94" s="5"/>
      <c r="GD94" s="5" t="str">
        <f>IF(GC94="","",GC94-GC92)</f>
        <v/>
      </c>
      <c r="GE94" s="5"/>
      <c r="GF94" s="5" t="str">
        <f>IF(GE94="","",GE94-GE92)</f>
        <v/>
      </c>
      <c r="GG94" s="5"/>
      <c r="GH94" s="5" t="str">
        <f>IF(GG94="","",GG92+GI92-GG94)</f>
        <v/>
      </c>
      <c r="GI94" s="5"/>
      <c r="GJ94" s="2" t="str">
        <f t="shared" si="406"/>
        <v/>
      </c>
      <c r="GK94" s="4" t="str">
        <f>IF(GC94="","",GK92)</f>
        <v/>
      </c>
      <c r="GL94" s="5" t="str">
        <f t="shared" si="424"/>
        <v/>
      </c>
      <c r="GM94" s="36" t="str">
        <f t="shared" si="425"/>
        <v/>
      </c>
      <c r="GN94" s="29"/>
      <c r="GP94" s="75"/>
      <c r="GQ94" s="5"/>
      <c r="GR94" s="5" t="str">
        <f>IF(GQ94="","",GQ94-GQ92)</f>
        <v/>
      </c>
      <c r="GS94" s="5"/>
      <c r="GT94" s="5" t="str">
        <f>IF(GS94="","",GS94-GS92)</f>
        <v/>
      </c>
      <c r="GU94" s="5"/>
      <c r="GV94" s="5" t="str">
        <f>IF(GU94="","",GU94-GU92)</f>
        <v/>
      </c>
      <c r="GW94" s="5"/>
      <c r="GX94" s="5" t="str">
        <f>IF(GW94="","",GW92+GY92-GW94)</f>
        <v/>
      </c>
      <c r="GY94" s="5"/>
      <c r="GZ94" s="2" t="str">
        <f t="shared" si="348"/>
        <v/>
      </c>
      <c r="HA94" s="4" t="str">
        <f>IF(GQ94="","",HA92)</f>
        <v/>
      </c>
      <c r="HB94" s="5" t="str">
        <f t="shared" si="426"/>
        <v/>
      </c>
      <c r="HC94" s="36" t="str">
        <f t="shared" si="427"/>
        <v/>
      </c>
      <c r="HD94" s="29"/>
      <c r="HF94" s="75"/>
      <c r="HG94" s="5"/>
      <c r="HH94" s="5" t="str">
        <f>IF(HG94="","",HG94-HG92)</f>
        <v/>
      </c>
      <c r="HI94" s="5"/>
      <c r="HJ94" s="29"/>
      <c r="HL94" s="75"/>
      <c r="HM94" s="5"/>
      <c r="HN94" s="5" t="str">
        <f>IF(HM94="","",HM94-HM92)</f>
        <v/>
      </c>
      <c r="HO94" s="5"/>
      <c r="HP94" s="29"/>
      <c r="HR94" s="75"/>
      <c r="HS94" s="5"/>
      <c r="HT94" s="5" t="str">
        <f>IF(HS94="","",HS94-HS92)</f>
        <v/>
      </c>
      <c r="HU94" s="5"/>
      <c r="HV94" s="29"/>
    </row>
    <row r="95" spans="1:230" ht="15" customHeight="1" x14ac:dyDescent="0.2">
      <c r="A95" s="49"/>
      <c r="B95" s="64"/>
      <c r="C95" s="57">
        <v>19008</v>
      </c>
      <c r="D95" s="5">
        <f t="shared" si="355"/>
        <v>132</v>
      </c>
      <c r="E95" s="5">
        <v>658</v>
      </c>
      <c r="F95" s="5">
        <f t="shared" si="356"/>
        <v>3</v>
      </c>
      <c r="G95" s="5">
        <v>4</v>
      </c>
      <c r="H95" s="5">
        <f t="shared" si="357"/>
        <v>4</v>
      </c>
      <c r="I95" s="35">
        <v>4</v>
      </c>
      <c r="J95" s="3" t="str">
        <f t="shared" si="358"/>
        <v>たまごっちブロックシール</v>
      </c>
      <c r="K95" s="39">
        <f t="shared" si="359"/>
        <v>600</v>
      </c>
      <c r="L95" s="5">
        <f t="shared" si="360"/>
        <v>2400</v>
      </c>
      <c r="M95" s="36">
        <f t="shared" si="361"/>
        <v>0.18181818181818182</v>
      </c>
      <c r="N95" s="29"/>
      <c r="P95" s="49"/>
      <c r="Q95" s="57">
        <v>10599</v>
      </c>
      <c r="R95" s="48">
        <f t="shared" si="362"/>
        <v>38</v>
      </c>
      <c r="S95" s="5">
        <v>284</v>
      </c>
      <c r="T95" s="5">
        <f t="shared" si="363"/>
        <v>0</v>
      </c>
      <c r="U95" s="5">
        <v>12</v>
      </c>
      <c r="V95" s="5">
        <f t="shared" si="364"/>
        <v>1</v>
      </c>
      <c r="W95" s="35">
        <v>0</v>
      </c>
      <c r="X95" s="3" t="str">
        <f t="shared" si="428"/>
        <v>キララメシールバインダー</v>
      </c>
      <c r="Y95" s="39">
        <f t="shared" si="428"/>
        <v>638</v>
      </c>
      <c r="Z95" s="5">
        <f t="shared" si="367"/>
        <v>638</v>
      </c>
      <c r="AA95" s="36">
        <f t="shared" si="368"/>
        <v>0.16789473684210526</v>
      </c>
      <c r="AB95" s="29" t="s">
        <v>232</v>
      </c>
      <c r="AD95" s="54"/>
      <c r="AE95" s="57">
        <v>1751</v>
      </c>
      <c r="AF95" s="5">
        <f t="shared" si="369"/>
        <v>165</v>
      </c>
      <c r="AG95" s="5">
        <v>38</v>
      </c>
      <c r="AH95" s="5">
        <f t="shared" si="370"/>
        <v>2</v>
      </c>
      <c r="AI95" s="5">
        <v>16</v>
      </c>
      <c r="AJ95" s="5">
        <f t="shared" si="371"/>
        <v>2</v>
      </c>
      <c r="AK95" s="35">
        <v>3</v>
      </c>
      <c r="AL95" s="3" t="str">
        <f t="shared" si="429"/>
        <v>たまごっちマスコット</v>
      </c>
      <c r="AM95" s="39">
        <f t="shared" si="430"/>
        <v>1430</v>
      </c>
      <c r="AN95" s="5">
        <f t="shared" si="372"/>
        <v>2860</v>
      </c>
      <c r="AO95" s="36">
        <f t="shared" si="373"/>
        <v>0.17333333333333334</v>
      </c>
      <c r="AP95" s="29"/>
      <c r="AR95" s="54"/>
      <c r="AS95" s="57">
        <v>1197</v>
      </c>
      <c r="AT95" s="5">
        <f t="shared" si="374"/>
        <v>56</v>
      </c>
      <c r="AU95" s="5">
        <v>16</v>
      </c>
      <c r="AV95" s="5">
        <f t="shared" si="375"/>
        <v>6</v>
      </c>
      <c r="AW95" s="5">
        <v>17</v>
      </c>
      <c r="AX95" s="5">
        <f t="shared" si="376"/>
        <v>7</v>
      </c>
      <c r="AY95" s="35">
        <v>3</v>
      </c>
      <c r="AZ95" s="3" t="str">
        <f t="shared" si="409"/>
        <v>カエル</v>
      </c>
      <c r="BA95" s="39">
        <f t="shared" si="409"/>
        <v>0</v>
      </c>
      <c r="BB95" s="5">
        <f t="shared" si="378"/>
        <v>0</v>
      </c>
      <c r="BC95" s="36">
        <f t="shared" si="379"/>
        <v>0</v>
      </c>
      <c r="BD95" s="29"/>
      <c r="BE95" s="32"/>
      <c r="BF95" s="25"/>
      <c r="BG95" s="57">
        <v>2917</v>
      </c>
      <c r="BH95" s="5">
        <f t="shared" si="380"/>
        <v>233</v>
      </c>
      <c r="BI95" s="5">
        <v>26</v>
      </c>
      <c r="BJ95" s="5">
        <f t="shared" si="381"/>
        <v>2</v>
      </c>
      <c r="BK95" s="5">
        <v>1</v>
      </c>
      <c r="BL95" s="5">
        <f t="shared" si="382"/>
        <v>2</v>
      </c>
      <c r="BM95" s="35">
        <v>2</v>
      </c>
      <c r="BN95" s="3" t="str">
        <f t="shared" si="383"/>
        <v>ボンボンドロップシール</v>
      </c>
      <c r="BO95" s="39">
        <f t="shared" si="384"/>
        <v>1500</v>
      </c>
      <c r="BP95" s="5">
        <f t="shared" si="385"/>
        <v>3000</v>
      </c>
      <c r="BQ95" s="36">
        <f t="shared" si="386"/>
        <v>0.12875536480686695</v>
      </c>
      <c r="BR95" s="29"/>
      <c r="BT95" s="25"/>
      <c r="BU95" s="57"/>
      <c r="BV95" s="5" t="str">
        <f t="shared" si="387"/>
        <v/>
      </c>
      <c r="BW95" s="5"/>
      <c r="BX95" s="5" t="str">
        <f t="shared" si="388"/>
        <v/>
      </c>
      <c r="BY95" s="5"/>
      <c r="BZ95" s="5" t="str">
        <f t="shared" si="389"/>
        <v/>
      </c>
      <c r="CA95" s="35"/>
      <c r="CB95" s="3" t="str">
        <f t="shared" si="390"/>
        <v/>
      </c>
      <c r="CC95" s="39" t="str">
        <f t="shared" si="391"/>
        <v/>
      </c>
      <c r="CD95" s="5" t="str">
        <f t="shared" si="392"/>
        <v/>
      </c>
      <c r="CE95" s="36" t="str">
        <f t="shared" si="393"/>
        <v/>
      </c>
      <c r="CF95" s="29"/>
      <c r="CH95" s="75" t="str">
        <f>IF($A95="","",$A95)</f>
        <v/>
      </c>
      <c r="CI95" s="5"/>
      <c r="CJ95" s="5" t="str">
        <f>IF(CI95="","",CI95-#REF!)</f>
        <v/>
      </c>
      <c r="CK95" s="5"/>
      <c r="CL95" s="5" t="str">
        <f>IF(CK95="","",CK95-#REF!)</f>
        <v/>
      </c>
      <c r="CM95" s="5"/>
      <c r="CN95" s="5" t="str">
        <f>IF(CM95="","",#REF!+#REF!-CM95)</f>
        <v/>
      </c>
      <c r="CO95" s="5"/>
      <c r="CP95" s="2" t="str">
        <f t="shared" si="296"/>
        <v/>
      </c>
      <c r="CQ95" s="4" t="str">
        <f>IF(CI95="","",#REF!)</f>
        <v/>
      </c>
      <c r="CR95" s="5" t="str">
        <f t="shared" si="410"/>
        <v/>
      </c>
      <c r="CS95" s="36" t="str">
        <f t="shared" si="411"/>
        <v/>
      </c>
      <c r="CT95" s="29"/>
      <c r="CV95" s="75" t="str">
        <f>IF($A95="","",$A95)</f>
        <v/>
      </c>
      <c r="CW95" s="5"/>
      <c r="CX95" s="5" t="str">
        <f>IF(CW95="","",CW95-#REF!)</f>
        <v/>
      </c>
      <c r="CY95" s="5"/>
      <c r="CZ95" s="5" t="str">
        <f>IF(CY95="","",CY95-#REF!)</f>
        <v/>
      </c>
      <c r="DA95" s="5"/>
      <c r="DB95" s="5" t="str">
        <f>IF(DA95="","",#REF!+#REF!-DA95)</f>
        <v/>
      </c>
      <c r="DC95" s="5"/>
      <c r="DD95" s="2" t="str">
        <f t="shared" si="396"/>
        <v/>
      </c>
      <c r="DE95" s="4" t="str">
        <f>IF(CW95="","",#REF!)</f>
        <v/>
      </c>
      <c r="DF95" s="5" t="str">
        <f t="shared" si="412"/>
        <v/>
      </c>
      <c r="DG95" s="36" t="str">
        <f t="shared" si="413"/>
        <v/>
      </c>
      <c r="DH95" s="29"/>
      <c r="DJ95" s="75" t="str">
        <f>IF($A95="","",$A95)</f>
        <v/>
      </c>
      <c r="DK95" s="5"/>
      <c r="DL95" s="5" t="str">
        <f>IF(DK95="","",DK95-#REF!)</f>
        <v/>
      </c>
      <c r="DM95" s="5"/>
      <c r="DN95" s="5" t="str">
        <f>IF(DM95="","",DM95-#REF!)</f>
        <v/>
      </c>
      <c r="DO95" s="5"/>
      <c r="DP95" s="5" t="str">
        <f>IF(DO95="","",#REF!+#REF!-DO95)</f>
        <v/>
      </c>
      <c r="DQ95" s="5"/>
      <c r="DR95" s="2" t="str">
        <f t="shared" si="394"/>
        <v/>
      </c>
      <c r="DS95" s="4" t="str">
        <f>IF(DK95="","",#REF!)</f>
        <v/>
      </c>
      <c r="DT95" s="5" t="str">
        <f t="shared" si="414"/>
        <v/>
      </c>
      <c r="DU95" s="36" t="str">
        <f t="shared" si="415"/>
        <v/>
      </c>
      <c r="DV95" s="29"/>
      <c r="DX95" s="75" t="str">
        <f>IF($A95="","",$A95)</f>
        <v/>
      </c>
      <c r="DY95" s="5"/>
      <c r="DZ95" s="5" t="str">
        <f>IF(DY95="","",DY95-#REF!)</f>
        <v/>
      </c>
      <c r="EA95" s="5"/>
      <c r="EB95" s="5" t="str">
        <f>IF(EA95="","",EA95-#REF!)</f>
        <v/>
      </c>
      <c r="EC95" s="5"/>
      <c r="ED95" s="5" t="str">
        <f>IF(EC95="","",#REF!+#REF!-EC95)</f>
        <v/>
      </c>
      <c r="EE95" s="5"/>
      <c r="EF95" s="2" t="str">
        <f t="shared" si="314"/>
        <v/>
      </c>
      <c r="EG95" s="4" t="str">
        <f>IF(DY95="","",#REF!)</f>
        <v/>
      </c>
      <c r="EH95" s="5" t="str">
        <f t="shared" si="416"/>
        <v/>
      </c>
      <c r="EI95" s="36" t="str">
        <f t="shared" si="417"/>
        <v/>
      </c>
      <c r="EJ95" s="29"/>
      <c r="EL95" s="75" t="str">
        <f>IF($A95="","",$A95)</f>
        <v/>
      </c>
      <c r="EM95" s="5"/>
      <c r="EN95" s="5" t="str">
        <f>IF(EM95="","",EM95-#REF!)</f>
        <v/>
      </c>
      <c r="EO95" s="5"/>
      <c r="EP95" s="5" t="str">
        <f>IF(EO95="","",EO95-#REF!)</f>
        <v/>
      </c>
      <c r="EQ95" s="5"/>
      <c r="ER95" s="5" t="str">
        <f>IF(EQ95="","",#REF!+#REF!-EQ95)</f>
        <v/>
      </c>
      <c r="ES95" s="5"/>
      <c r="ET95" s="2" t="str">
        <f t="shared" si="321"/>
        <v/>
      </c>
      <c r="EU95" s="4" t="str">
        <f>IF(EM95="","",#REF!)</f>
        <v/>
      </c>
      <c r="EV95" s="5" t="str">
        <f t="shared" si="418"/>
        <v/>
      </c>
      <c r="EW95" s="36" t="str">
        <f t="shared" si="419"/>
        <v/>
      </c>
      <c r="EX95" s="29"/>
      <c r="EZ95" s="75" t="str">
        <f>IF($A95="","",$A95)</f>
        <v/>
      </c>
      <c r="FA95" s="5"/>
      <c r="FB95" s="5" t="str">
        <f>IF(FA95="","",FA95-#REF!)</f>
        <v/>
      </c>
      <c r="FC95" s="5"/>
      <c r="FD95" s="5" t="str">
        <f>IF(FC95="","",FC95-#REF!)</f>
        <v/>
      </c>
      <c r="FE95" s="5"/>
      <c r="FF95" s="5" t="str">
        <f>IF(FE95="","",#REF!+#REF!-FE95)</f>
        <v/>
      </c>
      <c r="FG95" s="5"/>
      <c r="FH95" s="2" t="str">
        <f t="shared" si="397"/>
        <v/>
      </c>
      <c r="FI95" s="4" t="str">
        <f>IF(FA95="","",#REF!)</f>
        <v/>
      </c>
      <c r="FJ95" s="5" t="str">
        <f t="shared" si="420"/>
        <v/>
      </c>
      <c r="FK95" s="36" t="str">
        <f t="shared" si="421"/>
        <v/>
      </c>
      <c r="FL95" s="29"/>
      <c r="FN95" s="75" t="str">
        <f>IF($A95="","",$A95)</f>
        <v/>
      </c>
      <c r="FO95" s="5"/>
      <c r="FP95" s="5" t="str">
        <f>IF(FO95="","",FO95-#REF!)</f>
        <v/>
      </c>
      <c r="FQ95" s="5"/>
      <c r="FR95" s="5" t="str">
        <f>IF(FQ95="","",FQ95-#REF!)</f>
        <v/>
      </c>
      <c r="FS95" s="5"/>
      <c r="FT95" s="5" t="str">
        <f>IF(FS95="","",#REF!+#REF!-FS95)</f>
        <v/>
      </c>
      <c r="FU95" s="5"/>
      <c r="FV95" s="2" t="str">
        <f t="shared" si="334"/>
        <v/>
      </c>
      <c r="FW95" s="4" t="str">
        <f>IF(FO95="","",#REF!)</f>
        <v/>
      </c>
      <c r="FX95" s="5" t="str">
        <f t="shared" si="422"/>
        <v/>
      </c>
      <c r="FY95" s="36" t="str">
        <f t="shared" si="423"/>
        <v/>
      </c>
      <c r="FZ95" s="29"/>
      <c r="GB95" s="75" t="str">
        <f>IF($A95="","",$A95)</f>
        <v/>
      </c>
      <c r="GC95" s="5"/>
      <c r="GD95" s="5" t="str">
        <f>IF(GC95="","",GC95-#REF!)</f>
        <v/>
      </c>
      <c r="GE95" s="5"/>
      <c r="GF95" s="5" t="str">
        <f>IF(GE95="","",GE95-#REF!)</f>
        <v/>
      </c>
      <c r="GG95" s="5"/>
      <c r="GH95" s="5" t="str">
        <f>IF(GG95="","",#REF!+#REF!-GG95)</f>
        <v/>
      </c>
      <c r="GI95" s="5"/>
      <c r="GJ95" s="2" t="str">
        <f t="shared" si="406"/>
        <v/>
      </c>
      <c r="GK95" s="4" t="str">
        <f>IF(GC95="","",#REF!)</f>
        <v/>
      </c>
      <c r="GL95" s="5" t="str">
        <f t="shared" si="424"/>
        <v/>
      </c>
      <c r="GM95" s="36" t="str">
        <f t="shared" si="425"/>
        <v/>
      </c>
      <c r="GN95" s="29"/>
      <c r="GP95" s="75" t="str">
        <f>IF($A95="","",$A95)</f>
        <v/>
      </c>
      <c r="GQ95" s="5"/>
      <c r="GR95" s="5" t="str">
        <f>IF(GQ95="","",GQ95-#REF!)</f>
        <v/>
      </c>
      <c r="GS95" s="5"/>
      <c r="GT95" s="5" t="str">
        <f>IF(GS95="","",GS95-#REF!)</f>
        <v/>
      </c>
      <c r="GU95" s="5"/>
      <c r="GV95" s="5" t="str">
        <f>IF(GU95="","",GU95-#REF!)</f>
        <v/>
      </c>
      <c r="GW95" s="5"/>
      <c r="GX95" s="5" t="str">
        <f>IF(GW95="","",#REF!+#REF!-GW95)</f>
        <v/>
      </c>
      <c r="GY95" s="5"/>
      <c r="GZ95" s="2" t="str">
        <f t="shared" si="348"/>
        <v/>
      </c>
      <c r="HA95" s="4" t="str">
        <f>IF(GQ95="","",#REF!)</f>
        <v/>
      </c>
      <c r="HB95" s="5" t="str">
        <f t="shared" si="426"/>
        <v/>
      </c>
      <c r="HC95" s="36" t="str">
        <f t="shared" si="427"/>
        <v/>
      </c>
      <c r="HD95" s="29"/>
      <c r="HF95" s="75" t="str">
        <f>IF($A95="","",$A95)</f>
        <v/>
      </c>
      <c r="HG95" s="5"/>
      <c r="HH95" s="5" t="str">
        <f>IF(HG95="","",HG95-#REF!)</f>
        <v/>
      </c>
      <c r="HI95" s="5"/>
      <c r="HJ95" s="29"/>
      <c r="HL95" s="75" t="str">
        <f>IF($A95="","",$A95)</f>
        <v/>
      </c>
      <c r="HM95" s="5"/>
      <c r="HN95" s="5" t="str">
        <f>IF(HM95="","",HM95-#REF!)</f>
        <v/>
      </c>
      <c r="HO95" s="5"/>
      <c r="HP95" s="29"/>
      <c r="HR95" s="75" t="str">
        <f>IF($A95="","",$A95)</f>
        <v/>
      </c>
      <c r="HS95" s="5"/>
      <c r="HT95" s="5" t="str">
        <f>IF(HS95="","",HS95-#REF!)</f>
        <v/>
      </c>
      <c r="HU95" s="5"/>
      <c r="HV95" s="29"/>
    </row>
    <row r="96" spans="1:230" ht="15" customHeight="1" thickBot="1" x14ac:dyDescent="0.25">
      <c r="A96" s="60"/>
      <c r="B96" s="73"/>
      <c r="C96" s="43">
        <v>23399</v>
      </c>
      <c r="D96" s="74">
        <f t="shared" si="355"/>
        <v>47</v>
      </c>
      <c r="E96" s="44">
        <v>1176</v>
      </c>
      <c r="F96" s="44">
        <f t="shared" si="356"/>
        <v>2</v>
      </c>
      <c r="G96" s="44">
        <v>45</v>
      </c>
      <c r="H96" s="44">
        <f t="shared" si="357"/>
        <v>2</v>
      </c>
      <c r="I96" s="62">
        <v>0</v>
      </c>
      <c r="J96" s="45" t="str">
        <f t="shared" si="358"/>
        <v>ふわもちミニスクイーズ</v>
      </c>
      <c r="K96" s="61">
        <f t="shared" si="359"/>
        <v>99</v>
      </c>
      <c r="L96" s="44">
        <f t="shared" si="360"/>
        <v>198</v>
      </c>
      <c r="M96" s="46">
        <f t="shared" si="361"/>
        <v>4.2127659574468082E-2</v>
      </c>
      <c r="N96" s="29"/>
      <c r="P96" s="60"/>
      <c r="Q96" s="43">
        <v>9335</v>
      </c>
      <c r="R96" s="61">
        <f t="shared" si="362"/>
        <v>57</v>
      </c>
      <c r="S96" s="44">
        <v>225</v>
      </c>
      <c r="T96" s="44">
        <f t="shared" si="363"/>
        <v>0</v>
      </c>
      <c r="U96" s="44">
        <v>18</v>
      </c>
      <c r="V96" s="44">
        <f t="shared" si="364"/>
        <v>0</v>
      </c>
      <c r="W96" s="62">
        <v>3</v>
      </c>
      <c r="X96" s="45" t="str">
        <f t="shared" si="428"/>
        <v>フルーツスクイーズ</v>
      </c>
      <c r="Y96" s="61">
        <f t="shared" si="428"/>
        <v>200</v>
      </c>
      <c r="Z96" s="44">
        <f t="shared" si="367"/>
        <v>0</v>
      </c>
      <c r="AA96" s="46">
        <f t="shared" si="368"/>
        <v>0</v>
      </c>
      <c r="AB96" s="29"/>
      <c r="AD96" s="60"/>
      <c r="AE96" s="43">
        <v>935</v>
      </c>
      <c r="AF96" s="61">
        <f t="shared" si="369"/>
        <v>98</v>
      </c>
      <c r="AG96" s="44">
        <v>30</v>
      </c>
      <c r="AH96" s="44">
        <f t="shared" si="370"/>
        <v>2</v>
      </c>
      <c r="AI96" s="44">
        <v>13</v>
      </c>
      <c r="AJ96" s="44">
        <f t="shared" si="371"/>
        <v>2</v>
      </c>
      <c r="AK96" s="62">
        <v>3</v>
      </c>
      <c r="AL96" s="45" t="str">
        <f t="shared" si="429"/>
        <v>バタースクイーズ</v>
      </c>
      <c r="AM96" s="61">
        <f t="shared" si="430"/>
        <v>260</v>
      </c>
      <c r="AN96" s="44">
        <f t="shared" si="372"/>
        <v>520</v>
      </c>
      <c r="AO96" s="46">
        <f t="shared" si="373"/>
        <v>5.3061224489795916E-2</v>
      </c>
      <c r="AP96" s="29"/>
      <c r="AR96" s="60"/>
      <c r="AS96" s="43">
        <v>1163</v>
      </c>
      <c r="AT96" s="74">
        <f t="shared" si="374"/>
        <v>30</v>
      </c>
      <c r="AU96" s="44">
        <v>37</v>
      </c>
      <c r="AV96" s="44">
        <f t="shared" si="375"/>
        <v>5</v>
      </c>
      <c r="AW96" s="44">
        <v>7</v>
      </c>
      <c r="AX96" s="44">
        <f t="shared" si="376"/>
        <v>5</v>
      </c>
      <c r="AY96" s="62">
        <v>11</v>
      </c>
      <c r="AZ96" s="45" t="s">
        <v>231</v>
      </c>
      <c r="BA96" s="61">
        <f>IF(AT96="","",BA92)</f>
        <v>437</v>
      </c>
      <c r="BB96" s="44">
        <f t="shared" si="378"/>
        <v>2185</v>
      </c>
      <c r="BC96" s="46">
        <f t="shared" si="379"/>
        <v>0.72833333333333339</v>
      </c>
      <c r="BD96" s="29" t="s">
        <v>233</v>
      </c>
      <c r="BE96" s="32"/>
      <c r="BF96" s="41"/>
      <c r="BG96" s="43">
        <v>4342</v>
      </c>
      <c r="BH96" s="61">
        <f t="shared" si="380"/>
        <v>92</v>
      </c>
      <c r="BI96" s="44">
        <v>49</v>
      </c>
      <c r="BJ96" s="44">
        <f t="shared" si="381"/>
        <v>1</v>
      </c>
      <c r="BK96" s="44">
        <v>1</v>
      </c>
      <c r="BL96" s="44">
        <f t="shared" si="382"/>
        <v>2</v>
      </c>
      <c r="BM96" s="62">
        <v>2</v>
      </c>
      <c r="BN96" s="45" t="str">
        <f t="shared" si="383"/>
        <v>ボンボンドロップシール</v>
      </c>
      <c r="BO96" s="61">
        <f t="shared" si="384"/>
        <v>1500</v>
      </c>
      <c r="BP96" s="44">
        <f t="shared" si="385"/>
        <v>3000</v>
      </c>
      <c r="BQ96" s="46">
        <f t="shared" si="386"/>
        <v>0.32608695652173914</v>
      </c>
      <c r="BR96" s="29"/>
      <c r="BT96" s="41"/>
      <c r="BU96" s="43"/>
      <c r="BV96" s="61" t="str">
        <f t="shared" si="387"/>
        <v/>
      </c>
      <c r="BW96" s="44"/>
      <c r="BX96" s="44" t="str">
        <f t="shared" si="388"/>
        <v/>
      </c>
      <c r="BY96" s="44"/>
      <c r="BZ96" s="44" t="str">
        <f t="shared" si="389"/>
        <v/>
      </c>
      <c r="CA96" s="62"/>
      <c r="CB96" s="45" t="str">
        <f t="shared" si="390"/>
        <v/>
      </c>
      <c r="CC96" s="61" t="str">
        <f t="shared" si="391"/>
        <v/>
      </c>
      <c r="CD96" s="44" t="str">
        <f t="shared" si="392"/>
        <v/>
      </c>
      <c r="CE96" s="46" t="str">
        <f t="shared" si="393"/>
        <v/>
      </c>
      <c r="CF96" s="29"/>
      <c r="CH96" s="75" t="str">
        <f>IF($A96="","",$A96)</f>
        <v/>
      </c>
      <c r="CI96" s="5"/>
      <c r="CJ96" s="5" t="str">
        <f>IF(CI96="","",CI96-CI95)</f>
        <v/>
      </c>
      <c r="CK96" s="5"/>
      <c r="CL96" s="5" t="str">
        <f>IF(CK96="","",CK96-CK95)</f>
        <v/>
      </c>
      <c r="CM96" s="5"/>
      <c r="CN96" s="5" t="str">
        <f>IF(CM96="","",CM95+CO95-CM96)</f>
        <v/>
      </c>
      <c r="CO96" s="5"/>
      <c r="CP96" s="2" t="str">
        <f t="shared" si="296"/>
        <v/>
      </c>
      <c r="CQ96" s="4" t="str">
        <f>IF(CI96="","",CQ95)</f>
        <v/>
      </c>
      <c r="CR96" s="5" t="str">
        <f t="shared" si="410"/>
        <v/>
      </c>
      <c r="CS96" s="36" t="str">
        <f t="shared" si="411"/>
        <v/>
      </c>
      <c r="CT96" s="29"/>
      <c r="CV96" s="75" t="str">
        <f>IF($A96="","",$A96)</f>
        <v/>
      </c>
      <c r="CW96" s="5"/>
      <c r="CX96" s="5" t="str">
        <f>IF(CW96="","",CW96-CW95)</f>
        <v/>
      </c>
      <c r="CY96" s="5"/>
      <c r="CZ96" s="5" t="str">
        <f>IF(CY96="","",CY96-CY95)</f>
        <v/>
      </c>
      <c r="DA96" s="5"/>
      <c r="DB96" s="5" t="str">
        <f>IF(DA96="","",DA95+DC95-DA96)</f>
        <v/>
      </c>
      <c r="DC96" s="5"/>
      <c r="DD96" s="2" t="str">
        <f t="shared" si="396"/>
        <v/>
      </c>
      <c r="DE96" s="4" t="str">
        <f>IF(CW96="","",DE95)</f>
        <v/>
      </c>
      <c r="DF96" s="5" t="str">
        <f t="shared" si="412"/>
        <v/>
      </c>
      <c r="DG96" s="36" t="str">
        <f t="shared" si="413"/>
        <v/>
      </c>
      <c r="DH96" s="29"/>
      <c r="DJ96" s="75" t="str">
        <f>IF($A96="","",$A96)</f>
        <v/>
      </c>
      <c r="DK96" s="5"/>
      <c r="DL96" s="5" t="str">
        <f>IF(DK96="","",DK96-DK95)</f>
        <v/>
      </c>
      <c r="DM96" s="5"/>
      <c r="DN96" s="5" t="str">
        <f>IF(DM96="","",DM96-DM95)</f>
        <v/>
      </c>
      <c r="DO96" s="5"/>
      <c r="DP96" s="5" t="str">
        <f>IF(DO96="","",DO95+DQ95-DO96)</f>
        <v/>
      </c>
      <c r="DQ96" s="5"/>
      <c r="DR96" s="2" t="str">
        <f t="shared" si="394"/>
        <v/>
      </c>
      <c r="DS96" s="4" t="str">
        <f>IF(DK96="","",DS95)</f>
        <v/>
      </c>
      <c r="DT96" s="5" t="str">
        <f t="shared" si="414"/>
        <v/>
      </c>
      <c r="DU96" s="36" t="str">
        <f t="shared" si="415"/>
        <v/>
      </c>
      <c r="DV96" s="29"/>
      <c r="DX96" s="75" t="str">
        <f>IF($A96="","",$A96)</f>
        <v/>
      </c>
      <c r="DY96" s="5"/>
      <c r="DZ96" s="5" t="str">
        <f>IF(DY96="","",DY96-DY95)</f>
        <v/>
      </c>
      <c r="EA96" s="5"/>
      <c r="EB96" s="5" t="str">
        <f>IF(EA96="","",EA96-EA95)</f>
        <v/>
      </c>
      <c r="EC96" s="5"/>
      <c r="ED96" s="5" t="str">
        <f>IF(EC96="","",EC95+EE95-EC96)</f>
        <v/>
      </c>
      <c r="EE96" s="5"/>
      <c r="EF96" s="2" t="str">
        <f t="shared" si="314"/>
        <v/>
      </c>
      <c r="EG96" s="4" t="str">
        <f>IF(DY96="","",EG95)</f>
        <v/>
      </c>
      <c r="EH96" s="5" t="str">
        <f t="shared" si="416"/>
        <v/>
      </c>
      <c r="EI96" s="36" t="str">
        <f t="shared" si="417"/>
        <v/>
      </c>
      <c r="EJ96" s="29"/>
      <c r="EL96" s="75" t="str">
        <f>IF($A96="","",$A96)</f>
        <v/>
      </c>
      <c r="EM96" s="5"/>
      <c r="EN96" s="5" t="str">
        <f>IF(EM96="","",EM96-EM95)</f>
        <v/>
      </c>
      <c r="EO96" s="5"/>
      <c r="EP96" s="5" t="str">
        <f>IF(EO96="","",EO96-EO95)</f>
        <v/>
      </c>
      <c r="EQ96" s="5"/>
      <c r="ER96" s="5" t="str">
        <f>IF(EQ96="","",EQ95+ES95-EQ96)</f>
        <v/>
      </c>
      <c r="ES96" s="5"/>
      <c r="ET96" s="2" t="str">
        <f t="shared" si="321"/>
        <v/>
      </c>
      <c r="EU96" s="4" t="str">
        <f>IF(EM96="","",EU95)</f>
        <v/>
      </c>
      <c r="EV96" s="5" t="str">
        <f t="shared" si="418"/>
        <v/>
      </c>
      <c r="EW96" s="36" t="str">
        <f t="shared" si="419"/>
        <v/>
      </c>
      <c r="EX96" s="29"/>
      <c r="EZ96" s="75" t="str">
        <f>IF($A96="","",$A96)</f>
        <v/>
      </c>
      <c r="FA96" s="5"/>
      <c r="FB96" s="5" t="str">
        <f>IF(FA96="","",FA96-FA95)</f>
        <v/>
      </c>
      <c r="FC96" s="5"/>
      <c r="FD96" s="5" t="str">
        <f>IF(FC96="","",FC96-FC95)</f>
        <v/>
      </c>
      <c r="FE96" s="5"/>
      <c r="FF96" s="5" t="str">
        <f>IF(FE96="","",FE95+FG95-FE96)</f>
        <v/>
      </c>
      <c r="FG96" s="5"/>
      <c r="FH96" s="2" t="str">
        <f t="shared" si="397"/>
        <v/>
      </c>
      <c r="FI96" s="4" t="str">
        <f>IF(FA96="","",FI95)</f>
        <v/>
      </c>
      <c r="FJ96" s="5" t="str">
        <f t="shared" si="420"/>
        <v/>
      </c>
      <c r="FK96" s="36" t="str">
        <f t="shared" si="421"/>
        <v/>
      </c>
      <c r="FL96" s="29"/>
      <c r="FN96" s="75" t="str">
        <f>IF($A96="","",$A96)</f>
        <v/>
      </c>
      <c r="FO96" s="5"/>
      <c r="FP96" s="5" t="str">
        <f>IF(FO96="","",FO96-FO95)</f>
        <v/>
      </c>
      <c r="FQ96" s="5"/>
      <c r="FR96" s="5" t="str">
        <f>IF(FQ96="","",FQ96-FQ95)</f>
        <v/>
      </c>
      <c r="FS96" s="5"/>
      <c r="FT96" s="5" t="str">
        <f>IF(FS96="","",FS95+FU95-FS96)</f>
        <v/>
      </c>
      <c r="FU96" s="5"/>
      <c r="FV96" s="2" t="str">
        <f t="shared" si="334"/>
        <v/>
      </c>
      <c r="FW96" s="4" t="str">
        <f>IF(FO96="","",FW95)</f>
        <v/>
      </c>
      <c r="FX96" s="5" t="str">
        <f t="shared" si="422"/>
        <v/>
      </c>
      <c r="FY96" s="36" t="str">
        <f t="shared" si="423"/>
        <v/>
      </c>
      <c r="FZ96" s="29"/>
      <c r="GB96" s="75" t="str">
        <f>IF($A96="","",$A96)</f>
        <v/>
      </c>
      <c r="GC96" s="5"/>
      <c r="GD96" s="5" t="str">
        <f>IF(GC96="","",GC96-GC95)</f>
        <v/>
      </c>
      <c r="GE96" s="5"/>
      <c r="GF96" s="5" t="str">
        <f>IF(GE96="","",GE96-GE95)</f>
        <v/>
      </c>
      <c r="GG96" s="5"/>
      <c r="GH96" s="5" t="str">
        <f>IF(GG96="","",GG95+GI95-GG96)</f>
        <v/>
      </c>
      <c r="GI96" s="5"/>
      <c r="GJ96" s="2" t="str">
        <f t="shared" si="406"/>
        <v/>
      </c>
      <c r="GK96" s="4" t="str">
        <f>IF(GC96="","",GK95)</f>
        <v/>
      </c>
      <c r="GL96" s="5" t="str">
        <f t="shared" si="424"/>
        <v/>
      </c>
      <c r="GM96" s="36" t="str">
        <f t="shared" si="425"/>
        <v/>
      </c>
      <c r="GN96" s="29"/>
      <c r="GP96" s="75" t="str">
        <f>IF($A96="","",$A96)</f>
        <v/>
      </c>
      <c r="GQ96" s="5"/>
      <c r="GR96" s="5" t="str">
        <f>IF(GQ96="","",GQ96-GQ95)</f>
        <v/>
      </c>
      <c r="GS96" s="5"/>
      <c r="GT96" s="5" t="str">
        <f>IF(GS96="","",GS96-GS95)</f>
        <v/>
      </c>
      <c r="GU96" s="5"/>
      <c r="GV96" s="5" t="str">
        <f>IF(GU96="","",GU96-GU95)</f>
        <v/>
      </c>
      <c r="GW96" s="5"/>
      <c r="GX96" s="5" t="str">
        <f>IF(GW96="","",GW95+GY95-GW96)</f>
        <v/>
      </c>
      <c r="GY96" s="5"/>
      <c r="GZ96" s="2" t="str">
        <f t="shared" si="348"/>
        <v/>
      </c>
      <c r="HA96" s="4" t="str">
        <f>IF(GQ96="","",HA95)</f>
        <v/>
      </c>
      <c r="HB96" s="5" t="str">
        <f t="shared" si="426"/>
        <v/>
      </c>
      <c r="HC96" s="36" t="str">
        <f t="shared" si="427"/>
        <v/>
      </c>
      <c r="HD96" s="29"/>
      <c r="HF96" s="75" t="str">
        <f>IF($A96="","",$A96)</f>
        <v/>
      </c>
      <c r="HG96" s="5"/>
      <c r="HH96" s="5" t="str">
        <f>IF(HG96="","",HG96-HG95)</f>
        <v/>
      </c>
      <c r="HI96" s="5"/>
      <c r="HJ96" s="29"/>
      <c r="HL96" s="75" t="str">
        <f>IF($A96="","",$A96)</f>
        <v/>
      </c>
      <c r="HM96" s="5"/>
      <c r="HN96" s="5" t="str">
        <f>IF(HM96="","",HM96-HM95)</f>
        <v/>
      </c>
      <c r="HO96" s="5"/>
      <c r="HP96" s="29"/>
      <c r="HR96" s="75" t="str">
        <f>IF($A96="","",$A96)</f>
        <v/>
      </c>
      <c r="HS96" s="5"/>
      <c r="HT96" s="5" t="str">
        <f>IF(HS96="","",HS96-HS95)</f>
        <v/>
      </c>
      <c r="HU96" s="5"/>
      <c r="HV96" s="29"/>
    </row>
    <row r="97" spans="1:230" ht="15" customHeight="1" thickTop="1" x14ac:dyDescent="0.2">
      <c r="A97" s="49">
        <v>46150</v>
      </c>
      <c r="B97" s="26">
        <f>SUM(D97:D100)+SUM(R97:R100)+SUM(AF97:AF100)+SUM(AT97:AT100)+SUM(CJ82,CX82,DL82,DZ82,EN82,FB82,FP82,GD82,GR82,HH82,HN82,HT82)+SUM(BH97:BH100)+SUM(BV97:BV98)</f>
        <v>3037</v>
      </c>
      <c r="C97" s="4">
        <v>13736</v>
      </c>
      <c r="D97" s="4">
        <f t="shared" si="355"/>
        <v>37</v>
      </c>
      <c r="E97" s="4">
        <v>361</v>
      </c>
      <c r="F97" s="50">
        <f t="shared" si="356"/>
        <v>4</v>
      </c>
      <c r="G97" s="4">
        <v>7</v>
      </c>
      <c r="H97" s="4">
        <f t="shared" si="357"/>
        <v>4</v>
      </c>
      <c r="I97" s="51">
        <v>4</v>
      </c>
      <c r="J97" s="31" t="str">
        <f t="shared" si="358"/>
        <v>キティダブルミラー</v>
      </c>
      <c r="K97" s="27">
        <f t="shared" si="359"/>
        <v>660</v>
      </c>
      <c r="L97" s="50">
        <f t="shared" si="360"/>
        <v>2640</v>
      </c>
      <c r="M97" s="52">
        <f t="shared" si="361"/>
        <v>0.71351351351351355</v>
      </c>
      <c r="N97" s="29"/>
      <c r="P97" s="53">
        <f>IF($A97="","",$A97)</f>
        <v>46150</v>
      </c>
      <c r="Q97" s="4">
        <v>4446</v>
      </c>
      <c r="R97" s="4">
        <f t="shared" si="362"/>
        <v>52</v>
      </c>
      <c r="S97" s="4">
        <v>198</v>
      </c>
      <c r="T97" s="50">
        <f t="shared" si="363"/>
        <v>1</v>
      </c>
      <c r="U97" s="4">
        <v>4</v>
      </c>
      <c r="V97" s="4">
        <f t="shared" si="364"/>
        <v>2</v>
      </c>
      <c r="W97" s="51">
        <v>1</v>
      </c>
      <c r="X97" s="31" t="str">
        <f t="shared" si="428"/>
        <v>サンリオボアバンスクリップ</v>
      </c>
      <c r="Y97" s="27">
        <f t="shared" si="428"/>
        <v>660</v>
      </c>
      <c r="Z97" s="50">
        <f t="shared" si="367"/>
        <v>1320</v>
      </c>
      <c r="AA97" s="52">
        <f t="shared" si="368"/>
        <v>0.25384615384615383</v>
      </c>
      <c r="AB97" s="29"/>
      <c r="AD97" s="53">
        <f>IF($A97="","",$A97)</f>
        <v>46150</v>
      </c>
      <c r="AE97" s="4">
        <v>2331</v>
      </c>
      <c r="AF97" s="4">
        <f t="shared" si="369"/>
        <v>69</v>
      </c>
      <c r="AG97" s="4">
        <v>40</v>
      </c>
      <c r="AH97" s="50">
        <f t="shared" si="370"/>
        <v>3</v>
      </c>
      <c r="AI97" s="4">
        <v>4</v>
      </c>
      <c r="AJ97" s="4">
        <f t="shared" si="371"/>
        <v>3</v>
      </c>
      <c r="AK97" s="51">
        <v>2</v>
      </c>
      <c r="AL97" s="31" t="str">
        <f t="shared" si="429"/>
        <v>マリオカートマスコット</v>
      </c>
      <c r="AM97" s="27">
        <f t="shared" si="430"/>
        <v>792</v>
      </c>
      <c r="AN97" s="50">
        <f t="shared" si="372"/>
        <v>2376</v>
      </c>
      <c r="AO97" s="52">
        <f t="shared" si="373"/>
        <v>0.34434782608695652</v>
      </c>
      <c r="AP97" s="29"/>
      <c r="AR97" s="53">
        <f>IF($A97="","",$A97)</f>
        <v>46150</v>
      </c>
      <c r="AS97" s="4">
        <v>2190</v>
      </c>
      <c r="AT97" s="4">
        <f t="shared" si="374"/>
        <v>121</v>
      </c>
      <c r="AU97" s="4">
        <v>49</v>
      </c>
      <c r="AV97" s="50">
        <f t="shared" si="375"/>
        <v>1</v>
      </c>
      <c r="AW97" s="4">
        <v>15</v>
      </c>
      <c r="AX97" s="4">
        <f t="shared" si="376"/>
        <v>2</v>
      </c>
      <c r="AY97" s="51">
        <v>6</v>
      </c>
      <c r="AZ97" s="31" t="str">
        <f>IF(AS97="","",AZ93)</f>
        <v>ベアブリック</v>
      </c>
      <c r="BA97" s="27">
        <f>IF(AT97="","",BA93)</f>
        <v>847</v>
      </c>
      <c r="BB97" s="50">
        <f t="shared" si="378"/>
        <v>1694</v>
      </c>
      <c r="BC97" s="52">
        <f t="shared" si="379"/>
        <v>0.14000000000000001</v>
      </c>
      <c r="BD97" s="29"/>
      <c r="BE97" s="32"/>
      <c r="BF97" s="33">
        <f>IF($A97="","",$A97)</f>
        <v>46150</v>
      </c>
      <c r="BG97" s="4">
        <v>3599</v>
      </c>
      <c r="BH97" s="4">
        <f t="shared" si="380"/>
        <v>173</v>
      </c>
      <c r="BI97" s="4">
        <v>31</v>
      </c>
      <c r="BJ97" s="50">
        <f t="shared" si="381"/>
        <v>1</v>
      </c>
      <c r="BK97" s="4">
        <v>3</v>
      </c>
      <c r="BL97" s="4">
        <f t="shared" si="382"/>
        <v>0</v>
      </c>
      <c r="BM97" s="51">
        <v>0</v>
      </c>
      <c r="BN97" s="31" t="str">
        <f t="shared" si="383"/>
        <v>ボンボンドロップシール</v>
      </c>
      <c r="BO97" s="27">
        <f t="shared" si="384"/>
        <v>1500</v>
      </c>
      <c r="BP97" s="50">
        <f t="shared" si="385"/>
        <v>0</v>
      </c>
      <c r="BQ97" s="52">
        <f t="shared" si="386"/>
        <v>0</v>
      </c>
      <c r="BR97" s="29"/>
      <c r="BT97" s="33">
        <f>IF($A97="","",$A97)</f>
        <v>46150</v>
      </c>
      <c r="BU97" s="4">
        <v>36261</v>
      </c>
      <c r="BV97" s="4">
        <f t="shared" si="387"/>
        <v>64</v>
      </c>
      <c r="BW97" s="4">
        <v>3901</v>
      </c>
      <c r="BX97" s="50">
        <f t="shared" si="388"/>
        <v>7</v>
      </c>
      <c r="BY97" s="4">
        <v>49</v>
      </c>
      <c r="BZ97" s="4">
        <f t="shared" si="389"/>
        <v>7</v>
      </c>
      <c r="CA97" s="51">
        <v>4</v>
      </c>
      <c r="CB97" s="31" t="str">
        <f t="shared" si="390"/>
        <v>ベイビースリーフェイス</v>
      </c>
      <c r="CC97" s="27">
        <f t="shared" si="391"/>
        <v>1050</v>
      </c>
      <c r="CD97" s="50">
        <f t="shared" si="392"/>
        <v>7350</v>
      </c>
      <c r="CE97" s="52">
        <f t="shared" si="393"/>
        <v>1.1484375</v>
      </c>
      <c r="CF97" s="29"/>
      <c r="CH97" s="75"/>
      <c r="CI97" s="5"/>
      <c r="CJ97" s="5" t="str">
        <f>IF(CI97="","",CI97-CI96)</f>
        <v/>
      </c>
      <c r="CK97" s="5"/>
      <c r="CL97" s="5" t="str">
        <f>IF(CK97="","",CK97-CK96)</f>
        <v/>
      </c>
      <c r="CM97" s="5"/>
      <c r="CN97" s="5" t="str">
        <f>IF(CM97="","",CM96+CO96-CM97)</f>
        <v/>
      </c>
      <c r="CO97" s="5"/>
      <c r="CP97" s="4"/>
      <c r="CQ97" s="4" t="str">
        <f>IF(CI97="","",CQ96)</f>
        <v/>
      </c>
      <c r="CR97" s="5" t="str">
        <f t="shared" si="410"/>
        <v/>
      </c>
      <c r="CS97" s="36" t="str">
        <f t="shared" si="411"/>
        <v/>
      </c>
      <c r="CT97" s="29"/>
      <c r="CV97" s="75"/>
      <c r="CW97" s="5"/>
      <c r="CX97" s="5" t="str">
        <f>IF(CW97="","",CW97-CW96)</f>
        <v/>
      </c>
      <c r="CY97" s="5"/>
      <c r="CZ97" s="5" t="str">
        <f>IF(CY97="","",CY97-CY96)</f>
        <v/>
      </c>
      <c r="DA97" s="5"/>
      <c r="DB97" s="5" t="str">
        <f>IF(DA97="","",DA96+DC96-DA97)</f>
        <v/>
      </c>
      <c r="DC97" s="5"/>
      <c r="DD97" s="4"/>
      <c r="DE97" s="4" t="str">
        <f>IF(CW97="","",DE96)</f>
        <v/>
      </c>
      <c r="DF97" s="5" t="str">
        <f t="shared" si="412"/>
        <v/>
      </c>
      <c r="DG97" s="36" t="str">
        <f t="shared" si="413"/>
        <v/>
      </c>
      <c r="DH97" s="29"/>
      <c r="DJ97" s="75"/>
      <c r="DK97" s="5"/>
      <c r="DL97" s="5" t="str">
        <f>IF(DK97="","",DK97-DK96)</f>
        <v/>
      </c>
      <c r="DM97" s="5"/>
      <c r="DN97" s="5" t="str">
        <f>IF(DM97="","",DM97-DM96)</f>
        <v/>
      </c>
      <c r="DO97" s="5"/>
      <c r="DP97" s="5" t="str">
        <f>IF(DO97="","",DO96+DQ96-DO97)</f>
        <v/>
      </c>
      <c r="DQ97" s="5"/>
      <c r="DR97" s="4"/>
      <c r="DS97" s="4" t="str">
        <f>IF(DK97="","",DS96)</f>
        <v/>
      </c>
      <c r="DT97" s="5" t="str">
        <f t="shared" si="414"/>
        <v/>
      </c>
      <c r="DU97" s="36" t="str">
        <f t="shared" si="415"/>
        <v/>
      </c>
      <c r="DV97" s="29"/>
      <c r="DX97" s="75"/>
      <c r="DY97" s="5"/>
      <c r="DZ97" s="5" t="str">
        <f>IF(DY97="","",DY97-DY96)</f>
        <v/>
      </c>
      <c r="EA97" s="5"/>
      <c r="EB97" s="5" t="str">
        <f>IF(EA97="","",EA97-EA96)</f>
        <v/>
      </c>
      <c r="EC97" s="5"/>
      <c r="ED97" s="5" t="str">
        <f>IF(EC97="","",EC96+EE96-EC97)</f>
        <v/>
      </c>
      <c r="EE97" s="5"/>
      <c r="EF97" s="4"/>
      <c r="EG97" s="4" t="str">
        <f>IF(DY97="","",EG96)</f>
        <v/>
      </c>
      <c r="EH97" s="5" t="str">
        <f t="shared" si="416"/>
        <v/>
      </c>
      <c r="EI97" s="36" t="str">
        <f t="shared" si="417"/>
        <v/>
      </c>
      <c r="EJ97" s="29"/>
      <c r="EL97" s="75"/>
      <c r="EM97" s="5"/>
      <c r="EN97" s="5" t="str">
        <f>IF(EM97="","",EM97-EM96)</f>
        <v/>
      </c>
      <c r="EO97" s="5"/>
      <c r="EP97" s="5" t="str">
        <f>IF(EO97="","",EO97-EO96)</f>
        <v/>
      </c>
      <c r="EQ97" s="5"/>
      <c r="ER97" s="5" t="str">
        <f>IF(EQ97="","",EQ96+ES96-EQ97)</f>
        <v/>
      </c>
      <c r="ES97" s="5"/>
      <c r="ET97" s="4"/>
      <c r="EU97" s="4" t="str">
        <f>IF(EM97="","",EU96)</f>
        <v/>
      </c>
      <c r="EV97" s="5" t="str">
        <f t="shared" si="418"/>
        <v/>
      </c>
      <c r="EW97" s="36" t="str">
        <f t="shared" si="419"/>
        <v/>
      </c>
      <c r="EX97" s="29"/>
      <c r="EZ97" s="75"/>
      <c r="FA97" s="5"/>
      <c r="FB97" s="5" t="str">
        <f>IF(FA97="","",FA97-FA96)</f>
        <v/>
      </c>
      <c r="FC97" s="5"/>
      <c r="FD97" s="5" t="str">
        <f>IF(FC97="","",FC97-FC96)</f>
        <v/>
      </c>
      <c r="FE97" s="5"/>
      <c r="FF97" s="5" t="str">
        <f>IF(FE97="","",FE96+FG96-FE97)</f>
        <v/>
      </c>
      <c r="FG97" s="5"/>
      <c r="FH97" s="4"/>
      <c r="FI97" s="4" t="str">
        <f>IF(FA97="","",FI96)</f>
        <v/>
      </c>
      <c r="FJ97" s="5" t="str">
        <f t="shared" si="420"/>
        <v/>
      </c>
      <c r="FK97" s="36" t="str">
        <f t="shared" si="421"/>
        <v/>
      </c>
      <c r="FL97" s="29"/>
      <c r="FN97" s="75"/>
      <c r="FO97" s="5"/>
      <c r="FP97" s="5" t="str">
        <f>IF(FO97="","",FO97-FO96)</f>
        <v/>
      </c>
      <c r="FQ97" s="5"/>
      <c r="FR97" s="5" t="str">
        <f>IF(FQ97="","",FQ97-FQ96)</f>
        <v/>
      </c>
      <c r="FS97" s="5"/>
      <c r="FT97" s="5" t="str">
        <f>IF(FS97="","",FS96+FU96-FS97)</f>
        <v/>
      </c>
      <c r="FU97" s="5"/>
      <c r="FV97" s="4"/>
      <c r="FW97" s="4" t="str">
        <f>IF(FO97="","",FW96)</f>
        <v/>
      </c>
      <c r="FX97" s="5" t="str">
        <f t="shared" si="422"/>
        <v/>
      </c>
      <c r="FY97" s="36" t="str">
        <f t="shared" si="423"/>
        <v/>
      </c>
      <c r="FZ97" s="29"/>
      <c r="GB97" s="75"/>
      <c r="GC97" s="5"/>
      <c r="GD97" s="5" t="str">
        <f>IF(GC97="","",GC97-GC96)</f>
        <v/>
      </c>
      <c r="GE97" s="5"/>
      <c r="GF97" s="5" t="str">
        <f>IF(GE97="","",GE97-GE96)</f>
        <v/>
      </c>
      <c r="GG97" s="5"/>
      <c r="GH97" s="5" t="str">
        <f>IF(GG97="","",GG96+GI96-GG97)</f>
        <v/>
      </c>
      <c r="GI97" s="5"/>
      <c r="GJ97" s="4"/>
      <c r="GK97" s="4" t="str">
        <f>IF(GC97="","",GK96)</f>
        <v/>
      </c>
      <c r="GL97" s="5" t="str">
        <f t="shared" si="424"/>
        <v/>
      </c>
      <c r="GM97" s="36" t="str">
        <f t="shared" si="425"/>
        <v/>
      </c>
      <c r="GN97" s="29"/>
      <c r="GP97" s="75"/>
      <c r="GQ97" s="5"/>
      <c r="GR97" s="5" t="str">
        <f>IF(GQ97="","",GQ97-GQ96)</f>
        <v/>
      </c>
      <c r="GS97" s="5"/>
      <c r="GT97" s="5" t="str">
        <f>IF(GS97="","",GS97-GS96)</f>
        <v/>
      </c>
      <c r="GU97" s="5"/>
      <c r="GV97" s="5" t="str">
        <f>IF(GU97="","",GU97-GU96)</f>
        <v/>
      </c>
      <c r="GW97" s="5"/>
      <c r="GX97" s="5" t="str">
        <f>IF(GW97="","",GW96+GY96-GW97)</f>
        <v/>
      </c>
      <c r="GY97" s="5"/>
      <c r="GZ97" s="2" t="str">
        <f t="shared" si="348"/>
        <v/>
      </c>
      <c r="HA97" s="4" t="str">
        <f>IF(GQ97="","",HA96)</f>
        <v/>
      </c>
      <c r="HB97" s="5" t="str">
        <f t="shared" si="426"/>
        <v/>
      </c>
      <c r="HC97" s="36" t="str">
        <f t="shared" si="427"/>
        <v/>
      </c>
      <c r="HD97" s="29"/>
      <c r="HF97" s="75"/>
      <c r="HG97" s="5"/>
      <c r="HH97" s="5" t="str">
        <f>IF(HG97="","",HG97-HG96)</f>
        <v/>
      </c>
      <c r="HI97" s="5"/>
      <c r="HJ97" s="29"/>
      <c r="HL97" s="75"/>
      <c r="HM97" s="5"/>
      <c r="HN97" s="5" t="str">
        <f>IF(HM97="","",HM97-HM96)</f>
        <v/>
      </c>
      <c r="HO97" s="5"/>
      <c r="HP97" s="29"/>
      <c r="HR97" s="75"/>
      <c r="HS97" s="5"/>
      <c r="HT97" s="5" t="str">
        <f>IF(HS97="","",HS97-HS96)</f>
        <v/>
      </c>
      <c r="HU97" s="5"/>
      <c r="HV97" s="29"/>
    </row>
    <row r="98" spans="1:230" ht="15" customHeight="1" x14ac:dyDescent="0.2">
      <c r="A98" s="54"/>
      <c r="B98" s="37"/>
      <c r="C98" s="5">
        <v>17458</v>
      </c>
      <c r="D98" s="5">
        <f t="shared" si="355"/>
        <v>99</v>
      </c>
      <c r="E98" s="5">
        <v>540</v>
      </c>
      <c r="F98" s="5">
        <f t="shared" si="356"/>
        <v>2</v>
      </c>
      <c r="G98" s="5">
        <v>9</v>
      </c>
      <c r="H98" s="5">
        <f t="shared" si="357"/>
        <v>3</v>
      </c>
      <c r="I98" s="35">
        <v>2</v>
      </c>
      <c r="J98" s="38" t="str">
        <f t="shared" si="358"/>
        <v>サンリオカラビナ付きミニファン</v>
      </c>
      <c r="K98" s="39">
        <f t="shared" si="359"/>
        <v>1100</v>
      </c>
      <c r="L98" s="5">
        <f t="shared" si="360"/>
        <v>3300</v>
      </c>
      <c r="M98" s="36">
        <f t="shared" si="361"/>
        <v>0.33333333333333331</v>
      </c>
      <c r="N98" s="29"/>
      <c r="P98" s="54"/>
      <c r="Q98" s="5">
        <v>11127</v>
      </c>
      <c r="R98" s="5">
        <f t="shared" si="362"/>
        <v>69</v>
      </c>
      <c r="S98" s="5">
        <v>189</v>
      </c>
      <c r="T98" s="5">
        <f t="shared" si="363"/>
        <v>1</v>
      </c>
      <c r="U98" s="5">
        <v>7</v>
      </c>
      <c r="V98" s="5">
        <f t="shared" si="364"/>
        <v>1</v>
      </c>
      <c r="W98" s="35">
        <v>0</v>
      </c>
      <c r="X98" s="38" t="str">
        <f t="shared" si="428"/>
        <v>サンリオヘアバンド</v>
      </c>
      <c r="Y98" s="39">
        <f t="shared" si="428"/>
        <v>825</v>
      </c>
      <c r="Z98" s="5">
        <f t="shared" si="367"/>
        <v>825</v>
      </c>
      <c r="AA98" s="36">
        <f t="shared" si="368"/>
        <v>0.11956521739130435</v>
      </c>
      <c r="AB98" s="29"/>
      <c r="AD98" s="54"/>
      <c r="AE98" s="5">
        <v>2132</v>
      </c>
      <c r="AF98" s="5">
        <f t="shared" si="369"/>
        <v>80</v>
      </c>
      <c r="AG98" s="5">
        <v>34</v>
      </c>
      <c r="AH98" s="5">
        <f t="shared" si="370"/>
        <v>1</v>
      </c>
      <c r="AI98" s="5">
        <v>53</v>
      </c>
      <c r="AJ98" s="5">
        <f t="shared" si="371"/>
        <v>1</v>
      </c>
      <c r="AK98" s="35">
        <v>0</v>
      </c>
      <c r="AL98" s="38" t="str">
        <f t="shared" si="429"/>
        <v>電ブル</v>
      </c>
      <c r="AM98" s="39">
        <f t="shared" si="430"/>
        <v>292</v>
      </c>
      <c r="AN98" s="5">
        <f t="shared" si="372"/>
        <v>292</v>
      </c>
      <c r="AO98" s="36">
        <f t="shared" si="373"/>
        <v>3.6499999999999998E-2</v>
      </c>
      <c r="AP98" s="29"/>
      <c r="AR98" s="54"/>
      <c r="AS98" s="5">
        <v>1719</v>
      </c>
      <c r="AT98" s="5">
        <f t="shared" si="374"/>
        <v>57</v>
      </c>
      <c r="AU98" s="5">
        <v>6</v>
      </c>
      <c r="AV98" s="5">
        <f t="shared" si="375"/>
        <v>1</v>
      </c>
      <c r="AW98" s="5">
        <v>7</v>
      </c>
      <c r="AX98" s="5">
        <f t="shared" si="376"/>
        <v>1</v>
      </c>
      <c r="AY98" s="35">
        <v>0</v>
      </c>
      <c r="AZ98" s="38" t="str">
        <f>IF(AS98="","",AZ94)</f>
        <v>ゲーム機イヤホン</v>
      </c>
      <c r="BA98" s="39">
        <f>IF(AT98="","",BA94)</f>
        <v>770</v>
      </c>
      <c r="BB98" s="5">
        <f t="shared" si="378"/>
        <v>770</v>
      </c>
      <c r="BC98" s="36">
        <f t="shared" si="379"/>
        <v>0.13508771929824562</v>
      </c>
      <c r="BD98" s="29"/>
      <c r="BE98" s="32"/>
      <c r="BF98" s="25"/>
      <c r="BG98" s="5">
        <v>5267</v>
      </c>
      <c r="BH98" s="5">
        <f t="shared" si="380"/>
        <v>87</v>
      </c>
      <c r="BI98" s="5">
        <v>47</v>
      </c>
      <c r="BJ98" s="5">
        <f t="shared" si="381"/>
        <v>2</v>
      </c>
      <c r="BK98" s="5">
        <v>2</v>
      </c>
      <c r="BL98" s="5">
        <f t="shared" si="382"/>
        <v>1</v>
      </c>
      <c r="BM98" s="35">
        <v>1</v>
      </c>
      <c r="BN98" s="38" t="str">
        <f t="shared" si="383"/>
        <v>ボンボンドロップシール</v>
      </c>
      <c r="BO98" s="39">
        <f t="shared" si="384"/>
        <v>1500</v>
      </c>
      <c r="BP98" s="5">
        <f t="shared" si="385"/>
        <v>1500</v>
      </c>
      <c r="BQ98" s="36">
        <f t="shared" si="386"/>
        <v>0.17241379310344829</v>
      </c>
      <c r="BR98" s="29"/>
      <c r="BT98" s="25"/>
      <c r="BU98" s="5">
        <v>32072</v>
      </c>
      <c r="BV98" s="5">
        <f t="shared" si="387"/>
        <v>42</v>
      </c>
      <c r="BW98" s="5">
        <v>1692</v>
      </c>
      <c r="BX98" s="5">
        <f t="shared" si="388"/>
        <v>3</v>
      </c>
      <c r="BY98" s="5">
        <v>35</v>
      </c>
      <c r="BZ98" s="5">
        <f t="shared" si="389"/>
        <v>3</v>
      </c>
      <c r="CA98" s="35">
        <v>0</v>
      </c>
      <c r="CB98" s="38" t="str">
        <f t="shared" si="390"/>
        <v>サンリオボアポーチ</v>
      </c>
      <c r="CC98" s="39">
        <f t="shared" si="391"/>
        <v>950</v>
      </c>
      <c r="CD98" s="5">
        <f t="shared" si="392"/>
        <v>2850</v>
      </c>
      <c r="CE98" s="36">
        <f t="shared" si="393"/>
        <v>0.6785714285714286</v>
      </c>
      <c r="CF98" s="29"/>
      <c r="CH98" s="14"/>
      <c r="CI98" s="39"/>
      <c r="CJ98" s="5" t="str">
        <f>IF(CI98="","",CI98-CI97)</f>
        <v/>
      </c>
      <c r="CK98" s="5"/>
      <c r="CL98" s="5" t="str">
        <f>IF(CK98="","",CK98-CK97)</f>
        <v/>
      </c>
      <c r="CM98" s="5"/>
      <c r="CN98" s="5" t="str">
        <f>IF(CM98="","",CM97+CO97-CM98)</f>
        <v/>
      </c>
      <c r="CO98" s="5"/>
      <c r="CP98" s="5"/>
      <c r="CQ98" s="5"/>
      <c r="CR98" s="5" t="str">
        <f t="shared" si="410"/>
        <v/>
      </c>
      <c r="CS98" s="36" t="str">
        <f t="shared" si="411"/>
        <v/>
      </c>
      <c r="CT98" s="29"/>
      <c r="CV98" s="14"/>
      <c r="CW98" s="39"/>
      <c r="CX98" s="5" t="str">
        <f>IF(CW98="","",CW98-CW97)</f>
        <v/>
      </c>
      <c r="CY98" s="5"/>
      <c r="CZ98" s="5" t="str">
        <f>IF(CY98="","",CY98-CY97)</f>
        <v/>
      </c>
      <c r="DA98" s="5"/>
      <c r="DB98" s="5" t="str">
        <f>IF(DA98="","",DA97+DC97-DA98)</f>
        <v/>
      </c>
      <c r="DC98" s="5"/>
      <c r="DD98" s="5"/>
      <c r="DE98" s="5"/>
      <c r="DF98" s="5" t="str">
        <f t="shared" si="412"/>
        <v/>
      </c>
      <c r="DG98" s="36" t="str">
        <f t="shared" si="413"/>
        <v/>
      </c>
      <c r="DH98" s="29"/>
      <c r="DJ98" s="14"/>
      <c r="DK98" s="39"/>
      <c r="DL98" s="5" t="str">
        <f>IF(DK98="","",DK98-DK97)</f>
        <v/>
      </c>
      <c r="DM98" s="5"/>
      <c r="DN98" s="5" t="str">
        <f>IF(DM98="","",DM98-DM97)</f>
        <v/>
      </c>
      <c r="DO98" s="5"/>
      <c r="DP98" s="5" t="str">
        <f>IF(DO98="","",DO97+DQ97-DO98)</f>
        <v/>
      </c>
      <c r="DQ98" s="5"/>
      <c r="DR98" s="5"/>
      <c r="DS98" s="5"/>
      <c r="DT98" s="5" t="str">
        <f t="shared" si="414"/>
        <v/>
      </c>
      <c r="DU98" s="36" t="str">
        <f t="shared" si="415"/>
        <v/>
      </c>
      <c r="DV98" s="29"/>
      <c r="DX98" s="14"/>
      <c r="DY98" s="39"/>
      <c r="DZ98" s="5" t="str">
        <f>IF(DY98="","",DY98-DY97)</f>
        <v/>
      </c>
      <c r="EA98" s="5"/>
      <c r="EB98" s="5" t="str">
        <f>IF(EA98="","",EA98-EA97)</f>
        <v/>
      </c>
      <c r="EC98" s="5"/>
      <c r="ED98" s="5" t="str">
        <f>IF(EC98="","",EC97+EE97-EC98)</f>
        <v/>
      </c>
      <c r="EE98" s="5"/>
      <c r="EF98" s="5"/>
      <c r="EG98" s="5"/>
      <c r="EH98" s="5" t="str">
        <f t="shared" si="416"/>
        <v/>
      </c>
      <c r="EI98" s="36" t="str">
        <f t="shared" si="417"/>
        <v/>
      </c>
      <c r="EJ98" s="29"/>
      <c r="EL98" s="14"/>
      <c r="EM98" s="39"/>
      <c r="EN98" s="5" t="str">
        <f>IF(EM98="","",EM98-EM97)</f>
        <v/>
      </c>
      <c r="EO98" s="5"/>
      <c r="EP98" s="5" t="str">
        <f>IF(EO98="","",EO98-EO97)</f>
        <v/>
      </c>
      <c r="EQ98" s="5"/>
      <c r="ER98" s="5" t="str">
        <f>IF(EQ98="","",EQ97+ES97-EQ98)</f>
        <v/>
      </c>
      <c r="ES98" s="5"/>
      <c r="ET98" s="5"/>
      <c r="EU98" s="5"/>
      <c r="EV98" s="5" t="str">
        <f t="shared" si="418"/>
        <v/>
      </c>
      <c r="EW98" s="36" t="str">
        <f t="shared" si="419"/>
        <v/>
      </c>
      <c r="EX98" s="29"/>
      <c r="EZ98" s="14"/>
      <c r="FA98" s="39"/>
      <c r="FB98" s="5" t="str">
        <f>IF(FA98="","",FA98-FA97)</f>
        <v/>
      </c>
      <c r="FC98" s="5"/>
      <c r="FD98" s="5" t="str">
        <f>IF(FC98="","",FC98-FC97)</f>
        <v/>
      </c>
      <c r="FE98" s="5"/>
      <c r="FF98" s="5" t="str">
        <f>IF(FE98="","",FE97+FG97-FE98)</f>
        <v/>
      </c>
      <c r="FG98" s="5"/>
      <c r="FH98" s="5"/>
      <c r="FI98" s="5"/>
      <c r="FJ98" s="5" t="str">
        <f t="shared" si="420"/>
        <v/>
      </c>
      <c r="FK98" s="36" t="str">
        <f t="shared" si="421"/>
        <v/>
      </c>
      <c r="FL98" s="29"/>
      <c r="FN98" s="14"/>
      <c r="FO98" s="39"/>
      <c r="FP98" s="5" t="str">
        <f>IF(FO98="","",FO98-FO97)</f>
        <v/>
      </c>
      <c r="FQ98" s="5"/>
      <c r="FR98" s="5" t="str">
        <f>IF(FQ98="","",FQ98-FQ97)</f>
        <v/>
      </c>
      <c r="FS98" s="5"/>
      <c r="FT98" s="5" t="str">
        <f>IF(FS98="","",FS97+FU97-FS98)</f>
        <v/>
      </c>
      <c r="FU98" s="5"/>
      <c r="FV98" s="5"/>
      <c r="FW98" s="5"/>
      <c r="FX98" s="5" t="str">
        <f t="shared" si="422"/>
        <v/>
      </c>
      <c r="FY98" s="36" t="str">
        <f t="shared" si="423"/>
        <v/>
      </c>
      <c r="FZ98" s="29"/>
      <c r="GB98" s="14"/>
      <c r="GC98" s="39"/>
      <c r="GD98" s="5" t="str">
        <f>IF(GC98="","",GC98-GC97)</f>
        <v/>
      </c>
      <c r="GE98" s="5"/>
      <c r="GF98" s="5" t="str">
        <f>IF(GE98="","",GE98-GE97)</f>
        <v/>
      </c>
      <c r="GG98" s="5"/>
      <c r="GH98" s="5" t="str">
        <f>IF(GG98="","",GG97+GI97-GG98)</f>
        <v/>
      </c>
      <c r="GI98" s="5"/>
      <c r="GJ98" s="5"/>
      <c r="GK98" s="5"/>
      <c r="GL98" s="5" t="str">
        <f t="shared" si="424"/>
        <v/>
      </c>
      <c r="GM98" s="36" t="str">
        <f t="shared" si="425"/>
        <v/>
      </c>
      <c r="GN98" s="29"/>
      <c r="GP98" s="14"/>
      <c r="GQ98" s="39"/>
      <c r="GR98" s="5" t="str">
        <f>IF(GQ98="","",GQ98-GQ97)</f>
        <v/>
      </c>
      <c r="GS98" s="5"/>
      <c r="GT98" s="5" t="str">
        <f>IF(GS98="","",GS98-GS97)</f>
        <v/>
      </c>
      <c r="GU98" s="5"/>
      <c r="GV98" s="5" t="str">
        <f>IF(GU98="","",GU98-GU97)</f>
        <v/>
      </c>
      <c r="GW98" s="5"/>
      <c r="GX98" s="5" t="str">
        <f>IF(GW98="","",GW97+GY97-GW98)</f>
        <v/>
      </c>
      <c r="GY98" s="5"/>
      <c r="GZ98" s="3" t="str">
        <f t="shared" si="348"/>
        <v/>
      </c>
      <c r="HA98" s="5"/>
      <c r="HB98" s="5" t="str">
        <f t="shared" si="426"/>
        <v/>
      </c>
      <c r="HC98" s="36" t="str">
        <f t="shared" si="427"/>
        <v/>
      </c>
      <c r="HD98" s="29"/>
      <c r="HF98" s="14"/>
      <c r="HG98" s="39"/>
      <c r="HH98" s="5" t="str">
        <f>IF(HG98="","",HG98-HG97)</f>
        <v/>
      </c>
      <c r="HI98" s="5"/>
      <c r="HJ98" s="29"/>
      <c r="HL98" s="14"/>
      <c r="HM98" s="39"/>
      <c r="HN98" s="5" t="str">
        <f>IF(HM98="","",HM98-HM97)</f>
        <v/>
      </c>
      <c r="HO98" s="5"/>
      <c r="HP98" s="29"/>
      <c r="HR98" s="14"/>
      <c r="HS98" s="39"/>
      <c r="HT98" s="5" t="str">
        <f>IF(HS98="","",HS98-HS97)</f>
        <v/>
      </c>
      <c r="HU98" s="5"/>
      <c r="HV98" s="29"/>
    </row>
    <row r="99" spans="1:230" ht="15" customHeight="1" x14ac:dyDescent="0.2">
      <c r="A99" s="54"/>
      <c r="B99" s="71"/>
      <c r="C99" s="58">
        <v>19096</v>
      </c>
      <c r="D99" s="5">
        <f t="shared" si="355"/>
        <v>88</v>
      </c>
      <c r="E99" s="5">
        <v>660</v>
      </c>
      <c r="F99" s="5">
        <f t="shared" si="356"/>
        <v>2</v>
      </c>
      <c r="G99" s="58">
        <v>7</v>
      </c>
      <c r="H99" s="5">
        <f t="shared" si="357"/>
        <v>1</v>
      </c>
      <c r="I99" s="59">
        <v>2</v>
      </c>
      <c r="J99" s="38" t="str">
        <f t="shared" si="358"/>
        <v>たまごっちブロックシール</v>
      </c>
      <c r="K99" s="5">
        <f t="shared" si="359"/>
        <v>600</v>
      </c>
      <c r="L99" s="5">
        <f t="shared" si="360"/>
        <v>600</v>
      </c>
      <c r="M99" s="36">
        <f t="shared" si="361"/>
        <v>6.8181818181818177E-2</v>
      </c>
      <c r="N99" s="29"/>
      <c r="P99" s="54"/>
      <c r="Q99" s="58">
        <v>10711</v>
      </c>
      <c r="R99" s="5">
        <f t="shared" si="362"/>
        <v>112</v>
      </c>
      <c r="S99" s="5">
        <v>287</v>
      </c>
      <c r="T99" s="5">
        <f t="shared" si="363"/>
        <v>3</v>
      </c>
      <c r="U99" s="58">
        <v>9</v>
      </c>
      <c r="V99" s="5">
        <f t="shared" si="364"/>
        <v>3</v>
      </c>
      <c r="W99" s="59">
        <v>4</v>
      </c>
      <c r="X99" s="38" t="s">
        <v>222</v>
      </c>
      <c r="Y99" s="5">
        <v>181</v>
      </c>
      <c r="Z99" s="5">
        <f t="shared" si="367"/>
        <v>543</v>
      </c>
      <c r="AA99" s="36">
        <f t="shared" si="368"/>
        <v>4.8482142857142856E-2</v>
      </c>
      <c r="AB99" s="29"/>
      <c r="AD99" s="54"/>
      <c r="AE99" s="58">
        <v>1848</v>
      </c>
      <c r="AF99" s="5">
        <f t="shared" si="369"/>
        <v>97</v>
      </c>
      <c r="AG99" s="5">
        <v>38</v>
      </c>
      <c r="AH99" s="5">
        <f t="shared" si="370"/>
        <v>0</v>
      </c>
      <c r="AI99" s="58">
        <v>19</v>
      </c>
      <c r="AJ99" s="5">
        <f t="shared" si="371"/>
        <v>0</v>
      </c>
      <c r="AK99" s="59">
        <v>0</v>
      </c>
      <c r="AL99" s="38" t="str">
        <f t="shared" si="429"/>
        <v>たまごっちマスコット</v>
      </c>
      <c r="AM99" s="5">
        <f t="shared" si="430"/>
        <v>1430</v>
      </c>
      <c r="AN99" s="5">
        <f t="shared" si="372"/>
        <v>0</v>
      </c>
      <c r="AO99" s="36">
        <f t="shared" si="373"/>
        <v>0</v>
      </c>
      <c r="AP99" s="29"/>
      <c r="AR99" s="54"/>
      <c r="AS99" s="58">
        <v>1243</v>
      </c>
      <c r="AT99" s="5">
        <f t="shared" si="374"/>
        <v>46</v>
      </c>
      <c r="AU99" s="5">
        <v>20</v>
      </c>
      <c r="AV99" s="5">
        <f t="shared" si="375"/>
        <v>4</v>
      </c>
      <c r="AW99" s="58">
        <v>16</v>
      </c>
      <c r="AX99" s="5">
        <f t="shared" si="376"/>
        <v>4</v>
      </c>
      <c r="AY99" s="59">
        <v>11</v>
      </c>
      <c r="AZ99" s="38" t="str">
        <f>IF(AS99="","",AZ95)</f>
        <v>カエル</v>
      </c>
      <c r="BA99" s="5">
        <f>IF(AT99="","",BA95)</f>
        <v>0</v>
      </c>
      <c r="BB99" s="5">
        <f t="shared" si="378"/>
        <v>0</v>
      </c>
      <c r="BC99" s="36">
        <f t="shared" si="379"/>
        <v>0</v>
      </c>
      <c r="BD99" s="29"/>
      <c r="BE99" s="32"/>
      <c r="BF99" s="25"/>
      <c r="BG99" s="58">
        <v>3063</v>
      </c>
      <c r="BH99" s="5">
        <f t="shared" si="380"/>
        <v>146</v>
      </c>
      <c r="BI99" s="5">
        <v>27</v>
      </c>
      <c r="BJ99" s="5">
        <f t="shared" si="381"/>
        <v>1</v>
      </c>
      <c r="BK99" s="58">
        <v>3</v>
      </c>
      <c r="BL99" s="5">
        <f t="shared" si="382"/>
        <v>0</v>
      </c>
      <c r="BM99" s="59">
        <v>0</v>
      </c>
      <c r="BN99" s="38" t="str">
        <f t="shared" si="383"/>
        <v>ボンボンドロップシール</v>
      </c>
      <c r="BO99" s="5">
        <f t="shared" si="384"/>
        <v>1500</v>
      </c>
      <c r="BP99" s="5">
        <f t="shared" si="385"/>
        <v>0</v>
      </c>
      <c r="BQ99" s="36">
        <f t="shared" si="386"/>
        <v>0</v>
      </c>
      <c r="BR99" s="29"/>
      <c r="BT99" s="25"/>
      <c r="BU99" s="58"/>
      <c r="BV99" s="5" t="str">
        <f t="shared" si="387"/>
        <v/>
      </c>
      <c r="BW99" s="5"/>
      <c r="BX99" s="5" t="str">
        <f t="shared" si="388"/>
        <v/>
      </c>
      <c r="BY99" s="58"/>
      <c r="BZ99" s="5" t="str">
        <f t="shared" si="389"/>
        <v/>
      </c>
      <c r="CA99" s="59"/>
      <c r="CB99" s="38" t="str">
        <f t="shared" si="390"/>
        <v/>
      </c>
      <c r="CC99" s="5" t="str">
        <f t="shared" si="391"/>
        <v/>
      </c>
      <c r="CD99" s="5" t="str">
        <f t="shared" si="392"/>
        <v/>
      </c>
      <c r="CE99" s="36" t="str">
        <f t="shared" si="393"/>
        <v/>
      </c>
      <c r="CF99" s="29"/>
      <c r="CH99" s="14"/>
      <c r="CI99" s="39"/>
      <c r="CJ99" s="5" t="str">
        <f>IF(CI99="","",CI99-CI98)</f>
        <v/>
      </c>
      <c r="CK99" s="5"/>
      <c r="CL99" s="5" t="str">
        <f>IF(CK99="","",CK99-CK98)</f>
        <v/>
      </c>
      <c r="CM99" s="5"/>
      <c r="CN99" s="5" t="str">
        <f>IF(CM99="","",CM98+CO98-CM99)</f>
        <v/>
      </c>
      <c r="CO99" s="5"/>
      <c r="CP99" s="5"/>
      <c r="CQ99" s="5"/>
      <c r="CR99" s="5" t="str">
        <f t="shared" si="410"/>
        <v/>
      </c>
      <c r="CS99" s="36" t="str">
        <f t="shared" si="411"/>
        <v/>
      </c>
      <c r="CT99" s="29"/>
      <c r="CV99" s="14"/>
      <c r="CW99" s="39"/>
      <c r="CX99" s="5" t="str">
        <f>IF(CW99="","",CW99-CW98)</f>
        <v/>
      </c>
      <c r="CY99" s="5"/>
      <c r="CZ99" s="5" t="str">
        <f>IF(CY99="","",CY99-CY98)</f>
        <v/>
      </c>
      <c r="DA99" s="5"/>
      <c r="DB99" s="5" t="str">
        <f>IF(DA99="","",DA98+DC98-DA99)</f>
        <v/>
      </c>
      <c r="DC99" s="5"/>
      <c r="DD99" s="5"/>
      <c r="DE99" s="5"/>
      <c r="DF99" s="5" t="str">
        <f t="shared" si="412"/>
        <v/>
      </c>
      <c r="DG99" s="36" t="str">
        <f t="shared" si="413"/>
        <v/>
      </c>
      <c r="DH99" s="29"/>
      <c r="DJ99" s="14"/>
      <c r="DK99" s="39"/>
      <c r="DL99" s="5" t="str">
        <f>IF(DK99="","",DK99-DK98)</f>
        <v/>
      </c>
      <c r="DM99" s="5"/>
      <c r="DN99" s="5" t="str">
        <f>IF(DM99="","",DM99-DM98)</f>
        <v/>
      </c>
      <c r="DO99" s="5"/>
      <c r="DP99" s="5" t="str">
        <f>IF(DO99="","",DO98+DQ98-DO99)</f>
        <v/>
      </c>
      <c r="DQ99" s="5"/>
      <c r="DR99" s="5"/>
      <c r="DS99" s="5"/>
      <c r="DT99" s="5" t="str">
        <f t="shared" si="414"/>
        <v/>
      </c>
      <c r="DU99" s="36" t="str">
        <f t="shared" si="415"/>
        <v/>
      </c>
      <c r="DV99" s="29"/>
      <c r="DX99" s="14"/>
      <c r="DY99" s="39"/>
      <c r="DZ99" s="5" t="str">
        <f>IF(DY99="","",DY99-DY98)</f>
        <v/>
      </c>
      <c r="EA99" s="5"/>
      <c r="EB99" s="5" t="str">
        <f>IF(EA99="","",EA99-EA98)</f>
        <v/>
      </c>
      <c r="EC99" s="5"/>
      <c r="ED99" s="5" t="str">
        <f>IF(EC99="","",EC98+EE98-EC99)</f>
        <v/>
      </c>
      <c r="EE99" s="5"/>
      <c r="EF99" s="5"/>
      <c r="EG99" s="5"/>
      <c r="EH99" s="5" t="str">
        <f t="shared" si="416"/>
        <v/>
      </c>
      <c r="EI99" s="36" t="str">
        <f t="shared" si="417"/>
        <v/>
      </c>
      <c r="EJ99" s="29"/>
      <c r="EL99" s="14"/>
      <c r="EM99" s="39"/>
      <c r="EN99" s="5" t="str">
        <f>IF(EM99="","",EM99-EM98)</f>
        <v/>
      </c>
      <c r="EO99" s="5"/>
      <c r="EP99" s="5" t="str">
        <f>IF(EO99="","",EO99-EO98)</f>
        <v/>
      </c>
      <c r="EQ99" s="5"/>
      <c r="ER99" s="5" t="str">
        <f>IF(EQ99="","",EQ98+ES98-EQ99)</f>
        <v/>
      </c>
      <c r="ES99" s="5"/>
      <c r="ET99" s="5"/>
      <c r="EU99" s="5"/>
      <c r="EV99" s="5" t="str">
        <f t="shared" si="418"/>
        <v/>
      </c>
      <c r="EW99" s="36" t="str">
        <f t="shared" si="419"/>
        <v/>
      </c>
      <c r="EX99" s="29"/>
      <c r="EZ99" s="14"/>
      <c r="FA99" s="39"/>
      <c r="FB99" s="5" t="str">
        <f>IF(FA99="","",FA99-FA98)</f>
        <v/>
      </c>
      <c r="FC99" s="5"/>
      <c r="FD99" s="5" t="str">
        <f>IF(FC99="","",FC99-FC98)</f>
        <v/>
      </c>
      <c r="FE99" s="5"/>
      <c r="FF99" s="5" t="str">
        <f>IF(FE99="","",FE98+FG98-FE99)</f>
        <v/>
      </c>
      <c r="FG99" s="5"/>
      <c r="FH99" s="5"/>
      <c r="FI99" s="5"/>
      <c r="FJ99" s="5" t="str">
        <f t="shared" si="420"/>
        <v/>
      </c>
      <c r="FK99" s="36" t="str">
        <f t="shared" si="421"/>
        <v/>
      </c>
      <c r="FL99" s="29"/>
      <c r="FN99" s="14"/>
      <c r="FO99" s="39"/>
      <c r="FP99" s="5" t="str">
        <f>IF(FO99="","",FO99-FO98)</f>
        <v/>
      </c>
      <c r="FQ99" s="5"/>
      <c r="FR99" s="5" t="str">
        <f>IF(FQ99="","",FQ99-FQ98)</f>
        <v/>
      </c>
      <c r="FS99" s="5"/>
      <c r="FT99" s="5" t="str">
        <f>IF(FS99="","",FS98+FU98-FS99)</f>
        <v/>
      </c>
      <c r="FU99" s="5"/>
      <c r="FV99" s="5"/>
      <c r="FW99" s="5"/>
      <c r="FX99" s="5" t="str">
        <f t="shared" si="422"/>
        <v/>
      </c>
      <c r="FY99" s="36" t="str">
        <f t="shared" si="423"/>
        <v/>
      </c>
      <c r="FZ99" s="29"/>
      <c r="GB99" s="14"/>
      <c r="GC99" s="39"/>
      <c r="GD99" s="5" t="str">
        <f>IF(GC99="","",GC99-GC98)</f>
        <v/>
      </c>
      <c r="GE99" s="5"/>
      <c r="GF99" s="5" t="str">
        <f>IF(GE99="","",GE99-GE98)</f>
        <v/>
      </c>
      <c r="GG99" s="5"/>
      <c r="GH99" s="5" t="str">
        <f>IF(GG99="","",GG98+GI98-GG99)</f>
        <v/>
      </c>
      <c r="GI99" s="5"/>
      <c r="GJ99" s="5"/>
      <c r="GK99" s="5"/>
      <c r="GL99" s="5" t="str">
        <f t="shared" si="424"/>
        <v/>
      </c>
      <c r="GM99" s="36" t="str">
        <f t="shared" si="425"/>
        <v/>
      </c>
      <c r="GN99" s="29"/>
      <c r="GP99" s="14"/>
      <c r="GQ99" s="39"/>
      <c r="GR99" s="5" t="str">
        <f>IF(GQ99="","",GQ99-GQ98)</f>
        <v/>
      </c>
      <c r="GS99" s="5"/>
      <c r="GT99" s="5" t="str">
        <f>IF(GS99="","",GS99-GS98)</f>
        <v/>
      </c>
      <c r="GU99" s="5"/>
      <c r="GV99" s="5" t="str">
        <f>IF(GU99="","",GU99-GU98)</f>
        <v/>
      </c>
      <c r="GW99" s="5"/>
      <c r="GX99" s="5" t="str">
        <f>IF(GW99="","",GW98+GY98-GW99)</f>
        <v/>
      </c>
      <c r="GY99" s="5"/>
      <c r="GZ99" s="3" t="str">
        <f t="shared" si="348"/>
        <v/>
      </c>
      <c r="HA99" s="5"/>
      <c r="HB99" s="5" t="str">
        <f t="shared" si="426"/>
        <v/>
      </c>
      <c r="HC99" s="36" t="str">
        <f t="shared" si="427"/>
        <v/>
      </c>
      <c r="HD99" s="29"/>
      <c r="HF99" s="14"/>
      <c r="HG99" s="39"/>
      <c r="HH99" s="5" t="str">
        <f>IF(HG99="","",HG99-HG98)</f>
        <v/>
      </c>
      <c r="HI99" s="5"/>
      <c r="HJ99" s="29"/>
      <c r="HL99" s="14"/>
      <c r="HM99" s="39"/>
      <c r="HN99" s="5" t="str">
        <f>IF(HM99="","",HM99-HM98)</f>
        <v/>
      </c>
      <c r="HO99" s="5"/>
      <c r="HP99" s="29"/>
      <c r="HR99" s="14"/>
      <c r="HS99" s="39"/>
      <c r="HT99" s="5" t="str">
        <f>IF(HS99="","",HS99-HS98)</f>
        <v/>
      </c>
      <c r="HU99" s="5"/>
      <c r="HV99" s="29"/>
    </row>
    <row r="100" spans="1:230" ht="15" customHeight="1" thickBot="1" x14ac:dyDescent="0.25">
      <c r="A100" s="60"/>
      <c r="B100" s="73"/>
      <c r="C100" s="44">
        <v>23458</v>
      </c>
      <c r="D100" s="61">
        <f t="shared" si="355"/>
        <v>59</v>
      </c>
      <c r="E100" s="44">
        <v>1177</v>
      </c>
      <c r="F100" s="44">
        <f t="shared" si="356"/>
        <v>1</v>
      </c>
      <c r="G100" s="44">
        <v>44</v>
      </c>
      <c r="H100" s="44">
        <f t="shared" si="357"/>
        <v>1</v>
      </c>
      <c r="I100" s="62">
        <v>0</v>
      </c>
      <c r="J100" s="47" t="str">
        <f t="shared" si="358"/>
        <v>ふわもちミニスクイーズ</v>
      </c>
      <c r="K100" s="61">
        <f t="shared" si="359"/>
        <v>99</v>
      </c>
      <c r="L100" s="44">
        <f t="shared" si="360"/>
        <v>99</v>
      </c>
      <c r="M100" s="46">
        <f t="shared" si="361"/>
        <v>1.6779661016949152E-2</v>
      </c>
      <c r="N100" s="29"/>
      <c r="P100" s="60"/>
      <c r="Q100" s="44">
        <v>9390</v>
      </c>
      <c r="R100" s="61">
        <f t="shared" si="362"/>
        <v>55</v>
      </c>
      <c r="S100" s="44">
        <v>226</v>
      </c>
      <c r="T100" s="44">
        <f t="shared" si="363"/>
        <v>1</v>
      </c>
      <c r="U100" s="44">
        <v>20</v>
      </c>
      <c r="V100" s="44">
        <f t="shared" si="364"/>
        <v>1</v>
      </c>
      <c r="W100" s="62">
        <v>0</v>
      </c>
      <c r="X100" s="47" t="str">
        <f t="shared" ref="X100:X132" si="431">IF(Q100="","",X96)</f>
        <v>フルーツスクイーズ</v>
      </c>
      <c r="Y100" s="61">
        <f t="shared" ref="Y100:Y132" si="432">IF(R100="","",Y96)</f>
        <v>200</v>
      </c>
      <c r="Z100" s="44">
        <f t="shared" si="367"/>
        <v>200</v>
      </c>
      <c r="AA100" s="46">
        <f t="shared" si="368"/>
        <v>3.6363636363636362E-2</v>
      </c>
      <c r="AB100" s="29"/>
      <c r="AD100" s="60"/>
      <c r="AE100" s="44">
        <v>64</v>
      </c>
      <c r="AF100" s="61">
        <f>IF(AE100="","",AE100-AE96)+1000</f>
        <v>129</v>
      </c>
      <c r="AG100" s="44">
        <v>32</v>
      </c>
      <c r="AH100" s="44">
        <f t="shared" si="370"/>
        <v>2</v>
      </c>
      <c r="AI100" s="44">
        <v>14</v>
      </c>
      <c r="AJ100" s="44">
        <f t="shared" si="371"/>
        <v>2</v>
      </c>
      <c r="AK100" s="62">
        <v>3</v>
      </c>
      <c r="AL100" s="47" t="str">
        <f t="shared" si="429"/>
        <v>バタースクイーズ</v>
      </c>
      <c r="AM100" s="61">
        <f t="shared" si="430"/>
        <v>260</v>
      </c>
      <c r="AN100" s="44">
        <f t="shared" si="372"/>
        <v>520</v>
      </c>
      <c r="AO100" s="46">
        <f t="shared" si="373"/>
        <v>4.0310077519379844E-2</v>
      </c>
      <c r="AP100" s="29"/>
      <c r="AR100" s="60"/>
      <c r="AS100" s="44">
        <v>1215</v>
      </c>
      <c r="AT100" s="61">
        <f t="shared" si="374"/>
        <v>52</v>
      </c>
      <c r="AU100" s="44">
        <v>38</v>
      </c>
      <c r="AV100" s="44">
        <f t="shared" si="375"/>
        <v>1</v>
      </c>
      <c r="AW100" s="44">
        <v>17</v>
      </c>
      <c r="AX100" s="44">
        <f t="shared" si="376"/>
        <v>1</v>
      </c>
      <c r="AY100" s="62">
        <v>0</v>
      </c>
      <c r="AZ100" s="47" t="s">
        <v>237</v>
      </c>
      <c r="BA100" s="61">
        <v>170</v>
      </c>
      <c r="BB100" s="44">
        <f t="shared" si="378"/>
        <v>170</v>
      </c>
      <c r="BC100" s="46">
        <f t="shared" si="379"/>
        <v>3.2692307692307694E-2</v>
      </c>
      <c r="BD100" s="29"/>
      <c r="BE100" s="32"/>
      <c r="BF100" s="41"/>
      <c r="BG100" s="44">
        <v>4430</v>
      </c>
      <c r="BH100" s="61">
        <f t="shared" si="380"/>
        <v>88</v>
      </c>
      <c r="BI100" s="44">
        <v>50</v>
      </c>
      <c r="BJ100" s="44">
        <f t="shared" si="381"/>
        <v>1</v>
      </c>
      <c r="BK100" s="44">
        <v>3</v>
      </c>
      <c r="BL100" s="44">
        <f t="shared" si="382"/>
        <v>0</v>
      </c>
      <c r="BM100" s="62">
        <v>0</v>
      </c>
      <c r="BN100" s="47" t="str">
        <f t="shared" si="383"/>
        <v>ボンボンドロップシール</v>
      </c>
      <c r="BO100" s="61">
        <f t="shared" si="384"/>
        <v>1500</v>
      </c>
      <c r="BP100" s="44">
        <f t="shared" si="385"/>
        <v>0</v>
      </c>
      <c r="BQ100" s="46">
        <f t="shared" si="386"/>
        <v>0</v>
      </c>
      <c r="BR100" s="29"/>
      <c r="BT100" s="41"/>
      <c r="BU100" s="44"/>
      <c r="BV100" s="61" t="str">
        <f t="shared" si="387"/>
        <v/>
      </c>
      <c r="BW100" s="44"/>
      <c r="BX100" s="44" t="str">
        <f t="shared" si="388"/>
        <v/>
      </c>
      <c r="BY100" s="44"/>
      <c r="BZ100" s="44" t="str">
        <f t="shared" si="389"/>
        <v/>
      </c>
      <c r="CA100" s="62"/>
      <c r="CB100" s="47" t="str">
        <f t="shared" si="390"/>
        <v/>
      </c>
      <c r="CC100" s="61" t="str">
        <f t="shared" si="391"/>
        <v/>
      </c>
      <c r="CD100" s="44" t="str">
        <f t="shared" si="392"/>
        <v/>
      </c>
      <c r="CE100" s="46" t="str">
        <f t="shared" si="393"/>
        <v/>
      </c>
      <c r="CF100" s="29"/>
      <c r="CH100" s="14"/>
      <c r="CI100" s="39"/>
      <c r="CJ100" s="5" t="str">
        <f>IF(CI100="","",CI100-CI99)</f>
        <v/>
      </c>
      <c r="CK100" s="5"/>
      <c r="CL100" s="5"/>
      <c r="CM100" s="5"/>
      <c r="CN100" s="5" t="str">
        <f>IF(CM100="","",CM99+CO99-CM100)</f>
        <v/>
      </c>
      <c r="CO100" s="5"/>
      <c r="CP100" s="5"/>
      <c r="CQ100" s="5"/>
      <c r="CR100" s="5" t="str">
        <f t="shared" si="410"/>
        <v/>
      </c>
      <c r="CS100" s="36" t="str">
        <f t="shared" si="411"/>
        <v/>
      </c>
      <c r="CT100" s="29"/>
      <c r="CV100" s="14"/>
      <c r="CW100" s="39"/>
      <c r="CX100" s="5" t="str">
        <f>IF(CW100="","",CW100-CW99)</f>
        <v/>
      </c>
      <c r="CY100" s="5"/>
      <c r="CZ100" s="5"/>
      <c r="DA100" s="5"/>
      <c r="DB100" s="5" t="str">
        <f>IF(DA100="","",DA99+DC99-DA100)</f>
        <v/>
      </c>
      <c r="DC100" s="5"/>
      <c r="DD100" s="5"/>
      <c r="DE100" s="5"/>
      <c r="DF100" s="5" t="str">
        <f t="shared" si="412"/>
        <v/>
      </c>
      <c r="DG100" s="36" t="str">
        <f t="shared" si="413"/>
        <v/>
      </c>
      <c r="DH100" s="29"/>
      <c r="DJ100" s="14"/>
      <c r="DK100" s="39"/>
      <c r="DL100" s="5" t="str">
        <f>IF(DK100="","",DK100-DK99)</f>
        <v/>
      </c>
      <c r="DM100" s="5"/>
      <c r="DN100" s="5"/>
      <c r="DO100" s="5"/>
      <c r="DP100" s="5" t="str">
        <f>IF(DO100="","",DO99+DQ99-DO100)</f>
        <v/>
      </c>
      <c r="DQ100" s="5"/>
      <c r="DR100" s="5"/>
      <c r="DS100" s="5"/>
      <c r="DT100" s="5" t="str">
        <f t="shared" si="414"/>
        <v/>
      </c>
      <c r="DU100" s="36" t="str">
        <f t="shared" si="415"/>
        <v/>
      </c>
      <c r="DV100" s="29"/>
      <c r="DX100" s="14"/>
      <c r="DY100" s="39"/>
      <c r="DZ100" s="5" t="str">
        <f>IF(DY100="","",DY100-DY99)</f>
        <v/>
      </c>
      <c r="EA100" s="5"/>
      <c r="EB100" s="5"/>
      <c r="EC100" s="5"/>
      <c r="ED100" s="5" t="str">
        <f>IF(EC100="","",EC99+EE99-EC100)</f>
        <v/>
      </c>
      <c r="EE100" s="5"/>
      <c r="EF100" s="5"/>
      <c r="EG100" s="5"/>
      <c r="EH100" s="5" t="str">
        <f t="shared" si="416"/>
        <v/>
      </c>
      <c r="EI100" s="36" t="str">
        <f t="shared" si="417"/>
        <v/>
      </c>
      <c r="EJ100" s="29"/>
      <c r="EL100" s="14"/>
      <c r="EM100" s="39"/>
      <c r="EN100" s="5" t="str">
        <f>IF(EM100="","",EM100-EM99)</f>
        <v/>
      </c>
      <c r="EO100" s="5"/>
      <c r="EP100" s="5"/>
      <c r="EQ100" s="5"/>
      <c r="ER100" s="5" t="str">
        <f>IF(EQ100="","",EQ99+ES99-EQ100)</f>
        <v/>
      </c>
      <c r="ES100" s="5"/>
      <c r="ET100" s="5"/>
      <c r="EU100" s="5"/>
      <c r="EV100" s="5" t="str">
        <f t="shared" si="418"/>
        <v/>
      </c>
      <c r="EW100" s="36" t="str">
        <f t="shared" si="419"/>
        <v/>
      </c>
      <c r="EX100" s="29"/>
      <c r="EZ100" s="14"/>
      <c r="FA100" s="39"/>
      <c r="FB100" s="5" t="str">
        <f>IF(FA100="","",FA100-FA99)</f>
        <v/>
      </c>
      <c r="FC100" s="5"/>
      <c r="FD100" s="5"/>
      <c r="FE100" s="5"/>
      <c r="FF100" s="5" t="str">
        <f>IF(FE100="","",FE99+FG99-FE100)</f>
        <v/>
      </c>
      <c r="FG100" s="5"/>
      <c r="FH100" s="5"/>
      <c r="FI100" s="5"/>
      <c r="FJ100" s="5" t="str">
        <f t="shared" si="420"/>
        <v/>
      </c>
      <c r="FK100" s="36" t="str">
        <f t="shared" si="421"/>
        <v/>
      </c>
      <c r="FL100" s="29"/>
      <c r="FN100" s="14"/>
      <c r="FO100" s="39"/>
      <c r="FP100" s="5" t="str">
        <f>IF(FO100="","",FO100-FO99)</f>
        <v/>
      </c>
      <c r="FQ100" s="5"/>
      <c r="FR100" s="5"/>
      <c r="FS100" s="5"/>
      <c r="FT100" s="5" t="str">
        <f>IF(FS100="","",FS99+FU99-FS100)</f>
        <v/>
      </c>
      <c r="FU100" s="5"/>
      <c r="FV100" s="5"/>
      <c r="FW100" s="5"/>
      <c r="FX100" s="5" t="str">
        <f t="shared" si="422"/>
        <v/>
      </c>
      <c r="FY100" s="36" t="str">
        <f t="shared" si="423"/>
        <v/>
      </c>
      <c r="FZ100" s="29"/>
      <c r="GB100" s="14"/>
      <c r="GC100" s="39"/>
      <c r="GD100" s="5" t="str">
        <f>IF(GC100="","",GC100-GC99)</f>
        <v/>
      </c>
      <c r="GE100" s="5"/>
      <c r="GF100" s="5"/>
      <c r="GG100" s="5"/>
      <c r="GH100" s="5" t="str">
        <f>IF(GG100="","",GG99+GI99-GG100)</f>
        <v/>
      </c>
      <c r="GI100" s="5"/>
      <c r="GJ100" s="5"/>
      <c r="GK100" s="5"/>
      <c r="GL100" s="5" t="str">
        <f t="shared" si="424"/>
        <v/>
      </c>
      <c r="GM100" s="36" t="str">
        <f t="shared" si="425"/>
        <v/>
      </c>
      <c r="GN100" s="29"/>
      <c r="GP100" s="14"/>
      <c r="GQ100" s="39"/>
      <c r="GR100" s="5" t="str">
        <f>IF(GQ100="","",GQ100-GQ99)</f>
        <v/>
      </c>
      <c r="GS100" s="5"/>
      <c r="GT100" s="5" t="str">
        <f>IF(GS100="","",GS100-GS99)</f>
        <v/>
      </c>
      <c r="GU100" s="5"/>
      <c r="GV100" s="5"/>
      <c r="GW100" s="5"/>
      <c r="GX100" s="5" t="str">
        <f>IF(GW100="","",GW99+GY99-GW100)</f>
        <v/>
      </c>
      <c r="GY100" s="5"/>
      <c r="GZ100" s="3" t="str">
        <f t="shared" si="348"/>
        <v/>
      </c>
      <c r="HA100" s="5"/>
      <c r="HB100" s="5" t="str">
        <f t="shared" si="426"/>
        <v/>
      </c>
      <c r="HC100" s="36" t="str">
        <f t="shared" si="427"/>
        <v/>
      </c>
      <c r="HD100" s="29"/>
      <c r="HF100" s="14"/>
      <c r="HG100" s="39"/>
      <c r="HH100" s="5" t="str">
        <f>IF(HG100="","",HG100-HG99)</f>
        <v/>
      </c>
      <c r="HI100" s="5"/>
      <c r="HJ100" s="29"/>
      <c r="HL100" s="14"/>
      <c r="HM100" s="39"/>
      <c r="HN100" s="5" t="str">
        <f>IF(HM100="","",HM100-HM99)</f>
        <v/>
      </c>
      <c r="HO100" s="5"/>
      <c r="HP100" s="29"/>
      <c r="HR100" s="14"/>
      <c r="HS100" s="39"/>
      <c r="HT100" s="5" t="str">
        <f>IF(HS100="","",HS100-HS99)</f>
        <v/>
      </c>
      <c r="HU100" s="5"/>
      <c r="HV100" s="29"/>
    </row>
    <row r="101" spans="1:230" ht="15" customHeight="1" thickTop="1" x14ac:dyDescent="0.2">
      <c r="A101" s="49">
        <v>46153</v>
      </c>
      <c r="B101" s="26">
        <f>SUM(D101:D104)+SUM(R101:R104)+SUM(AF101:AF104)+SUM(AT101:AT104)+SUM(CJ83,CX83,DL83,DZ83,EN83,FB83,FP83,GD83,GR83,HH83,HN83,HT83)+SUM(BH101:BH104)+SUM(BV101:BV102)</f>
        <v>1969</v>
      </c>
      <c r="C101" s="4">
        <v>13776</v>
      </c>
      <c r="D101" s="4">
        <f t="shared" si="355"/>
        <v>40</v>
      </c>
      <c r="E101" s="4">
        <v>364</v>
      </c>
      <c r="F101" s="50">
        <f t="shared" si="356"/>
        <v>3</v>
      </c>
      <c r="G101" s="4">
        <v>8</v>
      </c>
      <c r="H101" s="4">
        <f t="shared" si="357"/>
        <v>3</v>
      </c>
      <c r="I101" s="51">
        <v>5</v>
      </c>
      <c r="J101" s="31" t="str">
        <f t="shared" si="358"/>
        <v>キティダブルミラー</v>
      </c>
      <c r="K101" s="27">
        <f t="shared" si="359"/>
        <v>660</v>
      </c>
      <c r="L101" s="50">
        <f t="shared" si="360"/>
        <v>1980</v>
      </c>
      <c r="M101" s="52">
        <f t="shared" si="361"/>
        <v>0.495</v>
      </c>
      <c r="N101" s="29"/>
      <c r="P101" s="53">
        <f>IF($A101="","",$A101)</f>
        <v>46153</v>
      </c>
      <c r="Q101" s="4">
        <v>4585</v>
      </c>
      <c r="R101" s="4">
        <f t="shared" si="362"/>
        <v>139</v>
      </c>
      <c r="S101" s="4">
        <v>200</v>
      </c>
      <c r="T101" s="50">
        <f t="shared" si="363"/>
        <v>2</v>
      </c>
      <c r="U101" s="4">
        <v>4</v>
      </c>
      <c r="V101" s="4">
        <f t="shared" si="364"/>
        <v>1</v>
      </c>
      <c r="W101" s="51">
        <v>0</v>
      </c>
      <c r="X101" s="31" t="str">
        <f t="shared" si="431"/>
        <v>サンリオボアバンスクリップ</v>
      </c>
      <c r="Y101" s="27">
        <f t="shared" si="432"/>
        <v>660</v>
      </c>
      <c r="Z101" s="50">
        <f t="shared" si="367"/>
        <v>660</v>
      </c>
      <c r="AA101" s="52">
        <f t="shared" si="368"/>
        <v>4.7482014388489209E-2</v>
      </c>
      <c r="AB101" s="29"/>
      <c r="AD101" s="53">
        <f>IF($A101="","",$A101)</f>
        <v>46153</v>
      </c>
      <c r="AE101" s="4">
        <v>2367</v>
      </c>
      <c r="AF101" s="4">
        <f t="shared" si="369"/>
        <v>36</v>
      </c>
      <c r="AG101" s="4">
        <v>42</v>
      </c>
      <c r="AH101" s="50">
        <f t="shared" si="370"/>
        <v>2</v>
      </c>
      <c r="AI101" s="4">
        <v>4</v>
      </c>
      <c r="AJ101" s="4">
        <f t="shared" si="371"/>
        <v>2</v>
      </c>
      <c r="AK101" s="51">
        <v>2</v>
      </c>
      <c r="AL101" s="31" t="str">
        <f t="shared" si="429"/>
        <v>マリオカートマスコット</v>
      </c>
      <c r="AM101" s="27">
        <f t="shared" si="430"/>
        <v>792</v>
      </c>
      <c r="AN101" s="50">
        <f t="shared" si="372"/>
        <v>1584</v>
      </c>
      <c r="AO101" s="52">
        <f t="shared" si="373"/>
        <v>0.44</v>
      </c>
      <c r="AP101" s="29"/>
      <c r="AR101" s="53">
        <f>IF($A101="","",$A101)</f>
        <v>46153</v>
      </c>
      <c r="AS101" s="4">
        <v>2274</v>
      </c>
      <c r="AT101" s="4">
        <f t="shared" si="374"/>
        <v>84</v>
      </c>
      <c r="AU101" s="4">
        <v>51</v>
      </c>
      <c r="AV101" s="50">
        <f t="shared" si="375"/>
        <v>2</v>
      </c>
      <c r="AW101" s="4">
        <v>20</v>
      </c>
      <c r="AX101" s="4">
        <f t="shared" si="376"/>
        <v>1</v>
      </c>
      <c r="AY101" s="51">
        <v>0</v>
      </c>
      <c r="AZ101" s="31" t="str">
        <f t="shared" ref="AZ101:AZ132" si="433">IF(AS101="","",AZ97)</f>
        <v>ベアブリック</v>
      </c>
      <c r="BA101" s="27">
        <f t="shared" ref="BA101:BA132" si="434">IF(AT101="","",BA97)</f>
        <v>847</v>
      </c>
      <c r="BB101" s="50">
        <f t="shared" si="378"/>
        <v>847</v>
      </c>
      <c r="BC101" s="52">
        <f t="shared" si="379"/>
        <v>0.10083333333333333</v>
      </c>
      <c r="BD101" s="29"/>
      <c r="BE101" s="32"/>
      <c r="BF101" s="33">
        <f>IF($A101="","",$A101)</f>
        <v>46153</v>
      </c>
      <c r="BG101" s="4">
        <v>3665</v>
      </c>
      <c r="BH101" s="4">
        <f t="shared" si="380"/>
        <v>66</v>
      </c>
      <c r="BI101" s="4">
        <v>32</v>
      </c>
      <c r="BJ101" s="50">
        <f t="shared" si="381"/>
        <v>1</v>
      </c>
      <c r="BK101" s="4">
        <v>3</v>
      </c>
      <c r="BL101" s="4">
        <f t="shared" si="382"/>
        <v>0</v>
      </c>
      <c r="BM101" s="51">
        <v>0</v>
      </c>
      <c r="BN101" s="31" t="str">
        <f t="shared" si="383"/>
        <v>ボンボンドロップシール</v>
      </c>
      <c r="BO101" s="27">
        <f t="shared" si="384"/>
        <v>1500</v>
      </c>
      <c r="BP101" s="50">
        <f t="shared" si="385"/>
        <v>0</v>
      </c>
      <c r="BQ101" s="52">
        <f t="shared" si="386"/>
        <v>0</v>
      </c>
      <c r="BR101" s="29"/>
      <c r="BT101" s="33">
        <f>IF($A101="","",$A101)</f>
        <v>46153</v>
      </c>
      <c r="BU101" s="4">
        <v>36297</v>
      </c>
      <c r="BV101" s="4">
        <f t="shared" si="387"/>
        <v>36</v>
      </c>
      <c r="BW101" s="4">
        <v>3904</v>
      </c>
      <c r="BX101" s="50">
        <f t="shared" si="388"/>
        <v>3</v>
      </c>
      <c r="BY101" s="4">
        <v>50</v>
      </c>
      <c r="BZ101" s="4">
        <f t="shared" si="389"/>
        <v>3</v>
      </c>
      <c r="CA101" s="51">
        <v>0</v>
      </c>
      <c r="CB101" s="31" t="str">
        <f t="shared" si="390"/>
        <v>ベイビースリーフェイス</v>
      </c>
      <c r="CC101" s="27">
        <f t="shared" si="391"/>
        <v>1050</v>
      </c>
      <c r="CD101" s="50">
        <f t="shared" si="392"/>
        <v>3150</v>
      </c>
      <c r="CE101" s="52">
        <f t="shared" si="393"/>
        <v>0.875</v>
      </c>
      <c r="CF101" s="29"/>
      <c r="CH101" s="14"/>
      <c r="CI101" s="5"/>
      <c r="CJ101" s="5" t="str">
        <f>IF(CI101="","",CI101-CI102)</f>
        <v/>
      </c>
      <c r="CK101" s="5"/>
      <c r="CL101" s="5" t="str">
        <f>IF(CK101="","",CK101-CK102)</f>
        <v/>
      </c>
      <c r="CM101" s="5"/>
      <c r="CN101" s="5" t="str">
        <f>IF(CM101="","",CM102+CO102-CM101)</f>
        <v/>
      </c>
      <c r="CO101" s="5"/>
      <c r="CP101" s="5"/>
      <c r="CQ101" s="5"/>
      <c r="CR101" s="5" t="str">
        <f t="shared" si="410"/>
        <v/>
      </c>
      <c r="CS101" s="36" t="str">
        <f t="shared" si="411"/>
        <v/>
      </c>
      <c r="CT101" s="29"/>
      <c r="CV101" s="14"/>
      <c r="CW101" s="5"/>
      <c r="CX101" s="5" t="str">
        <f>IF(CW101="","",CW101-CW102)</f>
        <v/>
      </c>
      <c r="CY101" s="5"/>
      <c r="CZ101" s="5" t="str">
        <f>IF(CY101="","",CY101-CY102)</f>
        <v/>
      </c>
      <c r="DA101" s="5"/>
      <c r="DB101" s="5" t="str">
        <f>IF(DA101="","",DA102+DC102-DA101)</f>
        <v/>
      </c>
      <c r="DC101" s="5"/>
      <c r="DD101" s="5"/>
      <c r="DE101" s="5"/>
      <c r="DF101" s="5" t="str">
        <f t="shared" si="412"/>
        <v/>
      </c>
      <c r="DG101" s="36" t="str">
        <f t="shared" si="413"/>
        <v/>
      </c>
      <c r="DH101" s="29"/>
      <c r="DJ101" s="14"/>
      <c r="DK101" s="5"/>
      <c r="DL101" s="5" t="str">
        <f>IF(DK101="","",DK101-DK102)</f>
        <v/>
      </c>
      <c r="DM101" s="5"/>
      <c r="DN101" s="5" t="str">
        <f>IF(DM101="","",DM101-DM102)</f>
        <v/>
      </c>
      <c r="DO101" s="5"/>
      <c r="DP101" s="5" t="str">
        <f>IF(DO101="","",DO102+DQ102-DO101)</f>
        <v/>
      </c>
      <c r="DQ101" s="5"/>
      <c r="DR101" s="5"/>
      <c r="DS101" s="5"/>
      <c r="DT101" s="5" t="str">
        <f t="shared" si="414"/>
        <v/>
      </c>
      <c r="DU101" s="36" t="str">
        <f t="shared" si="415"/>
        <v/>
      </c>
      <c r="DV101" s="29"/>
      <c r="DX101" s="14"/>
      <c r="DY101" s="5"/>
      <c r="DZ101" s="5" t="str">
        <f>IF(DY101="","",DY101-DY102)</f>
        <v/>
      </c>
      <c r="EA101" s="5"/>
      <c r="EB101" s="5" t="str">
        <f>IF(EA101="","",EA101-EA102)</f>
        <v/>
      </c>
      <c r="EC101" s="5"/>
      <c r="ED101" s="5" t="str">
        <f>IF(EC101="","",EC102+EE102-EC101)</f>
        <v/>
      </c>
      <c r="EE101" s="5"/>
      <c r="EF101" s="5"/>
      <c r="EG101" s="5"/>
      <c r="EH101" s="5" t="str">
        <f t="shared" si="416"/>
        <v/>
      </c>
      <c r="EI101" s="36" t="str">
        <f t="shared" si="417"/>
        <v/>
      </c>
      <c r="EJ101" s="29"/>
      <c r="EL101" s="14"/>
      <c r="EM101" s="5"/>
      <c r="EN101" s="5" t="str">
        <f>IF(EM101="","",EM101-EM102)</f>
        <v/>
      </c>
      <c r="EO101" s="5"/>
      <c r="EP101" s="5" t="str">
        <f>IF(EO101="","",EO101-EO102)</f>
        <v/>
      </c>
      <c r="EQ101" s="5"/>
      <c r="ER101" s="5" t="str">
        <f>IF(EQ101="","",EQ102+ES102-EQ101)</f>
        <v/>
      </c>
      <c r="ES101" s="5"/>
      <c r="ET101" s="5"/>
      <c r="EU101" s="5"/>
      <c r="EV101" s="5" t="str">
        <f t="shared" si="418"/>
        <v/>
      </c>
      <c r="EW101" s="36" t="str">
        <f t="shared" si="419"/>
        <v/>
      </c>
      <c r="EX101" s="29"/>
      <c r="EZ101" s="14"/>
      <c r="FA101" s="5"/>
      <c r="FB101" s="5" t="str">
        <f>IF(FA101="","",FA101-FA102)</f>
        <v/>
      </c>
      <c r="FC101" s="5"/>
      <c r="FD101" s="5" t="str">
        <f>IF(FC101="","",FC101-FC102)</f>
        <v/>
      </c>
      <c r="FE101" s="5"/>
      <c r="FF101" s="5" t="str">
        <f>IF(FE101="","",FE102+FG102-FE101)</f>
        <v/>
      </c>
      <c r="FG101" s="5"/>
      <c r="FH101" s="5"/>
      <c r="FI101" s="5"/>
      <c r="FJ101" s="5" t="str">
        <f t="shared" si="420"/>
        <v/>
      </c>
      <c r="FK101" s="36" t="str">
        <f t="shared" si="421"/>
        <v/>
      </c>
      <c r="FL101" s="29"/>
      <c r="FN101" s="14"/>
      <c r="FO101" s="5"/>
      <c r="FP101" s="5" t="str">
        <f>IF(FO101="","",FO101-FO102)</f>
        <v/>
      </c>
      <c r="FQ101" s="5"/>
      <c r="FR101" s="5" t="str">
        <f>IF(FQ101="","",FQ101-FQ102)</f>
        <v/>
      </c>
      <c r="FS101" s="5"/>
      <c r="FT101" s="5" t="str">
        <f>IF(FS101="","",FS102+FU102-FS101)</f>
        <v/>
      </c>
      <c r="FU101" s="5"/>
      <c r="FV101" s="5"/>
      <c r="FW101" s="5"/>
      <c r="FX101" s="5" t="str">
        <f t="shared" si="422"/>
        <v/>
      </c>
      <c r="FY101" s="36" t="str">
        <f t="shared" si="423"/>
        <v/>
      </c>
      <c r="FZ101" s="29"/>
      <c r="GB101" s="14"/>
      <c r="GC101" s="5"/>
      <c r="GD101" s="5" t="str">
        <f>IF(GC101="","",GC101-GC102)</f>
        <v/>
      </c>
      <c r="GE101" s="5"/>
      <c r="GF101" s="5" t="str">
        <f>IF(GE101="","",GE101-GE102)</f>
        <v/>
      </c>
      <c r="GG101" s="5"/>
      <c r="GH101" s="5" t="str">
        <f>IF(GG101="","",GG102+GI102-GG101)</f>
        <v/>
      </c>
      <c r="GI101" s="5"/>
      <c r="GJ101" s="5"/>
      <c r="GK101" s="5"/>
      <c r="GL101" s="5" t="str">
        <f t="shared" si="424"/>
        <v/>
      </c>
      <c r="GM101" s="36" t="str">
        <f t="shared" si="425"/>
        <v/>
      </c>
      <c r="GN101" s="29"/>
      <c r="GP101" s="14"/>
      <c r="GQ101" s="5"/>
      <c r="GR101" s="5" t="str">
        <f>IF(GQ101="","",GQ101-GQ102)</f>
        <v/>
      </c>
      <c r="GS101" s="5"/>
      <c r="GT101" s="5" t="str">
        <f>IF(GS101="","",GS101-GS102)</f>
        <v/>
      </c>
      <c r="GU101" s="5"/>
      <c r="GV101" s="5" t="str">
        <f>IF(GU101="","",GU101-GU102)</f>
        <v/>
      </c>
      <c r="GW101" s="5"/>
      <c r="GX101" s="5" t="str">
        <f>IF(GW101="","",GW102+GY102-GW101)</f>
        <v/>
      </c>
      <c r="GY101" s="5"/>
      <c r="GZ101" s="5"/>
      <c r="HA101" s="5"/>
      <c r="HB101" s="5" t="str">
        <f t="shared" si="426"/>
        <v/>
      </c>
      <c r="HC101" s="36" t="str">
        <f t="shared" si="427"/>
        <v/>
      </c>
      <c r="HD101" s="29"/>
      <c r="HF101" s="14"/>
      <c r="HG101" s="5"/>
      <c r="HH101" s="5" t="str">
        <f>IF(HG101="","",HG101-HG102)</f>
        <v/>
      </c>
      <c r="HI101" s="5"/>
      <c r="HJ101" s="29"/>
      <c r="HL101" s="14"/>
      <c r="HM101" s="5"/>
      <c r="HN101" s="5" t="str">
        <f>IF(HM101="","",HM101-HM102)</f>
        <v/>
      </c>
      <c r="HO101" s="5"/>
      <c r="HP101" s="29"/>
      <c r="HR101" s="14"/>
      <c r="HS101" s="5"/>
      <c r="HT101" s="5" t="str">
        <f>IF(HS101="","",HS101-HS102)</f>
        <v/>
      </c>
      <c r="HU101" s="5"/>
      <c r="HV101" s="29"/>
    </row>
    <row r="102" spans="1:230" ht="15" customHeight="1" x14ac:dyDescent="0.2">
      <c r="A102" s="49"/>
      <c r="B102" s="26"/>
      <c r="C102" s="4">
        <v>17529</v>
      </c>
      <c r="D102" s="5">
        <f t="shared" si="355"/>
        <v>71</v>
      </c>
      <c r="E102" s="5">
        <v>541</v>
      </c>
      <c r="F102" s="5">
        <f t="shared" si="356"/>
        <v>1</v>
      </c>
      <c r="G102" s="5">
        <v>10</v>
      </c>
      <c r="H102" s="5">
        <f t="shared" si="357"/>
        <v>1</v>
      </c>
      <c r="I102" s="35">
        <v>2</v>
      </c>
      <c r="J102" s="38" t="str">
        <f t="shared" si="358"/>
        <v>サンリオカラビナ付きミニファン</v>
      </c>
      <c r="K102" s="39">
        <f t="shared" si="359"/>
        <v>1100</v>
      </c>
      <c r="L102" s="5">
        <f t="shared" si="360"/>
        <v>1100</v>
      </c>
      <c r="M102" s="36">
        <f t="shared" si="361"/>
        <v>0.15492957746478872</v>
      </c>
      <c r="N102" s="29"/>
      <c r="P102" s="49"/>
      <c r="Q102" s="4">
        <v>11219</v>
      </c>
      <c r="R102" s="5">
        <f t="shared" si="362"/>
        <v>92</v>
      </c>
      <c r="S102" s="5">
        <v>190</v>
      </c>
      <c r="T102" s="5">
        <f t="shared" si="363"/>
        <v>1</v>
      </c>
      <c r="U102" s="5">
        <v>5</v>
      </c>
      <c r="V102" s="5">
        <f t="shared" si="364"/>
        <v>2</v>
      </c>
      <c r="W102" s="35">
        <v>2</v>
      </c>
      <c r="X102" s="38" t="str">
        <f t="shared" si="431"/>
        <v>サンリオヘアバンド</v>
      </c>
      <c r="Y102" s="39">
        <f t="shared" si="432"/>
        <v>825</v>
      </c>
      <c r="Z102" s="5">
        <f t="shared" si="367"/>
        <v>1650</v>
      </c>
      <c r="AA102" s="36">
        <f t="shared" si="368"/>
        <v>0.17934782608695651</v>
      </c>
      <c r="AB102" s="29"/>
      <c r="AD102" s="49"/>
      <c r="AE102" s="4">
        <v>2210</v>
      </c>
      <c r="AF102" s="5">
        <f t="shared" si="369"/>
        <v>78</v>
      </c>
      <c r="AG102" s="5">
        <v>34</v>
      </c>
      <c r="AH102" s="5">
        <f t="shared" si="370"/>
        <v>0</v>
      </c>
      <c r="AI102" s="5">
        <v>53</v>
      </c>
      <c r="AJ102" s="5">
        <f t="shared" si="371"/>
        <v>0</v>
      </c>
      <c r="AK102" s="35">
        <v>0</v>
      </c>
      <c r="AL102" s="38" t="str">
        <f t="shared" si="429"/>
        <v>電ブル</v>
      </c>
      <c r="AM102" s="39">
        <f t="shared" si="430"/>
        <v>292</v>
      </c>
      <c r="AN102" s="5">
        <f t="shared" si="372"/>
        <v>0</v>
      </c>
      <c r="AO102" s="36">
        <f t="shared" si="373"/>
        <v>0</v>
      </c>
      <c r="AP102" s="29"/>
      <c r="AR102" s="49"/>
      <c r="AS102" s="4">
        <v>1737</v>
      </c>
      <c r="AT102" s="5">
        <f t="shared" si="374"/>
        <v>18</v>
      </c>
      <c r="AU102" s="5">
        <v>7</v>
      </c>
      <c r="AV102" s="5">
        <f t="shared" si="375"/>
        <v>1</v>
      </c>
      <c r="AW102" s="5">
        <v>6</v>
      </c>
      <c r="AX102" s="5">
        <f t="shared" si="376"/>
        <v>1</v>
      </c>
      <c r="AY102" s="35">
        <v>2</v>
      </c>
      <c r="AZ102" s="38" t="str">
        <f t="shared" si="433"/>
        <v>ゲーム機イヤホン</v>
      </c>
      <c r="BA102" s="39">
        <f t="shared" si="434"/>
        <v>770</v>
      </c>
      <c r="BB102" s="5">
        <f t="shared" si="378"/>
        <v>770</v>
      </c>
      <c r="BC102" s="36">
        <f t="shared" si="379"/>
        <v>0.42777777777777776</v>
      </c>
      <c r="BD102" s="29" t="s">
        <v>242</v>
      </c>
      <c r="BE102" s="32"/>
      <c r="BF102" s="33"/>
      <c r="BG102" s="4">
        <v>5364</v>
      </c>
      <c r="BH102" s="5">
        <f t="shared" si="380"/>
        <v>97</v>
      </c>
      <c r="BI102" s="5">
        <v>48</v>
      </c>
      <c r="BJ102" s="5">
        <f t="shared" si="381"/>
        <v>1</v>
      </c>
      <c r="BK102" s="5">
        <v>3</v>
      </c>
      <c r="BL102" s="5">
        <f t="shared" si="382"/>
        <v>0</v>
      </c>
      <c r="BM102" s="35">
        <v>0</v>
      </c>
      <c r="BN102" s="38" t="str">
        <f t="shared" si="383"/>
        <v>ボンボンドロップシール</v>
      </c>
      <c r="BO102" s="39">
        <f t="shared" si="384"/>
        <v>1500</v>
      </c>
      <c r="BP102" s="5">
        <f t="shared" si="385"/>
        <v>0</v>
      </c>
      <c r="BQ102" s="36">
        <f t="shared" si="386"/>
        <v>0</v>
      </c>
      <c r="BR102" s="29"/>
      <c r="BT102" s="33"/>
      <c r="BU102" s="4">
        <v>32094</v>
      </c>
      <c r="BV102" s="5">
        <f t="shared" si="387"/>
        <v>22</v>
      </c>
      <c r="BW102" s="5">
        <v>1693</v>
      </c>
      <c r="BX102" s="5">
        <f t="shared" si="388"/>
        <v>1</v>
      </c>
      <c r="BY102" s="5">
        <v>34</v>
      </c>
      <c r="BZ102" s="5">
        <f t="shared" si="389"/>
        <v>1</v>
      </c>
      <c r="CA102" s="35">
        <v>3</v>
      </c>
      <c r="CB102" s="38" t="str">
        <f t="shared" si="390"/>
        <v>サンリオボアポーチ</v>
      </c>
      <c r="CC102" s="39">
        <f t="shared" si="391"/>
        <v>950</v>
      </c>
      <c r="CD102" s="5">
        <f t="shared" si="392"/>
        <v>950</v>
      </c>
      <c r="CE102" s="36">
        <f t="shared" si="393"/>
        <v>0.43181818181818182</v>
      </c>
      <c r="CF102" s="29"/>
      <c r="CH102" s="14"/>
      <c r="CI102" s="5"/>
      <c r="CJ102" s="5" t="str">
        <f>IF(CI102="","",CI102-CI100)</f>
        <v/>
      </c>
      <c r="CK102" s="5"/>
      <c r="CL102" s="5" t="str">
        <f>IF(CK102="","",CK102-CK100)</f>
        <v/>
      </c>
      <c r="CM102" s="5"/>
      <c r="CN102" s="5" t="str">
        <f>IF(CM102="","",CM100+CO100-CM102)</f>
        <v/>
      </c>
      <c r="CO102" s="5"/>
      <c r="CP102" s="5"/>
      <c r="CQ102" s="5"/>
      <c r="CR102" s="5" t="str">
        <f t="shared" si="410"/>
        <v/>
      </c>
      <c r="CS102" s="36" t="str">
        <f t="shared" si="411"/>
        <v/>
      </c>
      <c r="CT102" s="29"/>
      <c r="CV102" s="14"/>
      <c r="CW102" s="5"/>
      <c r="CX102" s="5" t="str">
        <f>IF(CW102="","",CW102-CW100)</f>
        <v/>
      </c>
      <c r="CY102" s="5"/>
      <c r="CZ102" s="5" t="str">
        <f>IF(CY102="","",CY102-CY100)</f>
        <v/>
      </c>
      <c r="DA102" s="5"/>
      <c r="DB102" s="5" t="str">
        <f>IF(DA102="","",DA100+DC100-DA102)</f>
        <v/>
      </c>
      <c r="DC102" s="5"/>
      <c r="DD102" s="5"/>
      <c r="DE102" s="5"/>
      <c r="DF102" s="5" t="str">
        <f t="shared" si="412"/>
        <v/>
      </c>
      <c r="DG102" s="36" t="str">
        <f t="shared" si="413"/>
        <v/>
      </c>
      <c r="DH102" s="29"/>
      <c r="DJ102" s="14"/>
      <c r="DK102" s="5"/>
      <c r="DL102" s="5" t="str">
        <f>IF(DK102="","",DK102-DK100)</f>
        <v/>
      </c>
      <c r="DM102" s="5"/>
      <c r="DN102" s="5" t="str">
        <f>IF(DM102="","",DM102-DM100)</f>
        <v/>
      </c>
      <c r="DO102" s="5"/>
      <c r="DP102" s="5" t="str">
        <f>IF(DO102="","",DO100+DQ100-DO102)</f>
        <v/>
      </c>
      <c r="DQ102" s="5"/>
      <c r="DR102" s="5"/>
      <c r="DS102" s="5"/>
      <c r="DT102" s="5" t="str">
        <f t="shared" si="414"/>
        <v/>
      </c>
      <c r="DU102" s="36" t="str">
        <f t="shared" si="415"/>
        <v/>
      </c>
      <c r="DV102" s="29"/>
      <c r="DX102" s="14"/>
      <c r="DY102" s="5"/>
      <c r="DZ102" s="5" t="str">
        <f>IF(DY102="","",DY102-DY100)</f>
        <v/>
      </c>
      <c r="EA102" s="5"/>
      <c r="EB102" s="5" t="str">
        <f>IF(EA102="","",EA102-EA100)</f>
        <v/>
      </c>
      <c r="EC102" s="5"/>
      <c r="ED102" s="5" t="str">
        <f>IF(EC102="","",EC100+EE100-EC102)</f>
        <v/>
      </c>
      <c r="EE102" s="5"/>
      <c r="EF102" s="5"/>
      <c r="EG102" s="5"/>
      <c r="EH102" s="5" t="str">
        <f t="shared" si="416"/>
        <v/>
      </c>
      <c r="EI102" s="36" t="str">
        <f t="shared" si="417"/>
        <v/>
      </c>
      <c r="EJ102" s="29"/>
      <c r="EL102" s="14"/>
      <c r="EM102" s="5"/>
      <c r="EN102" s="5" t="str">
        <f>IF(EM102="","",EM102-EM100)</f>
        <v/>
      </c>
      <c r="EO102" s="5"/>
      <c r="EP102" s="5" t="str">
        <f>IF(EO102="","",EO102-EO100)</f>
        <v/>
      </c>
      <c r="EQ102" s="5"/>
      <c r="ER102" s="5" t="str">
        <f>IF(EQ102="","",EQ100+ES100-EQ102)</f>
        <v/>
      </c>
      <c r="ES102" s="5"/>
      <c r="ET102" s="5"/>
      <c r="EU102" s="5"/>
      <c r="EV102" s="5" t="str">
        <f t="shared" si="418"/>
        <v/>
      </c>
      <c r="EW102" s="36" t="str">
        <f t="shared" si="419"/>
        <v/>
      </c>
      <c r="EX102" s="29"/>
      <c r="EZ102" s="14"/>
      <c r="FA102" s="5"/>
      <c r="FB102" s="5" t="str">
        <f>IF(FA102="","",FA102-FA100)</f>
        <v/>
      </c>
      <c r="FC102" s="5"/>
      <c r="FD102" s="5" t="str">
        <f>IF(FC102="","",FC102-FC100)</f>
        <v/>
      </c>
      <c r="FE102" s="5"/>
      <c r="FF102" s="5" t="str">
        <f>IF(FE102="","",FE100+FG100-FE102)</f>
        <v/>
      </c>
      <c r="FG102" s="5"/>
      <c r="FH102" s="5"/>
      <c r="FI102" s="5"/>
      <c r="FJ102" s="5" t="str">
        <f t="shared" si="420"/>
        <v/>
      </c>
      <c r="FK102" s="36" t="str">
        <f t="shared" si="421"/>
        <v/>
      </c>
      <c r="FL102" s="29"/>
      <c r="FN102" s="14"/>
      <c r="FO102" s="5"/>
      <c r="FP102" s="5" t="str">
        <f>IF(FO102="","",FO102-FO100)</f>
        <v/>
      </c>
      <c r="FQ102" s="5"/>
      <c r="FR102" s="5" t="str">
        <f>IF(FQ102="","",FQ102-FQ100)</f>
        <v/>
      </c>
      <c r="FS102" s="5"/>
      <c r="FT102" s="5" t="str">
        <f>IF(FS102="","",FS100+FU100-FS102)</f>
        <v/>
      </c>
      <c r="FU102" s="5"/>
      <c r="FV102" s="5"/>
      <c r="FW102" s="5"/>
      <c r="FX102" s="5" t="str">
        <f t="shared" si="422"/>
        <v/>
      </c>
      <c r="FY102" s="36" t="str">
        <f t="shared" si="423"/>
        <v/>
      </c>
      <c r="FZ102" s="29"/>
      <c r="GB102" s="14"/>
      <c r="GC102" s="5"/>
      <c r="GD102" s="5" t="str">
        <f>IF(GC102="","",GC102-GC100)</f>
        <v/>
      </c>
      <c r="GE102" s="5"/>
      <c r="GF102" s="5" t="str">
        <f>IF(GE102="","",GE102-GE100)</f>
        <v/>
      </c>
      <c r="GG102" s="5"/>
      <c r="GH102" s="5" t="str">
        <f>IF(GG102="","",GG100+GI100-GG102)</f>
        <v/>
      </c>
      <c r="GI102" s="5"/>
      <c r="GJ102" s="5"/>
      <c r="GK102" s="5"/>
      <c r="GL102" s="5" t="str">
        <f t="shared" si="424"/>
        <v/>
      </c>
      <c r="GM102" s="36" t="str">
        <f t="shared" si="425"/>
        <v/>
      </c>
      <c r="GN102" s="29"/>
      <c r="GP102" s="14"/>
      <c r="GQ102" s="5"/>
      <c r="GR102" s="5" t="str">
        <f>IF(GQ102="","",GQ102-GQ100)</f>
        <v/>
      </c>
      <c r="GS102" s="5"/>
      <c r="GT102" s="5" t="str">
        <f>IF(GS102="","",GS102-GS100)</f>
        <v/>
      </c>
      <c r="GU102" s="5"/>
      <c r="GV102" s="5" t="str">
        <f>IF(GU102="","",GU102-GU100)</f>
        <v/>
      </c>
      <c r="GW102" s="5"/>
      <c r="GX102" s="5" t="str">
        <f>IF(GW102="","",GW100+GY100-GW102)</f>
        <v/>
      </c>
      <c r="GY102" s="5"/>
      <c r="GZ102" s="5"/>
      <c r="HA102" s="5"/>
      <c r="HB102" s="5" t="str">
        <f t="shared" si="426"/>
        <v/>
      </c>
      <c r="HC102" s="36" t="str">
        <f t="shared" si="427"/>
        <v/>
      </c>
      <c r="HD102" s="29"/>
      <c r="HF102" s="14"/>
      <c r="HG102" s="5"/>
      <c r="HH102" s="5" t="str">
        <f>IF(HG102="","",HG102-HG100)</f>
        <v/>
      </c>
      <c r="HI102" s="5"/>
      <c r="HJ102" s="29"/>
      <c r="HL102" s="14"/>
      <c r="HM102" s="5"/>
      <c r="HN102" s="5" t="str">
        <f>IF(HM102="","",HM102-HM100)</f>
        <v/>
      </c>
      <c r="HO102" s="5"/>
      <c r="HP102" s="29"/>
      <c r="HR102" s="14"/>
      <c r="HS102" s="5"/>
      <c r="HT102" s="5" t="str">
        <f>IF(HS102="","",HS102-HS100)</f>
        <v/>
      </c>
      <c r="HU102" s="5"/>
      <c r="HV102" s="29"/>
    </row>
    <row r="103" spans="1:230" ht="15" customHeight="1" x14ac:dyDescent="0.2">
      <c r="A103" s="54"/>
      <c r="B103" s="37"/>
      <c r="C103" s="57">
        <v>19147</v>
      </c>
      <c r="D103" s="5">
        <f t="shared" si="355"/>
        <v>51</v>
      </c>
      <c r="E103" s="5">
        <v>661</v>
      </c>
      <c r="F103" s="5">
        <f t="shared" si="356"/>
        <v>1</v>
      </c>
      <c r="G103" s="5">
        <v>7</v>
      </c>
      <c r="H103" s="5">
        <f t="shared" si="357"/>
        <v>2</v>
      </c>
      <c r="I103" s="35">
        <v>2</v>
      </c>
      <c r="J103" s="38" t="str">
        <f t="shared" si="358"/>
        <v>たまごっちブロックシール</v>
      </c>
      <c r="K103" s="5">
        <f t="shared" si="359"/>
        <v>600</v>
      </c>
      <c r="L103" s="5">
        <f t="shared" si="360"/>
        <v>1200</v>
      </c>
      <c r="M103" s="36">
        <f t="shared" si="361"/>
        <v>0.23529411764705882</v>
      </c>
      <c r="N103" s="29"/>
      <c r="P103" s="54"/>
      <c r="Q103" s="57">
        <v>10799</v>
      </c>
      <c r="R103" s="5">
        <f t="shared" si="362"/>
        <v>88</v>
      </c>
      <c r="S103" s="5">
        <v>289</v>
      </c>
      <c r="T103" s="5">
        <f t="shared" si="363"/>
        <v>2</v>
      </c>
      <c r="U103" s="5">
        <v>11</v>
      </c>
      <c r="V103" s="5">
        <f t="shared" si="364"/>
        <v>2</v>
      </c>
      <c r="W103" s="35">
        <v>2</v>
      </c>
      <c r="X103" s="38" t="str">
        <f t="shared" si="431"/>
        <v>パンケーキスクイーズ</v>
      </c>
      <c r="Y103" s="5">
        <f t="shared" si="432"/>
        <v>181</v>
      </c>
      <c r="Z103" s="5">
        <f t="shared" si="367"/>
        <v>362</v>
      </c>
      <c r="AA103" s="36">
        <f t="shared" si="368"/>
        <v>4.1136363636363638E-2</v>
      </c>
      <c r="AB103" s="29"/>
      <c r="AD103" s="54"/>
      <c r="AE103" s="57">
        <v>1891</v>
      </c>
      <c r="AF103" s="5">
        <f t="shared" si="369"/>
        <v>43</v>
      </c>
      <c r="AG103" s="5">
        <v>39</v>
      </c>
      <c r="AH103" s="5">
        <f t="shared" si="370"/>
        <v>1</v>
      </c>
      <c r="AI103" s="5">
        <v>18</v>
      </c>
      <c r="AJ103" s="5">
        <f t="shared" si="371"/>
        <v>1</v>
      </c>
      <c r="AK103" s="35">
        <v>0</v>
      </c>
      <c r="AL103" s="38" t="str">
        <f t="shared" si="429"/>
        <v>たまごっちマスコット</v>
      </c>
      <c r="AM103" s="5">
        <f t="shared" si="430"/>
        <v>1430</v>
      </c>
      <c r="AN103" s="5">
        <f t="shared" si="372"/>
        <v>1430</v>
      </c>
      <c r="AO103" s="36">
        <f t="shared" si="373"/>
        <v>0.33255813953488372</v>
      </c>
      <c r="AP103" s="29"/>
      <c r="AR103" s="54"/>
      <c r="AS103" s="57">
        <v>1298</v>
      </c>
      <c r="AT103" s="5">
        <f t="shared" si="374"/>
        <v>55</v>
      </c>
      <c r="AU103" s="5">
        <v>25</v>
      </c>
      <c r="AV103" s="5">
        <f t="shared" si="375"/>
        <v>5</v>
      </c>
      <c r="AW103" s="5">
        <v>22</v>
      </c>
      <c r="AX103" s="5">
        <f t="shared" si="376"/>
        <v>5</v>
      </c>
      <c r="AY103" s="35">
        <v>8</v>
      </c>
      <c r="AZ103" s="38" t="str">
        <f t="shared" si="433"/>
        <v>カエル</v>
      </c>
      <c r="BA103" s="5">
        <f t="shared" si="434"/>
        <v>0</v>
      </c>
      <c r="BB103" s="5">
        <f t="shared" si="378"/>
        <v>0</v>
      </c>
      <c r="BC103" s="36">
        <f t="shared" si="379"/>
        <v>0</v>
      </c>
      <c r="BD103" s="29"/>
      <c r="BE103" s="32"/>
      <c r="BF103" s="25"/>
      <c r="BG103" s="57">
        <v>3118</v>
      </c>
      <c r="BH103" s="5">
        <f t="shared" si="380"/>
        <v>55</v>
      </c>
      <c r="BI103" s="5">
        <v>28</v>
      </c>
      <c r="BJ103" s="5">
        <f t="shared" si="381"/>
        <v>1</v>
      </c>
      <c r="BK103" s="5">
        <v>3</v>
      </c>
      <c r="BL103" s="5">
        <f t="shared" si="382"/>
        <v>0</v>
      </c>
      <c r="BM103" s="35">
        <v>0</v>
      </c>
      <c r="BN103" s="38" t="str">
        <f t="shared" si="383"/>
        <v>ボンボンドロップシール</v>
      </c>
      <c r="BO103" s="5">
        <f t="shared" si="384"/>
        <v>1500</v>
      </c>
      <c r="BP103" s="5">
        <f t="shared" si="385"/>
        <v>0</v>
      </c>
      <c r="BQ103" s="36">
        <f t="shared" si="386"/>
        <v>0</v>
      </c>
      <c r="BR103" s="29"/>
      <c r="BT103" s="25"/>
      <c r="BU103" s="57"/>
      <c r="BV103" s="5" t="str">
        <f t="shared" si="387"/>
        <v/>
      </c>
      <c r="BW103" s="5"/>
      <c r="BX103" s="5" t="str">
        <f t="shared" si="388"/>
        <v/>
      </c>
      <c r="BY103" s="5"/>
      <c r="BZ103" s="5" t="str">
        <f t="shared" si="389"/>
        <v/>
      </c>
      <c r="CA103" s="35"/>
      <c r="CB103" s="38" t="str">
        <f t="shared" si="390"/>
        <v/>
      </c>
      <c r="CC103" s="5" t="str">
        <f t="shared" si="391"/>
        <v/>
      </c>
      <c r="CD103" s="5" t="str">
        <f t="shared" si="392"/>
        <v/>
      </c>
      <c r="CE103" s="36" t="str">
        <f t="shared" si="393"/>
        <v/>
      </c>
      <c r="CF103" s="29"/>
      <c r="CH103" s="14"/>
      <c r="CI103" s="39"/>
      <c r="CJ103" s="5" t="str">
        <f>IF(CI103="","",CI103-CI101)</f>
        <v/>
      </c>
      <c r="CK103" s="5"/>
      <c r="CL103" s="5"/>
      <c r="CM103" s="5"/>
      <c r="CN103" s="5" t="str">
        <f>IF(CM103="","",CM101+CO101-CM103)</f>
        <v/>
      </c>
      <c r="CO103" s="5"/>
      <c r="CP103" s="5"/>
      <c r="CQ103" s="5"/>
      <c r="CR103" s="5" t="str">
        <f t="shared" si="410"/>
        <v/>
      </c>
      <c r="CS103" s="36" t="str">
        <f t="shared" si="411"/>
        <v/>
      </c>
      <c r="CT103" s="29"/>
      <c r="CV103" s="14"/>
      <c r="CW103" s="39"/>
      <c r="CX103" s="5" t="str">
        <f>IF(CW103="","",CW103-CW101)</f>
        <v/>
      </c>
      <c r="CY103" s="5"/>
      <c r="CZ103" s="5"/>
      <c r="DA103" s="5"/>
      <c r="DB103" s="5" t="str">
        <f>IF(DA103="","",DA101+DC101-DA103)</f>
        <v/>
      </c>
      <c r="DC103" s="5"/>
      <c r="DD103" s="5"/>
      <c r="DE103" s="5"/>
      <c r="DF103" s="5" t="str">
        <f t="shared" si="412"/>
        <v/>
      </c>
      <c r="DG103" s="36" t="str">
        <f t="shared" si="413"/>
        <v/>
      </c>
      <c r="DH103" s="29"/>
      <c r="DJ103" s="14"/>
      <c r="DK103" s="39"/>
      <c r="DL103" s="5" t="str">
        <f>IF(DK103="","",DK103-DK101)</f>
        <v/>
      </c>
      <c r="DM103" s="5"/>
      <c r="DN103" s="5"/>
      <c r="DO103" s="5"/>
      <c r="DP103" s="5" t="str">
        <f>IF(DO103="","",DO101+DQ101-DO103)</f>
        <v/>
      </c>
      <c r="DQ103" s="5"/>
      <c r="DR103" s="5"/>
      <c r="DS103" s="5"/>
      <c r="DT103" s="5" t="str">
        <f t="shared" si="414"/>
        <v/>
      </c>
      <c r="DU103" s="36" t="str">
        <f t="shared" si="415"/>
        <v/>
      </c>
      <c r="DV103" s="29"/>
      <c r="DX103" s="14"/>
      <c r="DY103" s="39"/>
      <c r="DZ103" s="5" t="str">
        <f>IF(DY103="","",DY103-DY101)</f>
        <v/>
      </c>
      <c r="EA103" s="5"/>
      <c r="EB103" s="5"/>
      <c r="EC103" s="5"/>
      <c r="ED103" s="5" t="str">
        <f>IF(EC103="","",EC101+EE101-EC103)</f>
        <v/>
      </c>
      <c r="EE103" s="5"/>
      <c r="EF103" s="5"/>
      <c r="EG103" s="5"/>
      <c r="EH103" s="5" t="str">
        <f t="shared" si="416"/>
        <v/>
      </c>
      <c r="EI103" s="36" t="str">
        <f t="shared" si="417"/>
        <v/>
      </c>
      <c r="EJ103" s="29"/>
      <c r="EL103" s="14"/>
      <c r="EM103" s="39"/>
      <c r="EN103" s="5" t="str">
        <f>IF(EM103="","",EM103-EM101)</f>
        <v/>
      </c>
      <c r="EO103" s="5"/>
      <c r="EP103" s="5"/>
      <c r="EQ103" s="5"/>
      <c r="ER103" s="5" t="str">
        <f>IF(EQ103="","",EQ101+ES101-EQ103)</f>
        <v/>
      </c>
      <c r="ES103" s="5"/>
      <c r="ET103" s="5"/>
      <c r="EU103" s="5"/>
      <c r="EV103" s="5" t="str">
        <f t="shared" si="418"/>
        <v/>
      </c>
      <c r="EW103" s="36" t="str">
        <f t="shared" si="419"/>
        <v/>
      </c>
      <c r="EX103" s="29"/>
      <c r="EZ103" s="14"/>
      <c r="FA103" s="39"/>
      <c r="FB103" s="5" t="str">
        <f>IF(FA103="","",FA103-FA101)</f>
        <v/>
      </c>
      <c r="FC103" s="5"/>
      <c r="FD103" s="5"/>
      <c r="FE103" s="5"/>
      <c r="FF103" s="5" t="str">
        <f>IF(FE103="","",FE101+FG101-FE103)</f>
        <v/>
      </c>
      <c r="FG103" s="5"/>
      <c r="FH103" s="5"/>
      <c r="FI103" s="5"/>
      <c r="FJ103" s="5" t="str">
        <f t="shared" si="420"/>
        <v/>
      </c>
      <c r="FK103" s="36" t="str">
        <f t="shared" si="421"/>
        <v/>
      </c>
      <c r="FL103" s="29"/>
      <c r="FN103" s="14"/>
      <c r="FO103" s="39"/>
      <c r="FP103" s="5" t="str">
        <f>IF(FO103="","",FO103-FO101)</f>
        <v/>
      </c>
      <c r="FQ103" s="5"/>
      <c r="FR103" s="5"/>
      <c r="FS103" s="5"/>
      <c r="FT103" s="5" t="str">
        <f>IF(FS103="","",FS101+FU101-FS103)</f>
        <v/>
      </c>
      <c r="FU103" s="5"/>
      <c r="FV103" s="5"/>
      <c r="FW103" s="5"/>
      <c r="FX103" s="5" t="str">
        <f t="shared" si="422"/>
        <v/>
      </c>
      <c r="FY103" s="36" t="str">
        <f t="shared" si="423"/>
        <v/>
      </c>
      <c r="FZ103" s="29"/>
      <c r="GB103" s="14"/>
      <c r="GC103" s="39"/>
      <c r="GD103" s="5" t="str">
        <f>IF(GC103="","",GC103-GC101)</f>
        <v/>
      </c>
      <c r="GE103" s="5"/>
      <c r="GF103" s="5"/>
      <c r="GG103" s="5"/>
      <c r="GH103" s="5" t="str">
        <f>IF(GG103="","",GG101+GI101-GG103)</f>
        <v/>
      </c>
      <c r="GI103" s="5"/>
      <c r="GJ103" s="5"/>
      <c r="GK103" s="5"/>
      <c r="GL103" s="5" t="str">
        <f t="shared" si="424"/>
        <v/>
      </c>
      <c r="GM103" s="36" t="str">
        <f t="shared" si="425"/>
        <v/>
      </c>
      <c r="GN103" s="29"/>
      <c r="GP103" s="14"/>
      <c r="GQ103" s="39"/>
      <c r="GR103" s="5" t="str">
        <f>IF(GQ103="","",GQ103-GQ101)</f>
        <v/>
      </c>
      <c r="GS103" s="5"/>
      <c r="GT103" s="5" t="str">
        <f>IF(GS103="","",GS103-GS101)</f>
        <v/>
      </c>
      <c r="GU103" s="5"/>
      <c r="GV103" s="5"/>
      <c r="GW103" s="5"/>
      <c r="GX103" s="5" t="str">
        <f>IF(GW103="","",GW101+GY101-GW103)</f>
        <v/>
      </c>
      <c r="GY103" s="5"/>
      <c r="GZ103" s="5"/>
      <c r="HA103" s="5"/>
      <c r="HB103" s="5" t="str">
        <f t="shared" si="426"/>
        <v/>
      </c>
      <c r="HC103" s="36" t="str">
        <f t="shared" si="427"/>
        <v/>
      </c>
      <c r="HD103" s="29"/>
      <c r="HF103" s="14"/>
      <c r="HG103" s="39"/>
      <c r="HH103" s="5" t="str">
        <f>IF(HG103="","",HG103-HG101)</f>
        <v/>
      </c>
      <c r="HI103" s="5"/>
      <c r="HJ103" s="29"/>
      <c r="HL103" s="14"/>
      <c r="HM103" s="39"/>
      <c r="HN103" s="5" t="str">
        <f>IF(HM103="","",HM103-HM101)</f>
        <v/>
      </c>
      <c r="HO103" s="5"/>
      <c r="HP103" s="29"/>
      <c r="HR103" s="14"/>
      <c r="HS103" s="39"/>
      <c r="HT103" s="5" t="str">
        <f>IF(HS103="","",HS103-HS101)</f>
        <v/>
      </c>
      <c r="HU103" s="5"/>
      <c r="HV103" s="29"/>
    </row>
    <row r="104" spans="1:230" ht="15" customHeight="1" thickBot="1" x14ac:dyDescent="0.25">
      <c r="A104" s="60"/>
      <c r="B104" s="73"/>
      <c r="C104" s="43">
        <v>23486</v>
      </c>
      <c r="D104" s="61">
        <f t="shared" si="355"/>
        <v>28</v>
      </c>
      <c r="E104" s="44">
        <v>1178</v>
      </c>
      <c r="F104" s="44">
        <f t="shared" si="356"/>
        <v>1</v>
      </c>
      <c r="G104" s="44">
        <v>44</v>
      </c>
      <c r="H104" s="44">
        <f t="shared" si="357"/>
        <v>0</v>
      </c>
      <c r="I104" s="62">
        <v>-38</v>
      </c>
      <c r="J104" s="47" t="str">
        <f t="shared" si="358"/>
        <v>ふわもちミニスクイーズ</v>
      </c>
      <c r="K104" s="61">
        <f t="shared" si="359"/>
        <v>99</v>
      </c>
      <c r="L104" s="44">
        <f t="shared" si="360"/>
        <v>0</v>
      </c>
      <c r="M104" s="46">
        <f t="shared" si="361"/>
        <v>0</v>
      </c>
      <c r="N104" s="29" t="s">
        <v>243</v>
      </c>
      <c r="P104" s="60"/>
      <c r="Q104" s="43">
        <v>9418</v>
      </c>
      <c r="R104" s="61">
        <f t="shared" si="362"/>
        <v>28</v>
      </c>
      <c r="S104" s="44">
        <v>226</v>
      </c>
      <c r="T104" s="44">
        <f t="shared" si="363"/>
        <v>0</v>
      </c>
      <c r="U104" s="44">
        <v>20</v>
      </c>
      <c r="V104" s="44">
        <f t="shared" si="364"/>
        <v>0</v>
      </c>
      <c r="W104" s="62">
        <v>6</v>
      </c>
      <c r="X104" s="47" t="str">
        <f t="shared" si="431"/>
        <v>フルーツスクイーズ</v>
      </c>
      <c r="Y104" s="61">
        <f t="shared" si="432"/>
        <v>200</v>
      </c>
      <c r="Z104" s="44">
        <f t="shared" si="367"/>
        <v>0</v>
      </c>
      <c r="AA104" s="46">
        <f t="shared" si="368"/>
        <v>0</v>
      </c>
      <c r="AB104" s="29"/>
      <c r="AD104" s="60"/>
      <c r="AE104" s="43">
        <v>116</v>
      </c>
      <c r="AF104" s="61">
        <f t="shared" si="369"/>
        <v>52</v>
      </c>
      <c r="AG104" s="44">
        <v>33</v>
      </c>
      <c r="AH104" s="44">
        <f t="shared" si="370"/>
        <v>1</v>
      </c>
      <c r="AI104" s="44">
        <v>16</v>
      </c>
      <c r="AJ104" s="44">
        <f t="shared" si="371"/>
        <v>1</v>
      </c>
      <c r="AK104" s="62">
        <v>0</v>
      </c>
      <c r="AL104" s="47" t="str">
        <f t="shared" si="429"/>
        <v>バタースクイーズ</v>
      </c>
      <c r="AM104" s="61">
        <f t="shared" si="430"/>
        <v>260</v>
      </c>
      <c r="AN104" s="44">
        <f t="shared" si="372"/>
        <v>260</v>
      </c>
      <c r="AO104" s="46">
        <f t="shared" si="373"/>
        <v>0.05</v>
      </c>
      <c r="AP104" s="29"/>
      <c r="AR104" s="60"/>
      <c r="AS104" s="43">
        <v>1256</v>
      </c>
      <c r="AT104" s="61">
        <f t="shared" si="374"/>
        <v>41</v>
      </c>
      <c r="AU104" s="44">
        <v>43</v>
      </c>
      <c r="AV104" s="44">
        <f t="shared" si="375"/>
        <v>5</v>
      </c>
      <c r="AW104" s="44">
        <v>12</v>
      </c>
      <c r="AX104" s="44">
        <f t="shared" si="376"/>
        <v>5</v>
      </c>
      <c r="AY104" s="62">
        <v>5</v>
      </c>
      <c r="AZ104" s="47" t="str">
        <f t="shared" si="433"/>
        <v>半熟玉子スクイーズ</v>
      </c>
      <c r="BA104" s="61">
        <f t="shared" si="434"/>
        <v>170</v>
      </c>
      <c r="BB104" s="44">
        <f t="shared" si="378"/>
        <v>850</v>
      </c>
      <c r="BC104" s="46">
        <f t="shared" si="379"/>
        <v>0.2073170731707317</v>
      </c>
      <c r="BD104" s="29"/>
      <c r="BE104" s="32"/>
      <c r="BF104" s="41"/>
      <c r="BG104" s="43">
        <v>4479</v>
      </c>
      <c r="BH104" s="61">
        <f t="shared" si="380"/>
        <v>49</v>
      </c>
      <c r="BI104" s="44">
        <v>51</v>
      </c>
      <c r="BJ104" s="44">
        <f t="shared" si="381"/>
        <v>1</v>
      </c>
      <c r="BK104" s="44">
        <v>3</v>
      </c>
      <c r="BL104" s="44">
        <f t="shared" si="382"/>
        <v>0</v>
      </c>
      <c r="BM104" s="62">
        <v>0</v>
      </c>
      <c r="BN104" s="47" t="str">
        <f t="shared" si="383"/>
        <v>ボンボンドロップシール</v>
      </c>
      <c r="BO104" s="61">
        <f t="shared" si="384"/>
        <v>1500</v>
      </c>
      <c r="BP104" s="44">
        <f t="shared" si="385"/>
        <v>0</v>
      </c>
      <c r="BQ104" s="46">
        <f t="shared" si="386"/>
        <v>0</v>
      </c>
      <c r="BR104" s="29"/>
      <c r="BT104" s="41"/>
      <c r="BU104" s="43"/>
      <c r="BV104" s="61" t="str">
        <f t="shared" si="387"/>
        <v/>
      </c>
      <c r="BW104" s="44"/>
      <c r="BX104" s="44" t="str">
        <f t="shared" si="388"/>
        <v/>
      </c>
      <c r="BY104" s="44"/>
      <c r="BZ104" s="44" t="str">
        <f t="shared" si="389"/>
        <v/>
      </c>
      <c r="CA104" s="62"/>
      <c r="CB104" s="47" t="str">
        <f t="shared" si="390"/>
        <v/>
      </c>
      <c r="CC104" s="61" t="str">
        <f t="shared" si="391"/>
        <v/>
      </c>
      <c r="CD104" s="44" t="str">
        <f t="shared" si="392"/>
        <v/>
      </c>
      <c r="CE104" s="46" t="str">
        <f t="shared" si="393"/>
        <v/>
      </c>
      <c r="CF104" s="29"/>
      <c r="CH104" s="14"/>
      <c r="CI104" s="39"/>
      <c r="CJ104" s="5" t="str">
        <f t="shared" ref="CJ104:CJ124" si="435">IF(CI104="","",CI104-CI103)</f>
        <v/>
      </c>
      <c r="CK104" s="5"/>
      <c r="CL104" s="5"/>
      <c r="CM104" s="5"/>
      <c r="CN104" s="5" t="str">
        <f t="shared" ref="CN104:CN124" si="436">IF(CM104="","",CM103+CO103-CM104)</f>
        <v/>
      </c>
      <c r="CO104" s="5"/>
      <c r="CP104" s="5"/>
      <c r="CQ104" s="5"/>
      <c r="CR104" s="5" t="str">
        <f t="shared" si="410"/>
        <v/>
      </c>
      <c r="CS104" s="36" t="str">
        <f t="shared" si="411"/>
        <v/>
      </c>
      <c r="CT104" s="29"/>
      <c r="CV104" s="14"/>
      <c r="CW104" s="39"/>
      <c r="CX104" s="5" t="str">
        <f t="shared" ref="CX104:CX124" si="437">IF(CW104="","",CW104-CW103)</f>
        <v/>
      </c>
      <c r="CY104" s="5"/>
      <c r="CZ104" s="5"/>
      <c r="DA104" s="5"/>
      <c r="DB104" s="5" t="str">
        <f t="shared" ref="DB104:DB124" si="438">IF(DA104="","",DA103+DC103-DA104)</f>
        <v/>
      </c>
      <c r="DC104" s="5"/>
      <c r="DD104" s="5"/>
      <c r="DE104" s="5"/>
      <c r="DF104" s="5" t="str">
        <f t="shared" si="412"/>
        <v/>
      </c>
      <c r="DG104" s="36" t="str">
        <f t="shared" si="413"/>
        <v/>
      </c>
      <c r="DH104" s="29"/>
      <c r="DJ104" s="14"/>
      <c r="DK104" s="39"/>
      <c r="DL104" s="5" t="str">
        <f t="shared" ref="DL104:DL124" si="439">IF(DK104="","",DK104-DK103)</f>
        <v/>
      </c>
      <c r="DM104" s="5"/>
      <c r="DN104" s="5"/>
      <c r="DO104" s="5"/>
      <c r="DP104" s="5" t="str">
        <f t="shared" ref="DP104:DP124" si="440">IF(DO104="","",DO103+DQ103-DO104)</f>
        <v/>
      </c>
      <c r="DQ104" s="5"/>
      <c r="DR104" s="5"/>
      <c r="DS104" s="5"/>
      <c r="DT104" s="5" t="str">
        <f t="shared" si="414"/>
        <v/>
      </c>
      <c r="DU104" s="36" t="str">
        <f t="shared" si="415"/>
        <v/>
      </c>
      <c r="DV104" s="29"/>
      <c r="DX104" s="14"/>
      <c r="DY104" s="39"/>
      <c r="DZ104" s="5" t="str">
        <f t="shared" ref="DZ104:DZ124" si="441">IF(DY104="","",DY104-DY103)</f>
        <v/>
      </c>
      <c r="EA104" s="5"/>
      <c r="EB104" s="5"/>
      <c r="EC104" s="5"/>
      <c r="ED104" s="5" t="str">
        <f t="shared" ref="ED104:ED124" si="442">IF(EC104="","",EC103+EE103-EC104)</f>
        <v/>
      </c>
      <c r="EE104" s="5"/>
      <c r="EF104" s="5"/>
      <c r="EG104" s="5"/>
      <c r="EH104" s="5" t="str">
        <f t="shared" si="416"/>
        <v/>
      </c>
      <c r="EI104" s="36" t="str">
        <f t="shared" si="417"/>
        <v/>
      </c>
      <c r="EJ104" s="29"/>
      <c r="EL104" s="14"/>
      <c r="EM104" s="39"/>
      <c r="EN104" s="5" t="str">
        <f t="shared" ref="EN104:EN124" si="443">IF(EM104="","",EM104-EM103)</f>
        <v/>
      </c>
      <c r="EO104" s="5"/>
      <c r="EP104" s="5"/>
      <c r="EQ104" s="5"/>
      <c r="ER104" s="5" t="str">
        <f t="shared" ref="ER104:ER124" si="444">IF(EQ104="","",EQ103+ES103-EQ104)</f>
        <v/>
      </c>
      <c r="ES104" s="5"/>
      <c r="ET104" s="5"/>
      <c r="EU104" s="5"/>
      <c r="EV104" s="5" t="str">
        <f t="shared" si="418"/>
        <v/>
      </c>
      <c r="EW104" s="36" t="str">
        <f t="shared" si="419"/>
        <v/>
      </c>
      <c r="EX104" s="29"/>
      <c r="EZ104" s="14"/>
      <c r="FA104" s="39"/>
      <c r="FB104" s="5" t="str">
        <f t="shared" ref="FB104:FB124" si="445">IF(FA104="","",FA104-FA103)</f>
        <v/>
      </c>
      <c r="FC104" s="5"/>
      <c r="FD104" s="5"/>
      <c r="FE104" s="5"/>
      <c r="FF104" s="5" t="str">
        <f t="shared" ref="FF104:FF124" si="446">IF(FE104="","",FE103+FG103-FE104)</f>
        <v/>
      </c>
      <c r="FG104" s="5"/>
      <c r="FH104" s="5"/>
      <c r="FI104" s="5"/>
      <c r="FJ104" s="5" t="str">
        <f t="shared" si="420"/>
        <v/>
      </c>
      <c r="FK104" s="36" t="str">
        <f t="shared" si="421"/>
        <v/>
      </c>
      <c r="FL104" s="29"/>
      <c r="FN104" s="14"/>
      <c r="FO104" s="39"/>
      <c r="FP104" s="5" t="str">
        <f t="shared" ref="FP104:FP124" si="447">IF(FO104="","",FO104-FO103)</f>
        <v/>
      </c>
      <c r="FQ104" s="5"/>
      <c r="FR104" s="5"/>
      <c r="FS104" s="5"/>
      <c r="FT104" s="5" t="str">
        <f t="shared" ref="FT104:FT124" si="448">IF(FS104="","",FS103+FU103-FS104)</f>
        <v/>
      </c>
      <c r="FU104" s="5"/>
      <c r="FV104" s="5"/>
      <c r="FW104" s="5"/>
      <c r="FX104" s="5" t="str">
        <f t="shared" si="422"/>
        <v/>
      </c>
      <c r="FY104" s="36" t="str">
        <f t="shared" si="423"/>
        <v/>
      </c>
      <c r="FZ104" s="29"/>
      <c r="GB104" s="14"/>
      <c r="GC104" s="39"/>
      <c r="GD104" s="5" t="str">
        <f t="shared" ref="GD104:GD124" si="449">IF(GC104="","",GC104-GC103)</f>
        <v/>
      </c>
      <c r="GE104" s="5"/>
      <c r="GF104" s="5"/>
      <c r="GG104" s="5"/>
      <c r="GH104" s="5" t="str">
        <f t="shared" ref="GH104:GH124" si="450">IF(GG104="","",GG103+GI103-GG104)</f>
        <v/>
      </c>
      <c r="GI104" s="5"/>
      <c r="GJ104" s="5"/>
      <c r="GK104" s="5"/>
      <c r="GL104" s="5" t="str">
        <f t="shared" si="424"/>
        <v/>
      </c>
      <c r="GM104" s="36" t="str">
        <f t="shared" si="425"/>
        <v/>
      </c>
      <c r="GN104" s="29"/>
      <c r="GP104" s="14"/>
      <c r="GQ104" s="39"/>
      <c r="GR104" s="5" t="str">
        <f t="shared" ref="GR104:GR124" si="451">IF(GQ104="","",GQ104-GQ103)</f>
        <v/>
      </c>
      <c r="GS104" s="5"/>
      <c r="GT104" s="5" t="str">
        <f>IF(GS104="","",GS104-GS103)</f>
        <v/>
      </c>
      <c r="GU104" s="5"/>
      <c r="GV104" s="5"/>
      <c r="GW104" s="5"/>
      <c r="GX104" s="5" t="str">
        <f t="shared" ref="GX104:GX124" si="452">IF(GW104="","",GW103+GY103-GW104)</f>
        <v/>
      </c>
      <c r="GY104" s="5"/>
      <c r="GZ104" s="5"/>
      <c r="HA104" s="5"/>
      <c r="HB104" s="5" t="str">
        <f t="shared" si="426"/>
        <v/>
      </c>
      <c r="HC104" s="36" t="str">
        <f t="shared" si="427"/>
        <v/>
      </c>
      <c r="HD104" s="29"/>
      <c r="HF104" s="14"/>
      <c r="HG104" s="39"/>
      <c r="HH104" s="5" t="str">
        <f t="shared" ref="HH104:HH124" si="453">IF(HG104="","",HG104-HG103)</f>
        <v/>
      </c>
      <c r="HI104" s="5"/>
      <c r="HJ104" s="29"/>
      <c r="HL104" s="14"/>
      <c r="HM104" s="39"/>
      <c r="HN104" s="5" t="str">
        <f t="shared" ref="HN104:HN124" si="454">IF(HM104="","",HM104-HM103)</f>
        <v/>
      </c>
      <c r="HO104" s="5"/>
      <c r="HP104" s="29"/>
      <c r="HR104" s="14"/>
      <c r="HS104" s="39"/>
      <c r="HT104" s="5" t="str">
        <f t="shared" ref="HT104:HT124" si="455">IF(HS104="","",HS104-HS103)</f>
        <v/>
      </c>
      <c r="HU104" s="5"/>
      <c r="HV104" s="29"/>
    </row>
    <row r="105" spans="1:230" ht="15" customHeight="1" thickTop="1" x14ac:dyDescent="0.2">
      <c r="A105" s="49">
        <v>46157</v>
      </c>
      <c r="B105" s="26">
        <f>SUM(D105:D108)+SUM(R105:R108)+SUM(AF105:AF108)+SUM(AT105:AT108)+SUM(CJ84,CX84,DL84,DZ84,EN84,FB84,FP84,GD84,GR84,HH84,HN84,HT84)+SUM(BH105:BH108)+SUM(BV105:BV106)</f>
        <v>1294</v>
      </c>
      <c r="C105" s="4">
        <v>13787</v>
      </c>
      <c r="D105" s="68">
        <f t="shared" si="355"/>
        <v>11</v>
      </c>
      <c r="E105" s="4">
        <v>366</v>
      </c>
      <c r="F105" s="50">
        <f t="shared" si="356"/>
        <v>2</v>
      </c>
      <c r="G105" s="4">
        <v>11</v>
      </c>
      <c r="H105" s="4">
        <f t="shared" si="357"/>
        <v>2</v>
      </c>
      <c r="I105" s="51"/>
      <c r="J105" s="3" t="str">
        <f t="shared" si="358"/>
        <v>キティダブルミラー</v>
      </c>
      <c r="K105" s="39">
        <f t="shared" si="359"/>
        <v>660</v>
      </c>
      <c r="L105" s="50">
        <f t="shared" si="360"/>
        <v>1320</v>
      </c>
      <c r="M105" s="52">
        <f t="shared" si="361"/>
        <v>1.2</v>
      </c>
      <c r="N105" s="29"/>
      <c r="P105" s="53">
        <f>IF($A105="","",$A105)</f>
        <v>46157</v>
      </c>
      <c r="Q105" s="4">
        <v>4601</v>
      </c>
      <c r="R105" s="4">
        <f t="shared" si="362"/>
        <v>16</v>
      </c>
      <c r="S105" s="4">
        <v>201</v>
      </c>
      <c r="T105" s="50">
        <f t="shared" si="363"/>
        <v>1</v>
      </c>
      <c r="U105" s="4">
        <v>3</v>
      </c>
      <c r="V105" s="4">
        <f t="shared" si="364"/>
        <v>1</v>
      </c>
      <c r="W105" s="51">
        <v>0</v>
      </c>
      <c r="X105" s="3" t="str">
        <f t="shared" si="431"/>
        <v>サンリオボアバンスクリップ</v>
      </c>
      <c r="Y105" s="39">
        <f t="shared" si="432"/>
        <v>660</v>
      </c>
      <c r="Z105" s="50">
        <f t="shared" si="367"/>
        <v>660</v>
      </c>
      <c r="AA105" s="52">
        <f t="shared" si="368"/>
        <v>0.41249999999999998</v>
      </c>
      <c r="AB105" s="29"/>
      <c r="AD105" s="53">
        <f>IF($A105="","",$A105)</f>
        <v>46157</v>
      </c>
      <c r="AE105" s="4">
        <v>2408</v>
      </c>
      <c r="AF105" s="4">
        <f t="shared" si="369"/>
        <v>41</v>
      </c>
      <c r="AG105" s="4">
        <v>44</v>
      </c>
      <c r="AH105" s="50">
        <f t="shared" si="370"/>
        <v>2</v>
      </c>
      <c r="AI105" s="4">
        <v>4</v>
      </c>
      <c r="AJ105" s="4">
        <f t="shared" si="371"/>
        <v>2</v>
      </c>
      <c r="AK105" s="51"/>
      <c r="AL105" s="3" t="str">
        <f t="shared" si="429"/>
        <v>マリオカートマスコット</v>
      </c>
      <c r="AM105" s="39">
        <f t="shared" si="430"/>
        <v>792</v>
      </c>
      <c r="AN105" s="50">
        <f t="shared" si="372"/>
        <v>1584</v>
      </c>
      <c r="AO105" s="52">
        <f t="shared" si="373"/>
        <v>0.38634146341463416</v>
      </c>
      <c r="AP105" s="29"/>
      <c r="AR105" s="53">
        <f>IF($A105="","",$A105)</f>
        <v>46157</v>
      </c>
      <c r="AS105" s="4">
        <v>2289</v>
      </c>
      <c r="AT105" s="4">
        <f t="shared" si="374"/>
        <v>15</v>
      </c>
      <c r="AU105" s="4">
        <v>51</v>
      </c>
      <c r="AV105" s="50">
        <f t="shared" si="375"/>
        <v>0</v>
      </c>
      <c r="AW105" s="4">
        <v>20</v>
      </c>
      <c r="AX105" s="4">
        <f t="shared" si="376"/>
        <v>0</v>
      </c>
      <c r="AY105" s="51">
        <v>0</v>
      </c>
      <c r="AZ105" s="3" t="str">
        <f t="shared" si="433"/>
        <v>ベアブリック</v>
      </c>
      <c r="BA105" s="39">
        <f t="shared" si="434"/>
        <v>847</v>
      </c>
      <c r="BB105" s="50">
        <f t="shared" si="378"/>
        <v>0</v>
      </c>
      <c r="BC105" s="52">
        <f t="shared" si="379"/>
        <v>0</v>
      </c>
      <c r="BD105" s="29"/>
      <c r="BE105" s="32"/>
      <c r="BF105" s="33">
        <f>IF($A105="","",$A105)</f>
        <v>46157</v>
      </c>
      <c r="BG105" s="4">
        <v>3757</v>
      </c>
      <c r="BH105" s="4">
        <f t="shared" si="380"/>
        <v>92</v>
      </c>
      <c r="BI105" s="4">
        <v>34</v>
      </c>
      <c r="BJ105" s="50">
        <f t="shared" si="381"/>
        <v>2</v>
      </c>
      <c r="BK105" s="4">
        <v>2</v>
      </c>
      <c r="BL105" s="4">
        <f t="shared" si="382"/>
        <v>1</v>
      </c>
      <c r="BM105" s="51">
        <v>1</v>
      </c>
      <c r="BN105" s="3" t="str">
        <f t="shared" si="383"/>
        <v>ボンボンドロップシール</v>
      </c>
      <c r="BO105" s="39">
        <f t="shared" si="384"/>
        <v>1500</v>
      </c>
      <c r="BP105" s="50">
        <f t="shared" si="385"/>
        <v>1500</v>
      </c>
      <c r="BQ105" s="52">
        <f t="shared" si="386"/>
        <v>0.16304347826086957</v>
      </c>
      <c r="BR105" s="29"/>
      <c r="BT105" s="33">
        <f>IF($A105="","",$A105)</f>
        <v>46157</v>
      </c>
      <c r="BU105" s="4">
        <v>36319</v>
      </c>
      <c r="BV105" s="4">
        <f t="shared" si="387"/>
        <v>22</v>
      </c>
      <c r="BW105" s="4">
        <v>3905</v>
      </c>
      <c r="BX105" s="50">
        <f t="shared" si="388"/>
        <v>1</v>
      </c>
      <c r="BY105" s="4">
        <v>49</v>
      </c>
      <c r="BZ105" s="4">
        <f t="shared" si="389"/>
        <v>1</v>
      </c>
      <c r="CA105" s="51"/>
      <c r="CB105" s="3" t="str">
        <f t="shared" si="390"/>
        <v>ベイビースリーフェイス</v>
      </c>
      <c r="CC105" s="39">
        <f t="shared" si="391"/>
        <v>1050</v>
      </c>
      <c r="CD105" s="50">
        <f t="shared" si="392"/>
        <v>1050</v>
      </c>
      <c r="CE105" s="52">
        <f t="shared" si="393"/>
        <v>0.47727272727272729</v>
      </c>
      <c r="CF105" s="29"/>
      <c r="CH105" s="14"/>
      <c r="CI105" s="39"/>
      <c r="CJ105" s="5" t="str">
        <f t="shared" si="435"/>
        <v/>
      </c>
      <c r="CK105" s="5"/>
      <c r="CL105" s="5"/>
      <c r="CM105" s="5"/>
      <c r="CN105" s="5" t="str">
        <f t="shared" si="436"/>
        <v/>
      </c>
      <c r="CO105" s="5"/>
      <c r="CP105" s="5"/>
      <c r="CQ105" s="5"/>
      <c r="CR105" s="5" t="str">
        <f t="shared" si="410"/>
        <v/>
      </c>
      <c r="CS105" s="36" t="str">
        <f t="shared" si="411"/>
        <v/>
      </c>
      <c r="CT105" s="29"/>
      <c r="CV105" s="14"/>
      <c r="CW105" s="39"/>
      <c r="CX105" s="5" t="str">
        <f t="shared" si="437"/>
        <v/>
      </c>
      <c r="CY105" s="5"/>
      <c r="CZ105" s="5"/>
      <c r="DA105" s="5"/>
      <c r="DB105" s="5" t="str">
        <f t="shared" si="438"/>
        <v/>
      </c>
      <c r="DC105" s="5"/>
      <c r="DD105" s="5"/>
      <c r="DE105" s="5"/>
      <c r="DF105" s="5" t="str">
        <f t="shared" si="412"/>
        <v/>
      </c>
      <c r="DG105" s="36" t="str">
        <f t="shared" si="413"/>
        <v/>
      </c>
      <c r="DH105" s="29"/>
      <c r="DJ105" s="14"/>
      <c r="DK105" s="39"/>
      <c r="DL105" s="5" t="str">
        <f t="shared" si="439"/>
        <v/>
      </c>
      <c r="DM105" s="5"/>
      <c r="DN105" s="5"/>
      <c r="DO105" s="5"/>
      <c r="DP105" s="5" t="str">
        <f t="shared" si="440"/>
        <v/>
      </c>
      <c r="DQ105" s="5"/>
      <c r="DR105" s="5"/>
      <c r="DS105" s="5"/>
      <c r="DT105" s="5" t="str">
        <f t="shared" si="414"/>
        <v/>
      </c>
      <c r="DU105" s="36" t="str">
        <f t="shared" si="415"/>
        <v/>
      </c>
      <c r="DV105" s="29"/>
      <c r="DX105" s="14"/>
      <c r="DY105" s="39"/>
      <c r="DZ105" s="5" t="str">
        <f t="shared" si="441"/>
        <v/>
      </c>
      <c r="EA105" s="5"/>
      <c r="EB105" s="5"/>
      <c r="EC105" s="5"/>
      <c r="ED105" s="5" t="str">
        <f t="shared" si="442"/>
        <v/>
      </c>
      <c r="EE105" s="5"/>
      <c r="EF105" s="5"/>
      <c r="EG105" s="5"/>
      <c r="EH105" s="5" t="str">
        <f t="shared" si="416"/>
        <v/>
      </c>
      <c r="EI105" s="36" t="str">
        <f t="shared" si="417"/>
        <v/>
      </c>
      <c r="EJ105" s="29"/>
      <c r="EL105" s="14"/>
      <c r="EM105" s="39"/>
      <c r="EN105" s="5" t="str">
        <f t="shared" si="443"/>
        <v/>
      </c>
      <c r="EO105" s="5"/>
      <c r="EP105" s="5"/>
      <c r="EQ105" s="5"/>
      <c r="ER105" s="5" t="str">
        <f t="shared" si="444"/>
        <v/>
      </c>
      <c r="ES105" s="5"/>
      <c r="ET105" s="5"/>
      <c r="EU105" s="5"/>
      <c r="EV105" s="5" t="str">
        <f t="shared" si="418"/>
        <v/>
      </c>
      <c r="EW105" s="36" t="str">
        <f t="shared" si="419"/>
        <v/>
      </c>
      <c r="EX105" s="29"/>
      <c r="EZ105" s="14"/>
      <c r="FA105" s="39"/>
      <c r="FB105" s="5" t="str">
        <f t="shared" si="445"/>
        <v/>
      </c>
      <c r="FC105" s="5"/>
      <c r="FD105" s="5"/>
      <c r="FE105" s="5"/>
      <c r="FF105" s="5" t="str">
        <f t="shared" si="446"/>
        <v/>
      </c>
      <c r="FG105" s="5"/>
      <c r="FH105" s="5"/>
      <c r="FI105" s="5"/>
      <c r="FJ105" s="5" t="str">
        <f t="shared" si="420"/>
        <v/>
      </c>
      <c r="FK105" s="36" t="str">
        <f t="shared" si="421"/>
        <v/>
      </c>
      <c r="FL105" s="29"/>
      <c r="FN105" s="14"/>
      <c r="FO105" s="39"/>
      <c r="FP105" s="5" t="str">
        <f t="shared" si="447"/>
        <v/>
      </c>
      <c r="FQ105" s="5"/>
      <c r="FR105" s="5"/>
      <c r="FS105" s="5"/>
      <c r="FT105" s="5" t="str">
        <f t="shared" si="448"/>
        <v/>
      </c>
      <c r="FU105" s="5"/>
      <c r="FV105" s="5"/>
      <c r="FW105" s="5"/>
      <c r="FX105" s="5" t="str">
        <f t="shared" si="422"/>
        <v/>
      </c>
      <c r="FY105" s="36" t="str">
        <f t="shared" si="423"/>
        <v/>
      </c>
      <c r="FZ105" s="29"/>
      <c r="GB105" s="14"/>
      <c r="GC105" s="39"/>
      <c r="GD105" s="5" t="str">
        <f t="shared" si="449"/>
        <v/>
      </c>
      <c r="GE105" s="5"/>
      <c r="GF105" s="5"/>
      <c r="GG105" s="5"/>
      <c r="GH105" s="5" t="str">
        <f t="shared" si="450"/>
        <v/>
      </c>
      <c r="GI105" s="5"/>
      <c r="GJ105" s="5"/>
      <c r="GK105" s="5"/>
      <c r="GL105" s="5" t="str">
        <f t="shared" si="424"/>
        <v/>
      </c>
      <c r="GM105" s="36" t="str">
        <f t="shared" si="425"/>
        <v/>
      </c>
      <c r="GN105" s="29"/>
      <c r="GP105" s="14"/>
      <c r="GQ105" s="39"/>
      <c r="GR105" s="5" t="str">
        <f t="shared" si="451"/>
        <v/>
      </c>
      <c r="GS105" s="5"/>
      <c r="GT105" s="5" t="str">
        <f>IF(GS105="","",GS105-GS104)</f>
        <v/>
      </c>
      <c r="GU105" s="5"/>
      <c r="GV105" s="5"/>
      <c r="GW105" s="5"/>
      <c r="GX105" s="5" t="str">
        <f t="shared" si="452"/>
        <v/>
      </c>
      <c r="GY105" s="5"/>
      <c r="GZ105" s="5"/>
      <c r="HA105" s="5"/>
      <c r="HB105" s="5" t="str">
        <f t="shared" si="426"/>
        <v/>
      </c>
      <c r="HC105" s="36" t="str">
        <f t="shared" si="427"/>
        <v/>
      </c>
      <c r="HD105" s="29"/>
      <c r="HF105" s="14"/>
      <c r="HG105" s="39"/>
      <c r="HH105" s="5" t="str">
        <f t="shared" si="453"/>
        <v/>
      </c>
      <c r="HI105" s="5"/>
      <c r="HJ105" s="29"/>
      <c r="HL105" s="14"/>
      <c r="HM105" s="39"/>
      <c r="HN105" s="5" t="str">
        <f t="shared" si="454"/>
        <v/>
      </c>
      <c r="HO105" s="5"/>
      <c r="HP105" s="29"/>
      <c r="HR105" s="14"/>
      <c r="HS105" s="39"/>
      <c r="HT105" s="5" t="str">
        <f t="shared" si="455"/>
        <v/>
      </c>
      <c r="HU105" s="5"/>
      <c r="HV105" s="29"/>
    </row>
    <row r="106" spans="1:230" ht="15" customHeight="1" x14ac:dyDescent="0.2">
      <c r="A106" s="54"/>
      <c r="B106" s="26"/>
      <c r="C106" s="5">
        <v>17610</v>
      </c>
      <c r="D106" s="5">
        <f t="shared" si="355"/>
        <v>81</v>
      </c>
      <c r="E106" s="5">
        <v>543</v>
      </c>
      <c r="F106" s="5">
        <f t="shared" si="356"/>
        <v>2</v>
      </c>
      <c r="G106" s="5">
        <v>8</v>
      </c>
      <c r="H106" s="5">
        <f t="shared" si="357"/>
        <v>4</v>
      </c>
      <c r="I106" s="35"/>
      <c r="J106" s="3" t="str">
        <f t="shared" si="358"/>
        <v>サンリオカラビナ付きミニファン</v>
      </c>
      <c r="K106" s="39">
        <f t="shared" si="359"/>
        <v>1100</v>
      </c>
      <c r="L106" s="5">
        <f t="shared" si="360"/>
        <v>4400</v>
      </c>
      <c r="M106" s="36">
        <f t="shared" si="361"/>
        <v>0.54320987654320985</v>
      </c>
      <c r="N106" s="29"/>
      <c r="P106" s="54"/>
      <c r="Q106" s="5">
        <v>11237</v>
      </c>
      <c r="R106" s="5">
        <f t="shared" si="362"/>
        <v>18</v>
      </c>
      <c r="S106" s="5">
        <v>190</v>
      </c>
      <c r="T106" s="5">
        <f t="shared" si="363"/>
        <v>0</v>
      </c>
      <c r="U106" s="5">
        <v>7</v>
      </c>
      <c r="V106" s="5">
        <f t="shared" si="364"/>
        <v>0</v>
      </c>
      <c r="W106" s="35">
        <v>3</v>
      </c>
      <c r="X106" s="3" t="str">
        <f t="shared" si="431"/>
        <v>サンリオヘアバンド</v>
      </c>
      <c r="Y106" s="39">
        <f t="shared" si="432"/>
        <v>825</v>
      </c>
      <c r="Z106" s="5">
        <f t="shared" si="367"/>
        <v>0</v>
      </c>
      <c r="AA106" s="36">
        <f t="shared" si="368"/>
        <v>0</v>
      </c>
      <c r="AB106" s="29"/>
      <c r="AD106" s="54"/>
      <c r="AE106" s="5">
        <v>2238</v>
      </c>
      <c r="AF106" s="5">
        <f t="shared" si="369"/>
        <v>28</v>
      </c>
      <c r="AG106" s="5">
        <v>35</v>
      </c>
      <c r="AH106" s="5">
        <f t="shared" si="370"/>
        <v>1</v>
      </c>
      <c r="AI106" s="5">
        <v>52</v>
      </c>
      <c r="AJ106" s="5">
        <f t="shared" si="371"/>
        <v>1</v>
      </c>
      <c r="AK106" s="35"/>
      <c r="AL106" s="3" t="str">
        <f t="shared" si="429"/>
        <v>電ブル</v>
      </c>
      <c r="AM106" s="39">
        <f t="shared" si="430"/>
        <v>292</v>
      </c>
      <c r="AN106" s="5">
        <f t="shared" si="372"/>
        <v>292</v>
      </c>
      <c r="AO106" s="36">
        <f t="shared" si="373"/>
        <v>0.10428571428571429</v>
      </c>
      <c r="AP106" s="29"/>
      <c r="AR106" s="54"/>
      <c r="AS106" s="5">
        <v>1761</v>
      </c>
      <c r="AT106" s="5">
        <f t="shared" si="374"/>
        <v>24</v>
      </c>
      <c r="AU106" s="5">
        <v>8</v>
      </c>
      <c r="AV106" s="5">
        <f t="shared" si="375"/>
        <v>1</v>
      </c>
      <c r="AW106" s="5">
        <v>6</v>
      </c>
      <c r="AX106" s="5">
        <f t="shared" si="376"/>
        <v>2</v>
      </c>
      <c r="AY106" s="35"/>
      <c r="AZ106" s="3" t="s">
        <v>115</v>
      </c>
      <c r="BA106" s="39">
        <f t="shared" si="434"/>
        <v>770</v>
      </c>
      <c r="BB106" s="5">
        <f t="shared" si="378"/>
        <v>1540</v>
      </c>
      <c r="BC106" s="36">
        <f t="shared" si="379"/>
        <v>0.64166666666666672</v>
      </c>
      <c r="BD106" s="29"/>
      <c r="BE106" s="32"/>
      <c r="BF106" s="25"/>
      <c r="BG106" s="5">
        <v>5448</v>
      </c>
      <c r="BH106" s="5">
        <f t="shared" si="380"/>
        <v>84</v>
      </c>
      <c r="BI106" s="5">
        <v>50</v>
      </c>
      <c r="BJ106" s="5">
        <f t="shared" si="381"/>
        <v>2</v>
      </c>
      <c r="BK106" s="5">
        <v>2</v>
      </c>
      <c r="BL106" s="5">
        <f t="shared" si="382"/>
        <v>1</v>
      </c>
      <c r="BM106" s="35">
        <v>1</v>
      </c>
      <c r="BN106" s="3" t="str">
        <f t="shared" si="383"/>
        <v>ボンボンドロップシール</v>
      </c>
      <c r="BO106" s="39">
        <f t="shared" si="384"/>
        <v>1500</v>
      </c>
      <c r="BP106" s="5">
        <f t="shared" si="385"/>
        <v>1500</v>
      </c>
      <c r="BQ106" s="36">
        <f t="shared" si="386"/>
        <v>0.17857142857142858</v>
      </c>
      <c r="BR106" s="29"/>
      <c r="BT106" s="25"/>
      <c r="BU106" s="5">
        <v>32128</v>
      </c>
      <c r="BV106" s="5">
        <f t="shared" si="387"/>
        <v>34</v>
      </c>
      <c r="BW106" s="5">
        <v>1695</v>
      </c>
      <c r="BX106" s="5">
        <f t="shared" si="388"/>
        <v>2</v>
      </c>
      <c r="BY106" s="5">
        <v>35</v>
      </c>
      <c r="BZ106" s="5">
        <f t="shared" si="389"/>
        <v>2</v>
      </c>
      <c r="CA106" s="35"/>
      <c r="CB106" s="3" t="str">
        <f t="shared" si="390"/>
        <v>サンリオボアポーチ</v>
      </c>
      <c r="CC106" s="39">
        <f t="shared" si="391"/>
        <v>950</v>
      </c>
      <c r="CD106" s="5">
        <f t="shared" si="392"/>
        <v>1900</v>
      </c>
      <c r="CE106" s="36">
        <f t="shared" si="393"/>
        <v>0.55882352941176472</v>
      </c>
      <c r="CF106" s="29"/>
      <c r="CH106" s="14"/>
      <c r="CI106" s="39"/>
      <c r="CJ106" s="5" t="str">
        <f t="shared" si="435"/>
        <v/>
      </c>
      <c r="CK106" s="5"/>
      <c r="CL106" s="5"/>
      <c r="CM106" s="5"/>
      <c r="CN106" s="5" t="str">
        <f t="shared" si="436"/>
        <v/>
      </c>
      <c r="CO106" s="5"/>
      <c r="CP106" s="5"/>
      <c r="CQ106" s="5"/>
      <c r="CR106" s="5" t="str">
        <f t="shared" si="410"/>
        <v/>
      </c>
      <c r="CS106" s="36" t="str">
        <f t="shared" si="411"/>
        <v/>
      </c>
      <c r="CT106" s="29"/>
      <c r="CV106" s="14"/>
      <c r="CW106" s="39"/>
      <c r="CX106" s="5" t="str">
        <f t="shared" si="437"/>
        <v/>
      </c>
      <c r="CY106" s="5"/>
      <c r="CZ106" s="5"/>
      <c r="DA106" s="5"/>
      <c r="DB106" s="5" t="str">
        <f t="shared" si="438"/>
        <v/>
      </c>
      <c r="DC106" s="5"/>
      <c r="DD106" s="5"/>
      <c r="DE106" s="5"/>
      <c r="DF106" s="5" t="str">
        <f t="shared" si="412"/>
        <v/>
      </c>
      <c r="DG106" s="36" t="str">
        <f t="shared" si="413"/>
        <v/>
      </c>
      <c r="DH106" s="29"/>
      <c r="DJ106" s="14"/>
      <c r="DK106" s="39"/>
      <c r="DL106" s="5" t="str">
        <f t="shared" si="439"/>
        <v/>
      </c>
      <c r="DM106" s="5"/>
      <c r="DN106" s="5"/>
      <c r="DO106" s="5"/>
      <c r="DP106" s="5" t="str">
        <f t="shared" si="440"/>
        <v/>
      </c>
      <c r="DQ106" s="5"/>
      <c r="DR106" s="5"/>
      <c r="DS106" s="5"/>
      <c r="DT106" s="5" t="str">
        <f t="shared" si="414"/>
        <v/>
      </c>
      <c r="DU106" s="36" t="str">
        <f t="shared" si="415"/>
        <v/>
      </c>
      <c r="DV106" s="29"/>
      <c r="DX106" s="14"/>
      <c r="DY106" s="39"/>
      <c r="DZ106" s="5" t="str">
        <f t="shared" si="441"/>
        <v/>
      </c>
      <c r="EA106" s="5"/>
      <c r="EB106" s="5"/>
      <c r="EC106" s="5"/>
      <c r="ED106" s="5" t="str">
        <f t="shared" si="442"/>
        <v/>
      </c>
      <c r="EE106" s="5"/>
      <c r="EF106" s="5"/>
      <c r="EG106" s="5"/>
      <c r="EH106" s="5" t="str">
        <f t="shared" si="416"/>
        <v/>
      </c>
      <c r="EI106" s="36" t="str">
        <f t="shared" si="417"/>
        <v/>
      </c>
      <c r="EJ106" s="29"/>
      <c r="EL106" s="14"/>
      <c r="EM106" s="39"/>
      <c r="EN106" s="5" t="str">
        <f t="shared" si="443"/>
        <v/>
      </c>
      <c r="EO106" s="5"/>
      <c r="EP106" s="5"/>
      <c r="EQ106" s="5"/>
      <c r="ER106" s="5" t="str">
        <f t="shared" si="444"/>
        <v/>
      </c>
      <c r="ES106" s="5"/>
      <c r="ET106" s="5"/>
      <c r="EU106" s="5"/>
      <c r="EV106" s="5" t="str">
        <f t="shared" si="418"/>
        <v/>
      </c>
      <c r="EW106" s="36" t="str">
        <f t="shared" si="419"/>
        <v/>
      </c>
      <c r="EX106" s="29"/>
      <c r="EZ106" s="14"/>
      <c r="FA106" s="39"/>
      <c r="FB106" s="5" t="str">
        <f t="shared" si="445"/>
        <v/>
      </c>
      <c r="FC106" s="5"/>
      <c r="FD106" s="5"/>
      <c r="FE106" s="5"/>
      <c r="FF106" s="5" t="str">
        <f t="shared" si="446"/>
        <v/>
      </c>
      <c r="FG106" s="5"/>
      <c r="FH106" s="5"/>
      <c r="FI106" s="5"/>
      <c r="FJ106" s="5" t="str">
        <f t="shared" si="420"/>
        <v/>
      </c>
      <c r="FK106" s="36" t="str">
        <f t="shared" si="421"/>
        <v/>
      </c>
      <c r="FL106" s="29"/>
      <c r="FN106" s="14"/>
      <c r="FO106" s="39"/>
      <c r="FP106" s="5" t="str">
        <f t="shared" si="447"/>
        <v/>
      </c>
      <c r="FQ106" s="5"/>
      <c r="FR106" s="5"/>
      <c r="FS106" s="5"/>
      <c r="FT106" s="5" t="str">
        <f t="shared" si="448"/>
        <v/>
      </c>
      <c r="FU106" s="5"/>
      <c r="FV106" s="5"/>
      <c r="FW106" s="5"/>
      <c r="FX106" s="5" t="str">
        <f t="shared" si="422"/>
        <v/>
      </c>
      <c r="FY106" s="36" t="str">
        <f t="shared" si="423"/>
        <v/>
      </c>
      <c r="FZ106" s="29"/>
      <c r="GB106" s="14"/>
      <c r="GC106" s="39"/>
      <c r="GD106" s="5" t="str">
        <f t="shared" si="449"/>
        <v/>
      </c>
      <c r="GE106" s="5"/>
      <c r="GF106" s="5"/>
      <c r="GG106" s="5"/>
      <c r="GH106" s="5" t="str">
        <f t="shared" si="450"/>
        <v/>
      </c>
      <c r="GI106" s="5"/>
      <c r="GJ106" s="5"/>
      <c r="GK106" s="5"/>
      <c r="GL106" s="5" t="str">
        <f t="shared" si="424"/>
        <v/>
      </c>
      <c r="GM106" s="36" t="str">
        <f t="shared" si="425"/>
        <v/>
      </c>
      <c r="GN106" s="29"/>
      <c r="GP106" s="14"/>
      <c r="GQ106" s="39"/>
      <c r="GR106" s="5" t="str">
        <f t="shared" si="451"/>
        <v/>
      </c>
      <c r="GS106" s="5"/>
      <c r="GT106" s="5"/>
      <c r="GU106" s="5"/>
      <c r="GV106" s="5"/>
      <c r="GW106" s="5"/>
      <c r="GX106" s="5" t="str">
        <f t="shared" si="452"/>
        <v/>
      </c>
      <c r="GY106" s="5"/>
      <c r="GZ106" s="5"/>
      <c r="HA106" s="5"/>
      <c r="HB106" s="5" t="str">
        <f t="shared" si="426"/>
        <v/>
      </c>
      <c r="HC106" s="36" t="str">
        <f t="shared" si="427"/>
        <v/>
      </c>
      <c r="HD106" s="29"/>
      <c r="HF106" s="14"/>
      <c r="HG106" s="39"/>
      <c r="HH106" s="5" t="str">
        <f t="shared" si="453"/>
        <v/>
      </c>
      <c r="HI106" s="5"/>
      <c r="HJ106" s="29"/>
      <c r="HL106" s="14"/>
      <c r="HM106" s="39"/>
      <c r="HN106" s="5" t="str">
        <f t="shared" si="454"/>
        <v/>
      </c>
      <c r="HO106" s="5"/>
      <c r="HP106" s="29"/>
      <c r="HR106" s="14"/>
      <c r="HS106" s="39"/>
      <c r="HT106" s="5" t="str">
        <f t="shared" si="455"/>
        <v/>
      </c>
      <c r="HU106" s="5"/>
      <c r="HV106" s="29"/>
    </row>
    <row r="107" spans="1:230" ht="15" customHeight="1" x14ac:dyDescent="0.2">
      <c r="A107" s="54"/>
      <c r="B107" s="37"/>
      <c r="C107" s="58">
        <v>19203</v>
      </c>
      <c r="D107" s="5">
        <f t="shared" si="355"/>
        <v>56</v>
      </c>
      <c r="E107" s="5">
        <v>661</v>
      </c>
      <c r="F107" s="5">
        <f t="shared" si="356"/>
        <v>0</v>
      </c>
      <c r="G107" s="58">
        <v>9</v>
      </c>
      <c r="H107" s="5">
        <f t="shared" si="357"/>
        <v>0</v>
      </c>
      <c r="I107" s="59"/>
      <c r="J107" s="3" t="str">
        <f t="shared" si="358"/>
        <v>たまごっちブロックシール</v>
      </c>
      <c r="K107" s="39">
        <f t="shared" si="359"/>
        <v>600</v>
      </c>
      <c r="L107" s="5">
        <f t="shared" si="360"/>
        <v>0</v>
      </c>
      <c r="M107" s="36">
        <f t="shared" si="361"/>
        <v>0</v>
      </c>
      <c r="N107" s="29"/>
      <c r="P107" s="54"/>
      <c r="Q107" s="58">
        <v>10849</v>
      </c>
      <c r="R107" s="5">
        <f t="shared" si="362"/>
        <v>50</v>
      </c>
      <c r="S107" s="5">
        <v>289</v>
      </c>
      <c r="T107" s="5">
        <f t="shared" si="363"/>
        <v>0</v>
      </c>
      <c r="U107" s="58">
        <v>13</v>
      </c>
      <c r="V107" s="5">
        <f t="shared" si="364"/>
        <v>0</v>
      </c>
      <c r="W107" s="59">
        <v>0</v>
      </c>
      <c r="X107" s="3" t="str">
        <f t="shared" si="431"/>
        <v>パンケーキスクイーズ</v>
      </c>
      <c r="Y107" s="39">
        <f t="shared" si="432"/>
        <v>181</v>
      </c>
      <c r="Z107" s="5">
        <f t="shared" si="367"/>
        <v>0</v>
      </c>
      <c r="AA107" s="36">
        <f t="shared" si="368"/>
        <v>0</v>
      </c>
      <c r="AB107" s="29"/>
      <c r="AD107" s="54"/>
      <c r="AE107" s="58">
        <v>1924</v>
      </c>
      <c r="AF107" s="5">
        <f t="shared" si="369"/>
        <v>33</v>
      </c>
      <c r="AG107" s="5">
        <v>39</v>
      </c>
      <c r="AH107" s="5">
        <f t="shared" si="370"/>
        <v>0</v>
      </c>
      <c r="AI107" s="58">
        <v>18</v>
      </c>
      <c r="AJ107" s="5">
        <f t="shared" si="371"/>
        <v>0</v>
      </c>
      <c r="AK107" s="59"/>
      <c r="AL107" s="3" t="str">
        <f t="shared" si="429"/>
        <v>たまごっちマスコット</v>
      </c>
      <c r="AM107" s="39">
        <f t="shared" si="430"/>
        <v>1430</v>
      </c>
      <c r="AN107" s="5">
        <f t="shared" si="372"/>
        <v>0</v>
      </c>
      <c r="AO107" s="36">
        <f t="shared" si="373"/>
        <v>0</v>
      </c>
      <c r="AP107" s="29"/>
      <c r="AR107" s="54"/>
      <c r="AS107" s="58">
        <v>1354</v>
      </c>
      <c r="AT107" s="5">
        <f t="shared" si="374"/>
        <v>56</v>
      </c>
      <c r="AU107" s="5">
        <v>31</v>
      </c>
      <c r="AV107" s="5">
        <f t="shared" si="375"/>
        <v>6</v>
      </c>
      <c r="AW107" s="58">
        <v>24</v>
      </c>
      <c r="AX107" s="5">
        <f t="shared" si="376"/>
        <v>6</v>
      </c>
      <c r="AY107" s="59"/>
      <c r="AZ107" s="3" t="str">
        <f t="shared" si="433"/>
        <v>カエル</v>
      </c>
      <c r="BA107" s="39">
        <f t="shared" si="434"/>
        <v>0</v>
      </c>
      <c r="BB107" s="5">
        <f t="shared" si="378"/>
        <v>0</v>
      </c>
      <c r="BC107" s="36">
        <f t="shared" si="379"/>
        <v>0</v>
      </c>
      <c r="BD107" s="29"/>
      <c r="BE107" s="32"/>
      <c r="BF107" s="25"/>
      <c r="BG107" s="58">
        <v>3160</v>
      </c>
      <c r="BH107" s="5">
        <f t="shared" si="380"/>
        <v>42</v>
      </c>
      <c r="BI107" s="5">
        <v>29</v>
      </c>
      <c r="BJ107" s="5">
        <f t="shared" si="381"/>
        <v>1</v>
      </c>
      <c r="BK107" s="58">
        <v>3</v>
      </c>
      <c r="BL107" s="5">
        <f t="shared" si="382"/>
        <v>0</v>
      </c>
      <c r="BM107" s="59">
        <v>0</v>
      </c>
      <c r="BN107" s="3" t="str">
        <f t="shared" si="383"/>
        <v>ボンボンドロップシール</v>
      </c>
      <c r="BO107" s="39">
        <f t="shared" si="384"/>
        <v>1500</v>
      </c>
      <c r="BP107" s="5">
        <f t="shared" si="385"/>
        <v>0</v>
      </c>
      <c r="BQ107" s="36">
        <f t="shared" si="386"/>
        <v>0</v>
      </c>
      <c r="BR107" s="29"/>
      <c r="BT107" s="25"/>
      <c r="BU107" s="58"/>
      <c r="BV107" s="5" t="str">
        <f t="shared" si="387"/>
        <v/>
      </c>
      <c r="BW107" s="5"/>
      <c r="BX107" s="5" t="str">
        <f t="shared" si="388"/>
        <v/>
      </c>
      <c r="BY107" s="58"/>
      <c r="BZ107" s="5" t="str">
        <f t="shared" si="389"/>
        <v/>
      </c>
      <c r="CA107" s="59"/>
      <c r="CB107" s="3" t="str">
        <f t="shared" si="390"/>
        <v/>
      </c>
      <c r="CC107" s="39" t="str">
        <f t="shared" si="391"/>
        <v/>
      </c>
      <c r="CD107" s="5" t="str">
        <f t="shared" si="392"/>
        <v/>
      </c>
      <c r="CE107" s="36" t="str">
        <f t="shared" si="393"/>
        <v/>
      </c>
      <c r="CF107" s="29"/>
      <c r="CH107" s="14"/>
      <c r="CI107" s="39"/>
      <c r="CJ107" s="5" t="str">
        <f t="shared" si="435"/>
        <v/>
      </c>
      <c r="CK107" s="5"/>
      <c r="CL107" s="5"/>
      <c r="CM107" s="5"/>
      <c r="CN107" s="5" t="str">
        <f t="shared" si="436"/>
        <v/>
      </c>
      <c r="CO107" s="5"/>
      <c r="CP107" s="5"/>
      <c r="CQ107" s="5"/>
      <c r="CR107" s="5" t="str">
        <f t="shared" si="410"/>
        <v/>
      </c>
      <c r="CS107" s="36" t="str">
        <f t="shared" si="411"/>
        <v/>
      </c>
      <c r="CT107" s="29"/>
      <c r="CV107" s="14"/>
      <c r="CW107" s="39"/>
      <c r="CX107" s="5" t="str">
        <f t="shared" si="437"/>
        <v/>
      </c>
      <c r="CY107" s="5"/>
      <c r="CZ107" s="5"/>
      <c r="DA107" s="5"/>
      <c r="DB107" s="5" t="str">
        <f t="shared" si="438"/>
        <v/>
      </c>
      <c r="DC107" s="5"/>
      <c r="DD107" s="5"/>
      <c r="DE107" s="5"/>
      <c r="DF107" s="5" t="str">
        <f t="shared" si="412"/>
        <v/>
      </c>
      <c r="DG107" s="36" t="str">
        <f t="shared" si="413"/>
        <v/>
      </c>
      <c r="DH107" s="29"/>
      <c r="DJ107" s="14"/>
      <c r="DK107" s="39"/>
      <c r="DL107" s="5" t="str">
        <f t="shared" si="439"/>
        <v/>
      </c>
      <c r="DM107" s="5"/>
      <c r="DN107" s="5"/>
      <c r="DO107" s="5"/>
      <c r="DP107" s="5" t="str">
        <f t="shared" si="440"/>
        <v/>
      </c>
      <c r="DQ107" s="5"/>
      <c r="DR107" s="5"/>
      <c r="DS107" s="5"/>
      <c r="DT107" s="5" t="str">
        <f t="shared" si="414"/>
        <v/>
      </c>
      <c r="DU107" s="36" t="str">
        <f t="shared" si="415"/>
        <v/>
      </c>
      <c r="DV107" s="29"/>
      <c r="DX107" s="14"/>
      <c r="DY107" s="39"/>
      <c r="DZ107" s="5" t="str">
        <f t="shared" si="441"/>
        <v/>
      </c>
      <c r="EA107" s="5"/>
      <c r="EB107" s="5"/>
      <c r="EC107" s="5"/>
      <c r="ED107" s="5" t="str">
        <f t="shared" si="442"/>
        <v/>
      </c>
      <c r="EE107" s="5"/>
      <c r="EF107" s="5"/>
      <c r="EG107" s="5"/>
      <c r="EH107" s="5" t="str">
        <f t="shared" si="416"/>
        <v/>
      </c>
      <c r="EI107" s="36" t="str">
        <f t="shared" si="417"/>
        <v/>
      </c>
      <c r="EJ107" s="29"/>
      <c r="EL107" s="14"/>
      <c r="EM107" s="39"/>
      <c r="EN107" s="5" t="str">
        <f t="shared" si="443"/>
        <v/>
      </c>
      <c r="EO107" s="5"/>
      <c r="EP107" s="5"/>
      <c r="EQ107" s="5"/>
      <c r="ER107" s="5" t="str">
        <f t="shared" si="444"/>
        <v/>
      </c>
      <c r="ES107" s="5"/>
      <c r="ET107" s="5"/>
      <c r="EU107" s="5"/>
      <c r="EV107" s="5" t="str">
        <f t="shared" si="418"/>
        <v/>
      </c>
      <c r="EW107" s="36" t="str">
        <f t="shared" si="419"/>
        <v/>
      </c>
      <c r="EX107" s="29"/>
      <c r="EZ107" s="14"/>
      <c r="FA107" s="39"/>
      <c r="FB107" s="5" t="str">
        <f t="shared" si="445"/>
        <v/>
      </c>
      <c r="FC107" s="5"/>
      <c r="FD107" s="5"/>
      <c r="FE107" s="5"/>
      <c r="FF107" s="5" t="str">
        <f t="shared" si="446"/>
        <v/>
      </c>
      <c r="FG107" s="5"/>
      <c r="FH107" s="5"/>
      <c r="FI107" s="5"/>
      <c r="FJ107" s="5" t="str">
        <f t="shared" si="420"/>
        <v/>
      </c>
      <c r="FK107" s="36" t="str">
        <f t="shared" si="421"/>
        <v/>
      </c>
      <c r="FL107" s="29"/>
      <c r="FN107" s="14"/>
      <c r="FO107" s="39"/>
      <c r="FP107" s="5" t="str">
        <f t="shared" si="447"/>
        <v/>
      </c>
      <c r="FQ107" s="5"/>
      <c r="FR107" s="5"/>
      <c r="FS107" s="5"/>
      <c r="FT107" s="5" t="str">
        <f t="shared" si="448"/>
        <v/>
      </c>
      <c r="FU107" s="5"/>
      <c r="FV107" s="5"/>
      <c r="FW107" s="5"/>
      <c r="FX107" s="5" t="str">
        <f t="shared" si="422"/>
        <v/>
      </c>
      <c r="FY107" s="36" t="str">
        <f t="shared" si="423"/>
        <v/>
      </c>
      <c r="FZ107" s="29"/>
      <c r="GB107" s="14"/>
      <c r="GC107" s="39"/>
      <c r="GD107" s="5" t="str">
        <f t="shared" si="449"/>
        <v/>
      </c>
      <c r="GE107" s="5"/>
      <c r="GF107" s="5"/>
      <c r="GG107" s="5"/>
      <c r="GH107" s="5" t="str">
        <f t="shared" si="450"/>
        <v/>
      </c>
      <c r="GI107" s="5"/>
      <c r="GJ107" s="5"/>
      <c r="GK107" s="5"/>
      <c r="GL107" s="5" t="str">
        <f t="shared" si="424"/>
        <v/>
      </c>
      <c r="GM107" s="36" t="str">
        <f t="shared" si="425"/>
        <v/>
      </c>
      <c r="GN107" s="29"/>
      <c r="GP107" s="14"/>
      <c r="GQ107" s="39"/>
      <c r="GR107" s="5" t="str">
        <f t="shared" si="451"/>
        <v/>
      </c>
      <c r="GS107" s="5"/>
      <c r="GT107" s="5"/>
      <c r="GU107" s="5"/>
      <c r="GV107" s="5"/>
      <c r="GW107" s="5"/>
      <c r="GX107" s="5" t="str">
        <f t="shared" si="452"/>
        <v/>
      </c>
      <c r="GY107" s="5"/>
      <c r="GZ107" s="5"/>
      <c r="HA107" s="5"/>
      <c r="HB107" s="5" t="str">
        <f t="shared" si="426"/>
        <v/>
      </c>
      <c r="HC107" s="36" t="str">
        <f t="shared" si="427"/>
        <v/>
      </c>
      <c r="HD107" s="29"/>
      <c r="HF107" s="14"/>
      <c r="HG107" s="39"/>
      <c r="HH107" s="5" t="str">
        <f t="shared" si="453"/>
        <v/>
      </c>
      <c r="HI107" s="5"/>
      <c r="HJ107" s="29"/>
      <c r="HL107" s="14"/>
      <c r="HM107" s="39"/>
      <c r="HN107" s="5" t="str">
        <f t="shared" si="454"/>
        <v/>
      </c>
      <c r="HO107" s="5"/>
      <c r="HP107" s="29"/>
      <c r="HR107" s="14"/>
      <c r="HS107" s="39"/>
      <c r="HT107" s="5" t="str">
        <f t="shared" si="455"/>
        <v/>
      </c>
      <c r="HU107" s="5"/>
      <c r="HV107" s="29"/>
    </row>
    <row r="108" spans="1:230" ht="15" customHeight="1" thickBot="1" x14ac:dyDescent="0.25">
      <c r="A108" s="60"/>
      <c r="B108" s="73"/>
      <c r="C108" s="44">
        <v>23623</v>
      </c>
      <c r="D108" s="61">
        <f t="shared" si="355"/>
        <v>137</v>
      </c>
      <c r="E108" s="44">
        <v>1184</v>
      </c>
      <c r="F108" s="44">
        <f t="shared" si="356"/>
        <v>6</v>
      </c>
      <c r="G108" s="44">
        <v>0</v>
      </c>
      <c r="H108" s="44">
        <f t="shared" si="357"/>
        <v>6</v>
      </c>
      <c r="I108" s="62">
        <v>26</v>
      </c>
      <c r="J108" s="45" t="s">
        <v>359</v>
      </c>
      <c r="K108" s="61">
        <f t="shared" si="359"/>
        <v>99</v>
      </c>
      <c r="L108" s="44">
        <f t="shared" si="360"/>
        <v>594</v>
      </c>
      <c r="M108" s="46">
        <f t="shared" si="361"/>
        <v>4.3357664233576641E-2</v>
      </c>
      <c r="N108" s="29" t="s">
        <v>360</v>
      </c>
      <c r="P108" s="60"/>
      <c r="Q108" s="44">
        <v>9434</v>
      </c>
      <c r="R108" s="74">
        <f t="shared" si="362"/>
        <v>16</v>
      </c>
      <c r="S108" s="44">
        <v>226</v>
      </c>
      <c r="T108" s="44">
        <f t="shared" si="363"/>
        <v>0</v>
      </c>
      <c r="U108" s="44">
        <v>26</v>
      </c>
      <c r="V108" s="139">
        <f t="shared" si="364"/>
        <v>0</v>
      </c>
      <c r="W108" s="62">
        <v>-24</v>
      </c>
      <c r="X108" s="45" t="str">
        <f t="shared" si="431"/>
        <v>フルーツスクイーズ</v>
      </c>
      <c r="Y108" s="61">
        <f t="shared" si="432"/>
        <v>200</v>
      </c>
      <c r="Z108" s="44">
        <f t="shared" si="367"/>
        <v>0</v>
      </c>
      <c r="AA108" s="46">
        <f t="shared" si="368"/>
        <v>0</v>
      </c>
      <c r="AB108" s="29" t="s">
        <v>361</v>
      </c>
      <c r="AD108" s="60"/>
      <c r="AE108" s="44">
        <v>168</v>
      </c>
      <c r="AF108" s="61">
        <f t="shared" si="369"/>
        <v>52</v>
      </c>
      <c r="AG108" s="44">
        <v>33</v>
      </c>
      <c r="AH108" s="44">
        <f t="shared" si="370"/>
        <v>0</v>
      </c>
      <c r="AI108" s="44">
        <v>16</v>
      </c>
      <c r="AJ108" s="44">
        <f t="shared" si="371"/>
        <v>0</v>
      </c>
      <c r="AK108" s="62"/>
      <c r="AL108" s="45" t="str">
        <f t="shared" si="429"/>
        <v>バタースクイーズ</v>
      </c>
      <c r="AM108" s="61">
        <f t="shared" si="430"/>
        <v>260</v>
      </c>
      <c r="AN108" s="44">
        <f t="shared" si="372"/>
        <v>0</v>
      </c>
      <c r="AO108" s="46">
        <f t="shared" si="373"/>
        <v>0</v>
      </c>
      <c r="AP108" s="29"/>
      <c r="AR108" s="60"/>
      <c r="AS108" s="141">
        <v>1265</v>
      </c>
      <c r="AT108" s="61">
        <f t="shared" si="374"/>
        <v>9</v>
      </c>
      <c r="AU108" s="44">
        <v>43</v>
      </c>
      <c r="AV108" s="44">
        <f t="shared" si="375"/>
        <v>0</v>
      </c>
      <c r="AW108" s="44">
        <v>16</v>
      </c>
      <c r="AX108" s="44">
        <f t="shared" si="376"/>
        <v>1</v>
      </c>
      <c r="AY108" s="62"/>
      <c r="AZ108" s="45" t="str">
        <f t="shared" si="433"/>
        <v>半熟玉子スクイーズ</v>
      </c>
      <c r="BA108" s="61">
        <f t="shared" si="434"/>
        <v>170</v>
      </c>
      <c r="BB108" s="44">
        <f t="shared" si="378"/>
        <v>170</v>
      </c>
      <c r="BC108" s="46">
        <f t="shared" si="379"/>
        <v>0.18888888888888888</v>
      </c>
      <c r="BD108" s="29"/>
      <c r="BE108" s="32"/>
      <c r="BF108" s="41"/>
      <c r="BG108" s="44">
        <v>4492</v>
      </c>
      <c r="BH108" s="61">
        <f t="shared" si="380"/>
        <v>13</v>
      </c>
      <c r="BI108" s="44">
        <v>53</v>
      </c>
      <c r="BJ108" s="44">
        <f t="shared" si="381"/>
        <v>2</v>
      </c>
      <c r="BK108" s="44">
        <v>2</v>
      </c>
      <c r="BL108" s="44">
        <f t="shared" si="382"/>
        <v>1</v>
      </c>
      <c r="BM108" s="62">
        <v>1</v>
      </c>
      <c r="BN108" s="45" t="str">
        <f t="shared" si="383"/>
        <v>ボンボンドロップシール</v>
      </c>
      <c r="BO108" s="61">
        <f t="shared" si="384"/>
        <v>1500</v>
      </c>
      <c r="BP108" s="44">
        <f t="shared" si="385"/>
        <v>1500</v>
      </c>
      <c r="BQ108" s="46">
        <f t="shared" si="386"/>
        <v>1.1538461538461537</v>
      </c>
      <c r="BR108" s="29"/>
      <c r="BT108" s="41"/>
      <c r="BU108" s="44"/>
      <c r="BV108" s="61" t="str">
        <f t="shared" si="387"/>
        <v/>
      </c>
      <c r="BW108" s="44"/>
      <c r="BX108" s="44" t="str">
        <f t="shared" si="388"/>
        <v/>
      </c>
      <c r="BY108" s="44"/>
      <c r="BZ108" s="44" t="str">
        <f t="shared" si="389"/>
        <v/>
      </c>
      <c r="CA108" s="62"/>
      <c r="CB108" s="45" t="str">
        <f t="shared" si="390"/>
        <v/>
      </c>
      <c r="CC108" s="61" t="str">
        <f t="shared" si="391"/>
        <v/>
      </c>
      <c r="CD108" s="44" t="str">
        <f t="shared" si="392"/>
        <v/>
      </c>
      <c r="CE108" s="46" t="str">
        <f t="shared" si="393"/>
        <v/>
      </c>
      <c r="CF108" s="29"/>
      <c r="CH108" s="14"/>
      <c r="CI108" s="39"/>
      <c r="CJ108" s="5" t="str">
        <f t="shared" si="435"/>
        <v/>
      </c>
      <c r="CK108" s="5"/>
      <c r="CL108" s="5"/>
      <c r="CM108" s="5"/>
      <c r="CN108" s="5" t="str">
        <f t="shared" si="436"/>
        <v/>
      </c>
      <c r="CO108" s="5"/>
      <c r="CP108" s="5"/>
      <c r="CQ108" s="5"/>
      <c r="CR108" s="5" t="str">
        <f t="shared" si="410"/>
        <v/>
      </c>
      <c r="CS108" s="36" t="str">
        <f t="shared" si="411"/>
        <v/>
      </c>
      <c r="CT108" s="29"/>
      <c r="CV108" s="14"/>
      <c r="CW108" s="39"/>
      <c r="CX108" s="5" t="str">
        <f t="shared" si="437"/>
        <v/>
      </c>
      <c r="CY108" s="5"/>
      <c r="CZ108" s="5"/>
      <c r="DA108" s="5"/>
      <c r="DB108" s="5" t="str">
        <f t="shared" si="438"/>
        <v/>
      </c>
      <c r="DC108" s="5"/>
      <c r="DD108" s="5"/>
      <c r="DE108" s="5"/>
      <c r="DF108" s="5" t="str">
        <f t="shared" si="412"/>
        <v/>
      </c>
      <c r="DG108" s="36" t="str">
        <f t="shared" si="413"/>
        <v/>
      </c>
      <c r="DH108" s="29"/>
      <c r="DJ108" s="14"/>
      <c r="DK108" s="39"/>
      <c r="DL108" s="5" t="str">
        <f t="shared" si="439"/>
        <v/>
      </c>
      <c r="DM108" s="5"/>
      <c r="DN108" s="5"/>
      <c r="DO108" s="5"/>
      <c r="DP108" s="5" t="str">
        <f t="shared" si="440"/>
        <v/>
      </c>
      <c r="DQ108" s="5"/>
      <c r="DR108" s="5"/>
      <c r="DS108" s="5"/>
      <c r="DT108" s="5" t="str">
        <f t="shared" si="414"/>
        <v/>
      </c>
      <c r="DU108" s="36" t="str">
        <f t="shared" si="415"/>
        <v/>
      </c>
      <c r="DV108" s="29"/>
      <c r="DX108" s="14"/>
      <c r="DY108" s="39"/>
      <c r="DZ108" s="5" t="str">
        <f t="shared" si="441"/>
        <v/>
      </c>
      <c r="EA108" s="5"/>
      <c r="EB108" s="5"/>
      <c r="EC108" s="5"/>
      <c r="ED108" s="5" t="str">
        <f t="shared" si="442"/>
        <v/>
      </c>
      <c r="EE108" s="5"/>
      <c r="EF108" s="5"/>
      <c r="EG108" s="5"/>
      <c r="EH108" s="5" t="str">
        <f t="shared" si="416"/>
        <v/>
      </c>
      <c r="EI108" s="36" t="str">
        <f t="shared" si="417"/>
        <v/>
      </c>
      <c r="EJ108" s="29"/>
      <c r="EL108" s="14"/>
      <c r="EM108" s="39"/>
      <c r="EN108" s="5" t="str">
        <f t="shared" si="443"/>
        <v/>
      </c>
      <c r="EO108" s="5"/>
      <c r="EP108" s="5"/>
      <c r="EQ108" s="5"/>
      <c r="ER108" s="5" t="str">
        <f t="shared" si="444"/>
        <v/>
      </c>
      <c r="ES108" s="5"/>
      <c r="ET108" s="5"/>
      <c r="EU108" s="5"/>
      <c r="EV108" s="5" t="str">
        <f t="shared" si="418"/>
        <v/>
      </c>
      <c r="EW108" s="36" t="str">
        <f t="shared" si="419"/>
        <v/>
      </c>
      <c r="EX108" s="29"/>
      <c r="EZ108" s="14"/>
      <c r="FA108" s="39"/>
      <c r="FB108" s="5" t="str">
        <f t="shared" si="445"/>
        <v/>
      </c>
      <c r="FC108" s="5"/>
      <c r="FD108" s="5"/>
      <c r="FE108" s="5"/>
      <c r="FF108" s="5" t="str">
        <f t="shared" si="446"/>
        <v/>
      </c>
      <c r="FG108" s="5"/>
      <c r="FH108" s="5"/>
      <c r="FI108" s="5"/>
      <c r="FJ108" s="5" t="str">
        <f t="shared" si="420"/>
        <v/>
      </c>
      <c r="FK108" s="36" t="str">
        <f t="shared" si="421"/>
        <v/>
      </c>
      <c r="FL108" s="29"/>
      <c r="FN108" s="14"/>
      <c r="FO108" s="39"/>
      <c r="FP108" s="5" t="str">
        <f t="shared" si="447"/>
        <v/>
      </c>
      <c r="FQ108" s="5"/>
      <c r="FR108" s="5"/>
      <c r="FS108" s="5"/>
      <c r="FT108" s="5" t="str">
        <f t="shared" si="448"/>
        <v/>
      </c>
      <c r="FU108" s="5"/>
      <c r="FV108" s="5"/>
      <c r="FW108" s="5"/>
      <c r="FX108" s="5" t="str">
        <f t="shared" si="422"/>
        <v/>
      </c>
      <c r="FY108" s="36" t="str">
        <f t="shared" si="423"/>
        <v/>
      </c>
      <c r="FZ108" s="29"/>
      <c r="GB108" s="14"/>
      <c r="GC108" s="39"/>
      <c r="GD108" s="5" t="str">
        <f t="shared" si="449"/>
        <v/>
      </c>
      <c r="GE108" s="5"/>
      <c r="GF108" s="5"/>
      <c r="GG108" s="5"/>
      <c r="GH108" s="5" t="str">
        <f t="shared" si="450"/>
        <v/>
      </c>
      <c r="GI108" s="5"/>
      <c r="GJ108" s="5"/>
      <c r="GK108" s="5"/>
      <c r="GL108" s="5" t="str">
        <f t="shared" si="424"/>
        <v/>
      </c>
      <c r="GM108" s="36" t="str">
        <f t="shared" si="425"/>
        <v/>
      </c>
      <c r="GN108" s="29"/>
      <c r="GP108" s="14"/>
      <c r="GQ108" s="39"/>
      <c r="GR108" s="5" t="str">
        <f t="shared" si="451"/>
        <v/>
      </c>
      <c r="GS108" s="5"/>
      <c r="GT108" s="5"/>
      <c r="GU108" s="5"/>
      <c r="GV108" s="5"/>
      <c r="GW108" s="5"/>
      <c r="GX108" s="5" t="str">
        <f t="shared" si="452"/>
        <v/>
      </c>
      <c r="GY108" s="5"/>
      <c r="GZ108" s="5"/>
      <c r="HA108" s="5"/>
      <c r="HB108" s="5" t="str">
        <f t="shared" si="426"/>
        <v/>
      </c>
      <c r="HC108" s="36" t="str">
        <f t="shared" si="427"/>
        <v/>
      </c>
      <c r="HD108" s="29"/>
      <c r="HF108" s="14"/>
      <c r="HG108" s="39"/>
      <c r="HH108" s="5" t="str">
        <f t="shared" si="453"/>
        <v/>
      </c>
      <c r="HI108" s="5"/>
      <c r="HJ108" s="29"/>
      <c r="HL108" s="14"/>
      <c r="HM108" s="39"/>
      <c r="HN108" s="5" t="str">
        <f t="shared" si="454"/>
        <v/>
      </c>
      <c r="HO108" s="5"/>
      <c r="HP108" s="29"/>
      <c r="HR108" s="14"/>
      <c r="HS108" s="39"/>
      <c r="HT108" s="5" t="str">
        <f t="shared" si="455"/>
        <v/>
      </c>
      <c r="HU108" s="5"/>
      <c r="HV108" s="29"/>
    </row>
    <row r="109" spans="1:230" ht="15" customHeight="1" thickTop="1" x14ac:dyDescent="0.2">
      <c r="A109" s="49"/>
      <c r="B109" s="26"/>
      <c r="C109" s="4"/>
      <c r="D109" s="4"/>
      <c r="E109" s="4"/>
      <c r="F109" s="50"/>
      <c r="G109" s="4"/>
      <c r="H109" s="4"/>
      <c r="I109" s="51"/>
      <c r="J109" s="3"/>
      <c r="K109" s="39"/>
      <c r="L109" s="50"/>
      <c r="M109" s="52"/>
      <c r="N109" s="29"/>
      <c r="P109" s="53"/>
      <c r="Q109" s="4"/>
      <c r="R109" s="4"/>
      <c r="S109" s="4"/>
      <c r="T109" s="50"/>
      <c r="U109" s="4"/>
      <c r="V109" s="4"/>
      <c r="W109" s="51"/>
      <c r="X109" s="3"/>
      <c r="Y109" s="39"/>
      <c r="Z109" s="50"/>
      <c r="AA109" s="52"/>
      <c r="AB109" s="29"/>
      <c r="AD109" s="53"/>
      <c r="AE109" s="4"/>
      <c r="AF109" s="4"/>
      <c r="AG109" s="4"/>
      <c r="AH109" s="50"/>
      <c r="AI109" s="4"/>
      <c r="AJ109" s="4"/>
      <c r="AK109" s="51"/>
      <c r="AL109" s="3"/>
      <c r="AM109" s="39"/>
      <c r="AN109" s="50"/>
      <c r="AO109" s="52"/>
      <c r="AP109" s="29"/>
      <c r="AR109" s="53"/>
      <c r="AS109" s="4"/>
      <c r="AT109" s="4"/>
      <c r="AU109" s="4"/>
      <c r="AV109" s="50"/>
      <c r="AW109" s="4"/>
      <c r="AX109" s="4"/>
      <c r="AY109" s="51"/>
      <c r="AZ109" s="3"/>
      <c r="BA109" s="39"/>
      <c r="BB109" s="50"/>
      <c r="BC109" s="52"/>
      <c r="BD109" s="29"/>
      <c r="BE109" s="32"/>
      <c r="BF109" s="33"/>
      <c r="BG109" s="4"/>
      <c r="BH109" s="4"/>
      <c r="BI109" s="4"/>
      <c r="BJ109" s="50"/>
      <c r="BK109" s="4"/>
      <c r="BL109" s="4"/>
      <c r="BM109" s="51"/>
      <c r="BN109" s="3"/>
      <c r="BO109" s="39"/>
      <c r="BP109" s="50"/>
      <c r="BQ109" s="52"/>
      <c r="BR109" s="29"/>
      <c r="BT109" s="33"/>
      <c r="BU109" s="4"/>
      <c r="BV109" s="4"/>
      <c r="BW109" s="4"/>
      <c r="BX109" s="50"/>
      <c r="BY109" s="4"/>
      <c r="BZ109" s="4"/>
      <c r="CA109" s="51"/>
      <c r="CB109" s="3"/>
      <c r="CC109" s="39"/>
      <c r="CD109" s="50"/>
      <c r="CE109" s="52"/>
      <c r="CF109" s="29"/>
      <c r="CH109" s="14"/>
      <c r="CI109" s="39"/>
      <c r="CJ109" s="5" t="str">
        <f t="shared" si="435"/>
        <v/>
      </c>
      <c r="CK109" s="5"/>
      <c r="CL109" s="5"/>
      <c r="CM109" s="5"/>
      <c r="CN109" s="5" t="str">
        <f t="shared" si="436"/>
        <v/>
      </c>
      <c r="CO109" s="5"/>
      <c r="CP109" s="5"/>
      <c r="CQ109" s="5"/>
      <c r="CR109" s="5" t="str">
        <f t="shared" si="410"/>
        <v/>
      </c>
      <c r="CS109" s="36" t="str">
        <f t="shared" si="411"/>
        <v/>
      </c>
      <c r="CT109" s="29"/>
      <c r="CV109" s="14"/>
      <c r="CW109" s="39"/>
      <c r="CX109" s="5" t="str">
        <f t="shared" si="437"/>
        <v/>
      </c>
      <c r="CY109" s="5"/>
      <c r="CZ109" s="5"/>
      <c r="DA109" s="5"/>
      <c r="DB109" s="5" t="str">
        <f t="shared" si="438"/>
        <v/>
      </c>
      <c r="DC109" s="5"/>
      <c r="DD109" s="5"/>
      <c r="DE109" s="5"/>
      <c r="DF109" s="5" t="str">
        <f t="shared" si="412"/>
        <v/>
      </c>
      <c r="DG109" s="36" t="str">
        <f t="shared" si="413"/>
        <v/>
      </c>
      <c r="DH109" s="29"/>
      <c r="DJ109" s="14"/>
      <c r="DK109" s="39"/>
      <c r="DL109" s="5" t="str">
        <f t="shared" si="439"/>
        <v/>
      </c>
      <c r="DM109" s="5"/>
      <c r="DN109" s="5"/>
      <c r="DO109" s="5"/>
      <c r="DP109" s="5" t="str">
        <f t="shared" si="440"/>
        <v/>
      </c>
      <c r="DQ109" s="5"/>
      <c r="DR109" s="5"/>
      <c r="DS109" s="5"/>
      <c r="DT109" s="5" t="str">
        <f t="shared" si="414"/>
        <v/>
      </c>
      <c r="DU109" s="36" t="str">
        <f t="shared" si="415"/>
        <v/>
      </c>
      <c r="DV109" s="29"/>
      <c r="DX109" s="14"/>
      <c r="DY109" s="39"/>
      <c r="DZ109" s="5" t="str">
        <f t="shared" si="441"/>
        <v/>
      </c>
      <c r="EA109" s="5"/>
      <c r="EB109" s="5"/>
      <c r="EC109" s="5"/>
      <c r="ED109" s="5" t="str">
        <f t="shared" si="442"/>
        <v/>
      </c>
      <c r="EE109" s="5"/>
      <c r="EF109" s="5"/>
      <c r="EG109" s="5"/>
      <c r="EH109" s="5" t="str">
        <f t="shared" si="416"/>
        <v/>
      </c>
      <c r="EI109" s="36" t="str">
        <f t="shared" si="417"/>
        <v/>
      </c>
      <c r="EJ109" s="29"/>
      <c r="EL109" s="14"/>
      <c r="EM109" s="39"/>
      <c r="EN109" s="5" t="str">
        <f t="shared" si="443"/>
        <v/>
      </c>
      <c r="EO109" s="5"/>
      <c r="EP109" s="5"/>
      <c r="EQ109" s="5"/>
      <c r="ER109" s="5" t="str">
        <f t="shared" si="444"/>
        <v/>
      </c>
      <c r="ES109" s="5"/>
      <c r="ET109" s="5"/>
      <c r="EU109" s="5"/>
      <c r="EV109" s="5" t="str">
        <f t="shared" si="418"/>
        <v/>
      </c>
      <c r="EW109" s="36" t="str">
        <f t="shared" si="419"/>
        <v/>
      </c>
      <c r="EX109" s="29"/>
      <c r="EZ109" s="14"/>
      <c r="FA109" s="39"/>
      <c r="FB109" s="5" t="str">
        <f t="shared" si="445"/>
        <v/>
      </c>
      <c r="FC109" s="5"/>
      <c r="FD109" s="5"/>
      <c r="FE109" s="5"/>
      <c r="FF109" s="5" t="str">
        <f t="shared" si="446"/>
        <v/>
      </c>
      <c r="FG109" s="5"/>
      <c r="FH109" s="5"/>
      <c r="FI109" s="5"/>
      <c r="FJ109" s="5" t="str">
        <f t="shared" si="420"/>
        <v/>
      </c>
      <c r="FK109" s="36" t="str">
        <f t="shared" si="421"/>
        <v/>
      </c>
      <c r="FL109" s="29"/>
      <c r="FN109" s="14"/>
      <c r="FO109" s="39"/>
      <c r="FP109" s="5" t="str">
        <f t="shared" si="447"/>
        <v/>
      </c>
      <c r="FQ109" s="5"/>
      <c r="FR109" s="5"/>
      <c r="FS109" s="5"/>
      <c r="FT109" s="5" t="str">
        <f t="shared" si="448"/>
        <v/>
      </c>
      <c r="FU109" s="5"/>
      <c r="FV109" s="5"/>
      <c r="FW109" s="5"/>
      <c r="FX109" s="5" t="str">
        <f t="shared" si="422"/>
        <v/>
      </c>
      <c r="FY109" s="36" t="str">
        <f t="shared" si="423"/>
        <v/>
      </c>
      <c r="FZ109" s="29"/>
      <c r="GB109" s="14"/>
      <c r="GC109" s="39"/>
      <c r="GD109" s="5" t="str">
        <f t="shared" si="449"/>
        <v/>
      </c>
      <c r="GE109" s="5"/>
      <c r="GF109" s="5"/>
      <c r="GG109" s="5"/>
      <c r="GH109" s="5" t="str">
        <f t="shared" si="450"/>
        <v/>
      </c>
      <c r="GI109" s="5"/>
      <c r="GJ109" s="5"/>
      <c r="GK109" s="5"/>
      <c r="GL109" s="5" t="str">
        <f t="shared" si="424"/>
        <v/>
      </c>
      <c r="GM109" s="36" t="str">
        <f t="shared" si="425"/>
        <v/>
      </c>
      <c r="GN109" s="29"/>
      <c r="GP109" s="14"/>
      <c r="GQ109" s="39"/>
      <c r="GR109" s="5" t="str">
        <f t="shared" si="451"/>
        <v/>
      </c>
      <c r="GS109" s="5"/>
      <c r="GT109" s="5"/>
      <c r="GU109" s="5"/>
      <c r="GV109" s="5"/>
      <c r="GW109" s="5"/>
      <c r="GX109" s="5" t="str">
        <f t="shared" si="452"/>
        <v/>
      </c>
      <c r="GY109" s="5"/>
      <c r="GZ109" s="5"/>
      <c r="HA109" s="5"/>
      <c r="HB109" s="5" t="str">
        <f t="shared" si="426"/>
        <v/>
      </c>
      <c r="HC109" s="36" t="str">
        <f t="shared" si="427"/>
        <v/>
      </c>
      <c r="HD109" s="29"/>
      <c r="HF109" s="14"/>
      <c r="HG109" s="39"/>
      <c r="HH109" s="5" t="str">
        <f t="shared" si="453"/>
        <v/>
      </c>
      <c r="HI109" s="5"/>
      <c r="HJ109" s="29"/>
      <c r="HL109" s="14"/>
      <c r="HM109" s="39"/>
      <c r="HN109" s="5" t="str">
        <f t="shared" si="454"/>
        <v/>
      </c>
      <c r="HO109" s="5"/>
      <c r="HP109" s="29"/>
      <c r="HR109" s="14"/>
      <c r="HS109" s="39"/>
      <c r="HT109" s="5" t="str">
        <f t="shared" si="455"/>
        <v/>
      </c>
      <c r="HU109" s="5"/>
      <c r="HV109" s="29"/>
    </row>
    <row r="110" spans="1:230" ht="15" customHeight="1" x14ac:dyDescent="0.2">
      <c r="A110" s="54"/>
      <c r="B110" s="26"/>
      <c r="C110" s="4"/>
      <c r="D110" s="5"/>
      <c r="E110" s="5"/>
      <c r="F110" s="5"/>
      <c r="G110" s="5"/>
      <c r="H110" s="5"/>
      <c r="I110" s="35"/>
      <c r="J110" s="3"/>
      <c r="K110" s="39"/>
      <c r="L110" s="5"/>
      <c r="M110" s="36"/>
      <c r="N110" s="29"/>
      <c r="P110" s="54"/>
      <c r="Q110" s="4"/>
      <c r="R110" s="5"/>
      <c r="S110" s="5"/>
      <c r="T110" s="5"/>
      <c r="U110" s="5"/>
      <c r="V110" s="5"/>
      <c r="W110" s="35"/>
      <c r="X110" s="3"/>
      <c r="Y110" s="39"/>
      <c r="Z110" s="5"/>
      <c r="AA110" s="36"/>
      <c r="AB110" s="29"/>
      <c r="AD110" s="54"/>
      <c r="AE110" s="4"/>
      <c r="AF110" s="5"/>
      <c r="AG110" s="5"/>
      <c r="AH110" s="5"/>
      <c r="AI110" s="5"/>
      <c r="AJ110" s="5"/>
      <c r="AK110" s="35"/>
      <c r="AL110" s="3"/>
      <c r="AM110" s="39"/>
      <c r="AN110" s="5"/>
      <c r="AO110" s="36"/>
      <c r="AP110" s="29"/>
      <c r="AR110" s="54"/>
      <c r="AS110" s="4"/>
      <c r="AT110" s="140"/>
      <c r="AU110" s="5"/>
      <c r="AV110" s="5"/>
      <c r="AW110" s="5"/>
      <c r="AX110" s="5"/>
      <c r="AY110" s="35"/>
      <c r="AZ110" s="3"/>
      <c r="BA110" s="39"/>
      <c r="BB110" s="5"/>
      <c r="BC110" s="36"/>
      <c r="BD110" s="29"/>
      <c r="BE110" s="32"/>
      <c r="BF110" s="25"/>
      <c r="BG110" s="4"/>
      <c r="BH110" s="5"/>
      <c r="BI110" s="5"/>
      <c r="BJ110" s="5"/>
      <c r="BK110" s="5"/>
      <c r="BL110" s="5"/>
      <c r="BM110" s="35"/>
      <c r="BN110" s="3"/>
      <c r="BO110" s="39"/>
      <c r="BP110" s="5"/>
      <c r="BQ110" s="36"/>
      <c r="BR110" s="29"/>
      <c r="BT110" s="25"/>
      <c r="BU110" s="4"/>
      <c r="BV110" s="5"/>
      <c r="BW110" s="5"/>
      <c r="BX110" s="5"/>
      <c r="BY110" s="5"/>
      <c r="BZ110" s="5"/>
      <c r="CA110" s="35"/>
      <c r="CB110" s="3"/>
      <c r="CC110" s="39"/>
      <c r="CD110" s="5"/>
      <c r="CE110" s="36"/>
      <c r="CF110" s="29"/>
      <c r="CH110" s="14"/>
      <c r="CI110" s="39"/>
      <c r="CJ110" s="5" t="str">
        <f t="shared" si="435"/>
        <v/>
      </c>
      <c r="CK110" s="5"/>
      <c r="CL110" s="5"/>
      <c r="CM110" s="5"/>
      <c r="CN110" s="5" t="str">
        <f t="shared" si="436"/>
        <v/>
      </c>
      <c r="CO110" s="5"/>
      <c r="CP110" s="5"/>
      <c r="CQ110" s="5"/>
      <c r="CR110" s="5" t="str">
        <f t="shared" si="410"/>
        <v/>
      </c>
      <c r="CS110" s="36" t="str">
        <f t="shared" si="411"/>
        <v/>
      </c>
      <c r="CT110" s="29"/>
      <c r="CV110" s="14"/>
      <c r="CW110" s="39"/>
      <c r="CX110" s="5" t="str">
        <f t="shared" si="437"/>
        <v/>
      </c>
      <c r="CY110" s="5"/>
      <c r="CZ110" s="5"/>
      <c r="DA110" s="5"/>
      <c r="DB110" s="5" t="str">
        <f t="shared" si="438"/>
        <v/>
      </c>
      <c r="DC110" s="5"/>
      <c r="DD110" s="5"/>
      <c r="DE110" s="5"/>
      <c r="DF110" s="5" t="str">
        <f t="shared" si="412"/>
        <v/>
      </c>
      <c r="DG110" s="36" t="str">
        <f t="shared" si="413"/>
        <v/>
      </c>
      <c r="DH110" s="29"/>
      <c r="DJ110" s="14"/>
      <c r="DK110" s="39"/>
      <c r="DL110" s="5" t="str">
        <f t="shared" si="439"/>
        <v/>
      </c>
      <c r="DM110" s="5"/>
      <c r="DN110" s="5"/>
      <c r="DO110" s="5"/>
      <c r="DP110" s="5" t="str">
        <f t="shared" si="440"/>
        <v/>
      </c>
      <c r="DQ110" s="5"/>
      <c r="DR110" s="5"/>
      <c r="DS110" s="5"/>
      <c r="DT110" s="5" t="str">
        <f t="shared" si="414"/>
        <v/>
      </c>
      <c r="DU110" s="36" t="str">
        <f t="shared" si="415"/>
        <v/>
      </c>
      <c r="DV110" s="29"/>
      <c r="DX110" s="14"/>
      <c r="DY110" s="39"/>
      <c r="DZ110" s="5" t="str">
        <f t="shared" si="441"/>
        <v/>
      </c>
      <c r="EA110" s="5"/>
      <c r="EB110" s="5"/>
      <c r="EC110" s="5"/>
      <c r="ED110" s="5" t="str">
        <f t="shared" si="442"/>
        <v/>
      </c>
      <c r="EE110" s="5"/>
      <c r="EF110" s="5"/>
      <c r="EG110" s="5"/>
      <c r="EH110" s="5" t="str">
        <f t="shared" si="416"/>
        <v/>
      </c>
      <c r="EI110" s="36" t="str">
        <f t="shared" si="417"/>
        <v/>
      </c>
      <c r="EJ110" s="29"/>
      <c r="EL110" s="14"/>
      <c r="EM110" s="39"/>
      <c r="EN110" s="5" t="str">
        <f t="shared" si="443"/>
        <v/>
      </c>
      <c r="EO110" s="5"/>
      <c r="EP110" s="5"/>
      <c r="EQ110" s="5"/>
      <c r="ER110" s="5" t="str">
        <f t="shared" si="444"/>
        <v/>
      </c>
      <c r="ES110" s="5"/>
      <c r="ET110" s="5"/>
      <c r="EU110" s="5"/>
      <c r="EV110" s="5" t="str">
        <f t="shared" si="418"/>
        <v/>
      </c>
      <c r="EW110" s="36" t="str">
        <f t="shared" si="419"/>
        <v/>
      </c>
      <c r="EX110" s="29"/>
      <c r="EZ110" s="14"/>
      <c r="FA110" s="39"/>
      <c r="FB110" s="5" t="str">
        <f t="shared" si="445"/>
        <v/>
      </c>
      <c r="FC110" s="5"/>
      <c r="FD110" s="5"/>
      <c r="FE110" s="5"/>
      <c r="FF110" s="5" t="str">
        <f t="shared" si="446"/>
        <v/>
      </c>
      <c r="FG110" s="5"/>
      <c r="FH110" s="5"/>
      <c r="FI110" s="5"/>
      <c r="FJ110" s="5" t="str">
        <f t="shared" si="420"/>
        <v/>
      </c>
      <c r="FK110" s="36" t="str">
        <f t="shared" si="421"/>
        <v/>
      </c>
      <c r="FL110" s="29"/>
      <c r="FN110" s="14"/>
      <c r="FO110" s="39"/>
      <c r="FP110" s="5" t="str">
        <f t="shared" si="447"/>
        <v/>
      </c>
      <c r="FQ110" s="5"/>
      <c r="FR110" s="5"/>
      <c r="FS110" s="5"/>
      <c r="FT110" s="5" t="str">
        <f t="shared" si="448"/>
        <v/>
      </c>
      <c r="FU110" s="5"/>
      <c r="FV110" s="5"/>
      <c r="FW110" s="5"/>
      <c r="FX110" s="5" t="str">
        <f t="shared" si="422"/>
        <v/>
      </c>
      <c r="FY110" s="36" t="str">
        <f t="shared" si="423"/>
        <v/>
      </c>
      <c r="FZ110" s="29"/>
      <c r="GB110" s="14"/>
      <c r="GC110" s="39"/>
      <c r="GD110" s="5" t="str">
        <f t="shared" si="449"/>
        <v/>
      </c>
      <c r="GE110" s="5"/>
      <c r="GF110" s="5"/>
      <c r="GG110" s="5"/>
      <c r="GH110" s="5" t="str">
        <f t="shared" si="450"/>
        <v/>
      </c>
      <c r="GI110" s="5"/>
      <c r="GJ110" s="5"/>
      <c r="GK110" s="5"/>
      <c r="GL110" s="5" t="str">
        <f t="shared" si="424"/>
        <v/>
      </c>
      <c r="GM110" s="36" t="str">
        <f t="shared" si="425"/>
        <v/>
      </c>
      <c r="GN110" s="29"/>
      <c r="GP110" s="14"/>
      <c r="GQ110" s="39"/>
      <c r="GR110" s="5" t="str">
        <f t="shared" si="451"/>
        <v/>
      </c>
      <c r="GS110" s="5"/>
      <c r="GT110" s="5"/>
      <c r="GU110" s="5"/>
      <c r="GV110" s="5"/>
      <c r="GW110" s="5"/>
      <c r="GX110" s="5" t="str">
        <f t="shared" si="452"/>
        <v/>
      </c>
      <c r="GY110" s="5"/>
      <c r="GZ110" s="5"/>
      <c r="HA110" s="5"/>
      <c r="HB110" s="5" t="str">
        <f t="shared" si="426"/>
        <v/>
      </c>
      <c r="HC110" s="36" t="str">
        <f t="shared" si="427"/>
        <v/>
      </c>
      <c r="HD110" s="29"/>
      <c r="HF110" s="14"/>
      <c r="HG110" s="39"/>
      <c r="HH110" s="5" t="str">
        <f t="shared" si="453"/>
        <v/>
      </c>
      <c r="HI110" s="5"/>
      <c r="HJ110" s="29"/>
      <c r="HL110" s="14"/>
      <c r="HM110" s="39"/>
      <c r="HN110" s="5" t="str">
        <f t="shared" si="454"/>
        <v/>
      </c>
      <c r="HO110" s="5"/>
      <c r="HP110" s="29"/>
      <c r="HR110" s="14"/>
      <c r="HS110" s="39"/>
      <c r="HT110" s="5" t="str">
        <f t="shared" si="455"/>
        <v/>
      </c>
      <c r="HU110" s="5"/>
      <c r="HV110" s="29"/>
    </row>
    <row r="111" spans="1:230" ht="15" customHeight="1" x14ac:dyDescent="0.2">
      <c r="A111" s="54"/>
      <c r="B111" s="37"/>
      <c r="C111" s="57"/>
      <c r="D111" s="5"/>
      <c r="E111" s="5"/>
      <c r="F111" s="5"/>
      <c r="G111" s="5"/>
      <c r="H111" s="5"/>
      <c r="I111" s="35"/>
      <c r="J111" s="3"/>
      <c r="K111" s="39"/>
      <c r="L111" s="5"/>
      <c r="M111" s="36"/>
      <c r="N111" s="29"/>
      <c r="P111" s="54"/>
      <c r="Q111" s="57"/>
      <c r="R111" s="5"/>
      <c r="S111" s="5"/>
      <c r="T111" s="5"/>
      <c r="U111" s="5"/>
      <c r="V111" s="5"/>
      <c r="W111" s="35"/>
      <c r="X111" s="3"/>
      <c r="Y111" s="39"/>
      <c r="Z111" s="5"/>
      <c r="AA111" s="36"/>
      <c r="AB111" s="29"/>
      <c r="AD111" s="54"/>
      <c r="AE111" s="57"/>
      <c r="AF111" s="5"/>
      <c r="AG111" s="5"/>
      <c r="AH111" s="5"/>
      <c r="AI111" s="5"/>
      <c r="AJ111" s="5"/>
      <c r="AK111" s="35"/>
      <c r="AL111" s="3"/>
      <c r="AM111" s="39"/>
      <c r="AN111" s="5"/>
      <c r="AO111" s="36"/>
      <c r="AP111" s="29"/>
      <c r="AR111" s="54"/>
      <c r="AS111" s="57"/>
      <c r="AT111" s="5"/>
      <c r="AU111" s="5"/>
      <c r="AV111" s="5"/>
      <c r="AW111" s="5"/>
      <c r="AX111" s="5"/>
      <c r="AY111" s="35"/>
      <c r="AZ111" s="3"/>
      <c r="BA111" s="39"/>
      <c r="BB111" s="5"/>
      <c r="BC111" s="36"/>
      <c r="BD111" s="29"/>
      <c r="BE111" s="32"/>
      <c r="BF111" s="25"/>
      <c r="BG111" s="57"/>
      <c r="BH111" s="5"/>
      <c r="BI111" s="5"/>
      <c r="BJ111" s="5"/>
      <c r="BK111" s="5"/>
      <c r="BL111" s="5"/>
      <c r="BM111" s="35"/>
      <c r="BN111" s="3"/>
      <c r="BO111" s="39"/>
      <c r="BP111" s="5"/>
      <c r="BQ111" s="36"/>
      <c r="BR111" s="29"/>
      <c r="BT111" s="25"/>
      <c r="BU111" s="57"/>
      <c r="BV111" s="5"/>
      <c r="BW111" s="5"/>
      <c r="BX111" s="5"/>
      <c r="BY111" s="5"/>
      <c r="BZ111" s="5"/>
      <c r="CA111" s="35"/>
      <c r="CB111" s="3"/>
      <c r="CC111" s="39"/>
      <c r="CD111" s="5"/>
      <c r="CE111" s="36"/>
      <c r="CF111" s="29"/>
      <c r="CH111" s="14"/>
      <c r="CI111" s="39"/>
      <c r="CJ111" s="5" t="str">
        <f t="shared" si="435"/>
        <v/>
      </c>
      <c r="CK111" s="5"/>
      <c r="CL111" s="5"/>
      <c r="CM111" s="5"/>
      <c r="CN111" s="5" t="str">
        <f t="shared" si="436"/>
        <v/>
      </c>
      <c r="CO111" s="5"/>
      <c r="CP111" s="5"/>
      <c r="CQ111" s="5"/>
      <c r="CR111" s="5" t="str">
        <f t="shared" si="410"/>
        <v/>
      </c>
      <c r="CS111" s="36" t="str">
        <f t="shared" si="411"/>
        <v/>
      </c>
      <c r="CT111" s="29"/>
      <c r="CV111" s="14"/>
      <c r="CW111" s="39"/>
      <c r="CX111" s="5" t="str">
        <f t="shared" si="437"/>
        <v/>
      </c>
      <c r="CY111" s="5"/>
      <c r="CZ111" s="5"/>
      <c r="DA111" s="5"/>
      <c r="DB111" s="5" t="str">
        <f t="shared" si="438"/>
        <v/>
      </c>
      <c r="DC111" s="5"/>
      <c r="DD111" s="5"/>
      <c r="DE111" s="5"/>
      <c r="DF111" s="5" t="str">
        <f t="shared" si="412"/>
        <v/>
      </c>
      <c r="DG111" s="36" t="str">
        <f t="shared" si="413"/>
        <v/>
      </c>
      <c r="DH111" s="29"/>
      <c r="DJ111" s="14"/>
      <c r="DK111" s="39"/>
      <c r="DL111" s="5" t="str">
        <f t="shared" si="439"/>
        <v/>
      </c>
      <c r="DM111" s="5"/>
      <c r="DN111" s="5"/>
      <c r="DO111" s="5"/>
      <c r="DP111" s="5" t="str">
        <f t="shared" si="440"/>
        <v/>
      </c>
      <c r="DQ111" s="5"/>
      <c r="DR111" s="5"/>
      <c r="DS111" s="5"/>
      <c r="DT111" s="5" t="str">
        <f t="shared" si="414"/>
        <v/>
      </c>
      <c r="DU111" s="36" t="str">
        <f t="shared" si="415"/>
        <v/>
      </c>
      <c r="DV111" s="29"/>
      <c r="DX111" s="14"/>
      <c r="DY111" s="39"/>
      <c r="DZ111" s="5" t="str">
        <f t="shared" si="441"/>
        <v/>
      </c>
      <c r="EA111" s="5"/>
      <c r="EB111" s="5"/>
      <c r="EC111" s="5"/>
      <c r="ED111" s="5" t="str">
        <f t="shared" si="442"/>
        <v/>
      </c>
      <c r="EE111" s="5"/>
      <c r="EF111" s="5"/>
      <c r="EG111" s="5"/>
      <c r="EH111" s="5" t="str">
        <f t="shared" si="416"/>
        <v/>
      </c>
      <c r="EI111" s="36" t="str">
        <f t="shared" si="417"/>
        <v/>
      </c>
      <c r="EJ111" s="29"/>
      <c r="EL111" s="14"/>
      <c r="EM111" s="39"/>
      <c r="EN111" s="5" t="str">
        <f t="shared" si="443"/>
        <v/>
      </c>
      <c r="EO111" s="5"/>
      <c r="EP111" s="5"/>
      <c r="EQ111" s="5"/>
      <c r="ER111" s="5" t="str">
        <f t="shared" si="444"/>
        <v/>
      </c>
      <c r="ES111" s="5"/>
      <c r="ET111" s="5"/>
      <c r="EU111" s="5"/>
      <c r="EV111" s="5" t="str">
        <f t="shared" si="418"/>
        <v/>
      </c>
      <c r="EW111" s="36" t="str">
        <f t="shared" si="419"/>
        <v/>
      </c>
      <c r="EX111" s="29"/>
      <c r="EZ111" s="14"/>
      <c r="FA111" s="39"/>
      <c r="FB111" s="5" t="str">
        <f t="shared" si="445"/>
        <v/>
      </c>
      <c r="FC111" s="5"/>
      <c r="FD111" s="5"/>
      <c r="FE111" s="5"/>
      <c r="FF111" s="5" t="str">
        <f t="shared" si="446"/>
        <v/>
      </c>
      <c r="FG111" s="5"/>
      <c r="FH111" s="5"/>
      <c r="FI111" s="5"/>
      <c r="FJ111" s="5" t="str">
        <f t="shared" si="420"/>
        <v/>
      </c>
      <c r="FK111" s="36" t="str">
        <f t="shared" si="421"/>
        <v/>
      </c>
      <c r="FL111" s="29"/>
      <c r="FN111" s="14"/>
      <c r="FO111" s="39"/>
      <c r="FP111" s="5" t="str">
        <f t="shared" si="447"/>
        <v/>
      </c>
      <c r="FQ111" s="5"/>
      <c r="FR111" s="5"/>
      <c r="FS111" s="5"/>
      <c r="FT111" s="5" t="str">
        <f t="shared" si="448"/>
        <v/>
      </c>
      <c r="FU111" s="5"/>
      <c r="FV111" s="5"/>
      <c r="FW111" s="5"/>
      <c r="FX111" s="5" t="str">
        <f t="shared" si="422"/>
        <v/>
      </c>
      <c r="FY111" s="36" t="str">
        <f t="shared" si="423"/>
        <v/>
      </c>
      <c r="FZ111" s="29"/>
      <c r="GB111" s="14"/>
      <c r="GC111" s="39"/>
      <c r="GD111" s="5" t="str">
        <f t="shared" si="449"/>
        <v/>
      </c>
      <c r="GE111" s="5"/>
      <c r="GF111" s="5"/>
      <c r="GG111" s="5"/>
      <c r="GH111" s="5" t="str">
        <f t="shared" si="450"/>
        <v/>
      </c>
      <c r="GI111" s="5"/>
      <c r="GJ111" s="5"/>
      <c r="GK111" s="5"/>
      <c r="GL111" s="5" t="str">
        <f t="shared" si="424"/>
        <v/>
      </c>
      <c r="GM111" s="36" t="str">
        <f t="shared" si="425"/>
        <v/>
      </c>
      <c r="GN111" s="29"/>
      <c r="GP111" s="14"/>
      <c r="GQ111" s="39"/>
      <c r="GR111" s="5" t="str">
        <f t="shared" si="451"/>
        <v/>
      </c>
      <c r="GS111" s="5"/>
      <c r="GT111" s="5"/>
      <c r="GU111" s="5"/>
      <c r="GV111" s="5"/>
      <c r="GW111" s="5"/>
      <c r="GX111" s="5" t="str">
        <f t="shared" si="452"/>
        <v/>
      </c>
      <c r="GY111" s="5"/>
      <c r="GZ111" s="5"/>
      <c r="HA111" s="5"/>
      <c r="HB111" s="5" t="str">
        <f t="shared" si="426"/>
        <v/>
      </c>
      <c r="HC111" s="36" t="str">
        <f t="shared" si="427"/>
        <v/>
      </c>
      <c r="HD111" s="29"/>
      <c r="HF111" s="14"/>
      <c r="HG111" s="39"/>
      <c r="HH111" s="5" t="str">
        <f t="shared" si="453"/>
        <v/>
      </c>
      <c r="HI111" s="5"/>
      <c r="HJ111" s="29"/>
      <c r="HL111" s="14"/>
      <c r="HM111" s="39"/>
      <c r="HN111" s="5" t="str">
        <f t="shared" si="454"/>
        <v/>
      </c>
      <c r="HO111" s="5"/>
      <c r="HP111" s="29"/>
      <c r="HR111" s="14"/>
      <c r="HS111" s="39"/>
      <c r="HT111" s="5" t="str">
        <f t="shared" si="455"/>
        <v/>
      </c>
      <c r="HU111" s="5"/>
      <c r="HV111" s="29"/>
    </row>
    <row r="112" spans="1:230" ht="15" customHeight="1" thickBot="1" x14ac:dyDescent="0.25">
      <c r="A112" s="60"/>
      <c r="B112" s="73"/>
      <c r="C112" s="43"/>
      <c r="D112" s="61"/>
      <c r="E112" s="44"/>
      <c r="F112" s="44"/>
      <c r="G112" s="44"/>
      <c r="H112" s="44"/>
      <c r="I112" s="62"/>
      <c r="J112" s="45"/>
      <c r="K112" s="61"/>
      <c r="L112" s="44"/>
      <c r="M112" s="46"/>
      <c r="N112" s="29"/>
      <c r="P112" s="60"/>
      <c r="Q112" s="43"/>
      <c r="R112" s="61"/>
      <c r="S112" s="44"/>
      <c r="T112" s="44"/>
      <c r="U112" s="44"/>
      <c r="V112" s="44"/>
      <c r="W112" s="62"/>
      <c r="X112" s="45"/>
      <c r="Y112" s="61"/>
      <c r="Z112" s="44"/>
      <c r="AA112" s="46"/>
      <c r="AB112" s="29"/>
      <c r="AD112" s="60"/>
      <c r="AE112" s="43"/>
      <c r="AF112" s="61"/>
      <c r="AG112" s="44"/>
      <c r="AH112" s="44"/>
      <c r="AI112" s="44"/>
      <c r="AJ112" s="44"/>
      <c r="AK112" s="62"/>
      <c r="AL112" s="45"/>
      <c r="AM112" s="61"/>
      <c r="AN112" s="44"/>
      <c r="AO112" s="46"/>
      <c r="AP112" s="29"/>
      <c r="AR112" s="60"/>
      <c r="AS112" s="43"/>
      <c r="AT112" s="61"/>
      <c r="AU112" s="44"/>
      <c r="AV112" s="44"/>
      <c r="AW112" s="44"/>
      <c r="AX112" s="44"/>
      <c r="AY112" s="62"/>
      <c r="AZ112" s="45"/>
      <c r="BA112" s="61"/>
      <c r="BB112" s="44"/>
      <c r="BC112" s="46"/>
      <c r="BD112" s="142"/>
      <c r="BE112" s="32"/>
      <c r="BF112" s="41"/>
      <c r="BG112" s="43"/>
      <c r="BH112" s="61"/>
      <c r="BI112" s="44"/>
      <c r="BJ112" s="44"/>
      <c r="BK112" s="44"/>
      <c r="BL112" s="44"/>
      <c r="BM112" s="62"/>
      <c r="BN112" s="45"/>
      <c r="BO112" s="61"/>
      <c r="BP112" s="44"/>
      <c r="BQ112" s="46"/>
      <c r="BR112" s="29"/>
      <c r="BT112" s="41"/>
      <c r="BU112" s="43"/>
      <c r="BV112" s="61"/>
      <c r="BW112" s="44"/>
      <c r="BX112" s="44"/>
      <c r="BY112" s="44"/>
      <c r="BZ112" s="44"/>
      <c r="CA112" s="62"/>
      <c r="CB112" s="45"/>
      <c r="CC112" s="61"/>
      <c r="CD112" s="44"/>
      <c r="CE112" s="46"/>
      <c r="CF112" s="29"/>
      <c r="CH112" s="14"/>
      <c r="CI112" s="39"/>
      <c r="CJ112" s="5" t="str">
        <f t="shared" si="435"/>
        <v/>
      </c>
      <c r="CK112" s="5"/>
      <c r="CL112" s="5"/>
      <c r="CM112" s="5"/>
      <c r="CN112" s="5" t="str">
        <f t="shared" si="436"/>
        <v/>
      </c>
      <c r="CO112" s="5"/>
      <c r="CP112" s="5"/>
      <c r="CQ112" s="5"/>
      <c r="CR112" s="5" t="str">
        <f t="shared" si="410"/>
        <v/>
      </c>
      <c r="CS112" s="36" t="str">
        <f t="shared" si="411"/>
        <v/>
      </c>
      <c r="CT112" s="29"/>
      <c r="CV112" s="14"/>
      <c r="CW112" s="39"/>
      <c r="CX112" s="5" t="str">
        <f t="shared" si="437"/>
        <v/>
      </c>
      <c r="CY112" s="5"/>
      <c r="CZ112" s="5"/>
      <c r="DA112" s="5"/>
      <c r="DB112" s="5" t="str">
        <f t="shared" si="438"/>
        <v/>
      </c>
      <c r="DC112" s="5"/>
      <c r="DD112" s="5"/>
      <c r="DE112" s="5"/>
      <c r="DF112" s="5" t="str">
        <f t="shared" si="412"/>
        <v/>
      </c>
      <c r="DG112" s="36" t="str">
        <f t="shared" si="413"/>
        <v/>
      </c>
      <c r="DH112" s="29"/>
      <c r="DJ112" s="14"/>
      <c r="DK112" s="39"/>
      <c r="DL112" s="5" t="str">
        <f t="shared" si="439"/>
        <v/>
      </c>
      <c r="DM112" s="5"/>
      <c r="DN112" s="5"/>
      <c r="DO112" s="5"/>
      <c r="DP112" s="5" t="str">
        <f t="shared" si="440"/>
        <v/>
      </c>
      <c r="DQ112" s="5"/>
      <c r="DR112" s="5"/>
      <c r="DS112" s="5"/>
      <c r="DT112" s="5" t="str">
        <f t="shared" si="414"/>
        <v/>
      </c>
      <c r="DU112" s="36" t="str">
        <f t="shared" si="415"/>
        <v/>
      </c>
      <c r="DV112" s="29"/>
      <c r="DX112" s="14"/>
      <c r="DY112" s="39"/>
      <c r="DZ112" s="5" t="str">
        <f t="shared" si="441"/>
        <v/>
      </c>
      <c r="EA112" s="5"/>
      <c r="EB112" s="5"/>
      <c r="EC112" s="5"/>
      <c r="ED112" s="5" t="str">
        <f t="shared" si="442"/>
        <v/>
      </c>
      <c r="EE112" s="5"/>
      <c r="EF112" s="5"/>
      <c r="EG112" s="5"/>
      <c r="EH112" s="5" t="str">
        <f t="shared" si="416"/>
        <v/>
      </c>
      <c r="EI112" s="36" t="str">
        <f t="shared" si="417"/>
        <v/>
      </c>
      <c r="EJ112" s="29"/>
      <c r="EL112" s="14"/>
      <c r="EM112" s="39"/>
      <c r="EN112" s="5" t="str">
        <f t="shared" si="443"/>
        <v/>
      </c>
      <c r="EO112" s="5"/>
      <c r="EP112" s="5"/>
      <c r="EQ112" s="5"/>
      <c r="ER112" s="5" t="str">
        <f t="shared" si="444"/>
        <v/>
      </c>
      <c r="ES112" s="5"/>
      <c r="ET112" s="5"/>
      <c r="EU112" s="5"/>
      <c r="EV112" s="5" t="str">
        <f t="shared" si="418"/>
        <v/>
      </c>
      <c r="EW112" s="36" t="str">
        <f t="shared" si="419"/>
        <v/>
      </c>
      <c r="EX112" s="29"/>
      <c r="EZ112" s="14"/>
      <c r="FA112" s="39"/>
      <c r="FB112" s="5" t="str">
        <f t="shared" si="445"/>
        <v/>
      </c>
      <c r="FC112" s="5"/>
      <c r="FD112" s="5"/>
      <c r="FE112" s="5"/>
      <c r="FF112" s="5" t="str">
        <f t="shared" si="446"/>
        <v/>
      </c>
      <c r="FG112" s="5"/>
      <c r="FH112" s="5"/>
      <c r="FI112" s="5"/>
      <c r="FJ112" s="5" t="str">
        <f t="shared" si="420"/>
        <v/>
      </c>
      <c r="FK112" s="36" t="str">
        <f t="shared" si="421"/>
        <v/>
      </c>
      <c r="FL112" s="29"/>
      <c r="FN112" s="14"/>
      <c r="FO112" s="39"/>
      <c r="FP112" s="5" t="str">
        <f t="shared" si="447"/>
        <v/>
      </c>
      <c r="FQ112" s="5"/>
      <c r="FR112" s="5"/>
      <c r="FS112" s="5"/>
      <c r="FT112" s="5" t="str">
        <f t="shared" si="448"/>
        <v/>
      </c>
      <c r="FU112" s="5"/>
      <c r="FV112" s="5"/>
      <c r="FW112" s="5"/>
      <c r="FX112" s="5" t="str">
        <f t="shared" si="422"/>
        <v/>
      </c>
      <c r="FY112" s="36" t="str">
        <f t="shared" si="423"/>
        <v/>
      </c>
      <c r="FZ112" s="29"/>
      <c r="GB112" s="14"/>
      <c r="GC112" s="39"/>
      <c r="GD112" s="5" t="str">
        <f t="shared" si="449"/>
        <v/>
      </c>
      <c r="GE112" s="5"/>
      <c r="GF112" s="5"/>
      <c r="GG112" s="5"/>
      <c r="GH112" s="5" t="str">
        <f t="shared" si="450"/>
        <v/>
      </c>
      <c r="GI112" s="5"/>
      <c r="GJ112" s="5"/>
      <c r="GK112" s="5"/>
      <c r="GL112" s="5" t="str">
        <f t="shared" si="424"/>
        <v/>
      </c>
      <c r="GM112" s="36" t="str">
        <f t="shared" si="425"/>
        <v/>
      </c>
      <c r="GN112" s="29"/>
      <c r="GP112" s="14"/>
      <c r="GQ112" s="39"/>
      <c r="GR112" s="5" t="str">
        <f t="shared" si="451"/>
        <v/>
      </c>
      <c r="GS112" s="5"/>
      <c r="GT112" s="5"/>
      <c r="GU112" s="5"/>
      <c r="GV112" s="5"/>
      <c r="GW112" s="5"/>
      <c r="GX112" s="5" t="str">
        <f t="shared" si="452"/>
        <v/>
      </c>
      <c r="GY112" s="5"/>
      <c r="GZ112" s="5"/>
      <c r="HA112" s="5"/>
      <c r="HB112" s="5" t="str">
        <f t="shared" si="426"/>
        <v/>
      </c>
      <c r="HC112" s="36" t="str">
        <f t="shared" si="427"/>
        <v/>
      </c>
      <c r="HD112" s="29"/>
      <c r="HF112" s="14"/>
      <c r="HG112" s="39"/>
      <c r="HH112" s="5" t="str">
        <f t="shared" si="453"/>
        <v/>
      </c>
      <c r="HI112" s="5"/>
      <c r="HJ112" s="29"/>
      <c r="HL112" s="14"/>
      <c r="HM112" s="39"/>
      <c r="HN112" s="5" t="str">
        <f t="shared" si="454"/>
        <v/>
      </c>
      <c r="HO112" s="5"/>
      <c r="HP112" s="29"/>
      <c r="HR112" s="14"/>
      <c r="HS112" s="39"/>
      <c r="HT112" s="5" t="str">
        <f t="shared" si="455"/>
        <v/>
      </c>
      <c r="HU112" s="5"/>
      <c r="HV112" s="29"/>
    </row>
    <row r="113" spans="1:230" ht="15" customHeight="1" thickTop="1" x14ac:dyDescent="0.2">
      <c r="A113" s="49"/>
      <c r="B113" s="26"/>
      <c r="C113" s="4"/>
      <c r="D113" s="4"/>
      <c r="E113" s="4"/>
      <c r="F113" s="50"/>
      <c r="G113" s="4"/>
      <c r="H113" s="4"/>
      <c r="I113" s="51"/>
      <c r="J113" s="31"/>
      <c r="K113" s="27"/>
      <c r="L113" s="50"/>
      <c r="M113" s="52"/>
      <c r="N113" s="29"/>
      <c r="P113" s="53"/>
      <c r="Q113" s="4"/>
      <c r="R113" s="4"/>
      <c r="S113" s="4"/>
      <c r="T113" s="50"/>
      <c r="U113" s="4"/>
      <c r="V113" s="4"/>
      <c r="W113" s="51"/>
      <c r="X113" s="31"/>
      <c r="Y113" s="27"/>
      <c r="Z113" s="50"/>
      <c r="AA113" s="52"/>
      <c r="AB113" s="29"/>
      <c r="AD113" s="53"/>
      <c r="AE113" s="4"/>
      <c r="AF113" s="4"/>
      <c r="AG113" s="4"/>
      <c r="AH113" s="50"/>
      <c r="AI113" s="4"/>
      <c r="AJ113" s="4"/>
      <c r="AK113" s="51"/>
      <c r="AL113" s="31"/>
      <c r="AM113" s="27"/>
      <c r="AN113" s="50"/>
      <c r="AO113" s="52"/>
      <c r="AP113" s="29"/>
      <c r="AR113" s="53"/>
      <c r="AS113" s="4"/>
      <c r="AT113" s="4"/>
      <c r="AU113" s="4"/>
      <c r="AV113" s="50"/>
      <c r="AW113" s="4"/>
      <c r="AX113" s="4"/>
      <c r="AY113" s="51"/>
      <c r="AZ113" s="31"/>
      <c r="BA113" s="27"/>
      <c r="BB113" s="50"/>
      <c r="BC113" s="52"/>
      <c r="BD113" s="29"/>
      <c r="BE113" s="32"/>
      <c r="BF113" s="33"/>
      <c r="BG113" s="4"/>
      <c r="BH113" s="4"/>
      <c r="BI113" s="4"/>
      <c r="BJ113" s="50"/>
      <c r="BK113" s="4"/>
      <c r="BL113" s="4"/>
      <c r="BM113" s="51"/>
      <c r="BN113" s="31"/>
      <c r="BO113" s="27"/>
      <c r="BP113" s="50"/>
      <c r="BQ113" s="52"/>
      <c r="BR113" s="29"/>
      <c r="BT113" s="33"/>
      <c r="BU113" s="4"/>
      <c r="BV113" s="4"/>
      <c r="BW113" s="4"/>
      <c r="BX113" s="50"/>
      <c r="BY113" s="4"/>
      <c r="BZ113" s="4"/>
      <c r="CA113" s="51"/>
      <c r="CB113" s="31"/>
      <c r="CC113" s="27"/>
      <c r="CD113" s="50"/>
      <c r="CE113" s="52"/>
      <c r="CF113" s="29"/>
      <c r="CH113" s="14"/>
      <c r="CI113" s="39"/>
      <c r="CJ113" s="5" t="str">
        <f t="shared" si="435"/>
        <v/>
      </c>
      <c r="CK113" s="5"/>
      <c r="CL113" s="5"/>
      <c r="CM113" s="5"/>
      <c r="CN113" s="5" t="str">
        <f t="shared" si="436"/>
        <v/>
      </c>
      <c r="CO113" s="5"/>
      <c r="CP113" s="5"/>
      <c r="CQ113" s="5"/>
      <c r="CR113" s="5" t="str">
        <f t="shared" si="410"/>
        <v/>
      </c>
      <c r="CS113" s="36" t="str">
        <f t="shared" si="411"/>
        <v/>
      </c>
      <c r="CT113" s="29"/>
      <c r="CV113" s="14"/>
      <c r="CW113" s="39"/>
      <c r="CX113" s="5" t="str">
        <f t="shared" si="437"/>
        <v/>
      </c>
      <c r="CY113" s="5"/>
      <c r="CZ113" s="5"/>
      <c r="DA113" s="5"/>
      <c r="DB113" s="5" t="str">
        <f t="shared" si="438"/>
        <v/>
      </c>
      <c r="DC113" s="5"/>
      <c r="DD113" s="5"/>
      <c r="DE113" s="5"/>
      <c r="DF113" s="5" t="str">
        <f t="shared" si="412"/>
        <v/>
      </c>
      <c r="DG113" s="36" t="str">
        <f t="shared" si="413"/>
        <v/>
      </c>
      <c r="DH113" s="29"/>
      <c r="DJ113" s="14"/>
      <c r="DK113" s="39"/>
      <c r="DL113" s="5" t="str">
        <f t="shared" si="439"/>
        <v/>
      </c>
      <c r="DM113" s="5"/>
      <c r="DN113" s="5"/>
      <c r="DO113" s="5"/>
      <c r="DP113" s="5" t="str">
        <f t="shared" si="440"/>
        <v/>
      </c>
      <c r="DQ113" s="5"/>
      <c r="DR113" s="5"/>
      <c r="DS113" s="5"/>
      <c r="DT113" s="5" t="str">
        <f t="shared" si="414"/>
        <v/>
      </c>
      <c r="DU113" s="36" t="str">
        <f t="shared" si="415"/>
        <v/>
      </c>
      <c r="DV113" s="29" t="s">
        <v>152</v>
      </c>
      <c r="DX113" s="14"/>
      <c r="DY113" s="39"/>
      <c r="DZ113" s="5" t="str">
        <f t="shared" si="441"/>
        <v/>
      </c>
      <c r="EA113" s="5"/>
      <c r="EB113" s="5"/>
      <c r="EC113" s="5"/>
      <c r="ED113" s="5" t="str">
        <f t="shared" si="442"/>
        <v/>
      </c>
      <c r="EE113" s="5"/>
      <c r="EF113" s="5"/>
      <c r="EG113" s="5"/>
      <c r="EH113" s="5" t="str">
        <f t="shared" si="416"/>
        <v/>
      </c>
      <c r="EI113" s="36" t="str">
        <f t="shared" si="417"/>
        <v/>
      </c>
      <c r="EJ113" s="29"/>
      <c r="EL113" s="14"/>
      <c r="EM113" s="39"/>
      <c r="EN113" s="5" t="str">
        <f t="shared" si="443"/>
        <v/>
      </c>
      <c r="EO113" s="5"/>
      <c r="EP113" s="5"/>
      <c r="EQ113" s="5"/>
      <c r="ER113" s="5" t="str">
        <f t="shared" si="444"/>
        <v/>
      </c>
      <c r="ES113" s="5"/>
      <c r="ET113" s="5"/>
      <c r="EU113" s="5"/>
      <c r="EV113" s="5" t="str">
        <f t="shared" si="418"/>
        <v/>
      </c>
      <c r="EW113" s="36" t="str">
        <f t="shared" si="419"/>
        <v/>
      </c>
      <c r="EX113" s="29"/>
      <c r="EZ113" s="14"/>
      <c r="FA113" s="39"/>
      <c r="FB113" s="5" t="str">
        <f t="shared" si="445"/>
        <v/>
      </c>
      <c r="FC113" s="5"/>
      <c r="FD113" s="5"/>
      <c r="FE113" s="5"/>
      <c r="FF113" s="5" t="str">
        <f t="shared" si="446"/>
        <v/>
      </c>
      <c r="FG113" s="5"/>
      <c r="FH113" s="5"/>
      <c r="FI113" s="5"/>
      <c r="FJ113" s="5" t="str">
        <f t="shared" si="420"/>
        <v/>
      </c>
      <c r="FK113" s="36" t="str">
        <f t="shared" si="421"/>
        <v/>
      </c>
      <c r="FL113" s="29"/>
      <c r="FN113" s="14"/>
      <c r="FO113" s="39"/>
      <c r="FP113" s="5" t="str">
        <f t="shared" si="447"/>
        <v/>
      </c>
      <c r="FQ113" s="5"/>
      <c r="FR113" s="5"/>
      <c r="FS113" s="5"/>
      <c r="FT113" s="5" t="str">
        <f t="shared" si="448"/>
        <v/>
      </c>
      <c r="FU113" s="5"/>
      <c r="FV113" s="5"/>
      <c r="FW113" s="5"/>
      <c r="FX113" s="5" t="str">
        <f t="shared" si="422"/>
        <v/>
      </c>
      <c r="FY113" s="36" t="str">
        <f t="shared" si="423"/>
        <v/>
      </c>
      <c r="FZ113" s="29"/>
      <c r="GB113" s="14"/>
      <c r="GC113" s="39"/>
      <c r="GD113" s="5" t="str">
        <f t="shared" si="449"/>
        <v/>
      </c>
      <c r="GE113" s="5"/>
      <c r="GF113" s="5"/>
      <c r="GG113" s="5"/>
      <c r="GH113" s="5" t="str">
        <f t="shared" si="450"/>
        <v/>
      </c>
      <c r="GI113" s="5"/>
      <c r="GJ113" s="5"/>
      <c r="GK113" s="5"/>
      <c r="GL113" s="5" t="str">
        <f t="shared" si="424"/>
        <v/>
      </c>
      <c r="GM113" s="36" t="str">
        <f t="shared" si="425"/>
        <v/>
      </c>
      <c r="GN113" s="29"/>
      <c r="GP113" s="14"/>
      <c r="GQ113" s="39"/>
      <c r="GR113" s="5" t="str">
        <f t="shared" si="451"/>
        <v/>
      </c>
      <c r="GS113" s="5"/>
      <c r="GT113" s="5"/>
      <c r="GU113" s="5"/>
      <c r="GV113" s="5"/>
      <c r="GW113" s="5"/>
      <c r="GX113" s="5" t="str">
        <f t="shared" si="452"/>
        <v/>
      </c>
      <c r="GY113" s="5"/>
      <c r="GZ113" s="5"/>
      <c r="HA113" s="5"/>
      <c r="HB113" s="5" t="str">
        <f t="shared" si="426"/>
        <v/>
      </c>
      <c r="HC113" s="36" t="str">
        <f t="shared" si="427"/>
        <v/>
      </c>
      <c r="HD113" s="29"/>
      <c r="HF113" s="14"/>
      <c r="HG113" s="39"/>
      <c r="HH113" s="5" t="str">
        <f t="shared" si="453"/>
        <v/>
      </c>
      <c r="HI113" s="5"/>
      <c r="HJ113" s="29"/>
      <c r="HL113" s="14"/>
      <c r="HM113" s="39"/>
      <c r="HN113" s="5" t="str">
        <f t="shared" si="454"/>
        <v/>
      </c>
      <c r="HO113" s="5"/>
      <c r="HP113" s="29"/>
      <c r="HR113" s="14"/>
      <c r="HS113" s="39"/>
      <c r="HT113" s="5" t="str">
        <f t="shared" si="455"/>
        <v/>
      </c>
      <c r="HU113" s="5"/>
      <c r="HV113" s="29"/>
    </row>
    <row r="114" spans="1:230" ht="15" customHeight="1" x14ac:dyDescent="0.2">
      <c r="A114" s="54"/>
      <c r="B114" s="37"/>
      <c r="C114" s="5"/>
      <c r="D114" s="5"/>
      <c r="E114" s="5"/>
      <c r="F114" s="5"/>
      <c r="G114" s="5"/>
      <c r="H114" s="5"/>
      <c r="I114" s="35"/>
      <c r="J114" s="38"/>
      <c r="K114" s="39"/>
      <c r="L114" s="5"/>
      <c r="M114" s="36"/>
      <c r="N114" s="29"/>
      <c r="P114" s="54"/>
      <c r="Q114" s="5"/>
      <c r="R114" s="5"/>
      <c r="S114" s="5"/>
      <c r="T114" s="5"/>
      <c r="U114" s="5"/>
      <c r="V114" s="5"/>
      <c r="W114" s="35"/>
      <c r="X114" s="38"/>
      <c r="Y114" s="39"/>
      <c r="Z114" s="5"/>
      <c r="AA114" s="36"/>
      <c r="AB114" s="29"/>
      <c r="AD114" s="54"/>
      <c r="AE114" s="5"/>
      <c r="AF114" s="5"/>
      <c r="AG114" s="5"/>
      <c r="AH114" s="5"/>
      <c r="AI114" s="5"/>
      <c r="AJ114" s="5"/>
      <c r="AK114" s="35"/>
      <c r="AL114" s="38"/>
      <c r="AM114" s="39"/>
      <c r="AN114" s="5"/>
      <c r="AO114" s="36"/>
      <c r="AP114" s="29"/>
      <c r="AR114" s="54"/>
      <c r="AS114" s="5"/>
      <c r="AT114" s="5"/>
      <c r="AU114" s="5"/>
      <c r="AV114" s="5"/>
      <c r="AW114" s="5"/>
      <c r="AX114" s="5"/>
      <c r="AY114" s="35"/>
      <c r="AZ114" s="38"/>
      <c r="BA114" s="39"/>
      <c r="BB114" s="5"/>
      <c r="BC114" s="36"/>
      <c r="BD114" s="29"/>
      <c r="BE114" s="32"/>
      <c r="BF114" s="25"/>
      <c r="BG114" s="5"/>
      <c r="BH114" s="5"/>
      <c r="BI114" s="5"/>
      <c r="BJ114" s="5"/>
      <c r="BK114" s="5"/>
      <c r="BL114" s="5"/>
      <c r="BM114" s="35"/>
      <c r="BN114" s="38"/>
      <c r="BO114" s="39"/>
      <c r="BP114" s="5"/>
      <c r="BQ114" s="36"/>
      <c r="BR114" s="29"/>
      <c r="BT114" s="25"/>
      <c r="BU114" s="5"/>
      <c r="BV114" s="5"/>
      <c r="BW114" s="5"/>
      <c r="BX114" s="5"/>
      <c r="BY114" s="5"/>
      <c r="BZ114" s="5"/>
      <c r="CA114" s="35"/>
      <c r="CB114" s="38"/>
      <c r="CC114" s="39"/>
      <c r="CD114" s="5"/>
      <c r="CE114" s="36"/>
      <c r="CF114" s="29"/>
      <c r="CH114" s="14"/>
      <c r="CI114" s="39"/>
      <c r="CJ114" s="5" t="str">
        <f t="shared" si="435"/>
        <v/>
      </c>
      <c r="CK114" s="5"/>
      <c r="CL114" s="5"/>
      <c r="CM114" s="5"/>
      <c r="CN114" s="5" t="str">
        <f t="shared" si="436"/>
        <v/>
      </c>
      <c r="CO114" s="5"/>
      <c r="CP114" s="5"/>
      <c r="CQ114" s="5"/>
      <c r="CR114" s="5" t="str">
        <f t="shared" si="410"/>
        <v/>
      </c>
      <c r="CS114" s="36" t="str">
        <f t="shared" si="411"/>
        <v/>
      </c>
      <c r="CT114" s="29"/>
      <c r="CV114" s="14"/>
      <c r="CW114" s="39"/>
      <c r="CX114" s="5" t="str">
        <f t="shared" si="437"/>
        <v/>
      </c>
      <c r="CY114" s="5"/>
      <c r="CZ114" s="5"/>
      <c r="DA114" s="5"/>
      <c r="DB114" s="5" t="str">
        <f t="shared" si="438"/>
        <v/>
      </c>
      <c r="DC114" s="5"/>
      <c r="DD114" s="5"/>
      <c r="DE114" s="5"/>
      <c r="DF114" s="5" t="str">
        <f t="shared" si="412"/>
        <v/>
      </c>
      <c r="DG114" s="36" t="str">
        <f t="shared" si="413"/>
        <v/>
      </c>
      <c r="DH114" s="29"/>
      <c r="DJ114" s="14"/>
      <c r="DK114" s="39"/>
      <c r="DL114" s="5" t="str">
        <f t="shared" si="439"/>
        <v/>
      </c>
      <c r="DM114" s="5"/>
      <c r="DN114" s="5"/>
      <c r="DO114" s="5"/>
      <c r="DP114" s="5" t="str">
        <f t="shared" si="440"/>
        <v/>
      </c>
      <c r="DQ114" s="5"/>
      <c r="DR114" s="5"/>
      <c r="DS114" s="5"/>
      <c r="DT114" s="5" t="str">
        <f t="shared" si="414"/>
        <v/>
      </c>
      <c r="DU114" s="36" t="str">
        <f t="shared" si="415"/>
        <v/>
      </c>
      <c r="DV114" s="29"/>
      <c r="DX114" s="14"/>
      <c r="DY114" s="39"/>
      <c r="DZ114" s="5" t="str">
        <f t="shared" si="441"/>
        <v/>
      </c>
      <c r="EA114" s="5"/>
      <c r="EB114" s="5"/>
      <c r="EC114" s="5"/>
      <c r="ED114" s="5" t="str">
        <f t="shared" si="442"/>
        <v/>
      </c>
      <c r="EE114" s="5"/>
      <c r="EF114" s="5"/>
      <c r="EG114" s="5"/>
      <c r="EH114" s="5" t="str">
        <f t="shared" si="416"/>
        <v/>
      </c>
      <c r="EI114" s="36" t="str">
        <f t="shared" si="417"/>
        <v/>
      </c>
      <c r="EJ114" s="29"/>
      <c r="EL114" s="14"/>
      <c r="EM114" s="39"/>
      <c r="EN114" s="5" t="str">
        <f t="shared" si="443"/>
        <v/>
      </c>
      <c r="EO114" s="5"/>
      <c r="EP114" s="5"/>
      <c r="EQ114" s="5"/>
      <c r="ER114" s="5" t="str">
        <f t="shared" si="444"/>
        <v/>
      </c>
      <c r="ES114" s="5"/>
      <c r="ET114" s="5"/>
      <c r="EU114" s="5"/>
      <c r="EV114" s="5" t="str">
        <f t="shared" si="418"/>
        <v/>
      </c>
      <c r="EW114" s="36" t="str">
        <f t="shared" si="419"/>
        <v/>
      </c>
      <c r="EX114" s="29"/>
      <c r="EZ114" s="14"/>
      <c r="FA114" s="39"/>
      <c r="FB114" s="5" t="str">
        <f t="shared" si="445"/>
        <v/>
      </c>
      <c r="FC114" s="5"/>
      <c r="FD114" s="5"/>
      <c r="FE114" s="5"/>
      <c r="FF114" s="5" t="str">
        <f t="shared" si="446"/>
        <v/>
      </c>
      <c r="FG114" s="5"/>
      <c r="FH114" s="5"/>
      <c r="FI114" s="5"/>
      <c r="FJ114" s="5" t="str">
        <f t="shared" si="420"/>
        <v/>
      </c>
      <c r="FK114" s="36" t="str">
        <f t="shared" si="421"/>
        <v/>
      </c>
      <c r="FL114" s="29"/>
      <c r="FN114" s="14"/>
      <c r="FO114" s="39"/>
      <c r="FP114" s="5" t="str">
        <f t="shared" si="447"/>
        <v/>
      </c>
      <c r="FQ114" s="5"/>
      <c r="FR114" s="5"/>
      <c r="FS114" s="5"/>
      <c r="FT114" s="5" t="str">
        <f t="shared" si="448"/>
        <v/>
      </c>
      <c r="FU114" s="5"/>
      <c r="FV114" s="5"/>
      <c r="FW114" s="5"/>
      <c r="FX114" s="5" t="str">
        <f t="shared" si="422"/>
        <v/>
      </c>
      <c r="FY114" s="36" t="str">
        <f t="shared" si="423"/>
        <v/>
      </c>
      <c r="FZ114" s="29"/>
      <c r="GB114" s="14"/>
      <c r="GC114" s="39"/>
      <c r="GD114" s="5" t="str">
        <f t="shared" si="449"/>
        <v/>
      </c>
      <c r="GE114" s="5"/>
      <c r="GF114" s="5"/>
      <c r="GG114" s="5"/>
      <c r="GH114" s="5" t="str">
        <f t="shared" si="450"/>
        <v/>
      </c>
      <c r="GI114" s="5"/>
      <c r="GJ114" s="5"/>
      <c r="GK114" s="5"/>
      <c r="GL114" s="5" t="str">
        <f t="shared" si="424"/>
        <v/>
      </c>
      <c r="GM114" s="36" t="str">
        <f t="shared" si="425"/>
        <v/>
      </c>
      <c r="GN114" s="29"/>
      <c r="GP114" s="14"/>
      <c r="GQ114" s="39"/>
      <c r="GR114" s="5" t="str">
        <f t="shared" si="451"/>
        <v/>
      </c>
      <c r="GS114" s="5"/>
      <c r="GT114" s="5"/>
      <c r="GU114" s="5"/>
      <c r="GV114" s="5"/>
      <c r="GW114" s="5"/>
      <c r="GX114" s="5" t="str">
        <f t="shared" si="452"/>
        <v/>
      </c>
      <c r="GY114" s="5"/>
      <c r="GZ114" s="5"/>
      <c r="HA114" s="5"/>
      <c r="HB114" s="5" t="str">
        <f t="shared" si="426"/>
        <v/>
      </c>
      <c r="HC114" s="36" t="str">
        <f t="shared" si="427"/>
        <v/>
      </c>
      <c r="HD114" s="29"/>
      <c r="HF114" s="14"/>
      <c r="HG114" s="39"/>
      <c r="HH114" s="5" t="str">
        <f t="shared" si="453"/>
        <v/>
      </c>
      <c r="HI114" s="5"/>
      <c r="HJ114" s="29"/>
      <c r="HL114" s="14"/>
      <c r="HM114" s="39"/>
      <c r="HN114" s="5" t="str">
        <f t="shared" si="454"/>
        <v/>
      </c>
      <c r="HO114" s="5"/>
      <c r="HP114" s="29"/>
      <c r="HR114" s="14"/>
      <c r="HS114" s="39"/>
      <c r="HT114" s="5" t="str">
        <f t="shared" si="455"/>
        <v/>
      </c>
      <c r="HU114" s="5"/>
      <c r="HV114" s="29"/>
    </row>
    <row r="115" spans="1:230" ht="15" customHeight="1" x14ac:dyDescent="0.2">
      <c r="A115" s="54"/>
      <c r="B115" s="37"/>
      <c r="C115" s="58"/>
      <c r="D115" s="5"/>
      <c r="E115" s="5"/>
      <c r="F115" s="5"/>
      <c r="G115" s="58"/>
      <c r="H115" s="5"/>
      <c r="I115" s="59"/>
      <c r="J115" s="38"/>
      <c r="K115" s="5"/>
      <c r="L115" s="5"/>
      <c r="M115" s="36"/>
      <c r="N115" s="29"/>
      <c r="P115" s="54"/>
      <c r="Q115" s="58"/>
      <c r="R115" s="5"/>
      <c r="S115" s="5"/>
      <c r="T115" s="5"/>
      <c r="U115" s="58"/>
      <c r="V115" s="5"/>
      <c r="W115" s="59"/>
      <c r="X115" s="38"/>
      <c r="Y115" s="5"/>
      <c r="Z115" s="5"/>
      <c r="AA115" s="36"/>
      <c r="AB115" s="29"/>
      <c r="AD115" s="54"/>
      <c r="AE115" s="58"/>
      <c r="AF115" s="5"/>
      <c r="AG115" s="5"/>
      <c r="AH115" s="5"/>
      <c r="AI115" s="58"/>
      <c r="AJ115" s="5"/>
      <c r="AK115" s="59"/>
      <c r="AL115" s="38"/>
      <c r="AM115" s="5"/>
      <c r="AN115" s="5"/>
      <c r="AO115" s="36"/>
      <c r="AP115" s="29"/>
      <c r="AR115" s="54"/>
      <c r="AS115" s="58"/>
      <c r="AT115" s="5"/>
      <c r="AU115" s="5"/>
      <c r="AV115" s="5"/>
      <c r="AW115" s="58"/>
      <c r="AX115" s="5"/>
      <c r="AY115" s="59"/>
      <c r="AZ115" s="38"/>
      <c r="BA115" s="5"/>
      <c r="BB115" s="5"/>
      <c r="BC115" s="36"/>
      <c r="BD115" s="29"/>
      <c r="BE115" s="32"/>
      <c r="BF115" s="25"/>
      <c r="BG115" s="58"/>
      <c r="BH115" s="5"/>
      <c r="BI115" s="5"/>
      <c r="BJ115" s="5"/>
      <c r="BK115" s="58"/>
      <c r="BL115" s="5"/>
      <c r="BM115" s="59"/>
      <c r="BN115" s="38"/>
      <c r="BO115" s="5"/>
      <c r="BP115" s="5"/>
      <c r="BQ115" s="36"/>
      <c r="BR115" s="29"/>
      <c r="BT115" s="25"/>
      <c r="BU115" s="58"/>
      <c r="BV115" s="5"/>
      <c r="BW115" s="5"/>
      <c r="BX115" s="5"/>
      <c r="BY115" s="58"/>
      <c r="BZ115" s="5"/>
      <c r="CA115" s="59"/>
      <c r="CB115" s="38"/>
      <c r="CC115" s="5"/>
      <c r="CD115" s="5"/>
      <c r="CE115" s="36"/>
      <c r="CF115" s="29"/>
      <c r="CH115" s="14"/>
      <c r="CI115" s="39"/>
      <c r="CJ115" s="5" t="str">
        <f t="shared" si="435"/>
        <v/>
      </c>
      <c r="CK115" s="5"/>
      <c r="CL115" s="5"/>
      <c r="CM115" s="5"/>
      <c r="CN115" s="5" t="str">
        <f t="shared" si="436"/>
        <v/>
      </c>
      <c r="CO115" s="5"/>
      <c r="CP115" s="5"/>
      <c r="CQ115" s="5"/>
      <c r="CR115" s="5" t="str">
        <f t="shared" si="410"/>
        <v/>
      </c>
      <c r="CS115" s="36" t="str">
        <f t="shared" si="411"/>
        <v/>
      </c>
      <c r="CT115" s="29"/>
      <c r="CV115" s="14"/>
      <c r="CW115" s="39"/>
      <c r="CX115" s="5" t="str">
        <f t="shared" si="437"/>
        <v/>
      </c>
      <c r="CY115" s="5"/>
      <c r="CZ115" s="5"/>
      <c r="DA115" s="5"/>
      <c r="DB115" s="5" t="str">
        <f t="shared" si="438"/>
        <v/>
      </c>
      <c r="DC115" s="5"/>
      <c r="DD115" s="5"/>
      <c r="DE115" s="5"/>
      <c r="DF115" s="5" t="str">
        <f t="shared" si="412"/>
        <v/>
      </c>
      <c r="DG115" s="36" t="str">
        <f t="shared" si="413"/>
        <v/>
      </c>
      <c r="DH115" s="29"/>
      <c r="DJ115" s="14"/>
      <c r="DK115" s="39"/>
      <c r="DL115" s="5" t="str">
        <f t="shared" si="439"/>
        <v/>
      </c>
      <c r="DM115" s="5"/>
      <c r="DN115" s="5"/>
      <c r="DO115" s="5"/>
      <c r="DP115" s="5" t="str">
        <f t="shared" si="440"/>
        <v/>
      </c>
      <c r="DQ115" s="5"/>
      <c r="DR115" s="5"/>
      <c r="DS115" s="5"/>
      <c r="DT115" s="5" t="str">
        <f t="shared" si="414"/>
        <v/>
      </c>
      <c r="DU115" s="36" t="str">
        <f t="shared" si="415"/>
        <v/>
      </c>
      <c r="DV115" s="29"/>
      <c r="DX115" s="14"/>
      <c r="DY115" s="39"/>
      <c r="DZ115" s="5" t="str">
        <f t="shared" si="441"/>
        <v/>
      </c>
      <c r="EA115" s="5"/>
      <c r="EB115" s="5"/>
      <c r="EC115" s="5"/>
      <c r="ED115" s="5" t="str">
        <f t="shared" si="442"/>
        <v/>
      </c>
      <c r="EE115" s="5"/>
      <c r="EF115" s="5"/>
      <c r="EG115" s="5"/>
      <c r="EH115" s="5" t="str">
        <f t="shared" si="416"/>
        <v/>
      </c>
      <c r="EI115" s="36" t="str">
        <f t="shared" si="417"/>
        <v/>
      </c>
      <c r="EJ115" s="29"/>
      <c r="EL115" s="14"/>
      <c r="EM115" s="39"/>
      <c r="EN115" s="5" t="str">
        <f t="shared" si="443"/>
        <v/>
      </c>
      <c r="EO115" s="5"/>
      <c r="EP115" s="5"/>
      <c r="EQ115" s="5"/>
      <c r="ER115" s="5" t="str">
        <f t="shared" si="444"/>
        <v/>
      </c>
      <c r="ES115" s="5"/>
      <c r="ET115" s="5"/>
      <c r="EU115" s="5"/>
      <c r="EV115" s="5" t="str">
        <f t="shared" si="418"/>
        <v/>
      </c>
      <c r="EW115" s="36" t="str">
        <f t="shared" si="419"/>
        <v/>
      </c>
      <c r="EX115" s="29"/>
      <c r="EZ115" s="14"/>
      <c r="FA115" s="39"/>
      <c r="FB115" s="5" t="str">
        <f t="shared" si="445"/>
        <v/>
      </c>
      <c r="FC115" s="5"/>
      <c r="FD115" s="5"/>
      <c r="FE115" s="5"/>
      <c r="FF115" s="5" t="str">
        <f t="shared" si="446"/>
        <v/>
      </c>
      <c r="FG115" s="5"/>
      <c r="FH115" s="5"/>
      <c r="FI115" s="5"/>
      <c r="FJ115" s="5" t="str">
        <f t="shared" si="420"/>
        <v/>
      </c>
      <c r="FK115" s="36" t="str">
        <f t="shared" si="421"/>
        <v/>
      </c>
      <c r="FL115" s="29"/>
      <c r="FN115" s="14"/>
      <c r="FO115" s="39"/>
      <c r="FP115" s="5" t="str">
        <f t="shared" si="447"/>
        <v/>
      </c>
      <c r="FQ115" s="5"/>
      <c r="FR115" s="5"/>
      <c r="FS115" s="5"/>
      <c r="FT115" s="5" t="str">
        <f t="shared" si="448"/>
        <v/>
      </c>
      <c r="FU115" s="5"/>
      <c r="FV115" s="5"/>
      <c r="FW115" s="5"/>
      <c r="FX115" s="5" t="str">
        <f t="shared" si="422"/>
        <v/>
      </c>
      <c r="FY115" s="36" t="str">
        <f t="shared" si="423"/>
        <v/>
      </c>
      <c r="FZ115" s="29"/>
      <c r="GB115" s="14"/>
      <c r="GC115" s="39"/>
      <c r="GD115" s="5" t="str">
        <f t="shared" si="449"/>
        <v/>
      </c>
      <c r="GE115" s="5"/>
      <c r="GF115" s="5"/>
      <c r="GG115" s="5"/>
      <c r="GH115" s="5" t="str">
        <f t="shared" si="450"/>
        <v/>
      </c>
      <c r="GI115" s="5"/>
      <c r="GJ115" s="5"/>
      <c r="GK115" s="5"/>
      <c r="GL115" s="5" t="str">
        <f t="shared" si="424"/>
        <v/>
      </c>
      <c r="GM115" s="36" t="str">
        <f t="shared" si="425"/>
        <v/>
      </c>
      <c r="GN115" s="29"/>
      <c r="GP115" s="14"/>
      <c r="GQ115" s="39"/>
      <c r="GR115" s="5" t="str">
        <f t="shared" si="451"/>
        <v/>
      </c>
      <c r="GS115" s="5"/>
      <c r="GT115" s="5"/>
      <c r="GU115" s="5"/>
      <c r="GV115" s="5"/>
      <c r="GW115" s="5"/>
      <c r="GX115" s="5" t="str">
        <f t="shared" si="452"/>
        <v/>
      </c>
      <c r="GY115" s="5"/>
      <c r="GZ115" s="5"/>
      <c r="HA115" s="5"/>
      <c r="HB115" s="5" t="str">
        <f t="shared" si="426"/>
        <v/>
      </c>
      <c r="HC115" s="36" t="str">
        <f t="shared" si="427"/>
        <v/>
      </c>
      <c r="HD115" s="29"/>
      <c r="HF115" s="14"/>
      <c r="HG115" s="39"/>
      <c r="HH115" s="5" t="str">
        <f t="shared" si="453"/>
        <v/>
      </c>
      <c r="HI115" s="5"/>
      <c r="HJ115" s="29"/>
      <c r="HL115" s="14"/>
      <c r="HM115" s="39"/>
      <c r="HN115" s="5" t="str">
        <f t="shared" si="454"/>
        <v/>
      </c>
      <c r="HO115" s="5"/>
      <c r="HP115" s="29"/>
      <c r="HR115" s="14"/>
      <c r="HS115" s="39"/>
      <c r="HT115" s="5" t="str">
        <f t="shared" si="455"/>
        <v/>
      </c>
      <c r="HU115" s="5"/>
      <c r="HV115" s="29"/>
    </row>
    <row r="116" spans="1:230" ht="15" customHeight="1" thickBot="1" x14ac:dyDescent="0.25">
      <c r="A116" s="60"/>
      <c r="B116" s="42"/>
      <c r="C116" s="44"/>
      <c r="D116" s="61"/>
      <c r="E116" s="44"/>
      <c r="F116" s="44"/>
      <c r="G116" s="44"/>
      <c r="H116" s="44"/>
      <c r="I116" s="62"/>
      <c r="J116" s="47"/>
      <c r="K116" s="61"/>
      <c r="L116" s="44"/>
      <c r="M116" s="46"/>
      <c r="N116" s="29"/>
      <c r="P116" s="60"/>
      <c r="Q116" s="44"/>
      <c r="R116" s="61"/>
      <c r="S116" s="44"/>
      <c r="T116" s="44"/>
      <c r="U116" s="44"/>
      <c r="V116" s="44"/>
      <c r="W116" s="62"/>
      <c r="X116" s="47"/>
      <c r="Y116" s="61"/>
      <c r="Z116" s="44"/>
      <c r="AA116" s="46"/>
      <c r="AB116" s="29"/>
      <c r="AD116" s="60"/>
      <c r="AE116" s="44"/>
      <c r="AF116" s="61"/>
      <c r="AG116" s="44"/>
      <c r="AH116" s="44"/>
      <c r="AI116" s="44"/>
      <c r="AJ116" s="44"/>
      <c r="AK116" s="62"/>
      <c r="AL116" s="47"/>
      <c r="AM116" s="61"/>
      <c r="AN116" s="44"/>
      <c r="AO116" s="46"/>
      <c r="AP116" s="29"/>
      <c r="AR116" s="60"/>
      <c r="AS116" s="44"/>
      <c r="AT116" s="61"/>
      <c r="AU116" s="44"/>
      <c r="AV116" s="44"/>
      <c r="AW116" s="44"/>
      <c r="AX116" s="44"/>
      <c r="AY116" s="62"/>
      <c r="AZ116" s="47"/>
      <c r="BA116" s="61"/>
      <c r="BB116" s="44"/>
      <c r="BC116" s="46"/>
      <c r="BD116" s="29"/>
      <c r="BE116" s="32"/>
      <c r="BF116" s="41"/>
      <c r="BG116" s="44"/>
      <c r="BH116" s="61"/>
      <c r="BI116" s="44"/>
      <c r="BJ116" s="44"/>
      <c r="BK116" s="44"/>
      <c r="BL116" s="44"/>
      <c r="BM116" s="62"/>
      <c r="BN116" s="47"/>
      <c r="BO116" s="61"/>
      <c r="BP116" s="44"/>
      <c r="BQ116" s="46"/>
      <c r="BR116" s="29"/>
      <c r="BT116" s="41"/>
      <c r="BU116" s="44"/>
      <c r="BV116" s="61"/>
      <c r="BW116" s="44"/>
      <c r="BX116" s="44"/>
      <c r="BY116" s="44"/>
      <c r="BZ116" s="44"/>
      <c r="CA116" s="62"/>
      <c r="CB116" s="47"/>
      <c r="CC116" s="61"/>
      <c r="CD116" s="44"/>
      <c r="CE116" s="46"/>
      <c r="CF116" s="29"/>
      <c r="CH116" s="14"/>
      <c r="CI116" s="39"/>
      <c r="CJ116" s="5" t="str">
        <f t="shared" si="435"/>
        <v/>
      </c>
      <c r="CK116" s="5"/>
      <c r="CL116" s="5"/>
      <c r="CM116" s="5"/>
      <c r="CN116" s="5" t="str">
        <f t="shared" si="436"/>
        <v/>
      </c>
      <c r="CO116" s="5"/>
      <c r="CP116" s="5"/>
      <c r="CQ116" s="5"/>
      <c r="CR116" s="5" t="str">
        <f t="shared" si="410"/>
        <v/>
      </c>
      <c r="CS116" s="36" t="str">
        <f t="shared" si="411"/>
        <v/>
      </c>
      <c r="CT116" s="29"/>
      <c r="CV116" s="14"/>
      <c r="CW116" s="39"/>
      <c r="CX116" s="5" t="str">
        <f t="shared" si="437"/>
        <v/>
      </c>
      <c r="CY116" s="5"/>
      <c r="CZ116" s="5"/>
      <c r="DA116" s="5"/>
      <c r="DB116" s="5" t="str">
        <f t="shared" si="438"/>
        <v/>
      </c>
      <c r="DC116" s="5"/>
      <c r="DD116" s="5"/>
      <c r="DE116" s="5"/>
      <c r="DF116" s="5" t="str">
        <f t="shared" si="412"/>
        <v/>
      </c>
      <c r="DG116" s="36" t="str">
        <f t="shared" si="413"/>
        <v/>
      </c>
      <c r="DH116" s="29"/>
      <c r="DJ116" s="14"/>
      <c r="DK116" s="39"/>
      <c r="DL116" s="5" t="str">
        <f t="shared" si="439"/>
        <v/>
      </c>
      <c r="DM116" s="5"/>
      <c r="DN116" s="5"/>
      <c r="DO116" s="5"/>
      <c r="DP116" s="5" t="str">
        <f t="shared" si="440"/>
        <v/>
      </c>
      <c r="DQ116" s="5"/>
      <c r="DR116" s="5"/>
      <c r="DS116" s="5"/>
      <c r="DT116" s="5" t="str">
        <f t="shared" si="414"/>
        <v/>
      </c>
      <c r="DU116" s="36" t="str">
        <f t="shared" si="415"/>
        <v/>
      </c>
      <c r="DV116" s="29"/>
      <c r="DX116" s="14"/>
      <c r="DY116" s="39"/>
      <c r="DZ116" s="5" t="str">
        <f t="shared" si="441"/>
        <v/>
      </c>
      <c r="EA116" s="5"/>
      <c r="EB116" s="5"/>
      <c r="EC116" s="5"/>
      <c r="ED116" s="5" t="str">
        <f t="shared" si="442"/>
        <v/>
      </c>
      <c r="EE116" s="5"/>
      <c r="EF116" s="5"/>
      <c r="EG116" s="5"/>
      <c r="EH116" s="5" t="str">
        <f t="shared" si="416"/>
        <v/>
      </c>
      <c r="EI116" s="36" t="str">
        <f t="shared" si="417"/>
        <v/>
      </c>
      <c r="EJ116" s="29"/>
      <c r="EL116" s="14"/>
      <c r="EM116" s="39"/>
      <c r="EN116" s="5" t="str">
        <f t="shared" si="443"/>
        <v/>
      </c>
      <c r="EO116" s="5"/>
      <c r="EP116" s="5"/>
      <c r="EQ116" s="5"/>
      <c r="ER116" s="5" t="str">
        <f t="shared" si="444"/>
        <v/>
      </c>
      <c r="ES116" s="5"/>
      <c r="ET116" s="5"/>
      <c r="EU116" s="5"/>
      <c r="EV116" s="5" t="str">
        <f t="shared" si="418"/>
        <v/>
      </c>
      <c r="EW116" s="36" t="str">
        <f t="shared" si="419"/>
        <v/>
      </c>
      <c r="EX116" s="29"/>
      <c r="EZ116" s="14"/>
      <c r="FA116" s="39"/>
      <c r="FB116" s="5" t="str">
        <f t="shared" si="445"/>
        <v/>
      </c>
      <c r="FC116" s="5"/>
      <c r="FD116" s="5"/>
      <c r="FE116" s="5"/>
      <c r="FF116" s="5" t="str">
        <f t="shared" si="446"/>
        <v/>
      </c>
      <c r="FG116" s="5"/>
      <c r="FH116" s="5"/>
      <c r="FI116" s="5"/>
      <c r="FJ116" s="5" t="str">
        <f t="shared" si="420"/>
        <v/>
      </c>
      <c r="FK116" s="36" t="str">
        <f t="shared" si="421"/>
        <v/>
      </c>
      <c r="FL116" s="29"/>
      <c r="FN116" s="14"/>
      <c r="FO116" s="39"/>
      <c r="FP116" s="5" t="str">
        <f t="shared" si="447"/>
        <v/>
      </c>
      <c r="FQ116" s="5"/>
      <c r="FR116" s="5"/>
      <c r="FS116" s="5"/>
      <c r="FT116" s="5" t="str">
        <f t="shared" si="448"/>
        <v/>
      </c>
      <c r="FU116" s="5"/>
      <c r="FV116" s="5"/>
      <c r="FW116" s="5"/>
      <c r="FX116" s="5" t="str">
        <f t="shared" si="422"/>
        <v/>
      </c>
      <c r="FY116" s="36" t="str">
        <f t="shared" si="423"/>
        <v/>
      </c>
      <c r="FZ116" s="29"/>
      <c r="GB116" s="14"/>
      <c r="GC116" s="39"/>
      <c r="GD116" s="5" t="str">
        <f t="shared" si="449"/>
        <v/>
      </c>
      <c r="GE116" s="5"/>
      <c r="GF116" s="5"/>
      <c r="GG116" s="5"/>
      <c r="GH116" s="5" t="str">
        <f t="shared" si="450"/>
        <v/>
      </c>
      <c r="GI116" s="5"/>
      <c r="GJ116" s="5"/>
      <c r="GK116" s="5"/>
      <c r="GL116" s="5" t="str">
        <f t="shared" si="424"/>
        <v/>
      </c>
      <c r="GM116" s="36" t="str">
        <f t="shared" si="425"/>
        <v/>
      </c>
      <c r="GN116" s="29"/>
      <c r="GP116" s="14"/>
      <c r="GQ116" s="39"/>
      <c r="GR116" s="5" t="str">
        <f t="shared" si="451"/>
        <v/>
      </c>
      <c r="GS116" s="5"/>
      <c r="GT116" s="5"/>
      <c r="GU116" s="5"/>
      <c r="GV116" s="5"/>
      <c r="GW116" s="5"/>
      <c r="GX116" s="5" t="str">
        <f t="shared" si="452"/>
        <v/>
      </c>
      <c r="GY116" s="5"/>
      <c r="GZ116" s="5"/>
      <c r="HA116" s="5"/>
      <c r="HB116" s="5" t="str">
        <f t="shared" si="426"/>
        <v/>
      </c>
      <c r="HC116" s="36" t="str">
        <f t="shared" si="427"/>
        <v/>
      </c>
      <c r="HD116" s="29"/>
      <c r="HF116" s="14"/>
      <c r="HG116" s="39"/>
      <c r="HH116" s="5" t="str">
        <f t="shared" si="453"/>
        <v/>
      </c>
      <c r="HI116" s="5"/>
      <c r="HJ116" s="29"/>
      <c r="HL116" s="14"/>
      <c r="HM116" s="39"/>
      <c r="HN116" s="5" t="str">
        <f t="shared" si="454"/>
        <v/>
      </c>
      <c r="HO116" s="5"/>
      <c r="HP116" s="29"/>
      <c r="HR116" s="14"/>
      <c r="HS116" s="39"/>
      <c r="HT116" s="5" t="str">
        <f t="shared" si="455"/>
        <v/>
      </c>
      <c r="HU116" s="5"/>
      <c r="HV116" s="29"/>
    </row>
    <row r="117" spans="1:230" ht="15" customHeight="1" thickTop="1" x14ac:dyDescent="0.2">
      <c r="A117" s="49"/>
      <c r="B117" s="26">
        <f>SUM(D117:D120)+SUM(R117:R120)+SUM(AF117:AF120)+SUM(AT117:AT120)+SUM(CJ87,CX87,DL87,DZ87,EN87,FB87,FP87,GD87,GR87,HH87,HN87,HT87)+SUM(BH117:BH120)+SUM(BV117:BV118)</f>
        <v>0</v>
      </c>
      <c r="C117" s="4"/>
      <c r="D117" s="4" t="str">
        <f t="shared" ref="D113:D132" si="456">IF(C117="","",C117-C113)</f>
        <v/>
      </c>
      <c r="E117" s="4"/>
      <c r="F117" s="50" t="str">
        <f t="shared" ref="F113:F132" si="457">IF(E117="","",E117-E113)</f>
        <v/>
      </c>
      <c r="G117" s="4"/>
      <c r="H117" s="4" t="str">
        <f t="shared" si="357"/>
        <v/>
      </c>
      <c r="I117" s="51"/>
      <c r="J117" s="31" t="str">
        <f t="shared" ref="J113:J132" si="458">IF(C117="","",J113)</f>
        <v/>
      </c>
      <c r="K117" s="27" t="str">
        <f t="shared" ref="K113:K132" si="459">IF(D117="","",K113)</f>
        <v/>
      </c>
      <c r="L117" s="50" t="str">
        <f t="shared" ref="L113:L132" si="460">IF(G117="","",H117*K117)</f>
        <v/>
      </c>
      <c r="M117" s="52" t="str">
        <f t="shared" ref="M113:M132" si="461">IF(H117="","",L117/(D117*100))</f>
        <v/>
      </c>
      <c r="N117" s="29"/>
      <c r="P117" s="53" t="str">
        <f>IF($A117="","",$A117)</f>
        <v/>
      </c>
      <c r="Q117" s="4"/>
      <c r="R117" s="4" t="str">
        <f t="shared" ref="R113:R132" si="462">IF(Q117="","",Q117-Q113)</f>
        <v/>
      </c>
      <c r="S117" s="4"/>
      <c r="T117" s="50" t="str">
        <f t="shared" ref="T113:T132" si="463">IF(S117="","",S117-S113)</f>
        <v/>
      </c>
      <c r="U117" s="4"/>
      <c r="V117" s="4" t="str">
        <f t="shared" ref="V113:V132" si="464">IF(U117="","",U113+W113-U117)</f>
        <v/>
      </c>
      <c r="W117" s="51"/>
      <c r="X117" s="31" t="str">
        <f t="shared" si="431"/>
        <v/>
      </c>
      <c r="Y117" s="27" t="str">
        <f t="shared" si="432"/>
        <v/>
      </c>
      <c r="Z117" s="50" t="str">
        <f t="shared" ref="Z113:Z132" si="465">IF(U117="","",V117*Y117)</f>
        <v/>
      </c>
      <c r="AA117" s="52" t="str">
        <f t="shared" ref="AA113:AA132" si="466">IF(V117="","",Z117/(R117*100))</f>
        <v/>
      </c>
      <c r="AB117" s="29"/>
      <c r="AD117" s="53" t="str">
        <f>IF($A117="","",$A117)</f>
        <v/>
      </c>
      <c r="AE117" s="4"/>
      <c r="AF117" s="4" t="str">
        <f t="shared" ref="AF113:AF132" si="467">IF(AE117="","",AE117-AE113)</f>
        <v/>
      </c>
      <c r="AG117" s="4"/>
      <c r="AH117" s="50" t="str">
        <f t="shared" ref="AH113:AH132" si="468">IF(AG117="","",AG117-AG113)</f>
        <v/>
      </c>
      <c r="AI117" s="4"/>
      <c r="AJ117" s="4" t="str">
        <f t="shared" ref="AJ113:AJ132" si="469">IF(AI117="","",AI113+AK113-AI117)</f>
        <v/>
      </c>
      <c r="AK117" s="51"/>
      <c r="AL117" s="31" t="str">
        <f t="shared" si="429"/>
        <v/>
      </c>
      <c r="AM117" s="27" t="str">
        <f t="shared" si="430"/>
        <v/>
      </c>
      <c r="AN117" s="50" t="str">
        <f t="shared" ref="AN113:AN132" si="470">IF(AI117="","",AJ117*AM117)</f>
        <v/>
      </c>
      <c r="AO117" s="52" t="str">
        <f t="shared" ref="AO113:AO132" si="471">IF(AJ117="","",AN117/(AF117*100))</f>
        <v/>
      </c>
      <c r="AP117" s="29"/>
      <c r="AR117" s="53" t="str">
        <f>IF($A117="","",$A117)</f>
        <v/>
      </c>
      <c r="AS117" s="4"/>
      <c r="AT117" s="4" t="str">
        <f t="shared" ref="AT113:AT132" si="472">IF(AS117="","",AS117-AS113)</f>
        <v/>
      </c>
      <c r="AU117" s="4"/>
      <c r="AV117" s="50" t="str">
        <f t="shared" ref="AV113:AV132" si="473">IF(AU117="","",AU117-AU113)</f>
        <v/>
      </c>
      <c r="AW117" s="4"/>
      <c r="AX117" s="4" t="str">
        <f t="shared" ref="AX113:AX132" si="474">IF(AW117="","",AW113+AY113-AW117)</f>
        <v/>
      </c>
      <c r="AY117" s="51"/>
      <c r="AZ117" s="31" t="str">
        <f t="shared" si="433"/>
        <v/>
      </c>
      <c r="BA117" s="27" t="str">
        <f t="shared" si="434"/>
        <v/>
      </c>
      <c r="BB117" s="50" t="str">
        <f t="shared" ref="BB113:BB132" si="475">IF(AW117="","",AX117*BA117)</f>
        <v/>
      </c>
      <c r="BC117" s="52" t="str">
        <f t="shared" ref="BC113:BC132" si="476">IF(AX117="","",BB117/(AT117*100))</f>
        <v/>
      </c>
      <c r="BD117" s="29"/>
      <c r="BE117" s="32"/>
      <c r="BF117" s="33" t="str">
        <f>IF($A117="","",$A117)</f>
        <v/>
      </c>
      <c r="BG117" s="4"/>
      <c r="BH117" s="4" t="str">
        <f t="shared" ref="BH113:BH132" si="477">IF(BG117="","",BG117-BG113)</f>
        <v/>
      </c>
      <c r="BI117" s="4"/>
      <c r="BJ117" s="50" t="str">
        <f t="shared" ref="BJ113:BJ131" si="478">IF(BI117="","",BI117-BI113)</f>
        <v/>
      </c>
      <c r="BK117" s="4"/>
      <c r="BL117" s="4" t="str">
        <f t="shared" ref="BL113:BL131" si="479">IF(BK117="","",BK113+BM113-BK117)</f>
        <v/>
      </c>
      <c r="BM117" s="51"/>
      <c r="BN117" s="31" t="str">
        <f t="shared" si="383"/>
        <v/>
      </c>
      <c r="BO117" s="27" t="str">
        <f t="shared" si="384"/>
        <v/>
      </c>
      <c r="BP117" s="50" t="str">
        <f t="shared" ref="BP113:BP132" si="480">IF(BK117="","",BL117*BO117)</f>
        <v/>
      </c>
      <c r="BQ117" s="52" t="str">
        <f t="shared" si="386"/>
        <v/>
      </c>
      <c r="BR117" s="29"/>
      <c r="BT117" s="33" t="str">
        <f>IF($A117="","",$A117)</f>
        <v/>
      </c>
      <c r="BU117" s="4"/>
      <c r="BV117" s="4" t="str">
        <f t="shared" ref="BV113:BV132" si="481">IF(BU117="","",BU117-BU113)</f>
        <v/>
      </c>
      <c r="BW117" s="4"/>
      <c r="BX117" s="50" t="str">
        <f t="shared" ref="BX113:BX131" si="482">IF(BW117="","",BW117-BW113)</f>
        <v/>
      </c>
      <c r="BY117" s="4"/>
      <c r="BZ117" s="4" t="str">
        <f t="shared" si="389"/>
        <v/>
      </c>
      <c r="CA117" s="51"/>
      <c r="CB117" s="31" t="str">
        <f t="shared" si="390"/>
        <v/>
      </c>
      <c r="CC117" s="27" t="str">
        <f t="shared" si="391"/>
        <v/>
      </c>
      <c r="CD117" s="50" t="str">
        <f t="shared" si="392"/>
        <v/>
      </c>
      <c r="CE117" s="52" t="str">
        <f t="shared" si="393"/>
        <v/>
      </c>
      <c r="CF117" s="29"/>
      <c r="CH117" s="14"/>
      <c r="CI117" s="39"/>
      <c r="CJ117" s="5" t="str">
        <f t="shared" si="435"/>
        <v/>
      </c>
      <c r="CK117" s="5"/>
      <c r="CL117" s="5"/>
      <c r="CM117" s="5"/>
      <c r="CN117" s="5" t="str">
        <f t="shared" si="436"/>
        <v/>
      </c>
      <c r="CO117" s="5"/>
      <c r="CP117" s="5"/>
      <c r="CQ117" s="5"/>
      <c r="CR117" s="5" t="str">
        <f t="shared" si="410"/>
        <v/>
      </c>
      <c r="CS117" s="36" t="str">
        <f t="shared" si="411"/>
        <v/>
      </c>
      <c r="CT117" s="29"/>
      <c r="CV117" s="14"/>
      <c r="CW117" s="39"/>
      <c r="CX117" s="5" t="str">
        <f t="shared" si="437"/>
        <v/>
      </c>
      <c r="CY117" s="5"/>
      <c r="CZ117" s="5"/>
      <c r="DA117" s="5"/>
      <c r="DB117" s="5" t="str">
        <f t="shared" si="438"/>
        <v/>
      </c>
      <c r="DC117" s="5"/>
      <c r="DD117" s="5"/>
      <c r="DE117" s="5"/>
      <c r="DF117" s="5" t="str">
        <f t="shared" si="412"/>
        <v/>
      </c>
      <c r="DG117" s="36" t="str">
        <f t="shared" si="413"/>
        <v/>
      </c>
      <c r="DH117" s="29"/>
      <c r="DJ117" s="14"/>
      <c r="DK117" s="39"/>
      <c r="DL117" s="5" t="str">
        <f t="shared" si="439"/>
        <v/>
      </c>
      <c r="DM117" s="5"/>
      <c r="DN117" s="5"/>
      <c r="DO117" s="5"/>
      <c r="DP117" s="5" t="str">
        <f t="shared" si="440"/>
        <v/>
      </c>
      <c r="DQ117" s="5"/>
      <c r="DR117" s="5"/>
      <c r="DS117" s="5"/>
      <c r="DT117" s="5" t="str">
        <f t="shared" si="414"/>
        <v/>
      </c>
      <c r="DU117" s="36" t="str">
        <f t="shared" si="415"/>
        <v/>
      </c>
      <c r="DV117" s="29"/>
      <c r="DX117" s="14"/>
      <c r="DY117" s="39"/>
      <c r="DZ117" s="5" t="str">
        <f t="shared" si="441"/>
        <v/>
      </c>
      <c r="EA117" s="5"/>
      <c r="EB117" s="5"/>
      <c r="EC117" s="5"/>
      <c r="ED117" s="5" t="str">
        <f t="shared" si="442"/>
        <v/>
      </c>
      <c r="EE117" s="5"/>
      <c r="EF117" s="5"/>
      <c r="EG117" s="5"/>
      <c r="EH117" s="5" t="str">
        <f t="shared" si="416"/>
        <v/>
      </c>
      <c r="EI117" s="36" t="str">
        <f t="shared" si="417"/>
        <v/>
      </c>
      <c r="EJ117" s="29"/>
      <c r="EL117" s="14"/>
      <c r="EM117" s="39"/>
      <c r="EN117" s="5" t="str">
        <f t="shared" si="443"/>
        <v/>
      </c>
      <c r="EO117" s="5"/>
      <c r="EP117" s="5"/>
      <c r="EQ117" s="5"/>
      <c r="ER117" s="5" t="str">
        <f t="shared" si="444"/>
        <v/>
      </c>
      <c r="ES117" s="5"/>
      <c r="ET117" s="5"/>
      <c r="EU117" s="5"/>
      <c r="EV117" s="5" t="str">
        <f t="shared" si="418"/>
        <v/>
      </c>
      <c r="EW117" s="36" t="str">
        <f t="shared" si="419"/>
        <v/>
      </c>
      <c r="EX117" s="29"/>
      <c r="EZ117" s="14"/>
      <c r="FA117" s="39"/>
      <c r="FB117" s="5" t="str">
        <f t="shared" si="445"/>
        <v/>
      </c>
      <c r="FC117" s="5"/>
      <c r="FD117" s="5"/>
      <c r="FE117" s="5"/>
      <c r="FF117" s="5" t="str">
        <f t="shared" si="446"/>
        <v/>
      </c>
      <c r="FG117" s="5"/>
      <c r="FH117" s="5"/>
      <c r="FI117" s="5"/>
      <c r="FJ117" s="5" t="str">
        <f t="shared" si="420"/>
        <v/>
      </c>
      <c r="FK117" s="36" t="str">
        <f t="shared" si="421"/>
        <v/>
      </c>
      <c r="FL117" s="29"/>
      <c r="FN117" s="14"/>
      <c r="FO117" s="39"/>
      <c r="FP117" s="5" t="str">
        <f t="shared" si="447"/>
        <v/>
      </c>
      <c r="FQ117" s="5"/>
      <c r="FR117" s="5"/>
      <c r="FS117" s="5"/>
      <c r="FT117" s="5" t="str">
        <f t="shared" si="448"/>
        <v/>
      </c>
      <c r="FU117" s="5"/>
      <c r="FV117" s="5"/>
      <c r="FW117" s="5"/>
      <c r="FX117" s="5" t="str">
        <f t="shared" si="422"/>
        <v/>
      </c>
      <c r="FY117" s="36" t="str">
        <f t="shared" si="423"/>
        <v/>
      </c>
      <c r="FZ117" s="29"/>
      <c r="GB117" s="14"/>
      <c r="GC117" s="39"/>
      <c r="GD117" s="5" t="str">
        <f t="shared" si="449"/>
        <v/>
      </c>
      <c r="GE117" s="5"/>
      <c r="GF117" s="5"/>
      <c r="GG117" s="5"/>
      <c r="GH117" s="5" t="str">
        <f t="shared" si="450"/>
        <v/>
      </c>
      <c r="GI117" s="5"/>
      <c r="GJ117" s="5"/>
      <c r="GK117" s="5"/>
      <c r="GL117" s="5" t="str">
        <f t="shared" si="424"/>
        <v/>
      </c>
      <c r="GM117" s="36" t="str">
        <f t="shared" si="425"/>
        <v/>
      </c>
      <c r="GN117" s="29"/>
      <c r="GP117" s="14"/>
      <c r="GQ117" s="39"/>
      <c r="GR117" s="5" t="str">
        <f t="shared" si="451"/>
        <v/>
      </c>
      <c r="GS117" s="5"/>
      <c r="GT117" s="5"/>
      <c r="GU117" s="5"/>
      <c r="GV117" s="5"/>
      <c r="GW117" s="5"/>
      <c r="GX117" s="5" t="str">
        <f t="shared" si="452"/>
        <v/>
      </c>
      <c r="GY117" s="5"/>
      <c r="GZ117" s="5"/>
      <c r="HA117" s="5"/>
      <c r="HB117" s="5" t="str">
        <f t="shared" si="426"/>
        <v/>
      </c>
      <c r="HC117" s="36" t="str">
        <f t="shared" si="427"/>
        <v/>
      </c>
      <c r="HD117" s="29"/>
      <c r="HF117" s="14"/>
      <c r="HG117" s="39"/>
      <c r="HH117" s="5" t="str">
        <f t="shared" si="453"/>
        <v/>
      </c>
      <c r="HI117" s="5"/>
      <c r="HJ117" s="29"/>
      <c r="HL117" s="14"/>
      <c r="HM117" s="39"/>
      <c r="HN117" s="5" t="str">
        <f t="shared" si="454"/>
        <v/>
      </c>
      <c r="HO117" s="5"/>
      <c r="HP117" s="29"/>
      <c r="HR117" s="14"/>
      <c r="HS117" s="39"/>
      <c r="HT117" s="5" t="str">
        <f t="shared" si="455"/>
        <v/>
      </c>
      <c r="HU117" s="5"/>
      <c r="HV117" s="29"/>
    </row>
    <row r="118" spans="1:230" ht="15" customHeight="1" x14ac:dyDescent="0.2">
      <c r="A118" s="54"/>
      <c r="B118" s="37"/>
      <c r="C118" s="4"/>
      <c r="D118" s="5" t="str">
        <f t="shared" si="456"/>
        <v/>
      </c>
      <c r="E118" s="5"/>
      <c r="F118" s="5" t="str">
        <f t="shared" si="457"/>
        <v/>
      </c>
      <c r="G118" s="5"/>
      <c r="H118" s="5" t="str">
        <f t="shared" si="357"/>
        <v/>
      </c>
      <c r="I118" s="35"/>
      <c r="J118" s="38" t="str">
        <f t="shared" si="458"/>
        <v/>
      </c>
      <c r="K118" s="39" t="str">
        <f t="shared" si="459"/>
        <v/>
      </c>
      <c r="L118" s="5" t="str">
        <f t="shared" si="460"/>
        <v/>
      </c>
      <c r="M118" s="36" t="str">
        <f t="shared" si="461"/>
        <v/>
      </c>
      <c r="N118" s="29"/>
      <c r="P118" s="54"/>
      <c r="Q118" s="4"/>
      <c r="R118" s="5" t="str">
        <f t="shared" si="462"/>
        <v/>
      </c>
      <c r="S118" s="5"/>
      <c r="T118" s="5" t="str">
        <f t="shared" si="463"/>
        <v/>
      </c>
      <c r="U118" s="5"/>
      <c r="V118" s="5" t="str">
        <f t="shared" si="464"/>
        <v/>
      </c>
      <c r="W118" s="35"/>
      <c r="X118" s="38" t="str">
        <f t="shared" si="431"/>
        <v/>
      </c>
      <c r="Y118" s="39" t="str">
        <f t="shared" si="432"/>
        <v/>
      </c>
      <c r="Z118" s="5" t="str">
        <f t="shared" si="465"/>
        <v/>
      </c>
      <c r="AA118" s="36" t="str">
        <f t="shared" si="466"/>
        <v/>
      </c>
      <c r="AB118" s="29"/>
      <c r="AD118" s="54"/>
      <c r="AE118" s="4"/>
      <c r="AF118" s="5" t="str">
        <f t="shared" si="467"/>
        <v/>
      </c>
      <c r="AG118" s="5"/>
      <c r="AH118" s="5" t="str">
        <f t="shared" si="468"/>
        <v/>
      </c>
      <c r="AI118" s="5"/>
      <c r="AJ118" s="5" t="str">
        <f t="shared" si="469"/>
        <v/>
      </c>
      <c r="AK118" s="35"/>
      <c r="AL118" s="38" t="str">
        <f t="shared" si="429"/>
        <v/>
      </c>
      <c r="AM118" s="39" t="str">
        <f t="shared" si="430"/>
        <v/>
      </c>
      <c r="AN118" s="5" t="str">
        <f t="shared" si="470"/>
        <v/>
      </c>
      <c r="AO118" s="36" t="str">
        <f t="shared" si="471"/>
        <v/>
      </c>
      <c r="AP118" s="29"/>
      <c r="AR118" s="54"/>
      <c r="AS118" s="4"/>
      <c r="AT118" s="5" t="str">
        <f t="shared" si="472"/>
        <v/>
      </c>
      <c r="AU118" s="5"/>
      <c r="AV118" s="5" t="str">
        <f t="shared" si="473"/>
        <v/>
      </c>
      <c r="AW118" s="5"/>
      <c r="AX118" s="5" t="str">
        <f t="shared" si="474"/>
        <v/>
      </c>
      <c r="AY118" s="35"/>
      <c r="AZ118" s="38" t="str">
        <f t="shared" si="433"/>
        <v/>
      </c>
      <c r="BA118" s="39" t="str">
        <f t="shared" si="434"/>
        <v/>
      </c>
      <c r="BB118" s="5" t="str">
        <f t="shared" si="475"/>
        <v/>
      </c>
      <c r="BC118" s="36" t="str">
        <f t="shared" si="476"/>
        <v/>
      </c>
      <c r="BD118" s="29"/>
      <c r="BE118" s="32"/>
      <c r="BF118" s="25"/>
      <c r="BG118" s="4"/>
      <c r="BH118" s="5" t="str">
        <f t="shared" si="477"/>
        <v/>
      </c>
      <c r="BI118" s="5"/>
      <c r="BJ118" s="5" t="str">
        <f t="shared" si="478"/>
        <v/>
      </c>
      <c r="BK118" s="5"/>
      <c r="BL118" s="5" t="str">
        <f t="shared" si="479"/>
        <v/>
      </c>
      <c r="BM118" s="35"/>
      <c r="BN118" s="38" t="str">
        <f t="shared" si="383"/>
        <v/>
      </c>
      <c r="BO118" s="39" t="str">
        <f t="shared" si="384"/>
        <v/>
      </c>
      <c r="BP118" s="5" t="str">
        <f t="shared" si="480"/>
        <v/>
      </c>
      <c r="BQ118" s="36" t="str">
        <f t="shared" si="386"/>
        <v/>
      </c>
      <c r="BR118" s="29"/>
      <c r="BT118" s="25"/>
      <c r="BU118" s="4"/>
      <c r="BV118" s="5" t="str">
        <f t="shared" si="481"/>
        <v/>
      </c>
      <c r="BW118" s="5"/>
      <c r="BX118" s="5" t="str">
        <f t="shared" si="482"/>
        <v/>
      </c>
      <c r="BY118" s="5"/>
      <c r="BZ118" s="5" t="str">
        <f t="shared" si="389"/>
        <v/>
      </c>
      <c r="CA118" s="35"/>
      <c r="CB118" s="38" t="str">
        <f t="shared" si="390"/>
        <v/>
      </c>
      <c r="CC118" s="39" t="str">
        <f t="shared" si="391"/>
        <v/>
      </c>
      <c r="CD118" s="5" t="str">
        <f t="shared" si="392"/>
        <v/>
      </c>
      <c r="CE118" s="36" t="str">
        <f t="shared" si="393"/>
        <v/>
      </c>
      <c r="CF118" s="29"/>
      <c r="CH118" s="14"/>
      <c r="CI118" s="39"/>
      <c r="CJ118" s="5" t="str">
        <f t="shared" si="435"/>
        <v/>
      </c>
      <c r="CK118" s="5"/>
      <c r="CL118" s="5"/>
      <c r="CM118" s="5"/>
      <c r="CN118" s="5" t="str">
        <f t="shared" si="436"/>
        <v/>
      </c>
      <c r="CO118" s="5"/>
      <c r="CP118" s="5"/>
      <c r="CQ118" s="5"/>
      <c r="CR118" s="5" t="str">
        <f t="shared" si="410"/>
        <v/>
      </c>
      <c r="CS118" s="36" t="str">
        <f t="shared" si="411"/>
        <v/>
      </c>
      <c r="CT118" s="29"/>
      <c r="CV118" s="14"/>
      <c r="CW118" s="39"/>
      <c r="CX118" s="5" t="str">
        <f t="shared" si="437"/>
        <v/>
      </c>
      <c r="CY118" s="5"/>
      <c r="CZ118" s="5"/>
      <c r="DA118" s="5"/>
      <c r="DB118" s="5" t="str">
        <f t="shared" si="438"/>
        <v/>
      </c>
      <c r="DC118" s="5"/>
      <c r="DD118" s="5"/>
      <c r="DE118" s="5"/>
      <c r="DF118" s="5" t="str">
        <f t="shared" si="412"/>
        <v/>
      </c>
      <c r="DG118" s="36" t="str">
        <f t="shared" si="413"/>
        <v/>
      </c>
      <c r="DH118" s="29"/>
      <c r="DJ118" s="14"/>
      <c r="DK118" s="39"/>
      <c r="DL118" s="5" t="str">
        <f t="shared" si="439"/>
        <v/>
      </c>
      <c r="DM118" s="5"/>
      <c r="DN118" s="5"/>
      <c r="DO118" s="5"/>
      <c r="DP118" s="5" t="str">
        <f t="shared" si="440"/>
        <v/>
      </c>
      <c r="DQ118" s="5"/>
      <c r="DR118" s="5"/>
      <c r="DS118" s="5"/>
      <c r="DT118" s="5" t="str">
        <f t="shared" si="414"/>
        <v/>
      </c>
      <c r="DU118" s="36" t="str">
        <f t="shared" si="415"/>
        <v/>
      </c>
      <c r="DV118" s="29"/>
      <c r="DX118" s="14"/>
      <c r="DY118" s="39"/>
      <c r="DZ118" s="5" t="str">
        <f t="shared" si="441"/>
        <v/>
      </c>
      <c r="EA118" s="5"/>
      <c r="EB118" s="5"/>
      <c r="EC118" s="5"/>
      <c r="ED118" s="5" t="str">
        <f t="shared" si="442"/>
        <v/>
      </c>
      <c r="EE118" s="5"/>
      <c r="EF118" s="5"/>
      <c r="EG118" s="5"/>
      <c r="EH118" s="5" t="str">
        <f t="shared" si="416"/>
        <v/>
      </c>
      <c r="EI118" s="36" t="str">
        <f t="shared" si="417"/>
        <v/>
      </c>
      <c r="EJ118" s="29"/>
      <c r="EL118" s="14"/>
      <c r="EM118" s="39"/>
      <c r="EN118" s="5" t="str">
        <f t="shared" si="443"/>
        <v/>
      </c>
      <c r="EO118" s="5"/>
      <c r="EP118" s="5"/>
      <c r="EQ118" s="5"/>
      <c r="ER118" s="5" t="str">
        <f t="shared" si="444"/>
        <v/>
      </c>
      <c r="ES118" s="5"/>
      <c r="ET118" s="5"/>
      <c r="EU118" s="5"/>
      <c r="EV118" s="5" t="str">
        <f t="shared" si="418"/>
        <v/>
      </c>
      <c r="EW118" s="36" t="str">
        <f t="shared" si="419"/>
        <v/>
      </c>
      <c r="EX118" s="29"/>
      <c r="EZ118" s="14"/>
      <c r="FA118" s="39"/>
      <c r="FB118" s="5" t="str">
        <f t="shared" si="445"/>
        <v/>
      </c>
      <c r="FC118" s="5"/>
      <c r="FD118" s="5"/>
      <c r="FE118" s="5"/>
      <c r="FF118" s="5" t="str">
        <f t="shared" si="446"/>
        <v/>
      </c>
      <c r="FG118" s="5"/>
      <c r="FH118" s="5"/>
      <c r="FI118" s="5"/>
      <c r="FJ118" s="5" t="str">
        <f t="shared" si="420"/>
        <v/>
      </c>
      <c r="FK118" s="36" t="str">
        <f t="shared" si="421"/>
        <v/>
      </c>
      <c r="FL118" s="29"/>
      <c r="FN118" s="14"/>
      <c r="FO118" s="39"/>
      <c r="FP118" s="5" t="str">
        <f t="shared" si="447"/>
        <v/>
      </c>
      <c r="FQ118" s="5"/>
      <c r="FR118" s="5"/>
      <c r="FS118" s="5"/>
      <c r="FT118" s="5" t="str">
        <f t="shared" si="448"/>
        <v/>
      </c>
      <c r="FU118" s="5"/>
      <c r="FV118" s="5"/>
      <c r="FW118" s="5"/>
      <c r="FX118" s="5" t="str">
        <f t="shared" si="422"/>
        <v/>
      </c>
      <c r="FY118" s="36" t="str">
        <f t="shared" si="423"/>
        <v/>
      </c>
      <c r="FZ118" s="29"/>
      <c r="GB118" s="14"/>
      <c r="GC118" s="39"/>
      <c r="GD118" s="5" t="str">
        <f t="shared" si="449"/>
        <v/>
      </c>
      <c r="GE118" s="5"/>
      <c r="GF118" s="5"/>
      <c r="GG118" s="5"/>
      <c r="GH118" s="5" t="str">
        <f t="shared" si="450"/>
        <v/>
      </c>
      <c r="GI118" s="5"/>
      <c r="GJ118" s="5"/>
      <c r="GK118" s="5"/>
      <c r="GL118" s="5" t="str">
        <f t="shared" si="424"/>
        <v/>
      </c>
      <c r="GM118" s="36" t="str">
        <f t="shared" si="425"/>
        <v/>
      </c>
      <c r="GN118" s="29"/>
      <c r="GP118" s="14"/>
      <c r="GQ118" s="39"/>
      <c r="GR118" s="5" t="str">
        <f t="shared" si="451"/>
        <v/>
      </c>
      <c r="GS118" s="5"/>
      <c r="GT118" s="5"/>
      <c r="GU118" s="5"/>
      <c r="GV118" s="5"/>
      <c r="GW118" s="5"/>
      <c r="GX118" s="5" t="str">
        <f t="shared" si="452"/>
        <v/>
      </c>
      <c r="GY118" s="5"/>
      <c r="GZ118" s="5"/>
      <c r="HA118" s="5"/>
      <c r="HB118" s="5" t="str">
        <f t="shared" si="426"/>
        <v/>
      </c>
      <c r="HC118" s="36" t="str">
        <f t="shared" si="427"/>
        <v/>
      </c>
      <c r="HD118" s="29"/>
      <c r="HF118" s="14"/>
      <c r="HG118" s="39"/>
      <c r="HH118" s="5" t="str">
        <f t="shared" si="453"/>
        <v/>
      </c>
      <c r="HI118" s="5"/>
      <c r="HJ118" s="29"/>
      <c r="HL118" s="14"/>
      <c r="HM118" s="39"/>
      <c r="HN118" s="5" t="str">
        <f t="shared" si="454"/>
        <v/>
      </c>
      <c r="HO118" s="5"/>
      <c r="HP118" s="29"/>
      <c r="HR118" s="14"/>
      <c r="HS118" s="39"/>
      <c r="HT118" s="5" t="str">
        <f t="shared" si="455"/>
        <v/>
      </c>
      <c r="HU118" s="5"/>
      <c r="HV118" s="29"/>
    </row>
    <row r="119" spans="1:230" ht="15" customHeight="1" x14ac:dyDescent="0.2">
      <c r="A119" s="54"/>
      <c r="B119" s="37"/>
      <c r="C119" s="57"/>
      <c r="D119" s="5" t="str">
        <f t="shared" si="456"/>
        <v/>
      </c>
      <c r="E119" s="5"/>
      <c r="F119" s="5" t="str">
        <f t="shared" si="457"/>
        <v/>
      </c>
      <c r="G119" s="5"/>
      <c r="H119" s="5" t="str">
        <f t="shared" si="357"/>
        <v/>
      </c>
      <c r="I119" s="35"/>
      <c r="J119" s="38" t="str">
        <f t="shared" si="458"/>
        <v/>
      </c>
      <c r="K119" s="5" t="str">
        <f t="shared" si="459"/>
        <v/>
      </c>
      <c r="L119" s="5" t="str">
        <f t="shared" si="460"/>
        <v/>
      </c>
      <c r="M119" s="36" t="str">
        <f t="shared" si="461"/>
        <v/>
      </c>
      <c r="N119" s="29"/>
      <c r="P119" s="54"/>
      <c r="Q119" s="57"/>
      <c r="R119" s="5" t="str">
        <f t="shared" si="462"/>
        <v/>
      </c>
      <c r="S119" s="5"/>
      <c r="T119" s="5" t="str">
        <f t="shared" si="463"/>
        <v/>
      </c>
      <c r="U119" s="5"/>
      <c r="V119" s="5" t="str">
        <f t="shared" si="464"/>
        <v/>
      </c>
      <c r="W119" s="35"/>
      <c r="X119" s="38" t="str">
        <f t="shared" si="431"/>
        <v/>
      </c>
      <c r="Y119" s="5" t="str">
        <f t="shared" si="432"/>
        <v/>
      </c>
      <c r="Z119" s="5" t="str">
        <f t="shared" si="465"/>
        <v/>
      </c>
      <c r="AA119" s="36" t="str">
        <f t="shared" si="466"/>
        <v/>
      </c>
      <c r="AB119" s="29"/>
      <c r="AD119" s="54"/>
      <c r="AE119" s="57"/>
      <c r="AF119" s="5" t="str">
        <f t="shared" si="467"/>
        <v/>
      </c>
      <c r="AG119" s="5"/>
      <c r="AH119" s="5" t="str">
        <f t="shared" si="468"/>
        <v/>
      </c>
      <c r="AI119" s="5"/>
      <c r="AJ119" s="5" t="str">
        <f t="shared" si="469"/>
        <v/>
      </c>
      <c r="AK119" s="35"/>
      <c r="AL119" s="38" t="str">
        <f t="shared" si="429"/>
        <v/>
      </c>
      <c r="AM119" s="5" t="str">
        <f t="shared" si="430"/>
        <v/>
      </c>
      <c r="AN119" s="5" t="str">
        <f t="shared" si="470"/>
        <v/>
      </c>
      <c r="AO119" s="36" t="str">
        <f t="shared" si="471"/>
        <v/>
      </c>
      <c r="AP119" s="29"/>
      <c r="AR119" s="54"/>
      <c r="AS119" s="57"/>
      <c r="AT119" s="5" t="str">
        <f t="shared" si="472"/>
        <v/>
      </c>
      <c r="AU119" s="5"/>
      <c r="AV119" s="5" t="str">
        <f t="shared" si="473"/>
        <v/>
      </c>
      <c r="AW119" s="5"/>
      <c r="AX119" s="5" t="str">
        <f t="shared" si="474"/>
        <v/>
      </c>
      <c r="AY119" s="35"/>
      <c r="AZ119" s="38" t="str">
        <f t="shared" si="433"/>
        <v/>
      </c>
      <c r="BA119" s="5" t="str">
        <f t="shared" si="434"/>
        <v/>
      </c>
      <c r="BB119" s="5" t="str">
        <f t="shared" si="475"/>
        <v/>
      </c>
      <c r="BC119" s="36" t="str">
        <f t="shared" si="476"/>
        <v/>
      </c>
      <c r="BD119" s="29"/>
      <c r="BE119" s="32"/>
      <c r="BF119" s="25"/>
      <c r="BG119" s="57"/>
      <c r="BH119" s="5" t="str">
        <f t="shared" si="477"/>
        <v/>
      </c>
      <c r="BI119" s="5"/>
      <c r="BJ119" s="5" t="str">
        <f t="shared" si="478"/>
        <v/>
      </c>
      <c r="BK119" s="5"/>
      <c r="BL119" s="5" t="str">
        <f t="shared" si="479"/>
        <v/>
      </c>
      <c r="BM119" s="35"/>
      <c r="BN119" s="38" t="str">
        <f t="shared" si="383"/>
        <v/>
      </c>
      <c r="BO119" s="5" t="str">
        <f t="shared" si="384"/>
        <v/>
      </c>
      <c r="BP119" s="5" t="str">
        <f t="shared" si="480"/>
        <v/>
      </c>
      <c r="BQ119" s="36" t="str">
        <f t="shared" si="386"/>
        <v/>
      </c>
      <c r="BR119" s="29"/>
      <c r="BT119" s="25"/>
      <c r="BU119" s="57"/>
      <c r="BV119" s="5" t="str">
        <f t="shared" si="481"/>
        <v/>
      </c>
      <c r="BW119" s="5"/>
      <c r="BX119" s="5" t="str">
        <f t="shared" si="482"/>
        <v/>
      </c>
      <c r="BY119" s="5"/>
      <c r="BZ119" s="5" t="str">
        <f t="shared" si="389"/>
        <v/>
      </c>
      <c r="CA119" s="35"/>
      <c r="CB119" s="38" t="str">
        <f t="shared" si="390"/>
        <v/>
      </c>
      <c r="CC119" s="5" t="str">
        <f t="shared" si="391"/>
        <v/>
      </c>
      <c r="CD119" s="5" t="str">
        <f t="shared" si="392"/>
        <v/>
      </c>
      <c r="CE119" s="36" t="str">
        <f t="shared" si="393"/>
        <v/>
      </c>
      <c r="CF119" s="29"/>
      <c r="CH119" s="14"/>
      <c r="CI119" s="39"/>
      <c r="CJ119" s="5" t="str">
        <f t="shared" si="435"/>
        <v/>
      </c>
      <c r="CK119" s="5"/>
      <c r="CL119" s="5"/>
      <c r="CM119" s="5"/>
      <c r="CN119" s="5" t="str">
        <f t="shared" si="436"/>
        <v/>
      </c>
      <c r="CO119" s="5"/>
      <c r="CP119" s="5"/>
      <c r="CQ119" s="5"/>
      <c r="CR119" s="5" t="str">
        <f t="shared" si="410"/>
        <v/>
      </c>
      <c r="CS119" s="36" t="str">
        <f t="shared" si="411"/>
        <v/>
      </c>
      <c r="CT119" s="29"/>
      <c r="CV119" s="14"/>
      <c r="CW119" s="39"/>
      <c r="CX119" s="5" t="str">
        <f t="shared" si="437"/>
        <v/>
      </c>
      <c r="CY119" s="5"/>
      <c r="CZ119" s="5"/>
      <c r="DA119" s="5"/>
      <c r="DB119" s="5" t="str">
        <f t="shared" si="438"/>
        <v/>
      </c>
      <c r="DC119" s="5"/>
      <c r="DD119" s="5"/>
      <c r="DE119" s="5"/>
      <c r="DF119" s="5" t="str">
        <f t="shared" si="412"/>
        <v/>
      </c>
      <c r="DG119" s="36" t="str">
        <f t="shared" si="413"/>
        <v/>
      </c>
      <c r="DH119" s="29"/>
      <c r="DJ119" s="14"/>
      <c r="DK119" s="39"/>
      <c r="DL119" s="5" t="str">
        <f t="shared" si="439"/>
        <v/>
      </c>
      <c r="DM119" s="5"/>
      <c r="DN119" s="5"/>
      <c r="DO119" s="5"/>
      <c r="DP119" s="5" t="str">
        <f t="shared" si="440"/>
        <v/>
      </c>
      <c r="DQ119" s="5"/>
      <c r="DR119" s="5"/>
      <c r="DS119" s="5"/>
      <c r="DT119" s="5" t="str">
        <f t="shared" si="414"/>
        <v/>
      </c>
      <c r="DU119" s="36" t="str">
        <f t="shared" si="415"/>
        <v/>
      </c>
      <c r="DV119" s="29"/>
      <c r="DX119" s="14"/>
      <c r="DY119" s="39"/>
      <c r="DZ119" s="5" t="str">
        <f t="shared" si="441"/>
        <v/>
      </c>
      <c r="EA119" s="5"/>
      <c r="EB119" s="5"/>
      <c r="EC119" s="5"/>
      <c r="ED119" s="5" t="str">
        <f t="shared" si="442"/>
        <v/>
      </c>
      <c r="EE119" s="5"/>
      <c r="EF119" s="5"/>
      <c r="EG119" s="5"/>
      <c r="EH119" s="5" t="str">
        <f t="shared" si="416"/>
        <v/>
      </c>
      <c r="EI119" s="36" t="str">
        <f t="shared" si="417"/>
        <v/>
      </c>
      <c r="EJ119" s="29"/>
      <c r="EL119" s="14"/>
      <c r="EM119" s="39"/>
      <c r="EN119" s="5" t="str">
        <f t="shared" si="443"/>
        <v/>
      </c>
      <c r="EO119" s="5"/>
      <c r="EP119" s="5"/>
      <c r="EQ119" s="5"/>
      <c r="ER119" s="5" t="str">
        <f t="shared" si="444"/>
        <v/>
      </c>
      <c r="ES119" s="5"/>
      <c r="ET119" s="5"/>
      <c r="EU119" s="5"/>
      <c r="EV119" s="5" t="str">
        <f t="shared" si="418"/>
        <v/>
      </c>
      <c r="EW119" s="36" t="str">
        <f t="shared" si="419"/>
        <v/>
      </c>
      <c r="EX119" s="29"/>
      <c r="EZ119" s="14"/>
      <c r="FA119" s="39"/>
      <c r="FB119" s="5" t="str">
        <f t="shared" si="445"/>
        <v/>
      </c>
      <c r="FC119" s="5"/>
      <c r="FD119" s="5"/>
      <c r="FE119" s="5"/>
      <c r="FF119" s="5" t="str">
        <f t="shared" si="446"/>
        <v/>
      </c>
      <c r="FG119" s="5"/>
      <c r="FH119" s="5"/>
      <c r="FI119" s="5"/>
      <c r="FJ119" s="5" t="str">
        <f t="shared" si="420"/>
        <v/>
      </c>
      <c r="FK119" s="36" t="str">
        <f t="shared" si="421"/>
        <v/>
      </c>
      <c r="FL119" s="29"/>
      <c r="FN119" s="14"/>
      <c r="FO119" s="39"/>
      <c r="FP119" s="5" t="str">
        <f t="shared" si="447"/>
        <v/>
      </c>
      <c r="FQ119" s="5"/>
      <c r="FR119" s="5"/>
      <c r="FS119" s="5"/>
      <c r="FT119" s="5" t="str">
        <f t="shared" si="448"/>
        <v/>
      </c>
      <c r="FU119" s="5"/>
      <c r="FV119" s="5"/>
      <c r="FW119" s="5"/>
      <c r="FX119" s="5" t="str">
        <f t="shared" si="422"/>
        <v/>
      </c>
      <c r="FY119" s="36" t="str">
        <f t="shared" si="423"/>
        <v/>
      </c>
      <c r="FZ119" s="29"/>
      <c r="GB119" s="14"/>
      <c r="GC119" s="39"/>
      <c r="GD119" s="5" t="str">
        <f t="shared" si="449"/>
        <v/>
      </c>
      <c r="GE119" s="5"/>
      <c r="GF119" s="5"/>
      <c r="GG119" s="5"/>
      <c r="GH119" s="5" t="str">
        <f t="shared" si="450"/>
        <v/>
      </c>
      <c r="GI119" s="5"/>
      <c r="GJ119" s="5"/>
      <c r="GK119" s="5"/>
      <c r="GL119" s="5" t="str">
        <f t="shared" si="424"/>
        <v/>
      </c>
      <c r="GM119" s="36" t="str">
        <f t="shared" si="425"/>
        <v/>
      </c>
      <c r="GN119" s="29"/>
      <c r="GP119" s="14"/>
      <c r="GQ119" s="39"/>
      <c r="GR119" s="5" t="str">
        <f t="shared" si="451"/>
        <v/>
      </c>
      <c r="GS119" s="5"/>
      <c r="GT119" s="5"/>
      <c r="GU119" s="5"/>
      <c r="GV119" s="5"/>
      <c r="GW119" s="5"/>
      <c r="GX119" s="5" t="str">
        <f t="shared" si="452"/>
        <v/>
      </c>
      <c r="GY119" s="5"/>
      <c r="GZ119" s="5"/>
      <c r="HA119" s="5"/>
      <c r="HB119" s="5" t="str">
        <f t="shared" si="426"/>
        <v/>
      </c>
      <c r="HC119" s="36" t="str">
        <f t="shared" si="427"/>
        <v/>
      </c>
      <c r="HD119" s="29"/>
      <c r="HF119" s="14"/>
      <c r="HG119" s="39"/>
      <c r="HH119" s="5" t="str">
        <f t="shared" si="453"/>
        <v/>
      </c>
      <c r="HI119" s="5"/>
      <c r="HJ119" s="29"/>
      <c r="HL119" s="14"/>
      <c r="HM119" s="39"/>
      <c r="HN119" s="5" t="str">
        <f t="shared" si="454"/>
        <v/>
      </c>
      <c r="HO119" s="5"/>
      <c r="HP119" s="29"/>
      <c r="HR119" s="14"/>
      <c r="HS119" s="39"/>
      <c r="HT119" s="5" t="str">
        <f t="shared" si="455"/>
        <v/>
      </c>
      <c r="HU119" s="5"/>
      <c r="HV119" s="29"/>
    </row>
    <row r="120" spans="1:230" ht="15" customHeight="1" thickBot="1" x14ac:dyDescent="0.25">
      <c r="A120" s="60"/>
      <c r="B120" s="42"/>
      <c r="C120" s="43"/>
      <c r="D120" s="61" t="str">
        <f t="shared" si="456"/>
        <v/>
      </c>
      <c r="E120" s="44"/>
      <c r="F120" s="44" t="str">
        <f t="shared" si="457"/>
        <v/>
      </c>
      <c r="G120" s="44"/>
      <c r="H120" s="44" t="str">
        <f t="shared" si="357"/>
        <v/>
      </c>
      <c r="I120" s="62"/>
      <c r="J120" s="47" t="str">
        <f t="shared" si="458"/>
        <v/>
      </c>
      <c r="K120" s="61" t="str">
        <f t="shared" si="459"/>
        <v/>
      </c>
      <c r="L120" s="44" t="str">
        <f t="shared" si="460"/>
        <v/>
      </c>
      <c r="M120" s="46" t="str">
        <f t="shared" si="461"/>
        <v/>
      </c>
      <c r="N120" s="29"/>
      <c r="P120" s="60"/>
      <c r="Q120" s="43"/>
      <c r="R120" s="61" t="str">
        <f t="shared" si="462"/>
        <v/>
      </c>
      <c r="S120" s="44"/>
      <c r="T120" s="44" t="str">
        <f t="shared" si="463"/>
        <v/>
      </c>
      <c r="U120" s="44"/>
      <c r="V120" s="44" t="str">
        <f t="shared" si="464"/>
        <v/>
      </c>
      <c r="W120" s="62"/>
      <c r="X120" s="47" t="str">
        <f t="shared" si="431"/>
        <v/>
      </c>
      <c r="Y120" s="61" t="str">
        <f t="shared" si="432"/>
        <v/>
      </c>
      <c r="Z120" s="44" t="str">
        <f t="shared" si="465"/>
        <v/>
      </c>
      <c r="AA120" s="46" t="str">
        <f t="shared" si="466"/>
        <v/>
      </c>
      <c r="AB120" s="29"/>
      <c r="AD120" s="60"/>
      <c r="AE120" s="43"/>
      <c r="AF120" s="61" t="str">
        <f t="shared" si="467"/>
        <v/>
      </c>
      <c r="AG120" s="44"/>
      <c r="AH120" s="44" t="str">
        <f t="shared" si="468"/>
        <v/>
      </c>
      <c r="AI120" s="44"/>
      <c r="AJ120" s="44" t="str">
        <f t="shared" si="469"/>
        <v/>
      </c>
      <c r="AK120" s="62"/>
      <c r="AL120" s="47" t="str">
        <f t="shared" si="429"/>
        <v/>
      </c>
      <c r="AM120" s="61" t="str">
        <f t="shared" si="430"/>
        <v/>
      </c>
      <c r="AN120" s="44" t="str">
        <f t="shared" si="470"/>
        <v/>
      </c>
      <c r="AO120" s="46" t="str">
        <f t="shared" si="471"/>
        <v/>
      </c>
      <c r="AP120" s="29"/>
      <c r="AR120" s="60"/>
      <c r="AS120" s="43"/>
      <c r="AT120" s="61" t="str">
        <f t="shared" si="472"/>
        <v/>
      </c>
      <c r="AU120" s="44"/>
      <c r="AV120" s="44" t="str">
        <f t="shared" si="473"/>
        <v/>
      </c>
      <c r="AW120" s="44"/>
      <c r="AX120" s="44" t="str">
        <f t="shared" si="474"/>
        <v/>
      </c>
      <c r="AY120" s="62"/>
      <c r="AZ120" s="47" t="str">
        <f t="shared" si="433"/>
        <v/>
      </c>
      <c r="BA120" s="61" t="str">
        <f t="shared" si="434"/>
        <v/>
      </c>
      <c r="BB120" s="44" t="str">
        <f t="shared" si="475"/>
        <v/>
      </c>
      <c r="BC120" s="46" t="str">
        <f t="shared" si="476"/>
        <v/>
      </c>
      <c r="BD120" s="29"/>
      <c r="BE120" s="32"/>
      <c r="BF120" s="41"/>
      <c r="BG120" s="43"/>
      <c r="BH120" s="61" t="str">
        <f t="shared" si="477"/>
        <v/>
      </c>
      <c r="BI120" s="44"/>
      <c r="BJ120" s="44" t="str">
        <f t="shared" si="478"/>
        <v/>
      </c>
      <c r="BK120" s="44"/>
      <c r="BL120" s="44" t="str">
        <f t="shared" si="479"/>
        <v/>
      </c>
      <c r="BM120" s="62"/>
      <c r="BN120" s="47" t="str">
        <f t="shared" si="383"/>
        <v/>
      </c>
      <c r="BO120" s="61" t="str">
        <f t="shared" si="384"/>
        <v/>
      </c>
      <c r="BP120" s="44" t="str">
        <f t="shared" si="480"/>
        <v/>
      </c>
      <c r="BQ120" s="46" t="str">
        <f t="shared" si="386"/>
        <v/>
      </c>
      <c r="BR120" s="29"/>
      <c r="BT120" s="41"/>
      <c r="BU120" s="43"/>
      <c r="BV120" s="61" t="str">
        <f t="shared" si="481"/>
        <v/>
      </c>
      <c r="BW120" s="44"/>
      <c r="BX120" s="44" t="str">
        <f t="shared" si="482"/>
        <v/>
      </c>
      <c r="BY120" s="44"/>
      <c r="BZ120" s="44" t="str">
        <f t="shared" si="389"/>
        <v/>
      </c>
      <c r="CA120" s="62"/>
      <c r="CB120" s="47" t="str">
        <f t="shared" si="390"/>
        <v/>
      </c>
      <c r="CC120" s="61" t="str">
        <f t="shared" si="391"/>
        <v/>
      </c>
      <c r="CD120" s="44" t="str">
        <f t="shared" si="392"/>
        <v/>
      </c>
      <c r="CE120" s="46" t="str">
        <f t="shared" si="393"/>
        <v/>
      </c>
      <c r="CF120" s="29"/>
      <c r="CH120" s="14"/>
      <c r="CI120" s="39"/>
      <c r="CJ120" s="5" t="str">
        <f t="shared" si="435"/>
        <v/>
      </c>
      <c r="CK120" s="5"/>
      <c r="CL120" s="5"/>
      <c r="CM120" s="5"/>
      <c r="CN120" s="5" t="str">
        <f t="shared" si="436"/>
        <v/>
      </c>
      <c r="CO120" s="5"/>
      <c r="CP120" s="5"/>
      <c r="CQ120" s="5"/>
      <c r="CR120" s="5" t="str">
        <f t="shared" si="410"/>
        <v/>
      </c>
      <c r="CS120" s="36" t="str">
        <f t="shared" si="411"/>
        <v/>
      </c>
      <c r="CT120" s="29"/>
      <c r="CV120" s="14"/>
      <c r="CW120" s="39"/>
      <c r="CX120" s="5" t="str">
        <f t="shared" si="437"/>
        <v/>
      </c>
      <c r="CY120" s="5"/>
      <c r="CZ120" s="5"/>
      <c r="DA120" s="5"/>
      <c r="DB120" s="5" t="str">
        <f t="shared" si="438"/>
        <v/>
      </c>
      <c r="DC120" s="5"/>
      <c r="DD120" s="5"/>
      <c r="DE120" s="5"/>
      <c r="DF120" s="5" t="str">
        <f t="shared" si="412"/>
        <v/>
      </c>
      <c r="DG120" s="36" t="str">
        <f t="shared" si="413"/>
        <v/>
      </c>
      <c r="DH120" s="29"/>
      <c r="DJ120" s="14"/>
      <c r="DK120" s="39"/>
      <c r="DL120" s="5" t="str">
        <f t="shared" si="439"/>
        <v/>
      </c>
      <c r="DM120" s="5"/>
      <c r="DN120" s="5"/>
      <c r="DO120" s="5"/>
      <c r="DP120" s="5" t="str">
        <f t="shared" si="440"/>
        <v/>
      </c>
      <c r="DQ120" s="5"/>
      <c r="DR120" s="5"/>
      <c r="DS120" s="5"/>
      <c r="DT120" s="5" t="str">
        <f t="shared" si="414"/>
        <v/>
      </c>
      <c r="DU120" s="36" t="str">
        <f t="shared" si="415"/>
        <v/>
      </c>
      <c r="DV120" s="29"/>
      <c r="DX120" s="14"/>
      <c r="DY120" s="39"/>
      <c r="DZ120" s="5" t="str">
        <f t="shared" si="441"/>
        <v/>
      </c>
      <c r="EA120" s="5"/>
      <c r="EB120" s="5"/>
      <c r="EC120" s="5"/>
      <c r="ED120" s="5" t="str">
        <f t="shared" si="442"/>
        <v/>
      </c>
      <c r="EE120" s="5"/>
      <c r="EF120" s="5"/>
      <c r="EG120" s="5"/>
      <c r="EH120" s="5" t="str">
        <f t="shared" si="416"/>
        <v/>
      </c>
      <c r="EI120" s="36" t="str">
        <f t="shared" si="417"/>
        <v/>
      </c>
      <c r="EJ120" s="29"/>
      <c r="EL120" s="14"/>
      <c r="EM120" s="39"/>
      <c r="EN120" s="5" t="str">
        <f t="shared" si="443"/>
        <v/>
      </c>
      <c r="EO120" s="5"/>
      <c r="EP120" s="5"/>
      <c r="EQ120" s="5"/>
      <c r="ER120" s="5" t="str">
        <f t="shared" si="444"/>
        <v/>
      </c>
      <c r="ES120" s="5"/>
      <c r="ET120" s="5"/>
      <c r="EU120" s="5"/>
      <c r="EV120" s="5" t="str">
        <f t="shared" si="418"/>
        <v/>
      </c>
      <c r="EW120" s="36" t="str">
        <f t="shared" si="419"/>
        <v/>
      </c>
      <c r="EX120" s="29"/>
      <c r="EZ120" s="14"/>
      <c r="FA120" s="39"/>
      <c r="FB120" s="5" t="str">
        <f t="shared" si="445"/>
        <v/>
      </c>
      <c r="FC120" s="5"/>
      <c r="FD120" s="5"/>
      <c r="FE120" s="5"/>
      <c r="FF120" s="5" t="str">
        <f t="shared" si="446"/>
        <v/>
      </c>
      <c r="FG120" s="5"/>
      <c r="FH120" s="5"/>
      <c r="FI120" s="5"/>
      <c r="FJ120" s="5" t="str">
        <f t="shared" si="420"/>
        <v/>
      </c>
      <c r="FK120" s="36" t="str">
        <f t="shared" si="421"/>
        <v/>
      </c>
      <c r="FL120" s="29"/>
      <c r="FN120" s="14"/>
      <c r="FO120" s="39"/>
      <c r="FP120" s="5" t="str">
        <f t="shared" si="447"/>
        <v/>
      </c>
      <c r="FQ120" s="5"/>
      <c r="FR120" s="5"/>
      <c r="FS120" s="5"/>
      <c r="FT120" s="5" t="str">
        <f t="shared" si="448"/>
        <v/>
      </c>
      <c r="FU120" s="5"/>
      <c r="FV120" s="5"/>
      <c r="FW120" s="5"/>
      <c r="FX120" s="5" t="str">
        <f t="shared" si="422"/>
        <v/>
      </c>
      <c r="FY120" s="36" t="str">
        <f t="shared" si="423"/>
        <v/>
      </c>
      <c r="FZ120" s="29"/>
      <c r="GB120" s="14"/>
      <c r="GC120" s="39"/>
      <c r="GD120" s="5" t="str">
        <f t="shared" si="449"/>
        <v/>
      </c>
      <c r="GE120" s="5"/>
      <c r="GF120" s="5"/>
      <c r="GG120" s="5"/>
      <c r="GH120" s="5" t="str">
        <f t="shared" si="450"/>
        <v/>
      </c>
      <c r="GI120" s="5"/>
      <c r="GJ120" s="5"/>
      <c r="GK120" s="5"/>
      <c r="GL120" s="5" t="str">
        <f t="shared" si="424"/>
        <v/>
      </c>
      <c r="GM120" s="36" t="str">
        <f t="shared" si="425"/>
        <v/>
      </c>
      <c r="GN120" s="29"/>
      <c r="GP120" s="14"/>
      <c r="GQ120" s="39"/>
      <c r="GR120" s="5" t="str">
        <f t="shared" si="451"/>
        <v/>
      </c>
      <c r="GS120" s="5"/>
      <c r="GT120" s="5"/>
      <c r="GU120" s="5"/>
      <c r="GV120" s="5"/>
      <c r="GW120" s="5"/>
      <c r="GX120" s="5" t="str">
        <f t="shared" si="452"/>
        <v/>
      </c>
      <c r="GY120" s="5"/>
      <c r="GZ120" s="5"/>
      <c r="HA120" s="5"/>
      <c r="HB120" s="5" t="str">
        <f t="shared" si="426"/>
        <v/>
      </c>
      <c r="HC120" s="36" t="str">
        <f t="shared" si="427"/>
        <v/>
      </c>
      <c r="HD120" s="29"/>
      <c r="HF120" s="14"/>
      <c r="HG120" s="39"/>
      <c r="HH120" s="5" t="str">
        <f t="shared" si="453"/>
        <v/>
      </c>
      <c r="HI120" s="5"/>
      <c r="HJ120" s="29"/>
      <c r="HL120" s="14"/>
      <c r="HM120" s="39"/>
      <c r="HN120" s="5" t="str">
        <f t="shared" si="454"/>
        <v/>
      </c>
      <c r="HO120" s="5"/>
      <c r="HP120" s="29"/>
      <c r="HR120" s="14"/>
      <c r="HS120" s="39"/>
      <c r="HT120" s="5" t="str">
        <f t="shared" si="455"/>
        <v/>
      </c>
      <c r="HU120" s="5"/>
      <c r="HV120" s="29"/>
    </row>
    <row r="121" spans="1:230" ht="15" customHeight="1" thickTop="1" x14ac:dyDescent="0.2">
      <c r="A121" s="49"/>
      <c r="B121" s="26">
        <f>SUM(D121:D124)+SUM(R121:R124)+SUM(AF121:AF124)+SUM(AT121:AT124)+SUM(CJ115,DL115,DZ115,EN115,FB115,FP115,GD115,GR115,HH115,HN115,HT115)+SUM(BH121:BH122)+SUM(BV121:BV122)</f>
        <v>0</v>
      </c>
      <c r="C121" s="4"/>
      <c r="D121" s="4" t="str">
        <f t="shared" si="456"/>
        <v/>
      </c>
      <c r="E121" s="4"/>
      <c r="F121" s="50" t="str">
        <f t="shared" si="457"/>
        <v/>
      </c>
      <c r="G121" s="4"/>
      <c r="H121" s="4" t="str">
        <f t="shared" si="357"/>
        <v/>
      </c>
      <c r="I121" s="35"/>
      <c r="J121" s="31" t="str">
        <f t="shared" si="458"/>
        <v/>
      </c>
      <c r="K121" s="27" t="str">
        <f t="shared" si="459"/>
        <v/>
      </c>
      <c r="L121" s="50" t="str">
        <f t="shared" si="460"/>
        <v/>
      </c>
      <c r="M121" s="52" t="str">
        <f t="shared" si="461"/>
        <v/>
      </c>
      <c r="N121" s="29"/>
      <c r="P121" s="53" t="str">
        <f>IF($A$417="","",$A$417)</f>
        <v/>
      </c>
      <c r="Q121" s="4"/>
      <c r="R121" s="4" t="str">
        <f t="shared" si="462"/>
        <v/>
      </c>
      <c r="S121" s="4"/>
      <c r="T121" s="50" t="str">
        <f t="shared" si="463"/>
        <v/>
      </c>
      <c r="U121" s="4"/>
      <c r="V121" s="4" t="str">
        <f t="shared" si="464"/>
        <v/>
      </c>
      <c r="W121" s="35"/>
      <c r="X121" s="2" t="str">
        <f t="shared" si="431"/>
        <v/>
      </c>
      <c r="Y121" s="27" t="str">
        <f t="shared" si="432"/>
        <v/>
      </c>
      <c r="Z121" s="50" t="str">
        <f t="shared" si="465"/>
        <v/>
      </c>
      <c r="AA121" s="52" t="str">
        <f t="shared" si="466"/>
        <v/>
      </c>
      <c r="AB121" s="29"/>
      <c r="AD121" s="53" t="str">
        <f>IF($A$417="","",$A$417)</f>
        <v/>
      </c>
      <c r="AE121" s="4"/>
      <c r="AF121" s="4" t="str">
        <f t="shared" si="467"/>
        <v/>
      </c>
      <c r="AG121" s="4"/>
      <c r="AH121" s="50" t="str">
        <f t="shared" si="468"/>
        <v/>
      </c>
      <c r="AI121" s="4"/>
      <c r="AJ121" s="4" t="str">
        <f t="shared" si="469"/>
        <v/>
      </c>
      <c r="AK121" s="35"/>
      <c r="AL121" s="31" t="str">
        <f t="shared" si="429"/>
        <v/>
      </c>
      <c r="AM121" s="27" t="str">
        <f t="shared" si="430"/>
        <v/>
      </c>
      <c r="AN121" s="50" t="str">
        <f t="shared" si="470"/>
        <v/>
      </c>
      <c r="AO121" s="52" t="str">
        <f t="shared" si="471"/>
        <v/>
      </c>
      <c r="AP121" s="29"/>
      <c r="AR121" s="53" t="str">
        <f>IF($A$417="","",$A$417)</f>
        <v/>
      </c>
      <c r="AS121" s="4"/>
      <c r="AT121" s="4" t="str">
        <f t="shared" si="472"/>
        <v/>
      </c>
      <c r="AU121" s="4"/>
      <c r="AV121" s="50" t="str">
        <f t="shared" si="473"/>
        <v/>
      </c>
      <c r="AW121" s="4"/>
      <c r="AX121" s="4" t="str">
        <f t="shared" si="474"/>
        <v/>
      </c>
      <c r="AY121" s="35"/>
      <c r="AZ121" s="31" t="str">
        <f t="shared" si="433"/>
        <v/>
      </c>
      <c r="BA121" s="27" t="str">
        <f t="shared" si="434"/>
        <v/>
      </c>
      <c r="BB121" s="50" t="str">
        <f t="shared" si="475"/>
        <v/>
      </c>
      <c r="BC121" s="52" t="str">
        <f t="shared" si="476"/>
        <v/>
      </c>
      <c r="BD121" s="29"/>
      <c r="BE121" s="32"/>
      <c r="BF121" s="33" t="str">
        <f>IF($A88="","",$A88)</f>
        <v/>
      </c>
      <c r="BG121" s="4"/>
      <c r="BH121" s="4" t="str">
        <f t="shared" si="477"/>
        <v/>
      </c>
      <c r="BI121" s="4"/>
      <c r="BJ121" s="50" t="str">
        <f t="shared" si="478"/>
        <v/>
      </c>
      <c r="BK121" s="4"/>
      <c r="BL121" s="4" t="str">
        <f t="shared" si="479"/>
        <v/>
      </c>
      <c r="BM121" s="4"/>
      <c r="BN121" s="2" t="str">
        <f>IF(BG121="","",BN117)</f>
        <v/>
      </c>
      <c r="BO121" s="27" t="str">
        <f>IF(BG121="","",BO117)</f>
        <v/>
      </c>
      <c r="BP121" s="5" t="str">
        <f t="shared" si="480"/>
        <v/>
      </c>
      <c r="BQ121" s="52" t="str">
        <f t="shared" si="386"/>
        <v/>
      </c>
      <c r="BR121" s="29"/>
      <c r="BT121" s="33" t="str">
        <f>IF($A88="","",$A88)</f>
        <v/>
      </c>
      <c r="BU121" s="4"/>
      <c r="BV121" s="4" t="str">
        <f t="shared" si="481"/>
        <v/>
      </c>
      <c r="BW121" s="4"/>
      <c r="BX121" s="50" t="str">
        <f t="shared" si="482"/>
        <v/>
      </c>
      <c r="BY121" s="4"/>
      <c r="BZ121" s="4" t="str">
        <f t="shared" si="389"/>
        <v/>
      </c>
      <c r="CA121" s="4"/>
      <c r="CB121" s="2" t="str">
        <f>IF(BU121="","",CB117)</f>
        <v/>
      </c>
      <c r="CC121" s="27" t="str">
        <f>IF(BU121="","",CC117)</f>
        <v/>
      </c>
      <c r="CD121" s="5" t="str">
        <f t="shared" si="392"/>
        <v/>
      </c>
      <c r="CE121" s="52" t="str">
        <f t="shared" si="393"/>
        <v/>
      </c>
      <c r="CF121" s="29"/>
      <c r="CH121" s="14"/>
      <c r="CI121" s="39"/>
      <c r="CJ121" s="5" t="str">
        <f t="shared" si="435"/>
        <v/>
      </c>
      <c r="CK121" s="5"/>
      <c r="CL121" s="5"/>
      <c r="CM121" s="5"/>
      <c r="CN121" s="5" t="str">
        <f t="shared" si="436"/>
        <v/>
      </c>
      <c r="CO121" s="5"/>
      <c r="CP121" s="5"/>
      <c r="CQ121" s="5"/>
      <c r="CR121" s="5" t="str">
        <f t="shared" si="410"/>
        <v/>
      </c>
      <c r="CS121" s="36" t="str">
        <f t="shared" si="411"/>
        <v/>
      </c>
      <c r="CT121" s="29"/>
      <c r="CV121" s="14"/>
      <c r="CW121" s="39"/>
      <c r="CX121" s="5" t="str">
        <f t="shared" si="437"/>
        <v/>
      </c>
      <c r="CY121" s="5"/>
      <c r="CZ121" s="5"/>
      <c r="DA121" s="5"/>
      <c r="DB121" s="5" t="str">
        <f t="shared" si="438"/>
        <v/>
      </c>
      <c r="DC121" s="5"/>
      <c r="DD121" s="5"/>
      <c r="DE121" s="5"/>
      <c r="DF121" s="5" t="str">
        <f t="shared" si="412"/>
        <v/>
      </c>
      <c r="DG121" s="36" t="str">
        <f t="shared" si="413"/>
        <v/>
      </c>
      <c r="DH121" s="29"/>
      <c r="DJ121" s="14"/>
      <c r="DK121" s="39"/>
      <c r="DL121" s="5" t="str">
        <f t="shared" si="439"/>
        <v/>
      </c>
      <c r="DM121" s="5"/>
      <c r="DN121" s="5"/>
      <c r="DO121" s="5"/>
      <c r="DP121" s="5" t="str">
        <f t="shared" si="440"/>
        <v/>
      </c>
      <c r="DQ121" s="5"/>
      <c r="DR121" s="5"/>
      <c r="DS121" s="5"/>
      <c r="DT121" s="5" t="str">
        <f t="shared" si="414"/>
        <v/>
      </c>
      <c r="DU121" s="36" t="str">
        <f t="shared" si="415"/>
        <v/>
      </c>
      <c r="DV121" s="29"/>
      <c r="DX121" s="14"/>
      <c r="DY121" s="39"/>
      <c r="DZ121" s="5" t="str">
        <f t="shared" si="441"/>
        <v/>
      </c>
      <c r="EA121" s="5"/>
      <c r="EB121" s="5"/>
      <c r="EC121" s="5"/>
      <c r="ED121" s="5" t="str">
        <f t="shared" si="442"/>
        <v/>
      </c>
      <c r="EE121" s="5"/>
      <c r="EF121" s="5"/>
      <c r="EG121" s="5"/>
      <c r="EH121" s="5" t="str">
        <f t="shared" si="416"/>
        <v/>
      </c>
      <c r="EI121" s="36" t="str">
        <f t="shared" si="417"/>
        <v/>
      </c>
      <c r="EJ121" s="29"/>
      <c r="EL121" s="14"/>
      <c r="EM121" s="39"/>
      <c r="EN121" s="5" t="str">
        <f t="shared" si="443"/>
        <v/>
      </c>
      <c r="EO121" s="5"/>
      <c r="EP121" s="5"/>
      <c r="EQ121" s="5"/>
      <c r="ER121" s="5" t="str">
        <f t="shared" si="444"/>
        <v/>
      </c>
      <c r="ES121" s="5"/>
      <c r="ET121" s="5"/>
      <c r="EU121" s="5"/>
      <c r="EV121" s="5" t="str">
        <f t="shared" si="418"/>
        <v/>
      </c>
      <c r="EW121" s="36" t="str">
        <f t="shared" si="419"/>
        <v/>
      </c>
      <c r="EX121" s="29"/>
      <c r="EZ121" s="14"/>
      <c r="FA121" s="39"/>
      <c r="FB121" s="5" t="str">
        <f t="shared" si="445"/>
        <v/>
      </c>
      <c r="FC121" s="5"/>
      <c r="FD121" s="5"/>
      <c r="FE121" s="5"/>
      <c r="FF121" s="5" t="str">
        <f t="shared" si="446"/>
        <v/>
      </c>
      <c r="FG121" s="5"/>
      <c r="FH121" s="5"/>
      <c r="FI121" s="5"/>
      <c r="FJ121" s="5" t="str">
        <f t="shared" si="420"/>
        <v/>
      </c>
      <c r="FK121" s="36" t="str">
        <f t="shared" si="421"/>
        <v/>
      </c>
      <c r="FL121" s="29"/>
      <c r="FN121" s="14"/>
      <c r="FO121" s="39"/>
      <c r="FP121" s="5" t="str">
        <f t="shared" si="447"/>
        <v/>
      </c>
      <c r="FQ121" s="5"/>
      <c r="FR121" s="5"/>
      <c r="FS121" s="5"/>
      <c r="FT121" s="5" t="str">
        <f t="shared" si="448"/>
        <v/>
      </c>
      <c r="FU121" s="5"/>
      <c r="FV121" s="5"/>
      <c r="FW121" s="5"/>
      <c r="FX121" s="5" t="str">
        <f t="shared" si="422"/>
        <v/>
      </c>
      <c r="FY121" s="36" t="str">
        <f t="shared" si="423"/>
        <v/>
      </c>
      <c r="FZ121" s="29"/>
      <c r="GB121" s="14"/>
      <c r="GC121" s="39"/>
      <c r="GD121" s="5" t="str">
        <f t="shared" si="449"/>
        <v/>
      </c>
      <c r="GE121" s="5"/>
      <c r="GF121" s="5"/>
      <c r="GG121" s="5"/>
      <c r="GH121" s="5" t="str">
        <f t="shared" si="450"/>
        <v/>
      </c>
      <c r="GI121" s="5"/>
      <c r="GJ121" s="5"/>
      <c r="GK121" s="5"/>
      <c r="GL121" s="5" t="str">
        <f t="shared" si="424"/>
        <v/>
      </c>
      <c r="GM121" s="36" t="str">
        <f t="shared" si="425"/>
        <v/>
      </c>
      <c r="GN121" s="29"/>
      <c r="GP121" s="14"/>
      <c r="GQ121" s="39"/>
      <c r="GR121" s="5" t="str">
        <f t="shared" si="451"/>
        <v/>
      </c>
      <c r="GS121" s="5"/>
      <c r="GT121" s="5"/>
      <c r="GU121" s="5"/>
      <c r="GV121" s="5"/>
      <c r="GW121" s="5"/>
      <c r="GX121" s="5" t="str">
        <f t="shared" si="452"/>
        <v/>
      </c>
      <c r="GY121" s="5"/>
      <c r="GZ121" s="5"/>
      <c r="HA121" s="5"/>
      <c r="HB121" s="5" t="str">
        <f t="shared" si="426"/>
        <v/>
      </c>
      <c r="HC121" s="36" t="str">
        <f t="shared" si="427"/>
        <v/>
      </c>
      <c r="HD121" s="29"/>
      <c r="HF121" s="14"/>
      <c r="HG121" s="39"/>
      <c r="HH121" s="5" t="str">
        <f t="shared" si="453"/>
        <v/>
      </c>
      <c r="HI121" s="5"/>
      <c r="HJ121" s="29"/>
      <c r="HL121" s="14"/>
      <c r="HM121" s="39"/>
      <c r="HN121" s="5" t="str">
        <f t="shared" si="454"/>
        <v/>
      </c>
      <c r="HO121" s="5"/>
      <c r="HP121" s="29"/>
      <c r="HR121" s="14"/>
      <c r="HS121" s="39"/>
      <c r="HT121" s="5" t="str">
        <f t="shared" si="455"/>
        <v/>
      </c>
      <c r="HU121" s="5"/>
      <c r="HV121" s="29"/>
    </row>
    <row r="122" spans="1:230" ht="15" customHeight="1" x14ac:dyDescent="0.2">
      <c r="A122" s="54"/>
      <c r="B122" s="37"/>
      <c r="C122" s="5"/>
      <c r="D122" s="5" t="str">
        <f t="shared" si="456"/>
        <v/>
      </c>
      <c r="E122" s="5"/>
      <c r="F122" s="5" t="str">
        <f t="shared" si="457"/>
        <v/>
      </c>
      <c r="G122" s="5"/>
      <c r="H122" s="5" t="str">
        <f t="shared" si="357"/>
        <v/>
      </c>
      <c r="I122" s="35"/>
      <c r="J122" s="38" t="str">
        <f t="shared" si="458"/>
        <v/>
      </c>
      <c r="K122" s="39" t="str">
        <f t="shared" si="459"/>
        <v/>
      </c>
      <c r="L122" s="5" t="str">
        <f t="shared" si="460"/>
        <v/>
      </c>
      <c r="M122" s="36" t="str">
        <f t="shared" si="461"/>
        <v/>
      </c>
      <c r="N122" s="29"/>
      <c r="P122" s="54"/>
      <c r="Q122" s="5"/>
      <c r="R122" s="5" t="str">
        <f t="shared" si="462"/>
        <v/>
      </c>
      <c r="S122" s="5"/>
      <c r="T122" s="5" t="str">
        <f t="shared" si="463"/>
        <v/>
      </c>
      <c r="U122" s="5"/>
      <c r="V122" s="5" t="str">
        <f t="shared" si="464"/>
        <v/>
      </c>
      <c r="W122" s="35"/>
      <c r="X122" s="3" t="str">
        <f t="shared" si="431"/>
        <v/>
      </c>
      <c r="Y122" s="39" t="str">
        <f t="shared" si="432"/>
        <v/>
      </c>
      <c r="Z122" s="5" t="str">
        <f t="shared" si="465"/>
        <v/>
      </c>
      <c r="AA122" s="36" t="str">
        <f t="shared" si="466"/>
        <v/>
      </c>
      <c r="AB122" s="29"/>
      <c r="AD122" s="54"/>
      <c r="AE122" s="5"/>
      <c r="AF122" s="5" t="str">
        <f t="shared" si="467"/>
        <v/>
      </c>
      <c r="AG122" s="5"/>
      <c r="AH122" s="5" t="str">
        <f t="shared" si="468"/>
        <v/>
      </c>
      <c r="AI122" s="5"/>
      <c r="AJ122" s="5" t="str">
        <f t="shared" si="469"/>
        <v/>
      </c>
      <c r="AK122" s="35"/>
      <c r="AL122" s="38" t="str">
        <f t="shared" si="429"/>
        <v/>
      </c>
      <c r="AM122" s="39" t="str">
        <f t="shared" si="430"/>
        <v/>
      </c>
      <c r="AN122" s="5" t="str">
        <f t="shared" si="470"/>
        <v/>
      </c>
      <c r="AO122" s="36" t="str">
        <f t="shared" si="471"/>
        <v/>
      </c>
      <c r="AP122" s="29"/>
      <c r="AR122" s="54"/>
      <c r="AS122" s="5"/>
      <c r="AT122" s="5" t="str">
        <f t="shared" si="472"/>
        <v/>
      </c>
      <c r="AU122" s="5"/>
      <c r="AV122" s="5" t="str">
        <f t="shared" si="473"/>
        <v/>
      </c>
      <c r="AW122" s="5"/>
      <c r="AX122" s="5" t="str">
        <f t="shared" si="474"/>
        <v/>
      </c>
      <c r="AY122" s="35"/>
      <c r="AZ122" s="38" t="str">
        <f t="shared" si="433"/>
        <v/>
      </c>
      <c r="BA122" s="39" t="str">
        <f t="shared" si="434"/>
        <v/>
      </c>
      <c r="BB122" s="5" t="str">
        <f t="shared" si="475"/>
        <v/>
      </c>
      <c r="BC122" s="36" t="str">
        <f t="shared" si="476"/>
        <v/>
      </c>
      <c r="BD122" s="29"/>
      <c r="BE122" s="32"/>
      <c r="BF122" s="25"/>
      <c r="BG122" s="5"/>
      <c r="BH122" s="5" t="str">
        <f t="shared" si="477"/>
        <v/>
      </c>
      <c r="BI122" s="5"/>
      <c r="BJ122" s="5" t="str">
        <f t="shared" si="478"/>
        <v/>
      </c>
      <c r="BK122" s="5"/>
      <c r="BL122" s="5" t="str">
        <f t="shared" si="479"/>
        <v/>
      </c>
      <c r="BM122" s="5"/>
      <c r="BN122" s="3" t="str">
        <f>IF(BG121="","",BN118)</f>
        <v/>
      </c>
      <c r="BO122" s="39" t="str">
        <f>IF(BG121="","",BO118)</f>
        <v/>
      </c>
      <c r="BP122" s="4" t="str">
        <f t="shared" si="480"/>
        <v/>
      </c>
      <c r="BQ122" s="36" t="str">
        <f t="shared" si="386"/>
        <v/>
      </c>
      <c r="BR122" s="29"/>
      <c r="BT122" s="25"/>
      <c r="BU122" s="5"/>
      <c r="BV122" s="5" t="str">
        <f t="shared" si="481"/>
        <v/>
      </c>
      <c r="BW122" s="5"/>
      <c r="BX122" s="5" t="str">
        <f t="shared" si="482"/>
        <v/>
      </c>
      <c r="BY122" s="5"/>
      <c r="BZ122" s="5" t="str">
        <f t="shared" si="389"/>
        <v/>
      </c>
      <c r="CA122" s="4"/>
      <c r="CB122" s="3" t="str">
        <f>IF(BU122="","",CB118)</f>
        <v/>
      </c>
      <c r="CC122" s="39" t="str">
        <f>IF(BU121="","",CC118)</f>
        <v/>
      </c>
      <c r="CD122" s="4" t="str">
        <f t="shared" si="392"/>
        <v/>
      </c>
      <c r="CE122" s="36" t="str">
        <f t="shared" si="393"/>
        <v/>
      </c>
      <c r="CF122" s="29"/>
      <c r="CH122" s="14"/>
      <c r="CI122" s="39"/>
      <c r="CJ122" s="5" t="str">
        <f t="shared" si="435"/>
        <v/>
      </c>
      <c r="CK122" s="5"/>
      <c r="CL122" s="5"/>
      <c r="CM122" s="5"/>
      <c r="CN122" s="5" t="str">
        <f t="shared" si="436"/>
        <v/>
      </c>
      <c r="CO122" s="5"/>
      <c r="CP122" s="5"/>
      <c r="CQ122" s="5"/>
      <c r="CR122" s="5" t="str">
        <f t="shared" si="410"/>
        <v/>
      </c>
      <c r="CS122" s="36" t="str">
        <f t="shared" si="411"/>
        <v/>
      </c>
      <c r="CT122" s="29"/>
      <c r="CV122" s="14"/>
      <c r="CW122" s="39"/>
      <c r="CX122" s="5" t="str">
        <f t="shared" si="437"/>
        <v/>
      </c>
      <c r="CY122" s="5"/>
      <c r="CZ122" s="5"/>
      <c r="DA122" s="5"/>
      <c r="DB122" s="5" t="str">
        <f t="shared" si="438"/>
        <v/>
      </c>
      <c r="DC122" s="5"/>
      <c r="DD122" s="5"/>
      <c r="DE122" s="5"/>
      <c r="DF122" s="5" t="str">
        <f t="shared" si="412"/>
        <v/>
      </c>
      <c r="DG122" s="36" t="str">
        <f t="shared" si="413"/>
        <v/>
      </c>
      <c r="DH122" s="29"/>
      <c r="DJ122" s="14"/>
      <c r="DK122" s="39"/>
      <c r="DL122" s="5" t="str">
        <f t="shared" si="439"/>
        <v/>
      </c>
      <c r="DM122" s="5"/>
      <c r="DN122" s="5"/>
      <c r="DO122" s="5"/>
      <c r="DP122" s="5" t="str">
        <f t="shared" si="440"/>
        <v/>
      </c>
      <c r="DQ122" s="5"/>
      <c r="DR122" s="5"/>
      <c r="DS122" s="5"/>
      <c r="DT122" s="5" t="str">
        <f t="shared" si="414"/>
        <v/>
      </c>
      <c r="DU122" s="36" t="str">
        <f t="shared" si="415"/>
        <v/>
      </c>
      <c r="DV122" s="29"/>
      <c r="DX122" s="14"/>
      <c r="DY122" s="39"/>
      <c r="DZ122" s="5" t="str">
        <f t="shared" si="441"/>
        <v/>
      </c>
      <c r="EA122" s="5"/>
      <c r="EB122" s="5"/>
      <c r="EC122" s="5"/>
      <c r="ED122" s="5" t="str">
        <f t="shared" si="442"/>
        <v/>
      </c>
      <c r="EE122" s="5"/>
      <c r="EF122" s="5"/>
      <c r="EG122" s="5"/>
      <c r="EH122" s="5" t="str">
        <f t="shared" si="416"/>
        <v/>
      </c>
      <c r="EI122" s="36" t="str">
        <f t="shared" si="417"/>
        <v/>
      </c>
      <c r="EJ122" s="29"/>
      <c r="EL122" s="14"/>
      <c r="EM122" s="39"/>
      <c r="EN122" s="5" t="str">
        <f t="shared" si="443"/>
        <v/>
      </c>
      <c r="EO122" s="5"/>
      <c r="EP122" s="5"/>
      <c r="EQ122" s="5"/>
      <c r="ER122" s="5" t="str">
        <f t="shared" si="444"/>
        <v/>
      </c>
      <c r="ES122" s="5"/>
      <c r="ET122" s="5"/>
      <c r="EU122" s="5"/>
      <c r="EV122" s="5" t="str">
        <f t="shared" si="418"/>
        <v/>
      </c>
      <c r="EW122" s="36" t="str">
        <f t="shared" si="419"/>
        <v/>
      </c>
      <c r="EX122" s="29"/>
      <c r="EZ122" s="14"/>
      <c r="FA122" s="39"/>
      <c r="FB122" s="5" t="str">
        <f t="shared" si="445"/>
        <v/>
      </c>
      <c r="FC122" s="5"/>
      <c r="FD122" s="5"/>
      <c r="FE122" s="5"/>
      <c r="FF122" s="5" t="str">
        <f t="shared" si="446"/>
        <v/>
      </c>
      <c r="FG122" s="5"/>
      <c r="FH122" s="5"/>
      <c r="FI122" s="5"/>
      <c r="FJ122" s="5" t="str">
        <f t="shared" si="420"/>
        <v/>
      </c>
      <c r="FK122" s="36" t="str">
        <f t="shared" si="421"/>
        <v/>
      </c>
      <c r="FL122" s="29"/>
      <c r="FN122" s="14"/>
      <c r="FO122" s="39"/>
      <c r="FP122" s="5" t="str">
        <f t="shared" si="447"/>
        <v/>
      </c>
      <c r="FQ122" s="5"/>
      <c r="FR122" s="5"/>
      <c r="FS122" s="5"/>
      <c r="FT122" s="5" t="str">
        <f t="shared" si="448"/>
        <v/>
      </c>
      <c r="FU122" s="5"/>
      <c r="FV122" s="5"/>
      <c r="FW122" s="5"/>
      <c r="FX122" s="5" t="str">
        <f t="shared" si="422"/>
        <v/>
      </c>
      <c r="FY122" s="36" t="str">
        <f t="shared" si="423"/>
        <v/>
      </c>
      <c r="FZ122" s="29"/>
      <c r="GB122" s="14"/>
      <c r="GC122" s="39"/>
      <c r="GD122" s="5" t="str">
        <f t="shared" si="449"/>
        <v/>
      </c>
      <c r="GE122" s="5"/>
      <c r="GF122" s="5"/>
      <c r="GG122" s="5"/>
      <c r="GH122" s="5" t="str">
        <f t="shared" si="450"/>
        <v/>
      </c>
      <c r="GI122" s="5"/>
      <c r="GJ122" s="5"/>
      <c r="GK122" s="5"/>
      <c r="GL122" s="5" t="str">
        <f t="shared" si="424"/>
        <v/>
      </c>
      <c r="GM122" s="36" t="str">
        <f t="shared" si="425"/>
        <v/>
      </c>
      <c r="GN122" s="29"/>
      <c r="GP122" s="14"/>
      <c r="GQ122" s="39"/>
      <c r="GR122" s="5" t="str">
        <f t="shared" si="451"/>
        <v/>
      </c>
      <c r="GS122" s="5"/>
      <c r="GT122" s="5"/>
      <c r="GU122" s="5"/>
      <c r="GV122" s="5"/>
      <c r="GW122" s="5"/>
      <c r="GX122" s="5" t="str">
        <f t="shared" si="452"/>
        <v/>
      </c>
      <c r="GY122" s="5"/>
      <c r="GZ122" s="5"/>
      <c r="HA122" s="5"/>
      <c r="HB122" s="5" t="str">
        <f t="shared" si="426"/>
        <v/>
      </c>
      <c r="HC122" s="36" t="str">
        <f t="shared" si="427"/>
        <v/>
      </c>
      <c r="HD122" s="29"/>
      <c r="HF122" s="14"/>
      <c r="HG122" s="39"/>
      <c r="HH122" s="5" t="str">
        <f t="shared" si="453"/>
        <v/>
      </c>
      <c r="HI122" s="5"/>
      <c r="HJ122" s="29"/>
      <c r="HL122" s="14"/>
      <c r="HM122" s="39"/>
      <c r="HN122" s="5" t="str">
        <f t="shared" si="454"/>
        <v/>
      </c>
      <c r="HO122" s="5"/>
      <c r="HP122" s="29"/>
      <c r="HR122" s="14"/>
      <c r="HS122" s="39"/>
      <c r="HT122" s="5" t="str">
        <f t="shared" si="455"/>
        <v/>
      </c>
      <c r="HU122" s="5"/>
      <c r="HV122" s="29"/>
    </row>
    <row r="123" spans="1:230" ht="15" customHeight="1" x14ac:dyDescent="0.2">
      <c r="A123" s="54"/>
      <c r="B123" s="37"/>
      <c r="C123" s="58"/>
      <c r="D123" s="5" t="str">
        <f t="shared" si="456"/>
        <v/>
      </c>
      <c r="E123" s="5"/>
      <c r="F123" s="5" t="str">
        <f t="shared" si="457"/>
        <v/>
      </c>
      <c r="G123" s="58"/>
      <c r="H123" s="5" t="str">
        <f t="shared" si="357"/>
        <v/>
      </c>
      <c r="I123" s="59"/>
      <c r="J123" s="38" t="str">
        <f t="shared" si="458"/>
        <v/>
      </c>
      <c r="K123" s="5" t="str">
        <f t="shared" si="459"/>
        <v/>
      </c>
      <c r="L123" s="5" t="str">
        <f t="shared" si="460"/>
        <v/>
      </c>
      <c r="M123" s="36" t="str">
        <f t="shared" si="461"/>
        <v/>
      </c>
      <c r="N123" s="29"/>
      <c r="P123" s="25"/>
      <c r="Q123" s="58"/>
      <c r="R123" s="5" t="str">
        <f t="shared" si="462"/>
        <v/>
      </c>
      <c r="S123" s="5"/>
      <c r="T123" s="5" t="str">
        <f t="shared" si="463"/>
        <v/>
      </c>
      <c r="U123" s="58"/>
      <c r="V123" s="5" t="str">
        <f t="shared" si="464"/>
        <v/>
      </c>
      <c r="W123" s="35"/>
      <c r="X123" s="3" t="str">
        <f t="shared" si="431"/>
        <v/>
      </c>
      <c r="Y123" s="5" t="str">
        <f t="shared" si="432"/>
        <v/>
      </c>
      <c r="Z123" s="5" t="str">
        <f t="shared" si="465"/>
        <v/>
      </c>
      <c r="AA123" s="36" t="str">
        <f t="shared" si="466"/>
        <v/>
      </c>
      <c r="AB123" s="29"/>
      <c r="AD123" s="25"/>
      <c r="AE123" s="58"/>
      <c r="AF123" s="5" t="str">
        <f t="shared" si="467"/>
        <v/>
      </c>
      <c r="AG123" s="5"/>
      <c r="AH123" s="5" t="str">
        <f t="shared" si="468"/>
        <v/>
      </c>
      <c r="AI123" s="58"/>
      <c r="AJ123" s="5" t="str">
        <f t="shared" si="469"/>
        <v/>
      </c>
      <c r="AK123" s="35"/>
      <c r="AL123" s="38" t="str">
        <f t="shared" si="429"/>
        <v/>
      </c>
      <c r="AM123" s="5" t="str">
        <f t="shared" si="430"/>
        <v/>
      </c>
      <c r="AN123" s="5" t="str">
        <f t="shared" si="470"/>
        <v/>
      </c>
      <c r="AO123" s="36" t="str">
        <f t="shared" si="471"/>
        <v/>
      </c>
      <c r="AP123" s="29"/>
      <c r="AR123" s="25"/>
      <c r="AS123" s="58"/>
      <c r="AT123" s="5" t="str">
        <f t="shared" si="472"/>
        <v/>
      </c>
      <c r="AU123" s="5"/>
      <c r="AV123" s="5" t="str">
        <f t="shared" si="473"/>
        <v/>
      </c>
      <c r="AW123" s="58"/>
      <c r="AX123" s="5" t="str">
        <f t="shared" si="474"/>
        <v/>
      </c>
      <c r="AY123" s="35"/>
      <c r="AZ123" s="38" t="str">
        <f t="shared" si="433"/>
        <v/>
      </c>
      <c r="BA123" s="5" t="str">
        <f t="shared" si="434"/>
        <v/>
      </c>
      <c r="BB123" s="5" t="str">
        <f t="shared" si="475"/>
        <v/>
      </c>
      <c r="BC123" s="36" t="str">
        <f t="shared" si="476"/>
        <v/>
      </c>
      <c r="BD123" s="29"/>
      <c r="BE123" s="32"/>
      <c r="BF123" s="25"/>
      <c r="BG123" s="5"/>
      <c r="BH123" s="5" t="str">
        <f t="shared" si="477"/>
        <v/>
      </c>
      <c r="BI123" s="5"/>
      <c r="BJ123" s="5" t="str">
        <f t="shared" si="478"/>
        <v/>
      </c>
      <c r="BK123" s="5"/>
      <c r="BL123" s="5" t="str">
        <f t="shared" si="479"/>
        <v/>
      </c>
      <c r="BM123" s="5"/>
      <c r="BN123" s="3" t="str">
        <f>IF(BG121="","",BN119)</f>
        <v/>
      </c>
      <c r="BO123" s="39" t="str">
        <f>IF(BG121="","",BO119)</f>
        <v/>
      </c>
      <c r="BP123" s="5" t="str">
        <f t="shared" si="480"/>
        <v/>
      </c>
      <c r="BQ123" s="36" t="str">
        <f>IF(BL123="","",BP123/(BH122*100))</f>
        <v/>
      </c>
      <c r="BR123" s="29"/>
      <c r="BT123" s="25"/>
      <c r="BU123" s="5"/>
      <c r="BV123" s="5" t="str">
        <f t="shared" si="481"/>
        <v/>
      </c>
      <c r="BW123" s="5"/>
      <c r="BX123" s="5" t="str">
        <f t="shared" si="482"/>
        <v/>
      </c>
      <c r="BY123" s="5"/>
      <c r="BZ123" s="5"/>
      <c r="CA123" s="57"/>
      <c r="CB123" s="3"/>
      <c r="CC123" s="39"/>
      <c r="CD123" s="5"/>
      <c r="CE123" s="36"/>
      <c r="CF123" s="29"/>
      <c r="CH123" s="14"/>
      <c r="CI123" s="39"/>
      <c r="CJ123" s="5" t="str">
        <f t="shared" si="435"/>
        <v/>
      </c>
      <c r="CK123" s="5"/>
      <c r="CL123" s="5"/>
      <c r="CM123" s="5"/>
      <c r="CN123" s="5" t="str">
        <f t="shared" si="436"/>
        <v/>
      </c>
      <c r="CO123" s="5"/>
      <c r="CP123" s="5"/>
      <c r="CQ123" s="5"/>
      <c r="CR123" s="5" t="str">
        <f t="shared" si="410"/>
        <v/>
      </c>
      <c r="CS123" s="36" t="str">
        <f t="shared" si="411"/>
        <v/>
      </c>
      <c r="CT123" s="29"/>
      <c r="CV123" s="14"/>
      <c r="CW123" s="39"/>
      <c r="CX123" s="5" t="str">
        <f t="shared" si="437"/>
        <v/>
      </c>
      <c r="CY123" s="5"/>
      <c r="CZ123" s="5"/>
      <c r="DA123" s="5"/>
      <c r="DB123" s="5" t="str">
        <f t="shared" si="438"/>
        <v/>
      </c>
      <c r="DC123" s="5"/>
      <c r="DD123" s="5"/>
      <c r="DE123" s="5"/>
      <c r="DF123" s="5" t="str">
        <f t="shared" si="412"/>
        <v/>
      </c>
      <c r="DG123" s="36" t="str">
        <f t="shared" si="413"/>
        <v/>
      </c>
      <c r="DH123" s="29"/>
      <c r="DJ123" s="14"/>
      <c r="DK123" s="39"/>
      <c r="DL123" s="5" t="str">
        <f t="shared" si="439"/>
        <v/>
      </c>
      <c r="DM123" s="5"/>
      <c r="DN123" s="5"/>
      <c r="DO123" s="5"/>
      <c r="DP123" s="5" t="str">
        <f t="shared" si="440"/>
        <v/>
      </c>
      <c r="DQ123" s="5"/>
      <c r="DR123" s="5"/>
      <c r="DS123" s="5"/>
      <c r="DT123" s="5" t="str">
        <f t="shared" si="414"/>
        <v/>
      </c>
      <c r="DU123" s="36" t="str">
        <f t="shared" si="415"/>
        <v/>
      </c>
      <c r="DV123" s="29"/>
      <c r="DX123" s="14"/>
      <c r="DY123" s="39"/>
      <c r="DZ123" s="5" t="str">
        <f t="shared" si="441"/>
        <v/>
      </c>
      <c r="EA123" s="5"/>
      <c r="EB123" s="5"/>
      <c r="EC123" s="5"/>
      <c r="ED123" s="5" t="str">
        <f t="shared" si="442"/>
        <v/>
      </c>
      <c r="EE123" s="5"/>
      <c r="EF123" s="5"/>
      <c r="EG123" s="5"/>
      <c r="EH123" s="5" t="str">
        <f t="shared" si="416"/>
        <v/>
      </c>
      <c r="EI123" s="36" t="str">
        <f t="shared" si="417"/>
        <v/>
      </c>
      <c r="EJ123" s="29"/>
      <c r="EL123" s="14"/>
      <c r="EM123" s="39"/>
      <c r="EN123" s="5" t="str">
        <f t="shared" si="443"/>
        <v/>
      </c>
      <c r="EO123" s="5"/>
      <c r="EP123" s="5"/>
      <c r="EQ123" s="5"/>
      <c r="ER123" s="5" t="str">
        <f t="shared" si="444"/>
        <v/>
      </c>
      <c r="ES123" s="5"/>
      <c r="ET123" s="5"/>
      <c r="EU123" s="5"/>
      <c r="EV123" s="5" t="str">
        <f t="shared" si="418"/>
        <v/>
      </c>
      <c r="EW123" s="36" t="str">
        <f t="shared" si="419"/>
        <v/>
      </c>
      <c r="EX123" s="29"/>
      <c r="EZ123" s="14"/>
      <c r="FA123" s="39"/>
      <c r="FB123" s="5" t="str">
        <f t="shared" si="445"/>
        <v/>
      </c>
      <c r="FC123" s="5"/>
      <c r="FD123" s="5"/>
      <c r="FE123" s="5"/>
      <c r="FF123" s="5" t="str">
        <f t="shared" si="446"/>
        <v/>
      </c>
      <c r="FG123" s="5"/>
      <c r="FH123" s="5"/>
      <c r="FI123" s="5"/>
      <c r="FJ123" s="5" t="str">
        <f t="shared" si="420"/>
        <v/>
      </c>
      <c r="FK123" s="36" t="str">
        <f t="shared" si="421"/>
        <v/>
      </c>
      <c r="FL123" s="29"/>
      <c r="FN123" s="14"/>
      <c r="FO123" s="39"/>
      <c r="FP123" s="5" t="str">
        <f t="shared" si="447"/>
        <v/>
      </c>
      <c r="FQ123" s="5"/>
      <c r="FR123" s="5"/>
      <c r="FS123" s="5"/>
      <c r="FT123" s="5" t="str">
        <f t="shared" si="448"/>
        <v/>
      </c>
      <c r="FU123" s="5"/>
      <c r="FV123" s="5"/>
      <c r="FW123" s="5"/>
      <c r="FX123" s="5" t="str">
        <f t="shared" si="422"/>
        <v/>
      </c>
      <c r="FY123" s="36" t="str">
        <f t="shared" si="423"/>
        <v/>
      </c>
      <c r="FZ123" s="29"/>
      <c r="GB123" s="14"/>
      <c r="GC123" s="39"/>
      <c r="GD123" s="5" t="str">
        <f t="shared" si="449"/>
        <v/>
      </c>
      <c r="GE123" s="5"/>
      <c r="GF123" s="5"/>
      <c r="GG123" s="5"/>
      <c r="GH123" s="5" t="str">
        <f t="shared" si="450"/>
        <v/>
      </c>
      <c r="GI123" s="5"/>
      <c r="GJ123" s="5"/>
      <c r="GK123" s="5"/>
      <c r="GL123" s="5" t="str">
        <f t="shared" si="424"/>
        <v/>
      </c>
      <c r="GM123" s="36" t="str">
        <f t="shared" si="425"/>
        <v/>
      </c>
      <c r="GN123" s="29"/>
      <c r="GP123" s="14"/>
      <c r="GQ123" s="39"/>
      <c r="GR123" s="5" t="str">
        <f t="shared" si="451"/>
        <v/>
      </c>
      <c r="GS123" s="5"/>
      <c r="GT123" s="5"/>
      <c r="GU123" s="5"/>
      <c r="GV123" s="5"/>
      <c r="GW123" s="5"/>
      <c r="GX123" s="5" t="str">
        <f t="shared" si="452"/>
        <v/>
      </c>
      <c r="GY123" s="5"/>
      <c r="GZ123" s="5"/>
      <c r="HA123" s="5"/>
      <c r="HB123" s="5" t="str">
        <f t="shared" si="426"/>
        <v/>
      </c>
      <c r="HC123" s="36" t="str">
        <f t="shared" si="427"/>
        <v/>
      </c>
      <c r="HD123" s="29"/>
      <c r="HF123" s="14"/>
      <c r="HG123" s="39"/>
      <c r="HH123" s="5" t="str">
        <f t="shared" si="453"/>
        <v/>
      </c>
      <c r="HI123" s="5"/>
      <c r="HJ123" s="29"/>
      <c r="HL123" s="14"/>
      <c r="HM123" s="39"/>
      <c r="HN123" s="5" t="str">
        <f t="shared" si="454"/>
        <v/>
      </c>
      <c r="HO123" s="5"/>
      <c r="HP123" s="29"/>
      <c r="HR123" s="14"/>
      <c r="HS123" s="39"/>
      <c r="HT123" s="5" t="str">
        <f t="shared" si="455"/>
        <v/>
      </c>
      <c r="HU123" s="5"/>
      <c r="HV123" s="29"/>
    </row>
    <row r="124" spans="1:230" ht="15" customHeight="1" thickBot="1" x14ac:dyDescent="0.25">
      <c r="A124" s="60"/>
      <c r="B124" s="73"/>
      <c r="C124" s="44"/>
      <c r="D124" s="61" t="str">
        <f t="shared" si="456"/>
        <v/>
      </c>
      <c r="E124" s="44"/>
      <c r="F124" s="44" t="str">
        <f t="shared" si="457"/>
        <v/>
      </c>
      <c r="G124" s="76"/>
      <c r="H124" s="77" t="str">
        <f t="shared" si="357"/>
        <v/>
      </c>
      <c r="I124" s="78"/>
      <c r="J124" s="79" t="str">
        <f t="shared" si="458"/>
        <v/>
      </c>
      <c r="K124" s="61" t="str">
        <f t="shared" si="459"/>
        <v/>
      </c>
      <c r="L124" s="44" t="str">
        <f t="shared" si="460"/>
        <v/>
      </c>
      <c r="M124" s="46" t="str">
        <f t="shared" si="461"/>
        <v/>
      </c>
      <c r="N124" s="29"/>
      <c r="P124" s="41"/>
      <c r="Q124" s="44"/>
      <c r="R124" s="61" t="str">
        <f t="shared" si="462"/>
        <v/>
      </c>
      <c r="S124" s="44"/>
      <c r="T124" s="44" t="str">
        <f t="shared" si="463"/>
        <v/>
      </c>
      <c r="U124" s="76"/>
      <c r="V124" s="44" t="str">
        <f t="shared" si="464"/>
        <v/>
      </c>
      <c r="W124" s="78"/>
      <c r="X124" s="45" t="str">
        <f t="shared" si="431"/>
        <v/>
      </c>
      <c r="Y124" s="61" t="str">
        <f t="shared" si="432"/>
        <v/>
      </c>
      <c r="Z124" s="44" t="str">
        <f t="shared" si="465"/>
        <v/>
      </c>
      <c r="AA124" s="46" t="str">
        <f t="shared" si="466"/>
        <v/>
      </c>
      <c r="AB124" s="29"/>
      <c r="AD124" s="41"/>
      <c r="AE124" s="44"/>
      <c r="AF124" s="61" t="str">
        <f t="shared" si="467"/>
        <v/>
      </c>
      <c r="AG124" s="44"/>
      <c r="AH124" s="44" t="str">
        <f t="shared" si="468"/>
        <v/>
      </c>
      <c r="AI124" s="76"/>
      <c r="AJ124" s="44" t="str">
        <f t="shared" si="469"/>
        <v/>
      </c>
      <c r="AK124" s="78"/>
      <c r="AL124" s="47" t="str">
        <f t="shared" si="429"/>
        <v/>
      </c>
      <c r="AM124" s="61" t="str">
        <f t="shared" si="430"/>
        <v/>
      </c>
      <c r="AN124" s="44" t="str">
        <f t="shared" si="470"/>
        <v/>
      </c>
      <c r="AO124" s="46" t="str">
        <f t="shared" si="471"/>
        <v/>
      </c>
      <c r="AP124" s="29"/>
      <c r="AR124" s="41"/>
      <c r="AS124" s="44"/>
      <c r="AT124" s="61" t="str">
        <f t="shared" si="472"/>
        <v/>
      </c>
      <c r="AU124" s="44"/>
      <c r="AV124" s="44" t="str">
        <f t="shared" si="473"/>
        <v/>
      </c>
      <c r="AW124" s="76"/>
      <c r="AX124" s="44" t="str">
        <f t="shared" si="474"/>
        <v/>
      </c>
      <c r="AY124" s="78"/>
      <c r="AZ124" s="47" t="str">
        <f t="shared" si="433"/>
        <v/>
      </c>
      <c r="BA124" s="61" t="str">
        <f t="shared" si="434"/>
        <v/>
      </c>
      <c r="BB124" s="44" t="str">
        <f t="shared" si="475"/>
        <v/>
      </c>
      <c r="BC124" s="46" t="str">
        <f t="shared" si="476"/>
        <v/>
      </c>
      <c r="BD124" s="29"/>
      <c r="BE124" s="32"/>
      <c r="BF124" s="41"/>
      <c r="BG124" s="44"/>
      <c r="BH124" s="44" t="str">
        <f t="shared" si="477"/>
        <v/>
      </c>
      <c r="BI124" s="44"/>
      <c r="BJ124" s="44" t="str">
        <f t="shared" si="478"/>
        <v/>
      </c>
      <c r="BK124" s="44"/>
      <c r="BL124" s="44" t="str">
        <f t="shared" si="479"/>
        <v/>
      </c>
      <c r="BM124" s="44"/>
      <c r="BN124" s="45" t="str">
        <f>IF(BG121="","",BN120)</f>
        <v/>
      </c>
      <c r="BO124" s="61" t="str">
        <f>IF(BG121="","",BO120)</f>
        <v/>
      </c>
      <c r="BP124" s="44" t="str">
        <f t="shared" si="480"/>
        <v/>
      </c>
      <c r="BQ124" s="46" t="str">
        <f>IF(BL124="","",BP124/(BH122*100))</f>
        <v/>
      </c>
      <c r="BR124" s="29"/>
      <c r="BT124" s="41"/>
      <c r="BU124" s="44"/>
      <c r="BV124" s="44" t="str">
        <f t="shared" si="481"/>
        <v/>
      </c>
      <c r="BW124" s="44"/>
      <c r="BX124" s="44" t="str">
        <f t="shared" si="482"/>
        <v/>
      </c>
      <c r="BY124" s="44"/>
      <c r="BZ124" s="44"/>
      <c r="CA124" s="44"/>
      <c r="CB124" s="45"/>
      <c r="CC124" s="61"/>
      <c r="CD124" s="44"/>
      <c r="CE124" s="46"/>
      <c r="CF124" s="29"/>
      <c r="CH124" s="14"/>
      <c r="CI124" s="39"/>
      <c r="CJ124" s="5" t="str">
        <f t="shared" si="435"/>
        <v/>
      </c>
      <c r="CK124" s="5"/>
      <c r="CL124" s="5"/>
      <c r="CM124" s="5"/>
      <c r="CN124" s="5" t="str">
        <f t="shared" si="436"/>
        <v/>
      </c>
      <c r="CO124" s="5"/>
      <c r="CP124" s="5"/>
      <c r="CQ124" s="5"/>
      <c r="CR124" s="5" t="str">
        <f t="shared" si="410"/>
        <v/>
      </c>
      <c r="CS124" s="36" t="str">
        <f t="shared" si="411"/>
        <v/>
      </c>
      <c r="CT124" s="29"/>
      <c r="CV124" s="14"/>
      <c r="CW124" s="39"/>
      <c r="CX124" s="5" t="str">
        <f t="shared" si="437"/>
        <v/>
      </c>
      <c r="CY124" s="5"/>
      <c r="CZ124" s="5"/>
      <c r="DA124" s="5"/>
      <c r="DB124" s="5" t="str">
        <f t="shared" si="438"/>
        <v/>
      </c>
      <c r="DC124" s="5"/>
      <c r="DD124" s="5"/>
      <c r="DE124" s="5"/>
      <c r="DF124" s="5" t="str">
        <f t="shared" si="412"/>
        <v/>
      </c>
      <c r="DG124" s="36" t="str">
        <f t="shared" si="413"/>
        <v/>
      </c>
      <c r="DH124" s="29"/>
      <c r="DJ124" s="14"/>
      <c r="DK124" s="39"/>
      <c r="DL124" s="5" t="str">
        <f t="shared" si="439"/>
        <v/>
      </c>
      <c r="DM124" s="5"/>
      <c r="DN124" s="5"/>
      <c r="DO124" s="5"/>
      <c r="DP124" s="5" t="str">
        <f t="shared" si="440"/>
        <v/>
      </c>
      <c r="DQ124" s="5"/>
      <c r="DR124" s="5"/>
      <c r="DS124" s="5"/>
      <c r="DT124" s="5" t="str">
        <f t="shared" si="414"/>
        <v/>
      </c>
      <c r="DU124" s="36" t="str">
        <f t="shared" si="415"/>
        <v/>
      </c>
      <c r="DV124" s="29"/>
      <c r="DX124" s="14"/>
      <c r="DY124" s="39"/>
      <c r="DZ124" s="5" t="str">
        <f t="shared" si="441"/>
        <v/>
      </c>
      <c r="EA124" s="5"/>
      <c r="EB124" s="5"/>
      <c r="EC124" s="5"/>
      <c r="ED124" s="5" t="str">
        <f t="shared" si="442"/>
        <v/>
      </c>
      <c r="EE124" s="5"/>
      <c r="EF124" s="5"/>
      <c r="EG124" s="5"/>
      <c r="EH124" s="5" t="str">
        <f t="shared" si="416"/>
        <v/>
      </c>
      <c r="EI124" s="36" t="str">
        <f t="shared" si="417"/>
        <v/>
      </c>
      <c r="EJ124" s="29"/>
      <c r="EL124" s="14"/>
      <c r="EM124" s="39"/>
      <c r="EN124" s="5" t="str">
        <f t="shared" si="443"/>
        <v/>
      </c>
      <c r="EO124" s="5"/>
      <c r="EP124" s="5"/>
      <c r="EQ124" s="5"/>
      <c r="ER124" s="5" t="str">
        <f t="shared" si="444"/>
        <v/>
      </c>
      <c r="ES124" s="5"/>
      <c r="ET124" s="5"/>
      <c r="EU124" s="5"/>
      <c r="EV124" s="5" t="str">
        <f t="shared" si="418"/>
        <v/>
      </c>
      <c r="EW124" s="36" t="str">
        <f t="shared" si="419"/>
        <v/>
      </c>
      <c r="EX124" s="29"/>
      <c r="EZ124" s="14"/>
      <c r="FA124" s="39"/>
      <c r="FB124" s="5" t="str">
        <f t="shared" si="445"/>
        <v/>
      </c>
      <c r="FC124" s="5"/>
      <c r="FD124" s="5"/>
      <c r="FE124" s="5"/>
      <c r="FF124" s="5" t="str">
        <f t="shared" si="446"/>
        <v/>
      </c>
      <c r="FG124" s="5"/>
      <c r="FH124" s="5"/>
      <c r="FI124" s="5"/>
      <c r="FJ124" s="5" t="str">
        <f t="shared" si="420"/>
        <v/>
      </c>
      <c r="FK124" s="36" t="str">
        <f t="shared" si="421"/>
        <v/>
      </c>
      <c r="FL124" s="29"/>
      <c r="FN124" s="14"/>
      <c r="FO124" s="39"/>
      <c r="FP124" s="5" t="str">
        <f t="shared" si="447"/>
        <v/>
      </c>
      <c r="FQ124" s="5"/>
      <c r="FR124" s="5"/>
      <c r="FS124" s="5"/>
      <c r="FT124" s="5" t="str">
        <f t="shared" si="448"/>
        <v/>
      </c>
      <c r="FU124" s="5"/>
      <c r="FV124" s="5"/>
      <c r="FW124" s="5"/>
      <c r="FX124" s="5" t="str">
        <f t="shared" si="422"/>
        <v/>
      </c>
      <c r="FY124" s="36" t="str">
        <f t="shared" si="423"/>
        <v/>
      </c>
      <c r="FZ124" s="29"/>
      <c r="GB124" s="14"/>
      <c r="GC124" s="39"/>
      <c r="GD124" s="5" t="str">
        <f t="shared" si="449"/>
        <v/>
      </c>
      <c r="GE124" s="5"/>
      <c r="GF124" s="5"/>
      <c r="GG124" s="5"/>
      <c r="GH124" s="5" t="str">
        <f t="shared" si="450"/>
        <v/>
      </c>
      <c r="GI124" s="5"/>
      <c r="GJ124" s="5"/>
      <c r="GK124" s="5"/>
      <c r="GL124" s="5" t="str">
        <f t="shared" si="424"/>
        <v/>
      </c>
      <c r="GM124" s="36" t="str">
        <f t="shared" si="425"/>
        <v/>
      </c>
      <c r="GN124" s="29"/>
      <c r="GP124" s="14"/>
      <c r="GQ124" s="39"/>
      <c r="GR124" s="5" t="str">
        <f t="shared" si="451"/>
        <v/>
      </c>
      <c r="GS124" s="5"/>
      <c r="GT124" s="5"/>
      <c r="GU124" s="5"/>
      <c r="GV124" s="5"/>
      <c r="GW124" s="5"/>
      <c r="GX124" s="5" t="str">
        <f t="shared" si="452"/>
        <v/>
      </c>
      <c r="GY124" s="5"/>
      <c r="GZ124" s="5"/>
      <c r="HA124" s="5"/>
      <c r="HB124" s="5" t="str">
        <f t="shared" si="426"/>
        <v/>
      </c>
      <c r="HC124" s="36" t="str">
        <f t="shared" si="427"/>
        <v/>
      </c>
      <c r="HD124" s="29"/>
      <c r="HF124" s="14"/>
      <c r="HG124" s="39"/>
      <c r="HH124" s="5" t="str">
        <f t="shared" si="453"/>
        <v/>
      </c>
      <c r="HI124" s="5"/>
      <c r="HJ124" s="29"/>
      <c r="HL124" s="14"/>
      <c r="HM124" s="39"/>
      <c r="HN124" s="5" t="str">
        <f t="shared" si="454"/>
        <v/>
      </c>
      <c r="HO124" s="5"/>
      <c r="HP124" s="29"/>
      <c r="HR124" s="14"/>
      <c r="HS124" s="39"/>
      <c r="HT124" s="5" t="str">
        <f t="shared" si="455"/>
        <v/>
      </c>
      <c r="HU124" s="5"/>
      <c r="HV124" s="29"/>
    </row>
    <row r="125" spans="1:230" ht="15" customHeight="1" thickTop="1" x14ac:dyDescent="0.2">
      <c r="A125" s="49"/>
      <c r="B125" s="26">
        <f>SUM(D125:D128)+SUM(R125:R128)+SUM(AF125:AF128)+SUM(AT125:AT128)+SUM(CJ119,DL119,DZ119,EN119,FB119,FP119,GD119,GR119,HH119,HN119,HT119)+SUM(BH125:BH126)+SUM(BV125:BV126)</f>
        <v>0</v>
      </c>
      <c r="C125" s="4"/>
      <c r="D125" s="4" t="str">
        <f t="shared" si="456"/>
        <v/>
      </c>
      <c r="E125" s="4"/>
      <c r="F125" s="50" t="str">
        <f t="shared" si="457"/>
        <v/>
      </c>
      <c r="G125" s="4"/>
      <c r="H125" s="4" t="str">
        <f t="shared" si="357"/>
        <v/>
      </c>
      <c r="I125" s="4"/>
      <c r="J125" s="2" t="str">
        <f t="shared" si="458"/>
        <v/>
      </c>
      <c r="K125" s="27" t="str">
        <f t="shared" si="459"/>
        <v/>
      </c>
      <c r="L125" s="50" t="str">
        <f t="shared" si="460"/>
        <v/>
      </c>
      <c r="M125" s="52" t="str">
        <f t="shared" si="461"/>
        <v/>
      </c>
      <c r="N125" s="29"/>
      <c r="P125" s="80" t="str">
        <f>IF($A$421="","",$A$421)</f>
        <v/>
      </c>
      <c r="Q125" s="4"/>
      <c r="R125" s="4" t="str">
        <f t="shared" si="462"/>
        <v/>
      </c>
      <c r="S125" s="4"/>
      <c r="T125" s="50" t="str">
        <f t="shared" si="463"/>
        <v/>
      </c>
      <c r="U125" s="4"/>
      <c r="V125" s="4" t="str">
        <f t="shared" si="464"/>
        <v/>
      </c>
      <c r="W125" s="4"/>
      <c r="X125" s="2" t="str">
        <f t="shared" si="431"/>
        <v/>
      </c>
      <c r="Y125" s="27" t="str">
        <f t="shared" si="432"/>
        <v/>
      </c>
      <c r="Z125" s="50" t="str">
        <f t="shared" si="465"/>
        <v/>
      </c>
      <c r="AA125" s="52" t="str">
        <f t="shared" si="466"/>
        <v/>
      </c>
      <c r="AB125" s="29"/>
      <c r="AD125" s="80" t="str">
        <f>IF($A$421="","",$A$421)</f>
        <v/>
      </c>
      <c r="AE125" s="4"/>
      <c r="AF125" s="4" t="str">
        <f t="shared" si="467"/>
        <v/>
      </c>
      <c r="AG125" s="4"/>
      <c r="AH125" s="50" t="str">
        <f t="shared" si="468"/>
        <v/>
      </c>
      <c r="AI125" s="4"/>
      <c r="AJ125" s="4" t="str">
        <f t="shared" si="469"/>
        <v/>
      </c>
      <c r="AK125" s="4"/>
      <c r="AL125" s="31" t="str">
        <f t="shared" si="429"/>
        <v/>
      </c>
      <c r="AM125" s="27" t="str">
        <f t="shared" si="430"/>
        <v/>
      </c>
      <c r="AN125" s="50" t="str">
        <f t="shared" si="470"/>
        <v/>
      </c>
      <c r="AO125" s="52" t="str">
        <f t="shared" si="471"/>
        <v/>
      </c>
      <c r="AP125" s="29"/>
      <c r="AR125" s="80" t="str">
        <f>IF($A$421="","",$A$421)</f>
        <v/>
      </c>
      <c r="AS125" s="4"/>
      <c r="AT125" s="4" t="str">
        <f t="shared" si="472"/>
        <v/>
      </c>
      <c r="AU125" s="4"/>
      <c r="AV125" s="50" t="str">
        <f t="shared" si="473"/>
        <v/>
      </c>
      <c r="AW125" s="4"/>
      <c r="AX125" s="4" t="str">
        <f t="shared" si="474"/>
        <v/>
      </c>
      <c r="AY125" s="4"/>
      <c r="AZ125" s="31" t="str">
        <f t="shared" si="433"/>
        <v/>
      </c>
      <c r="BA125" s="27" t="str">
        <f t="shared" si="434"/>
        <v/>
      </c>
      <c r="BB125" s="50" t="str">
        <f t="shared" si="475"/>
        <v/>
      </c>
      <c r="BC125" s="52" t="str">
        <f t="shared" si="476"/>
        <v/>
      </c>
      <c r="BD125" s="29"/>
      <c r="BE125" s="32"/>
      <c r="BF125" s="33"/>
      <c r="BG125" s="4"/>
      <c r="BH125" s="4" t="str">
        <f t="shared" si="477"/>
        <v/>
      </c>
      <c r="BI125" s="4"/>
      <c r="BJ125" s="50" t="str">
        <f t="shared" si="478"/>
        <v/>
      </c>
      <c r="BK125" s="4"/>
      <c r="BL125" s="4" t="str">
        <f t="shared" si="479"/>
        <v/>
      </c>
      <c r="BM125" s="4"/>
      <c r="BN125" s="2" t="str">
        <f>IF(BG125="","",BN121)</f>
        <v/>
      </c>
      <c r="BO125" s="27" t="str">
        <f>IF(BG125="","",BO121)</f>
        <v/>
      </c>
      <c r="BP125" s="5" t="str">
        <f t="shared" si="480"/>
        <v/>
      </c>
      <c r="BQ125" s="52" t="str">
        <f t="shared" ref="BQ125:BQ132" si="483">IF(BL125="","",BP125/(BH125*100))</f>
        <v/>
      </c>
      <c r="BR125" s="29"/>
      <c r="BT125" s="33"/>
      <c r="BU125" s="4"/>
      <c r="BV125" s="4" t="str">
        <f t="shared" si="481"/>
        <v/>
      </c>
      <c r="BW125" s="4"/>
      <c r="BX125" s="50" t="str">
        <f t="shared" si="482"/>
        <v/>
      </c>
      <c r="BY125" s="4"/>
      <c r="BZ125" s="4" t="str">
        <f>IF(BY125="","",BY121+CA121-BY125)</f>
        <v/>
      </c>
      <c r="CA125" s="4"/>
      <c r="CB125" s="2" t="str">
        <f>IF(BU125="","",CB121)</f>
        <v/>
      </c>
      <c r="CC125" s="27" t="str">
        <f>IF(BU125="","",CC121)</f>
        <v/>
      </c>
      <c r="CD125" s="5" t="str">
        <f>IF(BY125="","",BZ125*CC125)</f>
        <v/>
      </c>
      <c r="CE125" s="52" t="str">
        <f>IF(BZ125="","",CD125/(BV125*100))</f>
        <v/>
      </c>
      <c r="CF125" s="29"/>
      <c r="CH125" s="14"/>
      <c r="CI125" s="39"/>
      <c r="CJ125" s="5"/>
      <c r="CK125" s="5"/>
      <c r="CL125" s="5"/>
      <c r="CM125" s="5"/>
      <c r="CN125" s="5"/>
      <c r="CO125" s="5"/>
      <c r="CP125" s="5"/>
      <c r="CQ125" s="5"/>
      <c r="CR125" s="5"/>
      <c r="CS125" s="36"/>
      <c r="CT125" s="29"/>
      <c r="CV125" s="14"/>
      <c r="CW125" s="39"/>
      <c r="CX125" s="5"/>
      <c r="CY125" s="5"/>
      <c r="CZ125" s="5"/>
      <c r="DA125" s="5"/>
      <c r="DB125" s="5"/>
      <c r="DC125" s="5"/>
      <c r="DD125" s="5"/>
      <c r="DE125" s="5"/>
      <c r="DF125" s="5"/>
      <c r="DG125" s="36"/>
      <c r="DH125" s="29"/>
      <c r="DJ125" s="14"/>
      <c r="DK125" s="39"/>
      <c r="DL125" s="5"/>
      <c r="DM125" s="5"/>
      <c r="DN125" s="5"/>
      <c r="DO125" s="5"/>
      <c r="DP125" s="5"/>
      <c r="DQ125" s="5"/>
      <c r="DR125" s="5"/>
      <c r="DS125" s="5"/>
      <c r="DT125" s="5"/>
      <c r="DU125" s="36"/>
      <c r="DV125" s="29"/>
      <c r="DX125" s="14"/>
      <c r="DY125" s="39"/>
      <c r="DZ125" s="5"/>
      <c r="EA125" s="5"/>
      <c r="EB125" s="5"/>
      <c r="EC125" s="5"/>
      <c r="ED125" s="5"/>
      <c r="EE125" s="5"/>
      <c r="EF125" s="5"/>
      <c r="EG125" s="5"/>
      <c r="EH125" s="5"/>
      <c r="EI125" s="36"/>
      <c r="EJ125" s="29"/>
      <c r="EL125" s="14"/>
      <c r="EM125" s="39"/>
      <c r="EN125" s="5"/>
      <c r="EO125" s="5"/>
      <c r="EP125" s="5"/>
      <c r="EQ125" s="5"/>
      <c r="ER125" s="5"/>
      <c r="ES125" s="5"/>
      <c r="ET125" s="5"/>
      <c r="EU125" s="5"/>
      <c r="EV125" s="5"/>
      <c r="EW125" s="36"/>
      <c r="EX125" s="29"/>
      <c r="EZ125" s="14"/>
      <c r="FA125" s="39"/>
      <c r="FB125" s="5"/>
      <c r="FC125" s="5"/>
      <c r="FD125" s="5"/>
      <c r="FE125" s="5"/>
      <c r="FF125" s="5"/>
      <c r="FG125" s="5"/>
      <c r="FH125" s="5"/>
      <c r="FI125" s="5"/>
      <c r="FJ125" s="5"/>
      <c r="FK125" s="36"/>
      <c r="FL125" s="29"/>
      <c r="FN125" s="14"/>
      <c r="FO125" s="39"/>
      <c r="FP125" s="5"/>
      <c r="FQ125" s="5"/>
      <c r="FR125" s="5"/>
      <c r="FS125" s="5"/>
      <c r="FT125" s="5"/>
      <c r="FU125" s="5"/>
      <c r="FV125" s="5"/>
      <c r="FW125" s="5"/>
      <c r="FX125" s="5"/>
      <c r="FY125" s="36"/>
      <c r="FZ125" s="29"/>
      <c r="GB125" s="14"/>
      <c r="GC125" s="39"/>
      <c r="GD125" s="5"/>
      <c r="GE125" s="5"/>
      <c r="GF125" s="5"/>
      <c r="GG125" s="5"/>
      <c r="GH125" s="5"/>
      <c r="GI125" s="5"/>
      <c r="GJ125" s="5"/>
      <c r="GK125" s="5"/>
      <c r="GL125" s="5"/>
      <c r="GM125" s="36"/>
      <c r="GN125" s="29"/>
      <c r="GP125" s="14"/>
      <c r="GQ125" s="39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36"/>
      <c r="HD125" s="29"/>
      <c r="HF125" s="14"/>
      <c r="HG125" s="39"/>
      <c r="HH125" s="5"/>
      <c r="HI125" s="5"/>
      <c r="HJ125" s="29"/>
      <c r="HL125" s="14"/>
      <c r="HM125" s="39"/>
      <c r="HN125" s="5"/>
      <c r="HO125" s="5"/>
      <c r="HP125" s="29"/>
      <c r="HR125" s="14"/>
      <c r="HS125" s="39"/>
      <c r="HT125" s="5"/>
      <c r="HU125" s="5"/>
      <c r="HV125" s="29"/>
    </row>
    <row r="126" spans="1:230" ht="15" customHeight="1" x14ac:dyDescent="0.2">
      <c r="A126" s="54"/>
      <c r="B126" s="37"/>
      <c r="C126" s="5"/>
      <c r="D126" s="5" t="str">
        <f t="shared" si="456"/>
        <v/>
      </c>
      <c r="E126" s="5"/>
      <c r="F126" s="5" t="str">
        <f t="shared" si="457"/>
        <v/>
      </c>
      <c r="G126" s="5"/>
      <c r="H126" s="5" t="str">
        <f t="shared" si="357"/>
        <v/>
      </c>
      <c r="I126" s="5"/>
      <c r="J126" s="3" t="str">
        <f t="shared" si="458"/>
        <v/>
      </c>
      <c r="K126" s="39" t="str">
        <f t="shared" si="459"/>
        <v/>
      </c>
      <c r="L126" s="5" t="str">
        <f t="shared" si="460"/>
        <v/>
      </c>
      <c r="M126" s="36" t="str">
        <f t="shared" si="461"/>
        <v/>
      </c>
      <c r="N126" s="29"/>
      <c r="P126" s="25"/>
      <c r="Q126" s="5"/>
      <c r="R126" s="5" t="str">
        <f t="shared" si="462"/>
        <v/>
      </c>
      <c r="S126" s="5"/>
      <c r="T126" s="5" t="str">
        <f t="shared" si="463"/>
        <v/>
      </c>
      <c r="U126" s="5"/>
      <c r="V126" s="5" t="str">
        <f t="shared" si="464"/>
        <v/>
      </c>
      <c r="W126" s="5"/>
      <c r="X126" s="3" t="str">
        <f t="shared" si="431"/>
        <v/>
      </c>
      <c r="Y126" s="39" t="str">
        <f t="shared" si="432"/>
        <v/>
      </c>
      <c r="Z126" s="5" t="str">
        <f t="shared" si="465"/>
        <v/>
      </c>
      <c r="AA126" s="36" t="str">
        <f t="shared" si="466"/>
        <v/>
      </c>
      <c r="AB126" s="29"/>
      <c r="AD126" s="25"/>
      <c r="AE126" s="5"/>
      <c r="AF126" s="5" t="str">
        <f t="shared" si="467"/>
        <v/>
      </c>
      <c r="AG126" s="5"/>
      <c r="AH126" s="5" t="str">
        <f t="shared" si="468"/>
        <v/>
      </c>
      <c r="AI126" s="5"/>
      <c r="AJ126" s="5" t="str">
        <f t="shared" si="469"/>
        <v/>
      </c>
      <c r="AK126" s="5"/>
      <c r="AL126" s="38" t="str">
        <f t="shared" si="429"/>
        <v/>
      </c>
      <c r="AM126" s="39" t="str">
        <f t="shared" si="430"/>
        <v/>
      </c>
      <c r="AN126" s="5" t="str">
        <f t="shared" si="470"/>
        <v/>
      </c>
      <c r="AO126" s="36" t="str">
        <f t="shared" si="471"/>
        <v/>
      </c>
      <c r="AP126" s="29"/>
      <c r="AR126" s="25"/>
      <c r="AS126" s="5"/>
      <c r="AT126" s="5" t="str">
        <f t="shared" si="472"/>
        <v/>
      </c>
      <c r="AU126" s="5"/>
      <c r="AV126" s="5" t="str">
        <f t="shared" si="473"/>
        <v/>
      </c>
      <c r="AW126" s="5"/>
      <c r="AX126" s="5" t="str">
        <f t="shared" si="474"/>
        <v/>
      </c>
      <c r="AY126" s="5"/>
      <c r="AZ126" s="38" t="str">
        <f t="shared" si="433"/>
        <v/>
      </c>
      <c r="BA126" s="39" t="str">
        <f t="shared" si="434"/>
        <v/>
      </c>
      <c r="BB126" s="5" t="str">
        <f t="shared" si="475"/>
        <v/>
      </c>
      <c r="BC126" s="36" t="str">
        <f t="shared" si="476"/>
        <v/>
      </c>
      <c r="BD126" s="29"/>
      <c r="BE126" s="32"/>
      <c r="BF126" s="25"/>
      <c r="BG126" s="5"/>
      <c r="BH126" s="5" t="str">
        <f t="shared" si="477"/>
        <v/>
      </c>
      <c r="BI126" s="5"/>
      <c r="BJ126" s="5" t="str">
        <f t="shared" si="478"/>
        <v/>
      </c>
      <c r="BK126" s="5"/>
      <c r="BL126" s="5" t="str">
        <f t="shared" si="479"/>
        <v/>
      </c>
      <c r="BM126" s="5"/>
      <c r="BN126" s="3" t="str">
        <f>IF(BG125="","",BN122)</f>
        <v/>
      </c>
      <c r="BO126" s="39" t="str">
        <f>IF(BG125="","",BO122)</f>
        <v/>
      </c>
      <c r="BP126" s="4" t="str">
        <f t="shared" si="480"/>
        <v/>
      </c>
      <c r="BQ126" s="36" t="str">
        <f t="shared" si="483"/>
        <v/>
      </c>
      <c r="BR126" s="29"/>
      <c r="BT126" s="25"/>
      <c r="BU126" s="5"/>
      <c r="BV126" s="5" t="str">
        <f t="shared" si="481"/>
        <v/>
      </c>
      <c r="BW126" s="5"/>
      <c r="BX126" s="5" t="str">
        <f t="shared" si="482"/>
        <v/>
      </c>
      <c r="BY126" s="5"/>
      <c r="BZ126" s="5" t="str">
        <f>IF(BY126="","",BY122+CA122-BY126)</f>
        <v/>
      </c>
      <c r="CA126" s="4"/>
      <c r="CB126" s="3" t="str">
        <f>IF(BU126="","",CB122)</f>
        <v/>
      </c>
      <c r="CC126" s="39" t="str">
        <f>IF(BU125="","",CC122)</f>
        <v/>
      </c>
      <c r="CD126" s="4" t="str">
        <f>IF(BY126="","",BZ126*CC126)</f>
        <v/>
      </c>
      <c r="CE126" s="36" t="str">
        <f>IF(BZ126="","",CD126/(BV126*100))</f>
        <v/>
      </c>
      <c r="CF126" s="29"/>
      <c r="CH126" s="14"/>
      <c r="CI126" s="39"/>
      <c r="CJ126" s="5" t="str">
        <f>IF(CI126="","",CI126-#REF!)</f>
        <v/>
      </c>
      <c r="CK126" s="5"/>
      <c r="CL126" s="5"/>
      <c r="CM126" s="5"/>
      <c r="CN126" s="5" t="str">
        <f>IF(CM126="","",#REF!+#REF!-CM126)</f>
        <v/>
      </c>
      <c r="CO126" s="5"/>
      <c r="CP126" s="5"/>
      <c r="CQ126" s="5"/>
      <c r="CR126" s="5" t="str">
        <f>IF(CQ126="","",CN126*CQ126)</f>
        <v/>
      </c>
      <c r="CS126" s="36" t="str">
        <f>IF(CR126="","",CR126/(CJ126*100))</f>
        <v/>
      </c>
      <c r="CT126" s="29"/>
      <c r="CV126" s="14"/>
      <c r="CW126" s="39"/>
      <c r="CX126" s="5" t="str">
        <f>IF(CW126="","",CW126-#REF!)</f>
        <v/>
      </c>
      <c r="CY126" s="5"/>
      <c r="CZ126" s="5"/>
      <c r="DA126" s="5"/>
      <c r="DB126" s="5" t="str">
        <f>IF(DA126="","",#REF!+#REF!-DA126)</f>
        <v/>
      </c>
      <c r="DC126" s="5"/>
      <c r="DD126" s="5"/>
      <c r="DE126" s="5"/>
      <c r="DF126" s="5" t="str">
        <f>IF(DE126="","",DB126*DE126)</f>
        <v/>
      </c>
      <c r="DG126" s="36" t="str">
        <f>IF(DF126="","",DF126/(CX126*100))</f>
        <v/>
      </c>
      <c r="DH126" s="29"/>
      <c r="DJ126" s="14"/>
      <c r="DK126" s="39"/>
      <c r="DL126" s="5" t="str">
        <f>IF(DK126="","",DK126-#REF!)</f>
        <v/>
      </c>
      <c r="DM126" s="5"/>
      <c r="DN126" s="5"/>
      <c r="DO126" s="5"/>
      <c r="DP126" s="5" t="str">
        <f>IF(DO126="","",#REF!+#REF!-DO126)</f>
        <v/>
      </c>
      <c r="DQ126" s="5"/>
      <c r="DR126" s="5"/>
      <c r="DS126" s="5"/>
      <c r="DT126" s="5" t="str">
        <f>IF(DS126="","",DP126*DS126)</f>
        <v/>
      </c>
      <c r="DU126" s="36" t="str">
        <f>IF(DT126="","",DT126/(DL126*100))</f>
        <v/>
      </c>
      <c r="DV126" s="29"/>
      <c r="DX126" s="14"/>
      <c r="DY126" s="39"/>
      <c r="DZ126" s="5" t="str">
        <f>IF(DY126="","",DY126-#REF!)</f>
        <v/>
      </c>
      <c r="EA126" s="5"/>
      <c r="EB126" s="5"/>
      <c r="EC126" s="5"/>
      <c r="ED126" s="5" t="str">
        <f>IF(EC126="","",#REF!+#REF!-EC126)</f>
        <v/>
      </c>
      <c r="EE126" s="5"/>
      <c r="EF126" s="5"/>
      <c r="EG126" s="5"/>
      <c r="EH126" s="5" t="str">
        <f>IF(EG126="","",ED126*EG126)</f>
        <v/>
      </c>
      <c r="EI126" s="36" t="str">
        <f>IF(EH126="","",EH126/(DZ126*100))</f>
        <v/>
      </c>
      <c r="EJ126" s="29"/>
      <c r="EL126" s="14"/>
      <c r="EM126" s="39"/>
      <c r="EN126" s="5" t="str">
        <f>IF(EM126="","",EM126-#REF!)</f>
        <v/>
      </c>
      <c r="EO126" s="5"/>
      <c r="EP126" s="5"/>
      <c r="EQ126" s="5"/>
      <c r="ER126" s="5" t="str">
        <f>IF(EQ126="","",#REF!+#REF!-EQ126)</f>
        <v/>
      </c>
      <c r="ES126" s="5"/>
      <c r="ET126" s="5"/>
      <c r="EU126" s="5"/>
      <c r="EV126" s="5" t="str">
        <f>IF(EU126="","",ER126*EU126)</f>
        <v/>
      </c>
      <c r="EW126" s="36" t="str">
        <f>IF(EV126="","",EV126/(EN126*100))</f>
        <v/>
      </c>
      <c r="EX126" s="29"/>
      <c r="EZ126" s="14"/>
      <c r="FA126" s="39"/>
      <c r="FB126" s="5" t="str">
        <f>IF(FA126="","",FA126-#REF!)</f>
        <v/>
      </c>
      <c r="FC126" s="5"/>
      <c r="FD126" s="5"/>
      <c r="FE126" s="5"/>
      <c r="FF126" s="5" t="str">
        <f>IF(FE126="","",#REF!+#REF!-FE126)</f>
        <v/>
      </c>
      <c r="FG126" s="5"/>
      <c r="FH126" s="5"/>
      <c r="FI126" s="5"/>
      <c r="FJ126" s="5" t="str">
        <f>IF(FI126="","",FF126*FI126)</f>
        <v/>
      </c>
      <c r="FK126" s="36" t="str">
        <f>IF(FJ126="","",FJ126/(FB126*100))</f>
        <v/>
      </c>
      <c r="FL126" s="29"/>
      <c r="FN126" s="14"/>
      <c r="FO126" s="39"/>
      <c r="FP126" s="5" t="str">
        <f>IF(FO126="","",FO126-#REF!)</f>
        <v/>
      </c>
      <c r="FQ126" s="5"/>
      <c r="FR126" s="5"/>
      <c r="FS126" s="5"/>
      <c r="FT126" s="5" t="str">
        <f>IF(FS126="","",#REF!+#REF!-FS126)</f>
        <v/>
      </c>
      <c r="FU126" s="5"/>
      <c r="FV126" s="5"/>
      <c r="FW126" s="5"/>
      <c r="FX126" s="5" t="str">
        <f>IF(FW126="","",FT126*FW126)</f>
        <v/>
      </c>
      <c r="FY126" s="36" t="str">
        <f>IF(FX126="","",FX126/(FP126*100))</f>
        <v/>
      </c>
      <c r="FZ126" s="29"/>
      <c r="GB126" s="14"/>
      <c r="GC126" s="39"/>
      <c r="GD126" s="5" t="str">
        <f>IF(GC126="","",GC126-#REF!)</f>
        <v/>
      </c>
      <c r="GE126" s="5"/>
      <c r="GF126" s="5"/>
      <c r="GG126" s="5"/>
      <c r="GH126" s="5" t="str">
        <f>IF(GG126="","",#REF!+#REF!-GG126)</f>
        <v/>
      </c>
      <c r="GI126" s="5"/>
      <c r="GJ126" s="5"/>
      <c r="GK126" s="5"/>
      <c r="GL126" s="5" t="str">
        <f>IF(GK126="","",GH126*GK126)</f>
        <v/>
      </c>
      <c r="GM126" s="36" t="str">
        <f>IF(GL126="","",GL126/(GD126*100))</f>
        <v/>
      </c>
      <c r="GN126" s="29"/>
      <c r="GP126" s="14"/>
      <c r="GQ126" s="39"/>
      <c r="GR126" s="5" t="str">
        <f>IF(GQ126="","",GQ126-#REF!)</f>
        <v/>
      </c>
      <c r="GS126" s="5"/>
      <c r="GT126" s="5"/>
      <c r="GU126" s="5"/>
      <c r="GV126" s="5"/>
      <c r="GW126" s="5"/>
      <c r="GX126" s="5" t="str">
        <f>IF(GW126="","",#REF!+#REF!-GW126)</f>
        <v/>
      </c>
      <c r="GY126" s="5"/>
      <c r="GZ126" s="5"/>
      <c r="HA126" s="5"/>
      <c r="HB126" s="5" t="str">
        <f>IF(HA126="","",GX126*HA126)</f>
        <v/>
      </c>
      <c r="HC126" s="36" t="str">
        <f>IF(HB126="","",HB126/(GR126*100))</f>
        <v/>
      </c>
      <c r="HD126" s="29"/>
      <c r="HF126" s="14"/>
      <c r="HG126" s="39"/>
      <c r="HH126" s="5" t="str">
        <f>IF(HG126="","",HG126-#REF!)</f>
        <v/>
      </c>
      <c r="HI126" s="5"/>
      <c r="HJ126" s="29"/>
      <c r="HL126" s="14"/>
      <c r="HM126" s="39"/>
      <c r="HN126" s="5" t="str">
        <f>IF(HM126="","",HM126-#REF!)</f>
        <v/>
      </c>
      <c r="HO126" s="5"/>
      <c r="HP126" s="29"/>
      <c r="HR126" s="14"/>
      <c r="HS126" s="39"/>
      <c r="HT126" s="5" t="str">
        <f>IF(HS126="","",HS126-#REF!)</f>
        <v/>
      </c>
      <c r="HU126" s="5"/>
      <c r="HV126" s="29"/>
    </row>
    <row r="127" spans="1:230" ht="15" customHeight="1" x14ac:dyDescent="0.2">
      <c r="A127" s="54"/>
      <c r="B127" s="37"/>
      <c r="C127" s="5"/>
      <c r="D127" s="5" t="str">
        <f t="shared" si="456"/>
        <v/>
      </c>
      <c r="E127" s="5"/>
      <c r="F127" s="5" t="str">
        <f t="shared" si="457"/>
        <v/>
      </c>
      <c r="G127" s="5"/>
      <c r="H127" s="5" t="str">
        <f t="shared" si="357"/>
        <v/>
      </c>
      <c r="I127" s="5"/>
      <c r="J127" s="3" t="str">
        <f t="shared" si="458"/>
        <v/>
      </c>
      <c r="K127" s="5" t="str">
        <f t="shared" si="459"/>
        <v/>
      </c>
      <c r="L127" s="5" t="str">
        <f t="shared" si="460"/>
        <v/>
      </c>
      <c r="M127" s="36" t="str">
        <f t="shared" si="461"/>
        <v/>
      </c>
      <c r="N127" s="29"/>
      <c r="P127" s="25"/>
      <c r="Q127" s="5"/>
      <c r="R127" s="5" t="str">
        <f t="shared" si="462"/>
        <v/>
      </c>
      <c r="S127" s="5"/>
      <c r="T127" s="5" t="str">
        <f t="shared" si="463"/>
        <v/>
      </c>
      <c r="U127" s="5"/>
      <c r="V127" s="5" t="str">
        <f t="shared" si="464"/>
        <v/>
      </c>
      <c r="W127" s="5"/>
      <c r="X127" s="3" t="str">
        <f t="shared" si="431"/>
        <v/>
      </c>
      <c r="Y127" s="5" t="str">
        <f t="shared" si="432"/>
        <v/>
      </c>
      <c r="Z127" s="5" t="str">
        <f t="shared" si="465"/>
        <v/>
      </c>
      <c r="AA127" s="36" t="str">
        <f t="shared" si="466"/>
        <v/>
      </c>
      <c r="AB127" s="29"/>
      <c r="AD127" s="25"/>
      <c r="AE127" s="5"/>
      <c r="AF127" s="5" t="str">
        <f t="shared" si="467"/>
        <v/>
      </c>
      <c r="AG127" s="5"/>
      <c r="AH127" s="5" t="str">
        <f t="shared" si="468"/>
        <v/>
      </c>
      <c r="AI127" s="5"/>
      <c r="AJ127" s="5" t="str">
        <f t="shared" si="469"/>
        <v/>
      </c>
      <c r="AK127" s="5"/>
      <c r="AL127" s="38" t="str">
        <f t="shared" si="429"/>
        <v/>
      </c>
      <c r="AM127" s="5" t="str">
        <f t="shared" si="430"/>
        <v/>
      </c>
      <c r="AN127" s="5" t="str">
        <f t="shared" si="470"/>
        <v/>
      </c>
      <c r="AO127" s="36" t="str">
        <f t="shared" si="471"/>
        <v/>
      </c>
      <c r="AP127" s="29"/>
      <c r="AR127" s="25"/>
      <c r="AS127" s="5"/>
      <c r="AT127" s="5" t="str">
        <f t="shared" si="472"/>
        <v/>
      </c>
      <c r="AU127" s="5"/>
      <c r="AV127" s="5" t="str">
        <f t="shared" si="473"/>
        <v/>
      </c>
      <c r="AW127" s="5"/>
      <c r="AX127" s="5" t="str">
        <f t="shared" si="474"/>
        <v/>
      </c>
      <c r="AY127" s="5"/>
      <c r="AZ127" s="38" t="str">
        <f t="shared" si="433"/>
        <v/>
      </c>
      <c r="BA127" s="5" t="str">
        <f t="shared" si="434"/>
        <v/>
      </c>
      <c r="BB127" s="5" t="str">
        <f t="shared" si="475"/>
        <v/>
      </c>
      <c r="BC127" s="36" t="str">
        <f t="shared" si="476"/>
        <v/>
      </c>
      <c r="BD127" s="29"/>
      <c r="BE127" s="32"/>
      <c r="BF127" s="25"/>
      <c r="BG127" s="5"/>
      <c r="BH127" s="5" t="str">
        <f t="shared" si="477"/>
        <v/>
      </c>
      <c r="BI127" s="5"/>
      <c r="BJ127" s="5" t="str">
        <f t="shared" si="478"/>
        <v/>
      </c>
      <c r="BK127" s="5"/>
      <c r="BL127" s="5" t="str">
        <f t="shared" si="479"/>
        <v/>
      </c>
      <c r="BM127" s="5"/>
      <c r="BN127" s="3" t="str">
        <f>IF(BG125="","",BN123)</f>
        <v/>
      </c>
      <c r="BO127" s="39" t="str">
        <f>IF(BG125="","",BO123)</f>
        <v/>
      </c>
      <c r="BP127" s="5" t="str">
        <f t="shared" si="480"/>
        <v/>
      </c>
      <c r="BQ127" s="36" t="str">
        <f t="shared" si="483"/>
        <v/>
      </c>
      <c r="BR127" s="29"/>
      <c r="BT127" s="25"/>
      <c r="BU127" s="5"/>
      <c r="BV127" s="5" t="str">
        <f t="shared" si="481"/>
        <v/>
      </c>
      <c r="BW127" s="5"/>
      <c r="BX127" s="5" t="str">
        <f t="shared" si="482"/>
        <v/>
      </c>
      <c r="BY127" s="5"/>
      <c r="BZ127" s="5"/>
      <c r="CA127" s="57"/>
      <c r="CB127" s="3"/>
      <c r="CC127" s="39"/>
      <c r="CD127" s="5"/>
      <c r="CE127" s="36"/>
      <c r="CF127" s="29"/>
      <c r="CH127" s="14"/>
      <c r="CI127" s="39"/>
      <c r="CJ127" s="5" t="str">
        <f>IF(CI127="","",CI127-CI126)</f>
        <v/>
      </c>
      <c r="CK127" s="5"/>
      <c r="CL127" s="5"/>
      <c r="CM127" s="5"/>
      <c r="CN127" s="5" t="str">
        <f>IF(CM127="","",CM126+CO126-CM127)</f>
        <v/>
      </c>
      <c r="CO127" s="5"/>
      <c r="CP127" s="5"/>
      <c r="CQ127" s="5"/>
      <c r="CR127" s="5" t="str">
        <f>IF(CQ127="","",CN127*CQ127)</f>
        <v/>
      </c>
      <c r="CS127" s="36" t="str">
        <f>IF(CR127="","",CR127/(CJ127*100))</f>
        <v/>
      </c>
      <c r="CT127" s="29"/>
      <c r="CV127" s="14"/>
      <c r="CW127" s="39"/>
      <c r="CX127" s="5" t="str">
        <f>IF(CW127="","",CW127-CW126)</f>
        <v/>
      </c>
      <c r="CY127" s="5"/>
      <c r="CZ127" s="5"/>
      <c r="DA127" s="5"/>
      <c r="DB127" s="5" t="str">
        <f>IF(DA127="","",DA126+DC126-DA127)</f>
        <v/>
      </c>
      <c r="DC127" s="5"/>
      <c r="DD127" s="5"/>
      <c r="DE127" s="5"/>
      <c r="DF127" s="5" t="str">
        <f>IF(DE127="","",DB127*DE127)</f>
        <v/>
      </c>
      <c r="DG127" s="36" t="str">
        <f>IF(DF127="","",DF127/(CX127*100))</f>
        <v/>
      </c>
      <c r="DH127" s="29"/>
      <c r="DJ127" s="14"/>
      <c r="DK127" s="39"/>
      <c r="DL127" s="5" t="str">
        <f>IF(DK127="","",DK127-DK126)</f>
        <v/>
      </c>
      <c r="DM127" s="5"/>
      <c r="DN127" s="5"/>
      <c r="DO127" s="5"/>
      <c r="DP127" s="5" t="str">
        <f>IF(DO127="","",DO126+DQ126-DO127)</f>
        <v/>
      </c>
      <c r="DQ127" s="5"/>
      <c r="DR127" s="5"/>
      <c r="DS127" s="5"/>
      <c r="DT127" s="5" t="str">
        <f>IF(DS127="","",DP127*DS127)</f>
        <v/>
      </c>
      <c r="DU127" s="36" t="str">
        <f>IF(DT127="","",DT127/(DL127*100))</f>
        <v/>
      </c>
      <c r="DV127" s="29"/>
      <c r="DX127" s="14"/>
      <c r="DY127" s="39"/>
      <c r="DZ127" s="5" t="str">
        <f>IF(DY127="","",DY127-DY126)</f>
        <v/>
      </c>
      <c r="EA127" s="5"/>
      <c r="EB127" s="5"/>
      <c r="EC127" s="5"/>
      <c r="ED127" s="5" t="str">
        <f>IF(EC127="","",EC126+EE126-EC127)</f>
        <v/>
      </c>
      <c r="EE127" s="5"/>
      <c r="EF127" s="5"/>
      <c r="EG127" s="5"/>
      <c r="EH127" s="5" t="str">
        <f>IF(EG127="","",ED127*EG127)</f>
        <v/>
      </c>
      <c r="EI127" s="36" t="str">
        <f>IF(EH127="","",EH127/(DZ127*100))</f>
        <v/>
      </c>
      <c r="EJ127" s="29"/>
      <c r="EL127" s="14"/>
      <c r="EM127" s="39"/>
      <c r="EN127" s="5" t="str">
        <f>IF(EM127="","",EM127-EM126)</f>
        <v/>
      </c>
      <c r="EO127" s="5"/>
      <c r="EP127" s="5"/>
      <c r="EQ127" s="5"/>
      <c r="ER127" s="5" t="str">
        <f>IF(EQ127="","",EQ126+ES126-EQ127)</f>
        <v/>
      </c>
      <c r="ES127" s="5"/>
      <c r="ET127" s="5"/>
      <c r="EU127" s="5"/>
      <c r="EV127" s="5" t="str">
        <f>IF(EU127="","",ER127*EU127)</f>
        <v/>
      </c>
      <c r="EW127" s="36" t="str">
        <f>IF(EV127="","",EV127/(EN127*100))</f>
        <v/>
      </c>
      <c r="EX127" s="29"/>
      <c r="EZ127" s="14"/>
      <c r="FA127" s="39"/>
      <c r="FB127" s="5" t="str">
        <f>IF(FA127="","",FA127-FA126)</f>
        <v/>
      </c>
      <c r="FC127" s="5"/>
      <c r="FD127" s="5"/>
      <c r="FE127" s="5"/>
      <c r="FF127" s="5" t="str">
        <f>IF(FE127="","",FE126+FG126-FE127)</f>
        <v/>
      </c>
      <c r="FG127" s="5"/>
      <c r="FH127" s="5"/>
      <c r="FI127" s="5"/>
      <c r="FJ127" s="5" t="str">
        <f>IF(FI127="","",FF127*FI127)</f>
        <v/>
      </c>
      <c r="FK127" s="36" t="str">
        <f>IF(FJ127="","",FJ127/(FB127*100))</f>
        <v/>
      </c>
      <c r="FL127" s="29"/>
      <c r="FN127" s="14"/>
      <c r="FO127" s="39"/>
      <c r="FP127" s="5" t="str">
        <f>IF(FO127="","",FO127-FO126)</f>
        <v/>
      </c>
      <c r="FQ127" s="5"/>
      <c r="FR127" s="5"/>
      <c r="FS127" s="5"/>
      <c r="FT127" s="5" t="str">
        <f>IF(FS127="","",FS126+FU126-FS127)</f>
        <v/>
      </c>
      <c r="FU127" s="5"/>
      <c r="FV127" s="5"/>
      <c r="FW127" s="5"/>
      <c r="FX127" s="5" t="str">
        <f>IF(FW127="","",FT127*FW127)</f>
        <v/>
      </c>
      <c r="FY127" s="36" t="str">
        <f>IF(FX127="","",FX127/(FP127*100))</f>
        <v/>
      </c>
      <c r="FZ127" s="29"/>
      <c r="GB127" s="14"/>
      <c r="GC127" s="39"/>
      <c r="GD127" s="5" t="str">
        <f>IF(GC127="","",GC127-GC126)</f>
        <v/>
      </c>
      <c r="GE127" s="5"/>
      <c r="GF127" s="5"/>
      <c r="GG127" s="5"/>
      <c r="GH127" s="5" t="str">
        <f>IF(GG127="","",GG126+GI126-GG127)</f>
        <v/>
      </c>
      <c r="GI127" s="5"/>
      <c r="GJ127" s="5"/>
      <c r="GK127" s="5"/>
      <c r="GL127" s="5" t="str">
        <f>IF(GK127="","",GH127*GK127)</f>
        <v/>
      </c>
      <c r="GM127" s="36" t="str">
        <f>IF(GL127="","",GL127/(GD127*100))</f>
        <v/>
      </c>
      <c r="GN127" s="29"/>
      <c r="GP127" s="14"/>
      <c r="GQ127" s="39"/>
      <c r="GR127" s="5" t="str">
        <f>IF(GQ127="","",GQ127-GQ126)</f>
        <v/>
      </c>
      <c r="GS127" s="5"/>
      <c r="GT127" s="5"/>
      <c r="GU127" s="5"/>
      <c r="GV127" s="5"/>
      <c r="GW127" s="5"/>
      <c r="GX127" s="5" t="str">
        <f>IF(GW127="","",GW126+GY126-GW127)</f>
        <v/>
      </c>
      <c r="GY127" s="5"/>
      <c r="GZ127" s="5"/>
      <c r="HA127" s="5"/>
      <c r="HB127" s="5" t="str">
        <f>IF(HA127="","",GX127*HA127)</f>
        <v/>
      </c>
      <c r="HC127" s="36" t="str">
        <f>IF(HB127="","",HB127/(GR127*100))</f>
        <v/>
      </c>
      <c r="HD127" s="29"/>
      <c r="HF127" s="14"/>
      <c r="HG127" s="39"/>
      <c r="HH127" s="5" t="str">
        <f>IF(HG127="","",HG127-HG126)</f>
        <v/>
      </c>
      <c r="HI127" s="5"/>
      <c r="HJ127" s="29"/>
      <c r="HL127" s="14"/>
      <c r="HM127" s="39"/>
      <c r="HN127" s="5" t="str">
        <f>IF(HM127="","",HM127-HM126)</f>
        <v/>
      </c>
      <c r="HO127" s="5"/>
      <c r="HP127" s="29"/>
      <c r="HR127" s="14"/>
      <c r="HS127" s="39"/>
      <c r="HT127" s="5" t="str">
        <f>IF(HS127="","",HS127-HS126)</f>
        <v/>
      </c>
      <c r="HU127" s="5"/>
      <c r="HV127" s="29"/>
    </row>
    <row r="128" spans="1:230" ht="15" customHeight="1" thickBot="1" x14ac:dyDescent="0.25">
      <c r="A128" s="60"/>
      <c r="B128" s="73"/>
      <c r="C128" s="44"/>
      <c r="D128" s="44" t="str">
        <f t="shared" si="456"/>
        <v/>
      </c>
      <c r="E128" s="44"/>
      <c r="F128" s="44" t="str">
        <f t="shared" si="457"/>
        <v/>
      </c>
      <c r="G128" s="44"/>
      <c r="H128" s="44"/>
      <c r="I128" s="44"/>
      <c r="J128" s="45" t="str">
        <f t="shared" si="458"/>
        <v/>
      </c>
      <c r="K128" s="61" t="str">
        <f t="shared" si="459"/>
        <v/>
      </c>
      <c r="L128" s="44" t="str">
        <f t="shared" si="460"/>
        <v/>
      </c>
      <c r="M128" s="46" t="str">
        <f t="shared" si="461"/>
        <v/>
      </c>
      <c r="N128" s="29"/>
      <c r="P128" s="41"/>
      <c r="Q128" s="44"/>
      <c r="R128" s="44" t="str">
        <f t="shared" si="462"/>
        <v/>
      </c>
      <c r="S128" s="44"/>
      <c r="T128" s="44" t="str">
        <f t="shared" si="463"/>
        <v/>
      </c>
      <c r="U128" s="44"/>
      <c r="V128" s="44" t="str">
        <f t="shared" si="464"/>
        <v/>
      </c>
      <c r="W128" s="44"/>
      <c r="X128" s="45" t="str">
        <f t="shared" si="431"/>
        <v/>
      </c>
      <c r="Y128" s="61" t="str">
        <f t="shared" si="432"/>
        <v/>
      </c>
      <c r="Z128" s="44" t="str">
        <f t="shared" si="465"/>
        <v/>
      </c>
      <c r="AA128" s="46" t="str">
        <f t="shared" si="466"/>
        <v/>
      </c>
      <c r="AB128" s="29"/>
      <c r="AD128" s="41"/>
      <c r="AE128" s="44"/>
      <c r="AF128" s="44" t="str">
        <f t="shared" si="467"/>
        <v/>
      </c>
      <c r="AG128" s="44"/>
      <c r="AH128" s="44" t="str">
        <f t="shared" si="468"/>
        <v/>
      </c>
      <c r="AI128" s="44"/>
      <c r="AJ128" s="44" t="str">
        <f t="shared" si="469"/>
        <v/>
      </c>
      <c r="AK128" s="44"/>
      <c r="AL128" s="47" t="str">
        <f t="shared" si="429"/>
        <v/>
      </c>
      <c r="AM128" s="61" t="str">
        <f t="shared" si="430"/>
        <v/>
      </c>
      <c r="AN128" s="44" t="str">
        <f t="shared" si="470"/>
        <v/>
      </c>
      <c r="AO128" s="46" t="str">
        <f t="shared" si="471"/>
        <v/>
      </c>
      <c r="AP128" s="29"/>
      <c r="AR128" s="41"/>
      <c r="AS128" s="44"/>
      <c r="AT128" s="44" t="str">
        <f t="shared" si="472"/>
        <v/>
      </c>
      <c r="AU128" s="44"/>
      <c r="AV128" s="44" t="str">
        <f t="shared" si="473"/>
        <v/>
      </c>
      <c r="AW128" s="44"/>
      <c r="AX128" s="44" t="str">
        <f t="shared" si="474"/>
        <v/>
      </c>
      <c r="AY128" s="44"/>
      <c r="AZ128" s="47" t="str">
        <f t="shared" si="433"/>
        <v/>
      </c>
      <c r="BA128" s="61" t="str">
        <f t="shared" si="434"/>
        <v/>
      </c>
      <c r="BB128" s="44" t="str">
        <f t="shared" si="475"/>
        <v/>
      </c>
      <c r="BC128" s="46" t="str">
        <f t="shared" si="476"/>
        <v/>
      </c>
      <c r="BD128" s="29"/>
      <c r="BE128" s="32"/>
      <c r="BF128" s="41"/>
      <c r="BG128" s="44"/>
      <c r="BH128" s="44" t="str">
        <f t="shared" si="477"/>
        <v/>
      </c>
      <c r="BI128" s="44"/>
      <c r="BJ128" s="44" t="str">
        <f t="shared" si="478"/>
        <v/>
      </c>
      <c r="BK128" s="44"/>
      <c r="BL128" s="44" t="str">
        <f t="shared" si="479"/>
        <v/>
      </c>
      <c r="BM128" s="44"/>
      <c r="BN128" s="45" t="str">
        <f>IF(BG125="","",BN124)</f>
        <v/>
      </c>
      <c r="BO128" s="61" t="str">
        <f>IF(BG125="","",BO124)</f>
        <v/>
      </c>
      <c r="BP128" s="44" t="str">
        <f t="shared" si="480"/>
        <v/>
      </c>
      <c r="BQ128" s="46" t="str">
        <f t="shared" si="483"/>
        <v/>
      </c>
      <c r="BR128" s="29"/>
      <c r="BT128" s="41"/>
      <c r="BU128" s="44"/>
      <c r="BV128" s="44" t="str">
        <f t="shared" si="481"/>
        <v/>
      </c>
      <c r="BW128" s="44"/>
      <c r="BX128" s="44" t="str">
        <f t="shared" si="482"/>
        <v/>
      </c>
      <c r="BY128" s="44"/>
      <c r="BZ128" s="44"/>
      <c r="CA128" s="44"/>
      <c r="CB128" s="45"/>
      <c r="CC128" s="61"/>
      <c r="CD128" s="44"/>
      <c r="CE128" s="46"/>
      <c r="CF128" s="29"/>
      <c r="CH128" s="14"/>
      <c r="CI128" s="39"/>
      <c r="CJ128" s="5" t="str">
        <f>IF(CI128="","",CI128-CI127)</f>
        <v/>
      </c>
      <c r="CK128" s="5"/>
      <c r="CL128" s="5"/>
      <c r="CM128" s="5"/>
      <c r="CN128" s="5" t="str">
        <f>IF(CM128="","",CM127+CO127-CM128)</f>
        <v/>
      </c>
      <c r="CO128" s="5"/>
      <c r="CP128" s="5"/>
      <c r="CQ128" s="5"/>
      <c r="CR128" s="5" t="str">
        <f>IF(CQ128="","",CN128*CQ128)</f>
        <v/>
      </c>
      <c r="CS128" s="36" t="str">
        <f>IF(CR128="","",CR128/(CJ128*100))</f>
        <v/>
      </c>
      <c r="CT128" s="29"/>
      <c r="CV128" s="14"/>
      <c r="CW128" s="39"/>
      <c r="CX128" s="5" t="str">
        <f>IF(CW128="","",CW128-CW127)</f>
        <v/>
      </c>
      <c r="CY128" s="5"/>
      <c r="CZ128" s="5"/>
      <c r="DA128" s="5"/>
      <c r="DB128" s="5" t="str">
        <f>IF(DA128="","",DA127+DC127-DA128)</f>
        <v/>
      </c>
      <c r="DC128" s="5"/>
      <c r="DD128" s="5"/>
      <c r="DE128" s="5"/>
      <c r="DF128" s="5" t="str">
        <f>IF(DE128="","",DB128*DE128)</f>
        <v/>
      </c>
      <c r="DG128" s="36" t="str">
        <f>IF(DF128="","",DF128/(CX128*100))</f>
        <v/>
      </c>
      <c r="DH128" s="29"/>
      <c r="DJ128" s="14"/>
      <c r="DK128" s="39"/>
      <c r="DL128" s="5" t="str">
        <f>IF(DK128="","",DK128-DK127)</f>
        <v/>
      </c>
      <c r="DM128" s="5"/>
      <c r="DN128" s="5"/>
      <c r="DO128" s="5"/>
      <c r="DP128" s="5" t="str">
        <f>IF(DO128="","",DO127+DQ127-DO128)</f>
        <v/>
      </c>
      <c r="DQ128" s="5"/>
      <c r="DR128" s="5"/>
      <c r="DS128" s="5"/>
      <c r="DT128" s="5" t="str">
        <f>IF(DS128="","",DP128*DS128)</f>
        <v/>
      </c>
      <c r="DU128" s="36" t="str">
        <f>IF(DT128="","",DT128/(DL128*100))</f>
        <v/>
      </c>
      <c r="DV128" s="29"/>
      <c r="DX128" s="14"/>
      <c r="DY128" s="39"/>
      <c r="DZ128" s="5" t="str">
        <f>IF(DY128="","",DY128-DY127)</f>
        <v/>
      </c>
      <c r="EA128" s="5"/>
      <c r="EB128" s="5"/>
      <c r="EC128" s="5"/>
      <c r="ED128" s="5" t="str">
        <f>IF(EC128="","",EC127+EE127-EC128)</f>
        <v/>
      </c>
      <c r="EE128" s="5"/>
      <c r="EF128" s="5"/>
      <c r="EG128" s="5"/>
      <c r="EH128" s="5" t="str">
        <f>IF(EG128="","",ED128*EG128)</f>
        <v/>
      </c>
      <c r="EI128" s="36" t="str">
        <f>IF(EH128="","",EH128/(DZ128*100))</f>
        <v/>
      </c>
      <c r="EJ128" s="29"/>
      <c r="EL128" s="14"/>
      <c r="EM128" s="39"/>
      <c r="EN128" s="5" t="str">
        <f>IF(EM128="","",EM128-EM127)</f>
        <v/>
      </c>
      <c r="EO128" s="5"/>
      <c r="EP128" s="5"/>
      <c r="EQ128" s="5"/>
      <c r="ER128" s="5" t="str">
        <f>IF(EQ128="","",EQ127+ES127-EQ128)</f>
        <v/>
      </c>
      <c r="ES128" s="5"/>
      <c r="ET128" s="5"/>
      <c r="EU128" s="5"/>
      <c r="EV128" s="5" t="str">
        <f>IF(EU128="","",ER128*EU128)</f>
        <v/>
      </c>
      <c r="EW128" s="36" t="str">
        <f>IF(EV128="","",EV128/(EN128*100))</f>
        <v/>
      </c>
      <c r="EX128" s="29"/>
      <c r="EZ128" s="14"/>
      <c r="FA128" s="39"/>
      <c r="FB128" s="5" t="str">
        <f>IF(FA128="","",FA128-FA127)</f>
        <v/>
      </c>
      <c r="FC128" s="5"/>
      <c r="FD128" s="5"/>
      <c r="FE128" s="5"/>
      <c r="FF128" s="5" t="str">
        <f>IF(FE128="","",FE127+FG127-FE128)</f>
        <v/>
      </c>
      <c r="FG128" s="5"/>
      <c r="FH128" s="5"/>
      <c r="FI128" s="5"/>
      <c r="FJ128" s="5" t="str">
        <f>IF(FI128="","",FF128*FI128)</f>
        <v/>
      </c>
      <c r="FK128" s="36" t="str">
        <f>IF(FJ128="","",FJ128/(FB128*100))</f>
        <v/>
      </c>
      <c r="FL128" s="29"/>
      <c r="FN128" s="14"/>
      <c r="FO128" s="39"/>
      <c r="FP128" s="5" t="str">
        <f>IF(FO128="","",FO128-FO127)</f>
        <v/>
      </c>
      <c r="FQ128" s="5"/>
      <c r="FR128" s="5"/>
      <c r="FS128" s="5"/>
      <c r="FT128" s="5" t="str">
        <f>IF(FS128="","",FS127+FU127-FS128)</f>
        <v/>
      </c>
      <c r="FU128" s="5"/>
      <c r="FV128" s="5"/>
      <c r="FW128" s="5"/>
      <c r="FX128" s="5" t="str">
        <f>IF(FW128="","",FT128*FW128)</f>
        <v/>
      </c>
      <c r="FY128" s="36" t="str">
        <f>IF(FX128="","",FX128/(FP128*100))</f>
        <v/>
      </c>
      <c r="FZ128" s="29"/>
      <c r="GB128" s="14"/>
      <c r="GC128" s="39"/>
      <c r="GD128" s="5" t="str">
        <f>IF(GC128="","",GC128-GC127)</f>
        <v/>
      </c>
      <c r="GE128" s="5"/>
      <c r="GF128" s="5"/>
      <c r="GG128" s="5"/>
      <c r="GH128" s="5" t="str">
        <f>IF(GG128="","",GG127+GI127-GG128)</f>
        <v/>
      </c>
      <c r="GI128" s="5"/>
      <c r="GJ128" s="5"/>
      <c r="GK128" s="5"/>
      <c r="GL128" s="5" t="str">
        <f>IF(GK128="","",GH128*GK128)</f>
        <v/>
      </c>
      <c r="GM128" s="36" t="str">
        <f>IF(GL128="","",GL128/(GD128*100))</f>
        <v/>
      </c>
      <c r="GN128" s="29"/>
      <c r="GP128" s="14"/>
      <c r="GQ128" s="39"/>
      <c r="GR128" s="5" t="str">
        <f>IF(GQ128="","",GQ128-GQ127)</f>
        <v/>
      </c>
      <c r="GS128" s="5"/>
      <c r="GT128" s="5"/>
      <c r="GU128" s="5"/>
      <c r="GV128" s="5"/>
      <c r="GW128" s="5"/>
      <c r="GX128" s="5" t="str">
        <f>IF(GW128="","",GW127+GY127-GW128)</f>
        <v/>
      </c>
      <c r="GY128" s="5"/>
      <c r="GZ128" s="5"/>
      <c r="HA128" s="5"/>
      <c r="HB128" s="5" t="str">
        <f>IF(HA128="","",GX128*HA128)</f>
        <v/>
      </c>
      <c r="HC128" s="36" t="str">
        <f>IF(HB128="","",HB128/(GR128*100))</f>
        <v/>
      </c>
      <c r="HD128" s="29"/>
      <c r="HF128" s="14"/>
      <c r="HG128" s="39"/>
      <c r="HH128" s="5" t="str">
        <f>IF(HG128="","",HG128-HG127)</f>
        <v/>
      </c>
      <c r="HI128" s="5"/>
      <c r="HJ128" s="29"/>
      <c r="HL128" s="14"/>
      <c r="HM128" s="39"/>
      <c r="HN128" s="5" t="str">
        <f>IF(HM128="","",HM128-HM127)</f>
        <v/>
      </c>
      <c r="HO128" s="5"/>
      <c r="HP128" s="29"/>
      <c r="HR128" s="14"/>
      <c r="HS128" s="39"/>
      <c r="HT128" s="5" t="str">
        <f>IF(HS128="","",HS128-HS127)</f>
        <v/>
      </c>
      <c r="HU128" s="5"/>
      <c r="HV128" s="29"/>
    </row>
    <row r="129" spans="1:230" ht="15" customHeight="1" thickTop="1" x14ac:dyDescent="0.2">
      <c r="A129" s="49"/>
      <c r="B129" s="26">
        <f>SUM(D129:D132)+SUM(R129:R132)+SUM(AF129:AF132)+SUM(AT129:AT132)+SUM(CJ123,DL123,DZ123,EN123,FB123,FP123,GD123,GR123,HH123,HN123,HT123)+SUM(BH129:BH130)+SUM(BV129:BV130)</f>
        <v>0</v>
      </c>
      <c r="C129" s="4"/>
      <c r="D129" s="4" t="str">
        <f t="shared" si="456"/>
        <v/>
      </c>
      <c r="E129" s="4"/>
      <c r="F129" s="4" t="str">
        <f t="shared" si="457"/>
        <v/>
      </c>
      <c r="G129" s="4"/>
      <c r="H129" s="4" t="str">
        <f>IF(G129="","",G125+I125-G129)</f>
        <v/>
      </c>
      <c r="I129" s="4"/>
      <c r="J129" s="2" t="str">
        <f t="shared" si="458"/>
        <v/>
      </c>
      <c r="K129" s="4" t="str">
        <f t="shared" si="459"/>
        <v/>
      </c>
      <c r="L129" s="4" t="str">
        <f t="shared" si="460"/>
        <v/>
      </c>
      <c r="M129" s="4" t="str">
        <f t="shared" si="461"/>
        <v/>
      </c>
      <c r="N129" s="29"/>
      <c r="P129" s="80" t="str">
        <f>IF($A$425="","",$A$425)</f>
        <v/>
      </c>
      <c r="Q129" s="4"/>
      <c r="R129" s="4" t="str">
        <f t="shared" si="462"/>
        <v/>
      </c>
      <c r="S129" s="4"/>
      <c r="T129" s="4" t="str">
        <f t="shared" si="463"/>
        <v/>
      </c>
      <c r="U129" s="4"/>
      <c r="V129" s="4" t="str">
        <f t="shared" si="464"/>
        <v/>
      </c>
      <c r="W129" s="4"/>
      <c r="X129" s="2" t="str">
        <f t="shared" si="431"/>
        <v/>
      </c>
      <c r="Y129" s="4" t="str">
        <f t="shared" si="432"/>
        <v/>
      </c>
      <c r="Z129" s="4" t="str">
        <f t="shared" si="465"/>
        <v/>
      </c>
      <c r="AA129" s="4" t="str">
        <f t="shared" si="466"/>
        <v/>
      </c>
      <c r="AB129" s="29"/>
      <c r="AD129" s="80" t="str">
        <f>IF($A$425="","",$A$425)</f>
        <v/>
      </c>
      <c r="AE129" s="4"/>
      <c r="AF129" s="4" t="str">
        <f t="shared" si="467"/>
        <v/>
      </c>
      <c r="AG129" s="4"/>
      <c r="AH129" s="4" t="str">
        <f t="shared" si="468"/>
        <v/>
      </c>
      <c r="AI129" s="4"/>
      <c r="AJ129" s="4" t="str">
        <f t="shared" si="469"/>
        <v/>
      </c>
      <c r="AK129" s="4"/>
      <c r="AL129" s="31" t="str">
        <f t="shared" si="429"/>
        <v/>
      </c>
      <c r="AM129" s="4" t="str">
        <f t="shared" si="430"/>
        <v/>
      </c>
      <c r="AN129" s="4" t="str">
        <f t="shared" si="470"/>
        <v/>
      </c>
      <c r="AO129" s="4" t="str">
        <f t="shared" si="471"/>
        <v/>
      </c>
      <c r="AP129" s="29"/>
      <c r="AR129" s="80" t="str">
        <f>IF($A$425="","",$A$425)</f>
        <v/>
      </c>
      <c r="AS129" s="4"/>
      <c r="AT129" s="4" t="str">
        <f t="shared" si="472"/>
        <v/>
      </c>
      <c r="AU129" s="4"/>
      <c r="AV129" s="4" t="str">
        <f t="shared" si="473"/>
        <v/>
      </c>
      <c r="AW129" s="4"/>
      <c r="AX129" s="4" t="str">
        <f t="shared" si="474"/>
        <v/>
      </c>
      <c r="AY129" s="4"/>
      <c r="AZ129" s="31" t="str">
        <f t="shared" si="433"/>
        <v/>
      </c>
      <c r="BA129" s="4" t="str">
        <f t="shared" si="434"/>
        <v/>
      </c>
      <c r="BB129" s="4" t="str">
        <f t="shared" si="475"/>
        <v/>
      </c>
      <c r="BC129" s="4" t="str">
        <f t="shared" si="476"/>
        <v/>
      </c>
      <c r="BD129" s="29"/>
      <c r="BE129" s="32"/>
      <c r="BF129" s="33" t="str">
        <f>IF($A90="","",$A90)</f>
        <v/>
      </c>
      <c r="BG129" s="4"/>
      <c r="BH129" s="4" t="str">
        <f t="shared" si="477"/>
        <v/>
      </c>
      <c r="BI129" s="4"/>
      <c r="BJ129" s="50" t="str">
        <f t="shared" si="478"/>
        <v/>
      </c>
      <c r="BK129" s="4"/>
      <c r="BL129" s="4" t="str">
        <f t="shared" si="479"/>
        <v/>
      </c>
      <c r="BM129" s="4"/>
      <c r="BN129" s="2" t="str">
        <f t="shared" ref="BN129:BO132" si="484">IF(BG129="","",BN125)</f>
        <v/>
      </c>
      <c r="BO129" s="27" t="str">
        <f t="shared" si="484"/>
        <v/>
      </c>
      <c r="BP129" s="50" t="str">
        <f t="shared" si="480"/>
        <v/>
      </c>
      <c r="BQ129" s="52" t="str">
        <f t="shared" si="483"/>
        <v/>
      </c>
      <c r="BR129" s="29"/>
      <c r="BT129" s="33" t="str">
        <f>IF($A90="","",$A90)</f>
        <v/>
      </c>
      <c r="BU129" s="4"/>
      <c r="BV129" s="4" t="str">
        <f t="shared" si="481"/>
        <v/>
      </c>
      <c r="BW129" s="4"/>
      <c r="BX129" s="50" t="str">
        <f t="shared" si="482"/>
        <v/>
      </c>
      <c r="BY129" s="4"/>
      <c r="BZ129" s="4" t="str">
        <f>IF(BY129="","",BY125+CA125-BY129)</f>
        <v/>
      </c>
      <c r="CA129" s="4"/>
      <c r="CB129" s="2" t="str">
        <f>IF(BU129="","",CB125)</f>
        <v/>
      </c>
      <c r="CC129" s="27" t="str">
        <f>IF(BU129="","",CC125)</f>
        <v/>
      </c>
      <c r="CD129" s="5" t="str">
        <f>IF(BY129="","",BZ129*CC129)</f>
        <v/>
      </c>
      <c r="CE129" s="52" t="str">
        <f>IF(BZ129="","",CD129/(BV129*100))</f>
        <v/>
      </c>
      <c r="CF129" s="29"/>
      <c r="CH129" s="14"/>
      <c r="CI129" s="39"/>
      <c r="CJ129" s="5"/>
      <c r="CK129" s="5"/>
      <c r="CL129" s="5"/>
      <c r="CM129" s="5"/>
      <c r="CN129" s="5" t="str">
        <f>IF(CM129="","",CM128+CO128-CM129)</f>
        <v/>
      </c>
      <c r="CO129" s="5"/>
      <c r="CP129" s="5"/>
      <c r="CQ129" s="5"/>
      <c r="CR129" s="5" t="str">
        <f>IF(CQ129="","",CN129*CQ129)</f>
        <v/>
      </c>
      <c r="CS129" s="36" t="str">
        <f>IF(CR129="","",CR129/(CJ129*100))</f>
        <v/>
      </c>
      <c r="CT129" s="29"/>
      <c r="CV129" s="14"/>
      <c r="CW129" s="39"/>
      <c r="CX129" s="5"/>
      <c r="CY129" s="5"/>
      <c r="CZ129" s="5"/>
      <c r="DA129" s="5"/>
      <c r="DB129" s="5" t="str">
        <f>IF(DA129="","",DA128+DC128-DA129)</f>
        <v/>
      </c>
      <c r="DC129" s="5"/>
      <c r="DD129" s="5"/>
      <c r="DE129" s="5"/>
      <c r="DF129" s="5" t="str">
        <f>IF(DE129="","",DB129*DE129)</f>
        <v/>
      </c>
      <c r="DG129" s="36" t="str">
        <f>IF(DF129="","",DF129/(CX129*100))</f>
        <v/>
      </c>
      <c r="DH129" s="29"/>
      <c r="DJ129" s="14"/>
      <c r="DK129" s="39"/>
      <c r="DL129" s="5"/>
      <c r="DM129" s="5"/>
      <c r="DN129" s="5"/>
      <c r="DO129" s="5"/>
      <c r="DP129" s="5" t="str">
        <f>IF(DO129="","",DO128+DQ128-DO129)</f>
        <v/>
      </c>
      <c r="DQ129" s="5"/>
      <c r="DR129" s="5"/>
      <c r="DS129" s="5"/>
      <c r="DT129" s="5" t="str">
        <f>IF(DS129="","",DP129*DS129)</f>
        <v/>
      </c>
      <c r="DU129" s="36" t="str">
        <f>IF(DT129="","",DT129/(DL129*100))</f>
        <v/>
      </c>
      <c r="DV129" s="29"/>
      <c r="DX129" s="14"/>
      <c r="DY129" s="39"/>
      <c r="DZ129" s="5"/>
      <c r="EA129" s="5"/>
      <c r="EB129" s="5"/>
      <c r="EC129" s="5"/>
      <c r="ED129" s="5" t="str">
        <f>IF(EC129="","",EC128+EE128-EC129)</f>
        <v/>
      </c>
      <c r="EE129" s="5"/>
      <c r="EF129" s="5"/>
      <c r="EG129" s="5"/>
      <c r="EH129" s="5" t="str">
        <f>IF(EG129="","",ED129*EG129)</f>
        <v/>
      </c>
      <c r="EI129" s="36" t="str">
        <f>IF(EH129="","",EH129/(DZ129*100))</f>
        <v/>
      </c>
      <c r="EJ129" s="29"/>
      <c r="EL129" s="14"/>
      <c r="EM129" s="39"/>
      <c r="EN129" s="5"/>
      <c r="EO129" s="5"/>
      <c r="EP129" s="5"/>
      <c r="EQ129" s="5"/>
      <c r="ER129" s="5" t="str">
        <f>IF(EQ129="","",EQ128+ES128-EQ129)</f>
        <v/>
      </c>
      <c r="ES129" s="5"/>
      <c r="ET129" s="5"/>
      <c r="EU129" s="5"/>
      <c r="EV129" s="5" t="str">
        <f>IF(EU129="","",ER129*EU129)</f>
        <v/>
      </c>
      <c r="EW129" s="36" t="str">
        <f>IF(EV129="","",EV129/(EN129*100))</f>
        <v/>
      </c>
      <c r="EX129" s="29"/>
      <c r="EZ129" s="14"/>
      <c r="FA129" s="39"/>
      <c r="FB129" s="5"/>
      <c r="FC129" s="5"/>
      <c r="FD129" s="5"/>
      <c r="FE129" s="5"/>
      <c r="FF129" s="5" t="str">
        <f>IF(FE129="","",FE128+FG128-FE129)</f>
        <v/>
      </c>
      <c r="FG129" s="5"/>
      <c r="FH129" s="5"/>
      <c r="FI129" s="5"/>
      <c r="FJ129" s="5" t="str">
        <f>IF(FI129="","",FF129*FI129)</f>
        <v/>
      </c>
      <c r="FK129" s="36" t="str">
        <f>IF(FJ129="","",FJ129/(FB129*100))</f>
        <v/>
      </c>
      <c r="FL129" s="29"/>
      <c r="FN129" s="14"/>
      <c r="FO129" s="39"/>
      <c r="FP129" s="5"/>
      <c r="FQ129" s="5"/>
      <c r="FR129" s="5"/>
      <c r="FS129" s="5"/>
      <c r="FT129" s="5" t="str">
        <f>IF(FS129="","",FS128+FU128-FS129)</f>
        <v/>
      </c>
      <c r="FU129" s="5"/>
      <c r="FV129" s="5"/>
      <c r="FW129" s="5"/>
      <c r="FX129" s="5" t="str">
        <f>IF(FW129="","",FT129*FW129)</f>
        <v/>
      </c>
      <c r="FY129" s="36" t="str">
        <f>IF(FX129="","",FX129/(FP129*100))</f>
        <v/>
      </c>
      <c r="FZ129" s="29"/>
      <c r="GB129" s="14"/>
      <c r="GC129" s="39"/>
      <c r="GD129" s="5"/>
      <c r="GE129" s="5"/>
      <c r="GF129" s="5"/>
      <c r="GG129" s="5"/>
      <c r="GH129" s="5" t="str">
        <f>IF(GG129="","",GG128+GI128-GG129)</f>
        <v/>
      </c>
      <c r="GI129" s="5"/>
      <c r="GJ129" s="5"/>
      <c r="GK129" s="5"/>
      <c r="GL129" s="5" t="str">
        <f>IF(GK129="","",GH129*GK129)</f>
        <v/>
      </c>
      <c r="GM129" s="36" t="str">
        <f>IF(GL129="","",GL129/(GD129*100))</f>
        <v/>
      </c>
      <c r="GN129" s="29"/>
      <c r="GP129" s="14"/>
      <c r="GQ129" s="39"/>
      <c r="GR129" s="5"/>
      <c r="GS129" s="5"/>
      <c r="GT129" s="5"/>
      <c r="GU129" s="5"/>
      <c r="GV129" s="5"/>
      <c r="GW129" s="5"/>
      <c r="GX129" s="5" t="str">
        <f>IF(GW129="","",GW128+GY128-GW129)</f>
        <v/>
      </c>
      <c r="GY129" s="5"/>
      <c r="GZ129" s="5"/>
      <c r="HA129" s="5"/>
      <c r="HB129" s="5" t="str">
        <f>IF(HA129="","",GX129*HA129)</f>
        <v/>
      </c>
      <c r="HC129" s="36" t="str">
        <f>IF(HB129="","",HB129/(GR129*100))</f>
        <v/>
      </c>
      <c r="HD129" s="29"/>
      <c r="HF129" s="14"/>
      <c r="HG129" s="39"/>
      <c r="HH129" s="5"/>
      <c r="HI129" s="5"/>
      <c r="HJ129" s="29"/>
      <c r="HL129" s="14"/>
      <c r="HM129" s="39"/>
      <c r="HN129" s="5"/>
      <c r="HO129" s="5"/>
      <c r="HP129" s="29"/>
      <c r="HR129" s="14"/>
      <c r="HS129" s="39"/>
      <c r="HT129" s="5"/>
      <c r="HU129" s="5"/>
      <c r="HV129" s="29"/>
    </row>
    <row r="130" spans="1:230" ht="15" customHeight="1" x14ac:dyDescent="0.2">
      <c r="A130" s="49"/>
      <c r="B130" s="26"/>
      <c r="C130" s="4"/>
      <c r="D130" s="4" t="str">
        <f t="shared" si="456"/>
        <v/>
      </c>
      <c r="E130" s="4"/>
      <c r="F130" s="4" t="str">
        <f t="shared" si="457"/>
        <v/>
      </c>
      <c r="G130" s="4"/>
      <c r="H130" s="4" t="str">
        <f>IF(G130="","",G126+I126-G130)</f>
        <v/>
      </c>
      <c r="I130" s="4"/>
      <c r="J130" s="2" t="str">
        <f t="shared" si="458"/>
        <v/>
      </c>
      <c r="K130" s="4" t="str">
        <f t="shared" si="459"/>
        <v/>
      </c>
      <c r="L130" s="4" t="str">
        <f t="shared" si="460"/>
        <v/>
      </c>
      <c r="M130" s="4" t="str">
        <f t="shared" si="461"/>
        <v/>
      </c>
      <c r="N130" s="29"/>
      <c r="P130" s="33"/>
      <c r="Q130" s="4"/>
      <c r="R130" s="4" t="str">
        <f t="shared" si="462"/>
        <v/>
      </c>
      <c r="S130" s="4"/>
      <c r="T130" s="4" t="str">
        <f t="shared" si="463"/>
        <v/>
      </c>
      <c r="U130" s="4"/>
      <c r="V130" s="4" t="str">
        <f t="shared" si="464"/>
        <v/>
      </c>
      <c r="W130" s="4"/>
      <c r="X130" s="31" t="str">
        <f t="shared" si="431"/>
        <v/>
      </c>
      <c r="Y130" s="4" t="str">
        <f t="shared" si="432"/>
        <v/>
      </c>
      <c r="Z130" s="4" t="str">
        <f t="shared" si="465"/>
        <v/>
      </c>
      <c r="AA130" s="4" t="str">
        <f t="shared" si="466"/>
        <v/>
      </c>
      <c r="AB130" s="29"/>
      <c r="AD130" s="33"/>
      <c r="AE130" s="4"/>
      <c r="AF130" s="4" t="str">
        <f t="shared" si="467"/>
        <v/>
      </c>
      <c r="AG130" s="4"/>
      <c r="AH130" s="4" t="str">
        <f t="shared" si="468"/>
        <v/>
      </c>
      <c r="AI130" s="4"/>
      <c r="AJ130" s="4" t="str">
        <f t="shared" si="469"/>
        <v/>
      </c>
      <c r="AK130" s="4"/>
      <c r="AL130" s="31" t="str">
        <f t="shared" si="429"/>
        <v/>
      </c>
      <c r="AM130" s="4" t="str">
        <f t="shared" si="430"/>
        <v/>
      </c>
      <c r="AN130" s="4" t="str">
        <f t="shared" si="470"/>
        <v/>
      </c>
      <c r="AO130" s="4" t="str">
        <f t="shared" si="471"/>
        <v/>
      </c>
      <c r="AP130" s="29"/>
      <c r="AR130" s="33"/>
      <c r="AS130" s="4"/>
      <c r="AT130" s="4" t="str">
        <f t="shared" si="472"/>
        <v/>
      </c>
      <c r="AU130" s="4"/>
      <c r="AV130" s="4" t="str">
        <f t="shared" si="473"/>
        <v/>
      </c>
      <c r="AW130" s="4"/>
      <c r="AX130" s="4" t="str">
        <f t="shared" si="474"/>
        <v/>
      </c>
      <c r="AY130" s="4"/>
      <c r="AZ130" s="31" t="str">
        <f t="shared" si="433"/>
        <v/>
      </c>
      <c r="BA130" s="4" t="str">
        <f t="shared" si="434"/>
        <v/>
      </c>
      <c r="BB130" s="4" t="str">
        <f t="shared" si="475"/>
        <v/>
      </c>
      <c r="BC130" s="4" t="str">
        <f t="shared" si="476"/>
        <v/>
      </c>
      <c r="BD130" s="29"/>
      <c r="BE130" s="32"/>
      <c r="BF130" s="33"/>
      <c r="BG130" s="4"/>
      <c r="BH130" s="5" t="str">
        <f t="shared" si="477"/>
        <v/>
      </c>
      <c r="BI130" s="4"/>
      <c r="BJ130" s="5" t="str">
        <f t="shared" si="478"/>
        <v/>
      </c>
      <c r="BK130" s="4"/>
      <c r="BL130" s="5" t="str">
        <f t="shared" si="479"/>
        <v/>
      </c>
      <c r="BM130" s="4"/>
      <c r="BN130" s="3" t="str">
        <f t="shared" si="484"/>
        <v/>
      </c>
      <c r="BO130" s="39" t="str">
        <f t="shared" si="484"/>
        <v/>
      </c>
      <c r="BP130" s="5" t="str">
        <f t="shared" si="480"/>
        <v/>
      </c>
      <c r="BQ130" s="36" t="str">
        <f t="shared" si="483"/>
        <v/>
      </c>
      <c r="BR130" s="29"/>
      <c r="BT130" s="33"/>
      <c r="BU130" s="4"/>
      <c r="BV130" s="5" t="str">
        <f t="shared" si="481"/>
        <v/>
      </c>
      <c r="BW130" s="4"/>
      <c r="BX130" s="5" t="str">
        <f t="shared" si="482"/>
        <v/>
      </c>
      <c r="BY130" s="5"/>
      <c r="BZ130" s="5" t="str">
        <f>IF(BY130="","",BY126+CA126-BY130)</f>
        <v/>
      </c>
      <c r="CA130" s="4"/>
      <c r="CB130" s="3" t="str">
        <f>IF(BU130="","",CB126)</f>
        <v/>
      </c>
      <c r="CC130" s="39" t="str">
        <f>IF(BU129="","",CC126)</f>
        <v/>
      </c>
      <c r="CD130" s="4" t="str">
        <f>IF(BY130="","",BZ130*CC130)</f>
        <v/>
      </c>
      <c r="CE130" s="36" t="str">
        <f>IF(BZ130="","",CD130/(BV130*100))</f>
        <v/>
      </c>
      <c r="CF130" s="29"/>
      <c r="CH130" s="14"/>
      <c r="CI130" s="39"/>
      <c r="CJ130" s="5"/>
      <c r="CK130" s="5"/>
      <c r="CL130" s="5"/>
      <c r="CM130" s="5"/>
      <c r="CN130" s="5"/>
      <c r="CO130" s="5"/>
      <c r="CP130" s="5"/>
      <c r="CQ130" s="5"/>
      <c r="CR130" s="5"/>
      <c r="CS130" s="36"/>
      <c r="CT130" s="29"/>
      <c r="CV130" s="14"/>
      <c r="CW130" s="39"/>
      <c r="CX130" s="5"/>
      <c r="CY130" s="5"/>
      <c r="CZ130" s="5"/>
      <c r="DA130" s="5"/>
      <c r="DB130" s="5"/>
      <c r="DC130" s="5"/>
      <c r="DD130" s="5"/>
      <c r="DE130" s="5"/>
      <c r="DF130" s="5"/>
      <c r="DG130" s="36"/>
      <c r="DH130" s="29"/>
      <c r="DJ130" s="14"/>
      <c r="DK130" s="39"/>
      <c r="DL130" s="5"/>
      <c r="DM130" s="5"/>
      <c r="DN130" s="5"/>
      <c r="DO130" s="5"/>
      <c r="DP130" s="5"/>
      <c r="DQ130" s="5"/>
      <c r="DR130" s="5"/>
      <c r="DS130" s="5"/>
      <c r="DT130" s="5"/>
      <c r="DU130" s="36"/>
      <c r="DV130" s="29"/>
      <c r="DX130" s="14"/>
      <c r="DY130" s="39"/>
      <c r="DZ130" s="5"/>
      <c r="EA130" s="5"/>
      <c r="EB130" s="5"/>
      <c r="EC130" s="5"/>
      <c r="ED130" s="5"/>
      <c r="EE130" s="5"/>
      <c r="EF130" s="5"/>
      <c r="EG130" s="5"/>
      <c r="EH130" s="5"/>
      <c r="EI130" s="36"/>
      <c r="EJ130" s="29"/>
      <c r="EL130" s="14"/>
      <c r="EM130" s="39"/>
      <c r="EN130" s="5"/>
      <c r="EO130" s="5"/>
      <c r="EP130" s="5"/>
      <c r="EQ130" s="5"/>
      <c r="ER130" s="5"/>
      <c r="ES130" s="5"/>
      <c r="ET130" s="5"/>
      <c r="EU130" s="5"/>
      <c r="EV130" s="5"/>
      <c r="EW130" s="36"/>
      <c r="EX130" s="29"/>
      <c r="EZ130" s="14"/>
      <c r="FA130" s="39"/>
      <c r="FB130" s="5"/>
      <c r="FC130" s="5"/>
      <c r="FD130" s="5"/>
      <c r="FE130" s="5"/>
      <c r="FF130" s="5"/>
      <c r="FG130" s="5"/>
      <c r="FH130" s="5"/>
      <c r="FI130" s="5"/>
      <c r="FJ130" s="5"/>
      <c r="FK130" s="36"/>
      <c r="FL130" s="29"/>
      <c r="FN130" s="14"/>
      <c r="FO130" s="39"/>
      <c r="FP130" s="5"/>
      <c r="FQ130" s="5"/>
      <c r="FR130" s="5"/>
      <c r="FS130" s="5"/>
      <c r="FT130" s="5"/>
      <c r="FU130" s="5"/>
      <c r="FV130" s="5"/>
      <c r="FW130" s="5"/>
      <c r="FX130" s="5"/>
      <c r="FY130" s="36"/>
      <c r="FZ130" s="29"/>
      <c r="GB130" s="14"/>
      <c r="GC130" s="39"/>
      <c r="GD130" s="5"/>
      <c r="GE130" s="5"/>
      <c r="GF130" s="5"/>
      <c r="GG130" s="5"/>
      <c r="GH130" s="5"/>
      <c r="GI130" s="5"/>
      <c r="GJ130" s="5"/>
      <c r="GK130" s="5"/>
      <c r="GL130" s="5"/>
      <c r="GM130" s="36"/>
      <c r="GN130" s="29"/>
      <c r="GP130" s="14"/>
      <c r="GQ130" s="39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36"/>
      <c r="HD130" s="29"/>
      <c r="HF130" s="14"/>
      <c r="HG130" s="39"/>
      <c r="HH130" s="5"/>
      <c r="HI130" s="5"/>
      <c r="HJ130" s="29"/>
      <c r="HL130" s="14"/>
      <c r="HM130" s="39"/>
      <c r="HN130" s="5"/>
      <c r="HO130" s="5"/>
      <c r="HP130" s="29"/>
      <c r="HR130" s="14"/>
      <c r="HS130" s="39"/>
      <c r="HT130" s="5"/>
      <c r="HU130" s="5"/>
      <c r="HV130" s="29"/>
    </row>
    <row r="131" spans="1:230" ht="15" customHeight="1" x14ac:dyDescent="0.2">
      <c r="A131" s="15"/>
      <c r="B131" s="64"/>
      <c r="C131" s="57"/>
      <c r="D131" s="57" t="str">
        <f t="shared" si="456"/>
        <v/>
      </c>
      <c r="E131" s="57"/>
      <c r="F131" s="57" t="str">
        <f t="shared" si="457"/>
        <v/>
      </c>
      <c r="G131" s="57"/>
      <c r="H131" s="57" t="str">
        <f>IF(G131="","",G127+I127-G131)</f>
        <v/>
      </c>
      <c r="I131" s="57"/>
      <c r="J131" s="81" t="str">
        <f t="shared" si="458"/>
        <v/>
      </c>
      <c r="K131" s="57" t="str">
        <f t="shared" si="459"/>
        <v/>
      </c>
      <c r="L131" s="57" t="str">
        <f t="shared" si="460"/>
        <v/>
      </c>
      <c r="M131" s="57" t="str">
        <f t="shared" si="461"/>
        <v/>
      </c>
      <c r="N131" s="82"/>
      <c r="P131" s="72"/>
      <c r="Q131" s="57"/>
      <c r="R131" s="57" t="str">
        <f t="shared" si="462"/>
        <v/>
      </c>
      <c r="S131" s="57"/>
      <c r="T131" s="57" t="str">
        <f t="shared" si="463"/>
        <v/>
      </c>
      <c r="U131" s="57"/>
      <c r="V131" s="57" t="str">
        <f t="shared" si="464"/>
        <v/>
      </c>
      <c r="W131" s="57"/>
      <c r="X131" s="83" t="str">
        <f t="shared" si="431"/>
        <v/>
      </c>
      <c r="Y131" s="57" t="str">
        <f t="shared" si="432"/>
        <v/>
      </c>
      <c r="Z131" s="57" t="str">
        <f t="shared" si="465"/>
        <v/>
      </c>
      <c r="AA131" s="57" t="str">
        <f t="shared" si="466"/>
        <v/>
      </c>
      <c r="AB131" s="82"/>
      <c r="AD131" s="72"/>
      <c r="AE131" s="57"/>
      <c r="AF131" s="57" t="str">
        <f t="shared" si="467"/>
        <v/>
      </c>
      <c r="AG131" s="57"/>
      <c r="AH131" s="57" t="str">
        <f t="shared" si="468"/>
        <v/>
      </c>
      <c r="AI131" s="57"/>
      <c r="AJ131" s="57" t="str">
        <f t="shared" si="469"/>
        <v/>
      </c>
      <c r="AK131" s="57"/>
      <c r="AL131" s="83" t="str">
        <f t="shared" si="429"/>
        <v/>
      </c>
      <c r="AM131" s="57" t="str">
        <f t="shared" si="430"/>
        <v/>
      </c>
      <c r="AN131" s="57" t="str">
        <f t="shared" si="470"/>
        <v/>
      </c>
      <c r="AO131" s="57" t="str">
        <f t="shared" si="471"/>
        <v/>
      </c>
      <c r="AP131" s="82"/>
      <c r="AR131" s="72"/>
      <c r="AS131" s="57"/>
      <c r="AT131" s="57" t="str">
        <f t="shared" si="472"/>
        <v/>
      </c>
      <c r="AU131" s="57"/>
      <c r="AV131" s="57" t="str">
        <f t="shared" si="473"/>
        <v/>
      </c>
      <c r="AW131" s="57"/>
      <c r="AX131" s="57" t="str">
        <f t="shared" si="474"/>
        <v/>
      </c>
      <c r="AY131" s="57"/>
      <c r="AZ131" s="83" t="str">
        <f t="shared" si="433"/>
        <v/>
      </c>
      <c r="BA131" s="57" t="str">
        <f t="shared" si="434"/>
        <v/>
      </c>
      <c r="BB131" s="57" t="str">
        <f t="shared" si="475"/>
        <v/>
      </c>
      <c r="BC131" s="57" t="str">
        <f t="shared" si="476"/>
        <v/>
      </c>
      <c r="BD131" s="82"/>
      <c r="BE131" s="32"/>
      <c r="BF131" s="33"/>
      <c r="BG131" s="4"/>
      <c r="BH131" s="5" t="str">
        <f t="shared" si="477"/>
        <v/>
      </c>
      <c r="BI131" s="4"/>
      <c r="BJ131" s="5" t="str">
        <f t="shared" si="478"/>
        <v/>
      </c>
      <c r="BK131" s="4"/>
      <c r="BL131" s="5" t="str">
        <f t="shared" si="479"/>
        <v/>
      </c>
      <c r="BM131" s="4"/>
      <c r="BN131" s="3" t="str">
        <f t="shared" si="484"/>
        <v/>
      </c>
      <c r="BO131" s="39" t="str">
        <f t="shared" si="484"/>
        <v/>
      </c>
      <c r="BP131" s="5" t="str">
        <f t="shared" si="480"/>
        <v/>
      </c>
      <c r="BQ131" s="36" t="str">
        <f t="shared" si="483"/>
        <v/>
      </c>
      <c r="BR131" s="29"/>
      <c r="BT131" s="33"/>
      <c r="BU131" s="4"/>
      <c r="BV131" s="5" t="str">
        <f t="shared" si="481"/>
        <v/>
      </c>
      <c r="BW131" s="4"/>
      <c r="BX131" s="5" t="str">
        <f t="shared" si="482"/>
        <v/>
      </c>
      <c r="BY131" s="5"/>
      <c r="BZ131" s="5"/>
      <c r="CA131" s="57"/>
      <c r="CB131" s="3"/>
      <c r="CC131" s="39"/>
      <c r="CD131" s="5"/>
      <c r="CE131" s="36"/>
      <c r="CF131" s="29"/>
      <c r="CH131" s="14"/>
      <c r="CI131" s="39"/>
      <c r="CJ131" s="5"/>
      <c r="CK131" s="5"/>
      <c r="CL131" s="5"/>
      <c r="CM131" s="5"/>
      <c r="CN131" s="5"/>
      <c r="CO131" s="5"/>
      <c r="CP131" s="5"/>
      <c r="CQ131" s="5"/>
      <c r="CR131" s="5"/>
      <c r="CS131" s="36"/>
      <c r="CT131" s="29"/>
      <c r="CV131" s="14"/>
      <c r="CW131" s="39"/>
      <c r="CX131" s="5"/>
      <c r="CY131" s="5"/>
      <c r="CZ131" s="5"/>
      <c r="DA131" s="5"/>
      <c r="DB131" s="5"/>
      <c r="DC131" s="5"/>
      <c r="DD131" s="5"/>
      <c r="DE131" s="5"/>
      <c r="DF131" s="5"/>
      <c r="DG131" s="36"/>
      <c r="DH131" s="29"/>
      <c r="DJ131" s="14"/>
      <c r="DK131" s="39"/>
      <c r="DL131" s="5"/>
      <c r="DM131" s="5"/>
      <c r="DN131" s="5"/>
      <c r="DO131" s="5"/>
      <c r="DP131" s="5"/>
      <c r="DQ131" s="5"/>
      <c r="DR131" s="5"/>
      <c r="DS131" s="5"/>
      <c r="DT131" s="5"/>
      <c r="DU131" s="36"/>
      <c r="DV131" s="29"/>
      <c r="DX131" s="14"/>
      <c r="DY131" s="39"/>
      <c r="DZ131" s="5"/>
      <c r="EA131" s="5"/>
      <c r="EB131" s="5"/>
      <c r="EC131" s="5"/>
      <c r="ED131" s="5"/>
      <c r="EE131" s="5"/>
      <c r="EF131" s="5"/>
      <c r="EG131" s="5"/>
      <c r="EH131" s="5"/>
      <c r="EI131" s="36"/>
      <c r="EJ131" s="29"/>
      <c r="EL131" s="14"/>
      <c r="EM131" s="39"/>
      <c r="EN131" s="5"/>
      <c r="EO131" s="5"/>
      <c r="EP131" s="5"/>
      <c r="EQ131" s="5"/>
      <c r="ER131" s="5"/>
      <c r="ES131" s="5"/>
      <c r="ET131" s="5"/>
      <c r="EU131" s="5"/>
      <c r="EV131" s="5"/>
      <c r="EW131" s="36"/>
      <c r="EX131" s="29"/>
      <c r="EZ131" s="14"/>
      <c r="FA131" s="39"/>
      <c r="FB131" s="5"/>
      <c r="FC131" s="5"/>
      <c r="FD131" s="5"/>
      <c r="FE131" s="5"/>
      <c r="FF131" s="5"/>
      <c r="FG131" s="5"/>
      <c r="FH131" s="5"/>
      <c r="FI131" s="5"/>
      <c r="FJ131" s="5"/>
      <c r="FK131" s="36"/>
      <c r="FL131" s="29"/>
      <c r="FN131" s="14"/>
      <c r="FO131" s="39"/>
      <c r="FP131" s="5"/>
      <c r="FQ131" s="5"/>
      <c r="FR131" s="5"/>
      <c r="FS131" s="5"/>
      <c r="FT131" s="5"/>
      <c r="FU131" s="5"/>
      <c r="FV131" s="5"/>
      <c r="FW131" s="5"/>
      <c r="FX131" s="5"/>
      <c r="FY131" s="36"/>
      <c r="FZ131" s="29"/>
      <c r="GB131" s="14"/>
      <c r="GC131" s="39"/>
      <c r="GD131" s="5"/>
      <c r="GE131" s="5"/>
      <c r="GF131" s="5"/>
      <c r="GG131" s="5"/>
      <c r="GH131" s="5"/>
      <c r="GI131" s="5"/>
      <c r="GJ131" s="5"/>
      <c r="GK131" s="5"/>
      <c r="GL131" s="5"/>
      <c r="GM131" s="36"/>
      <c r="GN131" s="29"/>
      <c r="GP131" s="14"/>
      <c r="GQ131" s="39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36"/>
      <c r="HD131" s="29"/>
      <c r="HF131" s="14"/>
      <c r="HG131" s="39"/>
      <c r="HH131" s="5"/>
      <c r="HI131" s="5"/>
      <c r="HJ131" s="29"/>
      <c r="HL131" s="14"/>
      <c r="HM131" s="39"/>
      <c r="HN131" s="5"/>
      <c r="HO131" s="5"/>
      <c r="HP131" s="29"/>
      <c r="HR131" s="14"/>
      <c r="HS131" s="39"/>
      <c r="HT131" s="5"/>
      <c r="HU131" s="5"/>
      <c r="HV131" s="29"/>
    </row>
    <row r="132" spans="1:230" ht="15" customHeight="1" thickBot="1" x14ac:dyDescent="0.25">
      <c r="A132" s="84"/>
      <c r="B132" s="66"/>
      <c r="C132" s="43"/>
      <c r="D132" s="43" t="str">
        <f t="shared" si="456"/>
        <v/>
      </c>
      <c r="E132" s="43"/>
      <c r="F132" s="43" t="str">
        <f t="shared" si="457"/>
        <v/>
      </c>
      <c r="G132" s="43"/>
      <c r="H132" s="43" t="str">
        <f>IF(G132="","",G128+I128-G132)</f>
        <v/>
      </c>
      <c r="I132" s="43"/>
      <c r="J132" s="85" t="str">
        <f t="shared" si="458"/>
        <v/>
      </c>
      <c r="K132" s="43" t="str">
        <f t="shared" si="459"/>
        <v/>
      </c>
      <c r="L132" s="43" t="str">
        <f t="shared" si="460"/>
        <v/>
      </c>
      <c r="M132" s="43" t="str">
        <f t="shared" si="461"/>
        <v/>
      </c>
      <c r="N132" s="86"/>
      <c r="P132" s="87"/>
      <c r="Q132" s="43"/>
      <c r="R132" s="43" t="str">
        <f t="shared" si="462"/>
        <v/>
      </c>
      <c r="S132" s="43"/>
      <c r="T132" s="43" t="str">
        <f t="shared" si="463"/>
        <v/>
      </c>
      <c r="U132" s="43"/>
      <c r="V132" s="43" t="str">
        <f t="shared" si="464"/>
        <v/>
      </c>
      <c r="W132" s="43"/>
      <c r="X132" s="88" t="str">
        <f t="shared" si="431"/>
        <v/>
      </c>
      <c r="Y132" s="43" t="str">
        <f t="shared" si="432"/>
        <v/>
      </c>
      <c r="Z132" s="43" t="str">
        <f t="shared" si="465"/>
        <v/>
      </c>
      <c r="AA132" s="43" t="str">
        <f t="shared" si="466"/>
        <v/>
      </c>
      <c r="AB132" s="86"/>
      <c r="AD132" s="87"/>
      <c r="AE132" s="43"/>
      <c r="AF132" s="43" t="str">
        <f t="shared" si="467"/>
        <v/>
      </c>
      <c r="AG132" s="43"/>
      <c r="AH132" s="43" t="str">
        <f t="shared" si="468"/>
        <v/>
      </c>
      <c r="AI132" s="43"/>
      <c r="AJ132" s="43" t="str">
        <f t="shared" si="469"/>
        <v/>
      </c>
      <c r="AK132" s="43"/>
      <c r="AL132" s="88" t="str">
        <f t="shared" si="429"/>
        <v/>
      </c>
      <c r="AM132" s="43" t="str">
        <f t="shared" si="430"/>
        <v/>
      </c>
      <c r="AN132" s="43" t="str">
        <f t="shared" si="470"/>
        <v/>
      </c>
      <c r="AO132" s="43" t="str">
        <f t="shared" si="471"/>
        <v/>
      </c>
      <c r="AP132" s="86"/>
      <c r="AR132" s="87"/>
      <c r="AS132" s="43"/>
      <c r="AT132" s="43" t="str">
        <f t="shared" si="472"/>
        <v/>
      </c>
      <c r="AU132" s="43"/>
      <c r="AV132" s="43" t="str">
        <f t="shared" si="473"/>
        <v/>
      </c>
      <c r="AW132" s="43"/>
      <c r="AX132" s="43" t="str">
        <f t="shared" si="474"/>
        <v/>
      </c>
      <c r="AY132" s="43"/>
      <c r="AZ132" s="88" t="str">
        <f t="shared" si="433"/>
        <v/>
      </c>
      <c r="BA132" s="43" t="str">
        <f t="shared" si="434"/>
        <v/>
      </c>
      <c r="BB132" s="43" t="str">
        <f t="shared" si="475"/>
        <v/>
      </c>
      <c r="BC132" s="43" t="str">
        <f t="shared" si="476"/>
        <v/>
      </c>
      <c r="BD132" s="86"/>
      <c r="BE132" s="32"/>
      <c r="BF132" s="33"/>
      <c r="BG132" s="4"/>
      <c r="BH132" s="5" t="str">
        <f t="shared" si="477"/>
        <v/>
      </c>
      <c r="BI132" s="5"/>
      <c r="BJ132" s="5"/>
      <c r="BK132" s="5"/>
      <c r="BL132" s="5"/>
      <c r="BM132" s="4"/>
      <c r="BN132" s="45" t="str">
        <f t="shared" si="484"/>
        <v/>
      </c>
      <c r="BO132" s="61" t="str">
        <f t="shared" si="484"/>
        <v/>
      </c>
      <c r="BP132" s="44" t="str">
        <f t="shared" si="480"/>
        <v/>
      </c>
      <c r="BQ132" s="46" t="str">
        <f t="shared" si="483"/>
        <v/>
      </c>
      <c r="BR132" s="29"/>
      <c r="BT132" s="87"/>
      <c r="BU132" s="43"/>
      <c r="BV132" s="43" t="str">
        <f t="shared" si="481"/>
        <v/>
      </c>
      <c r="BW132" s="43"/>
      <c r="BX132" s="43"/>
      <c r="BY132" s="44"/>
      <c r="BZ132" s="44"/>
      <c r="CA132" s="44"/>
      <c r="CB132" s="45"/>
      <c r="CC132" s="61"/>
      <c r="CD132" s="44"/>
      <c r="CE132" s="46"/>
      <c r="CF132" s="29"/>
      <c r="CH132" s="14"/>
      <c r="CI132" s="39"/>
      <c r="CJ132" s="5"/>
      <c r="CK132" s="5"/>
      <c r="CL132" s="5"/>
      <c r="CM132" s="5"/>
      <c r="CN132" s="5"/>
      <c r="CO132" s="5"/>
      <c r="CP132" s="5"/>
      <c r="CQ132" s="5"/>
      <c r="CR132" s="5"/>
      <c r="CS132" s="36"/>
      <c r="CT132" s="29"/>
      <c r="CV132" s="14"/>
      <c r="CW132" s="39"/>
      <c r="CX132" s="5"/>
      <c r="CY132" s="5"/>
      <c r="CZ132" s="5"/>
      <c r="DA132" s="5"/>
      <c r="DB132" s="5"/>
      <c r="DC132" s="5"/>
      <c r="DD132" s="5"/>
      <c r="DE132" s="5"/>
      <c r="DF132" s="5"/>
      <c r="DG132" s="36"/>
      <c r="DH132" s="29"/>
      <c r="DJ132" s="14"/>
      <c r="DK132" s="39"/>
      <c r="DL132" s="5"/>
      <c r="DM132" s="5"/>
      <c r="DN132" s="5"/>
      <c r="DO132" s="5"/>
      <c r="DP132" s="5"/>
      <c r="DQ132" s="5"/>
      <c r="DR132" s="5"/>
      <c r="DS132" s="5"/>
      <c r="DT132" s="5"/>
      <c r="DU132" s="36"/>
      <c r="DV132" s="29"/>
      <c r="DX132" s="14"/>
      <c r="DY132" s="39"/>
      <c r="DZ132" s="5"/>
      <c r="EA132" s="5"/>
      <c r="EB132" s="5"/>
      <c r="EC132" s="5"/>
      <c r="ED132" s="5"/>
      <c r="EE132" s="5"/>
      <c r="EF132" s="5"/>
      <c r="EG132" s="5"/>
      <c r="EH132" s="5"/>
      <c r="EI132" s="36"/>
      <c r="EJ132" s="29"/>
      <c r="EL132" s="14"/>
      <c r="EM132" s="39"/>
      <c r="EN132" s="5"/>
      <c r="EO132" s="5"/>
      <c r="EP132" s="5"/>
      <c r="EQ132" s="5"/>
      <c r="ER132" s="5"/>
      <c r="ES132" s="5"/>
      <c r="ET132" s="5"/>
      <c r="EU132" s="5"/>
      <c r="EV132" s="5"/>
      <c r="EW132" s="36"/>
      <c r="EX132" s="29"/>
      <c r="EZ132" s="14"/>
      <c r="FA132" s="39"/>
      <c r="FB132" s="5"/>
      <c r="FC132" s="5"/>
      <c r="FD132" s="5"/>
      <c r="FE132" s="5"/>
      <c r="FF132" s="5"/>
      <c r="FG132" s="5"/>
      <c r="FH132" s="5"/>
      <c r="FI132" s="5"/>
      <c r="FJ132" s="5"/>
      <c r="FK132" s="36"/>
      <c r="FL132" s="29"/>
      <c r="FN132" s="14"/>
      <c r="FO132" s="39"/>
      <c r="FP132" s="5"/>
      <c r="FQ132" s="5"/>
      <c r="FR132" s="5"/>
      <c r="FS132" s="5"/>
      <c r="FT132" s="5"/>
      <c r="FU132" s="5"/>
      <c r="FV132" s="5"/>
      <c r="FW132" s="5"/>
      <c r="FX132" s="5"/>
      <c r="FY132" s="36"/>
      <c r="FZ132" s="29"/>
      <c r="GB132" s="14"/>
      <c r="GC132" s="39"/>
      <c r="GD132" s="5"/>
      <c r="GE132" s="5"/>
      <c r="GF132" s="5"/>
      <c r="GG132" s="5"/>
      <c r="GH132" s="5"/>
      <c r="GI132" s="5"/>
      <c r="GJ132" s="5"/>
      <c r="GK132" s="5"/>
      <c r="GL132" s="5"/>
      <c r="GM132" s="36"/>
      <c r="GN132" s="29"/>
      <c r="GP132" s="14"/>
      <c r="GQ132" s="39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36"/>
      <c r="HD132" s="29"/>
      <c r="HF132" s="14"/>
      <c r="HG132" s="39"/>
      <c r="HH132" s="5"/>
      <c r="HI132" s="5"/>
      <c r="HJ132" s="29"/>
      <c r="HL132" s="14"/>
      <c r="HM132" s="39"/>
      <c r="HN132" s="5"/>
      <c r="HO132" s="5"/>
      <c r="HP132" s="29"/>
      <c r="HR132" s="14"/>
      <c r="HS132" s="39"/>
      <c r="HT132" s="5"/>
      <c r="HU132" s="5"/>
      <c r="HV132" s="29"/>
    </row>
    <row r="133" spans="1:230" ht="15" customHeight="1" thickTop="1" x14ac:dyDescent="0.2">
      <c r="A133" s="33"/>
      <c r="B133" s="26"/>
      <c r="C133" s="89" t="s">
        <v>20</v>
      </c>
      <c r="D133" s="4">
        <f>SUM(D77:D129)*100</f>
        <v>209200</v>
      </c>
      <c r="E133" s="90" t="s">
        <v>284</v>
      </c>
      <c r="F133" s="4"/>
      <c r="G133" s="89"/>
      <c r="H133" s="4"/>
      <c r="I133" s="4"/>
      <c r="J133" s="164" t="s">
        <v>21</v>
      </c>
      <c r="K133" s="164"/>
      <c r="L133" s="4">
        <f>SUM(L77:L129)</f>
        <v>44781</v>
      </c>
      <c r="M133" s="4"/>
      <c r="N133" s="34"/>
      <c r="P133" s="33"/>
      <c r="Q133" s="89" t="s">
        <v>20</v>
      </c>
      <c r="R133" s="4">
        <f>SUM(R77:R129)*100</f>
        <v>170100</v>
      </c>
      <c r="S133" s="90" t="s">
        <v>284</v>
      </c>
      <c r="T133" s="4"/>
      <c r="U133" s="89"/>
      <c r="V133" s="4"/>
      <c r="W133" s="4"/>
      <c r="X133" s="164" t="s">
        <v>21</v>
      </c>
      <c r="Y133" s="164"/>
      <c r="Z133" s="4">
        <f>SUM(Z77:Z129)</f>
        <v>17442</v>
      </c>
      <c r="AA133" s="4"/>
      <c r="AB133" s="34"/>
      <c r="AD133" s="33"/>
      <c r="AE133" s="89" t="s">
        <v>20</v>
      </c>
      <c r="AF133" s="4">
        <f>SUM(AF77:AF129)*100</f>
        <v>204000</v>
      </c>
      <c r="AG133" s="90" t="s">
        <v>284</v>
      </c>
      <c r="AH133" s="4"/>
      <c r="AI133" s="89"/>
      <c r="AJ133" s="4"/>
      <c r="AK133" s="4"/>
      <c r="AL133" s="164" t="s">
        <v>21</v>
      </c>
      <c r="AM133" s="164"/>
      <c r="AN133" s="4">
        <f>SUM(AN77:AN129)</f>
        <v>25444</v>
      </c>
      <c r="AO133" s="4"/>
      <c r="AP133" s="34"/>
      <c r="AR133" s="33"/>
      <c r="AS133" s="89" t="s">
        <v>20</v>
      </c>
      <c r="AT133" s="4">
        <f>SUM(AT77:AT129)*100</f>
        <v>211400</v>
      </c>
      <c r="AU133" s="90" t="s">
        <v>284</v>
      </c>
      <c r="AV133" s="4"/>
      <c r="AW133" s="89"/>
      <c r="AX133" s="4"/>
      <c r="AY133" s="4"/>
      <c r="AZ133" s="164" t="s">
        <v>21</v>
      </c>
      <c r="BA133" s="164"/>
      <c r="BB133" s="4">
        <f>SUM(BB77:BB129)</f>
        <v>31002</v>
      </c>
      <c r="BC133" s="4"/>
      <c r="BD133" s="34"/>
      <c r="BE133" s="32"/>
      <c r="BF133" s="25"/>
      <c r="BG133" s="16" t="s">
        <v>20</v>
      </c>
      <c r="BH133" s="4">
        <f>SUM(BH77:BH129)*100</f>
        <v>325200</v>
      </c>
      <c r="BI133" s="4"/>
      <c r="BJ133" s="4"/>
      <c r="BK133" s="16"/>
      <c r="BL133" s="5"/>
      <c r="BM133" s="5"/>
      <c r="BN133" s="154" t="s">
        <v>21</v>
      </c>
      <c r="BO133" s="154"/>
      <c r="BP133" s="5">
        <f>SUM(BP77:BP129)</f>
        <v>27000</v>
      </c>
      <c r="BQ133" s="5"/>
      <c r="BR133" s="29"/>
      <c r="BT133" s="33"/>
      <c r="BU133" s="89" t="s">
        <v>20</v>
      </c>
      <c r="BV133" s="4">
        <f>SUM(BV77:BV129)*100</f>
        <v>81900</v>
      </c>
      <c r="BW133" s="4"/>
      <c r="BX133" s="4"/>
      <c r="BY133" s="16"/>
      <c r="BZ133" s="5"/>
      <c r="CA133" s="5"/>
      <c r="CB133" s="154" t="s">
        <v>21</v>
      </c>
      <c r="CC133" s="154"/>
      <c r="CD133" s="5">
        <f>SUM(CD77:CD129)</f>
        <v>45850</v>
      </c>
      <c r="CE133" s="5"/>
      <c r="CF133" s="29"/>
      <c r="CH133" s="14"/>
      <c r="CI133" s="23" t="s">
        <v>20</v>
      </c>
      <c r="CJ133" s="5">
        <f>SUM(CJ77:CJ129)*100</f>
        <v>70000</v>
      </c>
      <c r="CK133" s="5"/>
      <c r="CL133" s="5"/>
      <c r="CM133" s="16"/>
      <c r="CN133" s="5"/>
      <c r="CO133" s="5"/>
      <c r="CP133" s="5"/>
      <c r="CQ133" s="5"/>
      <c r="CR133" s="5"/>
      <c r="CS133" s="5"/>
      <c r="CT133" s="29"/>
      <c r="CV133" s="14"/>
      <c r="CW133" s="23" t="s">
        <v>20</v>
      </c>
      <c r="CX133" s="5">
        <f>SUM(CX77:CX129)*100</f>
        <v>11300</v>
      </c>
      <c r="CY133" s="5"/>
      <c r="CZ133" s="5"/>
      <c r="DA133" s="16"/>
      <c r="DB133" s="5"/>
      <c r="DC133" s="5"/>
      <c r="DD133" s="5"/>
      <c r="DE133" s="5"/>
      <c r="DF133" s="5"/>
      <c r="DG133" s="5"/>
      <c r="DH133" s="29"/>
      <c r="DJ133" s="14"/>
      <c r="DK133" s="23" t="s">
        <v>20</v>
      </c>
      <c r="DL133" s="5">
        <f>SUM(DL77:DL129)*100</f>
        <v>42200</v>
      </c>
      <c r="DM133" s="5"/>
      <c r="DN133" s="5"/>
      <c r="DO133" s="16"/>
      <c r="DP133" s="5"/>
      <c r="DQ133" s="5"/>
      <c r="DR133" s="5"/>
      <c r="DS133" s="5"/>
      <c r="DT133" s="5"/>
      <c r="DU133" s="5"/>
      <c r="DV133" s="29"/>
      <c r="DX133" s="14"/>
      <c r="DY133" s="23" t="s">
        <v>20</v>
      </c>
      <c r="DZ133" s="5">
        <f>SUM(DZ77:DZ129)*100</f>
        <v>252800</v>
      </c>
      <c r="EA133" s="5"/>
      <c r="EB133" s="5"/>
      <c r="EC133" s="16"/>
      <c r="ED133" s="5"/>
      <c r="EE133" s="5"/>
      <c r="EF133" s="5"/>
      <c r="EG133" s="5"/>
      <c r="EH133" s="5"/>
      <c r="EI133" s="5"/>
      <c r="EJ133" s="29"/>
      <c r="EL133" s="14"/>
      <c r="EM133" s="23" t="s">
        <v>20</v>
      </c>
      <c r="EN133" s="5">
        <f>SUM(EN77:EN129)*100</f>
        <v>50200</v>
      </c>
      <c r="EO133" s="5"/>
      <c r="EP133" s="5"/>
      <c r="EQ133" s="16"/>
      <c r="ER133" s="5"/>
      <c r="ES133" s="5"/>
      <c r="ET133" s="5"/>
      <c r="EU133" s="5"/>
      <c r="EV133" s="5"/>
      <c r="EW133" s="5"/>
      <c r="EX133" s="29"/>
      <c r="EZ133" s="14"/>
      <c r="FA133" s="23" t="s">
        <v>20</v>
      </c>
      <c r="FB133" s="5">
        <f>SUM(FB77:FB129)*100</f>
        <v>23600</v>
      </c>
      <c r="FC133" s="5"/>
      <c r="FD133" s="5"/>
      <c r="FE133" s="16"/>
      <c r="FF133" s="5"/>
      <c r="FG133" s="5"/>
      <c r="FH133" s="5"/>
      <c r="FI133" s="5"/>
      <c r="FJ133" s="5"/>
      <c r="FK133" s="5"/>
      <c r="FL133" s="29"/>
      <c r="FN133" s="14"/>
      <c r="FO133" s="23" t="s">
        <v>20</v>
      </c>
      <c r="FP133" s="5">
        <f>SUM(FP77:FP129)*100</f>
        <v>34600</v>
      </c>
      <c r="FQ133" s="5"/>
      <c r="FR133" s="5"/>
      <c r="FS133" s="16"/>
      <c r="FT133" s="5"/>
      <c r="FU133" s="5"/>
      <c r="FV133" s="5"/>
      <c r="FW133" s="5"/>
      <c r="FX133" s="5"/>
      <c r="FY133" s="5"/>
      <c r="FZ133" s="29"/>
      <c r="GB133" s="14"/>
      <c r="GC133" s="23" t="s">
        <v>20</v>
      </c>
      <c r="GD133" s="5">
        <f>SUM(GD77:GD129)*100</f>
        <v>20100</v>
      </c>
      <c r="GE133" s="5"/>
      <c r="GF133" s="5"/>
      <c r="GG133" s="16"/>
      <c r="GH133" s="5"/>
      <c r="GI133" s="5"/>
      <c r="GJ133" s="5"/>
      <c r="GK133" s="5"/>
      <c r="GL133" s="5"/>
      <c r="GM133" s="5"/>
      <c r="GN133" s="29"/>
      <c r="GP133" s="14"/>
      <c r="GQ133" s="23" t="s">
        <v>20</v>
      </c>
      <c r="GR133" s="5">
        <f>SUM(GR77:GR129)*100</f>
        <v>116300</v>
      </c>
      <c r="GS133" s="5"/>
      <c r="GT133" s="5"/>
      <c r="GU133" s="5"/>
      <c r="GV133" s="5"/>
      <c r="GW133" s="16"/>
      <c r="GX133" s="5"/>
      <c r="GY133" s="5"/>
      <c r="GZ133" s="5"/>
      <c r="HA133" s="5"/>
      <c r="HB133" s="5"/>
      <c r="HC133" s="5"/>
      <c r="HD133" s="29"/>
      <c r="HF133" s="14"/>
      <c r="HG133" s="23" t="s">
        <v>20</v>
      </c>
      <c r="HH133" s="5">
        <f>SUM(HH77:HH129)*100</f>
        <v>27700</v>
      </c>
      <c r="HI133" s="5"/>
      <c r="HJ133" s="29"/>
      <c r="HL133" s="14"/>
      <c r="HM133" s="23" t="s">
        <v>20</v>
      </c>
      <c r="HN133" s="5">
        <f>SUM(HN77:HN129)*100</f>
        <v>24000</v>
      </c>
      <c r="HO133" s="5"/>
      <c r="HP133" s="29"/>
      <c r="HR133" s="14"/>
      <c r="HS133" s="23" t="s">
        <v>20</v>
      </c>
      <c r="HT133" s="5">
        <f>SUM(HT77:HT129)*100</f>
        <v>30000</v>
      </c>
      <c r="HU133" s="5"/>
      <c r="HV133" s="29"/>
    </row>
    <row r="134" spans="1:230" x14ac:dyDescent="0.2">
      <c r="A134" s="91"/>
      <c r="B134" s="71"/>
      <c r="C134" s="16" t="s">
        <v>22</v>
      </c>
      <c r="D134" s="5">
        <f>D133/A138</f>
        <v>7748.1481481481478</v>
      </c>
      <c r="E134" s="5">
        <f>D134*A137</f>
        <v>209200</v>
      </c>
      <c r="F134" s="5"/>
      <c r="G134" s="16"/>
      <c r="H134" s="5"/>
      <c r="I134" s="5"/>
      <c r="J134" s="161" t="s">
        <v>23</v>
      </c>
      <c r="K134" s="161"/>
      <c r="L134" s="5"/>
      <c r="M134" s="92">
        <f>L133/D133</f>
        <v>0.21405831739961759</v>
      </c>
      <c r="N134" s="29"/>
      <c r="P134" s="93"/>
      <c r="Q134" s="16" t="s">
        <v>22</v>
      </c>
      <c r="R134" s="5">
        <f>R133/A138</f>
        <v>6300</v>
      </c>
      <c r="S134" s="5">
        <f>R134*A137</f>
        <v>170100</v>
      </c>
      <c r="T134" s="5"/>
      <c r="U134" s="16"/>
      <c r="V134" s="5"/>
      <c r="W134" s="5"/>
      <c r="X134" s="161" t="s">
        <v>23</v>
      </c>
      <c r="Y134" s="161"/>
      <c r="Z134" s="5"/>
      <c r="AA134" s="92">
        <f>Z133/R133</f>
        <v>0.10253968253968254</v>
      </c>
      <c r="AB134" s="29"/>
      <c r="AD134" s="93"/>
      <c r="AE134" s="16" t="s">
        <v>22</v>
      </c>
      <c r="AF134" s="5">
        <f>AF133/A138</f>
        <v>7555.5555555555557</v>
      </c>
      <c r="AG134" s="5">
        <f>AF134*A137</f>
        <v>204000</v>
      </c>
      <c r="AH134" s="5"/>
      <c r="AI134" s="16"/>
      <c r="AJ134" s="5"/>
      <c r="AK134" s="5"/>
      <c r="AL134" s="161" t="s">
        <v>23</v>
      </c>
      <c r="AM134" s="161"/>
      <c r="AN134" s="5"/>
      <c r="AO134" s="92">
        <f>AN133/AF133</f>
        <v>0.12472549019607843</v>
      </c>
      <c r="AP134" s="29"/>
      <c r="AR134" s="93"/>
      <c r="AS134" s="16" t="s">
        <v>22</v>
      </c>
      <c r="AT134" s="5">
        <f>AT133/A138</f>
        <v>7829.6296296296296</v>
      </c>
      <c r="AU134" s="5">
        <f>AT134*A137</f>
        <v>211400</v>
      </c>
      <c r="AV134" s="5"/>
      <c r="AW134" s="16"/>
      <c r="AX134" s="5"/>
      <c r="AY134" s="5"/>
      <c r="AZ134" s="161" t="s">
        <v>23</v>
      </c>
      <c r="BA134" s="161"/>
      <c r="BB134" s="5"/>
      <c r="BC134" s="92">
        <f>BB133/AT133</f>
        <v>0.14665089877010407</v>
      </c>
      <c r="BD134" s="29"/>
      <c r="BE134" s="32"/>
      <c r="BF134" s="25"/>
      <c r="BG134" s="16" t="s">
        <v>22</v>
      </c>
      <c r="BH134" s="5">
        <f>BH133/A138</f>
        <v>12044.444444444445</v>
      </c>
      <c r="BI134" s="5">
        <f>BH134*$A137</f>
        <v>325200</v>
      </c>
      <c r="BJ134" s="5"/>
      <c r="BK134" s="16"/>
      <c r="BL134" s="5"/>
      <c r="BM134" s="5"/>
      <c r="BN134" s="154" t="s">
        <v>23</v>
      </c>
      <c r="BO134" s="154"/>
      <c r="BP134" s="5"/>
      <c r="BQ134" s="92">
        <f>BP133/BH133</f>
        <v>8.3025830258302583E-2</v>
      </c>
      <c r="BR134" s="29"/>
      <c r="BT134" s="25"/>
      <c r="BU134" s="16" t="s">
        <v>22</v>
      </c>
      <c r="BV134" s="5">
        <f>BV133/A138</f>
        <v>3033.3333333333335</v>
      </c>
      <c r="BW134" s="5">
        <f>BV134*$A137</f>
        <v>81900</v>
      </c>
      <c r="BX134" s="5"/>
      <c r="BY134" s="16"/>
      <c r="BZ134" s="5"/>
      <c r="CA134" s="5"/>
      <c r="CB134" s="154" t="s">
        <v>23</v>
      </c>
      <c r="CC134" s="154"/>
      <c r="CD134" s="5"/>
      <c r="CE134" s="92">
        <f>CD133/BV133</f>
        <v>0.55982905982905984</v>
      </c>
      <c r="CF134" s="29"/>
      <c r="CH134" s="14"/>
      <c r="CI134" s="23" t="s">
        <v>22</v>
      </c>
      <c r="CJ134" s="5">
        <f>CJ133/A138</f>
        <v>2592.5925925925926</v>
      </c>
      <c r="CK134" s="5">
        <f>CJ134*A137</f>
        <v>70000</v>
      </c>
      <c r="CL134" s="5"/>
      <c r="CM134" s="16"/>
      <c r="CN134" s="5"/>
      <c r="CO134" s="5"/>
      <c r="CP134" s="5"/>
      <c r="CQ134" s="5"/>
      <c r="CR134" s="5"/>
      <c r="CS134" s="5"/>
      <c r="CT134" s="29"/>
      <c r="CV134" s="14"/>
      <c r="CW134" s="23" t="s">
        <v>22</v>
      </c>
      <c r="CX134" s="5">
        <f>CX133/A138</f>
        <v>418.51851851851853</v>
      </c>
      <c r="CY134" s="5">
        <f>CX134*A137</f>
        <v>11300</v>
      </c>
      <c r="CZ134" s="5"/>
      <c r="DA134" s="16"/>
      <c r="DB134" s="5"/>
      <c r="DC134" s="5"/>
      <c r="DD134" s="5"/>
      <c r="DE134" s="5"/>
      <c r="DF134" s="5"/>
      <c r="DG134" s="5"/>
      <c r="DH134" s="29"/>
      <c r="DJ134" s="14"/>
      <c r="DK134" s="23" t="s">
        <v>22</v>
      </c>
      <c r="DL134" s="5">
        <f>DL133/A138</f>
        <v>1562.962962962963</v>
      </c>
      <c r="DM134" s="5">
        <f>DL134*A137</f>
        <v>42200</v>
      </c>
      <c r="DN134" s="5"/>
      <c r="DO134" s="16"/>
      <c r="DP134" s="5"/>
      <c r="DQ134" s="5"/>
      <c r="DR134" s="5"/>
      <c r="DS134" s="5"/>
      <c r="DT134" s="5"/>
      <c r="DU134" s="5"/>
      <c r="DV134" s="29"/>
      <c r="DX134" s="14"/>
      <c r="DY134" s="23" t="s">
        <v>22</v>
      </c>
      <c r="DZ134" s="5">
        <f>DZ133/A138</f>
        <v>9362.9629629629635</v>
      </c>
      <c r="EA134" s="5">
        <f>DZ134*A137</f>
        <v>252800</v>
      </c>
      <c r="EB134" s="5"/>
      <c r="EC134" s="16"/>
      <c r="ED134" s="5"/>
      <c r="EE134" s="5"/>
      <c r="EF134" s="5"/>
      <c r="EG134" s="5"/>
      <c r="EH134" s="5"/>
      <c r="EI134" s="5"/>
      <c r="EJ134" s="29"/>
      <c r="EL134" s="14"/>
      <c r="EM134" s="23" t="s">
        <v>22</v>
      </c>
      <c r="EN134" s="5">
        <f>EN133/A138</f>
        <v>1859.2592592592594</v>
      </c>
      <c r="EO134" s="5">
        <f>EN134*A137</f>
        <v>50200</v>
      </c>
      <c r="EP134" s="5"/>
      <c r="EQ134" s="16"/>
      <c r="ER134" s="5"/>
      <c r="ES134" s="5"/>
      <c r="ET134" s="5"/>
      <c r="EU134" s="5"/>
      <c r="EV134" s="5"/>
      <c r="EW134" s="5"/>
      <c r="EX134" s="29"/>
      <c r="EZ134" s="14"/>
      <c r="FA134" s="23" t="s">
        <v>22</v>
      </c>
      <c r="FB134" s="5">
        <f>FB133/A138</f>
        <v>874.07407407407402</v>
      </c>
      <c r="FC134" s="5">
        <f>FB134*A137</f>
        <v>23600</v>
      </c>
      <c r="FD134" s="5"/>
      <c r="FE134" s="16"/>
      <c r="FF134" s="5"/>
      <c r="FG134" s="5"/>
      <c r="FH134" s="5"/>
      <c r="FI134" s="5"/>
      <c r="FJ134" s="5"/>
      <c r="FK134" s="5"/>
      <c r="FL134" s="29"/>
      <c r="FN134" s="14"/>
      <c r="FO134" s="23" t="s">
        <v>22</v>
      </c>
      <c r="FP134" s="5">
        <f>FP133/A138</f>
        <v>1281.4814814814815</v>
      </c>
      <c r="FQ134" s="5">
        <f>FP134*A137</f>
        <v>34600</v>
      </c>
      <c r="FR134" s="5"/>
      <c r="FS134" s="16"/>
      <c r="FT134" s="5"/>
      <c r="FU134" s="5"/>
      <c r="FV134" s="5"/>
      <c r="FW134" s="5"/>
      <c r="FX134" s="5"/>
      <c r="FY134" s="5"/>
      <c r="FZ134" s="29"/>
      <c r="GB134" s="14"/>
      <c r="GC134" s="23" t="s">
        <v>22</v>
      </c>
      <c r="GD134" s="5">
        <f>GD133/A138</f>
        <v>744.44444444444446</v>
      </c>
      <c r="GE134" s="5">
        <f>GD134*A137</f>
        <v>20100</v>
      </c>
      <c r="GF134" s="5"/>
      <c r="GG134" s="16"/>
      <c r="GH134" s="5"/>
      <c r="GI134" s="5"/>
      <c r="GJ134" s="5"/>
      <c r="GK134" s="5"/>
      <c r="GL134" s="5"/>
      <c r="GM134" s="5"/>
      <c r="GN134" s="29"/>
      <c r="GP134" s="14"/>
      <c r="GQ134" s="23" t="s">
        <v>22</v>
      </c>
      <c r="GR134" s="5">
        <f>GR133/A138</f>
        <v>4307.4074074074078</v>
      </c>
      <c r="GS134" s="5"/>
      <c r="GT134" s="5"/>
      <c r="GU134" s="5">
        <f>GR134*A137</f>
        <v>116300.00000000001</v>
      </c>
      <c r="GV134" s="5"/>
      <c r="GW134" s="16"/>
      <c r="GX134" s="5"/>
      <c r="GY134" s="5"/>
      <c r="GZ134" s="5"/>
      <c r="HA134" s="5"/>
      <c r="HB134" s="5"/>
      <c r="HC134" s="5"/>
      <c r="HD134" s="29"/>
      <c r="HF134" s="14"/>
      <c r="HG134" s="23" t="s">
        <v>22</v>
      </c>
      <c r="HH134" s="5">
        <f>HH133/A138</f>
        <v>1025.9259259259259</v>
      </c>
      <c r="HI134" s="5">
        <f>HH134*A137</f>
        <v>27700</v>
      </c>
      <c r="HJ134" s="29"/>
      <c r="HL134" s="14"/>
      <c r="HM134" s="23" t="s">
        <v>22</v>
      </c>
      <c r="HN134" s="5">
        <f>HN133/A138</f>
        <v>888.88888888888891</v>
      </c>
      <c r="HO134" s="5">
        <f>HN134*A137</f>
        <v>24000</v>
      </c>
      <c r="HP134" s="29"/>
      <c r="HR134" s="14"/>
      <c r="HS134" s="23" t="s">
        <v>22</v>
      </c>
      <c r="HT134" s="5">
        <f>HT133/A138</f>
        <v>1111.1111111111111</v>
      </c>
      <c r="HU134" s="5">
        <f>HT134*A137</f>
        <v>30000</v>
      </c>
      <c r="HV134" s="29"/>
    </row>
    <row r="135" spans="1:230" x14ac:dyDescent="0.2">
      <c r="A135" s="25"/>
      <c r="B135" s="94"/>
      <c r="C135" s="23" t="s">
        <v>24</v>
      </c>
      <c r="D135" s="5">
        <f>D133*0.6</f>
        <v>125520</v>
      </c>
      <c r="E135" s="5"/>
      <c r="F135" s="5"/>
      <c r="G135" s="16"/>
      <c r="H135" s="5"/>
      <c r="I135" s="5"/>
      <c r="J135" s="161" t="s">
        <v>25</v>
      </c>
      <c r="K135" s="161"/>
      <c r="L135" s="5">
        <f>D135-L133</f>
        <v>80739</v>
      </c>
      <c r="M135" s="92">
        <f>L135/D133</f>
        <v>0.38594168260038242</v>
      </c>
      <c r="N135" s="29"/>
      <c r="P135" s="25"/>
      <c r="Q135" s="23" t="s">
        <v>24</v>
      </c>
      <c r="R135" s="5">
        <f>R133*0.6</f>
        <v>102060</v>
      </c>
      <c r="S135" s="5"/>
      <c r="T135" s="5"/>
      <c r="U135" s="16"/>
      <c r="V135" s="5"/>
      <c r="W135" s="5"/>
      <c r="X135" s="161" t="s">
        <v>25</v>
      </c>
      <c r="Y135" s="161"/>
      <c r="Z135" s="5">
        <f>R135-Z133</f>
        <v>84618</v>
      </c>
      <c r="AA135" s="92">
        <f>Z135/R133</f>
        <v>0.49746031746031744</v>
      </c>
      <c r="AB135" s="29"/>
      <c r="AD135" s="25"/>
      <c r="AE135" s="23" t="s">
        <v>24</v>
      </c>
      <c r="AF135" s="5">
        <f>AF133*0.6</f>
        <v>122400</v>
      </c>
      <c r="AG135" s="5"/>
      <c r="AH135" s="5"/>
      <c r="AI135" s="16"/>
      <c r="AJ135" s="5"/>
      <c r="AK135" s="5"/>
      <c r="AL135" s="161" t="s">
        <v>25</v>
      </c>
      <c r="AM135" s="161"/>
      <c r="AN135" s="5">
        <f>AF135-AN133</f>
        <v>96956</v>
      </c>
      <c r="AO135" s="92">
        <f>AN135/AF133</f>
        <v>0.47527450980392155</v>
      </c>
      <c r="AP135" s="29"/>
      <c r="AR135" s="25"/>
      <c r="AS135" s="23" t="s">
        <v>24</v>
      </c>
      <c r="AT135" s="5">
        <f>AT133*0.6</f>
        <v>126840</v>
      </c>
      <c r="AU135" s="5"/>
      <c r="AV135" s="5"/>
      <c r="AW135" s="16"/>
      <c r="AX135" s="5"/>
      <c r="AY135" s="5"/>
      <c r="AZ135" s="161" t="s">
        <v>25</v>
      </c>
      <c r="BA135" s="161"/>
      <c r="BB135" s="5">
        <f>AT135-BB133</f>
        <v>95838</v>
      </c>
      <c r="BC135" s="92">
        <f>BB135/AT133</f>
        <v>0.45334910122989591</v>
      </c>
      <c r="BD135" s="29"/>
      <c r="BE135" s="32"/>
      <c r="BF135" s="25"/>
      <c r="BG135" s="16" t="s">
        <v>24</v>
      </c>
      <c r="BH135" s="5">
        <f>BH133*$K143</f>
        <v>0</v>
      </c>
      <c r="BI135" s="5"/>
      <c r="BJ135" s="5"/>
      <c r="BK135" s="16"/>
      <c r="BL135" s="5"/>
      <c r="BM135" s="5"/>
      <c r="BN135" s="154" t="s">
        <v>25</v>
      </c>
      <c r="BO135" s="154"/>
      <c r="BP135" s="5">
        <f>BH135-BP133</f>
        <v>-27000</v>
      </c>
      <c r="BQ135" s="92">
        <f>BP135/BH133</f>
        <v>-8.3025830258302583E-2</v>
      </c>
      <c r="BR135" s="29"/>
      <c r="BT135" s="25"/>
      <c r="BU135" s="16" t="s">
        <v>24</v>
      </c>
      <c r="BV135" s="5">
        <f>BV133*$K143</f>
        <v>0</v>
      </c>
      <c r="BW135" s="5"/>
      <c r="BX135" s="5"/>
      <c r="BY135" s="16"/>
      <c r="BZ135" s="5"/>
      <c r="CA135" s="5"/>
      <c r="CB135" s="154" t="s">
        <v>25</v>
      </c>
      <c r="CC135" s="154"/>
      <c r="CD135" s="5">
        <f>BV135-CD133</f>
        <v>-45850</v>
      </c>
      <c r="CE135" s="92">
        <f>CD135/BV133</f>
        <v>-0.55982905982905984</v>
      </c>
      <c r="CF135" s="29"/>
      <c r="CH135" s="14"/>
      <c r="CI135" s="23" t="s">
        <v>24</v>
      </c>
      <c r="CJ135" s="5">
        <f>CJ133*0.6</f>
        <v>42000</v>
      </c>
      <c r="CK135" s="5"/>
      <c r="CL135" s="5"/>
      <c r="CM135" s="16" t="s">
        <v>37</v>
      </c>
      <c r="CN135" s="5">
        <f>SUM(CR77:CR129)</f>
        <v>26400</v>
      </c>
      <c r="CO135" s="92">
        <f>CN135/CJ133</f>
        <v>0.37714285714285717</v>
      </c>
      <c r="CP135" s="92"/>
      <c r="CQ135" s="5"/>
      <c r="CR135" s="5"/>
      <c r="CS135" s="5"/>
      <c r="CT135" s="29"/>
      <c r="CV135" s="14"/>
      <c r="CW135" s="23" t="s">
        <v>24</v>
      </c>
      <c r="CX135" s="5">
        <f>CX133*0.6</f>
        <v>6780</v>
      </c>
      <c r="CY135" s="5"/>
      <c r="CZ135" s="5"/>
      <c r="DA135" s="16" t="s">
        <v>37</v>
      </c>
      <c r="DB135" s="5">
        <f>SUM(DF77:DF129)</f>
        <v>8800</v>
      </c>
      <c r="DC135" s="92">
        <f>DB135/CX133</f>
        <v>0.77876106194690264</v>
      </c>
      <c r="DD135" s="92"/>
      <c r="DE135" s="5"/>
      <c r="DF135" s="5"/>
      <c r="DG135" s="5"/>
      <c r="DH135" s="29"/>
      <c r="DJ135" s="14"/>
      <c r="DK135" s="23" t="s">
        <v>24</v>
      </c>
      <c r="DL135" s="5">
        <f>DL133*0.6</f>
        <v>25320</v>
      </c>
      <c r="DM135" s="5"/>
      <c r="DN135" s="5"/>
      <c r="DO135" s="16" t="s">
        <v>37</v>
      </c>
      <c r="DP135" s="5">
        <f>SUM(DT77:DT129)</f>
        <v>9570</v>
      </c>
      <c r="DQ135" s="92">
        <f>DP135/DL133</f>
        <v>0.22677725118483413</v>
      </c>
      <c r="DR135" s="92"/>
      <c r="DS135" s="5"/>
      <c r="DT135" s="5"/>
      <c r="DU135" s="5"/>
      <c r="DV135" s="29"/>
      <c r="DX135" s="14"/>
      <c r="DY135" s="23" t="s">
        <v>24</v>
      </c>
      <c r="DZ135" s="5">
        <f>DZ133*0.6</f>
        <v>151680</v>
      </c>
      <c r="EA135" s="5"/>
      <c r="EB135" s="5"/>
      <c r="EC135" s="16" t="s">
        <v>37</v>
      </c>
      <c r="ED135" s="5">
        <f>SUM(EH77:EH129)</f>
        <v>43500</v>
      </c>
      <c r="EE135" s="92">
        <f>ED135/DZ133</f>
        <v>0.17207278481012658</v>
      </c>
      <c r="EF135" s="92"/>
      <c r="EG135" s="5"/>
      <c r="EH135" s="5"/>
      <c r="EI135" s="5"/>
      <c r="EJ135" s="29"/>
      <c r="EL135" s="14"/>
      <c r="EM135" s="23" t="s">
        <v>24</v>
      </c>
      <c r="EN135" s="5">
        <f>EN133*0.6</f>
        <v>30120</v>
      </c>
      <c r="EO135" s="5"/>
      <c r="EP135" s="5"/>
      <c r="EQ135" s="16" t="s">
        <v>37</v>
      </c>
      <c r="ER135" s="5">
        <f>SUM(EV77:EV129)</f>
        <v>6534</v>
      </c>
      <c r="ES135" s="92">
        <f>ER135/EN133</f>
        <v>0.13015936254980079</v>
      </c>
      <c r="ET135" s="92"/>
      <c r="EU135" s="5"/>
      <c r="EV135" s="5"/>
      <c r="EW135" s="5"/>
      <c r="EX135" s="29"/>
      <c r="EZ135" s="14"/>
      <c r="FA135" s="23" t="s">
        <v>24</v>
      </c>
      <c r="FB135" s="5">
        <f>FB133*0.6</f>
        <v>14160</v>
      </c>
      <c r="FC135" s="5"/>
      <c r="FD135" s="5"/>
      <c r="FE135" s="16" t="s">
        <v>37</v>
      </c>
      <c r="FF135" s="5">
        <f>SUM(FJ77:FJ129)</f>
        <v>9300</v>
      </c>
      <c r="FG135" s="92">
        <f>FF135/FB133</f>
        <v>0.3940677966101695</v>
      </c>
      <c r="FH135" s="92"/>
      <c r="FI135" s="5"/>
      <c r="FJ135" s="5"/>
      <c r="FK135" s="5"/>
      <c r="FL135" s="29"/>
      <c r="FN135" s="14"/>
      <c r="FO135" s="23" t="s">
        <v>24</v>
      </c>
      <c r="FP135" s="5">
        <f>FP133*0.6</f>
        <v>20760</v>
      </c>
      <c r="FQ135" s="5"/>
      <c r="FR135" s="5"/>
      <c r="FS135" s="16" t="s">
        <v>37</v>
      </c>
      <c r="FT135" s="5">
        <f>SUM(FX77:FX129)</f>
        <v>15180</v>
      </c>
      <c r="FU135" s="92">
        <f>FT135/FP133</f>
        <v>0.43872832369942194</v>
      </c>
      <c r="FV135" s="92"/>
      <c r="FW135" s="5"/>
      <c r="FX135" s="5"/>
      <c r="FY135" s="5"/>
      <c r="FZ135" s="29"/>
      <c r="GB135" s="14"/>
      <c r="GC135" s="23" t="s">
        <v>24</v>
      </c>
      <c r="GD135" s="5">
        <f>GD133*0.6</f>
        <v>12060</v>
      </c>
      <c r="GE135" s="5"/>
      <c r="GF135" s="5"/>
      <c r="GG135" s="16" t="s">
        <v>37</v>
      </c>
      <c r="GH135" s="5">
        <f>SUM(GL77:GL129)</f>
        <v>9680</v>
      </c>
      <c r="GI135" s="92">
        <f>GH135/GD133</f>
        <v>0.48159203980099502</v>
      </c>
      <c r="GJ135" s="92"/>
      <c r="GK135" s="5"/>
      <c r="GL135" s="5"/>
      <c r="GM135" s="5"/>
      <c r="GN135" s="29"/>
      <c r="GP135" s="14"/>
      <c r="GQ135" s="23" t="s">
        <v>24</v>
      </c>
      <c r="GR135" s="5">
        <f>GR133*0.6</f>
        <v>69780</v>
      </c>
      <c r="GS135" s="5"/>
      <c r="GT135" s="5"/>
      <c r="GU135" s="5"/>
      <c r="GV135" s="5"/>
      <c r="GW135" s="16" t="s">
        <v>37</v>
      </c>
      <c r="GX135" s="5">
        <f>SUM(HB77:HB129)</f>
        <v>27000</v>
      </c>
      <c r="GY135" s="92">
        <f>GX135/GR133</f>
        <v>0.23215821152192606</v>
      </c>
      <c r="GZ135" s="92"/>
      <c r="HA135" s="5"/>
      <c r="HB135" s="5"/>
      <c r="HC135" s="5"/>
      <c r="HD135" s="29"/>
      <c r="HF135" s="14"/>
      <c r="HG135" s="23" t="s">
        <v>24</v>
      </c>
      <c r="HH135" s="5">
        <f>HH133*0.6</f>
        <v>16620</v>
      </c>
      <c r="HI135" s="5"/>
      <c r="HJ135" s="29"/>
      <c r="HL135" s="14"/>
      <c r="HM135" s="23" t="s">
        <v>24</v>
      </c>
      <c r="HN135" s="5">
        <f>HN133*0.6</f>
        <v>14400</v>
      </c>
      <c r="HO135" s="5"/>
      <c r="HP135" s="29"/>
      <c r="HR135" s="14"/>
      <c r="HS135" s="23" t="s">
        <v>24</v>
      </c>
      <c r="HT135" s="5">
        <f>HT133*0.6</f>
        <v>18000</v>
      </c>
      <c r="HU135" s="5"/>
      <c r="HV135" s="29"/>
    </row>
    <row r="136" spans="1:230" x14ac:dyDescent="0.2">
      <c r="A136" s="33"/>
      <c r="B136" s="26"/>
      <c r="C136" s="16" t="s">
        <v>26</v>
      </c>
      <c r="D136" s="5"/>
      <c r="E136" s="5"/>
      <c r="F136" s="5"/>
      <c r="G136" s="16"/>
      <c r="H136" s="5"/>
      <c r="I136" s="95"/>
      <c r="J136" s="159" t="s">
        <v>285</v>
      </c>
      <c r="K136" s="159"/>
      <c r="L136" s="4">
        <f>(G101+I101)*K101+(G102+I102)*K102+(G103+I103)*K103+(G104+I104)*K104</f>
        <v>27774</v>
      </c>
      <c r="M136" s="36"/>
      <c r="N136" s="29"/>
      <c r="P136" s="33"/>
      <c r="Q136" s="16" t="s">
        <v>26</v>
      </c>
      <c r="R136" s="5"/>
      <c r="S136" s="5"/>
      <c r="T136" s="5"/>
      <c r="U136" s="16"/>
      <c r="V136" s="5"/>
      <c r="W136" s="95"/>
      <c r="X136" s="159" t="s">
        <v>285</v>
      </c>
      <c r="Y136" s="159"/>
      <c r="Z136" s="4">
        <f>(U101+W101)*Y101+(U102+W102)*Y102+(U103+W103)*Y103+(U104+W104)*Y104</f>
        <v>15968</v>
      </c>
      <c r="AA136" s="36"/>
      <c r="AB136" s="29"/>
      <c r="AD136" s="33"/>
      <c r="AE136" s="16" t="s">
        <v>26</v>
      </c>
      <c r="AF136" s="5"/>
      <c r="AG136" s="5"/>
      <c r="AH136" s="5"/>
      <c r="AI136" s="16"/>
      <c r="AJ136" s="5"/>
      <c r="AK136" s="95"/>
      <c r="AL136" s="159" t="s">
        <v>285</v>
      </c>
      <c r="AM136" s="159"/>
      <c r="AN136" s="4">
        <f>(AI101+AK101)*AM101+(AI102+AK102)*AM102+(AI103+AK103)*AM103+(AI104+AK104)*AM104</f>
        <v>50128</v>
      </c>
      <c r="AO136" s="36"/>
      <c r="AP136" s="29"/>
      <c r="AR136" s="33"/>
      <c r="AS136" s="16" t="s">
        <v>26</v>
      </c>
      <c r="AT136" s="5"/>
      <c r="AU136" s="5"/>
      <c r="AV136" s="5"/>
      <c r="AW136" s="16"/>
      <c r="AX136" s="5"/>
      <c r="AY136" s="95"/>
      <c r="AZ136" s="159" t="s">
        <v>285</v>
      </c>
      <c r="BA136" s="159"/>
      <c r="BB136" s="4">
        <f>(AW101+AY101)*BA101+(AW102+AY102)*BA102+(AW103+AY103)*BA103+(AW104+AY104)*BA104</f>
        <v>25990</v>
      </c>
      <c r="BC136" s="36"/>
      <c r="BD136" s="29"/>
      <c r="BE136" s="32"/>
      <c r="BF136" s="25"/>
      <c r="BG136" s="16" t="s">
        <v>26</v>
      </c>
      <c r="BH136" s="5">
        <f>CH205</f>
        <v>0</v>
      </c>
      <c r="BI136" s="5"/>
      <c r="BJ136" s="5"/>
      <c r="BK136" s="16"/>
      <c r="BL136" s="5"/>
      <c r="BM136" s="5"/>
      <c r="BN136" s="159" t="s">
        <v>285</v>
      </c>
      <c r="BO136" s="160"/>
      <c r="BP136" s="4">
        <f>(BK109+BM109)*BO109+(BK110+BM110)*BO110+(BK111+BM111)*BO111+(BK112+BM112)*BO112</f>
        <v>0</v>
      </c>
      <c r="BQ136" s="36"/>
      <c r="BR136" s="29"/>
      <c r="BT136" s="25"/>
      <c r="BU136" s="16" t="s">
        <v>26</v>
      </c>
      <c r="BV136" s="5">
        <f>DK205</f>
        <v>0</v>
      </c>
      <c r="BW136" s="5"/>
      <c r="BX136" s="5"/>
      <c r="BY136" s="16"/>
      <c r="BZ136" s="5"/>
      <c r="CA136" s="5"/>
      <c r="CB136" s="159" t="s">
        <v>285</v>
      </c>
      <c r="CC136" s="160"/>
      <c r="CD136" s="4">
        <f>(BY109+CA109)*CC109+(BY110+CA110)*CC110+(BY111+CA111)*CC111+(BY112+CA112)*CC112</f>
        <v>0</v>
      </c>
      <c r="CE136" s="36"/>
      <c r="CF136" s="29"/>
      <c r="CH136" s="14"/>
      <c r="CI136" s="23" t="s">
        <v>26</v>
      </c>
      <c r="CJ136" s="5" t="e">
        <f>#REF!</f>
        <v>#REF!</v>
      </c>
      <c r="CK136" s="5"/>
      <c r="CL136" s="5"/>
      <c r="CM136" s="16" t="s">
        <v>25</v>
      </c>
      <c r="CN136" s="5">
        <f>CJ135-CN135</f>
        <v>15600</v>
      </c>
      <c r="CO136" s="92">
        <f>CN136/CJ133</f>
        <v>0.22285714285714286</v>
      </c>
      <c r="CP136" s="92"/>
      <c r="CQ136" s="36"/>
      <c r="CR136" s="36"/>
      <c r="CS136" s="36"/>
      <c r="CT136" s="29"/>
      <c r="CV136" s="14"/>
      <c r="CW136" s="23" t="s">
        <v>26</v>
      </c>
      <c r="CX136" s="5" t="e">
        <f>#REF!</f>
        <v>#REF!</v>
      </c>
      <c r="CY136" s="5"/>
      <c r="CZ136" s="5"/>
      <c r="DA136" s="16" t="s">
        <v>25</v>
      </c>
      <c r="DB136" s="5">
        <f>CX135-DB135</f>
        <v>-2020</v>
      </c>
      <c r="DC136" s="92">
        <f>DB136/CX133</f>
        <v>-0.17876106194690267</v>
      </c>
      <c r="DD136" s="92"/>
      <c r="DE136" s="36"/>
      <c r="DF136" s="36"/>
      <c r="DG136" s="36"/>
      <c r="DH136" s="29"/>
      <c r="DJ136" s="14"/>
      <c r="DK136" s="23" t="s">
        <v>26</v>
      </c>
      <c r="DL136" s="5" t="e">
        <f>#REF!</f>
        <v>#REF!</v>
      </c>
      <c r="DM136" s="5"/>
      <c r="DN136" s="5"/>
      <c r="DO136" s="16" t="s">
        <v>25</v>
      </c>
      <c r="DP136" s="5">
        <f>DL135-DP135</f>
        <v>15750</v>
      </c>
      <c r="DQ136" s="92">
        <f>DP136/DL133</f>
        <v>0.37322274881516587</v>
      </c>
      <c r="DR136" s="92"/>
      <c r="DS136" s="36"/>
      <c r="DT136" s="36"/>
      <c r="DU136" s="36"/>
      <c r="DV136" s="29"/>
      <c r="DX136" s="14"/>
      <c r="DY136" s="23" t="s">
        <v>26</v>
      </c>
      <c r="DZ136" s="5">
        <f>DZ207</f>
        <v>416100</v>
      </c>
      <c r="EA136" s="5"/>
      <c r="EB136" s="5"/>
      <c r="EC136" s="16" t="s">
        <v>25</v>
      </c>
      <c r="ED136" s="5">
        <f>DZ135-ED135</f>
        <v>108180</v>
      </c>
      <c r="EE136" s="92">
        <f>ED136/DZ133</f>
        <v>0.42792721518987342</v>
      </c>
      <c r="EF136" s="92"/>
      <c r="EG136" s="36"/>
      <c r="EH136" s="36"/>
      <c r="EI136" s="36"/>
      <c r="EJ136" s="29"/>
      <c r="EL136" s="14"/>
      <c r="EM136" s="23" t="s">
        <v>26</v>
      </c>
      <c r="EN136" s="5" t="e">
        <f>#REF!</f>
        <v>#REF!</v>
      </c>
      <c r="EO136" s="5"/>
      <c r="EP136" s="5"/>
      <c r="EQ136" s="16" t="s">
        <v>25</v>
      </c>
      <c r="ER136" s="5">
        <f>EN135-ER135</f>
        <v>23586</v>
      </c>
      <c r="ES136" s="92">
        <f>ER136/EN133</f>
        <v>0.46984063745019922</v>
      </c>
      <c r="ET136" s="92"/>
      <c r="EU136" s="36"/>
      <c r="EV136" s="36"/>
      <c r="EW136" s="36"/>
      <c r="EX136" s="29"/>
      <c r="EZ136" s="14"/>
      <c r="FA136" s="23" t="s">
        <v>26</v>
      </c>
      <c r="FB136" s="5" t="e">
        <f>#REF!</f>
        <v>#REF!</v>
      </c>
      <c r="FC136" s="5"/>
      <c r="FD136" s="5"/>
      <c r="FE136" s="16" t="s">
        <v>25</v>
      </c>
      <c r="FF136" s="5">
        <f>FB135-FF135</f>
        <v>4860</v>
      </c>
      <c r="FG136" s="92">
        <f>FF136/FB133</f>
        <v>0.20593220338983051</v>
      </c>
      <c r="FH136" s="92"/>
      <c r="FI136" s="36"/>
      <c r="FJ136" s="36"/>
      <c r="FK136" s="36"/>
      <c r="FL136" s="29"/>
      <c r="FN136" s="14"/>
      <c r="FO136" s="23" t="s">
        <v>26</v>
      </c>
      <c r="FP136" s="5" t="e">
        <f>#REF!</f>
        <v>#REF!</v>
      </c>
      <c r="FQ136" s="5"/>
      <c r="FR136" s="5"/>
      <c r="FS136" s="16" t="s">
        <v>25</v>
      </c>
      <c r="FT136" s="5">
        <f>FP135-FT135</f>
        <v>5580</v>
      </c>
      <c r="FU136" s="92">
        <f>FT136/FP133</f>
        <v>0.16127167630057804</v>
      </c>
      <c r="FV136" s="92"/>
      <c r="FW136" s="36"/>
      <c r="FX136" s="36"/>
      <c r="FY136" s="36"/>
      <c r="FZ136" s="29"/>
      <c r="GB136" s="14"/>
      <c r="GC136" s="23" t="s">
        <v>26</v>
      </c>
      <c r="GD136" s="5" t="e">
        <f>#REF!</f>
        <v>#REF!</v>
      </c>
      <c r="GE136" s="5"/>
      <c r="GF136" s="5"/>
      <c r="GG136" s="16" t="s">
        <v>25</v>
      </c>
      <c r="GH136" s="5">
        <f>GD135-GH135</f>
        <v>2380</v>
      </c>
      <c r="GI136" s="92">
        <f>GH136/GD133</f>
        <v>0.11840796019900497</v>
      </c>
      <c r="GJ136" s="92"/>
      <c r="GK136" s="36"/>
      <c r="GL136" s="36"/>
      <c r="GM136" s="36"/>
      <c r="GN136" s="29"/>
      <c r="GP136" s="14"/>
      <c r="GQ136" s="23" t="s">
        <v>26</v>
      </c>
      <c r="GR136" s="5" t="e">
        <f>#REF!</f>
        <v>#REF!</v>
      </c>
      <c r="GS136" s="5"/>
      <c r="GT136" s="5"/>
      <c r="GU136" s="5"/>
      <c r="GV136" s="5"/>
      <c r="GW136" s="16" t="s">
        <v>25</v>
      </c>
      <c r="GX136" s="5">
        <f>GR135-GX135</f>
        <v>42780</v>
      </c>
      <c r="GY136" s="92">
        <f>GX136/GR133</f>
        <v>0.36784178847807397</v>
      </c>
      <c r="GZ136" s="92"/>
      <c r="HA136" s="36"/>
      <c r="HB136" s="36"/>
      <c r="HC136" s="36"/>
      <c r="HD136" s="29"/>
      <c r="HF136" s="14"/>
      <c r="HG136" s="23" t="s">
        <v>26</v>
      </c>
      <c r="HH136" s="5" t="e">
        <f>#REF!</f>
        <v>#REF!</v>
      </c>
      <c r="HI136" s="5"/>
      <c r="HJ136" s="29"/>
      <c r="HL136" s="14"/>
      <c r="HM136" s="23" t="s">
        <v>26</v>
      </c>
      <c r="HN136" s="5" t="e">
        <f>#REF!</f>
        <v>#REF!</v>
      </c>
      <c r="HO136" s="5"/>
      <c r="HP136" s="29"/>
      <c r="HR136" s="14"/>
      <c r="HS136" s="23" t="s">
        <v>26</v>
      </c>
      <c r="HT136" s="5" t="e">
        <f>#REF!</f>
        <v>#REF!</v>
      </c>
      <c r="HU136" s="5"/>
      <c r="HV136" s="29"/>
    </row>
    <row r="137" spans="1:230" x14ac:dyDescent="0.2">
      <c r="A137" s="15">
        <v>27</v>
      </c>
      <c r="B137" s="96">
        <f>SUM(B77:B129)*100</f>
        <v>1904600</v>
      </c>
      <c r="C137" s="16"/>
      <c r="D137" s="5"/>
      <c r="E137" s="5"/>
      <c r="F137" s="5"/>
      <c r="G137" s="16"/>
      <c r="H137" s="5"/>
      <c r="I137" s="95"/>
      <c r="J137" s="97"/>
      <c r="K137" s="98"/>
      <c r="L137" s="27"/>
      <c r="M137" s="36"/>
      <c r="N137" s="29"/>
      <c r="P137" s="33"/>
      <c r="Q137" s="16"/>
      <c r="R137" s="5"/>
      <c r="S137" s="5"/>
      <c r="T137" s="5"/>
      <c r="U137" s="16"/>
      <c r="V137" s="5"/>
      <c r="W137" s="95"/>
      <c r="X137" s="97"/>
      <c r="Y137" s="98"/>
      <c r="Z137" s="27"/>
      <c r="AA137" s="36"/>
      <c r="AB137" s="29"/>
      <c r="AD137" s="33"/>
      <c r="AE137" s="16"/>
      <c r="AF137" s="5"/>
      <c r="AG137" s="5"/>
      <c r="AH137" s="5"/>
      <c r="AI137" s="16"/>
      <c r="AJ137" s="5"/>
      <c r="AK137" s="95"/>
      <c r="AL137" s="97"/>
      <c r="AM137" s="98"/>
      <c r="AN137" s="27"/>
      <c r="AO137" s="36"/>
      <c r="AP137" s="29"/>
      <c r="AR137" s="33"/>
      <c r="AS137" s="16"/>
      <c r="AT137" s="5"/>
      <c r="AU137" s="5"/>
      <c r="AV137" s="5"/>
      <c r="AW137" s="16"/>
      <c r="AX137" s="5"/>
      <c r="AY137" s="95"/>
      <c r="AZ137" s="97"/>
      <c r="BA137" s="98"/>
      <c r="BB137" s="27"/>
      <c r="BC137" s="36"/>
      <c r="BD137" s="29"/>
      <c r="BE137" s="32"/>
      <c r="BF137" s="25"/>
      <c r="BG137" s="5"/>
      <c r="BH137" s="5"/>
      <c r="BI137" s="5"/>
      <c r="BJ137" s="5"/>
      <c r="BK137" s="16"/>
      <c r="BL137" s="5"/>
      <c r="BM137" s="5"/>
      <c r="BN137" s="95"/>
      <c r="BO137" s="99"/>
      <c r="BP137" s="39"/>
      <c r="BQ137" s="36"/>
      <c r="BR137" s="29"/>
      <c r="BT137" s="25"/>
      <c r="BU137" s="5"/>
      <c r="BV137" s="5"/>
      <c r="BW137" s="5"/>
      <c r="BX137" s="5"/>
      <c r="BY137" s="16"/>
      <c r="BZ137" s="5"/>
      <c r="CA137" s="5"/>
      <c r="CB137" s="95"/>
      <c r="CC137" s="99"/>
      <c r="CD137" s="39"/>
      <c r="CE137" s="36"/>
      <c r="CF137" s="29"/>
      <c r="CH137" s="14"/>
      <c r="CI137" s="39"/>
      <c r="CJ137" s="5"/>
      <c r="CK137" s="5"/>
      <c r="CL137" s="5"/>
      <c r="CM137" s="154" t="s">
        <v>286</v>
      </c>
      <c r="CN137" s="158"/>
      <c r="CO137" s="5">
        <f>(CM80+CO80)*CQ80</f>
        <v>38720</v>
      </c>
      <c r="CP137" s="5"/>
      <c r="CQ137" s="36"/>
      <c r="CR137" s="36"/>
      <c r="CS137" s="36"/>
      <c r="CT137" s="29"/>
      <c r="CV137" s="14"/>
      <c r="CW137" s="39"/>
      <c r="CX137" s="5"/>
      <c r="CY137" s="5"/>
      <c r="CZ137" s="5"/>
      <c r="DA137" s="154" t="s">
        <v>286</v>
      </c>
      <c r="DB137" s="158"/>
      <c r="DC137" s="5">
        <f>(DA80+DC80)*DE80</f>
        <v>26400</v>
      </c>
      <c r="DD137" s="5"/>
      <c r="DE137" s="36"/>
      <c r="DF137" s="36"/>
      <c r="DG137" s="36"/>
      <c r="DH137" s="29"/>
      <c r="DJ137" s="14"/>
      <c r="DK137" s="39"/>
      <c r="DL137" s="5"/>
      <c r="DM137" s="5"/>
      <c r="DN137" s="5"/>
      <c r="DO137" s="154" t="s">
        <v>286</v>
      </c>
      <c r="DP137" s="158"/>
      <c r="DQ137" s="5">
        <f>(DO80+DQ80)*DS80</f>
        <v>5500</v>
      </c>
      <c r="DR137" s="5"/>
      <c r="DS137" s="36"/>
      <c r="DT137" s="36"/>
      <c r="DU137" s="36"/>
      <c r="DV137" s="29"/>
      <c r="DX137" s="14"/>
      <c r="DY137" s="39"/>
      <c r="DZ137" s="5"/>
      <c r="EA137" s="5"/>
      <c r="EB137" s="5"/>
      <c r="EC137" s="154" t="s">
        <v>286</v>
      </c>
      <c r="ED137" s="158"/>
      <c r="EE137" s="5">
        <f>(EC80+EE80)*EG80</f>
        <v>24000</v>
      </c>
      <c r="EF137" s="5"/>
      <c r="EG137" s="36"/>
      <c r="EH137" s="36"/>
      <c r="EI137" s="36"/>
      <c r="EJ137" s="29"/>
      <c r="EL137" s="14"/>
      <c r="EM137" s="39"/>
      <c r="EN137" s="5"/>
      <c r="EO137" s="5"/>
      <c r="EP137" s="5"/>
      <c r="EQ137" s="154" t="s">
        <v>286</v>
      </c>
      <c r="ER137" s="158"/>
      <c r="ES137" s="5">
        <f>(EQ80+ES80)*EU80</f>
        <v>8866</v>
      </c>
      <c r="ET137" s="5"/>
      <c r="EU137" s="36"/>
      <c r="EV137" s="36"/>
      <c r="EW137" s="36"/>
      <c r="EX137" s="29"/>
      <c r="EZ137" s="14"/>
      <c r="FA137" s="39"/>
      <c r="FB137" s="5"/>
      <c r="FC137" s="5"/>
      <c r="FD137" s="5"/>
      <c r="FE137" s="154" t="s">
        <v>286</v>
      </c>
      <c r="FF137" s="158"/>
      <c r="FG137" s="5">
        <f>(FE80+FG80)*FI80</f>
        <v>12600</v>
      </c>
      <c r="FH137" s="5"/>
      <c r="FI137" s="36"/>
      <c r="FJ137" s="36"/>
      <c r="FK137" s="36"/>
      <c r="FL137" s="29"/>
      <c r="FN137" s="14"/>
      <c r="FO137" s="39"/>
      <c r="FP137" s="5"/>
      <c r="FQ137" s="5"/>
      <c r="FR137" s="5"/>
      <c r="FS137" s="154" t="s">
        <v>286</v>
      </c>
      <c r="FT137" s="158"/>
      <c r="FU137" s="5">
        <f>(FS80+FU80)*FW80</f>
        <v>27720</v>
      </c>
      <c r="FV137" s="5"/>
      <c r="FW137" s="36"/>
      <c r="FX137" s="36"/>
      <c r="FY137" s="36"/>
      <c r="FZ137" s="29"/>
      <c r="GB137" s="14"/>
      <c r="GC137" s="39"/>
      <c r="GD137" s="5"/>
      <c r="GE137" s="5"/>
      <c r="GF137" s="5"/>
      <c r="GG137" s="154" t="s">
        <v>286</v>
      </c>
      <c r="GH137" s="158"/>
      <c r="GI137" s="5">
        <f>(GG80+GI80)*GK80</f>
        <v>7480</v>
      </c>
      <c r="GJ137" s="5"/>
      <c r="GK137" s="36"/>
      <c r="GL137" s="36"/>
      <c r="GM137" s="36"/>
      <c r="GN137" s="29"/>
      <c r="GP137" s="14"/>
      <c r="GQ137" s="39"/>
      <c r="GR137" s="5"/>
      <c r="GS137" s="5"/>
      <c r="GT137" s="5"/>
      <c r="GU137" s="5"/>
      <c r="GV137" s="5"/>
      <c r="GW137" s="154" t="s">
        <v>286</v>
      </c>
      <c r="GX137" s="158"/>
      <c r="GY137" s="5">
        <f>(GW80+GY80)*HA80</f>
        <v>23000</v>
      </c>
      <c r="GZ137" s="5"/>
      <c r="HA137" s="36"/>
      <c r="HB137" s="36"/>
      <c r="HC137" s="36"/>
      <c r="HD137" s="29"/>
      <c r="HF137" s="14"/>
      <c r="HG137" s="39"/>
      <c r="HH137" s="5"/>
      <c r="HI137" s="5"/>
      <c r="HJ137" s="29"/>
      <c r="HL137" s="14"/>
      <c r="HM137" s="39"/>
      <c r="HN137" s="5"/>
      <c r="HO137" s="5"/>
      <c r="HP137" s="29"/>
      <c r="HR137" s="14"/>
      <c r="HS137" s="39"/>
      <c r="HT137" s="5"/>
      <c r="HU137" s="5"/>
      <c r="HV137" s="29"/>
    </row>
    <row r="138" spans="1:230" x14ac:dyDescent="0.2">
      <c r="A138" s="100">
        <f>DATEDIF(A$187,A105,"d")</f>
        <v>27</v>
      </c>
      <c r="B138" s="96"/>
      <c r="C138" s="16"/>
      <c r="D138" s="5"/>
      <c r="E138" s="58"/>
      <c r="F138" s="5"/>
      <c r="G138" s="16"/>
      <c r="H138" s="5"/>
      <c r="I138" s="95"/>
      <c r="J138" s="97"/>
      <c r="K138" s="98"/>
      <c r="L138" s="27"/>
      <c r="M138" s="36"/>
      <c r="N138" s="29"/>
      <c r="P138" s="33"/>
      <c r="Q138" s="16"/>
      <c r="R138" s="5"/>
      <c r="S138" s="5"/>
      <c r="T138" s="5"/>
      <c r="U138" s="16"/>
      <c r="V138" s="5"/>
      <c r="W138" s="95"/>
      <c r="X138" s="97"/>
      <c r="Y138" s="98"/>
      <c r="Z138" s="27"/>
      <c r="AA138" s="36"/>
      <c r="AB138" s="29"/>
      <c r="AD138" s="33"/>
      <c r="AE138" s="16"/>
      <c r="AF138" s="5"/>
      <c r="AG138" s="5"/>
      <c r="AH138" s="5"/>
      <c r="AI138" s="16"/>
      <c r="AJ138" s="5"/>
      <c r="AK138" s="95"/>
      <c r="AL138" s="97"/>
      <c r="AM138" s="98"/>
      <c r="AN138" s="27"/>
      <c r="AO138" s="36"/>
      <c r="AP138" s="29"/>
      <c r="AR138" s="33"/>
      <c r="AS138" s="16"/>
      <c r="AT138" s="5"/>
      <c r="AU138" s="5"/>
      <c r="AV138" s="5"/>
      <c r="AW138" s="16"/>
      <c r="AX138" s="5"/>
      <c r="AY138" s="95"/>
      <c r="AZ138" s="97"/>
      <c r="BA138" s="98"/>
      <c r="BB138" s="27"/>
      <c r="BC138" s="36"/>
      <c r="BD138" s="29"/>
      <c r="BE138" s="32"/>
      <c r="BF138" s="25"/>
      <c r="BG138" s="5"/>
      <c r="BH138" s="5"/>
      <c r="BI138" s="5"/>
      <c r="BJ138" s="5"/>
      <c r="BK138" s="16"/>
      <c r="BL138" s="5"/>
      <c r="BM138" s="5"/>
      <c r="BN138" s="21"/>
      <c r="BO138" s="101"/>
      <c r="BP138" s="102"/>
      <c r="BQ138" s="36"/>
      <c r="BR138" s="29"/>
      <c r="BT138" s="25"/>
      <c r="BU138" s="5"/>
      <c r="BV138" s="5"/>
      <c r="BW138" s="5"/>
      <c r="BX138" s="5"/>
      <c r="BY138" s="16"/>
      <c r="BZ138" s="5"/>
      <c r="CA138" s="5"/>
      <c r="CB138" s="21"/>
      <c r="CC138" s="101"/>
      <c r="CD138" s="102"/>
      <c r="CE138" s="36"/>
      <c r="CF138" s="29"/>
      <c r="CH138" s="14"/>
      <c r="CI138" s="39"/>
      <c r="CJ138" s="5"/>
      <c r="CK138" s="5"/>
      <c r="CL138" s="5"/>
      <c r="CM138" s="16"/>
      <c r="CN138" s="5"/>
      <c r="CO138" s="5"/>
      <c r="CP138" s="5"/>
      <c r="CQ138" s="36"/>
      <c r="CR138" s="36"/>
      <c r="CS138" s="36"/>
      <c r="CT138" s="29"/>
      <c r="CV138" s="14"/>
      <c r="CW138" s="39"/>
      <c r="CX138" s="5"/>
      <c r="CY138" s="5"/>
      <c r="CZ138" s="5"/>
      <c r="DA138" s="16"/>
      <c r="DB138" s="5"/>
      <c r="DC138" s="5"/>
      <c r="DD138" s="5"/>
      <c r="DE138" s="36"/>
      <c r="DF138" s="36"/>
      <c r="DG138" s="36"/>
      <c r="DH138" s="29"/>
      <c r="DJ138" s="14"/>
      <c r="DK138" s="39"/>
      <c r="DL138" s="5"/>
      <c r="DM138" s="5"/>
      <c r="DN138" s="5"/>
      <c r="DO138" s="16"/>
      <c r="DP138" s="5"/>
      <c r="DQ138" s="5"/>
      <c r="DR138" s="5"/>
      <c r="DS138" s="36"/>
      <c r="DT138" s="36"/>
      <c r="DU138" s="36"/>
      <c r="DV138" s="29"/>
      <c r="DX138" s="14"/>
      <c r="DY138" s="39"/>
      <c r="DZ138" s="5"/>
      <c r="EA138" s="5"/>
      <c r="EB138" s="5"/>
      <c r="EC138" s="16"/>
      <c r="ED138" s="5"/>
      <c r="EE138" s="5"/>
      <c r="EF138" s="5"/>
      <c r="EG138" s="36"/>
      <c r="EH138" s="36"/>
      <c r="EI138" s="36"/>
      <c r="EJ138" s="29"/>
      <c r="EL138" s="14"/>
      <c r="EM138" s="39"/>
      <c r="EN138" s="5"/>
      <c r="EO138" s="5"/>
      <c r="EP138" s="5"/>
      <c r="EQ138" s="16"/>
      <c r="ER138" s="5"/>
      <c r="ES138" s="5"/>
      <c r="ET138" s="5"/>
      <c r="EU138" s="36"/>
      <c r="EV138" s="36"/>
      <c r="EW138" s="36"/>
      <c r="EX138" s="29"/>
      <c r="EZ138" s="14"/>
      <c r="FA138" s="39"/>
      <c r="FB138" s="5"/>
      <c r="FC138" s="5"/>
      <c r="FD138" s="5"/>
      <c r="FE138" s="16"/>
      <c r="FF138" s="5"/>
      <c r="FG138" s="5"/>
      <c r="FH138" s="5"/>
      <c r="FI138" s="36"/>
      <c r="FJ138" s="36"/>
      <c r="FK138" s="36"/>
      <c r="FL138" s="29"/>
      <c r="FN138" s="14"/>
      <c r="FO138" s="39"/>
      <c r="FP138" s="5"/>
      <c r="FQ138" s="5"/>
      <c r="FR138" s="5"/>
      <c r="FS138" s="16"/>
      <c r="FT138" s="5"/>
      <c r="FU138" s="5"/>
      <c r="FV138" s="5"/>
      <c r="FW138" s="36"/>
      <c r="FX138" s="36"/>
      <c r="FY138" s="36"/>
      <c r="FZ138" s="29"/>
      <c r="GB138" s="14"/>
      <c r="GC138" s="39"/>
      <c r="GD138" s="5"/>
      <c r="GE138" s="5"/>
      <c r="GF138" s="5"/>
      <c r="GG138" s="16"/>
      <c r="GH138" s="5"/>
      <c r="GI138" s="5"/>
      <c r="GJ138" s="5"/>
      <c r="GK138" s="36"/>
      <c r="GL138" s="36"/>
      <c r="GM138" s="36"/>
      <c r="GN138" s="29"/>
      <c r="GP138" s="14"/>
      <c r="GQ138" s="39"/>
      <c r="GR138" s="5"/>
      <c r="GS138" s="5"/>
      <c r="GT138" s="5"/>
      <c r="GU138" s="5"/>
      <c r="GV138" s="5"/>
      <c r="GW138" s="16"/>
      <c r="GX138" s="5"/>
      <c r="GY138" s="5"/>
      <c r="GZ138" s="5"/>
      <c r="HA138" s="36"/>
      <c r="HB138" s="36"/>
      <c r="HC138" s="36"/>
      <c r="HD138" s="29"/>
      <c r="HF138" s="14"/>
      <c r="HG138" s="39"/>
      <c r="HH138" s="5"/>
      <c r="HI138" s="5"/>
      <c r="HJ138" s="29"/>
      <c r="HL138" s="14"/>
      <c r="HM138" s="39"/>
      <c r="HN138" s="5"/>
      <c r="HO138" s="5"/>
      <c r="HP138" s="29"/>
      <c r="HR138" s="14"/>
      <c r="HS138" s="39"/>
      <c r="HT138" s="5"/>
      <c r="HU138" s="5"/>
      <c r="HV138" s="29"/>
    </row>
    <row r="139" spans="1:230" x14ac:dyDescent="0.2">
      <c r="A139" s="157" t="s">
        <v>27</v>
      </c>
      <c r="B139" s="157"/>
      <c r="C139" s="157"/>
      <c r="D139" s="103">
        <f>SUM(D77,D81,D85,D89,D93,D97,D101,D105,D109,D113,D117,D121,D125)*100</f>
        <v>37200</v>
      </c>
      <c r="E139" s="39"/>
      <c r="F139" s="5"/>
      <c r="G139" s="16">
        <f>D139/H139</f>
        <v>2066.6666666666665</v>
      </c>
      <c r="H139" s="103">
        <f>SUM(H77,H81,H85,H89,H93,H97,H102,H105,H109,H113,H117,H121,H125)</f>
        <v>18</v>
      </c>
      <c r="I139" s="5"/>
      <c r="J139" s="2" t="str">
        <f t="shared" ref="J139:K142" si="485">J77</f>
        <v>キティダブルミラー</v>
      </c>
      <c r="K139" s="27">
        <f t="shared" si="485"/>
        <v>660</v>
      </c>
      <c r="L139" s="103">
        <f>SUM(L77,L81,L85,L89,L93,L97,L102,L105,L109,L113,L117,L121,L125)</f>
        <v>12320</v>
      </c>
      <c r="M139" s="92">
        <f>L139/D139</f>
        <v>0.33118279569892473</v>
      </c>
      <c r="N139" s="29"/>
      <c r="O139" s="104"/>
      <c r="P139" s="157" t="s">
        <v>27</v>
      </c>
      <c r="Q139" s="157"/>
      <c r="R139" s="103">
        <f>SUM(R77,R81,R85,R89,R93,R97,R101,R105,R109,R113,R117,R121,R125)*100</f>
        <v>50800</v>
      </c>
      <c r="S139" s="39"/>
      <c r="T139" s="5"/>
      <c r="U139" s="16">
        <f>R139/V139</f>
        <v>4233.333333333333</v>
      </c>
      <c r="V139" s="103">
        <f>SUM(V77,V81,V85,V89,V93,V97,V102,V105,V109,V113,V117,V121,V125)</f>
        <v>12</v>
      </c>
      <c r="W139" s="5"/>
      <c r="X139" s="31" t="str">
        <f t="shared" ref="X139:Y142" si="486">X77</f>
        <v>サンリオボアバンスクリップ</v>
      </c>
      <c r="Y139" s="27">
        <f t="shared" si="486"/>
        <v>660</v>
      </c>
      <c r="Z139" s="103">
        <f>SUM(Z77,Z81,Z85,Z89,Z93,Z97,Z102,Z105,Z109,Z113,Z117,Z121,Z125)</f>
        <v>8250</v>
      </c>
      <c r="AA139" s="92">
        <f>Z139/R139</f>
        <v>0.1624015748031496</v>
      </c>
      <c r="AB139" s="29"/>
      <c r="AD139" s="157" t="s">
        <v>27</v>
      </c>
      <c r="AE139" s="157"/>
      <c r="AF139" s="103">
        <f>SUM(AF77,AF81,AF85,AF89,AF93,AF97,AF101,AF105,AF109,AF113,AF117,AF121,AF125)*100</f>
        <v>40400</v>
      </c>
      <c r="AG139" s="39"/>
      <c r="AH139" s="5"/>
      <c r="AI139" s="16">
        <f>AF139/AJ139</f>
        <v>2376.4705882352941</v>
      </c>
      <c r="AJ139" s="103">
        <f>SUM(AJ77,AJ81,AJ85,AJ89,AJ93,AJ97,AJ102,AJ105,AJ109,AJ113,AJ117,AJ121,AJ125)</f>
        <v>17</v>
      </c>
      <c r="AK139" s="5"/>
      <c r="AL139" s="31" t="str">
        <f t="shared" ref="AL139:AM142" si="487">AL77</f>
        <v>モンチッチがま口</v>
      </c>
      <c r="AM139" s="27">
        <f t="shared" si="487"/>
        <v>462</v>
      </c>
      <c r="AN139" s="103">
        <f>SUM(AN77,AN81,AN85,AN89,AN93,AN97,AN102,AN105,AN109,AN113,AN117,AN121,AN125)</f>
        <v>11154</v>
      </c>
      <c r="AO139" s="92">
        <f>AN139/AF139</f>
        <v>0.27608910891089111</v>
      </c>
      <c r="AP139" s="29"/>
      <c r="AR139" s="157" t="s">
        <v>27</v>
      </c>
      <c r="AS139" s="157"/>
      <c r="AT139" s="103">
        <f>SUM(AT77,AT81,AT85,AT89,AT93,AT97,AT101,AT105,AT109,AT113,AT117,AT121,AT125)*100</f>
        <v>91500</v>
      </c>
      <c r="AU139" s="39"/>
      <c r="AV139" s="5"/>
      <c r="AW139" s="16">
        <f>AT139/AX139</f>
        <v>3978.2608695652175</v>
      </c>
      <c r="AX139" s="103">
        <f>SUM(AX77,AX81,AX85,AX89,AX93,AX97,AX102,AX105,AX109,AX113,AX117,AX121,AX125)</f>
        <v>23</v>
      </c>
      <c r="AY139" s="5"/>
      <c r="AZ139" s="31" t="str">
        <f t="shared" ref="AZ139:BA142" si="488">AZ77</f>
        <v>ベアブリック</v>
      </c>
      <c r="BA139" s="27">
        <f t="shared" si="488"/>
        <v>847</v>
      </c>
      <c r="BB139" s="103">
        <f>SUM(BB77,BB81,BB85,BB89,BB93,BB97,BB102,BB105,BB109,BB113,BB117,BB121,BB125)</f>
        <v>20088</v>
      </c>
      <c r="BC139" s="92">
        <f>BB139/AT139</f>
        <v>0.21954098360655738</v>
      </c>
      <c r="BD139" s="29"/>
      <c r="BE139" s="105"/>
      <c r="BF139" s="157" t="s">
        <v>27</v>
      </c>
      <c r="BG139" s="157"/>
      <c r="BH139" s="103">
        <f>SUM(BH77,BH81,BH85,BH89,BH93,BH97,BH101,BH105,BH109,BH113,BH117,BH121,BH125)*100</f>
        <v>91900</v>
      </c>
      <c r="BI139" s="39"/>
      <c r="BJ139" s="5"/>
      <c r="BK139" s="16">
        <f>BH139/BL139</f>
        <v>22975</v>
      </c>
      <c r="BL139" s="103">
        <f>SUM(BL77,BL81,BL85,BL89,BL94,BL97,BL102,BL105,BL109,BL113,BL117,BL121,BL125)</f>
        <v>4</v>
      </c>
      <c r="BM139" s="5"/>
      <c r="BN139" s="2" t="str">
        <f t="shared" ref="BN139:BO142" si="489">BN77</f>
        <v>ボンボンドロップシール</v>
      </c>
      <c r="BO139" s="4">
        <f t="shared" si="489"/>
        <v>1500</v>
      </c>
      <c r="BP139" s="103">
        <f>SUM(BP77,BP81,BP85,BP89,BP93,BP97,BP101,BP105,BP109,BP113,BP117,BP121,BP125)</f>
        <v>6000</v>
      </c>
      <c r="BQ139" s="92">
        <f>BP139/BH139</f>
        <v>6.5288356909684445E-2</v>
      </c>
      <c r="BR139" s="29"/>
      <c r="BT139" s="157" t="s">
        <v>27</v>
      </c>
      <c r="BU139" s="157"/>
      <c r="BV139" s="103">
        <f>SUM(BV77,BV81,BV85,BV89,BV93,BV97,BV101,BV105,BV109,BV113,BV117,BV121,BV125)*100</f>
        <v>48100</v>
      </c>
      <c r="BW139" s="39"/>
      <c r="BX139" s="5"/>
      <c r="BY139" s="16">
        <f>BV139/BZ139</f>
        <v>1781.4814814814815</v>
      </c>
      <c r="BZ139" s="103">
        <f>SUM(BZ77,BZ81,BZ85,BZ89,BZ94,BZ97,BZ102,BZ105,BZ109,BZ113,BZ117,BZ121,BZ125)</f>
        <v>27</v>
      </c>
      <c r="CA139" s="5"/>
      <c r="CB139" s="2" t="str">
        <f t="shared" ref="CB139:CC142" si="490">CB77</f>
        <v>ベイビースリーフェイス</v>
      </c>
      <c r="CC139" s="4">
        <f t="shared" si="490"/>
        <v>1050</v>
      </c>
      <c r="CD139" s="103">
        <f>SUM(CD77,CD81,CD85,CD89,CD93,CD97,CD101,CD105,CD109,CD113,CD117,CD121,CD125)</f>
        <v>32550</v>
      </c>
      <c r="CE139" s="92">
        <f>CD139/BV139</f>
        <v>0.67671517671517667</v>
      </c>
      <c r="CF139" s="29"/>
      <c r="CH139" s="14"/>
      <c r="CI139" s="39"/>
      <c r="CJ139" s="5"/>
      <c r="CK139" s="5"/>
      <c r="CL139" s="5"/>
      <c r="CM139" s="16"/>
      <c r="CN139" s="5"/>
      <c r="CO139" s="92"/>
      <c r="CP139" s="92"/>
      <c r="CQ139" s="5"/>
      <c r="CR139" s="5"/>
      <c r="CS139" s="5"/>
      <c r="CT139" s="29"/>
      <c r="CV139" s="14"/>
      <c r="CW139" s="39"/>
      <c r="CX139" s="5"/>
      <c r="CY139" s="5"/>
      <c r="CZ139" s="5"/>
      <c r="DA139" s="16"/>
      <c r="DB139" s="5"/>
      <c r="DC139" s="92"/>
      <c r="DD139" s="92"/>
      <c r="DE139" s="5"/>
      <c r="DF139" s="5"/>
      <c r="DG139" s="5"/>
      <c r="DH139" s="29"/>
      <c r="DJ139" s="14"/>
      <c r="DK139" s="39"/>
      <c r="DL139" s="5"/>
      <c r="DM139" s="5"/>
      <c r="DN139" s="5"/>
      <c r="DO139" s="16"/>
      <c r="DP139" s="5"/>
      <c r="DQ139" s="92"/>
      <c r="DR139" s="92"/>
      <c r="DS139" s="5"/>
      <c r="DT139" s="5"/>
      <c r="DU139" s="5"/>
      <c r="DV139" s="29"/>
      <c r="DX139" s="14"/>
      <c r="DY139" s="39"/>
      <c r="DZ139" s="5"/>
      <c r="EA139" s="5"/>
      <c r="EB139" s="5"/>
      <c r="EC139" s="16"/>
      <c r="ED139" s="5"/>
      <c r="EE139" s="92"/>
      <c r="EF139" s="92"/>
      <c r="EG139" s="5"/>
      <c r="EH139" s="5"/>
      <c r="EI139" s="5"/>
      <c r="EJ139" s="29"/>
      <c r="EL139" s="14"/>
      <c r="EM139" s="39"/>
      <c r="EN139" s="5"/>
      <c r="EO139" s="5"/>
      <c r="EP139" s="5"/>
      <c r="EQ139" s="16"/>
      <c r="ER139" s="5"/>
      <c r="ES139" s="92"/>
      <c r="ET139" s="92"/>
      <c r="EU139" s="5"/>
      <c r="EV139" s="5"/>
      <c r="EW139" s="5"/>
      <c r="EX139" s="29"/>
      <c r="EZ139" s="14"/>
      <c r="FA139" s="39"/>
      <c r="FB139" s="5"/>
      <c r="FC139" s="5"/>
      <c r="FD139" s="5"/>
      <c r="FE139" s="16"/>
      <c r="FF139" s="5"/>
      <c r="FG139" s="92"/>
      <c r="FH139" s="92"/>
      <c r="FI139" s="5"/>
      <c r="FJ139" s="5"/>
      <c r="FK139" s="5"/>
      <c r="FL139" s="29"/>
      <c r="FN139" s="14"/>
      <c r="FO139" s="39"/>
      <c r="FP139" s="5"/>
      <c r="FQ139" s="5"/>
      <c r="FR139" s="5"/>
      <c r="FS139" s="16"/>
      <c r="FT139" s="5"/>
      <c r="FU139" s="92"/>
      <c r="FV139" s="92"/>
      <c r="FW139" s="5"/>
      <c r="FX139" s="5"/>
      <c r="FY139" s="5"/>
      <c r="FZ139" s="29"/>
      <c r="GB139" s="14"/>
      <c r="GC139" s="39"/>
      <c r="GD139" s="5"/>
      <c r="GE139" s="5"/>
      <c r="GF139" s="5"/>
      <c r="GG139" s="16"/>
      <c r="GH139" s="5"/>
      <c r="GI139" s="92"/>
      <c r="GJ139" s="92"/>
      <c r="GK139" s="5"/>
      <c r="GL139" s="5"/>
      <c r="GM139" s="5"/>
      <c r="GN139" s="29"/>
      <c r="GP139" s="14"/>
      <c r="GQ139" s="39"/>
      <c r="GR139" s="5"/>
      <c r="GS139" s="5"/>
      <c r="GT139" s="5"/>
      <c r="GU139" s="5"/>
      <c r="GV139" s="5"/>
      <c r="GW139" s="16"/>
      <c r="GX139" s="5"/>
      <c r="GY139" s="92"/>
      <c r="GZ139" s="92"/>
      <c r="HA139" s="5"/>
      <c r="HB139" s="5"/>
      <c r="HC139" s="5"/>
      <c r="HD139" s="29"/>
      <c r="HF139" s="14"/>
      <c r="HG139" s="39"/>
      <c r="HH139" s="5"/>
      <c r="HI139" s="5"/>
      <c r="HJ139" s="29"/>
      <c r="HL139" s="14"/>
      <c r="HM139" s="39"/>
      <c r="HN139" s="5"/>
      <c r="HO139" s="5"/>
      <c r="HP139" s="29"/>
      <c r="HR139" s="14"/>
      <c r="HS139" s="39"/>
      <c r="HT139" s="5"/>
      <c r="HU139" s="5"/>
      <c r="HV139" s="29"/>
    </row>
    <row r="140" spans="1:230" x14ac:dyDescent="0.2">
      <c r="A140" s="157" t="s">
        <v>27</v>
      </c>
      <c r="B140" s="157"/>
      <c r="C140" s="157"/>
      <c r="D140" s="103">
        <f>SUM(D78,D82,D86,D90,D94,D98,D102,D106,D110,D114,D118,D122,D126)*100</f>
        <v>66500</v>
      </c>
      <c r="E140" s="39"/>
      <c r="F140" s="5"/>
      <c r="G140" s="16">
        <f>D140/H140</f>
        <v>2462.962962962963</v>
      </c>
      <c r="H140" s="103">
        <f>SUM(H78,H82,H86,H90,H94,H98,H101,H106,H110,H114,H118,H122,H126)</f>
        <v>27</v>
      </c>
      <c r="I140" s="5"/>
      <c r="J140" s="2" t="str">
        <f t="shared" si="485"/>
        <v>サンリオカラビナ付きミニファン</v>
      </c>
      <c r="K140" s="27">
        <f t="shared" si="485"/>
        <v>1100</v>
      </c>
      <c r="L140" s="103">
        <f>SUM(L78,L82,L86,L90,L94,L98,L101,L106,L110,L114,L118,L122,L126)</f>
        <v>23980</v>
      </c>
      <c r="M140" s="92">
        <f>L140/D140</f>
        <v>0.36060150375939848</v>
      </c>
      <c r="N140" s="29"/>
      <c r="O140" s="30"/>
      <c r="P140" s="157" t="s">
        <v>27</v>
      </c>
      <c r="Q140" s="157"/>
      <c r="R140" s="103">
        <f>SUM(R78,R82,R86,R90,R94,R98,R102,R106,R110,R114,R118,R122,R126)*100</f>
        <v>43000</v>
      </c>
      <c r="S140" s="39"/>
      <c r="T140" s="5"/>
      <c r="U140" s="16">
        <f>R140/V140</f>
        <v>7166.666666666667</v>
      </c>
      <c r="V140" s="103">
        <f>SUM(V78,V82,V86,V90,V94,V98,V101,V106,V110,V114,V118,V122,V126)</f>
        <v>6</v>
      </c>
      <c r="W140" s="5"/>
      <c r="X140" s="31" t="str">
        <f t="shared" si="486"/>
        <v>サンリオヘアバンド</v>
      </c>
      <c r="Y140" s="27">
        <f t="shared" si="486"/>
        <v>825</v>
      </c>
      <c r="Z140" s="103">
        <f>SUM(Z78,Z82,Z86,Z90,Z94,Z98,Z101,Z106,Z110,Z114,Z118,Z122,Z126)</f>
        <v>4785</v>
      </c>
      <c r="AA140" s="92">
        <f>Z140/R140</f>
        <v>0.11127906976744185</v>
      </c>
      <c r="AB140" s="29"/>
      <c r="AD140" s="157" t="s">
        <v>27</v>
      </c>
      <c r="AE140" s="157"/>
      <c r="AF140" s="103">
        <f>SUM(AF78,AF82,AF86,AF90,AF94,AF98,AF102,AF106,AF110,AF114,AF118,AF122,AF126)*100</f>
        <v>51500</v>
      </c>
      <c r="AG140" s="39"/>
      <c r="AH140" s="5"/>
      <c r="AI140" s="16">
        <f>AF140/AJ140</f>
        <v>8583.3333333333339</v>
      </c>
      <c r="AJ140" s="103">
        <f>SUM(AJ78,AJ82,AJ86,AJ90,AJ94,AJ98,AJ101,AJ106,AJ110,AJ114,AJ118,AJ122,AJ126)</f>
        <v>6</v>
      </c>
      <c r="AK140" s="5"/>
      <c r="AL140" s="31" t="str">
        <f t="shared" si="487"/>
        <v>バタースクイーズ</v>
      </c>
      <c r="AM140" s="27">
        <f t="shared" si="487"/>
        <v>260</v>
      </c>
      <c r="AN140" s="103">
        <f>SUM(AN78,AN82,AN86,AN90,AN94,AN98,AN101,AN106,AN110,AN114,AN118,AN122,AN126)</f>
        <v>2720</v>
      </c>
      <c r="AO140" s="92">
        <f>AN140/AF140</f>
        <v>5.2815533980582523E-2</v>
      </c>
      <c r="AP140" s="29"/>
      <c r="AR140" s="157" t="s">
        <v>27</v>
      </c>
      <c r="AS140" s="157"/>
      <c r="AT140" s="103">
        <f>SUM(AT78,AT82,AT86,AT90,AT94,AT98,AT102,AT106,AT110,AT114,AT118,AT122,AT126)*100</f>
        <v>40700</v>
      </c>
      <c r="AU140" s="39"/>
      <c r="AV140" s="5"/>
      <c r="AW140" s="16">
        <f>AT140/AX140</f>
        <v>6783.333333333333</v>
      </c>
      <c r="AX140" s="103">
        <f>SUM(AX78,AX82,AX86,AX90,AX94,AX98,AX101,AX106,AX110,AX114,AX118,AX122,AX126)</f>
        <v>6</v>
      </c>
      <c r="AY140" s="5"/>
      <c r="AZ140" s="31" t="str">
        <f t="shared" si="488"/>
        <v>ゲーム機イヤホン</v>
      </c>
      <c r="BA140" s="27">
        <f t="shared" si="488"/>
        <v>770</v>
      </c>
      <c r="BB140" s="103">
        <f>SUM(BB78,BB82,BB86,BB90,BB94,BB98,BB101,BB106,BB110,BB114,BB118,BB122,BB126)</f>
        <v>4697</v>
      </c>
      <c r="BC140" s="92">
        <f>BB140/AT140</f>
        <v>0.11540540540540541</v>
      </c>
      <c r="BD140" s="29"/>
      <c r="BE140" s="105"/>
      <c r="BF140" s="157" t="s">
        <v>27</v>
      </c>
      <c r="BG140" s="157"/>
      <c r="BH140" s="103">
        <f>SUM(BH78,BH82,BH86,BH90,BH94,BH98,BH102,BH106,BH110,BH114,BH118,BH122,BH126)*100</f>
        <v>72200</v>
      </c>
      <c r="BI140" s="39"/>
      <c r="BJ140" s="5"/>
      <c r="BK140" s="16">
        <f>BH140/BL140</f>
        <v>14440</v>
      </c>
      <c r="BL140" s="103">
        <f>SUM(BL78,BL82,BL86,BL90,BL94,BL98,BL101,BL106,BL110,BL114,BL118,BL122,BL126)</f>
        <v>5</v>
      </c>
      <c r="BM140" s="5"/>
      <c r="BN140" s="2" t="str">
        <f t="shared" si="489"/>
        <v>ボンボンドロップシール</v>
      </c>
      <c r="BO140" s="4">
        <f t="shared" si="489"/>
        <v>1500</v>
      </c>
      <c r="BP140" s="103">
        <f>SUM(BP78,BP82,BP86,BP90,BP94,BP98,BP101,BP106,BP110,BP114,BP118,BP122,BP126)</f>
        <v>7500</v>
      </c>
      <c r="BQ140" s="92">
        <f>BP140/BH140</f>
        <v>0.1038781163434903</v>
      </c>
      <c r="BR140" s="29"/>
      <c r="BT140" s="157" t="s">
        <v>27</v>
      </c>
      <c r="BU140" s="157"/>
      <c r="BV140" s="103">
        <f>SUM(BV78,BV82,BV86,BV90,BV94,BV98,BV102,BV106,BV110,BV114,BV118,BV122,BV126)*100</f>
        <v>33800</v>
      </c>
      <c r="BW140" s="39"/>
      <c r="BX140" s="5"/>
      <c r="BY140" s="16">
        <f>BV140/BZ140</f>
        <v>2112.5</v>
      </c>
      <c r="BZ140" s="103">
        <f>SUM(BZ78,BZ82,BZ86,BZ90,BZ94,BZ98,BZ101,BZ106,BZ110,BZ114,BZ118,BZ122,BZ126)</f>
        <v>16</v>
      </c>
      <c r="CA140" s="5"/>
      <c r="CB140" s="2" t="str">
        <f t="shared" si="490"/>
        <v>サンリオボアポーチ</v>
      </c>
      <c r="CC140" s="4">
        <f t="shared" si="490"/>
        <v>950</v>
      </c>
      <c r="CD140" s="103">
        <f>SUM(CD78,CD82,CD86,CD90,CD94,CD98,CD101,CD106,CD110,CD114,CD118,CD122,CD126)</f>
        <v>15500</v>
      </c>
      <c r="CE140" s="92">
        <f>CD140/BV140</f>
        <v>0.45857988165680474</v>
      </c>
      <c r="CF140" s="29"/>
      <c r="CH140" s="14"/>
      <c r="CI140" s="5"/>
      <c r="CJ140" s="5"/>
      <c r="CK140" s="5"/>
      <c r="CL140" s="5"/>
      <c r="CM140" s="16"/>
      <c r="CN140" s="5"/>
      <c r="CO140" s="92"/>
      <c r="CP140" s="92"/>
      <c r="CQ140" s="5"/>
      <c r="CR140" s="5"/>
      <c r="CS140" s="5"/>
      <c r="CT140" s="29"/>
      <c r="CV140" s="14"/>
      <c r="CW140" s="5"/>
      <c r="CX140" s="5"/>
      <c r="CY140" s="5"/>
      <c r="CZ140" s="5"/>
      <c r="DA140" s="16"/>
      <c r="DB140" s="5"/>
      <c r="DC140" s="92"/>
      <c r="DD140" s="92"/>
      <c r="DE140" s="5"/>
      <c r="DF140" s="5"/>
      <c r="DG140" s="5"/>
      <c r="DH140" s="29"/>
      <c r="DJ140" s="14"/>
      <c r="DK140" s="5"/>
      <c r="DL140" s="5"/>
      <c r="DM140" s="5"/>
      <c r="DN140" s="5"/>
      <c r="DO140" s="16"/>
      <c r="DP140" s="5"/>
      <c r="DQ140" s="92"/>
      <c r="DR140" s="92"/>
      <c r="DS140" s="5"/>
      <c r="DT140" s="5"/>
      <c r="DU140" s="5"/>
      <c r="DV140" s="29"/>
      <c r="DX140" s="14"/>
      <c r="DY140" s="5"/>
      <c r="DZ140" s="5"/>
      <c r="EA140" s="5"/>
      <c r="EB140" s="5"/>
      <c r="EC140" s="16"/>
      <c r="ED140" s="5"/>
      <c r="EE140" s="92"/>
      <c r="EF140" s="92"/>
      <c r="EG140" s="5"/>
      <c r="EH140" s="5"/>
      <c r="EI140" s="5"/>
      <c r="EJ140" s="29"/>
      <c r="EL140" s="14"/>
      <c r="EM140" s="5"/>
      <c r="EN140" s="5"/>
      <c r="EO140" s="5"/>
      <c r="EP140" s="5"/>
      <c r="EQ140" s="16"/>
      <c r="ER140" s="5"/>
      <c r="ES140" s="92"/>
      <c r="ET140" s="92"/>
      <c r="EU140" s="5"/>
      <c r="EV140" s="5"/>
      <c r="EW140" s="5"/>
      <c r="EX140" s="29"/>
      <c r="EZ140" s="14"/>
      <c r="FA140" s="5"/>
      <c r="FB140" s="5"/>
      <c r="FC140" s="5"/>
      <c r="FD140" s="5"/>
      <c r="FE140" s="16"/>
      <c r="FF140" s="5"/>
      <c r="FG140" s="92"/>
      <c r="FH140" s="92"/>
      <c r="FI140" s="5"/>
      <c r="FJ140" s="5"/>
      <c r="FK140" s="5"/>
      <c r="FL140" s="29"/>
      <c r="FN140" s="14"/>
      <c r="FO140" s="5"/>
      <c r="FP140" s="5"/>
      <c r="FQ140" s="5"/>
      <c r="FR140" s="5"/>
      <c r="FS140" s="16"/>
      <c r="FT140" s="5"/>
      <c r="FU140" s="92"/>
      <c r="FV140" s="92"/>
      <c r="FW140" s="5"/>
      <c r="FX140" s="5"/>
      <c r="FY140" s="5"/>
      <c r="FZ140" s="29"/>
      <c r="GB140" s="14"/>
      <c r="GC140" s="5"/>
      <c r="GD140" s="5"/>
      <c r="GE140" s="5"/>
      <c r="GF140" s="5"/>
      <c r="GG140" s="16"/>
      <c r="GH140" s="5"/>
      <c r="GI140" s="92"/>
      <c r="GJ140" s="92"/>
      <c r="GK140" s="5"/>
      <c r="GL140" s="5"/>
      <c r="GM140" s="5"/>
      <c r="GN140" s="29"/>
      <c r="GP140" s="14"/>
      <c r="GQ140" s="5"/>
      <c r="GR140" s="5"/>
      <c r="GS140" s="5"/>
      <c r="GT140" s="5"/>
      <c r="GU140" s="5"/>
      <c r="GV140" s="5"/>
      <c r="GW140" s="16"/>
      <c r="GX140" s="5"/>
      <c r="GY140" s="92"/>
      <c r="GZ140" s="92"/>
      <c r="HA140" s="5"/>
      <c r="HB140" s="5"/>
      <c r="HC140" s="5"/>
      <c r="HD140" s="29"/>
      <c r="HF140" s="14"/>
      <c r="HG140" s="5"/>
      <c r="HH140" s="5"/>
      <c r="HI140" s="5"/>
      <c r="HJ140" s="29"/>
      <c r="HL140" s="14"/>
      <c r="HM140" s="5"/>
      <c r="HN140" s="5"/>
      <c r="HO140" s="5"/>
      <c r="HP140" s="29"/>
      <c r="HR140" s="14"/>
      <c r="HS140" s="5"/>
      <c r="HT140" s="5"/>
      <c r="HU140" s="5"/>
      <c r="HV140" s="29"/>
    </row>
    <row r="141" spans="1:230" x14ac:dyDescent="0.2">
      <c r="A141" s="157" t="s">
        <v>27</v>
      </c>
      <c r="B141" s="157"/>
      <c r="C141" s="157"/>
      <c r="D141" s="103">
        <f>SUM(D79,D83,D87,D91,D95,D99,D103,D107,D111,D115,D119,D123,D127)*100</f>
        <v>59900</v>
      </c>
      <c r="E141" s="39"/>
      <c r="F141" s="5"/>
      <c r="G141" s="16">
        <f>D141/H141</f>
        <v>4991.666666666667</v>
      </c>
      <c r="H141" s="103">
        <f>SUM(H79,H83,H87,H92,H95,H99,H103,H107,H111,H115,H119,H123,H127)</f>
        <v>12</v>
      </c>
      <c r="I141" s="5"/>
      <c r="J141" s="2" t="str">
        <f t="shared" si="485"/>
        <v>たまごっちブロックシール</v>
      </c>
      <c r="K141" s="27">
        <f t="shared" si="485"/>
        <v>600</v>
      </c>
      <c r="L141" s="103">
        <f>SUM(L79,L83,L87,L92,L95,L99,L103,L107,L111,L115,L119,L123,L127)</f>
        <v>6699</v>
      </c>
      <c r="M141" s="92">
        <f>L141/D141</f>
        <v>0.11183639398998331</v>
      </c>
      <c r="N141" s="29"/>
      <c r="O141" s="30"/>
      <c r="P141" s="157" t="s">
        <v>27</v>
      </c>
      <c r="Q141" s="157"/>
      <c r="R141" s="103">
        <f>SUM(R79,R83,R87,R91,R95,R99,R103,R107,R111,R115,R119,R123,R127)*100</f>
        <v>43800</v>
      </c>
      <c r="S141" s="39"/>
      <c r="T141" s="5"/>
      <c r="U141" s="16">
        <f>R141/V141</f>
        <v>5475</v>
      </c>
      <c r="V141" s="103">
        <f>SUM(V79,V83,V87,V92,V95,V99,V103,V107,V111,V115,V119,V123,V127)</f>
        <v>8</v>
      </c>
      <c r="W141" s="5"/>
      <c r="X141" s="31" t="str">
        <f t="shared" si="486"/>
        <v>キララメシールバインダー</v>
      </c>
      <c r="Y141" s="27">
        <f t="shared" si="486"/>
        <v>638</v>
      </c>
      <c r="Z141" s="103">
        <f>SUM(Z79,Z83,Z87,Z92,Z95,Z99,Z103,Z107,Z111,Z115,Z119,Z123,Z127)</f>
        <v>2819</v>
      </c>
      <c r="AA141" s="92">
        <f>Z141/R141</f>
        <v>6.4360730593607307E-2</v>
      </c>
      <c r="AB141" s="29"/>
      <c r="AD141" s="157" t="s">
        <v>27</v>
      </c>
      <c r="AE141" s="157"/>
      <c r="AF141" s="103">
        <f>SUM(AF79,AF83,AF87,AF91,AF95,AF99,AF103,AF107,AF111,AF115,AF119,AF123,AF127)*100</f>
        <v>63500</v>
      </c>
      <c r="AG141" s="39"/>
      <c r="AH141" s="5"/>
      <c r="AI141" s="16">
        <f>AF141/AJ141</f>
        <v>10583.333333333334</v>
      </c>
      <c r="AJ141" s="103">
        <f>SUM(AJ79,AJ83,AJ87,AJ92,AJ95,AJ99,AJ103,AJ107,AJ111,AJ115,AJ119,AJ123,AJ127)</f>
        <v>6</v>
      </c>
      <c r="AK141" s="5"/>
      <c r="AL141" s="31" t="str">
        <f t="shared" si="487"/>
        <v>たまごっちマスコット</v>
      </c>
      <c r="AM141" s="27">
        <f t="shared" si="487"/>
        <v>1430</v>
      </c>
      <c r="AN141" s="103">
        <f>SUM(AN79,AN83,AN87,AN92,AN95,AN99,AN103,AN107,AN111,AN115,AN119,AN123,AN127)</f>
        <v>7410</v>
      </c>
      <c r="AO141" s="92">
        <f>AN141/AF141</f>
        <v>0.11669291338582677</v>
      </c>
      <c r="AP141" s="29"/>
      <c r="AR141" s="157" t="s">
        <v>27</v>
      </c>
      <c r="AS141" s="157"/>
      <c r="AT141" s="103">
        <f>SUM(AT79,AT83,AT87,AT91,AT95,AT99,AT103,AT107,AT111,AT115,AT119,AT123,AT127)*100</f>
        <v>40000</v>
      </c>
      <c r="AU141" s="39"/>
      <c r="AV141" s="5"/>
      <c r="AW141" s="16">
        <f>AT141/AX141</f>
        <v>1290.3225806451612</v>
      </c>
      <c r="AX141" s="103">
        <f>SUM(AX79,AX83,AX87,AX92,AX95,AX99,AX103,AX107,AX111,AX115,AX119,AX123,AX127)</f>
        <v>31</v>
      </c>
      <c r="AY141" s="5"/>
      <c r="AZ141" s="31" t="str">
        <f t="shared" si="488"/>
        <v>ゲームアーク</v>
      </c>
      <c r="BA141" s="27">
        <f t="shared" si="488"/>
        <v>682</v>
      </c>
      <c r="BB141" s="103">
        <f>SUM(BB79,BB83,BB87,BB92,BB95,BB99,BB103,BB107,BB111,BB115,BB119,BB123,BB127)</f>
        <v>1311</v>
      </c>
      <c r="BC141" s="92">
        <f>BB141/AT141</f>
        <v>3.2774999999999999E-2</v>
      </c>
      <c r="BD141" s="29"/>
      <c r="BE141" s="105"/>
      <c r="BF141" s="157" t="s">
        <v>27</v>
      </c>
      <c r="BG141" s="157"/>
      <c r="BH141" s="103">
        <f>SUM(BH79,BH83,BH87,BH91,BH95,BH99,BH103,BH107,BH111,BH115,BH119,BH123,BH127)*100</f>
        <v>97000</v>
      </c>
      <c r="BI141" s="39"/>
      <c r="BJ141" s="5"/>
      <c r="BK141" s="16">
        <f>BH141/BL141</f>
        <v>24250</v>
      </c>
      <c r="BL141" s="103">
        <f>SUM(BL79,BL83,BL87,BL91,BL95,BL99,BL103,BL107,BL111,BL115,BL119,BL123,BL127)</f>
        <v>4</v>
      </c>
      <c r="BM141" s="5"/>
      <c r="BN141" s="2" t="str">
        <f t="shared" si="489"/>
        <v>ボンボンドロップシール</v>
      </c>
      <c r="BO141" s="4">
        <f t="shared" si="489"/>
        <v>1500</v>
      </c>
      <c r="BP141" s="103">
        <f>SUM(BP79,BP83,BP87,BP91,BP95,BP99,BP103,BP107,BP111,BP115,BP119,BP123,BP127)</f>
        <v>6000</v>
      </c>
      <c r="BQ141" s="92">
        <f>BP141/BH141</f>
        <v>6.1855670103092786E-2</v>
      </c>
      <c r="BR141" s="29"/>
      <c r="BT141" s="157" t="s">
        <v>27</v>
      </c>
      <c r="BU141" s="157"/>
      <c r="BV141" s="103">
        <f>SUM(BV79,BV83,BV87,BV91,BV95,BV99,BV103,BV107,BV111,BV115,BV119,BV123,BV127)*100</f>
        <v>0</v>
      </c>
      <c r="BW141" s="39"/>
      <c r="BX141" s="5"/>
      <c r="BY141" s="16" t="e">
        <f>BV141/BZ141</f>
        <v>#DIV/0!</v>
      </c>
      <c r="BZ141" s="103">
        <f>SUM(BZ79,BZ83,BZ87,BZ91,BZ95,BZ99,BZ103,BZ107,BZ111,BZ115,BZ119,BZ123,BZ127)</f>
        <v>0</v>
      </c>
      <c r="CA141" s="5"/>
      <c r="CB141" s="2">
        <f t="shared" si="490"/>
        <v>0</v>
      </c>
      <c r="CC141" s="4">
        <f t="shared" si="490"/>
        <v>0</v>
      </c>
      <c r="CD141" s="103">
        <f>SUM(CD79,CD83,CD87,CD91,CD95,CD99,CD103,CD107,CD111,CD115,CD119,CD123,CD127)</f>
        <v>0</v>
      </c>
      <c r="CE141" s="92" t="e">
        <f>CD141/BV141</f>
        <v>#DIV/0!</v>
      </c>
      <c r="CF141" s="29"/>
      <c r="CH141" s="14"/>
      <c r="CI141" s="154"/>
      <c r="CJ141" s="154"/>
      <c r="CK141" s="106"/>
      <c r="CL141" s="5"/>
      <c r="CM141" s="16"/>
      <c r="CN141" s="5"/>
      <c r="CO141" s="92"/>
      <c r="CP141" s="92"/>
      <c r="CQ141" s="5"/>
      <c r="CR141" s="5"/>
      <c r="CS141" s="5"/>
      <c r="CT141" s="29"/>
      <c r="CV141" s="14"/>
      <c r="CW141" s="154"/>
      <c r="CX141" s="154"/>
      <c r="CY141" s="106"/>
      <c r="CZ141" s="5"/>
      <c r="DA141" s="16"/>
      <c r="DB141" s="5"/>
      <c r="DC141" s="92"/>
      <c r="DD141" s="92"/>
      <c r="DE141" s="5"/>
      <c r="DF141" s="5"/>
      <c r="DG141" s="5"/>
      <c r="DH141" s="29"/>
      <c r="DJ141" s="14"/>
      <c r="DK141" s="154"/>
      <c r="DL141" s="154"/>
      <c r="DM141" s="106"/>
      <c r="DN141" s="5"/>
      <c r="DO141" s="16"/>
      <c r="DP141" s="5"/>
      <c r="DQ141" s="92"/>
      <c r="DR141" s="92"/>
      <c r="DS141" s="5"/>
      <c r="DT141" s="5"/>
      <c r="DU141" s="5"/>
      <c r="DV141" s="29"/>
      <c r="DX141" s="14"/>
      <c r="DY141" s="154"/>
      <c r="DZ141" s="154"/>
      <c r="EA141" s="106"/>
      <c r="EB141" s="5"/>
      <c r="EC141" s="16"/>
      <c r="ED141" s="5"/>
      <c r="EE141" s="92"/>
      <c r="EF141" s="92"/>
      <c r="EG141" s="5"/>
      <c r="EH141" s="5"/>
      <c r="EI141" s="5"/>
      <c r="EJ141" s="29"/>
      <c r="EL141" s="14"/>
      <c r="EM141" s="154"/>
      <c r="EN141" s="154"/>
      <c r="EO141" s="106"/>
      <c r="EP141" s="5"/>
      <c r="EQ141" s="16"/>
      <c r="ER141" s="5"/>
      <c r="ES141" s="92"/>
      <c r="ET141" s="92"/>
      <c r="EU141" s="5"/>
      <c r="EV141" s="5"/>
      <c r="EW141" s="5"/>
      <c r="EX141" s="29"/>
      <c r="EZ141" s="14"/>
      <c r="FA141" s="154"/>
      <c r="FB141" s="154"/>
      <c r="FC141" s="106"/>
      <c r="FD141" s="5"/>
      <c r="FE141" s="16"/>
      <c r="FF141" s="5"/>
      <c r="FG141" s="92"/>
      <c r="FH141" s="92"/>
      <c r="FI141" s="5"/>
      <c r="FJ141" s="5"/>
      <c r="FK141" s="5"/>
      <c r="FL141" s="29"/>
      <c r="FN141" s="14"/>
      <c r="FO141" s="154"/>
      <c r="FP141" s="154"/>
      <c r="FQ141" s="106"/>
      <c r="FR141" s="5"/>
      <c r="FS141" s="16"/>
      <c r="FT141" s="5"/>
      <c r="FU141" s="92"/>
      <c r="FV141" s="92"/>
      <c r="FW141" s="5"/>
      <c r="FX141" s="5"/>
      <c r="FY141" s="5"/>
      <c r="FZ141" s="29"/>
      <c r="GB141" s="14"/>
      <c r="GC141" s="154"/>
      <c r="GD141" s="154"/>
      <c r="GE141" s="106"/>
      <c r="GF141" s="5"/>
      <c r="GG141" s="16"/>
      <c r="GH141" s="5"/>
      <c r="GI141" s="92"/>
      <c r="GJ141" s="92"/>
      <c r="GK141" s="5"/>
      <c r="GL141" s="5"/>
      <c r="GM141" s="5"/>
      <c r="GN141" s="29"/>
      <c r="GP141" s="14"/>
      <c r="GQ141" s="154"/>
      <c r="GR141" s="154"/>
      <c r="GS141" s="21"/>
      <c r="GT141" s="21"/>
      <c r="GU141" s="106"/>
      <c r="GV141" s="5"/>
      <c r="GW141" s="16"/>
      <c r="GX141" s="5"/>
      <c r="GY141" s="92"/>
      <c r="GZ141" s="92"/>
      <c r="HA141" s="5"/>
      <c r="HB141" s="5"/>
      <c r="HC141" s="5"/>
      <c r="HD141" s="29"/>
      <c r="HF141" s="14"/>
      <c r="HG141" s="154"/>
      <c r="HH141" s="154"/>
      <c r="HI141" s="106"/>
      <c r="HJ141" s="29"/>
      <c r="HL141" s="14"/>
      <c r="HM141" s="154"/>
      <c r="HN141" s="154"/>
      <c r="HO141" s="106"/>
      <c r="HP141" s="29"/>
      <c r="HR141" s="14"/>
      <c r="HS141" s="154"/>
      <c r="HT141" s="154"/>
      <c r="HU141" s="106"/>
      <c r="HV141" s="29"/>
    </row>
    <row r="142" spans="1:230" ht="15" customHeight="1" thickBot="1" x14ac:dyDescent="0.25">
      <c r="A142" s="157" t="s">
        <v>27</v>
      </c>
      <c r="B142" s="157"/>
      <c r="C142" s="157"/>
      <c r="D142" s="103">
        <f>SUM(D80,D84,D88,D92,D96,D100,D104,D108,D112,D116,D120,D124,D128)*100</f>
        <v>45600</v>
      </c>
      <c r="E142" s="39"/>
      <c r="F142" s="5"/>
      <c r="G142" s="16">
        <f>D142/H142</f>
        <v>2533.3333333333335</v>
      </c>
      <c r="H142" s="103">
        <f>SUM(H80,H84,H88,H91,H96,H100,H104,H108,H112,H116,H120,H124,H128)</f>
        <v>18</v>
      </c>
      <c r="I142" s="5"/>
      <c r="J142" s="2" t="str">
        <f t="shared" si="485"/>
        <v>ふわもちミニスクイーズ</v>
      </c>
      <c r="K142" s="27">
        <f t="shared" si="485"/>
        <v>99</v>
      </c>
      <c r="L142" s="103">
        <f>SUM(L80,L84,L88,L91,L96,L100,L104,L108,L112,L116,L120,L124,L128)</f>
        <v>1782</v>
      </c>
      <c r="M142" s="92">
        <f>L142/D142</f>
        <v>3.9078947368421053E-2</v>
      </c>
      <c r="N142" s="29"/>
      <c r="O142" s="30"/>
      <c r="P142" s="157" t="s">
        <v>27</v>
      </c>
      <c r="Q142" s="157"/>
      <c r="R142" s="103">
        <f>SUM(R80,R84,R88,R92,R96,R100,R104,R108,R112,R116,R120,R124,R128)*100</f>
        <v>32500</v>
      </c>
      <c r="S142" s="39"/>
      <c r="T142" s="5"/>
      <c r="U142" s="16">
        <f>R142/V142</f>
        <v>4642.8571428571431</v>
      </c>
      <c r="V142" s="103">
        <f>SUM(V80,V84,V88,V91,V96,V100,V104,V108,V112,V116,V120,V124,V128)</f>
        <v>7</v>
      </c>
      <c r="W142" s="5"/>
      <c r="X142" s="31" t="str">
        <f t="shared" si="486"/>
        <v>ボンドロ海外製</v>
      </c>
      <c r="Y142" s="27">
        <f t="shared" si="486"/>
        <v>150</v>
      </c>
      <c r="Z142" s="103">
        <f>SUM(Z80,Z84,Z88,Z91,Z96,Z100,Z104,Z108,Z112,Z116,Z120,Z124,Z128)</f>
        <v>1588</v>
      </c>
      <c r="AA142" s="92">
        <f>Z142/R142</f>
        <v>4.8861538461538463E-2</v>
      </c>
      <c r="AB142" s="29"/>
      <c r="AD142" s="157" t="s">
        <v>27</v>
      </c>
      <c r="AE142" s="157"/>
      <c r="AF142" s="103">
        <f>SUM(AF80,AF84,AF88,AF92,AF96,AF100,AF104,AF108,AF112,AF116,AF120,AF124,AF128)*100</f>
        <v>48600</v>
      </c>
      <c r="AG142" s="39"/>
      <c r="AH142" s="5"/>
      <c r="AI142" s="16">
        <f>AF142/AJ142</f>
        <v>6942.8571428571431</v>
      </c>
      <c r="AJ142" s="103">
        <f>SUM(AJ80,AJ84,AJ88,AJ91,AJ96,AJ100,AJ104,AJ108,AJ112,AJ116,AJ120,AJ124,AJ128)</f>
        <v>7</v>
      </c>
      <c r="AK142" s="5"/>
      <c r="AL142" s="31" t="str">
        <f t="shared" si="487"/>
        <v>キティ着物マスコット</v>
      </c>
      <c r="AM142" s="27">
        <f t="shared" si="487"/>
        <v>1100</v>
      </c>
      <c r="AN142" s="103">
        <f>SUM(AN80,AN84,AN88,AN91,AN96,AN100,AN104,AN108,AN112,AN116,AN120,AN124,AN128)</f>
        <v>4160</v>
      </c>
      <c r="AO142" s="92">
        <f>AN142/AF142</f>
        <v>8.5596707818930043E-2</v>
      </c>
      <c r="AP142" s="29"/>
      <c r="AR142" s="157" t="s">
        <v>27</v>
      </c>
      <c r="AS142" s="157"/>
      <c r="AT142" s="103">
        <f>SUM(AT80,AT84,AT88,AT92,AT96,AT100,AT104,AT108,AT112,AT116,AT120,AT124,AT128)*100</f>
        <v>39200</v>
      </c>
      <c r="AU142" s="39"/>
      <c r="AV142" s="5"/>
      <c r="AW142" s="16">
        <f>AT142/AX142</f>
        <v>1781.8181818181818</v>
      </c>
      <c r="AX142" s="103">
        <f>SUM(AX80,AX84,AX88,AX91,AX96,AX100,AX104,AX108,AX112,AX116,AX120,AX124,AX128)</f>
        <v>22</v>
      </c>
      <c r="AY142" s="5"/>
      <c r="AZ142" s="31" t="str">
        <f t="shared" si="488"/>
        <v>しばこ</v>
      </c>
      <c r="BA142" s="27">
        <f t="shared" si="488"/>
        <v>110</v>
      </c>
      <c r="BB142" s="103">
        <f>SUM(BB80,BB84,BB88,BB91,BB96,BB100,BB104,BB108,BB112,BB116,BB120,BB124,BB128)</f>
        <v>4906</v>
      </c>
      <c r="BC142" s="92">
        <f>BB142/AT142</f>
        <v>0.1251530612244898</v>
      </c>
      <c r="BD142" s="29"/>
      <c r="BE142" s="105"/>
      <c r="BF142" s="157" t="s">
        <v>27</v>
      </c>
      <c r="BG142" s="157"/>
      <c r="BH142" s="103">
        <f>SUM(BH80,BH84,BH88,BH92,BH96,BH100,BH104,BH108,BH112,BH116,BH120,BH124,BH128)*100</f>
        <v>64100</v>
      </c>
      <c r="BI142" s="39"/>
      <c r="BJ142" s="5"/>
      <c r="BK142" s="16">
        <f>BH142/BL142</f>
        <v>12820</v>
      </c>
      <c r="BL142" s="103">
        <f>SUM(BL80,BL84,BL88,BL92,BL96,BL100,BL104,BL108,BL112,BL116,BL120,BL124,BL128)</f>
        <v>5</v>
      </c>
      <c r="BM142" s="5"/>
      <c r="BN142" s="2" t="str">
        <f t="shared" si="489"/>
        <v>ボンボンドロップシール</v>
      </c>
      <c r="BO142" s="4">
        <f t="shared" si="489"/>
        <v>1500</v>
      </c>
      <c r="BP142" s="103">
        <f>SUM(BP80,BP84,BP88,BP92,BP96,BP100,BP104,BP108,BP112,BP116,BP120,BP124,BP128)</f>
        <v>7500</v>
      </c>
      <c r="BQ142" s="92">
        <f>BP142/BH142</f>
        <v>0.11700468018720749</v>
      </c>
      <c r="BR142" s="29"/>
      <c r="BT142" s="157" t="s">
        <v>27</v>
      </c>
      <c r="BU142" s="157"/>
      <c r="BV142" s="103">
        <f>SUM(BV80,BV84,BV88,BV92,BV96,BV100,BV104,BV108,BV112,BV116,BV120,BV124,BV128)*100</f>
        <v>0</v>
      </c>
      <c r="BW142" s="39"/>
      <c r="BX142" s="5"/>
      <c r="BY142" s="16" t="e">
        <f>BV142/BZ142</f>
        <v>#DIV/0!</v>
      </c>
      <c r="BZ142" s="103">
        <f>SUM(BZ80,BZ84,BZ88,BZ92,BZ96,BZ100,BZ104,BZ108,BZ112,BZ116,BZ120,BZ124,BZ128)</f>
        <v>0</v>
      </c>
      <c r="CA142" s="5"/>
      <c r="CB142" s="2">
        <f t="shared" si="490"/>
        <v>0</v>
      </c>
      <c r="CC142" s="4">
        <f t="shared" si="490"/>
        <v>0</v>
      </c>
      <c r="CD142" s="103">
        <f>SUM(CD80,CD84,CD88,CD92,CD96,CD100,CD104,CD108,CD112,CD116,CD120,CD124,CD128)</f>
        <v>0</v>
      </c>
      <c r="CE142" s="92" t="e">
        <f>CD142/BV142</f>
        <v>#DIV/0!</v>
      </c>
      <c r="CF142" s="29"/>
      <c r="CH142" s="14"/>
      <c r="CI142" s="154"/>
      <c r="CJ142" s="154"/>
      <c r="CK142" s="5"/>
      <c r="CL142" s="5"/>
      <c r="CM142" s="16"/>
      <c r="CN142" s="5"/>
      <c r="CO142" s="92"/>
      <c r="CP142" s="92"/>
      <c r="CQ142" s="36"/>
      <c r="CR142" s="36"/>
      <c r="CS142" s="36"/>
      <c r="CT142" s="29"/>
      <c r="CV142" s="14"/>
      <c r="CW142" s="154"/>
      <c r="CX142" s="154"/>
      <c r="CY142" s="5"/>
      <c r="CZ142" s="5"/>
      <c r="DA142" s="16"/>
      <c r="DB142" s="5"/>
      <c r="DC142" s="92"/>
      <c r="DD142" s="92"/>
      <c r="DE142" s="36"/>
      <c r="DF142" s="36"/>
      <c r="DG142" s="36"/>
      <c r="DH142" s="29"/>
      <c r="DJ142" s="14"/>
      <c r="DK142" s="154"/>
      <c r="DL142" s="154"/>
      <c r="DM142" s="5"/>
      <c r="DN142" s="5"/>
      <c r="DO142" s="16"/>
      <c r="DP142" s="5"/>
      <c r="DQ142" s="92"/>
      <c r="DR142" s="92"/>
      <c r="DS142" s="36"/>
      <c r="DT142" s="36"/>
      <c r="DU142" s="36"/>
      <c r="DV142" s="29"/>
      <c r="DX142" s="14"/>
      <c r="DY142" s="154"/>
      <c r="DZ142" s="154"/>
      <c r="EA142" s="5"/>
      <c r="EB142" s="5"/>
      <c r="EC142" s="16"/>
      <c r="ED142" s="5"/>
      <c r="EE142" s="92"/>
      <c r="EF142" s="92"/>
      <c r="EG142" s="36"/>
      <c r="EH142" s="36"/>
      <c r="EI142" s="36"/>
      <c r="EJ142" s="29"/>
      <c r="EL142" s="14"/>
      <c r="EM142" s="154"/>
      <c r="EN142" s="154"/>
      <c r="EO142" s="5"/>
      <c r="EP142" s="5"/>
      <c r="EQ142" s="16"/>
      <c r="ER142" s="5"/>
      <c r="ES142" s="92"/>
      <c r="ET142" s="92"/>
      <c r="EU142" s="36"/>
      <c r="EV142" s="36"/>
      <c r="EW142" s="36"/>
      <c r="EX142" s="29"/>
      <c r="EZ142" s="14"/>
      <c r="FA142" s="154"/>
      <c r="FB142" s="154"/>
      <c r="FC142" s="5"/>
      <c r="FD142" s="5"/>
      <c r="FE142" s="16"/>
      <c r="FF142" s="5"/>
      <c r="FG142" s="92"/>
      <c r="FH142" s="92"/>
      <c r="FI142" s="36"/>
      <c r="FJ142" s="36"/>
      <c r="FK142" s="36"/>
      <c r="FL142" s="29"/>
      <c r="FN142" s="14"/>
      <c r="FO142" s="154"/>
      <c r="FP142" s="154"/>
      <c r="FQ142" s="5"/>
      <c r="FR142" s="5"/>
      <c r="FS142" s="16"/>
      <c r="FT142" s="5"/>
      <c r="FU142" s="92"/>
      <c r="FV142" s="92"/>
      <c r="FW142" s="36"/>
      <c r="FX142" s="36"/>
      <c r="FY142" s="36"/>
      <c r="FZ142" s="29"/>
      <c r="GB142" s="14"/>
      <c r="GC142" s="154"/>
      <c r="GD142" s="154"/>
      <c r="GE142" s="5"/>
      <c r="GF142" s="5"/>
      <c r="GG142" s="16"/>
      <c r="GH142" s="5"/>
      <c r="GI142" s="92"/>
      <c r="GJ142" s="92"/>
      <c r="GK142" s="36"/>
      <c r="GL142" s="36"/>
      <c r="GM142" s="36"/>
      <c r="GN142" s="29"/>
      <c r="GP142" s="14"/>
      <c r="GQ142" s="154"/>
      <c r="GR142" s="154"/>
      <c r="GS142" s="21"/>
      <c r="GT142" s="21"/>
      <c r="GU142" s="5"/>
      <c r="GV142" s="5"/>
      <c r="GW142" s="16"/>
      <c r="GX142" s="5"/>
      <c r="GY142" s="92"/>
      <c r="GZ142" s="92"/>
      <c r="HA142" s="36"/>
      <c r="HB142" s="36"/>
      <c r="HC142" s="36"/>
      <c r="HD142" s="29"/>
      <c r="HF142" s="14"/>
      <c r="HG142" s="154"/>
      <c r="HH142" s="154"/>
      <c r="HI142" s="5"/>
      <c r="HJ142" s="29"/>
      <c r="HL142" s="14"/>
      <c r="HM142" s="154"/>
      <c r="HN142" s="154"/>
      <c r="HO142" s="5"/>
      <c r="HP142" s="29"/>
      <c r="HR142" s="14"/>
      <c r="HS142" s="154"/>
      <c r="HT142" s="154"/>
      <c r="HU142" s="5"/>
      <c r="HV142" s="29"/>
    </row>
    <row r="143" spans="1:230" ht="15" customHeight="1" thickTop="1" x14ac:dyDescent="0.2">
      <c r="A143" s="25"/>
      <c r="B143" s="37"/>
      <c r="C143" s="16" t="s">
        <v>20</v>
      </c>
      <c r="D143" s="5">
        <f>SUM(D139:D142)</f>
        <v>209200</v>
      </c>
      <c r="E143" s="39"/>
      <c r="F143" s="5"/>
      <c r="G143" s="5"/>
      <c r="H143" s="5">
        <f>SUM(H139:H142)</f>
        <v>75</v>
      </c>
      <c r="I143" s="5"/>
      <c r="J143" s="156" t="s">
        <v>28</v>
      </c>
      <c r="K143" s="156"/>
      <c r="L143" s="4">
        <f>SUM(L139:L142)</f>
        <v>44781</v>
      </c>
      <c r="M143" s="107">
        <f>L143/D143</f>
        <v>0.21405831739961759</v>
      </c>
      <c r="N143" s="34"/>
      <c r="O143" s="30"/>
      <c r="P143" s="25"/>
      <c r="Q143" s="16" t="s">
        <v>20</v>
      </c>
      <c r="R143" s="5">
        <f>SUM(R139:R142)</f>
        <v>170100</v>
      </c>
      <c r="S143" s="39"/>
      <c r="T143" s="5"/>
      <c r="U143" s="5"/>
      <c r="V143" s="5">
        <f>SUM(V139:V142)</f>
        <v>33</v>
      </c>
      <c r="W143" s="5"/>
      <c r="X143" s="156" t="s">
        <v>28</v>
      </c>
      <c r="Y143" s="156"/>
      <c r="Z143" s="4">
        <f>SUM(Z139:Z142)</f>
        <v>17442</v>
      </c>
      <c r="AA143" s="107">
        <f>Z143/R143</f>
        <v>0.10253968253968254</v>
      </c>
      <c r="AB143" s="29"/>
      <c r="AD143" s="25"/>
      <c r="AE143" s="16" t="s">
        <v>20</v>
      </c>
      <c r="AF143" s="5">
        <f>SUM(AF139:AF142)</f>
        <v>204000</v>
      </c>
      <c r="AG143" s="39"/>
      <c r="AH143" s="5"/>
      <c r="AI143" s="5"/>
      <c r="AJ143" s="5">
        <f>SUM(AJ139:AJ142)</f>
        <v>36</v>
      </c>
      <c r="AK143" s="5"/>
      <c r="AL143" s="156" t="s">
        <v>28</v>
      </c>
      <c r="AM143" s="156"/>
      <c r="AN143" s="4">
        <f>SUM(AN139:AN142)</f>
        <v>25444</v>
      </c>
      <c r="AO143" s="107">
        <f>AN143/AF143</f>
        <v>0.12472549019607843</v>
      </c>
      <c r="AP143" s="29"/>
      <c r="AR143" s="25"/>
      <c r="AS143" s="16" t="s">
        <v>20</v>
      </c>
      <c r="AT143" s="5">
        <f>SUM(AT139:AT142)</f>
        <v>211400</v>
      </c>
      <c r="AU143" s="39"/>
      <c r="AV143" s="5"/>
      <c r="AW143" s="5"/>
      <c r="AX143" s="5">
        <f>SUM(AX139:AX142)</f>
        <v>82</v>
      </c>
      <c r="AY143" s="5"/>
      <c r="AZ143" s="156" t="s">
        <v>28</v>
      </c>
      <c r="BA143" s="156"/>
      <c r="BB143" s="4">
        <f>SUM(BB139:BB142)</f>
        <v>31002</v>
      </c>
      <c r="BC143" s="107">
        <f>BB143/AT143</f>
        <v>0.14665089877010407</v>
      </c>
      <c r="BD143" s="29"/>
      <c r="BE143" s="32"/>
      <c r="BF143" s="25"/>
      <c r="BG143" s="16" t="s">
        <v>20</v>
      </c>
      <c r="BH143" s="5">
        <f>SUM(BH139:BH142)</f>
        <v>325200</v>
      </c>
      <c r="BI143" s="5"/>
      <c r="BJ143" s="5"/>
      <c r="BK143" s="5"/>
      <c r="BL143" s="5">
        <f>SUM(BL139:BL142)</f>
        <v>18</v>
      </c>
      <c r="BM143" s="5"/>
      <c r="BN143" s="155" t="s">
        <v>28</v>
      </c>
      <c r="BO143" s="155"/>
      <c r="BP143" s="4">
        <f>SUM(BP139:BP142)</f>
        <v>27000</v>
      </c>
      <c r="BQ143" s="107">
        <f>BP143/BH143</f>
        <v>8.3025830258302583E-2</v>
      </c>
      <c r="BR143" s="29"/>
      <c r="BT143" s="25"/>
      <c r="BU143" s="16" t="s">
        <v>20</v>
      </c>
      <c r="BV143" s="5">
        <f>SUM(BV139:BV142)</f>
        <v>81900</v>
      </c>
      <c r="BW143" s="5"/>
      <c r="BX143" s="5"/>
      <c r="BY143" s="5"/>
      <c r="BZ143" s="5">
        <f>SUM(BZ139:BZ142)</f>
        <v>43</v>
      </c>
      <c r="CA143" s="5"/>
      <c r="CB143" s="155" t="s">
        <v>28</v>
      </c>
      <c r="CC143" s="155"/>
      <c r="CD143" s="4">
        <f>SUM(CD139:CD142)</f>
        <v>48050</v>
      </c>
      <c r="CE143" s="107">
        <f>CD143/BV143</f>
        <v>0.58669108669108672</v>
      </c>
      <c r="CF143" s="29"/>
      <c r="CH143" s="14"/>
      <c r="CI143" s="154"/>
      <c r="CJ143" s="154"/>
      <c r="CK143" s="92"/>
      <c r="CL143" s="5"/>
      <c r="CM143" s="16"/>
      <c r="CN143" s="5"/>
      <c r="CO143" s="92"/>
      <c r="CP143" s="92"/>
      <c r="CQ143" s="36"/>
      <c r="CR143" s="36"/>
      <c r="CS143" s="36"/>
      <c r="CT143" s="29"/>
      <c r="CV143" s="14"/>
      <c r="CW143" s="154"/>
      <c r="CX143" s="154"/>
      <c r="CY143" s="92"/>
      <c r="CZ143" s="5"/>
      <c r="DA143" s="16"/>
      <c r="DB143" s="5"/>
      <c r="DC143" s="92"/>
      <c r="DD143" s="92"/>
      <c r="DE143" s="36"/>
      <c r="DF143" s="36"/>
      <c r="DG143" s="36"/>
      <c r="DH143" s="29"/>
      <c r="DJ143" s="14"/>
      <c r="DK143" s="154"/>
      <c r="DL143" s="154"/>
      <c r="DM143" s="92"/>
      <c r="DN143" s="5"/>
      <c r="DO143" s="16"/>
      <c r="DP143" s="5"/>
      <c r="DQ143" s="92"/>
      <c r="DR143" s="92"/>
      <c r="DS143" s="36"/>
      <c r="DT143" s="36"/>
      <c r="DU143" s="36"/>
      <c r="DV143" s="29"/>
      <c r="DX143" s="14"/>
      <c r="DY143" s="154"/>
      <c r="DZ143" s="154"/>
      <c r="EA143" s="92"/>
      <c r="EB143" s="5"/>
      <c r="EC143" s="16"/>
      <c r="ED143" s="5"/>
      <c r="EE143" s="92"/>
      <c r="EF143" s="92"/>
      <c r="EG143" s="36"/>
      <c r="EH143" s="36"/>
      <c r="EI143" s="36"/>
      <c r="EJ143" s="29"/>
      <c r="EL143" s="14"/>
      <c r="EM143" s="154"/>
      <c r="EN143" s="154"/>
      <c r="EO143" s="92"/>
      <c r="EP143" s="5"/>
      <c r="EQ143" s="16"/>
      <c r="ER143" s="5"/>
      <c r="ES143" s="92"/>
      <c r="ET143" s="92"/>
      <c r="EU143" s="36"/>
      <c r="EV143" s="36"/>
      <c r="EW143" s="36"/>
      <c r="EX143" s="29"/>
      <c r="EZ143" s="14"/>
      <c r="FA143" s="154"/>
      <c r="FB143" s="154"/>
      <c r="FC143" s="92"/>
      <c r="FD143" s="5"/>
      <c r="FE143" s="16"/>
      <c r="FF143" s="5"/>
      <c r="FG143" s="92"/>
      <c r="FH143" s="92"/>
      <c r="FI143" s="36"/>
      <c r="FJ143" s="36"/>
      <c r="FK143" s="36"/>
      <c r="FL143" s="29"/>
      <c r="FN143" s="14"/>
      <c r="FO143" s="154"/>
      <c r="FP143" s="154"/>
      <c r="FQ143" s="92"/>
      <c r="FR143" s="5"/>
      <c r="FS143" s="16"/>
      <c r="FT143" s="5"/>
      <c r="FU143" s="92"/>
      <c r="FV143" s="92"/>
      <c r="FW143" s="36"/>
      <c r="FX143" s="36"/>
      <c r="FY143" s="36"/>
      <c r="FZ143" s="29"/>
      <c r="GB143" s="14"/>
      <c r="GC143" s="154"/>
      <c r="GD143" s="154"/>
      <c r="GE143" s="92"/>
      <c r="GF143" s="5"/>
      <c r="GG143" s="16"/>
      <c r="GH143" s="5"/>
      <c r="GI143" s="92"/>
      <c r="GJ143" s="92"/>
      <c r="GK143" s="36"/>
      <c r="GL143" s="36"/>
      <c r="GM143" s="36"/>
      <c r="GN143" s="29"/>
      <c r="GP143" s="14"/>
      <c r="GQ143" s="154"/>
      <c r="GR143" s="154"/>
      <c r="GS143" s="21"/>
      <c r="GT143" s="21"/>
      <c r="GU143" s="92"/>
      <c r="GV143" s="5"/>
      <c r="GW143" s="16"/>
      <c r="GX143" s="5"/>
      <c r="GY143" s="92"/>
      <c r="GZ143" s="92"/>
      <c r="HA143" s="36"/>
      <c r="HB143" s="36"/>
      <c r="HC143" s="36"/>
      <c r="HD143" s="29"/>
      <c r="HF143" s="14"/>
      <c r="HG143" s="154"/>
      <c r="HH143" s="154"/>
      <c r="HI143" s="92"/>
      <c r="HJ143" s="29"/>
      <c r="HL143" s="14"/>
      <c r="HM143" s="154"/>
      <c r="HN143" s="154"/>
      <c r="HO143" s="92"/>
      <c r="HP143" s="29"/>
      <c r="HR143" s="14"/>
      <c r="HS143" s="154"/>
      <c r="HT143" s="154"/>
      <c r="HU143" s="92"/>
      <c r="HV143" s="29"/>
    </row>
    <row r="144" spans="1:230" x14ac:dyDescent="0.2">
      <c r="A144" s="108"/>
      <c r="J144" s="110"/>
      <c r="K144" s="13"/>
      <c r="N144" s="111"/>
      <c r="O144" s="30"/>
      <c r="P144" s="108"/>
      <c r="X144" s="1"/>
      <c r="AB144" s="111"/>
      <c r="AD144" s="108"/>
      <c r="AL144" s="1"/>
      <c r="AP144" s="111"/>
      <c r="AR144" s="108"/>
      <c r="AZ144" s="1"/>
      <c r="BD144" s="111"/>
      <c r="CH144" s="112"/>
      <c r="CV144" s="112"/>
      <c r="DJ144" s="112"/>
      <c r="DX144" s="112"/>
      <c r="EL144" s="112"/>
      <c r="EZ144" s="112"/>
      <c r="FN144" s="112"/>
      <c r="GB144" s="112"/>
      <c r="GP144" s="112"/>
      <c r="HF144" s="112"/>
      <c r="HL144" s="112"/>
      <c r="HR144" s="112"/>
    </row>
    <row r="145" spans="1:230" ht="15" customHeight="1" x14ac:dyDescent="0.2">
      <c r="B145" s="146" t="s">
        <v>287</v>
      </c>
      <c r="C145" s="147"/>
      <c r="D145" s="148" t="s">
        <v>288</v>
      </c>
      <c r="E145" s="149"/>
      <c r="F145" s="148" t="s">
        <v>289</v>
      </c>
      <c r="G145" s="149"/>
      <c r="K145" s="13"/>
      <c r="CH145" s="112"/>
      <c r="CV145" s="112"/>
      <c r="DJ145" s="112"/>
      <c r="DX145" s="112"/>
      <c r="EL145" s="112"/>
      <c r="EZ145" s="112"/>
      <c r="FN145" s="112"/>
      <c r="GB145" s="112"/>
      <c r="GP145" s="112"/>
      <c r="HF145" s="112"/>
      <c r="HL145" s="112"/>
      <c r="HR145" s="112"/>
    </row>
    <row r="146" spans="1:230" x14ac:dyDescent="0.2">
      <c r="B146" s="150">
        <f>B137/A138*A137</f>
        <v>1904600</v>
      </c>
      <c r="C146" s="151"/>
      <c r="D146" s="152">
        <f>L133+Z133+BB133+CN135+DB135+DP135+ED135+ER135+FF135+FT135+GH135+BP133+CD133+GX135+AN133</f>
        <v>347483</v>
      </c>
      <c r="E146" s="153"/>
      <c r="F146" s="152">
        <f>K136+Y136</f>
        <v>0</v>
      </c>
      <c r="G146" s="153"/>
      <c r="K146" s="13"/>
      <c r="CH146" s="112"/>
      <c r="CV146" s="112"/>
      <c r="DJ146" s="112"/>
      <c r="DX146" s="112"/>
      <c r="EL146" s="112"/>
      <c r="EZ146" s="112"/>
      <c r="FN146" s="112"/>
      <c r="GB146" s="112"/>
      <c r="GP146" s="112"/>
      <c r="HF146" s="112"/>
      <c r="HL146" s="112"/>
      <c r="HR146" s="112"/>
    </row>
    <row r="147" spans="1:230" x14ac:dyDescent="0.2">
      <c r="B147" s="113"/>
      <c r="C147" s="113"/>
      <c r="D147" s="23" t="s">
        <v>290</v>
      </c>
      <c r="E147" s="114">
        <f>D146/B137</f>
        <v>0.1824440827470335</v>
      </c>
      <c r="F147" s="5"/>
      <c r="G147" s="5"/>
      <c r="K147" s="13"/>
      <c r="CH147" s="112"/>
      <c r="CV147" s="112"/>
      <c r="DJ147" s="112"/>
      <c r="DX147" s="112"/>
      <c r="EL147" s="112"/>
      <c r="EZ147" s="112"/>
      <c r="FN147" s="112"/>
      <c r="GB147" s="112"/>
      <c r="GP147" s="112"/>
      <c r="HF147" s="112"/>
      <c r="HL147" s="112"/>
      <c r="HR147" s="112"/>
    </row>
    <row r="148" spans="1:230" x14ac:dyDescent="0.2">
      <c r="E148" s="30"/>
      <c r="F148" s="30"/>
      <c r="G148" s="30"/>
      <c r="H148" s="30"/>
      <c r="K148" s="13"/>
    </row>
    <row r="149" spans="1:230" ht="15" customHeight="1" x14ac:dyDescent="0.2">
      <c r="A149" s="162" t="s">
        <v>244</v>
      </c>
      <c r="B149" s="162"/>
      <c r="C149" s="162"/>
      <c r="D149" s="162"/>
      <c r="E149" s="166" t="s">
        <v>0</v>
      </c>
      <c r="F149" s="166"/>
      <c r="G149" s="166"/>
      <c r="H149" s="166"/>
      <c r="I149" s="6"/>
      <c r="J149" s="7"/>
      <c r="K149" s="6"/>
      <c r="L149" s="6"/>
      <c r="M149" s="6"/>
      <c r="N149" s="8"/>
      <c r="O149" s="9"/>
      <c r="P149" s="162" t="s">
        <v>244</v>
      </c>
      <c r="Q149" s="162"/>
      <c r="R149" s="162"/>
      <c r="S149" s="166" t="s">
        <v>1</v>
      </c>
      <c r="T149" s="166"/>
      <c r="U149" s="166"/>
      <c r="V149" s="166"/>
      <c r="W149" s="6"/>
      <c r="X149" s="10"/>
      <c r="Y149" s="6"/>
      <c r="Z149" s="6"/>
      <c r="AA149" s="6"/>
      <c r="AB149" s="8"/>
      <c r="AC149" s="6"/>
      <c r="AD149" s="162" t="s">
        <v>244</v>
      </c>
      <c r="AE149" s="162"/>
      <c r="AF149" s="162"/>
      <c r="AG149" s="166" t="s">
        <v>38</v>
      </c>
      <c r="AH149" s="166"/>
      <c r="AI149" s="166"/>
      <c r="AJ149" s="166"/>
      <c r="AK149" s="6"/>
      <c r="AL149" s="10"/>
      <c r="AM149" s="6"/>
      <c r="AN149" s="6"/>
      <c r="AO149" s="6"/>
      <c r="AP149" s="8"/>
      <c r="AQ149" s="6"/>
      <c r="AR149" s="162" t="s">
        <v>244</v>
      </c>
      <c r="AS149" s="162"/>
      <c r="AT149" s="162"/>
      <c r="AU149" s="166" t="s">
        <v>39</v>
      </c>
      <c r="AV149" s="166"/>
      <c r="AW149" s="166"/>
      <c r="AX149" s="166"/>
      <c r="AY149" s="6"/>
      <c r="AZ149" s="10"/>
      <c r="BA149" s="6"/>
      <c r="BB149" s="6"/>
      <c r="BC149" s="6"/>
      <c r="BD149" s="8"/>
      <c r="BE149" s="11"/>
      <c r="BF149" s="162" t="s">
        <v>244</v>
      </c>
      <c r="BG149" s="162"/>
      <c r="BH149" s="162"/>
      <c r="BI149" s="165" t="s">
        <v>245</v>
      </c>
      <c r="BJ149" s="165"/>
      <c r="BK149" s="165"/>
      <c r="BL149" s="165"/>
      <c r="BM149" s="11"/>
      <c r="BN149" s="11"/>
      <c r="BO149" s="11"/>
      <c r="BP149" s="11"/>
      <c r="BQ149" s="11"/>
      <c r="BR149" s="11"/>
      <c r="BS149" s="6"/>
      <c r="BT149" s="162" t="s">
        <v>244</v>
      </c>
      <c r="BU149" s="162"/>
      <c r="BV149" s="162"/>
      <c r="BW149" s="165" t="s">
        <v>246</v>
      </c>
      <c r="BX149" s="165"/>
      <c r="BY149" s="165"/>
      <c r="BZ149" s="165"/>
      <c r="CA149" s="11"/>
      <c r="CB149" s="11"/>
      <c r="CC149" s="11"/>
      <c r="CD149" s="11"/>
      <c r="CE149" s="11"/>
      <c r="CF149" s="11"/>
      <c r="CG149" s="6"/>
      <c r="CH149" s="162" t="s">
        <v>244</v>
      </c>
      <c r="CI149" s="162"/>
      <c r="CJ149" s="162"/>
      <c r="CK149" s="162" t="s">
        <v>247</v>
      </c>
      <c r="CL149" s="162"/>
      <c r="CM149" s="162"/>
      <c r="CN149" s="162"/>
      <c r="CO149" s="11"/>
      <c r="CP149" s="11"/>
      <c r="CQ149" s="11"/>
      <c r="CR149" s="11"/>
      <c r="CS149" s="11"/>
      <c r="CT149" s="11"/>
      <c r="CU149" s="6"/>
      <c r="CV149" s="162" t="s">
        <v>244</v>
      </c>
      <c r="CW149" s="162"/>
      <c r="CX149" s="162"/>
      <c r="CY149" s="162" t="s">
        <v>248</v>
      </c>
      <c r="CZ149" s="162"/>
      <c r="DA149" s="162"/>
      <c r="DB149" s="162"/>
      <c r="DC149" s="11"/>
      <c r="DD149" s="11"/>
      <c r="DE149" s="11"/>
      <c r="DF149" s="11"/>
      <c r="DG149" s="11"/>
      <c r="DH149" s="11"/>
      <c r="DI149" s="6"/>
      <c r="DJ149" s="162" t="s">
        <v>244</v>
      </c>
      <c r="DK149" s="162"/>
      <c r="DL149" s="162"/>
      <c r="DM149" s="162" t="s">
        <v>249</v>
      </c>
      <c r="DN149" s="162"/>
      <c r="DO149" s="162"/>
      <c r="DP149" s="162"/>
      <c r="DQ149" s="11"/>
      <c r="DR149" s="11"/>
      <c r="DS149" s="11"/>
      <c r="DT149" s="11"/>
      <c r="DU149" s="11"/>
      <c r="DV149" s="11"/>
      <c r="DW149" s="6"/>
      <c r="DX149" s="162" t="s">
        <v>244</v>
      </c>
      <c r="DY149" s="162"/>
      <c r="DZ149" s="162"/>
      <c r="EA149" s="162" t="s">
        <v>250</v>
      </c>
      <c r="EB149" s="162"/>
      <c r="EC149" s="162"/>
      <c r="ED149" s="162"/>
      <c r="EE149" s="11"/>
      <c r="EF149" s="11"/>
      <c r="EG149" s="11"/>
      <c r="EH149" s="11"/>
      <c r="EI149" s="11"/>
      <c r="EJ149" s="11"/>
      <c r="EK149" s="6"/>
      <c r="EL149" s="162" t="s">
        <v>244</v>
      </c>
      <c r="EM149" s="162"/>
      <c r="EN149" s="162"/>
      <c r="EO149" s="162" t="s">
        <v>251</v>
      </c>
      <c r="EP149" s="162"/>
      <c r="EQ149" s="162"/>
      <c r="ER149" s="162"/>
      <c r="ES149" s="11"/>
      <c r="ET149" s="11"/>
      <c r="EU149" s="11"/>
      <c r="EV149" s="11"/>
      <c r="EW149" s="11"/>
      <c r="EX149" s="11"/>
      <c r="EY149" s="6"/>
      <c r="EZ149" s="162" t="s">
        <v>244</v>
      </c>
      <c r="FA149" s="162"/>
      <c r="FB149" s="162"/>
      <c r="FC149" s="162" t="s">
        <v>252</v>
      </c>
      <c r="FD149" s="162"/>
      <c r="FE149" s="162"/>
      <c r="FF149" s="162"/>
      <c r="FG149" s="11"/>
      <c r="FH149" s="11"/>
      <c r="FI149" s="11"/>
      <c r="FJ149" s="11"/>
      <c r="FK149" s="11"/>
      <c r="FL149" s="11"/>
      <c r="FM149" s="6"/>
      <c r="FN149" s="162" t="s">
        <v>244</v>
      </c>
      <c r="FO149" s="162"/>
      <c r="FP149" s="162"/>
      <c r="FQ149" s="162" t="s">
        <v>111</v>
      </c>
      <c r="FR149" s="162"/>
      <c r="FS149" s="162"/>
      <c r="FT149" s="162"/>
      <c r="FU149" s="11"/>
      <c r="FV149" s="11"/>
      <c r="FW149" s="11"/>
      <c r="FX149" s="11"/>
      <c r="FY149" s="11"/>
      <c r="FZ149" s="11"/>
      <c r="GA149" s="6"/>
      <c r="GB149" s="162" t="s">
        <v>244</v>
      </c>
      <c r="GC149" s="162"/>
      <c r="GD149" s="162"/>
      <c r="GE149" s="162" t="s">
        <v>253</v>
      </c>
      <c r="GF149" s="162"/>
      <c r="GG149" s="162"/>
      <c r="GH149" s="162"/>
      <c r="GI149" s="11"/>
      <c r="GJ149" s="11"/>
      <c r="GK149" s="11"/>
      <c r="GL149" s="11"/>
      <c r="GM149" s="11"/>
      <c r="GN149" s="11"/>
      <c r="GO149" s="6"/>
      <c r="GP149" s="162" t="s">
        <v>244</v>
      </c>
      <c r="GQ149" s="162"/>
      <c r="GR149" s="162"/>
      <c r="GS149" s="12"/>
      <c r="GT149" s="12"/>
      <c r="GU149" s="162" t="s">
        <v>254</v>
      </c>
      <c r="GV149" s="162"/>
      <c r="GW149" s="162"/>
      <c r="GX149" s="162"/>
      <c r="GY149" s="11"/>
      <c r="GZ149" s="11"/>
      <c r="HA149" s="11"/>
      <c r="HB149" s="11"/>
      <c r="HC149" s="11"/>
      <c r="HD149" s="11"/>
      <c r="HF149" s="162" t="s">
        <v>244</v>
      </c>
      <c r="HG149" s="162"/>
      <c r="HH149" s="163" t="s">
        <v>255</v>
      </c>
      <c r="HI149" s="163"/>
      <c r="HJ149" s="163"/>
      <c r="HL149" s="162" t="s">
        <v>244</v>
      </c>
      <c r="HM149" s="162"/>
      <c r="HN149" s="162" t="s">
        <v>256</v>
      </c>
      <c r="HO149" s="162"/>
      <c r="HP149" s="162"/>
      <c r="HR149" s="162" t="s">
        <v>244</v>
      </c>
      <c r="HS149" s="162"/>
      <c r="HT149" s="162" t="s">
        <v>257</v>
      </c>
      <c r="HU149" s="162"/>
      <c r="HV149" s="162"/>
    </row>
    <row r="150" spans="1:230" ht="15.75" thickBot="1" x14ac:dyDescent="0.25">
      <c r="A150" s="14" t="s">
        <v>2</v>
      </c>
      <c r="B150" s="15" t="s">
        <v>258</v>
      </c>
      <c r="C150" s="16" t="s">
        <v>3</v>
      </c>
      <c r="D150" s="16" t="s">
        <v>4</v>
      </c>
      <c r="E150" s="17" t="s">
        <v>5</v>
      </c>
      <c r="F150" s="16" t="s">
        <v>4</v>
      </c>
      <c r="G150" s="16" t="s">
        <v>6</v>
      </c>
      <c r="H150" s="16" t="s">
        <v>7</v>
      </c>
      <c r="I150" s="16" t="s">
        <v>8</v>
      </c>
      <c r="J150" s="17" t="s">
        <v>9</v>
      </c>
      <c r="K150" s="16" t="s">
        <v>10</v>
      </c>
      <c r="L150" s="16" t="s">
        <v>7</v>
      </c>
      <c r="M150" s="16" t="s">
        <v>11</v>
      </c>
      <c r="N150" s="16" t="s">
        <v>12</v>
      </c>
      <c r="O150" s="18"/>
      <c r="P150" s="14" t="s">
        <v>2</v>
      </c>
      <c r="Q150" s="16" t="s">
        <v>3</v>
      </c>
      <c r="R150" s="16" t="s">
        <v>4</v>
      </c>
      <c r="S150" s="17" t="s">
        <v>5</v>
      </c>
      <c r="T150" s="16" t="s">
        <v>4</v>
      </c>
      <c r="U150" s="16" t="s">
        <v>6</v>
      </c>
      <c r="V150" s="16" t="s">
        <v>7</v>
      </c>
      <c r="W150" s="16" t="s">
        <v>8</v>
      </c>
      <c r="X150" s="19" t="s">
        <v>9</v>
      </c>
      <c r="Y150" s="16" t="s">
        <v>10</v>
      </c>
      <c r="Z150" s="16" t="s">
        <v>7</v>
      </c>
      <c r="AA150" s="16" t="s">
        <v>11</v>
      </c>
      <c r="AB150" s="16" t="s">
        <v>12</v>
      </c>
      <c r="AD150" s="14" t="s">
        <v>2</v>
      </c>
      <c r="AE150" s="16" t="s">
        <v>3</v>
      </c>
      <c r="AF150" s="16" t="s">
        <v>4</v>
      </c>
      <c r="AG150" s="17" t="s">
        <v>5</v>
      </c>
      <c r="AH150" s="16" t="s">
        <v>4</v>
      </c>
      <c r="AI150" s="16" t="s">
        <v>6</v>
      </c>
      <c r="AJ150" s="16" t="s">
        <v>7</v>
      </c>
      <c r="AK150" s="16" t="s">
        <v>8</v>
      </c>
      <c r="AL150" s="19" t="s">
        <v>9</v>
      </c>
      <c r="AM150" s="16" t="s">
        <v>10</v>
      </c>
      <c r="AN150" s="16" t="s">
        <v>7</v>
      </c>
      <c r="AO150" s="16" t="s">
        <v>11</v>
      </c>
      <c r="AP150" s="16" t="s">
        <v>12</v>
      </c>
      <c r="AR150" s="14" t="s">
        <v>2</v>
      </c>
      <c r="AS150" s="16" t="s">
        <v>3</v>
      </c>
      <c r="AT150" s="16" t="s">
        <v>4</v>
      </c>
      <c r="AU150" s="17" t="s">
        <v>5</v>
      </c>
      <c r="AV150" s="16" t="s">
        <v>4</v>
      </c>
      <c r="AW150" s="16" t="s">
        <v>6</v>
      </c>
      <c r="AX150" s="16" t="s">
        <v>7</v>
      </c>
      <c r="AY150" s="16" t="s">
        <v>8</v>
      </c>
      <c r="AZ150" s="19" t="s">
        <v>9</v>
      </c>
      <c r="BA150" s="16" t="s">
        <v>10</v>
      </c>
      <c r="BB150" s="16" t="s">
        <v>7</v>
      </c>
      <c r="BC150" s="16" t="s">
        <v>11</v>
      </c>
      <c r="BD150" s="16" t="s">
        <v>12</v>
      </c>
      <c r="BE150" s="20"/>
      <c r="BF150" s="14" t="s">
        <v>2</v>
      </c>
      <c r="BG150" s="16" t="s">
        <v>3</v>
      </c>
      <c r="BH150" s="16" t="s">
        <v>4</v>
      </c>
      <c r="BI150" s="17" t="s">
        <v>5</v>
      </c>
      <c r="BJ150" s="16" t="s">
        <v>4</v>
      </c>
      <c r="BK150" s="16" t="s">
        <v>6</v>
      </c>
      <c r="BL150" s="16" t="s">
        <v>7</v>
      </c>
      <c r="BM150" s="16" t="s">
        <v>8</v>
      </c>
      <c r="BN150" s="16" t="s">
        <v>9</v>
      </c>
      <c r="BO150" s="16" t="s">
        <v>10</v>
      </c>
      <c r="BP150" s="16" t="s">
        <v>7</v>
      </c>
      <c r="BQ150" s="16" t="s">
        <v>11</v>
      </c>
      <c r="BR150" s="16" t="s">
        <v>12</v>
      </c>
      <c r="BT150" s="14" t="s">
        <v>2</v>
      </c>
      <c r="BU150" s="16" t="s">
        <v>3</v>
      </c>
      <c r="BV150" s="16" t="s">
        <v>4</v>
      </c>
      <c r="BW150" s="17" t="s">
        <v>5</v>
      </c>
      <c r="BX150" s="16" t="s">
        <v>4</v>
      </c>
      <c r="BY150" s="16" t="s">
        <v>6</v>
      </c>
      <c r="BZ150" s="16" t="s">
        <v>7</v>
      </c>
      <c r="CA150" s="16" t="s">
        <v>8</v>
      </c>
      <c r="CB150" s="16" t="s">
        <v>9</v>
      </c>
      <c r="CC150" s="16" t="s">
        <v>10</v>
      </c>
      <c r="CD150" s="16" t="s">
        <v>7</v>
      </c>
      <c r="CE150" s="16" t="s">
        <v>11</v>
      </c>
      <c r="CF150" s="16" t="s">
        <v>12</v>
      </c>
      <c r="CH150" s="24" t="s">
        <v>2</v>
      </c>
      <c r="CI150" s="16" t="s">
        <v>3</v>
      </c>
      <c r="CJ150" s="16" t="s">
        <v>4</v>
      </c>
      <c r="CK150" s="17" t="s">
        <v>5</v>
      </c>
      <c r="CL150" s="16" t="s">
        <v>4</v>
      </c>
      <c r="CM150" s="16" t="s">
        <v>6</v>
      </c>
      <c r="CN150" s="16" t="s">
        <v>7</v>
      </c>
      <c r="CO150" s="16" t="s">
        <v>8</v>
      </c>
      <c r="CP150" s="16" t="s">
        <v>259</v>
      </c>
      <c r="CQ150" s="16" t="s">
        <v>10</v>
      </c>
      <c r="CR150" s="16" t="s">
        <v>32</v>
      </c>
      <c r="CS150" s="16" t="s">
        <v>33</v>
      </c>
      <c r="CT150" s="16" t="s">
        <v>12</v>
      </c>
      <c r="CV150" s="24" t="s">
        <v>2</v>
      </c>
      <c r="CW150" s="16" t="s">
        <v>3</v>
      </c>
      <c r="CX150" s="16" t="s">
        <v>4</v>
      </c>
      <c r="CY150" s="17" t="s">
        <v>5</v>
      </c>
      <c r="CZ150" s="16" t="s">
        <v>4</v>
      </c>
      <c r="DA150" s="16" t="s">
        <v>6</v>
      </c>
      <c r="DB150" s="16" t="s">
        <v>7</v>
      </c>
      <c r="DC150" s="16" t="s">
        <v>8</v>
      </c>
      <c r="DD150" s="16" t="s">
        <v>259</v>
      </c>
      <c r="DE150" s="16" t="s">
        <v>10</v>
      </c>
      <c r="DF150" s="16" t="s">
        <v>32</v>
      </c>
      <c r="DG150" s="16" t="s">
        <v>33</v>
      </c>
      <c r="DH150" s="16" t="s">
        <v>12</v>
      </c>
      <c r="DJ150" s="24" t="s">
        <v>2</v>
      </c>
      <c r="DK150" s="16" t="s">
        <v>3</v>
      </c>
      <c r="DL150" s="16" t="s">
        <v>4</v>
      </c>
      <c r="DM150" s="17" t="s">
        <v>5</v>
      </c>
      <c r="DN150" s="16" t="s">
        <v>4</v>
      </c>
      <c r="DO150" s="16" t="s">
        <v>6</v>
      </c>
      <c r="DP150" s="16" t="s">
        <v>7</v>
      </c>
      <c r="DQ150" s="16" t="s">
        <v>8</v>
      </c>
      <c r="DR150" s="16" t="s">
        <v>259</v>
      </c>
      <c r="DS150" s="16" t="s">
        <v>10</v>
      </c>
      <c r="DT150" s="16" t="s">
        <v>32</v>
      </c>
      <c r="DU150" s="16" t="s">
        <v>33</v>
      </c>
      <c r="DV150" s="16" t="s">
        <v>12</v>
      </c>
      <c r="DX150" s="24" t="s">
        <v>2</v>
      </c>
      <c r="DY150" s="16" t="s">
        <v>3</v>
      </c>
      <c r="DZ150" s="16" t="s">
        <v>4</v>
      </c>
      <c r="EA150" s="17" t="s">
        <v>5</v>
      </c>
      <c r="EB150" s="16" t="s">
        <v>4</v>
      </c>
      <c r="EC150" s="16" t="s">
        <v>6</v>
      </c>
      <c r="ED150" s="16" t="s">
        <v>7</v>
      </c>
      <c r="EE150" s="16" t="s">
        <v>8</v>
      </c>
      <c r="EF150" s="16"/>
      <c r="EG150" s="16" t="s">
        <v>10</v>
      </c>
      <c r="EH150" s="16" t="s">
        <v>32</v>
      </c>
      <c r="EI150" s="16" t="s">
        <v>33</v>
      </c>
      <c r="EJ150" s="16" t="s">
        <v>12</v>
      </c>
      <c r="EL150" s="24" t="s">
        <v>2</v>
      </c>
      <c r="EM150" s="16" t="s">
        <v>3</v>
      </c>
      <c r="EN150" s="16" t="s">
        <v>4</v>
      </c>
      <c r="EO150" s="17" t="s">
        <v>5</v>
      </c>
      <c r="EP150" s="16" t="s">
        <v>4</v>
      </c>
      <c r="EQ150" s="16" t="s">
        <v>6</v>
      </c>
      <c r="ER150" s="16" t="s">
        <v>7</v>
      </c>
      <c r="ES150" s="16" t="s">
        <v>8</v>
      </c>
      <c r="ET150" s="16" t="s">
        <v>259</v>
      </c>
      <c r="EU150" s="16" t="s">
        <v>10</v>
      </c>
      <c r="EV150" s="16" t="s">
        <v>32</v>
      </c>
      <c r="EW150" s="16" t="s">
        <v>33</v>
      </c>
      <c r="EX150" s="16" t="s">
        <v>12</v>
      </c>
      <c r="EZ150" s="24" t="s">
        <v>2</v>
      </c>
      <c r="FA150" s="16" t="s">
        <v>3</v>
      </c>
      <c r="FB150" s="16" t="s">
        <v>4</v>
      </c>
      <c r="FC150" s="17" t="s">
        <v>5</v>
      </c>
      <c r="FD150" s="16" t="s">
        <v>4</v>
      </c>
      <c r="FE150" s="16" t="s">
        <v>6</v>
      </c>
      <c r="FF150" s="16" t="s">
        <v>7</v>
      </c>
      <c r="FG150" s="16" t="s">
        <v>8</v>
      </c>
      <c r="FH150" s="16" t="s">
        <v>259</v>
      </c>
      <c r="FI150" s="16" t="s">
        <v>10</v>
      </c>
      <c r="FJ150" s="16" t="s">
        <v>32</v>
      </c>
      <c r="FK150" s="16" t="s">
        <v>33</v>
      </c>
      <c r="FL150" s="16" t="s">
        <v>12</v>
      </c>
      <c r="FN150" s="24" t="s">
        <v>2</v>
      </c>
      <c r="FO150" s="16" t="s">
        <v>3</v>
      </c>
      <c r="FP150" s="16" t="s">
        <v>4</v>
      </c>
      <c r="FQ150" s="17" t="s">
        <v>5</v>
      </c>
      <c r="FR150" s="16" t="s">
        <v>4</v>
      </c>
      <c r="FS150" s="16" t="s">
        <v>6</v>
      </c>
      <c r="FT150" s="16" t="s">
        <v>7</v>
      </c>
      <c r="FU150" s="16" t="s">
        <v>8</v>
      </c>
      <c r="FV150" s="16" t="s">
        <v>259</v>
      </c>
      <c r="FW150" s="16" t="s">
        <v>10</v>
      </c>
      <c r="FX150" s="16" t="s">
        <v>32</v>
      </c>
      <c r="FY150" s="16" t="s">
        <v>33</v>
      </c>
      <c r="FZ150" s="16" t="s">
        <v>12</v>
      </c>
      <c r="GB150" s="24" t="s">
        <v>2</v>
      </c>
      <c r="GC150" s="16" t="s">
        <v>3</v>
      </c>
      <c r="GD150" s="16" t="s">
        <v>4</v>
      </c>
      <c r="GE150" s="17" t="s">
        <v>5</v>
      </c>
      <c r="GF150" s="16" t="s">
        <v>4</v>
      </c>
      <c r="GG150" s="16" t="s">
        <v>6</v>
      </c>
      <c r="GH150" s="16" t="s">
        <v>7</v>
      </c>
      <c r="GI150" s="16" t="s">
        <v>8</v>
      </c>
      <c r="GJ150" s="16" t="s">
        <v>259</v>
      </c>
      <c r="GK150" s="16" t="s">
        <v>10</v>
      </c>
      <c r="GL150" s="16" t="s">
        <v>32</v>
      </c>
      <c r="GM150" s="16" t="s">
        <v>33</v>
      </c>
      <c r="GN150" s="16" t="s">
        <v>12</v>
      </c>
      <c r="GP150" s="24" t="s">
        <v>2</v>
      </c>
      <c r="GQ150" s="16" t="s">
        <v>3</v>
      </c>
      <c r="GR150" s="16" t="s">
        <v>4</v>
      </c>
      <c r="GS150" s="16" t="s">
        <v>260</v>
      </c>
      <c r="GT150" s="16" t="s">
        <v>4</v>
      </c>
      <c r="GU150" s="17" t="s">
        <v>5</v>
      </c>
      <c r="GV150" s="16" t="s">
        <v>4</v>
      </c>
      <c r="GW150" s="16" t="s">
        <v>6</v>
      </c>
      <c r="GX150" s="16" t="s">
        <v>7</v>
      </c>
      <c r="GY150" s="16" t="s">
        <v>8</v>
      </c>
      <c r="GZ150" s="16" t="s">
        <v>259</v>
      </c>
      <c r="HA150" s="16" t="s">
        <v>10</v>
      </c>
      <c r="HB150" s="16" t="s">
        <v>32</v>
      </c>
      <c r="HC150" s="16" t="s">
        <v>33</v>
      </c>
      <c r="HD150" s="16" t="s">
        <v>12</v>
      </c>
      <c r="HF150" s="24" t="s">
        <v>2</v>
      </c>
      <c r="HG150" s="16" t="s">
        <v>3</v>
      </c>
      <c r="HH150" s="16" t="s">
        <v>4</v>
      </c>
      <c r="HI150" s="17"/>
      <c r="HJ150" s="16" t="s">
        <v>261</v>
      </c>
      <c r="HL150" s="24" t="s">
        <v>2</v>
      </c>
      <c r="HM150" s="16" t="s">
        <v>3</v>
      </c>
      <c r="HN150" s="16" t="s">
        <v>4</v>
      </c>
      <c r="HO150" s="17"/>
      <c r="HP150" s="16" t="s">
        <v>261</v>
      </c>
      <c r="HR150" s="24" t="s">
        <v>2</v>
      </c>
      <c r="HS150" s="16" t="s">
        <v>3</v>
      </c>
      <c r="HT150" s="16" t="s">
        <v>4</v>
      </c>
      <c r="HU150" s="17"/>
      <c r="HV150" s="16" t="s">
        <v>261</v>
      </c>
    </row>
    <row r="151" spans="1:230" ht="15.75" thickTop="1" x14ac:dyDescent="0.2">
      <c r="A151" s="25">
        <v>46101</v>
      </c>
      <c r="B151" s="26">
        <v>2625</v>
      </c>
      <c r="C151" s="4">
        <v>13179</v>
      </c>
      <c r="D151" s="4">
        <v>31</v>
      </c>
      <c r="E151" s="4">
        <v>338</v>
      </c>
      <c r="F151" s="4">
        <v>0</v>
      </c>
      <c r="G151" s="4">
        <v>12</v>
      </c>
      <c r="H151" s="4">
        <v>0</v>
      </c>
      <c r="I151" s="4">
        <v>0</v>
      </c>
      <c r="J151" s="2" t="s">
        <v>291</v>
      </c>
      <c r="K151" s="27">
        <v>748</v>
      </c>
      <c r="L151" s="4">
        <v>0</v>
      </c>
      <c r="M151" s="28">
        <v>0</v>
      </c>
      <c r="N151" s="29"/>
      <c r="O151" s="30"/>
      <c r="P151" s="25" t="s">
        <v>143</v>
      </c>
      <c r="Q151" s="4">
        <v>3442</v>
      </c>
      <c r="R151" s="4">
        <v>10</v>
      </c>
      <c r="S151" s="4">
        <v>182</v>
      </c>
      <c r="T151" s="4">
        <v>2</v>
      </c>
      <c r="U151" s="4">
        <v>1</v>
      </c>
      <c r="V151" s="4">
        <v>1</v>
      </c>
      <c r="W151" s="4">
        <v>9</v>
      </c>
      <c r="X151" s="31" t="s">
        <v>263</v>
      </c>
      <c r="Y151" s="27">
        <v>660</v>
      </c>
      <c r="Z151" s="4">
        <v>660</v>
      </c>
      <c r="AA151" s="28">
        <v>0.66</v>
      </c>
      <c r="AB151" s="29"/>
      <c r="AD151" s="25" t="s">
        <v>143</v>
      </c>
      <c r="AE151" s="4">
        <v>1449</v>
      </c>
      <c r="AF151" s="4">
        <v>34</v>
      </c>
      <c r="AG151" s="4">
        <v>3</v>
      </c>
      <c r="AH151" s="4">
        <v>0</v>
      </c>
      <c r="AI151" s="4">
        <v>19</v>
      </c>
      <c r="AJ151" s="4">
        <v>0</v>
      </c>
      <c r="AK151" s="4">
        <v>0</v>
      </c>
      <c r="AL151" s="31" t="s">
        <v>264</v>
      </c>
      <c r="AM151" s="27">
        <v>462</v>
      </c>
      <c r="AN151" s="4">
        <v>0</v>
      </c>
      <c r="AO151" s="28">
        <v>0</v>
      </c>
      <c r="AP151" s="29" t="s">
        <v>145</v>
      </c>
      <c r="AR151" s="25" t="s">
        <v>143</v>
      </c>
      <c r="AS151" s="4">
        <v>930</v>
      </c>
      <c r="AT151" s="4">
        <v>106</v>
      </c>
      <c r="AU151" s="4">
        <v>21</v>
      </c>
      <c r="AV151" s="4">
        <v>3</v>
      </c>
      <c r="AW151" s="4">
        <v>5</v>
      </c>
      <c r="AX151" s="4">
        <v>3</v>
      </c>
      <c r="AY151" s="4">
        <v>0</v>
      </c>
      <c r="AZ151" s="31" t="s">
        <v>292</v>
      </c>
      <c r="BA151" s="27">
        <v>1075</v>
      </c>
      <c r="BB151" s="4">
        <v>3225</v>
      </c>
      <c r="BC151" s="28">
        <v>0.30424528301886794</v>
      </c>
      <c r="BD151" s="29"/>
      <c r="BE151" s="32"/>
      <c r="BF151" s="33" t="s">
        <v>143</v>
      </c>
      <c r="BG151" s="4">
        <v>2136</v>
      </c>
      <c r="BH151" s="4">
        <v>70</v>
      </c>
      <c r="BI151" s="5">
        <v>13</v>
      </c>
      <c r="BJ151" s="4">
        <v>0</v>
      </c>
      <c r="BK151" s="4">
        <v>2</v>
      </c>
      <c r="BL151" s="4">
        <v>0</v>
      </c>
      <c r="BM151" s="4">
        <v>1</v>
      </c>
      <c r="BN151" s="3" t="s">
        <v>129</v>
      </c>
      <c r="BO151" s="4">
        <v>1500</v>
      </c>
      <c r="BP151" s="4">
        <v>0</v>
      </c>
      <c r="BQ151" s="52">
        <f t="shared" ref="BQ151:BQ188" si="491">IF(BL151="","",BP151/(BH151*100))</f>
        <v>0</v>
      </c>
      <c r="BR151" s="34"/>
      <c r="BT151" s="33" t="s">
        <v>143</v>
      </c>
      <c r="BU151" s="4">
        <v>35235</v>
      </c>
      <c r="BV151" s="4">
        <v>131</v>
      </c>
      <c r="BW151" s="5">
        <v>3828</v>
      </c>
      <c r="BX151" s="4">
        <v>11</v>
      </c>
      <c r="BY151" s="4">
        <v>30</v>
      </c>
      <c r="BZ151" s="4">
        <v>11</v>
      </c>
      <c r="CA151" s="4">
        <v>10</v>
      </c>
      <c r="CB151" s="3" t="s">
        <v>131</v>
      </c>
      <c r="CC151" s="4">
        <v>1050</v>
      </c>
      <c r="CD151" s="4">
        <v>11550</v>
      </c>
      <c r="CE151" s="28">
        <v>0.88167938931297707</v>
      </c>
      <c r="CF151" s="34"/>
      <c r="CH151" s="14" t="s">
        <v>143</v>
      </c>
      <c r="CI151" s="35">
        <v>30537</v>
      </c>
      <c r="CJ151" s="4">
        <v>132</v>
      </c>
      <c r="CK151" s="5">
        <v>489</v>
      </c>
      <c r="CL151" s="4">
        <v>3</v>
      </c>
      <c r="CM151" s="4">
        <v>25</v>
      </c>
      <c r="CN151" s="4">
        <v>6</v>
      </c>
      <c r="CO151" s="4">
        <v>6</v>
      </c>
      <c r="CP151" s="2" t="s">
        <v>293</v>
      </c>
      <c r="CQ151" s="4">
        <v>880</v>
      </c>
      <c r="CR151" s="5">
        <v>5280</v>
      </c>
      <c r="CS151" s="36">
        <v>0.4</v>
      </c>
      <c r="CT151" s="29"/>
      <c r="CV151" s="14" t="s">
        <v>143</v>
      </c>
      <c r="CW151" s="35">
        <v>52061</v>
      </c>
      <c r="CX151" s="4">
        <v>41</v>
      </c>
      <c r="CY151" s="5">
        <v>3266</v>
      </c>
      <c r="CZ151" s="4">
        <v>3</v>
      </c>
      <c r="DA151" s="4">
        <v>133</v>
      </c>
      <c r="DB151" s="4">
        <v>3</v>
      </c>
      <c r="DC151" s="4"/>
      <c r="DD151" s="2" t="s">
        <v>294</v>
      </c>
      <c r="DE151" s="4">
        <v>0</v>
      </c>
      <c r="DF151" s="5">
        <v>0</v>
      </c>
      <c r="DG151" s="36">
        <v>0</v>
      </c>
      <c r="DH151" s="29"/>
      <c r="DJ151" s="14" t="s">
        <v>143</v>
      </c>
      <c r="DK151" s="35">
        <v>17417</v>
      </c>
      <c r="DL151" s="4">
        <v>30</v>
      </c>
      <c r="DM151" s="5">
        <v>324</v>
      </c>
      <c r="DN151" s="4">
        <v>0</v>
      </c>
      <c r="DO151" s="4">
        <v>9</v>
      </c>
      <c r="DP151" s="4">
        <v>0</v>
      </c>
      <c r="DQ151" s="4"/>
      <c r="DR151" s="2" t="s">
        <v>295</v>
      </c>
      <c r="DS151" s="4">
        <v>233</v>
      </c>
      <c r="DT151" s="5">
        <v>0</v>
      </c>
      <c r="DU151" s="36">
        <v>0</v>
      </c>
      <c r="DV151" s="29"/>
      <c r="DX151" s="14" t="s">
        <v>143</v>
      </c>
      <c r="DY151" s="35">
        <v>11113</v>
      </c>
      <c r="DZ151" s="4">
        <v>683</v>
      </c>
      <c r="EA151" s="5">
        <v>102</v>
      </c>
      <c r="EB151" s="4">
        <v>9</v>
      </c>
      <c r="EC151" s="4">
        <v>7</v>
      </c>
      <c r="ED151" s="4">
        <v>2</v>
      </c>
      <c r="EE151" s="4">
        <v>11</v>
      </c>
      <c r="EF151" s="2" t="s">
        <v>161</v>
      </c>
      <c r="EG151" s="4">
        <v>1500</v>
      </c>
      <c r="EH151" s="5">
        <v>3000</v>
      </c>
      <c r="EI151" s="36">
        <v>4.3923865300146414E-2</v>
      </c>
      <c r="EJ151" s="29" t="s">
        <v>296</v>
      </c>
      <c r="EL151" s="14" t="s">
        <v>143</v>
      </c>
      <c r="EM151" s="35">
        <v>724</v>
      </c>
      <c r="EN151" s="4">
        <v>36</v>
      </c>
      <c r="EO151" s="5">
        <v>1033</v>
      </c>
      <c r="EP151" s="4">
        <v>4</v>
      </c>
      <c r="EQ151" s="4">
        <v>23</v>
      </c>
      <c r="ER151" s="4">
        <v>4</v>
      </c>
      <c r="ES151" s="4">
        <v>20</v>
      </c>
      <c r="ET151" s="2" t="s">
        <v>297</v>
      </c>
      <c r="EU151" s="4">
        <v>176</v>
      </c>
      <c r="EV151" s="5">
        <v>880</v>
      </c>
      <c r="EW151" s="36">
        <v>0.24444444444444444</v>
      </c>
      <c r="EX151" s="29" t="s">
        <v>298</v>
      </c>
      <c r="EZ151" s="14" t="s">
        <v>143</v>
      </c>
      <c r="FA151" s="35">
        <v>465</v>
      </c>
      <c r="FB151" s="4">
        <v>30</v>
      </c>
      <c r="FC151" s="5">
        <v>41</v>
      </c>
      <c r="FD151" s="4">
        <v>1</v>
      </c>
      <c r="FE151" s="4">
        <v>45</v>
      </c>
      <c r="FF151" s="4">
        <v>1</v>
      </c>
      <c r="FG151" s="4">
        <v>16</v>
      </c>
      <c r="FH151" s="2" t="s">
        <v>299</v>
      </c>
      <c r="FI151" s="4">
        <v>490</v>
      </c>
      <c r="FJ151" s="5">
        <v>490</v>
      </c>
      <c r="FK151" s="36">
        <v>0.16333333333333333</v>
      </c>
      <c r="FL151" s="29"/>
      <c r="FN151" s="14" t="s">
        <v>143</v>
      </c>
      <c r="FO151" s="35">
        <v>538</v>
      </c>
      <c r="FP151" s="4">
        <v>3</v>
      </c>
      <c r="FQ151" s="5">
        <v>56</v>
      </c>
      <c r="FR151" s="4">
        <v>1</v>
      </c>
      <c r="FS151" s="4">
        <v>108</v>
      </c>
      <c r="FT151" s="4">
        <v>1</v>
      </c>
      <c r="FU151" s="4"/>
      <c r="FV151" s="2" t="s">
        <v>174</v>
      </c>
      <c r="FW151" s="4">
        <v>572</v>
      </c>
      <c r="FX151" s="5">
        <v>572</v>
      </c>
      <c r="FY151" s="36">
        <v>1.9066666666666667</v>
      </c>
      <c r="FZ151" s="29" t="s">
        <v>300</v>
      </c>
      <c r="GB151" s="14" t="s">
        <v>143</v>
      </c>
      <c r="GC151" s="35">
        <v>475</v>
      </c>
      <c r="GD151" s="4">
        <v>29</v>
      </c>
      <c r="GE151" s="5">
        <v>48</v>
      </c>
      <c r="GF151" s="4">
        <v>5</v>
      </c>
      <c r="GG151" s="4">
        <v>104</v>
      </c>
      <c r="GH151" s="4">
        <v>5</v>
      </c>
      <c r="GI151" s="4"/>
      <c r="GJ151" s="2" t="s">
        <v>301</v>
      </c>
      <c r="GK151" s="4">
        <v>600</v>
      </c>
      <c r="GL151" s="5">
        <v>3000</v>
      </c>
      <c r="GM151" s="36">
        <v>1.0344827586206897</v>
      </c>
      <c r="GN151" s="29" t="s">
        <v>302</v>
      </c>
      <c r="GP151" s="14" t="s">
        <v>143</v>
      </c>
      <c r="GQ151" s="35">
        <v>84342</v>
      </c>
      <c r="GR151" s="4">
        <v>50</v>
      </c>
      <c r="GS151" s="4">
        <v>3220</v>
      </c>
      <c r="GT151" s="4">
        <v>0</v>
      </c>
      <c r="GU151" s="5">
        <v>3491</v>
      </c>
      <c r="GV151" s="4">
        <v>2</v>
      </c>
      <c r="GW151" s="4">
        <v>22</v>
      </c>
      <c r="GX151" s="4">
        <v>2</v>
      </c>
      <c r="GY151" s="4"/>
      <c r="GZ151" s="2" t="s">
        <v>175</v>
      </c>
      <c r="HA151" s="4">
        <v>1000</v>
      </c>
      <c r="HB151" s="5">
        <v>2000</v>
      </c>
      <c r="HC151" s="36">
        <v>0.4</v>
      </c>
      <c r="HD151" s="29" t="s">
        <v>303</v>
      </c>
      <c r="HF151" s="14" t="s">
        <v>143</v>
      </c>
      <c r="HG151" s="35">
        <v>61086</v>
      </c>
      <c r="HH151" s="4">
        <v>37</v>
      </c>
      <c r="HI151" s="5"/>
      <c r="HJ151" s="29"/>
      <c r="HL151" s="14" t="s">
        <v>143</v>
      </c>
      <c r="HM151" s="35">
        <v>45274</v>
      </c>
      <c r="HN151" s="4">
        <v>21</v>
      </c>
      <c r="HO151" s="5"/>
      <c r="HP151" s="29"/>
      <c r="HR151" s="14" t="s">
        <v>143</v>
      </c>
      <c r="HS151" s="35">
        <v>42699</v>
      </c>
      <c r="HT151" s="4">
        <v>20</v>
      </c>
      <c r="HU151" s="5"/>
      <c r="HV151" s="29"/>
    </row>
    <row r="152" spans="1:230" x14ac:dyDescent="0.2">
      <c r="A152" s="14"/>
      <c r="B152" s="37"/>
      <c r="C152" s="4">
        <v>16632</v>
      </c>
      <c r="D152" s="5">
        <v>21</v>
      </c>
      <c r="E152" s="4">
        <v>515</v>
      </c>
      <c r="F152" s="5">
        <v>1</v>
      </c>
      <c r="G152" s="5">
        <v>17</v>
      </c>
      <c r="H152" s="5">
        <v>3</v>
      </c>
      <c r="I152" s="5">
        <v>0</v>
      </c>
      <c r="J152" s="2" t="s">
        <v>304</v>
      </c>
      <c r="K152" s="4">
        <v>358</v>
      </c>
      <c r="L152" s="5">
        <v>1074</v>
      </c>
      <c r="M152" s="36">
        <v>0.51142857142857145</v>
      </c>
      <c r="N152" s="29"/>
      <c r="O152" s="30"/>
      <c r="P152" s="25"/>
      <c r="Q152" s="4">
        <v>10327</v>
      </c>
      <c r="R152" s="5">
        <v>102</v>
      </c>
      <c r="S152" s="4">
        <v>174</v>
      </c>
      <c r="T152" s="5">
        <v>2</v>
      </c>
      <c r="U152" s="5">
        <v>7</v>
      </c>
      <c r="V152" s="5">
        <v>2</v>
      </c>
      <c r="W152" s="5"/>
      <c r="X152" s="38" t="s">
        <v>273</v>
      </c>
      <c r="Y152" s="39">
        <v>825</v>
      </c>
      <c r="Z152" s="5">
        <v>1650</v>
      </c>
      <c r="AA152" s="36">
        <v>0.16176470588235295</v>
      </c>
      <c r="AB152" s="29"/>
      <c r="AD152" s="25"/>
      <c r="AE152" s="4">
        <v>960</v>
      </c>
      <c r="AF152" s="5">
        <v>72</v>
      </c>
      <c r="AG152" s="4">
        <v>11</v>
      </c>
      <c r="AH152" s="5">
        <v>3</v>
      </c>
      <c r="AI152" s="5">
        <v>5</v>
      </c>
      <c r="AJ152" s="5">
        <v>0</v>
      </c>
      <c r="AK152" s="5">
        <v>4</v>
      </c>
      <c r="AL152" s="38" t="s">
        <v>274</v>
      </c>
      <c r="AM152" s="39">
        <v>1100</v>
      </c>
      <c r="AN152" s="5">
        <v>0</v>
      </c>
      <c r="AO152" s="36">
        <v>0</v>
      </c>
      <c r="AP152" s="29"/>
      <c r="AR152" s="25"/>
      <c r="AS152" s="4">
        <v>877</v>
      </c>
      <c r="AT152" s="5">
        <v>23</v>
      </c>
      <c r="AU152" s="4">
        <v>999</v>
      </c>
      <c r="AV152" s="5">
        <v>2</v>
      </c>
      <c r="AW152" s="5">
        <v>14</v>
      </c>
      <c r="AX152" s="5">
        <v>2</v>
      </c>
      <c r="AY152" s="5">
        <v>0</v>
      </c>
      <c r="AZ152" s="38" t="s">
        <v>275</v>
      </c>
      <c r="BA152" s="39">
        <v>770</v>
      </c>
      <c r="BB152" s="5">
        <v>1540</v>
      </c>
      <c r="BC152" s="36">
        <v>0.66956521739130437</v>
      </c>
      <c r="BD152" s="29"/>
      <c r="BE152" s="32"/>
      <c r="BF152" s="25"/>
      <c r="BG152" s="5">
        <v>3618</v>
      </c>
      <c r="BH152" s="5">
        <v>161</v>
      </c>
      <c r="BI152" s="4">
        <v>22</v>
      </c>
      <c r="BJ152" s="5">
        <v>1</v>
      </c>
      <c r="BK152" s="5">
        <v>0</v>
      </c>
      <c r="BL152" s="4">
        <v>3</v>
      </c>
      <c r="BM152" s="5">
        <v>3</v>
      </c>
      <c r="BN152" s="2" t="s">
        <v>129</v>
      </c>
      <c r="BO152" s="4">
        <v>1500</v>
      </c>
      <c r="BP152" s="5">
        <v>4500</v>
      </c>
      <c r="BQ152" s="36">
        <f t="shared" si="491"/>
        <v>0.27950310559006208</v>
      </c>
      <c r="BR152" s="29"/>
      <c r="BT152" s="25"/>
      <c r="BU152" s="5">
        <v>31265</v>
      </c>
      <c r="BV152" s="5">
        <v>41</v>
      </c>
      <c r="BW152" s="4">
        <v>1671</v>
      </c>
      <c r="BX152" s="5">
        <v>0</v>
      </c>
      <c r="BY152" s="5">
        <v>39</v>
      </c>
      <c r="BZ152" s="4">
        <v>0</v>
      </c>
      <c r="CA152" s="5">
        <v>0</v>
      </c>
      <c r="CB152" s="2" t="s">
        <v>123</v>
      </c>
      <c r="CC152" s="4">
        <v>950</v>
      </c>
      <c r="CD152" s="5">
        <v>0</v>
      </c>
      <c r="CE152" s="36">
        <v>0</v>
      </c>
      <c r="CF152" s="29"/>
      <c r="CH152" s="40">
        <f>IF($A155="","",$A155)</f>
        <v>46104</v>
      </c>
      <c r="CI152" s="35">
        <v>30630</v>
      </c>
      <c r="CJ152" s="5">
        <f t="shared" ref="CJ152:CJ164" si="492">IF(CI152="","",CI152-CI151)</f>
        <v>93</v>
      </c>
      <c r="CK152" s="5">
        <v>491</v>
      </c>
      <c r="CL152" s="5">
        <f t="shared" ref="CL152:CL164" si="493">IF(CK152="","",CK152-CK151)</f>
        <v>2</v>
      </c>
      <c r="CM152" s="4">
        <v>29</v>
      </c>
      <c r="CN152" s="5">
        <f t="shared" ref="CN152:CN164" si="494">IF(CM152="","",CM151+CO151-CM152)</f>
        <v>2</v>
      </c>
      <c r="CO152" s="4">
        <v>5</v>
      </c>
      <c r="CP152" s="2" t="str">
        <f t="shared" ref="CP152:CP170" si="495">IF(CI152="","",CP151)</f>
        <v>サンリオマスコットポーチ</v>
      </c>
      <c r="CQ152" s="4">
        <f t="shared" ref="CQ152:CQ164" si="496">IF(CI152="","",CQ151)</f>
        <v>880</v>
      </c>
      <c r="CR152" s="5">
        <f t="shared" ref="CR152:CR164" si="497">IF(CQ152="","",CN152*CQ152)</f>
        <v>1760</v>
      </c>
      <c r="CS152" s="36">
        <f t="shared" ref="CS152:CS163" si="498">IF(CR152="","",CR152/(CJ152*100))</f>
        <v>0.18924731182795698</v>
      </c>
      <c r="CT152" s="29"/>
      <c r="CV152" s="40">
        <f>IF($A155="","",$A155)</f>
        <v>46104</v>
      </c>
      <c r="CW152" s="35">
        <v>52097</v>
      </c>
      <c r="CX152" s="5">
        <f t="shared" ref="CX152:CX164" si="499">IF(CW152="","",CW152-CW151)</f>
        <v>36</v>
      </c>
      <c r="CY152" s="5">
        <v>3273</v>
      </c>
      <c r="CZ152" s="5">
        <f t="shared" ref="CZ152:CZ164" si="500">IF(CY152="","",CY152-CY151)</f>
        <v>7</v>
      </c>
      <c r="DA152" s="4">
        <v>126</v>
      </c>
      <c r="DB152" s="5">
        <f t="shared" ref="DB152:DB164" si="501">IF(DA152="","",DA151+DC151-DA152)</f>
        <v>7</v>
      </c>
      <c r="DC152" s="4">
        <v>0</v>
      </c>
      <c r="DD152" s="2" t="str">
        <f t="shared" ref="DD152:DD170" si="502">IF(CW152="","",DD151)</f>
        <v>余り物</v>
      </c>
      <c r="DE152" s="4">
        <f t="shared" ref="DE152:DE164" si="503">IF(CW152="","",DE151)</f>
        <v>0</v>
      </c>
      <c r="DF152" s="5">
        <f t="shared" ref="DF152:DF164" si="504">IF(DE152="","",DB152*DE152)</f>
        <v>0</v>
      </c>
      <c r="DG152" s="36">
        <f t="shared" ref="DG152:DG163" si="505">IF(DF152="","",DF152/(CX152*100))</f>
        <v>0</v>
      </c>
      <c r="DH152" s="29"/>
      <c r="DJ152" s="40">
        <f>IF($A155="","",$A155)</f>
        <v>46104</v>
      </c>
      <c r="DK152" s="35">
        <v>17457</v>
      </c>
      <c r="DL152" s="5">
        <f t="shared" ref="DL152:DL164" si="506">IF(DK152="","",DK152-DK151)</f>
        <v>40</v>
      </c>
      <c r="DM152" s="5">
        <v>326</v>
      </c>
      <c r="DN152" s="5">
        <f t="shared" ref="DN152:DN164" si="507">IF(DM152="","",DM152-DM151)</f>
        <v>2</v>
      </c>
      <c r="DO152" s="4">
        <v>7</v>
      </c>
      <c r="DP152" s="5">
        <f t="shared" ref="DP152:DP164" si="508">IF(DO152="","",DO151+DQ151-DO152)</f>
        <v>2</v>
      </c>
      <c r="DQ152" s="4">
        <v>27</v>
      </c>
      <c r="DR152" s="2" t="str">
        <f t="shared" ref="DR152:DR170" si="509">IF(DK152="","",DR151)</f>
        <v>ディズニーぷくぷくシール</v>
      </c>
      <c r="DS152" s="4">
        <f t="shared" ref="DS152:DS164" si="510">IF(DK152="","",DS151)</f>
        <v>233</v>
      </c>
      <c r="DT152" s="5">
        <f t="shared" ref="DT152:DT164" si="511">IF(DS152="","",DP152*DS152)</f>
        <v>466</v>
      </c>
      <c r="DU152" s="36">
        <f t="shared" ref="DU152:DU163" si="512">IF(DT152="","",DT152/(DL152*100))</f>
        <v>0.11650000000000001</v>
      </c>
      <c r="DV152" s="29" t="s">
        <v>157</v>
      </c>
      <c r="DX152" s="40">
        <f>IF($A155="","",$A155)</f>
        <v>46104</v>
      </c>
      <c r="DY152" s="35">
        <v>11603</v>
      </c>
      <c r="DZ152" s="5">
        <f t="shared" ref="DZ152:DZ164" si="513">IF(DY152="","",DY152-DY151)</f>
        <v>490</v>
      </c>
      <c r="EA152" s="5">
        <v>106</v>
      </c>
      <c r="EB152" s="5">
        <f t="shared" ref="EB152:EB164" si="514">IF(EA152="","",EA152-EA151)</f>
        <v>4</v>
      </c>
      <c r="EC152" s="4">
        <v>14</v>
      </c>
      <c r="ED152" s="5">
        <f t="shared" ref="ED152:ED164" si="515">IF(EC152="","",EC151+EE151-EC152)</f>
        <v>4</v>
      </c>
      <c r="EE152" s="68">
        <v>0</v>
      </c>
      <c r="EF152" s="2" t="str">
        <f t="shared" ref="EF152:EF170" si="516">IF(DY152="","",EF151)</f>
        <v>ボンボンドロップシール</v>
      </c>
      <c r="EG152" s="4">
        <f t="shared" ref="EG152:EG164" si="517">IF(DY152="","",EG151)</f>
        <v>1500</v>
      </c>
      <c r="EH152" s="5">
        <f t="shared" ref="EH152:EH164" si="518">IF(EG152="","",ED152*EG152)</f>
        <v>6000</v>
      </c>
      <c r="EI152" s="36">
        <f t="shared" ref="EI152:EI163" si="519">IF(EH152="","",EH152/(DZ152*100))</f>
        <v>0.12244897959183673</v>
      </c>
      <c r="EJ152" s="29"/>
      <c r="EL152" s="40">
        <f>IF($A155="","",$A155)</f>
        <v>46104</v>
      </c>
      <c r="EM152" s="35">
        <v>814</v>
      </c>
      <c r="EN152" s="5">
        <f t="shared" ref="EN152:EN164" si="520">IF(EM152="","",EM152-EM151)</f>
        <v>90</v>
      </c>
      <c r="EO152" s="5">
        <v>1043</v>
      </c>
      <c r="EP152" s="5">
        <f t="shared" ref="EP152:EP164" si="521">IF(EO152="","",EO152-EO151)</f>
        <v>10</v>
      </c>
      <c r="EQ152" s="4">
        <v>37</v>
      </c>
      <c r="ER152" s="5">
        <f t="shared" ref="ER152:ER164" si="522">IF(EQ152="","",EQ151+ES151-EQ152)</f>
        <v>6</v>
      </c>
      <c r="ES152" s="4">
        <v>0</v>
      </c>
      <c r="ET152" s="2" t="str">
        <f t="shared" ref="ET152:ET170" si="523">IF(EM152="","",ET151)</f>
        <v>おしりぷにぷにシール</v>
      </c>
      <c r="EU152" s="4">
        <f t="shared" ref="EU152:EU164" si="524">IF(EM152="","",EU151)</f>
        <v>176</v>
      </c>
      <c r="EV152" s="5">
        <f t="shared" ref="EV152:EV164" si="525">IF(EU152="","",ER152*EU152)</f>
        <v>1056</v>
      </c>
      <c r="EW152" s="36">
        <f t="shared" ref="EW152:EW163" si="526">IF(EV152="","",EV152/(EN152*100))</f>
        <v>0.11733333333333333</v>
      </c>
      <c r="EX152" s="29"/>
      <c r="EZ152" s="40">
        <f>IF($A155="","",$A155)</f>
        <v>46104</v>
      </c>
      <c r="FA152" s="35">
        <v>529</v>
      </c>
      <c r="FB152" s="5">
        <f t="shared" ref="FB152:FB164" si="527">IF(FA152="","",FA152-FA151)</f>
        <v>64</v>
      </c>
      <c r="FC152" s="5">
        <v>51</v>
      </c>
      <c r="FD152" s="5">
        <f t="shared" ref="FD152:FD164" si="528">IF(FC152="","",FC152-FC151)</f>
        <v>10</v>
      </c>
      <c r="FE152" s="4">
        <v>51</v>
      </c>
      <c r="FF152" s="5">
        <f t="shared" ref="FF152:FF164" si="529">IF(FE152="","",FE151+FG151-FE152)</f>
        <v>10</v>
      </c>
      <c r="FG152" s="4">
        <v>10</v>
      </c>
      <c r="FH152" s="2" t="str">
        <f t="shared" ref="FH152:FH170" si="530">IF(FA152="","",FH151)</f>
        <v>キティスカーフ付きチャームリュック</v>
      </c>
      <c r="FI152" s="4">
        <f t="shared" ref="FI152:FI164" si="531">IF(FA152="","",FI151)</f>
        <v>490</v>
      </c>
      <c r="FJ152" s="5">
        <f t="shared" ref="FJ152:FJ164" si="532">IF(FI152="","",FF152*FI152)</f>
        <v>4900</v>
      </c>
      <c r="FK152" s="36">
        <f t="shared" ref="FK152:FK163" si="533">IF(FJ152="","",FJ152/(FB152*100))</f>
        <v>0.765625</v>
      </c>
      <c r="FL152" s="29" t="s">
        <v>151</v>
      </c>
      <c r="FN152" s="40">
        <f>IF($A155="","",$A155)</f>
        <v>46104</v>
      </c>
      <c r="FO152" s="35">
        <v>579</v>
      </c>
      <c r="FP152" s="5">
        <f t="shared" ref="FP152:FP164" si="534">IF(FO152="","",FO152-FO151)</f>
        <v>41</v>
      </c>
      <c r="FQ152" s="5">
        <v>58</v>
      </c>
      <c r="FR152" s="5">
        <f t="shared" ref="FR152:FR164" si="535">IF(FQ152="","",FQ152-FQ151)</f>
        <v>2</v>
      </c>
      <c r="FS152" s="4">
        <v>106</v>
      </c>
      <c r="FT152" s="5">
        <f t="shared" ref="FT152:FT164" si="536">IF(FS152="","",FS151+FU151-FS152)</f>
        <v>2</v>
      </c>
      <c r="FU152" s="4">
        <v>0</v>
      </c>
      <c r="FV152" s="2" t="str">
        <f t="shared" ref="FV152:FV170" si="537">IF(FO152="","",FV151)</f>
        <v>サンリオ型押しキーケース</v>
      </c>
      <c r="FW152" s="4">
        <f t="shared" ref="FW152:FW164" si="538">IF(FO152="","",FW151)</f>
        <v>572</v>
      </c>
      <c r="FX152" s="5">
        <f t="shared" ref="FX152:FX164" si="539">IF(FW152="","",FT152*FW152)</f>
        <v>1144</v>
      </c>
      <c r="FY152" s="36">
        <f t="shared" ref="FY152:FY163" si="540">IF(FX152="","",FX152/(FP152*100))</f>
        <v>0.27902439024390246</v>
      </c>
      <c r="FZ152" s="29"/>
      <c r="GB152" s="40">
        <f>IF($A155="","",$A155)</f>
        <v>46104</v>
      </c>
      <c r="GC152" s="35">
        <v>524</v>
      </c>
      <c r="GD152" s="5">
        <f t="shared" ref="GD152:GD164" si="541">IF(GC152="","",GC152-GC151)</f>
        <v>49</v>
      </c>
      <c r="GE152" s="5">
        <v>53</v>
      </c>
      <c r="GF152" s="5">
        <f t="shared" ref="GF152:GF164" si="542">IF(GE152="","",GE152-GE151)</f>
        <v>5</v>
      </c>
      <c r="GG152" s="4">
        <v>99</v>
      </c>
      <c r="GH152" s="5">
        <f t="shared" ref="GH152:GH164" si="543">IF(GG152="","",GG151+GI151-GG152)</f>
        <v>5</v>
      </c>
      <c r="GI152" s="4">
        <v>0</v>
      </c>
      <c r="GJ152" s="2" t="str">
        <f t="shared" ref="GJ152:GJ170" si="544">IF(GC152="","",GJ151)</f>
        <v>キティスカーフ付きチャームポーチ</v>
      </c>
      <c r="GK152" s="4">
        <f t="shared" ref="GK152:GK164" si="545">IF(GC152="","",GK151)</f>
        <v>600</v>
      </c>
      <c r="GL152" s="5">
        <f t="shared" ref="GL152:GL164" si="546">IF(GK152="","",GH152*GK152)</f>
        <v>3000</v>
      </c>
      <c r="GM152" s="36">
        <f t="shared" ref="GM152:GM163" si="547">IF(GL152="","",GL152/(GD152*100))</f>
        <v>0.61224489795918369</v>
      </c>
      <c r="GN152" s="29"/>
      <c r="GP152" s="40">
        <f>IF($A155="","",$A155)</f>
        <v>46104</v>
      </c>
      <c r="GQ152" s="35">
        <v>84551</v>
      </c>
      <c r="GR152" s="5">
        <f t="shared" ref="GR152:GR164" si="548">IF(GQ152="","",GQ152-GQ151)</f>
        <v>209</v>
      </c>
      <c r="GS152" s="5">
        <v>3221</v>
      </c>
      <c r="GT152" s="5">
        <f t="shared" ref="GT152:GT164" si="549">IF(GS152="","",GS152-GS151)</f>
        <v>1</v>
      </c>
      <c r="GU152" s="5">
        <v>3493</v>
      </c>
      <c r="GV152" s="5">
        <f t="shared" ref="GV152:GV164" si="550">IF(GU152="","",GU152-GU151)</f>
        <v>2</v>
      </c>
      <c r="GW152" s="4">
        <v>19</v>
      </c>
      <c r="GX152" s="5">
        <f t="shared" ref="GX152:GX164" si="551">IF(GW152="","",GW151+GY151-GW152)</f>
        <v>3</v>
      </c>
      <c r="GY152" s="4">
        <v>4</v>
      </c>
      <c r="GZ152" s="2" t="str">
        <f t="shared" ref="GZ152:GZ174" si="552">IF(GS152="","",GZ151)</f>
        <v>サンリオ毛布</v>
      </c>
      <c r="HA152" s="4">
        <f t="shared" ref="HA152:HA164" si="553">IF(GQ152="","",HA151)</f>
        <v>1000</v>
      </c>
      <c r="HB152" s="5">
        <f t="shared" ref="HB152:HB164" si="554">IF(HA152="","",GX152*HA152)</f>
        <v>3000</v>
      </c>
      <c r="HC152" s="36">
        <f t="shared" ref="HC152:HC163" si="555">IF(HB152="","",HB152/(GR152*100))</f>
        <v>0.14354066985645933</v>
      </c>
      <c r="HD152" s="29"/>
      <c r="HF152" s="40">
        <f>IF($A155="","",$A155)</f>
        <v>46104</v>
      </c>
      <c r="HG152" s="35">
        <v>61130</v>
      </c>
      <c r="HH152" s="5">
        <f t="shared" ref="HH152:HH164" si="556">IF(HG152="","",HG152-HG151)</f>
        <v>44</v>
      </c>
      <c r="HI152" s="5"/>
      <c r="HJ152" s="29"/>
      <c r="HL152" s="40">
        <f>IF($A155="","",$A155)</f>
        <v>46104</v>
      </c>
      <c r="HM152" s="35">
        <v>45300</v>
      </c>
      <c r="HN152" s="5">
        <f t="shared" ref="HN152:HN164" si="557">IF(HM152="","",HM152-HM151)</f>
        <v>26</v>
      </c>
      <c r="HO152" s="5"/>
      <c r="HP152" s="29"/>
      <c r="HR152" s="40">
        <f>IF($A155="","",$A155)</f>
        <v>46104</v>
      </c>
      <c r="HS152" s="35">
        <v>42740</v>
      </c>
      <c r="HT152" s="5">
        <f t="shared" ref="HT152:HT164" si="558">IF(HS152="","",HS152-HS151)</f>
        <v>41</v>
      </c>
      <c r="HU152" s="5"/>
      <c r="HV152" s="29"/>
    </row>
    <row r="153" spans="1:230" x14ac:dyDescent="0.2">
      <c r="A153" s="25"/>
      <c r="B153" s="37"/>
      <c r="C153" s="4">
        <v>18213</v>
      </c>
      <c r="D153" s="5">
        <v>58</v>
      </c>
      <c r="E153" s="4">
        <v>635</v>
      </c>
      <c r="F153" s="5">
        <v>0</v>
      </c>
      <c r="G153" s="5">
        <v>49</v>
      </c>
      <c r="H153" s="5">
        <v>0</v>
      </c>
      <c r="I153" s="5">
        <v>0</v>
      </c>
      <c r="J153" s="3" t="s">
        <v>305</v>
      </c>
      <c r="K153" s="39">
        <v>100</v>
      </c>
      <c r="L153" s="5">
        <v>0</v>
      </c>
      <c r="M153" s="36">
        <v>0</v>
      </c>
      <c r="N153" s="29"/>
      <c r="O153" s="30"/>
      <c r="P153" s="25"/>
      <c r="Q153" s="4">
        <v>10166</v>
      </c>
      <c r="R153" s="5">
        <v>16</v>
      </c>
      <c r="S153" s="4">
        <v>272</v>
      </c>
      <c r="T153" s="5">
        <v>1</v>
      </c>
      <c r="U153" s="5">
        <v>10</v>
      </c>
      <c r="V153" s="5">
        <v>1</v>
      </c>
      <c r="W153" s="5">
        <v>-4</v>
      </c>
      <c r="X153" s="38" t="s">
        <v>306</v>
      </c>
      <c r="Y153" s="39">
        <v>638</v>
      </c>
      <c r="Z153" s="5">
        <v>638</v>
      </c>
      <c r="AA153" s="36">
        <v>0.39874999999999999</v>
      </c>
      <c r="AB153" s="29" t="s">
        <v>146</v>
      </c>
      <c r="AD153" s="25"/>
      <c r="AE153" s="4">
        <v>912</v>
      </c>
      <c r="AF153" s="5">
        <v>82</v>
      </c>
      <c r="AG153" s="4">
        <v>22</v>
      </c>
      <c r="AH153" s="5">
        <v>1</v>
      </c>
      <c r="AI153" s="5">
        <v>6</v>
      </c>
      <c r="AJ153" s="5">
        <v>1</v>
      </c>
      <c r="AK153" s="5">
        <v>0</v>
      </c>
      <c r="AL153" s="38" t="s">
        <v>278</v>
      </c>
      <c r="AM153" s="39">
        <v>1430</v>
      </c>
      <c r="AN153" s="5">
        <v>1500</v>
      </c>
      <c r="AO153" s="36">
        <v>0.18292682926829268</v>
      </c>
      <c r="AP153" s="29"/>
      <c r="AR153" s="25"/>
      <c r="AS153" s="4">
        <v>646</v>
      </c>
      <c r="AT153" s="5">
        <v>14</v>
      </c>
      <c r="AU153" s="4">
        <v>998</v>
      </c>
      <c r="AV153" s="5">
        <v>0</v>
      </c>
      <c r="AW153" s="5">
        <v>9</v>
      </c>
      <c r="AX153" s="5">
        <v>0</v>
      </c>
      <c r="AY153" s="5">
        <v>0</v>
      </c>
      <c r="AZ153" s="38" t="s">
        <v>279</v>
      </c>
      <c r="BA153" s="39">
        <v>682</v>
      </c>
      <c r="BB153" s="5">
        <v>0</v>
      </c>
      <c r="BC153" s="36">
        <v>0</v>
      </c>
      <c r="BD153" s="29"/>
      <c r="BE153" s="32"/>
      <c r="BF153" s="25"/>
      <c r="BG153" s="5">
        <v>1274</v>
      </c>
      <c r="BH153" s="5">
        <v>244</v>
      </c>
      <c r="BI153" s="5">
        <v>7</v>
      </c>
      <c r="BJ153" s="5">
        <v>2</v>
      </c>
      <c r="BK153" s="5">
        <v>0</v>
      </c>
      <c r="BL153" s="4">
        <v>3</v>
      </c>
      <c r="BM153" s="5">
        <v>3</v>
      </c>
      <c r="BN153" s="2" t="s">
        <v>129</v>
      </c>
      <c r="BO153" s="4">
        <v>1500</v>
      </c>
      <c r="BP153" s="5">
        <v>2400</v>
      </c>
      <c r="BQ153" s="36">
        <f t="shared" si="491"/>
        <v>9.8360655737704916E-2</v>
      </c>
      <c r="BR153" s="29"/>
      <c r="BT153" s="25"/>
      <c r="BU153" s="5"/>
      <c r="BV153" s="5" t="s">
        <v>147</v>
      </c>
      <c r="BW153" s="5"/>
      <c r="BX153" s="5" t="s">
        <v>147</v>
      </c>
      <c r="BY153" s="5"/>
      <c r="BZ153" s="4"/>
      <c r="CA153" s="5"/>
      <c r="CB153" s="3"/>
      <c r="CC153" s="5"/>
      <c r="CD153" s="5"/>
      <c r="CE153" s="36"/>
      <c r="CF153" s="29"/>
      <c r="CH153" s="40">
        <f>IF($A159="","",$A159)</f>
        <v>46108</v>
      </c>
      <c r="CI153" s="35">
        <v>30742</v>
      </c>
      <c r="CJ153" s="5">
        <f t="shared" si="492"/>
        <v>112</v>
      </c>
      <c r="CK153" s="5">
        <v>499</v>
      </c>
      <c r="CL153" s="5">
        <f t="shared" si="493"/>
        <v>8</v>
      </c>
      <c r="CM153" s="4">
        <v>26</v>
      </c>
      <c r="CN153" s="5">
        <f t="shared" si="494"/>
        <v>8</v>
      </c>
      <c r="CO153" s="4">
        <v>8</v>
      </c>
      <c r="CP153" s="2" t="str">
        <f t="shared" si="495"/>
        <v>サンリオマスコットポーチ</v>
      </c>
      <c r="CQ153" s="4">
        <f t="shared" si="496"/>
        <v>880</v>
      </c>
      <c r="CR153" s="5">
        <f t="shared" si="497"/>
        <v>7040</v>
      </c>
      <c r="CS153" s="36">
        <f t="shared" si="498"/>
        <v>0.62857142857142856</v>
      </c>
      <c r="CT153" s="29"/>
      <c r="CV153" s="40">
        <f>IF($A159="","",$A159)</f>
        <v>46108</v>
      </c>
      <c r="CW153" s="35">
        <v>52113</v>
      </c>
      <c r="CX153" s="5">
        <f t="shared" si="499"/>
        <v>16</v>
      </c>
      <c r="CY153" s="5">
        <v>3274</v>
      </c>
      <c r="CZ153" s="5">
        <f t="shared" si="500"/>
        <v>1</v>
      </c>
      <c r="DA153" s="4">
        <v>125</v>
      </c>
      <c r="DB153" s="5">
        <f t="shared" si="501"/>
        <v>1</v>
      </c>
      <c r="DC153" s="4"/>
      <c r="DD153" s="2" t="str">
        <f t="shared" si="502"/>
        <v>余り物</v>
      </c>
      <c r="DE153" s="4">
        <f t="shared" si="503"/>
        <v>0</v>
      </c>
      <c r="DF153" s="5">
        <f t="shared" si="504"/>
        <v>0</v>
      </c>
      <c r="DG153" s="36">
        <f t="shared" si="505"/>
        <v>0</v>
      </c>
      <c r="DH153" s="29"/>
      <c r="DJ153" s="40">
        <f>IF($A159="","",$A159)</f>
        <v>46108</v>
      </c>
      <c r="DK153" s="35">
        <v>17485</v>
      </c>
      <c r="DL153" s="5">
        <f t="shared" si="506"/>
        <v>28</v>
      </c>
      <c r="DM153" s="5">
        <v>332</v>
      </c>
      <c r="DN153" s="5">
        <f t="shared" si="507"/>
        <v>6</v>
      </c>
      <c r="DO153" s="4">
        <v>28</v>
      </c>
      <c r="DP153" s="5">
        <f t="shared" si="508"/>
        <v>6</v>
      </c>
      <c r="DQ153" s="4"/>
      <c r="DR153" s="2" t="str">
        <f t="shared" si="509"/>
        <v>ディズニーぷくぷくシール</v>
      </c>
      <c r="DS153" s="4">
        <f t="shared" si="510"/>
        <v>233</v>
      </c>
      <c r="DT153" s="5">
        <f t="shared" si="511"/>
        <v>1398</v>
      </c>
      <c r="DU153" s="36">
        <f t="shared" si="512"/>
        <v>0.49928571428571428</v>
      </c>
      <c r="DV153" s="29" t="s">
        <v>155</v>
      </c>
      <c r="DX153" s="40">
        <f>IF($A159="","",$A159)</f>
        <v>46108</v>
      </c>
      <c r="DY153" s="35">
        <v>11985</v>
      </c>
      <c r="DZ153" s="5">
        <f t="shared" si="513"/>
        <v>382</v>
      </c>
      <c r="EA153" s="5">
        <v>106</v>
      </c>
      <c r="EB153" s="5">
        <f t="shared" si="514"/>
        <v>0</v>
      </c>
      <c r="EC153" s="4">
        <v>13</v>
      </c>
      <c r="ED153" s="5">
        <f t="shared" si="515"/>
        <v>1</v>
      </c>
      <c r="EE153" s="4">
        <v>5</v>
      </c>
      <c r="EF153" s="2" t="str">
        <f t="shared" si="516"/>
        <v>ボンボンドロップシール</v>
      </c>
      <c r="EG153" s="4">
        <f t="shared" si="517"/>
        <v>1500</v>
      </c>
      <c r="EH153" s="5">
        <f t="shared" si="518"/>
        <v>1500</v>
      </c>
      <c r="EI153" s="36">
        <f t="shared" si="519"/>
        <v>3.9267015706806283E-2</v>
      </c>
      <c r="EJ153" s="29"/>
      <c r="EL153" s="40">
        <f>IF($A159="","",$A159)</f>
        <v>46108</v>
      </c>
      <c r="EM153" s="35">
        <v>861</v>
      </c>
      <c r="EN153" s="5">
        <f t="shared" si="520"/>
        <v>47</v>
      </c>
      <c r="EO153" s="5">
        <v>1046</v>
      </c>
      <c r="EP153" s="5">
        <f t="shared" si="521"/>
        <v>3</v>
      </c>
      <c r="EQ153" s="4">
        <v>34</v>
      </c>
      <c r="ER153" s="5">
        <f t="shared" si="522"/>
        <v>3</v>
      </c>
      <c r="ES153" s="4"/>
      <c r="ET153" s="2" t="str">
        <f t="shared" si="523"/>
        <v>おしりぷにぷにシール</v>
      </c>
      <c r="EU153" s="4">
        <f t="shared" si="524"/>
        <v>176</v>
      </c>
      <c r="EV153" s="5">
        <f t="shared" si="525"/>
        <v>528</v>
      </c>
      <c r="EW153" s="36">
        <f t="shared" si="526"/>
        <v>0.11234042553191489</v>
      </c>
      <c r="EX153" s="29"/>
      <c r="EZ153" s="40">
        <f>IF($A159="","",$A159)</f>
        <v>46108</v>
      </c>
      <c r="FA153" s="35">
        <v>550</v>
      </c>
      <c r="FB153" s="48">
        <f t="shared" si="527"/>
        <v>21</v>
      </c>
      <c r="FC153" s="5">
        <v>52</v>
      </c>
      <c r="FD153" s="5">
        <f t="shared" si="528"/>
        <v>1</v>
      </c>
      <c r="FE153" s="4">
        <v>60</v>
      </c>
      <c r="FF153" s="5">
        <f t="shared" si="529"/>
        <v>1</v>
      </c>
      <c r="FG153" s="4">
        <v>0</v>
      </c>
      <c r="FH153" s="2" t="str">
        <f t="shared" si="530"/>
        <v>キティスカーフ付きチャームリュック</v>
      </c>
      <c r="FI153" s="4">
        <f t="shared" si="531"/>
        <v>490</v>
      </c>
      <c r="FJ153" s="5">
        <f t="shared" si="532"/>
        <v>490</v>
      </c>
      <c r="FK153" s="36">
        <f t="shared" si="533"/>
        <v>0.23333333333333334</v>
      </c>
      <c r="FL153" s="29"/>
      <c r="FN153" s="40">
        <f>IF($A159="","",$A159)</f>
        <v>46108</v>
      </c>
      <c r="FO153" s="35">
        <v>585</v>
      </c>
      <c r="FP153" s="48">
        <f t="shared" si="534"/>
        <v>6</v>
      </c>
      <c r="FQ153" s="5">
        <v>58</v>
      </c>
      <c r="FR153" s="5">
        <f t="shared" si="535"/>
        <v>0</v>
      </c>
      <c r="FS153" s="4">
        <v>106</v>
      </c>
      <c r="FT153" s="5">
        <f t="shared" si="536"/>
        <v>0</v>
      </c>
      <c r="FU153" s="4">
        <v>0</v>
      </c>
      <c r="FV153" s="2" t="str">
        <f t="shared" si="537"/>
        <v>サンリオ型押しキーケース</v>
      </c>
      <c r="FW153" s="4">
        <f t="shared" si="538"/>
        <v>572</v>
      </c>
      <c r="FX153" s="5">
        <f t="shared" si="539"/>
        <v>0</v>
      </c>
      <c r="FY153" s="36">
        <f t="shared" si="540"/>
        <v>0</v>
      </c>
      <c r="FZ153" s="29"/>
      <c r="GB153" s="40">
        <f>IF($A159="","",$A159)</f>
        <v>46108</v>
      </c>
      <c r="GC153" s="35">
        <v>535</v>
      </c>
      <c r="GD153" s="48">
        <f t="shared" si="541"/>
        <v>11</v>
      </c>
      <c r="GE153" s="5">
        <v>53</v>
      </c>
      <c r="GF153" s="5">
        <f t="shared" si="542"/>
        <v>0</v>
      </c>
      <c r="GG153" s="4">
        <v>99</v>
      </c>
      <c r="GH153" s="5">
        <f t="shared" si="543"/>
        <v>0</v>
      </c>
      <c r="GI153" s="4">
        <v>0</v>
      </c>
      <c r="GJ153" s="2" t="str">
        <f t="shared" si="544"/>
        <v>キティスカーフ付きチャームポーチ</v>
      </c>
      <c r="GK153" s="4">
        <f t="shared" si="545"/>
        <v>600</v>
      </c>
      <c r="GL153" s="5">
        <f t="shared" si="546"/>
        <v>0</v>
      </c>
      <c r="GM153" s="36">
        <f t="shared" si="547"/>
        <v>0</v>
      </c>
      <c r="GN153" s="29"/>
      <c r="GP153" s="40">
        <f>IF($A159="","",$A159)</f>
        <v>46108</v>
      </c>
      <c r="GQ153" s="35">
        <v>84649</v>
      </c>
      <c r="GR153" s="5">
        <f t="shared" si="548"/>
        <v>98</v>
      </c>
      <c r="GS153" s="5">
        <v>3221</v>
      </c>
      <c r="GT153" s="5">
        <f t="shared" si="549"/>
        <v>0</v>
      </c>
      <c r="GU153" s="5">
        <v>3494</v>
      </c>
      <c r="GV153" s="5">
        <f t="shared" si="550"/>
        <v>1</v>
      </c>
      <c r="GW153" s="4">
        <v>21</v>
      </c>
      <c r="GX153" s="5">
        <f t="shared" si="551"/>
        <v>2</v>
      </c>
      <c r="GY153" s="4">
        <v>0</v>
      </c>
      <c r="GZ153" s="2" t="str">
        <f t="shared" si="552"/>
        <v>サンリオ毛布</v>
      </c>
      <c r="HA153" s="4">
        <f t="shared" si="553"/>
        <v>1000</v>
      </c>
      <c r="HB153" s="5">
        <f t="shared" si="554"/>
        <v>2000</v>
      </c>
      <c r="HC153" s="36">
        <f t="shared" si="555"/>
        <v>0.20408163265306123</v>
      </c>
      <c r="HD153" s="29"/>
      <c r="HF153" s="40">
        <f>IF($A159="","",$A159)</f>
        <v>46108</v>
      </c>
      <c r="HG153" s="35">
        <v>61158</v>
      </c>
      <c r="HH153" s="5">
        <f t="shared" si="556"/>
        <v>28</v>
      </c>
      <c r="HI153" s="5"/>
      <c r="HJ153" s="29"/>
      <c r="HL153" s="40">
        <f>IF($A159="","",$A159)</f>
        <v>46108</v>
      </c>
      <c r="HM153" s="35">
        <v>45316</v>
      </c>
      <c r="HN153" s="5">
        <f t="shared" si="557"/>
        <v>16</v>
      </c>
      <c r="HO153" s="5"/>
      <c r="HP153" s="29"/>
      <c r="HR153" s="40">
        <f>IF($A159="","",$A159)</f>
        <v>46108</v>
      </c>
      <c r="HS153" s="35">
        <v>42764</v>
      </c>
      <c r="HT153" s="5">
        <f t="shared" si="558"/>
        <v>24</v>
      </c>
      <c r="HU153" s="5"/>
      <c r="HV153" s="29"/>
    </row>
    <row r="154" spans="1:230" ht="15" customHeight="1" thickBot="1" x14ac:dyDescent="0.25">
      <c r="A154" s="41"/>
      <c r="B154" s="42"/>
      <c r="C154" s="43">
        <v>22472</v>
      </c>
      <c r="D154" s="43">
        <v>184</v>
      </c>
      <c r="E154" s="43">
        <v>1154</v>
      </c>
      <c r="F154" s="44">
        <v>5</v>
      </c>
      <c r="G154" s="44">
        <v>5</v>
      </c>
      <c r="H154" s="44">
        <v>2</v>
      </c>
      <c r="I154" s="44">
        <v>2</v>
      </c>
      <c r="J154" s="45" t="s">
        <v>307</v>
      </c>
      <c r="K154" s="44">
        <v>187</v>
      </c>
      <c r="L154" s="44">
        <v>374</v>
      </c>
      <c r="M154" s="46">
        <v>2.032608695652174E-2</v>
      </c>
      <c r="N154" s="29"/>
      <c r="O154" s="30"/>
      <c r="P154" s="41"/>
      <c r="Q154" s="43">
        <v>8783</v>
      </c>
      <c r="R154" s="43">
        <v>6</v>
      </c>
      <c r="S154" s="43">
        <v>212</v>
      </c>
      <c r="T154" s="44">
        <v>1</v>
      </c>
      <c r="U154" s="44">
        <v>317</v>
      </c>
      <c r="V154" s="44">
        <v>1</v>
      </c>
      <c r="W154" s="44"/>
      <c r="X154" s="47" t="s">
        <v>308</v>
      </c>
      <c r="Y154" s="44">
        <v>350</v>
      </c>
      <c r="Z154" s="44">
        <v>350</v>
      </c>
      <c r="AA154" s="46">
        <v>0.58333333333333337</v>
      </c>
      <c r="AB154" s="29"/>
      <c r="AD154" s="41"/>
      <c r="AE154" s="43">
        <v>475</v>
      </c>
      <c r="AF154" s="43">
        <v>29</v>
      </c>
      <c r="AG154" s="43">
        <v>15</v>
      </c>
      <c r="AH154" s="44">
        <v>2</v>
      </c>
      <c r="AI154" s="44">
        <v>81</v>
      </c>
      <c r="AJ154" s="44">
        <v>2</v>
      </c>
      <c r="AK154" s="44">
        <v>0</v>
      </c>
      <c r="AL154" s="47" t="s">
        <v>309</v>
      </c>
      <c r="AM154" s="44">
        <v>283</v>
      </c>
      <c r="AN154" s="44">
        <v>566</v>
      </c>
      <c r="AO154" s="46">
        <v>0.19517241379310346</v>
      </c>
      <c r="AP154" s="29"/>
      <c r="AR154" s="41"/>
      <c r="AS154" s="43">
        <v>471</v>
      </c>
      <c r="AT154" s="43">
        <v>24</v>
      </c>
      <c r="AU154" s="43">
        <v>12</v>
      </c>
      <c r="AV154" s="44">
        <v>2</v>
      </c>
      <c r="AW154" s="44">
        <v>16</v>
      </c>
      <c r="AX154" s="44">
        <v>2</v>
      </c>
      <c r="AY154" s="44">
        <v>5</v>
      </c>
      <c r="AZ154" s="47" t="s">
        <v>283</v>
      </c>
      <c r="BA154" s="44">
        <v>110</v>
      </c>
      <c r="BB154" s="44">
        <v>220</v>
      </c>
      <c r="BC154" s="46">
        <v>9.166666666666666E-2</v>
      </c>
      <c r="BD154" s="29"/>
      <c r="BE154" s="32"/>
      <c r="BF154" s="41"/>
      <c r="BG154" s="44">
        <v>2864</v>
      </c>
      <c r="BH154" s="44">
        <v>54</v>
      </c>
      <c r="BI154" s="44">
        <v>27</v>
      </c>
      <c r="BJ154" s="44">
        <v>2</v>
      </c>
      <c r="BK154" s="44">
        <v>1</v>
      </c>
      <c r="BL154" s="44">
        <v>2</v>
      </c>
      <c r="BM154" s="44">
        <v>2</v>
      </c>
      <c r="BN154" s="45" t="s">
        <v>129</v>
      </c>
      <c r="BO154" s="44">
        <v>1500</v>
      </c>
      <c r="BP154" s="44">
        <v>3000</v>
      </c>
      <c r="BQ154" s="46">
        <f t="shared" si="491"/>
        <v>0.55555555555555558</v>
      </c>
      <c r="BR154" s="29"/>
      <c r="BT154" s="41"/>
      <c r="BU154" s="44"/>
      <c r="BV154" s="44" t="s">
        <v>147</v>
      </c>
      <c r="BW154" s="44"/>
      <c r="BX154" s="44" t="s">
        <v>147</v>
      </c>
      <c r="BY154" s="44"/>
      <c r="BZ154" s="44"/>
      <c r="CA154" s="44"/>
      <c r="CB154" s="45"/>
      <c r="CC154" s="44"/>
      <c r="CD154" s="44"/>
      <c r="CE154" s="46"/>
      <c r="CF154" s="29"/>
      <c r="CH154" s="40">
        <f>IF($A163="","",$A163)</f>
        <v>46111</v>
      </c>
      <c r="CI154" s="35">
        <v>30837</v>
      </c>
      <c r="CJ154" s="5">
        <f t="shared" si="492"/>
        <v>95</v>
      </c>
      <c r="CK154" s="5">
        <v>507</v>
      </c>
      <c r="CL154" s="5">
        <f t="shared" si="493"/>
        <v>8</v>
      </c>
      <c r="CM154" s="4">
        <v>26</v>
      </c>
      <c r="CN154" s="5">
        <f t="shared" si="494"/>
        <v>8</v>
      </c>
      <c r="CO154" s="4"/>
      <c r="CP154" s="2" t="str">
        <f t="shared" si="495"/>
        <v>サンリオマスコットポーチ</v>
      </c>
      <c r="CQ154" s="4">
        <f t="shared" si="496"/>
        <v>880</v>
      </c>
      <c r="CR154" s="5">
        <f t="shared" si="497"/>
        <v>7040</v>
      </c>
      <c r="CS154" s="36">
        <f t="shared" si="498"/>
        <v>0.74105263157894741</v>
      </c>
      <c r="CT154" s="29"/>
      <c r="CV154" s="40">
        <f>IF($A163="","",$A163)</f>
        <v>46111</v>
      </c>
      <c r="CW154" s="35">
        <v>52135</v>
      </c>
      <c r="CX154" s="5">
        <f t="shared" si="499"/>
        <v>22</v>
      </c>
      <c r="CY154" s="5">
        <v>3276</v>
      </c>
      <c r="CZ154" s="5">
        <f t="shared" si="500"/>
        <v>2</v>
      </c>
      <c r="DA154" s="4">
        <v>123</v>
      </c>
      <c r="DB154" s="5">
        <f t="shared" si="501"/>
        <v>2</v>
      </c>
      <c r="DC154" s="4"/>
      <c r="DD154" s="2" t="str">
        <f t="shared" si="502"/>
        <v>余り物</v>
      </c>
      <c r="DE154" s="4">
        <f t="shared" si="503"/>
        <v>0</v>
      </c>
      <c r="DF154" s="5">
        <f t="shared" si="504"/>
        <v>0</v>
      </c>
      <c r="DG154" s="36">
        <f t="shared" si="505"/>
        <v>0</v>
      </c>
      <c r="DH154" s="29"/>
      <c r="DJ154" s="40">
        <f>IF($A163="","",$A163)</f>
        <v>46111</v>
      </c>
      <c r="DK154" s="35">
        <v>17511</v>
      </c>
      <c r="DL154" s="5">
        <f t="shared" si="506"/>
        <v>26</v>
      </c>
      <c r="DM154" s="5">
        <v>332</v>
      </c>
      <c r="DN154" s="5">
        <f t="shared" si="507"/>
        <v>0</v>
      </c>
      <c r="DO154" s="4">
        <v>28</v>
      </c>
      <c r="DP154" s="5">
        <f t="shared" si="508"/>
        <v>0</v>
      </c>
      <c r="DQ154" s="4"/>
      <c r="DR154" s="2" t="str">
        <f t="shared" si="509"/>
        <v>ディズニーぷくぷくシール</v>
      </c>
      <c r="DS154" s="4">
        <f t="shared" si="510"/>
        <v>233</v>
      </c>
      <c r="DT154" s="5">
        <f t="shared" si="511"/>
        <v>0</v>
      </c>
      <c r="DU154" s="36">
        <f t="shared" si="512"/>
        <v>0</v>
      </c>
      <c r="DV154" s="29"/>
      <c r="DX154" s="40">
        <f>IF($A163="","",$A163)</f>
        <v>46111</v>
      </c>
      <c r="DY154" s="35">
        <v>12404</v>
      </c>
      <c r="DZ154" s="5">
        <f t="shared" si="513"/>
        <v>419</v>
      </c>
      <c r="EA154" s="5">
        <v>111</v>
      </c>
      <c r="EB154" s="5">
        <f t="shared" si="514"/>
        <v>5</v>
      </c>
      <c r="EC154" s="4">
        <v>13</v>
      </c>
      <c r="ED154" s="5">
        <f t="shared" si="515"/>
        <v>5</v>
      </c>
      <c r="EE154" s="4">
        <v>2</v>
      </c>
      <c r="EF154" s="2" t="str">
        <f t="shared" si="516"/>
        <v>ボンボンドロップシール</v>
      </c>
      <c r="EG154" s="4">
        <f t="shared" si="517"/>
        <v>1500</v>
      </c>
      <c r="EH154" s="5">
        <f t="shared" si="518"/>
        <v>7500</v>
      </c>
      <c r="EI154" s="36">
        <f t="shared" si="519"/>
        <v>0.17899761336515513</v>
      </c>
      <c r="EJ154" s="29"/>
      <c r="EL154" s="40">
        <f>IF($A163="","",$A163)</f>
        <v>46111</v>
      </c>
      <c r="EM154" s="35">
        <v>905</v>
      </c>
      <c r="EN154" s="5">
        <f t="shared" si="520"/>
        <v>44</v>
      </c>
      <c r="EO154" s="5">
        <v>1046</v>
      </c>
      <c r="EP154" s="5">
        <f t="shared" si="521"/>
        <v>0</v>
      </c>
      <c r="EQ154" s="4">
        <v>34</v>
      </c>
      <c r="ER154" s="5">
        <f t="shared" si="522"/>
        <v>0</v>
      </c>
      <c r="ES154" s="4"/>
      <c r="ET154" s="2" t="str">
        <f t="shared" si="523"/>
        <v>おしりぷにぷにシール</v>
      </c>
      <c r="EU154" s="4">
        <f t="shared" si="524"/>
        <v>176</v>
      </c>
      <c r="EV154" s="5">
        <f t="shared" si="525"/>
        <v>0</v>
      </c>
      <c r="EW154" s="36">
        <f t="shared" si="526"/>
        <v>0</v>
      </c>
      <c r="EX154" s="29"/>
      <c r="EZ154" s="40">
        <f>IF($A163="","",$A163)</f>
        <v>46111</v>
      </c>
      <c r="FA154" s="35">
        <v>576</v>
      </c>
      <c r="FB154" s="48">
        <f t="shared" si="527"/>
        <v>26</v>
      </c>
      <c r="FC154" s="5">
        <v>54</v>
      </c>
      <c r="FD154" s="5">
        <f t="shared" si="528"/>
        <v>2</v>
      </c>
      <c r="FE154" s="4">
        <v>55</v>
      </c>
      <c r="FF154" s="5">
        <f t="shared" si="529"/>
        <v>5</v>
      </c>
      <c r="FG154" s="4"/>
      <c r="FH154" s="2" t="str">
        <f t="shared" si="530"/>
        <v>キティスカーフ付きチャームリュック</v>
      </c>
      <c r="FI154" s="4">
        <f t="shared" si="531"/>
        <v>490</v>
      </c>
      <c r="FJ154" s="5">
        <f t="shared" si="532"/>
        <v>2450</v>
      </c>
      <c r="FK154" s="36">
        <f t="shared" si="533"/>
        <v>0.94230769230769229</v>
      </c>
      <c r="FL154" s="29"/>
      <c r="FN154" s="40">
        <f>IF($A163="","",$A163)</f>
        <v>46111</v>
      </c>
      <c r="FO154" s="35">
        <v>612</v>
      </c>
      <c r="FP154" s="48">
        <f t="shared" si="534"/>
        <v>27</v>
      </c>
      <c r="FQ154" s="5">
        <v>59</v>
      </c>
      <c r="FR154" s="5">
        <f t="shared" si="535"/>
        <v>1</v>
      </c>
      <c r="FS154" s="4">
        <v>105</v>
      </c>
      <c r="FT154" s="5">
        <f t="shared" si="536"/>
        <v>1</v>
      </c>
      <c r="FU154" s="4"/>
      <c r="FV154" s="2" t="str">
        <f t="shared" si="537"/>
        <v>サンリオ型押しキーケース</v>
      </c>
      <c r="FW154" s="4">
        <f t="shared" si="538"/>
        <v>572</v>
      </c>
      <c r="FX154" s="5">
        <f t="shared" si="539"/>
        <v>572</v>
      </c>
      <c r="FY154" s="36">
        <f t="shared" si="540"/>
        <v>0.21185185185185185</v>
      </c>
      <c r="FZ154" s="29"/>
      <c r="GB154" s="40">
        <f>IF($A163="","",$A163)</f>
        <v>46111</v>
      </c>
      <c r="GC154" s="35">
        <v>562</v>
      </c>
      <c r="GD154" s="48">
        <f t="shared" si="541"/>
        <v>27</v>
      </c>
      <c r="GE154" s="5">
        <v>54</v>
      </c>
      <c r="GF154" s="5">
        <f t="shared" si="542"/>
        <v>1</v>
      </c>
      <c r="GG154" s="4">
        <v>98</v>
      </c>
      <c r="GH154" s="5">
        <f t="shared" si="543"/>
        <v>1</v>
      </c>
      <c r="GI154" s="4"/>
      <c r="GJ154" s="2" t="str">
        <f t="shared" si="544"/>
        <v>キティスカーフ付きチャームポーチ</v>
      </c>
      <c r="GK154" s="4">
        <f t="shared" si="545"/>
        <v>600</v>
      </c>
      <c r="GL154" s="5">
        <f t="shared" si="546"/>
        <v>600</v>
      </c>
      <c r="GM154" s="36">
        <f t="shared" si="547"/>
        <v>0.22222222222222221</v>
      </c>
      <c r="GN154" s="29"/>
      <c r="GP154" s="40">
        <f>IF($A163="","",$A163)</f>
        <v>46111</v>
      </c>
      <c r="GQ154" s="35">
        <v>84814</v>
      </c>
      <c r="GR154" s="5">
        <f t="shared" si="548"/>
        <v>165</v>
      </c>
      <c r="GS154" s="5">
        <v>3223</v>
      </c>
      <c r="GT154" s="5">
        <f t="shared" si="549"/>
        <v>2</v>
      </c>
      <c r="GU154" s="5">
        <v>3498</v>
      </c>
      <c r="GV154" s="5">
        <f t="shared" si="550"/>
        <v>4</v>
      </c>
      <c r="GW154" s="4">
        <v>17</v>
      </c>
      <c r="GX154" s="5">
        <f t="shared" si="551"/>
        <v>4</v>
      </c>
      <c r="GY154" s="4">
        <v>4</v>
      </c>
      <c r="GZ154" s="2" t="str">
        <f t="shared" si="552"/>
        <v>サンリオ毛布</v>
      </c>
      <c r="HA154" s="4">
        <f t="shared" si="553"/>
        <v>1000</v>
      </c>
      <c r="HB154" s="5">
        <f t="shared" si="554"/>
        <v>4000</v>
      </c>
      <c r="HC154" s="36">
        <f t="shared" si="555"/>
        <v>0.24242424242424243</v>
      </c>
      <c r="HD154" s="29"/>
      <c r="HF154" s="40">
        <f>IF($A163="","",$A163)</f>
        <v>46111</v>
      </c>
      <c r="HG154" s="35">
        <v>61211</v>
      </c>
      <c r="HH154" s="5">
        <f t="shared" si="556"/>
        <v>53</v>
      </c>
      <c r="HI154" s="5"/>
      <c r="HJ154" s="29"/>
      <c r="HL154" s="40">
        <f>IF($A163="","",$A163)</f>
        <v>46111</v>
      </c>
      <c r="HM154" s="35">
        <v>45330</v>
      </c>
      <c r="HN154" s="5">
        <f t="shared" si="557"/>
        <v>14</v>
      </c>
      <c r="HO154" s="5"/>
      <c r="HP154" s="29"/>
      <c r="HR154" s="40">
        <f>IF($A163="","",$A163)</f>
        <v>46111</v>
      </c>
      <c r="HS154" s="35">
        <v>42806</v>
      </c>
      <c r="HT154" s="5">
        <f t="shared" si="558"/>
        <v>42</v>
      </c>
      <c r="HU154" s="5"/>
      <c r="HV154" s="29"/>
    </row>
    <row r="155" spans="1:230" ht="15" customHeight="1" thickTop="1" x14ac:dyDescent="0.2">
      <c r="A155" s="49">
        <v>46104</v>
      </c>
      <c r="B155" s="26">
        <f>SUM(D155:D158)+SUM(R155:R158)+SUM(AF155:AF158)+SUM(AT155:AT158)+SUM(CJ152,CX152,DL152,DZ152,EN152,FB152,FP152,GD152,GR152,HH152,HN152,HT152)+SUM(BH155:BH158)+SUM(BV155:BV156)</f>
        <v>2944</v>
      </c>
      <c r="C155" s="4">
        <v>13194</v>
      </c>
      <c r="D155" s="68">
        <f t="shared" ref="D155:D186" si="559">IF(C155="","",C155-C151)</f>
        <v>15</v>
      </c>
      <c r="E155" s="4">
        <v>338</v>
      </c>
      <c r="F155" s="50">
        <f t="shared" ref="F155:F186" si="560">IF(E155="","",E155-E151)</f>
        <v>0</v>
      </c>
      <c r="G155" s="4">
        <v>12</v>
      </c>
      <c r="H155" s="4">
        <f t="shared" ref="H155:H201" si="561">IF(G155="","",G151+I151-G155)</f>
        <v>0</v>
      </c>
      <c r="I155" s="51">
        <v>0</v>
      </c>
      <c r="J155" s="31" t="str">
        <f t="shared" ref="J155:J185" si="562">IF(C155="","",J151)</f>
        <v>ジャグラーボタン</v>
      </c>
      <c r="K155" s="27">
        <f t="shared" ref="K155:K185" si="563">IF(D155="","",K151)</f>
        <v>748</v>
      </c>
      <c r="L155" s="50">
        <f t="shared" ref="L155:L186" si="564">IF(G155="","",H155*K155)</f>
        <v>0</v>
      </c>
      <c r="M155" s="52">
        <f t="shared" ref="M155:M186" si="565">IF(H155="","",L155/(D155*100))</f>
        <v>0</v>
      </c>
      <c r="N155" s="29"/>
      <c r="O155" s="30"/>
      <c r="P155" s="53">
        <f>IF($A155="","",$A155)</f>
        <v>46104</v>
      </c>
      <c r="Q155" s="4">
        <v>3534</v>
      </c>
      <c r="R155" s="4">
        <f t="shared" ref="R155:R185" si="566">IF(Q155="","",Q155-Q151)</f>
        <v>92</v>
      </c>
      <c r="S155" s="4">
        <v>185</v>
      </c>
      <c r="T155" s="50">
        <f t="shared" ref="T155:T186" si="567">IF(S155="","",S155-S151)</f>
        <v>3</v>
      </c>
      <c r="U155" s="4">
        <v>8</v>
      </c>
      <c r="V155" s="4">
        <f t="shared" ref="V155:V186" si="568">IF(U155="","",U151+W151-U155)</f>
        <v>2</v>
      </c>
      <c r="W155" s="51">
        <v>0</v>
      </c>
      <c r="X155" s="31" t="str">
        <f>IF(Q155="","",X151)</f>
        <v>サンリオボアバンスクリップ</v>
      </c>
      <c r="Y155" s="27">
        <f>IF(R155="","",Y151)</f>
        <v>660</v>
      </c>
      <c r="Z155" s="50">
        <f t="shared" ref="Z155:Z186" si="569">IF(U155="","",V155*Y155)</f>
        <v>1320</v>
      </c>
      <c r="AA155" s="52">
        <f t="shared" ref="AA155:AA186" si="570">IF(V155="","",Z155/(R155*100))</f>
        <v>0.14347826086956522</v>
      </c>
      <c r="AB155" s="29"/>
      <c r="AD155" s="53">
        <f>IF($A155="","",$A155)</f>
        <v>46104</v>
      </c>
      <c r="AE155" s="4">
        <v>1520</v>
      </c>
      <c r="AF155" s="4">
        <f t="shared" ref="AF155:AF186" si="571">IF(AE155="","",AE155-AE151)</f>
        <v>71</v>
      </c>
      <c r="AG155" s="4">
        <v>7</v>
      </c>
      <c r="AH155" s="50">
        <f t="shared" ref="AH155:AH186" si="572">IF(AG155="","",AG155-AG151)</f>
        <v>4</v>
      </c>
      <c r="AI155" s="4">
        <v>17</v>
      </c>
      <c r="AJ155" s="4">
        <f t="shared" ref="AJ155:AJ186" si="573">IF(AI155="","",AI151+AK151-AI155)</f>
        <v>2</v>
      </c>
      <c r="AK155" s="51">
        <v>0</v>
      </c>
      <c r="AL155" s="31" t="str">
        <f t="shared" ref="AL155:AL186" si="574">IF(AE155="","",AL151)</f>
        <v>モンチッチがま口</v>
      </c>
      <c r="AM155" s="27">
        <f t="shared" ref="AM155:AM186" si="575">IF(AF155="","",AM151)</f>
        <v>462</v>
      </c>
      <c r="AN155" s="50">
        <f t="shared" ref="AN155:AN186" si="576">IF(AI155="","",AJ155*AM155)</f>
        <v>924</v>
      </c>
      <c r="AO155" s="52">
        <f t="shared" ref="AO155:AO186" si="577">IF(AJ155="","",AN155/(AF155*100))</f>
        <v>0.13014084507042253</v>
      </c>
      <c r="AP155" s="29"/>
      <c r="AR155" s="53">
        <f>IF($A155="","",$A155)</f>
        <v>46104</v>
      </c>
      <c r="AS155" s="4">
        <v>1004</v>
      </c>
      <c r="AT155" s="4">
        <f t="shared" ref="AT155:AT186" si="578">IF(AS155="","",AS155-AS151)</f>
        <v>74</v>
      </c>
      <c r="AU155" s="4">
        <v>22</v>
      </c>
      <c r="AV155" s="50">
        <f>IF(AU155="","",AU155-AU151)</f>
        <v>1</v>
      </c>
      <c r="AW155" s="4">
        <v>3</v>
      </c>
      <c r="AX155" s="4">
        <f t="shared" ref="AX155:AX186" si="579">IF(AW155="","",AW151+AY151-AW155)</f>
        <v>2</v>
      </c>
      <c r="AY155" s="51">
        <v>0</v>
      </c>
      <c r="AZ155" s="31" t="str">
        <f t="shared" ref="AZ155:AZ186" si="580">IF(AS155="","",AZ151)</f>
        <v>デジタルミニカメラ</v>
      </c>
      <c r="BA155" s="27">
        <f t="shared" ref="BA155:BA186" si="581">IF(AT155="","",BA151)</f>
        <v>1075</v>
      </c>
      <c r="BB155" s="50">
        <f t="shared" ref="BB155:BB186" si="582">IF(AW155="","",AX155*BA155)</f>
        <v>2150</v>
      </c>
      <c r="BC155" s="52">
        <f t="shared" ref="BC155:BC186" si="583">IF(AX155="","",BB155/(AT155*100))</f>
        <v>0.29054054054054052</v>
      </c>
      <c r="BD155" s="29"/>
      <c r="BE155" s="32"/>
      <c r="BF155" s="49" t="s">
        <v>148</v>
      </c>
      <c r="BG155" s="5">
        <v>2201</v>
      </c>
      <c r="BH155" s="4">
        <f t="shared" ref="BH155:BH186" si="584">IF(BG155="","",BG155-BG151)</f>
        <v>65</v>
      </c>
      <c r="BI155" s="5">
        <v>14</v>
      </c>
      <c r="BJ155" s="50">
        <f t="shared" ref="BJ155:BJ186" si="585">IF(BI155="","",BI155-BI151)</f>
        <v>1</v>
      </c>
      <c r="BK155" s="58">
        <v>3</v>
      </c>
      <c r="BL155" s="4">
        <f t="shared" ref="BL155:BL186" si="586">IF(BK155="","",BK151+BM151-BK155)</f>
        <v>0</v>
      </c>
      <c r="BM155" s="4"/>
      <c r="BN155" s="2" t="str">
        <f>IF(BG155="","",BN151)</f>
        <v>ボンボンドロップシール</v>
      </c>
      <c r="BO155" s="27">
        <f>IF(BG155="","",BO151)</f>
        <v>1500</v>
      </c>
      <c r="BP155" s="5">
        <f t="shared" ref="BP155:BP186" si="587">IF(BK155="","",BL155*BO155)</f>
        <v>0</v>
      </c>
      <c r="BQ155" s="52">
        <f t="shared" si="491"/>
        <v>0</v>
      </c>
      <c r="BR155" s="29"/>
      <c r="BT155" s="33">
        <f>IF($A155="","",$A155)</f>
        <v>46104</v>
      </c>
      <c r="BU155" s="58">
        <v>35305</v>
      </c>
      <c r="BV155" s="4">
        <f t="shared" ref="BV155:BV186" si="588">IF(BU155="","",BU155-BU151)</f>
        <v>70</v>
      </c>
      <c r="BW155" s="5">
        <v>3834</v>
      </c>
      <c r="BX155" s="50">
        <f t="shared" ref="BX155:BX186" si="589">IF(BW155="","",BW155-BW151)</f>
        <v>6</v>
      </c>
      <c r="BY155" s="58">
        <v>34</v>
      </c>
      <c r="BZ155" s="4">
        <f>IF(BY155="","",BY151+CA151-BY155)</f>
        <v>6</v>
      </c>
      <c r="CA155" s="58">
        <v>6</v>
      </c>
      <c r="CB155" s="2" t="str">
        <f>IF(BU155="","",CB151)</f>
        <v>ベイビースリーフェイス</v>
      </c>
      <c r="CC155" s="27">
        <f>IF(BU155="","",CC151)</f>
        <v>1050</v>
      </c>
      <c r="CD155" s="5">
        <f>IF(BY155="","",BZ155*CC155)</f>
        <v>6300</v>
      </c>
      <c r="CE155" s="52">
        <f>IF(BZ155="","",CD155/(BV155*100))</f>
        <v>0.9</v>
      </c>
      <c r="CF155" s="29"/>
      <c r="CH155" s="40">
        <f>IF($A167="","",$A167)</f>
        <v>46115</v>
      </c>
      <c r="CI155" s="35">
        <v>30936</v>
      </c>
      <c r="CJ155" s="5">
        <f t="shared" si="492"/>
        <v>99</v>
      </c>
      <c r="CK155" s="5">
        <v>510</v>
      </c>
      <c r="CL155" s="5">
        <f t="shared" si="493"/>
        <v>3</v>
      </c>
      <c r="CM155" s="4">
        <v>23</v>
      </c>
      <c r="CN155" s="5">
        <f t="shared" si="494"/>
        <v>3</v>
      </c>
      <c r="CO155" s="4">
        <v>5</v>
      </c>
      <c r="CP155" s="2" t="str">
        <f t="shared" si="495"/>
        <v>サンリオマスコットポーチ</v>
      </c>
      <c r="CQ155" s="4">
        <f t="shared" si="496"/>
        <v>880</v>
      </c>
      <c r="CR155" s="5">
        <f t="shared" si="497"/>
        <v>2640</v>
      </c>
      <c r="CS155" s="36">
        <f t="shared" si="498"/>
        <v>0.26666666666666666</v>
      </c>
      <c r="CT155" s="29"/>
      <c r="CV155" s="40">
        <f>IF($A167="","",$A167)</f>
        <v>46115</v>
      </c>
      <c r="CW155" s="35">
        <v>52168</v>
      </c>
      <c r="CX155" s="5">
        <f t="shared" si="499"/>
        <v>33</v>
      </c>
      <c r="CY155" s="5">
        <v>3278</v>
      </c>
      <c r="CZ155" s="5">
        <f t="shared" si="500"/>
        <v>2</v>
      </c>
      <c r="DA155" s="4">
        <v>121</v>
      </c>
      <c r="DB155" s="5">
        <f t="shared" si="501"/>
        <v>2</v>
      </c>
      <c r="DC155" s="4"/>
      <c r="DD155" s="2" t="str">
        <f t="shared" si="502"/>
        <v>余り物</v>
      </c>
      <c r="DE155" s="4">
        <f t="shared" si="503"/>
        <v>0</v>
      </c>
      <c r="DF155" s="5">
        <f t="shared" si="504"/>
        <v>0</v>
      </c>
      <c r="DG155" s="36">
        <f t="shared" si="505"/>
        <v>0</v>
      </c>
      <c r="DH155" s="29"/>
      <c r="DJ155" s="40">
        <f>IF($A167="","",$A167)</f>
        <v>46115</v>
      </c>
      <c r="DK155" s="35">
        <v>17572</v>
      </c>
      <c r="DL155" s="5">
        <f t="shared" si="506"/>
        <v>61</v>
      </c>
      <c r="DM155" s="5">
        <v>335</v>
      </c>
      <c r="DN155" s="5">
        <f t="shared" si="507"/>
        <v>3</v>
      </c>
      <c r="DO155" s="4">
        <v>28</v>
      </c>
      <c r="DP155" s="5">
        <f t="shared" si="508"/>
        <v>0</v>
      </c>
      <c r="DQ155" s="4"/>
      <c r="DR155" s="2" t="str">
        <f t="shared" si="509"/>
        <v>ディズニーぷくぷくシール</v>
      </c>
      <c r="DS155" s="4">
        <f t="shared" si="510"/>
        <v>233</v>
      </c>
      <c r="DT155" s="5">
        <f t="shared" si="511"/>
        <v>0</v>
      </c>
      <c r="DU155" s="36">
        <f t="shared" si="512"/>
        <v>0</v>
      </c>
      <c r="DV155" s="29"/>
      <c r="DX155" s="40">
        <f>IF($A167="","",$A167)</f>
        <v>46115</v>
      </c>
      <c r="DY155" s="35">
        <v>12886</v>
      </c>
      <c r="DZ155" s="5">
        <f t="shared" si="513"/>
        <v>482</v>
      </c>
      <c r="EA155" s="5">
        <v>114</v>
      </c>
      <c r="EB155" s="5">
        <f t="shared" si="514"/>
        <v>3</v>
      </c>
      <c r="EC155" s="4">
        <v>11</v>
      </c>
      <c r="ED155" s="5">
        <f t="shared" si="515"/>
        <v>4</v>
      </c>
      <c r="EE155" s="4">
        <v>9</v>
      </c>
      <c r="EF155" s="2" t="str">
        <f t="shared" si="516"/>
        <v>ボンボンドロップシール</v>
      </c>
      <c r="EG155" s="4">
        <f t="shared" si="517"/>
        <v>1500</v>
      </c>
      <c r="EH155" s="5">
        <f t="shared" si="518"/>
        <v>6000</v>
      </c>
      <c r="EI155" s="36">
        <f t="shared" si="519"/>
        <v>0.12448132780082988</v>
      </c>
      <c r="EJ155" s="29" t="s">
        <v>310</v>
      </c>
      <c r="EL155" s="40">
        <f>IF($A167="","",$A167)</f>
        <v>46115</v>
      </c>
      <c r="EM155" s="35">
        <v>938</v>
      </c>
      <c r="EN155" s="5">
        <f t="shared" si="520"/>
        <v>33</v>
      </c>
      <c r="EO155" s="5">
        <v>1054</v>
      </c>
      <c r="EP155" s="5">
        <f t="shared" si="521"/>
        <v>8</v>
      </c>
      <c r="EQ155" s="4">
        <v>25</v>
      </c>
      <c r="ER155" s="5">
        <f t="shared" si="522"/>
        <v>9</v>
      </c>
      <c r="ES155" s="4">
        <v>0</v>
      </c>
      <c r="ET155" s="2" t="str">
        <f t="shared" si="523"/>
        <v>おしりぷにぷにシール</v>
      </c>
      <c r="EU155" s="4">
        <f t="shared" si="524"/>
        <v>176</v>
      </c>
      <c r="EV155" s="5">
        <f t="shared" si="525"/>
        <v>1584</v>
      </c>
      <c r="EW155" s="36">
        <f t="shared" si="526"/>
        <v>0.48</v>
      </c>
      <c r="EX155" s="29" t="s">
        <v>164</v>
      </c>
      <c r="EZ155" s="40">
        <f>IF($A167="","",$A167)</f>
        <v>46115</v>
      </c>
      <c r="FA155" s="35">
        <v>598</v>
      </c>
      <c r="FB155" s="48">
        <f t="shared" si="527"/>
        <v>22</v>
      </c>
      <c r="FC155" s="5">
        <v>55</v>
      </c>
      <c r="FD155" s="5">
        <f t="shared" si="528"/>
        <v>1</v>
      </c>
      <c r="FE155" s="4">
        <v>50</v>
      </c>
      <c r="FF155" s="5">
        <f t="shared" si="529"/>
        <v>5</v>
      </c>
      <c r="FG155" s="4">
        <v>0</v>
      </c>
      <c r="FH155" s="2" t="str">
        <f t="shared" si="530"/>
        <v>キティスカーフ付きチャームリュック</v>
      </c>
      <c r="FI155" s="4">
        <f t="shared" si="531"/>
        <v>490</v>
      </c>
      <c r="FJ155" s="5">
        <f t="shared" si="532"/>
        <v>2450</v>
      </c>
      <c r="FK155" s="36">
        <f t="shared" si="533"/>
        <v>1.1136363636363635</v>
      </c>
      <c r="FL155" s="29"/>
      <c r="FN155" s="40">
        <f>IF($A167="","",$A167)</f>
        <v>46115</v>
      </c>
      <c r="FO155" s="35">
        <v>637</v>
      </c>
      <c r="FP155" s="48">
        <f t="shared" si="534"/>
        <v>25</v>
      </c>
      <c r="FQ155" s="5">
        <v>59</v>
      </c>
      <c r="FR155" s="5">
        <f t="shared" si="535"/>
        <v>0</v>
      </c>
      <c r="FS155" s="4">
        <v>99</v>
      </c>
      <c r="FT155" s="5">
        <f t="shared" si="536"/>
        <v>6</v>
      </c>
      <c r="FU155" s="4">
        <v>-63</v>
      </c>
      <c r="FV155" s="2" t="str">
        <f t="shared" si="537"/>
        <v>サンリオ型押しキーケース</v>
      </c>
      <c r="FW155" s="4">
        <f t="shared" si="538"/>
        <v>572</v>
      </c>
      <c r="FX155" s="5">
        <f t="shared" si="539"/>
        <v>3432</v>
      </c>
      <c r="FY155" s="36">
        <f t="shared" si="540"/>
        <v>1.3728</v>
      </c>
      <c r="FZ155" s="29" t="s">
        <v>165</v>
      </c>
      <c r="GB155" s="40">
        <f>IF($A167="","",$A167)</f>
        <v>46115</v>
      </c>
      <c r="GC155" s="35">
        <v>588</v>
      </c>
      <c r="GD155" s="48">
        <f t="shared" si="541"/>
        <v>26</v>
      </c>
      <c r="GE155" s="5">
        <v>55</v>
      </c>
      <c r="GF155" s="5">
        <f t="shared" si="542"/>
        <v>1</v>
      </c>
      <c r="GG155" s="4">
        <v>97</v>
      </c>
      <c r="GH155" s="5">
        <f t="shared" si="543"/>
        <v>1</v>
      </c>
      <c r="GI155" s="4">
        <v>0</v>
      </c>
      <c r="GJ155" s="2" t="str">
        <f t="shared" si="544"/>
        <v>キティスカーフ付きチャームポーチ</v>
      </c>
      <c r="GK155" s="4">
        <f t="shared" si="545"/>
        <v>600</v>
      </c>
      <c r="GL155" s="5">
        <f t="shared" si="546"/>
        <v>600</v>
      </c>
      <c r="GM155" s="36">
        <f t="shared" si="547"/>
        <v>0.23076923076923078</v>
      </c>
      <c r="GN155" s="29"/>
      <c r="GP155" s="40">
        <f>IF($A167="","",$A167)</f>
        <v>46115</v>
      </c>
      <c r="GQ155" s="35">
        <v>84943</v>
      </c>
      <c r="GR155" s="5">
        <f t="shared" si="548"/>
        <v>129</v>
      </c>
      <c r="GS155" s="5">
        <v>3223</v>
      </c>
      <c r="GT155" s="5">
        <f t="shared" si="549"/>
        <v>0</v>
      </c>
      <c r="GU155" s="5">
        <v>3501</v>
      </c>
      <c r="GV155" s="5">
        <f t="shared" si="550"/>
        <v>3</v>
      </c>
      <c r="GW155" s="4">
        <v>18</v>
      </c>
      <c r="GX155" s="5">
        <f t="shared" si="551"/>
        <v>3</v>
      </c>
      <c r="GY155" s="4">
        <v>4</v>
      </c>
      <c r="GZ155" s="2" t="str">
        <f t="shared" si="552"/>
        <v>サンリオ毛布</v>
      </c>
      <c r="HA155" s="4">
        <f t="shared" si="553"/>
        <v>1000</v>
      </c>
      <c r="HB155" s="5">
        <f t="shared" si="554"/>
        <v>3000</v>
      </c>
      <c r="HC155" s="36">
        <f t="shared" si="555"/>
        <v>0.23255813953488372</v>
      </c>
      <c r="HD155" s="29"/>
      <c r="HF155" s="40">
        <f>IF($A167="","",$A167)</f>
        <v>46115</v>
      </c>
      <c r="HG155" s="35">
        <v>61241</v>
      </c>
      <c r="HH155" s="5">
        <f t="shared" si="556"/>
        <v>30</v>
      </c>
      <c r="HI155" s="5"/>
      <c r="HJ155" s="29"/>
      <c r="HL155" s="40">
        <f>IF($A167="","",$A167)</f>
        <v>46115</v>
      </c>
      <c r="HM155" s="35">
        <v>45354</v>
      </c>
      <c r="HN155" s="5">
        <f t="shared" si="557"/>
        <v>24</v>
      </c>
      <c r="HO155" s="5"/>
      <c r="HP155" s="29"/>
      <c r="HR155" s="40">
        <f>IF($A167="","",$A167)</f>
        <v>46115</v>
      </c>
      <c r="HS155" s="35">
        <v>42826</v>
      </c>
      <c r="HT155" s="5">
        <f t="shared" si="558"/>
        <v>20</v>
      </c>
      <c r="HU155" s="5"/>
      <c r="HV155" s="29"/>
    </row>
    <row r="156" spans="1:230" x14ac:dyDescent="0.2">
      <c r="A156" s="54"/>
      <c r="B156" s="55"/>
      <c r="C156" s="4">
        <v>16676</v>
      </c>
      <c r="D156" s="5">
        <f t="shared" si="559"/>
        <v>44</v>
      </c>
      <c r="E156" s="5">
        <v>515</v>
      </c>
      <c r="F156" s="5">
        <f t="shared" si="560"/>
        <v>0</v>
      </c>
      <c r="G156" s="5">
        <v>16</v>
      </c>
      <c r="H156" s="5">
        <f t="shared" si="561"/>
        <v>1</v>
      </c>
      <c r="I156" s="35">
        <v>0</v>
      </c>
      <c r="J156" s="38" t="str">
        <f t="shared" si="562"/>
        <v>チェキフィルム</v>
      </c>
      <c r="K156" s="39">
        <f t="shared" si="563"/>
        <v>358</v>
      </c>
      <c r="L156" s="5">
        <f t="shared" si="564"/>
        <v>358</v>
      </c>
      <c r="M156" s="36">
        <f t="shared" si="565"/>
        <v>8.136363636363636E-2</v>
      </c>
      <c r="N156" s="29"/>
      <c r="O156" s="30"/>
      <c r="P156" s="54"/>
      <c r="Q156" s="4">
        <v>10360</v>
      </c>
      <c r="R156" s="5">
        <f t="shared" si="566"/>
        <v>33</v>
      </c>
      <c r="S156" s="5">
        <v>174</v>
      </c>
      <c r="T156" s="5">
        <f t="shared" si="567"/>
        <v>0</v>
      </c>
      <c r="U156" s="5">
        <v>6</v>
      </c>
      <c r="V156" s="5">
        <f t="shared" si="568"/>
        <v>1</v>
      </c>
      <c r="W156" s="35">
        <v>2</v>
      </c>
      <c r="X156" s="38" t="str">
        <f>IF(Q156="","",X152)</f>
        <v>サンリオヘアバンド</v>
      </c>
      <c r="Y156" s="39">
        <f>IF(R156="","",Y152)</f>
        <v>825</v>
      </c>
      <c r="Z156" s="5">
        <f t="shared" si="569"/>
        <v>825</v>
      </c>
      <c r="AA156" s="36">
        <f t="shared" si="570"/>
        <v>0.25</v>
      </c>
      <c r="AB156" s="29"/>
      <c r="AD156" s="54"/>
      <c r="AE156" s="4">
        <v>1048</v>
      </c>
      <c r="AF156" s="5">
        <f t="shared" si="571"/>
        <v>88</v>
      </c>
      <c r="AG156" s="5">
        <v>13</v>
      </c>
      <c r="AH156" s="5">
        <f t="shared" si="572"/>
        <v>2</v>
      </c>
      <c r="AI156" s="5">
        <v>9</v>
      </c>
      <c r="AJ156" s="5">
        <f t="shared" si="573"/>
        <v>0</v>
      </c>
      <c r="AK156" s="35">
        <v>2</v>
      </c>
      <c r="AL156" s="38" t="str">
        <f t="shared" si="574"/>
        <v>バタースクイーズ</v>
      </c>
      <c r="AM156" s="39">
        <f t="shared" si="575"/>
        <v>1100</v>
      </c>
      <c r="AN156" s="5">
        <f t="shared" si="576"/>
        <v>0</v>
      </c>
      <c r="AO156" s="36">
        <f t="shared" si="577"/>
        <v>0</v>
      </c>
      <c r="AP156" s="29"/>
      <c r="AR156" s="54"/>
      <c r="AS156" s="4">
        <v>952</v>
      </c>
      <c r="AT156" s="5">
        <f t="shared" si="578"/>
        <v>75</v>
      </c>
      <c r="AU156" s="5">
        <v>1</v>
      </c>
      <c r="AV156" s="5">
        <f>IF(AU156="","",AU156-AU152)+1000</f>
        <v>2</v>
      </c>
      <c r="AW156" s="5">
        <v>12</v>
      </c>
      <c r="AX156" s="5">
        <f t="shared" si="579"/>
        <v>2</v>
      </c>
      <c r="AY156" s="35">
        <v>0</v>
      </c>
      <c r="AZ156" s="38" t="str">
        <f t="shared" si="580"/>
        <v>ゲーム機イヤホン</v>
      </c>
      <c r="BA156" s="39">
        <f t="shared" si="581"/>
        <v>770</v>
      </c>
      <c r="BB156" s="5">
        <f t="shared" si="582"/>
        <v>1540</v>
      </c>
      <c r="BC156" s="36">
        <f t="shared" si="583"/>
        <v>0.20533333333333334</v>
      </c>
      <c r="BD156" s="29"/>
      <c r="BE156" s="32"/>
      <c r="BF156" s="25"/>
      <c r="BG156" s="4">
        <v>3864</v>
      </c>
      <c r="BH156" s="5">
        <f t="shared" si="584"/>
        <v>246</v>
      </c>
      <c r="BI156" s="4">
        <v>30</v>
      </c>
      <c r="BJ156" s="95">
        <f t="shared" si="585"/>
        <v>8</v>
      </c>
      <c r="BK156" s="115">
        <v>2</v>
      </c>
      <c r="BL156" s="39">
        <f t="shared" si="586"/>
        <v>1</v>
      </c>
      <c r="BM156" s="4"/>
      <c r="BN156" s="3" t="str">
        <f>IF(BG156="","",BN152)</f>
        <v>ボンボンドロップシール</v>
      </c>
      <c r="BO156" s="39">
        <f>IF(BG155="","",BO152)</f>
        <v>1500</v>
      </c>
      <c r="BP156" s="4">
        <f t="shared" si="587"/>
        <v>1500</v>
      </c>
      <c r="BQ156" s="36">
        <f t="shared" si="491"/>
        <v>6.097560975609756E-2</v>
      </c>
      <c r="BR156" s="29"/>
      <c r="BT156" s="56"/>
      <c r="BU156" s="116">
        <v>31356</v>
      </c>
      <c r="BV156" s="5">
        <f t="shared" si="588"/>
        <v>91</v>
      </c>
      <c r="BW156" s="4">
        <v>1673</v>
      </c>
      <c r="BX156" s="5">
        <f t="shared" si="589"/>
        <v>2</v>
      </c>
      <c r="BY156" s="117">
        <v>37</v>
      </c>
      <c r="BZ156" s="5">
        <f>IF(BY156="","",BY152+CA152-BY156)</f>
        <v>2</v>
      </c>
      <c r="CA156" s="118">
        <v>0</v>
      </c>
      <c r="CB156" s="119" t="str">
        <f>IF(BU156="","",CB152)</f>
        <v>サンリオボアポーチ</v>
      </c>
      <c r="CC156" s="39">
        <f>IF(BU155="","",CC152)</f>
        <v>950</v>
      </c>
      <c r="CD156" s="4">
        <f>IF(BY156="","",BZ156*CC156)</f>
        <v>1900</v>
      </c>
      <c r="CE156" s="36">
        <f>IF(BZ156="","",CD156/(BV156*100))</f>
        <v>0.2087912087912088</v>
      </c>
      <c r="CF156" s="29"/>
      <c r="CH156" s="40">
        <f>IF($A171="","",$A171)</f>
        <v>46118</v>
      </c>
      <c r="CI156" s="35">
        <v>31145</v>
      </c>
      <c r="CJ156" s="5">
        <f t="shared" si="492"/>
        <v>209</v>
      </c>
      <c r="CK156" s="5">
        <v>514</v>
      </c>
      <c r="CL156" s="5">
        <f t="shared" si="493"/>
        <v>4</v>
      </c>
      <c r="CM156" s="4">
        <v>24</v>
      </c>
      <c r="CN156" s="5">
        <f t="shared" si="494"/>
        <v>4</v>
      </c>
      <c r="CO156" s="4">
        <v>3</v>
      </c>
      <c r="CP156" s="2" t="str">
        <f t="shared" si="495"/>
        <v>サンリオマスコットポーチ</v>
      </c>
      <c r="CQ156" s="4">
        <f t="shared" si="496"/>
        <v>880</v>
      </c>
      <c r="CR156" s="5">
        <f t="shared" si="497"/>
        <v>3520</v>
      </c>
      <c r="CS156" s="36">
        <f t="shared" si="498"/>
        <v>0.16842105263157894</v>
      </c>
      <c r="CT156" s="29"/>
      <c r="CV156" s="40">
        <f>IF($A171="","",$A171)</f>
        <v>46118</v>
      </c>
      <c r="CW156" s="35">
        <v>52189</v>
      </c>
      <c r="CX156" s="5">
        <f t="shared" si="499"/>
        <v>21</v>
      </c>
      <c r="CY156" s="5">
        <v>3278</v>
      </c>
      <c r="CZ156" s="5">
        <f t="shared" si="500"/>
        <v>0</v>
      </c>
      <c r="DA156" s="4">
        <v>121</v>
      </c>
      <c r="DB156" s="5">
        <f t="shared" si="501"/>
        <v>0</v>
      </c>
      <c r="DC156" s="4"/>
      <c r="DD156" s="2" t="str">
        <f t="shared" si="502"/>
        <v>余り物</v>
      </c>
      <c r="DE156" s="4">
        <f t="shared" si="503"/>
        <v>0</v>
      </c>
      <c r="DF156" s="5">
        <f t="shared" si="504"/>
        <v>0</v>
      </c>
      <c r="DG156" s="36">
        <f t="shared" si="505"/>
        <v>0</v>
      </c>
      <c r="DH156" s="29"/>
      <c r="DJ156" s="40">
        <f>IF($A171="","",$A171)</f>
        <v>46118</v>
      </c>
      <c r="DK156" s="35">
        <v>17616</v>
      </c>
      <c r="DL156" s="5">
        <f t="shared" si="506"/>
        <v>44</v>
      </c>
      <c r="DM156" s="5">
        <v>338</v>
      </c>
      <c r="DN156" s="5">
        <f t="shared" si="507"/>
        <v>3</v>
      </c>
      <c r="DO156" s="4">
        <v>28</v>
      </c>
      <c r="DP156" s="5">
        <f t="shared" si="508"/>
        <v>0</v>
      </c>
      <c r="DQ156" s="4">
        <v>0</v>
      </c>
      <c r="DR156" s="2" t="str">
        <f t="shared" si="509"/>
        <v>ディズニーぷくぷくシール</v>
      </c>
      <c r="DS156" s="4">
        <f t="shared" si="510"/>
        <v>233</v>
      </c>
      <c r="DT156" s="5">
        <f t="shared" si="511"/>
        <v>0</v>
      </c>
      <c r="DU156" s="36">
        <f t="shared" si="512"/>
        <v>0</v>
      </c>
      <c r="DV156" s="29" t="s">
        <v>172</v>
      </c>
      <c r="DX156" s="40">
        <f>IF($A171="","",$A171)</f>
        <v>46118</v>
      </c>
      <c r="DY156" s="35">
        <v>13431</v>
      </c>
      <c r="DZ156" s="5">
        <f t="shared" si="513"/>
        <v>545</v>
      </c>
      <c r="EA156" s="5">
        <v>119</v>
      </c>
      <c r="EB156" s="5">
        <f t="shared" si="514"/>
        <v>5</v>
      </c>
      <c r="EC156" s="4">
        <v>10</v>
      </c>
      <c r="ED156" s="5">
        <f t="shared" si="515"/>
        <v>10</v>
      </c>
      <c r="EE156" s="4"/>
      <c r="EF156" s="2" t="str">
        <f t="shared" si="516"/>
        <v>ボンボンドロップシール</v>
      </c>
      <c r="EG156" s="4">
        <f t="shared" si="517"/>
        <v>1500</v>
      </c>
      <c r="EH156" s="5">
        <f t="shared" si="518"/>
        <v>15000</v>
      </c>
      <c r="EI156" s="36">
        <f t="shared" si="519"/>
        <v>0.27522935779816515</v>
      </c>
      <c r="EJ156" s="29"/>
      <c r="EL156" s="40">
        <f>IF($A171="","",$A171)</f>
        <v>46118</v>
      </c>
      <c r="EM156" s="35">
        <v>1001</v>
      </c>
      <c r="EN156" s="5">
        <f t="shared" si="520"/>
        <v>63</v>
      </c>
      <c r="EO156" s="5">
        <v>1062</v>
      </c>
      <c r="EP156" s="5">
        <f t="shared" si="521"/>
        <v>8</v>
      </c>
      <c r="EQ156" s="4">
        <v>16</v>
      </c>
      <c r="ER156" s="5">
        <f t="shared" si="522"/>
        <v>9</v>
      </c>
      <c r="ES156" s="4"/>
      <c r="ET156" s="2" t="str">
        <f t="shared" si="523"/>
        <v>おしりぷにぷにシール</v>
      </c>
      <c r="EU156" s="4">
        <f t="shared" si="524"/>
        <v>176</v>
      </c>
      <c r="EV156" s="5">
        <f t="shared" si="525"/>
        <v>1584</v>
      </c>
      <c r="EW156" s="36">
        <f t="shared" si="526"/>
        <v>0.25142857142857145</v>
      </c>
      <c r="EX156" s="29"/>
      <c r="EZ156" s="40">
        <f>IF($A171="","",$A171)</f>
        <v>46118</v>
      </c>
      <c r="FA156" s="35">
        <v>623</v>
      </c>
      <c r="FB156" s="48">
        <f t="shared" si="527"/>
        <v>25</v>
      </c>
      <c r="FC156" s="5">
        <v>58</v>
      </c>
      <c r="FD156" s="5">
        <f t="shared" si="528"/>
        <v>3</v>
      </c>
      <c r="FE156" s="4">
        <v>45</v>
      </c>
      <c r="FF156" s="5">
        <f t="shared" si="529"/>
        <v>5</v>
      </c>
      <c r="FG156" s="4">
        <v>-8</v>
      </c>
      <c r="FH156" s="2" t="str">
        <f t="shared" si="530"/>
        <v>キティスカーフ付きチャームリュック</v>
      </c>
      <c r="FI156" s="4">
        <f t="shared" si="531"/>
        <v>490</v>
      </c>
      <c r="FJ156" s="5">
        <f t="shared" si="532"/>
        <v>2450</v>
      </c>
      <c r="FK156" s="36">
        <f t="shared" si="533"/>
        <v>0.98</v>
      </c>
      <c r="FL156" s="29" t="s">
        <v>169</v>
      </c>
      <c r="FN156" s="40">
        <f>IF($A171="","",$A171)</f>
        <v>46118</v>
      </c>
      <c r="FO156" s="35">
        <v>730</v>
      </c>
      <c r="FP156" s="5">
        <f t="shared" si="534"/>
        <v>93</v>
      </c>
      <c r="FQ156" s="5">
        <v>65</v>
      </c>
      <c r="FR156" s="5">
        <f t="shared" si="535"/>
        <v>6</v>
      </c>
      <c r="FS156" s="4">
        <v>30</v>
      </c>
      <c r="FT156" s="5">
        <f t="shared" si="536"/>
        <v>6</v>
      </c>
      <c r="FU156" s="4"/>
      <c r="FV156" s="2" t="s">
        <v>166</v>
      </c>
      <c r="FW156" s="4">
        <v>660</v>
      </c>
      <c r="FX156" s="5">
        <f t="shared" si="539"/>
        <v>3960</v>
      </c>
      <c r="FY156" s="36">
        <f t="shared" si="540"/>
        <v>0.4258064516129032</v>
      </c>
      <c r="FZ156" s="29"/>
      <c r="GB156" s="40">
        <f>IF($A171="","",$A171)</f>
        <v>46118</v>
      </c>
      <c r="GC156" s="35">
        <v>626</v>
      </c>
      <c r="GD156" s="48">
        <f t="shared" si="541"/>
        <v>38</v>
      </c>
      <c r="GE156" s="5">
        <v>57</v>
      </c>
      <c r="GF156" s="5">
        <f t="shared" si="542"/>
        <v>2</v>
      </c>
      <c r="GG156" s="4">
        <v>95</v>
      </c>
      <c r="GH156" s="5">
        <f t="shared" si="543"/>
        <v>2</v>
      </c>
      <c r="GI156" s="4">
        <v>-61</v>
      </c>
      <c r="GJ156" s="2" t="str">
        <f t="shared" si="544"/>
        <v>キティスカーフ付きチャームポーチ</v>
      </c>
      <c r="GK156" s="4">
        <f t="shared" si="545"/>
        <v>600</v>
      </c>
      <c r="GL156" s="5">
        <f t="shared" si="546"/>
        <v>1200</v>
      </c>
      <c r="GM156" s="36">
        <f t="shared" si="547"/>
        <v>0.31578947368421051</v>
      </c>
      <c r="GN156" s="29" t="s">
        <v>173</v>
      </c>
      <c r="GP156" s="40">
        <f>IF($A171="","",$A171)</f>
        <v>46118</v>
      </c>
      <c r="GQ156" s="35">
        <v>85136</v>
      </c>
      <c r="GR156" s="5">
        <f t="shared" si="548"/>
        <v>193</v>
      </c>
      <c r="GS156" s="5">
        <v>3223</v>
      </c>
      <c r="GT156" s="5">
        <f t="shared" si="549"/>
        <v>0</v>
      </c>
      <c r="GU156" s="5">
        <v>3502</v>
      </c>
      <c r="GV156" s="5">
        <f t="shared" si="550"/>
        <v>1</v>
      </c>
      <c r="GW156" s="4">
        <v>21</v>
      </c>
      <c r="GX156" s="5">
        <f t="shared" si="551"/>
        <v>1</v>
      </c>
      <c r="GY156" s="4"/>
      <c r="GZ156" s="2" t="str">
        <f t="shared" si="552"/>
        <v>サンリオ毛布</v>
      </c>
      <c r="HA156" s="4">
        <f t="shared" si="553"/>
        <v>1000</v>
      </c>
      <c r="HB156" s="5">
        <f t="shared" si="554"/>
        <v>1000</v>
      </c>
      <c r="HC156" s="36">
        <f t="shared" si="555"/>
        <v>5.181347150259067E-2</v>
      </c>
      <c r="HD156" s="29"/>
      <c r="HF156" s="40">
        <f>IF($A171="","",$A171)</f>
        <v>46118</v>
      </c>
      <c r="HG156" s="35">
        <v>61280</v>
      </c>
      <c r="HH156" s="5">
        <f t="shared" si="556"/>
        <v>39</v>
      </c>
      <c r="HI156" s="5"/>
      <c r="HJ156" s="29"/>
      <c r="HL156" s="40">
        <f>IF($A171="","",$A171)</f>
        <v>46118</v>
      </c>
      <c r="HM156" s="35">
        <v>45396</v>
      </c>
      <c r="HN156" s="5">
        <f t="shared" si="557"/>
        <v>42</v>
      </c>
      <c r="HO156" s="5"/>
      <c r="HP156" s="29"/>
      <c r="HR156" s="40">
        <f>IF($A171="","",$A171)</f>
        <v>46118</v>
      </c>
      <c r="HS156" s="35">
        <v>42877</v>
      </c>
      <c r="HT156" s="5">
        <f t="shared" si="558"/>
        <v>51</v>
      </c>
      <c r="HU156" s="5"/>
      <c r="HV156" s="29"/>
    </row>
    <row r="157" spans="1:230" x14ac:dyDescent="0.2">
      <c r="A157" s="54"/>
      <c r="B157" s="55"/>
      <c r="C157" s="57">
        <v>18244</v>
      </c>
      <c r="D157" s="5">
        <f t="shared" si="559"/>
        <v>31</v>
      </c>
      <c r="E157" s="5">
        <v>635</v>
      </c>
      <c r="F157" s="5">
        <f t="shared" si="560"/>
        <v>0</v>
      </c>
      <c r="G157" s="58">
        <v>49</v>
      </c>
      <c r="H157" s="5">
        <f t="shared" si="561"/>
        <v>0</v>
      </c>
      <c r="I157" s="59">
        <v>0</v>
      </c>
      <c r="J157" s="38" t="str">
        <f t="shared" si="562"/>
        <v>アングリーキーホルダー</v>
      </c>
      <c r="K157" s="5">
        <f t="shared" si="563"/>
        <v>100</v>
      </c>
      <c r="L157" s="5">
        <f t="shared" si="564"/>
        <v>0</v>
      </c>
      <c r="M157" s="36">
        <f t="shared" si="565"/>
        <v>0</v>
      </c>
      <c r="N157" s="29"/>
      <c r="O157" s="30"/>
      <c r="P157" s="54"/>
      <c r="Q157" s="57">
        <v>10183</v>
      </c>
      <c r="R157" s="48">
        <f t="shared" si="566"/>
        <v>17</v>
      </c>
      <c r="S157" s="5">
        <v>273</v>
      </c>
      <c r="T157" s="5">
        <f t="shared" si="567"/>
        <v>1</v>
      </c>
      <c r="U157" s="58">
        <v>5</v>
      </c>
      <c r="V157" s="5">
        <f t="shared" si="568"/>
        <v>1</v>
      </c>
      <c r="W157" s="59">
        <v>2</v>
      </c>
      <c r="X157" s="38" t="s">
        <v>149</v>
      </c>
      <c r="Y157" s="5">
        <f t="shared" ref="Y157:Y188" si="590">IF(R157="","",Y153)</f>
        <v>638</v>
      </c>
      <c r="Z157" s="5">
        <f t="shared" si="569"/>
        <v>638</v>
      </c>
      <c r="AA157" s="36">
        <f t="shared" si="570"/>
        <v>0.37529411764705883</v>
      </c>
      <c r="AB157" s="29"/>
      <c r="AD157" s="54"/>
      <c r="AE157" s="57">
        <v>952</v>
      </c>
      <c r="AF157" s="5">
        <f t="shared" si="571"/>
        <v>40</v>
      </c>
      <c r="AG157" s="5">
        <v>24</v>
      </c>
      <c r="AH157" s="5">
        <f t="shared" si="572"/>
        <v>2</v>
      </c>
      <c r="AI157" s="58">
        <v>4</v>
      </c>
      <c r="AJ157" s="5">
        <f t="shared" si="573"/>
        <v>2</v>
      </c>
      <c r="AK157" s="59">
        <v>6</v>
      </c>
      <c r="AL157" s="38" t="str">
        <f t="shared" si="574"/>
        <v>たまごっちマスコット</v>
      </c>
      <c r="AM157" s="5">
        <f t="shared" si="575"/>
        <v>1430</v>
      </c>
      <c r="AN157" s="5">
        <f t="shared" si="576"/>
        <v>2860</v>
      </c>
      <c r="AO157" s="36">
        <f t="shared" si="577"/>
        <v>0.71499999999999997</v>
      </c>
      <c r="AP157" s="29" t="s">
        <v>150</v>
      </c>
      <c r="AR157" s="54"/>
      <c r="AS157" s="57">
        <v>691</v>
      </c>
      <c r="AT157" s="5">
        <f t="shared" si="578"/>
        <v>45</v>
      </c>
      <c r="AU157" s="5">
        <v>999</v>
      </c>
      <c r="AV157" s="5">
        <f t="shared" ref="AV157:AV188" si="591">IF(AU157="","",AU157-AU153)</f>
        <v>1</v>
      </c>
      <c r="AW157" s="58">
        <v>8</v>
      </c>
      <c r="AX157" s="5">
        <f t="shared" si="579"/>
        <v>1</v>
      </c>
      <c r="AY157" s="59">
        <v>0</v>
      </c>
      <c r="AZ157" s="38" t="str">
        <f t="shared" si="580"/>
        <v>ゲームアーク</v>
      </c>
      <c r="BA157" s="5">
        <f t="shared" si="581"/>
        <v>682</v>
      </c>
      <c r="BB157" s="5">
        <f t="shared" si="582"/>
        <v>682</v>
      </c>
      <c r="BC157" s="36">
        <f t="shared" si="583"/>
        <v>0.15155555555555555</v>
      </c>
      <c r="BD157" s="29"/>
      <c r="BE157" s="32"/>
      <c r="BF157" s="25"/>
      <c r="BG157" s="5">
        <v>1388</v>
      </c>
      <c r="BH157" s="5">
        <f t="shared" si="584"/>
        <v>114</v>
      </c>
      <c r="BI157" s="5">
        <v>7</v>
      </c>
      <c r="BJ157" s="5">
        <f t="shared" si="585"/>
        <v>0</v>
      </c>
      <c r="BK157" s="4">
        <v>2</v>
      </c>
      <c r="BL157" s="5">
        <f t="shared" si="586"/>
        <v>1</v>
      </c>
      <c r="BM157" s="57">
        <v>1</v>
      </c>
      <c r="BN157" s="3" t="str">
        <f>IF(BG155="","",BN153)</f>
        <v>ボンボンドロップシール</v>
      </c>
      <c r="BO157" s="39">
        <f>IF(BG155="","",BO153)</f>
        <v>1500</v>
      </c>
      <c r="BP157" s="5">
        <f t="shared" si="587"/>
        <v>1500</v>
      </c>
      <c r="BQ157" s="36">
        <f t="shared" si="491"/>
        <v>0.13157894736842105</v>
      </c>
      <c r="BR157" s="29"/>
      <c r="BT157" s="25"/>
      <c r="BU157" s="4"/>
      <c r="BV157" s="5" t="str">
        <f t="shared" si="588"/>
        <v/>
      </c>
      <c r="BW157" s="5"/>
      <c r="BX157" s="5" t="str">
        <f t="shared" si="589"/>
        <v/>
      </c>
      <c r="BY157" s="4"/>
      <c r="BZ157" s="5"/>
      <c r="CA157" s="57"/>
      <c r="CB157" s="3"/>
      <c r="CC157" s="39"/>
      <c r="CD157" s="5"/>
      <c r="CE157" s="36"/>
      <c r="CF157" s="29"/>
      <c r="CH157" s="40">
        <f>IF($A175="","",$A175)</f>
        <v>46122</v>
      </c>
      <c r="CI157" s="35">
        <v>31218</v>
      </c>
      <c r="CJ157" s="5">
        <f t="shared" si="492"/>
        <v>73</v>
      </c>
      <c r="CK157" s="5">
        <v>515</v>
      </c>
      <c r="CL157" s="5">
        <f t="shared" si="493"/>
        <v>1</v>
      </c>
      <c r="CM157" s="4">
        <v>26</v>
      </c>
      <c r="CN157" s="5">
        <f t="shared" si="494"/>
        <v>1</v>
      </c>
      <c r="CO157" s="4">
        <v>4</v>
      </c>
      <c r="CP157" s="2" t="str">
        <f t="shared" si="495"/>
        <v>サンリオマスコットポーチ</v>
      </c>
      <c r="CQ157" s="4">
        <f t="shared" si="496"/>
        <v>880</v>
      </c>
      <c r="CR157" s="5">
        <f t="shared" si="497"/>
        <v>880</v>
      </c>
      <c r="CS157" s="36">
        <f t="shared" si="498"/>
        <v>0.12054794520547946</v>
      </c>
      <c r="CT157" s="29"/>
      <c r="CV157" s="40">
        <f>IF($A175="","",$A175)</f>
        <v>46122</v>
      </c>
      <c r="CW157" s="35">
        <v>52195</v>
      </c>
      <c r="CX157" s="48">
        <f t="shared" si="499"/>
        <v>6</v>
      </c>
      <c r="CY157" s="5">
        <v>3278</v>
      </c>
      <c r="CZ157" s="5">
        <f t="shared" si="500"/>
        <v>0</v>
      </c>
      <c r="DA157" s="4">
        <v>121</v>
      </c>
      <c r="DB157" s="5">
        <f t="shared" si="501"/>
        <v>0</v>
      </c>
      <c r="DC157" s="4"/>
      <c r="DD157" s="2" t="str">
        <f t="shared" si="502"/>
        <v>余り物</v>
      </c>
      <c r="DE157" s="4">
        <f t="shared" si="503"/>
        <v>0</v>
      </c>
      <c r="DF157" s="5">
        <f t="shared" si="504"/>
        <v>0</v>
      </c>
      <c r="DG157" s="36">
        <f t="shared" si="505"/>
        <v>0</v>
      </c>
      <c r="DH157" s="29"/>
      <c r="DJ157" s="40">
        <f>IF($A175="","",$A175)</f>
        <v>46122</v>
      </c>
      <c r="DK157" s="35">
        <v>17634</v>
      </c>
      <c r="DL157" s="5">
        <f t="shared" si="506"/>
        <v>18</v>
      </c>
      <c r="DM157" s="5">
        <v>344</v>
      </c>
      <c r="DN157" s="5">
        <f t="shared" si="507"/>
        <v>6</v>
      </c>
      <c r="DO157" s="4">
        <v>24</v>
      </c>
      <c r="DP157" s="5">
        <f t="shared" si="508"/>
        <v>4</v>
      </c>
      <c r="DQ157" s="4">
        <v>6</v>
      </c>
      <c r="DR157" s="2" t="s">
        <v>193</v>
      </c>
      <c r="DS157" s="4">
        <v>990</v>
      </c>
      <c r="DT157" s="5">
        <f t="shared" si="511"/>
        <v>3960</v>
      </c>
      <c r="DU157" s="36">
        <f t="shared" si="512"/>
        <v>2.2000000000000002</v>
      </c>
      <c r="DV157" s="29" t="s">
        <v>180</v>
      </c>
      <c r="DX157" s="40">
        <f>IF($A175="","",$A175)</f>
        <v>46122</v>
      </c>
      <c r="DY157" s="35">
        <v>13642</v>
      </c>
      <c r="DZ157" s="5">
        <f t="shared" si="513"/>
        <v>211</v>
      </c>
      <c r="EA157" s="5">
        <v>122</v>
      </c>
      <c r="EB157" s="5">
        <f t="shared" si="514"/>
        <v>3</v>
      </c>
      <c r="EC157" s="4">
        <v>5</v>
      </c>
      <c r="ED157" s="5">
        <f t="shared" si="515"/>
        <v>5</v>
      </c>
      <c r="EE157" s="4">
        <v>8</v>
      </c>
      <c r="EF157" s="2" t="str">
        <f t="shared" si="516"/>
        <v>ボンボンドロップシール</v>
      </c>
      <c r="EG157" s="4">
        <f t="shared" si="517"/>
        <v>1500</v>
      </c>
      <c r="EH157" s="5">
        <f t="shared" si="518"/>
        <v>7500</v>
      </c>
      <c r="EI157" s="36">
        <f t="shared" si="519"/>
        <v>0.35545023696682465</v>
      </c>
      <c r="EJ157" s="29"/>
      <c r="EL157" s="40">
        <f>IF($A175="","",$A175)</f>
        <v>46122</v>
      </c>
      <c r="EM157" s="35">
        <v>1014</v>
      </c>
      <c r="EN157" s="48">
        <f t="shared" si="520"/>
        <v>13</v>
      </c>
      <c r="EO157" s="5">
        <v>1062</v>
      </c>
      <c r="EP157" s="5">
        <f t="shared" si="521"/>
        <v>0</v>
      </c>
      <c r="EQ157" s="4">
        <v>16</v>
      </c>
      <c r="ER157" s="5">
        <f t="shared" si="522"/>
        <v>0</v>
      </c>
      <c r="ES157" s="4">
        <v>0</v>
      </c>
      <c r="ET157" s="2" t="str">
        <f t="shared" si="523"/>
        <v>おしりぷにぷにシール</v>
      </c>
      <c r="EU157" s="4">
        <f t="shared" si="524"/>
        <v>176</v>
      </c>
      <c r="EV157" s="5">
        <f t="shared" si="525"/>
        <v>0</v>
      </c>
      <c r="EW157" s="36">
        <f t="shared" si="526"/>
        <v>0</v>
      </c>
      <c r="EX157" s="29"/>
      <c r="EZ157" s="40">
        <f>IF($A175="","",$A175)</f>
        <v>46122</v>
      </c>
      <c r="FA157" s="35">
        <v>657</v>
      </c>
      <c r="FB157" s="5">
        <f t="shared" si="527"/>
        <v>34</v>
      </c>
      <c r="FC157" s="5">
        <v>59</v>
      </c>
      <c r="FD157" s="5">
        <f t="shared" si="528"/>
        <v>1</v>
      </c>
      <c r="FE157" s="4">
        <v>36</v>
      </c>
      <c r="FF157" s="5">
        <f t="shared" si="529"/>
        <v>1</v>
      </c>
      <c r="FG157" s="4">
        <v>7</v>
      </c>
      <c r="FH157" s="2" t="s">
        <v>182</v>
      </c>
      <c r="FI157" s="4">
        <v>300</v>
      </c>
      <c r="FJ157" s="5">
        <f t="shared" si="532"/>
        <v>300</v>
      </c>
      <c r="FK157" s="36">
        <f t="shared" si="533"/>
        <v>8.8235294117647065E-2</v>
      </c>
      <c r="FL157" s="29"/>
      <c r="FN157" s="40">
        <f>IF($A175="","",$A175)</f>
        <v>46122</v>
      </c>
      <c r="FO157" s="35">
        <v>766</v>
      </c>
      <c r="FP157" s="5">
        <f t="shared" si="534"/>
        <v>36</v>
      </c>
      <c r="FQ157" s="5">
        <v>66</v>
      </c>
      <c r="FR157" s="5">
        <f t="shared" si="535"/>
        <v>1</v>
      </c>
      <c r="FS157" s="4">
        <v>29</v>
      </c>
      <c r="FT157" s="5">
        <f t="shared" si="536"/>
        <v>1</v>
      </c>
      <c r="FU157" s="4">
        <v>10</v>
      </c>
      <c r="FV157" s="2" t="str">
        <f t="shared" si="537"/>
        <v>カラビナ付きぬいぐるみファスナーマスコット</v>
      </c>
      <c r="FW157" s="4">
        <f t="shared" si="538"/>
        <v>660</v>
      </c>
      <c r="FX157" s="5">
        <f t="shared" si="539"/>
        <v>660</v>
      </c>
      <c r="FY157" s="36">
        <f t="shared" si="540"/>
        <v>0.18333333333333332</v>
      </c>
      <c r="FZ157" s="29"/>
      <c r="GB157" s="40">
        <f>IF($A175="","",$A175)</f>
        <v>46122</v>
      </c>
      <c r="GC157" s="35">
        <v>645</v>
      </c>
      <c r="GD157" s="48">
        <f t="shared" si="541"/>
        <v>19</v>
      </c>
      <c r="GE157" s="5">
        <v>58</v>
      </c>
      <c r="GF157" s="5">
        <f t="shared" si="542"/>
        <v>1</v>
      </c>
      <c r="GG157" s="4">
        <v>33</v>
      </c>
      <c r="GH157" s="5">
        <f t="shared" si="543"/>
        <v>1</v>
      </c>
      <c r="GI157" s="4"/>
      <c r="GJ157" s="2" t="s">
        <v>181</v>
      </c>
      <c r="GK157" s="4"/>
      <c r="GL157" s="5" t="str">
        <f t="shared" si="546"/>
        <v/>
      </c>
      <c r="GM157" s="36" t="str">
        <f t="shared" si="547"/>
        <v/>
      </c>
      <c r="GN157" s="29"/>
      <c r="GP157" s="40">
        <f>IF($A175="","",$A175)</f>
        <v>46122</v>
      </c>
      <c r="GQ157" s="35">
        <v>85222</v>
      </c>
      <c r="GR157" s="5">
        <f t="shared" si="548"/>
        <v>86</v>
      </c>
      <c r="GS157" s="5">
        <v>3223</v>
      </c>
      <c r="GT157" s="5">
        <f t="shared" si="549"/>
        <v>0</v>
      </c>
      <c r="GU157" s="5">
        <v>3502</v>
      </c>
      <c r="GV157" s="5">
        <f t="shared" si="550"/>
        <v>0</v>
      </c>
      <c r="GW157" s="4">
        <v>19</v>
      </c>
      <c r="GX157" s="5">
        <f t="shared" si="551"/>
        <v>2</v>
      </c>
      <c r="GY157" s="4">
        <v>3</v>
      </c>
      <c r="GZ157" s="2" t="str">
        <f t="shared" si="552"/>
        <v>サンリオ毛布</v>
      </c>
      <c r="HA157" s="4">
        <f t="shared" si="553"/>
        <v>1000</v>
      </c>
      <c r="HB157" s="5">
        <f t="shared" si="554"/>
        <v>2000</v>
      </c>
      <c r="HC157" s="36">
        <f t="shared" si="555"/>
        <v>0.23255813953488372</v>
      </c>
      <c r="HD157" s="29"/>
      <c r="HF157" s="40">
        <f>IF($A175="","",$A175)</f>
        <v>46122</v>
      </c>
      <c r="HG157" s="35">
        <v>61293</v>
      </c>
      <c r="HH157" s="5">
        <f t="shared" si="556"/>
        <v>13</v>
      </c>
      <c r="HI157" s="5"/>
      <c r="HJ157" s="29"/>
      <c r="HL157" s="40">
        <f>IF($A175="","",$A175)</f>
        <v>46122</v>
      </c>
      <c r="HM157" s="35">
        <v>45404</v>
      </c>
      <c r="HN157" s="5">
        <f t="shared" si="557"/>
        <v>8</v>
      </c>
      <c r="HO157" s="5"/>
      <c r="HP157" s="29"/>
      <c r="HR157" s="40">
        <f>IF($A175="","",$A175)</f>
        <v>46122</v>
      </c>
      <c r="HS157" s="35">
        <v>42899</v>
      </c>
      <c r="HT157" s="5">
        <f t="shared" si="558"/>
        <v>22</v>
      </c>
      <c r="HU157" s="5"/>
      <c r="HV157" s="29"/>
    </row>
    <row r="158" spans="1:230" ht="15" customHeight="1" thickBot="1" x14ac:dyDescent="0.25">
      <c r="A158" s="60"/>
      <c r="B158" s="42"/>
      <c r="C158" s="43">
        <v>22610</v>
      </c>
      <c r="D158" s="61">
        <f t="shared" si="559"/>
        <v>138</v>
      </c>
      <c r="E158" s="44">
        <v>1156</v>
      </c>
      <c r="F158" s="44">
        <f t="shared" si="560"/>
        <v>2</v>
      </c>
      <c r="G158" s="44">
        <v>4</v>
      </c>
      <c r="H158" s="44">
        <f t="shared" si="561"/>
        <v>3</v>
      </c>
      <c r="I158" s="62">
        <v>3</v>
      </c>
      <c r="J158" s="47" t="str">
        <f t="shared" si="562"/>
        <v>パステルケーキ</v>
      </c>
      <c r="K158" s="61">
        <f t="shared" si="563"/>
        <v>187</v>
      </c>
      <c r="L158" s="44">
        <f t="shared" si="564"/>
        <v>561</v>
      </c>
      <c r="M158" s="46">
        <f t="shared" si="565"/>
        <v>4.0652173913043481E-2</v>
      </c>
      <c r="N158" s="29"/>
      <c r="O158" s="30"/>
      <c r="P158" s="60"/>
      <c r="Q158" s="43">
        <v>8806</v>
      </c>
      <c r="R158" s="74">
        <f t="shared" si="566"/>
        <v>23</v>
      </c>
      <c r="S158" s="44">
        <v>215</v>
      </c>
      <c r="T158" s="44">
        <f t="shared" si="567"/>
        <v>3</v>
      </c>
      <c r="U158" s="44">
        <v>314</v>
      </c>
      <c r="V158" s="44">
        <f t="shared" si="568"/>
        <v>3</v>
      </c>
      <c r="W158" s="62">
        <v>0</v>
      </c>
      <c r="X158" s="47" t="str">
        <f t="shared" ref="X158:X165" si="592">IF(Q158="","",X154)</f>
        <v>オーロラブレスレット</v>
      </c>
      <c r="Y158" s="61">
        <f t="shared" si="590"/>
        <v>350</v>
      </c>
      <c r="Z158" s="44">
        <f t="shared" si="569"/>
        <v>1050</v>
      </c>
      <c r="AA158" s="46">
        <f t="shared" si="570"/>
        <v>0.45652173913043476</v>
      </c>
      <c r="AB158" s="29"/>
      <c r="AD158" s="60"/>
      <c r="AE158" s="43">
        <v>516</v>
      </c>
      <c r="AF158" s="61">
        <f t="shared" si="571"/>
        <v>41</v>
      </c>
      <c r="AG158" s="44">
        <v>18</v>
      </c>
      <c r="AH158" s="44">
        <f t="shared" si="572"/>
        <v>3</v>
      </c>
      <c r="AI158" s="44">
        <v>78</v>
      </c>
      <c r="AJ158" s="44">
        <f t="shared" si="573"/>
        <v>3</v>
      </c>
      <c r="AK158" s="62">
        <v>0</v>
      </c>
      <c r="AL158" s="47" t="str">
        <f t="shared" si="574"/>
        <v>キティボールペン</v>
      </c>
      <c r="AM158" s="61">
        <f t="shared" si="575"/>
        <v>283</v>
      </c>
      <c r="AN158" s="44">
        <f t="shared" si="576"/>
        <v>849</v>
      </c>
      <c r="AO158" s="46">
        <f t="shared" si="577"/>
        <v>0.20707317073170731</v>
      </c>
      <c r="AP158" s="29"/>
      <c r="AR158" s="60"/>
      <c r="AS158" s="43">
        <v>501</v>
      </c>
      <c r="AT158" s="61">
        <f t="shared" si="578"/>
        <v>30</v>
      </c>
      <c r="AU158" s="44">
        <v>13</v>
      </c>
      <c r="AV158" s="44">
        <f t="shared" si="591"/>
        <v>1</v>
      </c>
      <c r="AW158" s="44">
        <v>20</v>
      </c>
      <c r="AX158" s="44">
        <f t="shared" si="579"/>
        <v>1</v>
      </c>
      <c r="AY158" s="62">
        <v>0</v>
      </c>
      <c r="AZ158" s="47" t="str">
        <f t="shared" si="580"/>
        <v>しばこ</v>
      </c>
      <c r="BA158" s="61">
        <f t="shared" si="581"/>
        <v>110</v>
      </c>
      <c r="BB158" s="44">
        <f t="shared" si="582"/>
        <v>110</v>
      </c>
      <c r="BC158" s="46">
        <f t="shared" si="583"/>
        <v>3.6666666666666667E-2</v>
      </c>
      <c r="BD158" s="29"/>
      <c r="BE158" s="32"/>
      <c r="BF158" s="41"/>
      <c r="BG158" s="44">
        <v>3142</v>
      </c>
      <c r="BH158" s="44">
        <f t="shared" si="584"/>
        <v>278</v>
      </c>
      <c r="BI158" s="44">
        <v>30</v>
      </c>
      <c r="BJ158" s="44">
        <f t="shared" si="585"/>
        <v>3</v>
      </c>
      <c r="BK158" s="44">
        <v>2</v>
      </c>
      <c r="BL158" s="44">
        <f t="shared" si="586"/>
        <v>1</v>
      </c>
      <c r="BM158" s="44">
        <v>1</v>
      </c>
      <c r="BN158" s="45" t="str">
        <f>IF(BG156="","",BN154)</f>
        <v>ボンボンドロップシール</v>
      </c>
      <c r="BO158" s="61">
        <f>IF(BG155="","",BO154)</f>
        <v>1500</v>
      </c>
      <c r="BP158" s="44">
        <f t="shared" si="587"/>
        <v>1500</v>
      </c>
      <c r="BQ158" s="46">
        <f t="shared" si="491"/>
        <v>5.3956834532374098E-2</v>
      </c>
      <c r="BR158" s="29"/>
      <c r="BT158" s="41"/>
      <c r="BU158" s="44"/>
      <c r="BV158" s="44" t="str">
        <f t="shared" si="588"/>
        <v/>
      </c>
      <c r="BW158" s="44"/>
      <c r="BX158" s="44" t="str">
        <f t="shared" si="589"/>
        <v/>
      </c>
      <c r="BY158" s="44"/>
      <c r="BZ158" s="44"/>
      <c r="CA158" s="44"/>
      <c r="CB158" s="45"/>
      <c r="CC158" s="61"/>
      <c r="CD158" s="44"/>
      <c r="CE158" s="46"/>
      <c r="CF158" s="29"/>
      <c r="CH158" s="40">
        <f>IF($A179="","",$A179)</f>
        <v>46125</v>
      </c>
      <c r="CI158" s="35">
        <v>31276</v>
      </c>
      <c r="CJ158" s="5">
        <f t="shared" si="492"/>
        <v>58</v>
      </c>
      <c r="CK158" s="5">
        <v>519</v>
      </c>
      <c r="CL158" s="5">
        <f t="shared" si="493"/>
        <v>4</v>
      </c>
      <c r="CM158" s="4">
        <v>26</v>
      </c>
      <c r="CN158" s="5">
        <f t="shared" si="494"/>
        <v>4</v>
      </c>
      <c r="CO158" s="4">
        <v>8</v>
      </c>
      <c r="CP158" s="2" t="str">
        <f t="shared" si="495"/>
        <v>サンリオマスコットポーチ</v>
      </c>
      <c r="CQ158" s="4">
        <f t="shared" si="496"/>
        <v>880</v>
      </c>
      <c r="CR158" s="5">
        <f t="shared" si="497"/>
        <v>3520</v>
      </c>
      <c r="CS158" s="36">
        <f t="shared" si="498"/>
        <v>0.60689655172413792</v>
      </c>
      <c r="CT158" s="29"/>
      <c r="CV158" s="40">
        <f>IF($A179="","",$A179)</f>
        <v>46125</v>
      </c>
      <c r="CW158" s="35">
        <v>52218</v>
      </c>
      <c r="CX158" s="5">
        <f t="shared" si="499"/>
        <v>23</v>
      </c>
      <c r="CY158" s="5">
        <v>3278</v>
      </c>
      <c r="CZ158" s="5">
        <f t="shared" si="500"/>
        <v>0</v>
      </c>
      <c r="DA158" s="4">
        <v>121</v>
      </c>
      <c r="DB158" s="5">
        <f t="shared" si="501"/>
        <v>0</v>
      </c>
      <c r="DC158" s="4"/>
      <c r="DD158" s="2" t="str">
        <f t="shared" si="502"/>
        <v>余り物</v>
      </c>
      <c r="DE158" s="4">
        <f t="shared" si="503"/>
        <v>0</v>
      </c>
      <c r="DF158" s="5">
        <f t="shared" si="504"/>
        <v>0</v>
      </c>
      <c r="DG158" s="36">
        <f t="shared" si="505"/>
        <v>0</v>
      </c>
      <c r="DH158" s="29"/>
      <c r="DJ158" s="40">
        <f>IF($A179="","",$A179)</f>
        <v>46125</v>
      </c>
      <c r="DK158" s="35">
        <v>17694</v>
      </c>
      <c r="DL158" s="5">
        <f t="shared" si="506"/>
        <v>60</v>
      </c>
      <c r="DM158" s="5">
        <v>345</v>
      </c>
      <c r="DN158" s="5">
        <f t="shared" si="507"/>
        <v>1</v>
      </c>
      <c r="DO158" s="4">
        <v>29</v>
      </c>
      <c r="DP158" s="5">
        <f t="shared" si="508"/>
        <v>1</v>
      </c>
      <c r="DQ158" s="4">
        <v>5</v>
      </c>
      <c r="DR158" s="2" t="str">
        <f t="shared" si="509"/>
        <v>サンリオ豹柄リールパスケース</v>
      </c>
      <c r="DS158" s="4">
        <f t="shared" si="510"/>
        <v>990</v>
      </c>
      <c r="DT158" s="5">
        <f t="shared" si="511"/>
        <v>990</v>
      </c>
      <c r="DU158" s="36">
        <f t="shared" si="512"/>
        <v>0.16500000000000001</v>
      </c>
      <c r="DV158" s="29"/>
      <c r="DX158" s="40">
        <f>IF($A179="","",$A179)</f>
        <v>46125</v>
      </c>
      <c r="DY158" s="35">
        <v>14145</v>
      </c>
      <c r="DZ158" s="5">
        <f t="shared" si="513"/>
        <v>503</v>
      </c>
      <c r="EA158" s="5">
        <v>124</v>
      </c>
      <c r="EB158" s="5">
        <f t="shared" si="514"/>
        <v>2</v>
      </c>
      <c r="EC158" s="4">
        <v>11</v>
      </c>
      <c r="ED158" s="5">
        <f t="shared" si="515"/>
        <v>2</v>
      </c>
      <c r="EE158" s="4">
        <v>5</v>
      </c>
      <c r="EF158" s="2" t="str">
        <f t="shared" si="516"/>
        <v>ボンボンドロップシール</v>
      </c>
      <c r="EG158" s="4">
        <f t="shared" si="517"/>
        <v>1500</v>
      </c>
      <c r="EH158" s="5">
        <f t="shared" si="518"/>
        <v>3000</v>
      </c>
      <c r="EI158" s="36">
        <f t="shared" si="519"/>
        <v>5.9642147117296221E-2</v>
      </c>
      <c r="EJ158" s="29"/>
      <c r="EL158" s="40">
        <f>IF($A179="","",$A179)</f>
        <v>46125</v>
      </c>
      <c r="EM158" s="35">
        <v>1063</v>
      </c>
      <c r="EN158" s="5">
        <f t="shared" si="520"/>
        <v>49</v>
      </c>
      <c r="EO158" s="5">
        <v>1066</v>
      </c>
      <c r="EP158" s="5">
        <f t="shared" si="521"/>
        <v>4</v>
      </c>
      <c r="EQ158" s="4">
        <v>12</v>
      </c>
      <c r="ER158" s="5">
        <f t="shared" si="522"/>
        <v>4</v>
      </c>
      <c r="ES158" s="4"/>
      <c r="ET158" s="2" t="str">
        <f t="shared" si="523"/>
        <v>おしりぷにぷにシール</v>
      </c>
      <c r="EU158" s="4">
        <f t="shared" si="524"/>
        <v>176</v>
      </c>
      <c r="EV158" s="5">
        <f t="shared" si="525"/>
        <v>704</v>
      </c>
      <c r="EW158" s="36">
        <f t="shared" si="526"/>
        <v>0.1436734693877551</v>
      </c>
      <c r="EX158" s="29" t="s">
        <v>194</v>
      </c>
      <c r="EZ158" s="40">
        <f>IF($A179="","",$A179)</f>
        <v>46125</v>
      </c>
      <c r="FA158" s="35">
        <v>682</v>
      </c>
      <c r="FB158" s="5">
        <f t="shared" si="527"/>
        <v>25</v>
      </c>
      <c r="FC158" s="5">
        <v>62</v>
      </c>
      <c r="FD158" s="5">
        <f t="shared" si="528"/>
        <v>3</v>
      </c>
      <c r="FE158" s="4">
        <v>40</v>
      </c>
      <c r="FF158" s="5">
        <f t="shared" si="529"/>
        <v>3</v>
      </c>
      <c r="FG158" s="4">
        <v>6</v>
      </c>
      <c r="FH158" s="2" t="str">
        <f t="shared" si="530"/>
        <v>おさるのジョージぷくぷくシール</v>
      </c>
      <c r="FI158" s="4">
        <f t="shared" si="531"/>
        <v>300</v>
      </c>
      <c r="FJ158" s="5">
        <f t="shared" si="532"/>
        <v>900</v>
      </c>
      <c r="FK158" s="36">
        <f t="shared" si="533"/>
        <v>0.36</v>
      </c>
      <c r="FL158" s="29"/>
      <c r="FN158" s="40">
        <f>IF($A179="","",$A179)</f>
        <v>46125</v>
      </c>
      <c r="FO158" s="35">
        <v>824</v>
      </c>
      <c r="FP158" s="5">
        <f t="shared" si="534"/>
        <v>58</v>
      </c>
      <c r="FQ158" s="5">
        <v>74</v>
      </c>
      <c r="FR158" s="5">
        <f t="shared" si="535"/>
        <v>8</v>
      </c>
      <c r="FS158" s="4">
        <v>31</v>
      </c>
      <c r="FT158" s="5">
        <f t="shared" si="536"/>
        <v>8</v>
      </c>
      <c r="FU158" s="4">
        <v>12</v>
      </c>
      <c r="FV158" s="2" t="str">
        <f t="shared" si="537"/>
        <v>カラビナ付きぬいぐるみファスナーマスコット</v>
      </c>
      <c r="FW158" s="4">
        <f t="shared" si="538"/>
        <v>660</v>
      </c>
      <c r="FX158" s="5">
        <f t="shared" si="539"/>
        <v>5280</v>
      </c>
      <c r="FY158" s="36">
        <f t="shared" si="540"/>
        <v>0.91034482758620694</v>
      </c>
      <c r="FZ158" s="29" t="s">
        <v>190</v>
      </c>
      <c r="GB158" s="40">
        <f>IF($A179="","",$A179)</f>
        <v>46125</v>
      </c>
      <c r="GC158" s="35">
        <v>665</v>
      </c>
      <c r="GD158" s="5">
        <f t="shared" si="541"/>
        <v>20</v>
      </c>
      <c r="GE158" s="5">
        <v>62</v>
      </c>
      <c r="GF158" s="5">
        <f t="shared" si="542"/>
        <v>4</v>
      </c>
      <c r="GG158" s="4">
        <v>29</v>
      </c>
      <c r="GH158" s="5">
        <f t="shared" si="543"/>
        <v>4</v>
      </c>
      <c r="GI158" s="4">
        <v>4</v>
      </c>
      <c r="GJ158" s="2" t="str">
        <f t="shared" si="544"/>
        <v>ディズニーぷくぷくシール</v>
      </c>
      <c r="GK158" s="4">
        <f t="shared" si="545"/>
        <v>0</v>
      </c>
      <c r="GL158" s="5">
        <f t="shared" si="546"/>
        <v>0</v>
      </c>
      <c r="GM158" s="36">
        <f t="shared" si="547"/>
        <v>0</v>
      </c>
      <c r="GN158" s="29"/>
      <c r="GP158" s="40">
        <f>IF($A179="","",$A179)</f>
        <v>46125</v>
      </c>
      <c r="GQ158" s="35">
        <v>85308</v>
      </c>
      <c r="GR158" s="5">
        <f t="shared" si="548"/>
        <v>86</v>
      </c>
      <c r="GS158" s="5">
        <v>3223</v>
      </c>
      <c r="GT158" s="5">
        <f t="shared" si="549"/>
        <v>0</v>
      </c>
      <c r="GU158" s="5">
        <v>3506</v>
      </c>
      <c r="GV158" s="5">
        <f t="shared" si="550"/>
        <v>4</v>
      </c>
      <c r="GW158" s="4">
        <v>15</v>
      </c>
      <c r="GX158" s="5">
        <f t="shared" si="551"/>
        <v>7</v>
      </c>
      <c r="GY158" s="4">
        <v>5</v>
      </c>
      <c r="GZ158" s="2" t="str">
        <f t="shared" si="552"/>
        <v>サンリオ毛布</v>
      </c>
      <c r="HA158" s="4">
        <f t="shared" si="553"/>
        <v>1000</v>
      </c>
      <c r="HB158" s="5">
        <f t="shared" si="554"/>
        <v>7000</v>
      </c>
      <c r="HC158" s="36">
        <f t="shared" si="555"/>
        <v>0.81395348837209303</v>
      </c>
      <c r="HD158" s="29" t="s">
        <v>202</v>
      </c>
      <c r="HF158" s="40">
        <f>IF($A179="","",$A179)</f>
        <v>46125</v>
      </c>
      <c r="HG158" s="35">
        <v>61328</v>
      </c>
      <c r="HH158" s="5">
        <f t="shared" si="556"/>
        <v>35</v>
      </c>
      <c r="HI158" s="5"/>
      <c r="HJ158" s="29"/>
      <c r="HL158" s="40">
        <f>IF($A179="","",$A179)</f>
        <v>46125</v>
      </c>
      <c r="HM158" s="35">
        <v>45436</v>
      </c>
      <c r="HN158" s="5">
        <f t="shared" si="557"/>
        <v>32</v>
      </c>
      <c r="HO158" s="5"/>
      <c r="HP158" s="29"/>
      <c r="HR158" s="40">
        <f>IF($A179="","",$A179)</f>
        <v>46125</v>
      </c>
      <c r="HS158" s="35">
        <v>42947</v>
      </c>
      <c r="HT158" s="5">
        <f t="shared" si="558"/>
        <v>48</v>
      </c>
      <c r="HU158" s="5"/>
      <c r="HV158" s="29"/>
    </row>
    <row r="159" spans="1:230" ht="15" customHeight="1" thickTop="1" x14ac:dyDescent="0.2">
      <c r="A159" s="49">
        <v>46108</v>
      </c>
      <c r="B159" s="26">
        <f>SUM(D159:D162)+SUM(R159:R162)+SUM(AF159:AF162)+SUM(AT159:AT162)+SUM(CJ153,CX153,DL153,DZ153,EN153,FB153,FP153,GD153,GR153,HH153,HN153,HT153)+SUM(BH159:BH162)+SUM(BV159:BV160)</f>
        <v>2021</v>
      </c>
      <c r="C159" s="4">
        <v>13203</v>
      </c>
      <c r="D159" s="68">
        <f t="shared" si="559"/>
        <v>9</v>
      </c>
      <c r="E159" s="4">
        <v>338</v>
      </c>
      <c r="F159" s="50">
        <f t="shared" si="560"/>
        <v>0</v>
      </c>
      <c r="G159" s="4">
        <v>12</v>
      </c>
      <c r="H159" s="4">
        <f t="shared" si="561"/>
        <v>0</v>
      </c>
      <c r="I159" s="51">
        <v>0</v>
      </c>
      <c r="J159" s="31" t="str">
        <f t="shared" si="562"/>
        <v>ジャグラーボタン</v>
      </c>
      <c r="K159" s="27">
        <f t="shared" si="563"/>
        <v>748</v>
      </c>
      <c r="L159" s="50">
        <f t="shared" si="564"/>
        <v>0</v>
      </c>
      <c r="M159" s="52">
        <f t="shared" si="565"/>
        <v>0</v>
      </c>
      <c r="N159" s="29"/>
      <c r="O159" s="30"/>
      <c r="P159" s="53">
        <f>IF($A159="","",$A159)</f>
        <v>46108</v>
      </c>
      <c r="Q159" s="4">
        <v>3616</v>
      </c>
      <c r="R159" s="4">
        <f t="shared" si="566"/>
        <v>82</v>
      </c>
      <c r="S159" s="4">
        <v>186</v>
      </c>
      <c r="T159" s="50">
        <f t="shared" si="567"/>
        <v>1</v>
      </c>
      <c r="U159" s="4">
        <v>7</v>
      </c>
      <c r="V159" s="4">
        <f t="shared" si="568"/>
        <v>1</v>
      </c>
      <c r="W159" s="51"/>
      <c r="X159" s="31" t="str">
        <f t="shared" si="592"/>
        <v>サンリオボアバンスクリップ</v>
      </c>
      <c r="Y159" s="27">
        <f t="shared" si="590"/>
        <v>660</v>
      </c>
      <c r="Z159" s="50">
        <f t="shared" si="569"/>
        <v>660</v>
      </c>
      <c r="AA159" s="52">
        <f t="shared" si="570"/>
        <v>8.0487804878048783E-2</v>
      </c>
      <c r="AB159" s="29"/>
      <c r="AD159" s="53">
        <f>IF($A159="","",$A159)</f>
        <v>46108</v>
      </c>
      <c r="AE159" s="4">
        <v>1570</v>
      </c>
      <c r="AF159" s="4">
        <f t="shared" si="571"/>
        <v>50</v>
      </c>
      <c r="AG159" s="4">
        <v>8</v>
      </c>
      <c r="AH159" s="50">
        <f t="shared" si="572"/>
        <v>1</v>
      </c>
      <c r="AI159" s="4">
        <v>16</v>
      </c>
      <c r="AJ159" s="4">
        <f t="shared" si="573"/>
        <v>1</v>
      </c>
      <c r="AK159" s="51"/>
      <c r="AL159" s="31" t="str">
        <f t="shared" si="574"/>
        <v>モンチッチがま口</v>
      </c>
      <c r="AM159" s="27">
        <f t="shared" si="575"/>
        <v>462</v>
      </c>
      <c r="AN159" s="50">
        <f t="shared" si="576"/>
        <v>462</v>
      </c>
      <c r="AO159" s="52">
        <f t="shared" si="577"/>
        <v>9.2399999999999996E-2</v>
      </c>
      <c r="AP159" s="29"/>
      <c r="AR159" s="53">
        <f>IF($A159="","",$A159)</f>
        <v>46108</v>
      </c>
      <c r="AS159" s="4">
        <v>1048</v>
      </c>
      <c r="AT159" s="4">
        <f t="shared" si="578"/>
        <v>44</v>
      </c>
      <c r="AU159" s="4">
        <v>23</v>
      </c>
      <c r="AV159" s="50">
        <f t="shared" si="591"/>
        <v>1</v>
      </c>
      <c r="AW159" s="4">
        <v>2</v>
      </c>
      <c r="AX159" s="4">
        <f t="shared" si="579"/>
        <v>1</v>
      </c>
      <c r="AY159" s="51">
        <v>0</v>
      </c>
      <c r="AZ159" s="31" t="str">
        <f t="shared" si="580"/>
        <v>デジタルミニカメラ</v>
      </c>
      <c r="BA159" s="27">
        <f t="shared" si="581"/>
        <v>1075</v>
      </c>
      <c r="BB159" s="50">
        <f t="shared" si="582"/>
        <v>1075</v>
      </c>
      <c r="BC159" s="52">
        <f t="shared" si="583"/>
        <v>0.24431818181818182</v>
      </c>
      <c r="BD159" s="29"/>
      <c r="BE159" s="32"/>
      <c r="BF159" s="33">
        <f>IF($A159="","",$A159)</f>
        <v>46108</v>
      </c>
      <c r="BG159" s="5">
        <v>2330</v>
      </c>
      <c r="BH159" s="4">
        <f t="shared" si="584"/>
        <v>129</v>
      </c>
      <c r="BI159" s="5">
        <v>14</v>
      </c>
      <c r="BJ159" s="50">
        <f t="shared" si="585"/>
        <v>0</v>
      </c>
      <c r="BK159" s="58">
        <v>3</v>
      </c>
      <c r="BL159" s="4">
        <f t="shared" si="586"/>
        <v>0</v>
      </c>
      <c r="BM159" s="4">
        <v>0</v>
      </c>
      <c r="BN159" s="2" t="str">
        <f>IF(BG159="","",BN155)</f>
        <v>ボンボンドロップシール</v>
      </c>
      <c r="BO159" s="27">
        <f>IF(BG159="","",BO155)</f>
        <v>1500</v>
      </c>
      <c r="BP159" s="5">
        <f t="shared" si="587"/>
        <v>0</v>
      </c>
      <c r="BQ159" s="52">
        <f t="shared" si="491"/>
        <v>0</v>
      </c>
      <c r="BR159" s="29"/>
      <c r="BT159" s="33">
        <f>IF($A159="","",$A159)</f>
        <v>46108</v>
      </c>
      <c r="BU159" s="5">
        <v>35382</v>
      </c>
      <c r="BV159" s="4">
        <f t="shared" si="588"/>
        <v>77</v>
      </c>
      <c r="BW159" s="5">
        <v>3841</v>
      </c>
      <c r="BX159" s="50">
        <f t="shared" si="589"/>
        <v>7</v>
      </c>
      <c r="BY159" s="4">
        <v>33</v>
      </c>
      <c r="BZ159" s="4">
        <f>IF(BY159="","",BY155+CA155-BY159)</f>
        <v>7</v>
      </c>
      <c r="CA159" s="4">
        <v>7</v>
      </c>
      <c r="CB159" s="2" t="str">
        <f>IF(BU159="","",CB155)</f>
        <v>ベイビースリーフェイス</v>
      </c>
      <c r="CC159" s="27">
        <f>IF(BU159="","",CC155)</f>
        <v>1050</v>
      </c>
      <c r="CD159" s="5">
        <f>IF(BY159="","",BZ159*CC159)</f>
        <v>7350</v>
      </c>
      <c r="CE159" s="52">
        <f>IF(BZ159="","",CD159/(BV159*100))</f>
        <v>0.95454545454545459</v>
      </c>
      <c r="CF159" s="29"/>
      <c r="CH159" s="40">
        <f>IF($A183="","",$A183)</f>
        <v>46129</v>
      </c>
      <c r="CI159" s="35">
        <v>31297</v>
      </c>
      <c r="CJ159" s="5">
        <f t="shared" si="492"/>
        <v>21</v>
      </c>
      <c r="CK159" s="5">
        <v>520</v>
      </c>
      <c r="CL159" s="5">
        <f t="shared" si="493"/>
        <v>1</v>
      </c>
      <c r="CM159" s="4">
        <v>33</v>
      </c>
      <c r="CN159" s="5">
        <f t="shared" si="494"/>
        <v>1</v>
      </c>
      <c r="CO159" s="4">
        <v>6</v>
      </c>
      <c r="CP159" s="2" t="str">
        <f t="shared" si="495"/>
        <v>サンリオマスコットポーチ</v>
      </c>
      <c r="CQ159" s="4">
        <f t="shared" si="496"/>
        <v>880</v>
      </c>
      <c r="CR159" s="5">
        <f t="shared" si="497"/>
        <v>880</v>
      </c>
      <c r="CS159" s="36">
        <f t="shared" si="498"/>
        <v>0.41904761904761906</v>
      </c>
      <c r="CT159" s="63"/>
      <c r="CV159" s="40">
        <f>IF($A183="","",$A183)</f>
        <v>46129</v>
      </c>
      <c r="CW159" s="35">
        <v>52224</v>
      </c>
      <c r="CX159" s="5">
        <f t="shared" si="499"/>
        <v>6</v>
      </c>
      <c r="CY159" s="5">
        <v>3279</v>
      </c>
      <c r="CZ159" s="5">
        <f t="shared" si="500"/>
        <v>1</v>
      </c>
      <c r="DA159" s="4">
        <v>290</v>
      </c>
      <c r="DB159" s="5">
        <f t="shared" si="501"/>
        <v>-169</v>
      </c>
      <c r="DC159" s="4">
        <v>-260</v>
      </c>
      <c r="DD159" s="2" t="str">
        <f t="shared" si="502"/>
        <v>余り物</v>
      </c>
      <c r="DE159" s="4">
        <f t="shared" si="503"/>
        <v>0</v>
      </c>
      <c r="DF159" s="5">
        <f t="shared" si="504"/>
        <v>0</v>
      </c>
      <c r="DG159" s="36">
        <f t="shared" si="505"/>
        <v>0</v>
      </c>
      <c r="DH159" s="63" t="s">
        <v>200</v>
      </c>
      <c r="DJ159" s="40">
        <f>IF($A183="","",$A183)</f>
        <v>46129</v>
      </c>
      <c r="DK159" s="35">
        <v>17713</v>
      </c>
      <c r="DL159" s="5">
        <f t="shared" si="506"/>
        <v>19</v>
      </c>
      <c r="DM159" s="5">
        <v>345</v>
      </c>
      <c r="DN159" s="5">
        <f t="shared" si="507"/>
        <v>0</v>
      </c>
      <c r="DO159" s="4">
        <v>34</v>
      </c>
      <c r="DP159" s="5">
        <f t="shared" si="508"/>
        <v>0</v>
      </c>
      <c r="DQ159" s="4"/>
      <c r="DR159" s="2" t="str">
        <f t="shared" si="509"/>
        <v>サンリオ豹柄リールパスケース</v>
      </c>
      <c r="DS159" s="4">
        <f t="shared" si="510"/>
        <v>990</v>
      </c>
      <c r="DT159" s="5">
        <f t="shared" si="511"/>
        <v>0</v>
      </c>
      <c r="DU159" s="36">
        <f t="shared" si="512"/>
        <v>0</v>
      </c>
      <c r="DV159" s="63"/>
      <c r="DX159" s="40">
        <f>IF($A183="","",$A183)</f>
        <v>46129</v>
      </c>
      <c r="DY159" s="35">
        <v>14541</v>
      </c>
      <c r="DZ159" s="5">
        <f t="shared" si="513"/>
        <v>396</v>
      </c>
      <c r="EA159" s="5">
        <v>130</v>
      </c>
      <c r="EB159" s="5">
        <f t="shared" si="514"/>
        <v>6</v>
      </c>
      <c r="EC159" s="4">
        <v>10</v>
      </c>
      <c r="ED159" s="5">
        <f t="shared" si="515"/>
        <v>6</v>
      </c>
      <c r="EE159" s="4">
        <v>4</v>
      </c>
      <c r="EF159" s="2" t="str">
        <f t="shared" si="516"/>
        <v>ボンボンドロップシール</v>
      </c>
      <c r="EG159" s="4">
        <f t="shared" si="517"/>
        <v>1500</v>
      </c>
      <c r="EH159" s="5">
        <f t="shared" si="518"/>
        <v>9000</v>
      </c>
      <c r="EI159" s="36">
        <f t="shared" si="519"/>
        <v>0.22727272727272727</v>
      </c>
      <c r="EJ159" s="63" t="s">
        <v>197</v>
      </c>
      <c r="EL159" s="40">
        <f>IF($A183="","",$A183)</f>
        <v>46129</v>
      </c>
      <c r="EM159" s="35">
        <v>1071</v>
      </c>
      <c r="EN159" s="48">
        <f t="shared" si="520"/>
        <v>8</v>
      </c>
      <c r="EO159" s="5">
        <v>1067</v>
      </c>
      <c r="EP159" s="5">
        <f t="shared" si="521"/>
        <v>1</v>
      </c>
      <c r="EQ159" s="4">
        <v>11</v>
      </c>
      <c r="ER159" s="5">
        <f t="shared" si="522"/>
        <v>1</v>
      </c>
      <c r="ES159" s="4">
        <v>19</v>
      </c>
      <c r="ET159" s="2" t="str">
        <f t="shared" si="523"/>
        <v>おしりぷにぷにシール</v>
      </c>
      <c r="EU159" s="4">
        <f t="shared" si="524"/>
        <v>176</v>
      </c>
      <c r="EV159" s="5">
        <f t="shared" si="525"/>
        <v>176</v>
      </c>
      <c r="EW159" s="36">
        <f t="shared" si="526"/>
        <v>0.22</v>
      </c>
      <c r="EX159" s="63" t="s">
        <v>199</v>
      </c>
      <c r="EZ159" s="40">
        <f>IF($A183="","",$A183)</f>
        <v>46129</v>
      </c>
      <c r="FA159" s="35">
        <v>704</v>
      </c>
      <c r="FB159" s="5">
        <f t="shared" si="527"/>
        <v>22</v>
      </c>
      <c r="FC159" s="5">
        <v>65</v>
      </c>
      <c r="FD159" s="5">
        <f t="shared" si="528"/>
        <v>3</v>
      </c>
      <c r="FE159" s="4">
        <v>43</v>
      </c>
      <c r="FF159" s="5">
        <f t="shared" si="529"/>
        <v>3</v>
      </c>
      <c r="FG159" s="4">
        <v>10</v>
      </c>
      <c r="FH159" s="2" t="str">
        <f t="shared" si="530"/>
        <v>おさるのジョージぷくぷくシール</v>
      </c>
      <c r="FI159" s="4">
        <f t="shared" si="531"/>
        <v>300</v>
      </c>
      <c r="FJ159" s="5">
        <f t="shared" si="532"/>
        <v>900</v>
      </c>
      <c r="FK159" s="36">
        <f t="shared" si="533"/>
        <v>0.40909090909090912</v>
      </c>
      <c r="FL159" s="63"/>
      <c r="FN159" s="40">
        <f>IF($A183="","",$A183)</f>
        <v>46129</v>
      </c>
      <c r="FO159" s="35">
        <v>875</v>
      </c>
      <c r="FP159" s="5">
        <f t="shared" si="534"/>
        <v>51</v>
      </c>
      <c r="FQ159" s="5">
        <v>77</v>
      </c>
      <c r="FR159" s="5">
        <f t="shared" si="535"/>
        <v>3</v>
      </c>
      <c r="FS159" s="4">
        <v>40</v>
      </c>
      <c r="FT159" s="5">
        <f t="shared" si="536"/>
        <v>3</v>
      </c>
      <c r="FU159" s="4"/>
      <c r="FV159" s="2" t="str">
        <f t="shared" si="537"/>
        <v>カラビナ付きぬいぐるみファスナーマスコット</v>
      </c>
      <c r="FW159" s="4">
        <f t="shared" si="538"/>
        <v>660</v>
      </c>
      <c r="FX159" s="5">
        <f t="shared" si="539"/>
        <v>1980</v>
      </c>
      <c r="FY159" s="36">
        <f t="shared" si="540"/>
        <v>0.38823529411764707</v>
      </c>
      <c r="FZ159" s="63"/>
      <c r="GB159" s="40">
        <f>IF($A183="","",$A183)</f>
        <v>46129</v>
      </c>
      <c r="GC159" s="35">
        <v>698</v>
      </c>
      <c r="GD159" s="5">
        <f t="shared" si="541"/>
        <v>33</v>
      </c>
      <c r="GE159" s="5">
        <v>66</v>
      </c>
      <c r="GF159" s="5">
        <f t="shared" si="542"/>
        <v>4</v>
      </c>
      <c r="GG159" s="4">
        <v>29</v>
      </c>
      <c r="GH159" s="5">
        <f t="shared" si="543"/>
        <v>4</v>
      </c>
      <c r="GI159" s="4"/>
      <c r="GJ159" s="2" t="str">
        <f t="shared" si="544"/>
        <v>ディズニーぷくぷくシール</v>
      </c>
      <c r="GK159" s="4">
        <f t="shared" si="545"/>
        <v>0</v>
      </c>
      <c r="GL159" s="5">
        <f t="shared" si="546"/>
        <v>0</v>
      </c>
      <c r="GM159" s="36">
        <f t="shared" si="547"/>
        <v>0</v>
      </c>
      <c r="GN159" s="63"/>
      <c r="GP159" s="40">
        <f>IF($A183="","",$A183)</f>
        <v>46129</v>
      </c>
      <c r="GQ159" s="35">
        <v>85361</v>
      </c>
      <c r="GR159" s="5">
        <f t="shared" si="548"/>
        <v>53</v>
      </c>
      <c r="GS159" s="5">
        <v>3223</v>
      </c>
      <c r="GT159" s="5">
        <f t="shared" si="549"/>
        <v>0</v>
      </c>
      <c r="GU159" s="5">
        <v>3508</v>
      </c>
      <c r="GV159" s="5">
        <f t="shared" si="550"/>
        <v>2</v>
      </c>
      <c r="GW159" s="4">
        <v>17</v>
      </c>
      <c r="GX159" s="5">
        <f t="shared" si="551"/>
        <v>3</v>
      </c>
      <c r="GY159" s="4">
        <v>4</v>
      </c>
      <c r="GZ159" s="2" t="str">
        <f t="shared" si="552"/>
        <v>サンリオ毛布</v>
      </c>
      <c r="HA159" s="4">
        <f t="shared" si="553"/>
        <v>1000</v>
      </c>
      <c r="HB159" s="5">
        <f t="shared" si="554"/>
        <v>3000</v>
      </c>
      <c r="HC159" s="36">
        <f t="shared" si="555"/>
        <v>0.56603773584905659</v>
      </c>
      <c r="HD159" s="63"/>
      <c r="HF159" s="40">
        <f>IF($A183="","",$A183)</f>
        <v>46129</v>
      </c>
      <c r="HG159" s="35">
        <v>61338</v>
      </c>
      <c r="HH159" s="5">
        <f t="shared" si="556"/>
        <v>10</v>
      </c>
      <c r="HI159" s="5"/>
      <c r="HJ159" s="63"/>
      <c r="HL159" s="40">
        <f>IF($A183="","",$A183)</f>
        <v>46129</v>
      </c>
      <c r="HM159" s="35">
        <v>45450</v>
      </c>
      <c r="HN159" s="5">
        <f t="shared" si="557"/>
        <v>14</v>
      </c>
      <c r="HO159" s="5"/>
      <c r="HP159" s="63"/>
      <c r="HR159" s="40">
        <f>IF($A183="","",$A183)</f>
        <v>46129</v>
      </c>
      <c r="HS159" s="35">
        <v>42960</v>
      </c>
      <c r="HT159" s="5">
        <f t="shared" si="558"/>
        <v>13</v>
      </c>
      <c r="HU159" s="5"/>
      <c r="HV159" s="63"/>
    </row>
    <row r="160" spans="1:230" x14ac:dyDescent="0.2">
      <c r="A160" s="54"/>
      <c r="B160" s="26"/>
      <c r="C160" s="4">
        <v>16702</v>
      </c>
      <c r="D160" s="5">
        <f t="shared" si="559"/>
        <v>26</v>
      </c>
      <c r="E160" s="5">
        <v>517</v>
      </c>
      <c r="F160" s="5">
        <f t="shared" si="560"/>
        <v>2</v>
      </c>
      <c r="G160" s="5">
        <v>14</v>
      </c>
      <c r="H160" s="5">
        <f t="shared" si="561"/>
        <v>2</v>
      </c>
      <c r="I160" s="35">
        <v>0</v>
      </c>
      <c r="J160" s="38" t="str">
        <f t="shared" si="562"/>
        <v>チェキフィルム</v>
      </c>
      <c r="K160" s="39">
        <f t="shared" si="563"/>
        <v>358</v>
      </c>
      <c r="L160" s="5">
        <f t="shared" si="564"/>
        <v>716</v>
      </c>
      <c r="M160" s="36">
        <f t="shared" si="565"/>
        <v>0.27538461538461539</v>
      </c>
      <c r="N160" s="29"/>
      <c r="O160" s="30"/>
      <c r="P160" s="25"/>
      <c r="Q160" s="4">
        <v>10463</v>
      </c>
      <c r="R160" s="5">
        <f t="shared" si="566"/>
        <v>103</v>
      </c>
      <c r="S160" s="5">
        <v>175</v>
      </c>
      <c r="T160" s="5">
        <f t="shared" si="567"/>
        <v>1</v>
      </c>
      <c r="U160" s="5">
        <v>6</v>
      </c>
      <c r="V160" s="5">
        <f t="shared" si="568"/>
        <v>2</v>
      </c>
      <c r="W160" s="35">
        <v>4</v>
      </c>
      <c r="X160" s="38" t="str">
        <f t="shared" si="592"/>
        <v>サンリオヘアバンド</v>
      </c>
      <c r="Y160" s="39">
        <f t="shared" si="590"/>
        <v>825</v>
      </c>
      <c r="Z160" s="5">
        <f t="shared" si="569"/>
        <v>1650</v>
      </c>
      <c r="AA160" s="36">
        <f t="shared" si="570"/>
        <v>0.16019417475728157</v>
      </c>
      <c r="AB160" s="29"/>
      <c r="AD160" s="25"/>
      <c r="AE160" s="4">
        <v>1121</v>
      </c>
      <c r="AF160" s="5">
        <f t="shared" si="571"/>
        <v>73</v>
      </c>
      <c r="AG160" s="5">
        <v>16</v>
      </c>
      <c r="AH160" s="5">
        <f t="shared" si="572"/>
        <v>3</v>
      </c>
      <c r="AI160" s="5">
        <v>5</v>
      </c>
      <c r="AJ160" s="5">
        <f t="shared" si="573"/>
        <v>6</v>
      </c>
      <c r="AK160" s="35">
        <v>7</v>
      </c>
      <c r="AL160" s="38" t="str">
        <f t="shared" si="574"/>
        <v>バタースクイーズ</v>
      </c>
      <c r="AM160" s="39">
        <f t="shared" si="575"/>
        <v>1100</v>
      </c>
      <c r="AN160" s="5">
        <f t="shared" si="576"/>
        <v>6600</v>
      </c>
      <c r="AO160" s="36">
        <f t="shared" si="577"/>
        <v>0.90410958904109584</v>
      </c>
      <c r="AP160" s="29"/>
      <c r="AR160" s="25"/>
      <c r="AS160" s="4">
        <v>974</v>
      </c>
      <c r="AT160" s="5">
        <f t="shared" si="578"/>
        <v>22</v>
      </c>
      <c r="AU160" s="5">
        <v>1</v>
      </c>
      <c r="AV160" s="5">
        <f t="shared" si="591"/>
        <v>0</v>
      </c>
      <c r="AW160" s="5">
        <v>12</v>
      </c>
      <c r="AX160" s="5">
        <f t="shared" si="579"/>
        <v>0</v>
      </c>
      <c r="AY160" s="35"/>
      <c r="AZ160" s="38" t="str">
        <f t="shared" si="580"/>
        <v>ゲーム機イヤホン</v>
      </c>
      <c r="BA160" s="39">
        <f t="shared" si="581"/>
        <v>770</v>
      </c>
      <c r="BB160" s="5">
        <f t="shared" si="582"/>
        <v>0</v>
      </c>
      <c r="BC160" s="36">
        <f t="shared" si="583"/>
        <v>0</v>
      </c>
      <c r="BD160" s="29"/>
      <c r="BE160" s="32"/>
      <c r="BF160" s="25"/>
      <c r="BG160" s="4">
        <v>4018</v>
      </c>
      <c r="BH160" s="5">
        <f t="shared" si="584"/>
        <v>154</v>
      </c>
      <c r="BI160" s="4">
        <v>31</v>
      </c>
      <c r="BJ160" s="95">
        <f t="shared" si="585"/>
        <v>1</v>
      </c>
      <c r="BK160" s="115">
        <v>2</v>
      </c>
      <c r="BL160" s="39">
        <f t="shared" si="586"/>
        <v>0</v>
      </c>
      <c r="BM160" s="4">
        <v>1</v>
      </c>
      <c r="BN160" s="3" t="str">
        <f>IF(BG160="","",BN156)</f>
        <v>ボンボンドロップシール</v>
      </c>
      <c r="BO160" s="39">
        <f>IF(BG159="","",BO156)</f>
        <v>1500</v>
      </c>
      <c r="BP160" s="4">
        <f t="shared" si="587"/>
        <v>0</v>
      </c>
      <c r="BQ160" s="36">
        <f t="shared" si="491"/>
        <v>0</v>
      </c>
      <c r="BR160" s="29"/>
      <c r="BT160" s="25"/>
      <c r="BU160" s="4">
        <v>31381</v>
      </c>
      <c r="BV160" s="5">
        <f t="shared" si="588"/>
        <v>25</v>
      </c>
      <c r="BW160" s="4">
        <v>1674</v>
      </c>
      <c r="BX160" s="5">
        <f t="shared" si="589"/>
        <v>1</v>
      </c>
      <c r="BY160" s="5">
        <v>36</v>
      </c>
      <c r="BZ160" s="5">
        <f>IF(BY160="","",BY156+CA156-BY160)</f>
        <v>1</v>
      </c>
      <c r="CA160" s="4"/>
      <c r="CB160" s="3" t="str">
        <f>IF(BU160="","",CB156)</f>
        <v>サンリオボアポーチ</v>
      </c>
      <c r="CC160" s="39">
        <f>IF(BU159="","",CC156)</f>
        <v>950</v>
      </c>
      <c r="CD160" s="4">
        <f>IF(BY160="","",BZ160*CC160)</f>
        <v>950</v>
      </c>
      <c r="CE160" s="36">
        <f>IF(BZ160="","",CD160/(BV160*100))</f>
        <v>0.38</v>
      </c>
      <c r="CF160" s="29"/>
      <c r="CH160" s="40">
        <f>IF($A187="","",$A187)</f>
        <v>46130</v>
      </c>
      <c r="CI160" s="35">
        <v>31316</v>
      </c>
      <c r="CJ160" s="5">
        <f t="shared" si="492"/>
        <v>19</v>
      </c>
      <c r="CK160" s="5">
        <v>524</v>
      </c>
      <c r="CL160" s="5">
        <f t="shared" si="493"/>
        <v>4</v>
      </c>
      <c r="CM160" s="5">
        <v>35</v>
      </c>
      <c r="CN160" s="5">
        <f t="shared" si="494"/>
        <v>4</v>
      </c>
      <c r="CO160" s="5">
        <v>3</v>
      </c>
      <c r="CP160" s="2" t="str">
        <f t="shared" si="495"/>
        <v>サンリオマスコットポーチ</v>
      </c>
      <c r="CQ160" s="4">
        <f t="shared" si="496"/>
        <v>880</v>
      </c>
      <c r="CR160" s="5">
        <f t="shared" si="497"/>
        <v>3520</v>
      </c>
      <c r="CS160" s="36">
        <f t="shared" si="498"/>
        <v>1.8526315789473684</v>
      </c>
      <c r="CT160" s="120" t="s">
        <v>206</v>
      </c>
      <c r="CV160" s="40">
        <f>IF($A187="","",$A187)</f>
        <v>46130</v>
      </c>
      <c r="CW160" s="35">
        <v>52228</v>
      </c>
      <c r="CX160" s="5">
        <f t="shared" si="499"/>
        <v>4</v>
      </c>
      <c r="CY160" s="5">
        <v>3279</v>
      </c>
      <c r="CZ160" s="5">
        <f t="shared" si="500"/>
        <v>0</v>
      </c>
      <c r="DA160" s="5">
        <v>30</v>
      </c>
      <c r="DB160" s="5">
        <f t="shared" si="501"/>
        <v>0</v>
      </c>
      <c r="DC160" s="5">
        <v>3</v>
      </c>
      <c r="DD160" s="2" t="s">
        <v>213</v>
      </c>
      <c r="DE160" s="4">
        <f t="shared" si="503"/>
        <v>0</v>
      </c>
      <c r="DF160" s="5">
        <f t="shared" si="504"/>
        <v>0</v>
      </c>
      <c r="DG160" s="36">
        <f t="shared" si="505"/>
        <v>0</v>
      </c>
      <c r="DH160" s="63" t="s">
        <v>224</v>
      </c>
      <c r="DJ160" s="40">
        <f>IF($A187="","",$A187)</f>
        <v>46130</v>
      </c>
      <c r="DK160" s="35">
        <v>17715</v>
      </c>
      <c r="DL160" s="5">
        <f t="shared" si="506"/>
        <v>2</v>
      </c>
      <c r="DM160" s="5">
        <v>345</v>
      </c>
      <c r="DN160" s="5">
        <f t="shared" si="507"/>
        <v>0</v>
      </c>
      <c r="DO160" s="5">
        <v>34</v>
      </c>
      <c r="DP160" s="5">
        <f t="shared" si="508"/>
        <v>0</v>
      </c>
      <c r="DQ160" s="5"/>
      <c r="DR160" s="2" t="str">
        <f t="shared" si="509"/>
        <v>サンリオ豹柄リールパスケース</v>
      </c>
      <c r="DS160" s="4">
        <f t="shared" si="510"/>
        <v>990</v>
      </c>
      <c r="DT160" s="5">
        <f t="shared" si="511"/>
        <v>0</v>
      </c>
      <c r="DU160" s="36">
        <f t="shared" si="512"/>
        <v>0</v>
      </c>
      <c r="DV160" s="63"/>
      <c r="DX160" s="40">
        <f>IF($A187="","",$A187)</f>
        <v>46130</v>
      </c>
      <c r="DY160" s="35">
        <v>14591</v>
      </c>
      <c r="DZ160" s="5">
        <f t="shared" si="513"/>
        <v>50</v>
      </c>
      <c r="EA160" s="5">
        <v>130</v>
      </c>
      <c r="EB160" s="5">
        <f t="shared" si="514"/>
        <v>0</v>
      </c>
      <c r="EC160" s="5">
        <v>14</v>
      </c>
      <c r="ED160" s="5">
        <f t="shared" si="515"/>
        <v>0</v>
      </c>
      <c r="EE160" s="5"/>
      <c r="EF160" s="2" t="str">
        <f t="shared" si="516"/>
        <v>ボンボンドロップシール</v>
      </c>
      <c r="EG160" s="4">
        <f t="shared" si="517"/>
        <v>1500</v>
      </c>
      <c r="EH160" s="5">
        <f t="shared" si="518"/>
        <v>0</v>
      </c>
      <c r="EI160" s="36">
        <f t="shared" si="519"/>
        <v>0</v>
      </c>
      <c r="EJ160" s="63"/>
      <c r="EL160" s="40">
        <f>IF($A187="","",$A187)</f>
        <v>46130</v>
      </c>
      <c r="EM160" s="35">
        <v>1088</v>
      </c>
      <c r="EN160" s="5">
        <f t="shared" si="520"/>
        <v>17</v>
      </c>
      <c r="EO160" s="5">
        <v>1067</v>
      </c>
      <c r="EP160" s="5">
        <f t="shared" si="521"/>
        <v>0</v>
      </c>
      <c r="EQ160" s="5">
        <v>30</v>
      </c>
      <c r="ER160" s="5">
        <f t="shared" si="522"/>
        <v>0</v>
      </c>
      <c r="ES160" s="5"/>
      <c r="ET160" s="2" t="s">
        <v>207</v>
      </c>
      <c r="EU160" s="4">
        <f t="shared" si="524"/>
        <v>176</v>
      </c>
      <c r="EV160" s="5">
        <f t="shared" si="525"/>
        <v>0</v>
      </c>
      <c r="EW160" s="36">
        <f t="shared" si="526"/>
        <v>0</v>
      </c>
      <c r="EX160" s="63"/>
      <c r="EZ160" s="40">
        <f>IF($A187="","",$A187)</f>
        <v>46130</v>
      </c>
      <c r="FA160" s="35">
        <v>714</v>
      </c>
      <c r="FB160" s="5">
        <f t="shared" si="527"/>
        <v>10</v>
      </c>
      <c r="FC160" s="5">
        <v>67</v>
      </c>
      <c r="FD160" s="5">
        <f t="shared" si="528"/>
        <v>2</v>
      </c>
      <c r="FE160" s="5">
        <v>51</v>
      </c>
      <c r="FF160" s="5">
        <f t="shared" si="529"/>
        <v>2</v>
      </c>
      <c r="FG160" s="5"/>
      <c r="FH160" s="2" t="str">
        <f t="shared" si="530"/>
        <v>おさるのジョージぷくぷくシール</v>
      </c>
      <c r="FI160" s="4">
        <f t="shared" si="531"/>
        <v>300</v>
      </c>
      <c r="FJ160" s="5">
        <f t="shared" si="532"/>
        <v>600</v>
      </c>
      <c r="FK160" s="36">
        <f t="shared" si="533"/>
        <v>0.6</v>
      </c>
      <c r="FL160" s="63"/>
      <c r="FN160" s="40">
        <f>IF($A187="","",$A187)</f>
        <v>46130</v>
      </c>
      <c r="FO160" s="35">
        <v>885</v>
      </c>
      <c r="FP160" s="5">
        <f t="shared" si="534"/>
        <v>10</v>
      </c>
      <c r="FQ160" s="5">
        <v>77</v>
      </c>
      <c r="FR160" s="5">
        <f t="shared" si="535"/>
        <v>0</v>
      </c>
      <c r="FS160" s="5">
        <v>40</v>
      </c>
      <c r="FT160" s="5">
        <f t="shared" si="536"/>
        <v>0</v>
      </c>
      <c r="FU160" s="5"/>
      <c r="FV160" s="2" t="str">
        <f t="shared" si="537"/>
        <v>カラビナ付きぬいぐるみファスナーマスコット</v>
      </c>
      <c r="FW160" s="4">
        <f t="shared" si="538"/>
        <v>660</v>
      </c>
      <c r="FX160" s="5">
        <f t="shared" si="539"/>
        <v>0</v>
      </c>
      <c r="FY160" s="36">
        <f t="shared" si="540"/>
        <v>0</v>
      </c>
      <c r="FZ160" s="63"/>
      <c r="GB160" s="40">
        <f>IF($A187="","",$A187)</f>
        <v>46130</v>
      </c>
      <c r="GC160" s="35">
        <v>702</v>
      </c>
      <c r="GD160" s="5">
        <f t="shared" si="541"/>
        <v>4</v>
      </c>
      <c r="GE160" s="5">
        <v>66</v>
      </c>
      <c r="GF160" s="5">
        <f t="shared" si="542"/>
        <v>0</v>
      </c>
      <c r="GG160" s="5">
        <v>29</v>
      </c>
      <c r="GH160" s="5">
        <f t="shared" si="543"/>
        <v>0</v>
      </c>
      <c r="GI160" s="5"/>
      <c r="GJ160" s="2" t="str">
        <f t="shared" si="544"/>
        <v>ディズニーぷくぷくシール</v>
      </c>
      <c r="GK160" s="4">
        <f t="shared" si="545"/>
        <v>0</v>
      </c>
      <c r="GL160" s="5">
        <f t="shared" si="546"/>
        <v>0</v>
      </c>
      <c r="GM160" s="36">
        <f t="shared" si="547"/>
        <v>0</v>
      </c>
      <c r="GN160" s="63"/>
      <c r="GP160" s="40">
        <f>IF($A187="","",$A187)</f>
        <v>46130</v>
      </c>
      <c r="GQ160" s="35">
        <v>85382</v>
      </c>
      <c r="GR160" s="5">
        <f t="shared" si="548"/>
        <v>21</v>
      </c>
      <c r="GS160" s="5">
        <v>3223</v>
      </c>
      <c r="GT160" s="5">
        <f t="shared" si="549"/>
        <v>0</v>
      </c>
      <c r="GU160" s="5">
        <v>3508</v>
      </c>
      <c r="GV160" s="5">
        <f t="shared" si="550"/>
        <v>0</v>
      </c>
      <c r="GW160" s="5">
        <v>21</v>
      </c>
      <c r="GX160" s="5">
        <f t="shared" si="551"/>
        <v>0</v>
      </c>
      <c r="GY160" s="5"/>
      <c r="GZ160" s="2" t="str">
        <f t="shared" si="552"/>
        <v>サンリオ毛布</v>
      </c>
      <c r="HA160" s="4">
        <f t="shared" si="553"/>
        <v>1000</v>
      </c>
      <c r="HB160" s="5">
        <f t="shared" si="554"/>
        <v>0</v>
      </c>
      <c r="HC160" s="36">
        <f t="shared" si="555"/>
        <v>0</v>
      </c>
      <c r="HD160" s="63"/>
      <c r="HF160" s="40">
        <f>IF($A187="","",$A187)</f>
        <v>46130</v>
      </c>
      <c r="HG160" s="35">
        <v>61340</v>
      </c>
      <c r="HH160" s="5">
        <f t="shared" si="556"/>
        <v>2</v>
      </c>
      <c r="HI160" s="5"/>
      <c r="HJ160" s="63"/>
      <c r="HL160" s="40">
        <f>IF($A187="","",$A187)</f>
        <v>46130</v>
      </c>
      <c r="HM160" s="35">
        <v>45454</v>
      </c>
      <c r="HN160" s="5">
        <f t="shared" si="557"/>
        <v>4</v>
      </c>
      <c r="HO160" s="5"/>
      <c r="HP160" s="63"/>
      <c r="HR160" s="40">
        <f>IF($A187="","",$A187)</f>
        <v>46130</v>
      </c>
      <c r="HS160" s="35">
        <v>42965</v>
      </c>
      <c r="HT160" s="5">
        <f t="shared" si="558"/>
        <v>5</v>
      </c>
      <c r="HU160" s="5"/>
      <c r="HV160" s="63"/>
    </row>
    <row r="161" spans="1:230" x14ac:dyDescent="0.2">
      <c r="A161" s="54"/>
      <c r="B161" s="64"/>
      <c r="C161" s="57">
        <v>18275</v>
      </c>
      <c r="D161" s="5">
        <f t="shared" si="559"/>
        <v>31</v>
      </c>
      <c r="E161" s="5">
        <v>635</v>
      </c>
      <c r="F161" s="5">
        <f t="shared" si="560"/>
        <v>0</v>
      </c>
      <c r="G161" s="5">
        <v>49</v>
      </c>
      <c r="H161" s="5">
        <f t="shared" si="561"/>
        <v>0</v>
      </c>
      <c r="I161" s="35"/>
      <c r="J161" s="38" t="str">
        <f t="shared" si="562"/>
        <v>アングリーキーホルダー</v>
      </c>
      <c r="K161" s="5">
        <f t="shared" si="563"/>
        <v>100</v>
      </c>
      <c r="L161" s="5">
        <f t="shared" si="564"/>
        <v>0</v>
      </c>
      <c r="M161" s="36">
        <f t="shared" si="565"/>
        <v>0</v>
      </c>
      <c r="N161" s="29"/>
      <c r="O161" s="30"/>
      <c r="P161" s="25"/>
      <c r="Q161" s="57">
        <v>10211</v>
      </c>
      <c r="R161" s="5">
        <f t="shared" si="566"/>
        <v>28</v>
      </c>
      <c r="S161" s="5">
        <v>274</v>
      </c>
      <c r="T161" s="5">
        <f t="shared" si="567"/>
        <v>1</v>
      </c>
      <c r="U161" s="5">
        <v>6</v>
      </c>
      <c r="V161" s="5">
        <f t="shared" si="568"/>
        <v>1</v>
      </c>
      <c r="W161" s="35"/>
      <c r="X161" s="38" t="str">
        <f t="shared" si="592"/>
        <v>キティヘアパッチン</v>
      </c>
      <c r="Y161" s="5">
        <f t="shared" si="590"/>
        <v>638</v>
      </c>
      <c r="Z161" s="5">
        <f t="shared" si="569"/>
        <v>638</v>
      </c>
      <c r="AA161" s="36">
        <f t="shared" si="570"/>
        <v>0.22785714285714287</v>
      </c>
      <c r="AB161" s="29"/>
      <c r="AD161" s="25"/>
      <c r="AE161" s="57">
        <v>982</v>
      </c>
      <c r="AF161" s="5">
        <f t="shared" si="571"/>
        <v>30</v>
      </c>
      <c r="AG161" s="5">
        <v>27</v>
      </c>
      <c r="AH161" s="5">
        <f t="shared" si="572"/>
        <v>3</v>
      </c>
      <c r="AI161" s="5">
        <v>7</v>
      </c>
      <c r="AJ161" s="5">
        <f t="shared" si="573"/>
        <v>3</v>
      </c>
      <c r="AK161" s="35"/>
      <c r="AL161" s="38" t="str">
        <f t="shared" si="574"/>
        <v>たまごっちマスコット</v>
      </c>
      <c r="AM161" s="5">
        <f t="shared" si="575"/>
        <v>1430</v>
      </c>
      <c r="AN161" s="5">
        <f t="shared" si="576"/>
        <v>4290</v>
      </c>
      <c r="AO161" s="36">
        <f t="shared" si="577"/>
        <v>1.43</v>
      </c>
      <c r="AP161" s="29" t="s">
        <v>154</v>
      </c>
      <c r="AR161" s="25"/>
      <c r="AS161" s="57">
        <v>704</v>
      </c>
      <c r="AT161" s="48">
        <f t="shared" si="578"/>
        <v>13</v>
      </c>
      <c r="AU161" s="5">
        <v>999</v>
      </c>
      <c r="AV161" s="5">
        <f t="shared" si="591"/>
        <v>0</v>
      </c>
      <c r="AW161" s="5">
        <v>8</v>
      </c>
      <c r="AX161" s="5">
        <f t="shared" si="579"/>
        <v>0</v>
      </c>
      <c r="AY161" s="35">
        <v>0</v>
      </c>
      <c r="AZ161" s="38" t="str">
        <f t="shared" si="580"/>
        <v>ゲームアーク</v>
      </c>
      <c r="BA161" s="5">
        <f t="shared" si="581"/>
        <v>682</v>
      </c>
      <c r="BB161" s="5">
        <f t="shared" si="582"/>
        <v>0</v>
      </c>
      <c r="BC161" s="36">
        <f t="shared" si="583"/>
        <v>0</v>
      </c>
      <c r="BD161" s="29"/>
      <c r="BE161" s="32"/>
      <c r="BF161" s="25"/>
      <c r="BG161" s="5">
        <v>1426</v>
      </c>
      <c r="BH161" s="48">
        <f t="shared" si="584"/>
        <v>38</v>
      </c>
      <c r="BI161" s="5">
        <v>7</v>
      </c>
      <c r="BJ161" s="5">
        <f t="shared" si="585"/>
        <v>0</v>
      </c>
      <c r="BK161" s="4">
        <v>1</v>
      </c>
      <c r="BL161" s="48">
        <f t="shared" si="586"/>
        <v>2</v>
      </c>
      <c r="BM161" s="57">
        <v>2</v>
      </c>
      <c r="BN161" s="3" t="str">
        <f>IF(BG159="","",BN157)</f>
        <v>ボンボンドロップシール</v>
      </c>
      <c r="BO161" s="39">
        <f>IF(BG159="","",BO157)</f>
        <v>1500</v>
      </c>
      <c r="BP161" s="5">
        <f t="shared" si="587"/>
        <v>3000</v>
      </c>
      <c r="BQ161" s="36">
        <f t="shared" si="491"/>
        <v>0.78947368421052633</v>
      </c>
      <c r="BR161" s="29"/>
      <c r="BT161" s="25"/>
      <c r="BU161" s="5"/>
      <c r="BV161" s="5" t="str">
        <f t="shared" si="588"/>
        <v/>
      </c>
      <c r="BW161" s="5"/>
      <c r="BX161" s="5" t="str">
        <f t="shared" si="589"/>
        <v/>
      </c>
      <c r="BY161" s="5"/>
      <c r="BZ161" s="5"/>
      <c r="CA161" s="57"/>
      <c r="CB161" s="3"/>
      <c r="CC161" s="39"/>
      <c r="CD161" s="5"/>
      <c r="CE161" s="36"/>
      <c r="CF161" s="29"/>
      <c r="CH161" s="40" t="str">
        <f>IF($A191="","",$A191)</f>
        <v/>
      </c>
      <c r="CI161" s="35"/>
      <c r="CJ161" s="5"/>
      <c r="CK161" s="5"/>
      <c r="CL161" s="5"/>
      <c r="CM161" s="5"/>
      <c r="CN161" s="5"/>
      <c r="CO161" s="5"/>
      <c r="CP161" s="2"/>
      <c r="CQ161" s="4"/>
      <c r="CR161" s="5"/>
      <c r="CS161" s="36"/>
      <c r="CT161" s="63"/>
      <c r="CV161" s="40"/>
      <c r="CW161" s="35"/>
      <c r="CX161" s="5"/>
      <c r="CY161" s="5"/>
      <c r="CZ161" s="5"/>
      <c r="DA161" s="5"/>
      <c r="DB161" s="5"/>
      <c r="DC161" s="5"/>
      <c r="DD161" s="2"/>
      <c r="DE161" s="4"/>
      <c r="DF161" s="5"/>
      <c r="DG161" s="36"/>
      <c r="DH161" s="63"/>
      <c r="DJ161" s="40"/>
      <c r="DK161" s="35"/>
      <c r="DL161" s="5"/>
      <c r="DM161" s="5"/>
      <c r="DN161" s="5"/>
      <c r="DO161" s="5"/>
      <c r="DP161" s="5"/>
      <c r="DQ161" s="5"/>
      <c r="DR161" s="2"/>
      <c r="DS161" s="4"/>
      <c r="DT161" s="5"/>
      <c r="DU161" s="36"/>
      <c r="DV161" s="63"/>
      <c r="DX161" s="40"/>
      <c r="DY161" s="35"/>
      <c r="DZ161" s="5"/>
      <c r="EA161" s="5"/>
      <c r="EB161" s="5"/>
      <c r="EC161" s="5"/>
      <c r="ED161" s="5"/>
      <c r="EE161" s="5"/>
      <c r="EF161" s="2"/>
      <c r="EG161" s="4"/>
      <c r="EH161" s="5"/>
      <c r="EI161" s="36"/>
      <c r="EJ161" s="63"/>
      <c r="EL161" s="40"/>
      <c r="EM161" s="35"/>
      <c r="EN161" s="5"/>
      <c r="EO161" s="5"/>
      <c r="EP161" s="5"/>
      <c r="EQ161" s="5"/>
      <c r="ER161" s="5"/>
      <c r="ES161" s="5"/>
      <c r="ET161" s="2"/>
      <c r="EU161" s="4"/>
      <c r="EV161" s="5"/>
      <c r="EW161" s="36"/>
      <c r="EX161" s="63"/>
      <c r="EZ161" s="40"/>
      <c r="FA161" s="35"/>
      <c r="FB161" s="5"/>
      <c r="FC161" s="5"/>
      <c r="FD161" s="5"/>
      <c r="FE161" s="5"/>
      <c r="FF161" s="5"/>
      <c r="FG161" s="5"/>
      <c r="FH161" s="2"/>
      <c r="FI161" s="4"/>
      <c r="FJ161" s="5"/>
      <c r="FK161" s="36"/>
      <c r="FL161" s="63"/>
      <c r="FN161" s="40"/>
      <c r="FO161" s="35"/>
      <c r="FP161" s="5"/>
      <c r="FQ161" s="5"/>
      <c r="FR161" s="5"/>
      <c r="FS161" s="5"/>
      <c r="FT161" s="5"/>
      <c r="FU161" s="5"/>
      <c r="FV161" s="2"/>
      <c r="FW161" s="4"/>
      <c r="FX161" s="5"/>
      <c r="FY161" s="36"/>
      <c r="FZ161" s="63"/>
      <c r="GB161" s="40"/>
      <c r="GC161" s="35"/>
      <c r="GD161" s="5"/>
      <c r="GE161" s="5"/>
      <c r="GF161" s="5"/>
      <c r="GG161" s="5"/>
      <c r="GH161" s="5"/>
      <c r="GI161" s="5"/>
      <c r="GJ161" s="2"/>
      <c r="GK161" s="4"/>
      <c r="GL161" s="5"/>
      <c r="GM161" s="36"/>
      <c r="GN161" s="63"/>
      <c r="GP161" s="40"/>
      <c r="GQ161" s="35"/>
      <c r="GR161" s="5"/>
      <c r="GS161" s="5"/>
      <c r="GT161" s="5"/>
      <c r="GU161" s="5"/>
      <c r="GV161" s="5"/>
      <c r="GW161" s="5"/>
      <c r="GX161" s="5"/>
      <c r="GY161" s="5"/>
      <c r="GZ161" s="2"/>
      <c r="HA161" s="4"/>
      <c r="HB161" s="5"/>
      <c r="HC161" s="36"/>
      <c r="HD161" s="63"/>
      <c r="HF161" s="40"/>
      <c r="HG161" s="35"/>
      <c r="HH161" s="5"/>
      <c r="HI161" s="5"/>
      <c r="HJ161" s="63"/>
      <c r="HL161" s="40"/>
      <c r="HM161" s="35"/>
      <c r="HN161" s="5"/>
      <c r="HO161" s="5"/>
      <c r="HP161" s="63"/>
      <c r="HR161" s="40"/>
      <c r="HS161" s="35"/>
      <c r="HT161" s="5"/>
      <c r="HU161" s="5"/>
      <c r="HV161" s="63"/>
    </row>
    <row r="162" spans="1:230" ht="15" customHeight="1" thickBot="1" x14ac:dyDescent="0.25">
      <c r="A162" s="65"/>
      <c r="B162" s="66"/>
      <c r="C162" s="43">
        <v>22679</v>
      </c>
      <c r="D162" s="61">
        <f t="shared" si="559"/>
        <v>69</v>
      </c>
      <c r="E162" s="44">
        <v>1157</v>
      </c>
      <c r="F162" s="44">
        <f t="shared" si="560"/>
        <v>1</v>
      </c>
      <c r="G162" s="44">
        <v>5</v>
      </c>
      <c r="H162" s="44">
        <f t="shared" si="561"/>
        <v>2</v>
      </c>
      <c r="I162" s="62"/>
      <c r="J162" s="47" t="str">
        <f t="shared" si="562"/>
        <v>パステルケーキ</v>
      </c>
      <c r="K162" s="61">
        <f t="shared" si="563"/>
        <v>187</v>
      </c>
      <c r="L162" s="44">
        <f t="shared" si="564"/>
        <v>374</v>
      </c>
      <c r="M162" s="46">
        <f t="shared" si="565"/>
        <v>5.4202898550724639E-2</v>
      </c>
      <c r="N162" s="29"/>
      <c r="O162" s="30"/>
      <c r="P162" s="67"/>
      <c r="Q162" s="43">
        <v>8816</v>
      </c>
      <c r="R162" s="74">
        <f t="shared" si="566"/>
        <v>10</v>
      </c>
      <c r="S162" s="44">
        <v>216</v>
      </c>
      <c r="T162" s="44">
        <f t="shared" si="567"/>
        <v>1</v>
      </c>
      <c r="U162" s="44">
        <v>313</v>
      </c>
      <c r="V162" s="44">
        <f t="shared" si="568"/>
        <v>1</v>
      </c>
      <c r="W162" s="62">
        <v>-298</v>
      </c>
      <c r="X162" s="47" t="str">
        <f t="shared" si="592"/>
        <v>オーロラブレスレット</v>
      </c>
      <c r="Y162" s="61">
        <f t="shared" si="590"/>
        <v>350</v>
      </c>
      <c r="Z162" s="44">
        <f t="shared" si="569"/>
        <v>350</v>
      </c>
      <c r="AA162" s="46">
        <f t="shared" si="570"/>
        <v>0.35</v>
      </c>
      <c r="AB162" s="29" t="s">
        <v>156</v>
      </c>
      <c r="AD162" s="67"/>
      <c r="AE162" s="43">
        <v>554</v>
      </c>
      <c r="AF162" s="61">
        <f t="shared" si="571"/>
        <v>38</v>
      </c>
      <c r="AG162" s="44">
        <v>20</v>
      </c>
      <c r="AH162" s="44">
        <f t="shared" si="572"/>
        <v>2</v>
      </c>
      <c r="AI162" s="44">
        <v>76</v>
      </c>
      <c r="AJ162" s="44">
        <f t="shared" si="573"/>
        <v>2</v>
      </c>
      <c r="AK162" s="62"/>
      <c r="AL162" s="47" t="str">
        <f t="shared" si="574"/>
        <v>キティボールペン</v>
      </c>
      <c r="AM162" s="61">
        <f t="shared" si="575"/>
        <v>283</v>
      </c>
      <c r="AN162" s="44">
        <f t="shared" si="576"/>
        <v>566</v>
      </c>
      <c r="AO162" s="46">
        <f t="shared" si="577"/>
        <v>0.14894736842105263</v>
      </c>
      <c r="AP162" s="29"/>
      <c r="AR162" s="67"/>
      <c r="AS162" s="43">
        <v>530</v>
      </c>
      <c r="AT162" s="61">
        <f t="shared" si="578"/>
        <v>29</v>
      </c>
      <c r="AU162" s="44">
        <v>13</v>
      </c>
      <c r="AV162" s="44">
        <f t="shared" si="591"/>
        <v>0</v>
      </c>
      <c r="AW162" s="44">
        <v>20</v>
      </c>
      <c r="AX162" s="44">
        <f t="shared" si="579"/>
        <v>0</v>
      </c>
      <c r="AY162" s="62">
        <v>0</v>
      </c>
      <c r="AZ162" s="47" t="str">
        <f t="shared" si="580"/>
        <v>しばこ</v>
      </c>
      <c r="BA162" s="61">
        <f t="shared" si="581"/>
        <v>110</v>
      </c>
      <c r="BB162" s="44">
        <f t="shared" si="582"/>
        <v>0</v>
      </c>
      <c r="BC162" s="46">
        <f t="shared" si="583"/>
        <v>0</v>
      </c>
      <c r="BD162" s="29"/>
      <c r="BE162" s="32"/>
      <c r="BF162" s="41"/>
      <c r="BG162" s="44">
        <v>3294</v>
      </c>
      <c r="BH162" s="44">
        <f t="shared" si="584"/>
        <v>152</v>
      </c>
      <c r="BI162" s="44">
        <v>30</v>
      </c>
      <c r="BJ162" s="44">
        <f t="shared" si="585"/>
        <v>0</v>
      </c>
      <c r="BK162" s="44">
        <v>1</v>
      </c>
      <c r="BL162" s="44">
        <f t="shared" si="586"/>
        <v>2</v>
      </c>
      <c r="BM162" s="44">
        <v>2</v>
      </c>
      <c r="BN162" s="45" t="str">
        <f>IF(BG160="","",BN158)</f>
        <v>ボンボンドロップシール</v>
      </c>
      <c r="BO162" s="61">
        <f>IF(BG159="","",BO158)</f>
        <v>1500</v>
      </c>
      <c r="BP162" s="44">
        <f t="shared" si="587"/>
        <v>3000</v>
      </c>
      <c r="BQ162" s="46">
        <f t="shared" si="491"/>
        <v>0.19736842105263158</v>
      </c>
      <c r="BR162" s="29"/>
      <c r="BT162" s="41"/>
      <c r="BU162" s="44"/>
      <c r="BV162" s="44" t="str">
        <f t="shared" si="588"/>
        <v/>
      </c>
      <c r="BW162" s="44"/>
      <c r="BX162" s="44" t="str">
        <f t="shared" si="589"/>
        <v/>
      </c>
      <c r="BY162" s="44"/>
      <c r="BZ162" s="44"/>
      <c r="CA162" s="44"/>
      <c r="CB162" s="45"/>
      <c r="CC162" s="61"/>
      <c r="CD162" s="44"/>
      <c r="CE162" s="46"/>
      <c r="CF162" s="29"/>
      <c r="CH162" s="40" t="str">
        <f>IF($A195="","",$A195)</f>
        <v/>
      </c>
      <c r="CI162" s="35"/>
      <c r="CJ162" s="5" t="str">
        <f t="shared" si="492"/>
        <v/>
      </c>
      <c r="CK162" s="5"/>
      <c r="CL162" s="5" t="str">
        <f t="shared" si="493"/>
        <v/>
      </c>
      <c r="CM162" s="5"/>
      <c r="CN162" s="5" t="str">
        <f t="shared" si="494"/>
        <v/>
      </c>
      <c r="CO162" s="5"/>
      <c r="CP162" s="2" t="str">
        <f t="shared" si="495"/>
        <v/>
      </c>
      <c r="CQ162" s="4" t="str">
        <f t="shared" si="496"/>
        <v/>
      </c>
      <c r="CR162" s="5" t="str">
        <f t="shared" si="497"/>
        <v/>
      </c>
      <c r="CS162" s="36" t="str">
        <f t="shared" si="498"/>
        <v/>
      </c>
      <c r="CT162" s="29"/>
      <c r="CV162" s="40" t="str">
        <f>IF($A195="","",$A195)</f>
        <v/>
      </c>
      <c r="CW162" s="35"/>
      <c r="CX162" s="5" t="str">
        <f t="shared" si="499"/>
        <v/>
      </c>
      <c r="CY162" s="5"/>
      <c r="CZ162" s="5" t="str">
        <f t="shared" si="500"/>
        <v/>
      </c>
      <c r="DA162" s="5"/>
      <c r="DB162" s="5" t="str">
        <f t="shared" si="501"/>
        <v/>
      </c>
      <c r="DC162" s="5"/>
      <c r="DD162" s="2" t="str">
        <f t="shared" si="502"/>
        <v/>
      </c>
      <c r="DE162" s="4" t="str">
        <f t="shared" si="503"/>
        <v/>
      </c>
      <c r="DF162" s="5" t="str">
        <f t="shared" si="504"/>
        <v/>
      </c>
      <c r="DG162" s="36" t="str">
        <f t="shared" si="505"/>
        <v/>
      </c>
      <c r="DH162" s="29"/>
      <c r="DJ162" s="40" t="str">
        <f>IF($A195="","",$A195)</f>
        <v/>
      </c>
      <c r="DK162" s="35"/>
      <c r="DL162" s="5" t="str">
        <f t="shared" si="506"/>
        <v/>
      </c>
      <c r="DM162" s="5"/>
      <c r="DN162" s="5" t="str">
        <f t="shared" si="507"/>
        <v/>
      </c>
      <c r="DO162" s="5"/>
      <c r="DP162" s="5" t="str">
        <f t="shared" si="508"/>
        <v/>
      </c>
      <c r="DQ162" s="5"/>
      <c r="DR162" s="2" t="str">
        <f t="shared" si="509"/>
        <v/>
      </c>
      <c r="DS162" s="4" t="str">
        <f t="shared" si="510"/>
        <v/>
      </c>
      <c r="DT162" s="5" t="str">
        <f t="shared" si="511"/>
        <v/>
      </c>
      <c r="DU162" s="36" t="str">
        <f t="shared" si="512"/>
        <v/>
      </c>
      <c r="DV162" s="29"/>
      <c r="DX162" s="40" t="str">
        <f>IF($A195="","",$A195)</f>
        <v/>
      </c>
      <c r="DY162" s="35"/>
      <c r="DZ162" s="5" t="str">
        <f t="shared" si="513"/>
        <v/>
      </c>
      <c r="EA162" s="5"/>
      <c r="EB162" s="5" t="str">
        <f t="shared" si="514"/>
        <v/>
      </c>
      <c r="EC162" s="5"/>
      <c r="ED162" s="5" t="str">
        <f t="shared" si="515"/>
        <v/>
      </c>
      <c r="EE162" s="5"/>
      <c r="EF162" s="2" t="str">
        <f t="shared" si="516"/>
        <v/>
      </c>
      <c r="EG162" s="4" t="str">
        <f t="shared" si="517"/>
        <v/>
      </c>
      <c r="EH162" s="5" t="str">
        <f t="shared" si="518"/>
        <v/>
      </c>
      <c r="EI162" s="36" t="str">
        <f t="shared" si="519"/>
        <v/>
      </c>
      <c r="EJ162" s="29"/>
      <c r="EL162" s="40" t="str">
        <f>IF($A195="","",$A195)</f>
        <v/>
      </c>
      <c r="EM162" s="35"/>
      <c r="EN162" s="5" t="str">
        <f t="shared" si="520"/>
        <v/>
      </c>
      <c r="EO162" s="5"/>
      <c r="EP162" s="5" t="str">
        <f t="shared" si="521"/>
        <v/>
      </c>
      <c r="EQ162" s="5"/>
      <c r="ER162" s="5" t="str">
        <f t="shared" si="522"/>
        <v/>
      </c>
      <c r="ES162" s="5"/>
      <c r="ET162" s="2" t="str">
        <f t="shared" si="523"/>
        <v/>
      </c>
      <c r="EU162" s="4" t="str">
        <f t="shared" si="524"/>
        <v/>
      </c>
      <c r="EV162" s="5" t="str">
        <f t="shared" si="525"/>
        <v/>
      </c>
      <c r="EW162" s="36" t="str">
        <f t="shared" si="526"/>
        <v/>
      </c>
      <c r="EX162" s="29"/>
      <c r="EZ162" s="40" t="str">
        <f>IF($A195="","",$A195)</f>
        <v/>
      </c>
      <c r="FA162" s="35"/>
      <c r="FB162" s="5" t="str">
        <f t="shared" si="527"/>
        <v/>
      </c>
      <c r="FC162" s="5"/>
      <c r="FD162" s="5" t="str">
        <f t="shared" si="528"/>
        <v/>
      </c>
      <c r="FE162" s="5"/>
      <c r="FF162" s="5" t="str">
        <f t="shared" si="529"/>
        <v/>
      </c>
      <c r="FG162" s="5"/>
      <c r="FH162" s="2" t="str">
        <f t="shared" si="530"/>
        <v/>
      </c>
      <c r="FI162" s="4" t="str">
        <f t="shared" si="531"/>
        <v/>
      </c>
      <c r="FJ162" s="5" t="str">
        <f t="shared" si="532"/>
        <v/>
      </c>
      <c r="FK162" s="36" t="str">
        <f t="shared" si="533"/>
        <v/>
      </c>
      <c r="FL162" s="29"/>
      <c r="FN162" s="40" t="str">
        <f>IF($A195="","",$A195)</f>
        <v/>
      </c>
      <c r="FO162" s="35"/>
      <c r="FP162" s="5" t="str">
        <f t="shared" si="534"/>
        <v/>
      </c>
      <c r="FQ162" s="5"/>
      <c r="FR162" s="5" t="str">
        <f t="shared" si="535"/>
        <v/>
      </c>
      <c r="FS162" s="5"/>
      <c r="FT162" s="5" t="str">
        <f t="shared" si="536"/>
        <v/>
      </c>
      <c r="FU162" s="5"/>
      <c r="FV162" s="2" t="str">
        <f t="shared" si="537"/>
        <v/>
      </c>
      <c r="FW162" s="4" t="str">
        <f t="shared" si="538"/>
        <v/>
      </c>
      <c r="FX162" s="5" t="str">
        <f t="shared" si="539"/>
        <v/>
      </c>
      <c r="FY162" s="36" t="str">
        <f t="shared" si="540"/>
        <v/>
      </c>
      <c r="FZ162" s="29"/>
      <c r="GB162" s="40" t="str">
        <f>IF($A195="","",$A195)</f>
        <v/>
      </c>
      <c r="GC162" s="35"/>
      <c r="GD162" s="5" t="str">
        <f t="shared" si="541"/>
        <v/>
      </c>
      <c r="GE162" s="5"/>
      <c r="GF162" s="5" t="str">
        <f t="shared" si="542"/>
        <v/>
      </c>
      <c r="GG162" s="5"/>
      <c r="GH162" s="5" t="str">
        <f t="shared" si="543"/>
        <v/>
      </c>
      <c r="GI162" s="5"/>
      <c r="GJ162" s="2" t="str">
        <f t="shared" si="544"/>
        <v/>
      </c>
      <c r="GK162" s="4" t="str">
        <f t="shared" si="545"/>
        <v/>
      </c>
      <c r="GL162" s="5" t="str">
        <f t="shared" si="546"/>
        <v/>
      </c>
      <c r="GM162" s="36" t="str">
        <f t="shared" si="547"/>
        <v/>
      </c>
      <c r="GN162" s="29"/>
      <c r="GP162" s="40" t="str">
        <f>IF($A195="","",$A195)</f>
        <v/>
      </c>
      <c r="GQ162" s="35"/>
      <c r="GR162" s="5" t="str">
        <f t="shared" si="548"/>
        <v/>
      </c>
      <c r="GS162" s="5"/>
      <c r="GT162" s="5" t="str">
        <f t="shared" si="549"/>
        <v/>
      </c>
      <c r="GU162" s="5"/>
      <c r="GV162" s="5" t="str">
        <f t="shared" si="550"/>
        <v/>
      </c>
      <c r="GW162" s="5"/>
      <c r="GX162" s="5" t="str">
        <f t="shared" si="551"/>
        <v/>
      </c>
      <c r="GY162" s="5"/>
      <c r="GZ162" s="2" t="str">
        <f t="shared" si="552"/>
        <v/>
      </c>
      <c r="HA162" s="4" t="str">
        <f t="shared" si="553"/>
        <v/>
      </c>
      <c r="HB162" s="5" t="str">
        <f t="shared" si="554"/>
        <v/>
      </c>
      <c r="HC162" s="36" t="str">
        <f t="shared" si="555"/>
        <v/>
      </c>
      <c r="HD162" s="29"/>
      <c r="HF162" s="40" t="str">
        <f>IF($A195="","",$A195)</f>
        <v/>
      </c>
      <c r="HG162" s="35"/>
      <c r="HH162" s="5" t="str">
        <f t="shared" si="556"/>
        <v/>
      </c>
      <c r="HI162" s="5"/>
      <c r="HJ162" s="29"/>
      <c r="HL162" s="40" t="str">
        <f>IF($A195="","",$A195)</f>
        <v/>
      </c>
      <c r="HM162" s="35"/>
      <c r="HN162" s="5" t="str">
        <f t="shared" si="557"/>
        <v/>
      </c>
      <c r="HO162" s="5"/>
      <c r="HP162" s="29"/>
      <c r="HR162" s="40" t="str">
        <f>IF($A195="","",$A195)</f>
        <v/>
      </c>
      <c r="HS162" s="35"/>
      <c r="HT162" s="5" t="str">
        <f t="shared" si="558"/>
        <v/>
      </c>
      <c r="HU162" s="5"/>
      <c r="HV162" s="29"/>
    </row>
    <row r="163" spans="1:230" ht="15" customHeight="1" thickTop="1" x14ac:dyDescent="0.2">
      <c r="A163" s="49">
        <v>46111</v>
      </c>
      <c r="B163" s="26">
        <f>SUM(D163:D166)+SUM(R163:R166)+SUM(AF163:AF166)+SUM(AT163:AT166)+SUM(CJ154,CX154,DL154,DZ154,EN154,FB154,FP154,GD154,GR154,HH154,HN154,HT154)+SUM(BH163:BH166)+SUM(BV163:BV164)</f>
        <v>2670</v>
      </c>
      <c r="C163" s="4">
        <v>13244</v>
      </c>
      <c r="D163" s="4">
        <f t="shared" si="559"/>
        <v>41</v>
      </c>
      <c r="E163" s="4">
        <v>338</v>
      </c>
      <c r="F163" s="50">
        <f t="shared" si="560"/>
        <v>0</v>
      </c>
      <c r="G163" s="4">
        <v>12</v>
      </c>
      <c r="H163" s="4">
        <f t="shared" si="561"/>
        <v>0</v>
      </c>
      <c r="I163" s="51">
        <v>0</v>
      </c>
      <c r="J163" s="3" t="str">
        <f t="shared" si="562"/>
        <v>ジャグラーボタン</v>
      </c>
      <c r="K163" s="39">
        <f t="shared" si="563"/>
        <v>748</v>
      </c>
      <c r="L163" s="50">
        <f t="shared" si="564"/>
        <v>0</v>
      </c>
      <c r="M163" s="52">
        <f t="shared" si="565"/>
        <v>0</v>
      </c>
      <c r="N163" s="29"/>
      <c r="O163" s="30"/>
      <c r="P163" s="53">
        <f>IF($A163="","",$A163)</f>
        <v>46111</v>
      </c>
      <c r="Q163" s="4">
        <v>3718</v>
      </c>
      <c r="R163" s="4">
        <f t="shared" si="566"/>
        <v>102</v>
      </c>
      <c r="S163" s="4">
        <v>188</v>
      </c>
      <c r="T163" s="50">
        <f t="shared" si="567"/>
        <v>2</v>
      </c>
      <c r="U163" s="4">
        <v>5</v>
      </c>
      <c r="V163" s="4">
        <f t="shared" si="568"/>
        <v>2</v>
      </c>
      <c r="W163" s="51">
        <v>3</v>
      </c>
      <c r="X163" s="3" t="str">
        <f t="shared" si="592"/>
        <v>サンリオボアバンスクリップ</v>
      </c>
      <c r="Y163" s="39">
        <f t="shared" si="590"/>
        <v>660</v>
      </c>
      <c r="Z163" s="50">
        <f t="shared" si="569"/>
        <v>1320</v>
      </c>
      <c r="AA163" s="52">
        <f t="shared" si="570"/>
        <v>0.12941176470588237</v>
      </c>
      <c r="AB163" s="29"/>
      <c r="AD163" s="53">
        <f>IF($A163="","",$A163)</f>
        <v>46111</v>
      </c>
      <c r="AE163" s="4">
        <v>1724</v>
      </c>
      <c r="AF163" s="4">
        <f t="shared" si="571"/>
        <v>154</v>
      </c>
      <c r="AG163" s="4">
        <v>14</v>
      </c>
      <c r="AH163" s="50">
        <f t="shared" si="572"/>
        <v>6</v>
      </c>
      <c r="AI163" s="4">
        <v>15</v>
      </c>
      <c r="AJ163" s="4">
        <f t="shared" si="573"/>
        <v>1</v>
      </c>
      <c r="AK163" s="51">
        <v>0</v>
      </c>
      <c r="AL163" s="3" t="str">
        <f t="shared" si="574"/>
        <v>モンチッチがま口</v>
      </c>
      <c r="AM163" s="39">
        <f t="shared" si="575"/>
        <v>462</v>
      </c>
      <c r="AN163" s="50">
        <f t="shared" si="576"/>
        <v>462</v>
      </c>
      <c r="AO163" s="52">
        <f t="shared" si="577"/>
        <v>0.03</v>
      </c>
      <c r="AP163" s="29"/>
      <c r="AR163" s="53">
        <f>IF($A163="","",$A163)</f>
        <v>46111</v>
      </c>
      <c r="AS163" s="4">
        <v>1060</v>
      </c>
      <c r="AT163" s="68">
        <f t="shared" si="578"/>
        <v>12</v>
      </c>
      <c r="AU163" s="4">
        <v>24</v>
      </c>
      <c r="AV163" s="50">
        <f t="shared" si="591"/>
        <v>1</v>
      </c>
      <c r="AW163" s="4">
        <v>1</v>
      </c>
      <c r="AX163" s="4">
        <f t="shared" si="579"/>
        <v>1</v>
      </c>
      <c r="AY163" s="51">
        <v>9</v>
      </c>
      <c r="AZ163" s="3" t="str">
        <f t="shared" si="580"/>
        <v>デジタルミニカメラ</v>
      </c>
      <c r="BA163" s="39">
        <f t="shared" si="581"/>
        <v>1075</v>
      </c>
      <c r="BB163" s="50">
        <f t="shared" si="582"/>
        <v>1075</v>
      </c>
      <c r="BC163" s="52">
        <f t="shared" si="583"/>
        <v>0.89583333333333337</v>
      </c>
      <c r="BD163" s="29" t="s">
        <v>160</v>
      </c>
      <c r="BE163" s="32"/>
      <c r="BF163" s="33">
        <f>IF($A163="","",$A163)</f>
        <v>46111</v>
      </c>
      <c r="BG163" s="4">
        <v>2401</v>
      </c>
      <c r="BH163" s="4">
        <f t="shared" si="584"/>
        <v>71</v>
      </c>
      <c r="BI163" s="4">
        <v>17</v>
      </c>
      <c r="BJ163" s="50">
        <f t="shared" si="585"/>
        <v>3</v>
      </c>
      <c r="BK163" s="4">
        <v>3</v>
      </c>
      <c r="BL163" s="4">
        <f t="shared" si="586"/>
        <v>0</v>
      </c>
      <c r="BM163" s="4">
        <v>0</v>
      </c>
      <c r="BN163" s="2" t="str">
        <f>IF(BG163="","",BN159)</f>
        <v>ボンボンドロップシール</v>
      </c>
      <c r="BO163" s="27">
        <f>IF(BG163="","",BO159)</f>
        <v>1500</v>
      </c>
      <c r="BP163" s="5">
        <f t="shared" si="587"/>
        <v>0</v>
      </c>
      <c r="BQ163" s="52">
        <f t="shared" si="491"/>
        <v>0</v>
      </c>
      <c r="BR163" s="29"/>
      <c r="BT163" s="33">
        <f>IF($A163="","",$A163)</f>
        <v>46111</v>
      </c>
      <c r="BU163" s="4">
        <v>35458</v>
      </c>
      <c r="BV163" s="4">
        <f t="shared" si="588"/>
        <v>76</v>
      </c>
      <c r="BW163" s="4">
        <v>3844</v>
      </c>
      <c r="BX163" s="50">
        <f t="shared" si="589"/>
        <v>3</v>
      </c>
      <c r="BY163" s="4">
        <v>37</v>
      </c>
      <c r="BZ163" s="4">
        <f>IF(BY163="","",BY159+CA159-BY163)</f>
        <v>3</v>
      </c>
      <c r="CA163" s="4">
        <v>4</v>
      </c>
      <c r="CB163" s="2" t="str">
        <f>IF(BU163="","",CB159)</f>
        <v>ベイビースリーフェイス</v>
      </c>
      <c r="CC163" s="27">
        <f>IF(BU163="","",CC159)</f>
        <v>1050</v>
      </c>
      <c r="CD163" s="5">
        <f>IF(BY163="","",BZ163*CC163)</f>
        <v>3150</v>
      </c>
      <c r="CE163" s="52">
        <f>IF(BZ163="","",CD163/(BV163*100))</f>
        <v>0.41447368421052633</v>
      </c>
      <c r="CF163" s="29"/>
      <c r="CH163" s="40" t="str">
        <f>IF($A199="","",$A199)</f>
        <v/>
      </c>
      <c r="CI163" s="35"/>
      <c r="CJ163" s="5" t="str">
        <f t="shared" si="492"/>
        <v/>
      </c>
      <c r="CK163" s="5"/>
      <c r="CL163" s="5" t="str">
        <f t="shared" si="493"/>
        <v/>
      </c>
      <c r="CM163" s="5"/>
      <c r="CN163" s="5" t="str">
        <f t="shared" si="494"/>
        <v/>
      </c>
      <c r="CO163" s="5"/>
      <c r="CP163" s="2" t="str">
        <f t="shared" si="495"/>
        <v/>
      </c>
      <c r="CQ163" s="4" t="str">
        <f t="shared" si="496"/>
        <v/>
      </c>
      <c r="CR163" s="5" t="str">
        <f t="shared" si="497"/>
        <v/>
      </c>
      <c r="CS163" s="36" t="str">
        <f t="shared" si="498"/>
        <v/>
      </c>
      <c r="CT163" s="29"/>
      <c r="CV163" s="40" t="str">
        <f>IF($A199="","",$A199)</f>
        <v/>
      </c>
      <c r="CW163" s="35"/>
      <c r="CX163" s="5" t="str">
        <f t="shared" si="499"/>
        <v/>
      </c>
      <c r="CY163" s="5"/>
      <c r="CZ163" s="5" t="str">
        <f t="shared" si="500"/>
        <v/>
      </c>
      <c r="DA163" s="5"/>
      <c r="DB163" s="5" t="str">
        <f t="shared" si="501"/>
        <v/>
      </c>
      <c r="DC163" s="5"/>
      <c r="DD163" s="2" t="str">
        <f t="shared" si="502"/>
        <v/>
      </c>
      <c r="DE163" s="4" t="str">
        <f t="shared" si="503"/>
        <v/>
      </c>
      <c r="DF163" s="5" t="str">
        <f t="shared" si="504"/>
        <v/>
      </c>
      <c r="DG163" s="36" t="str">
        <f t="shared" si="505"/>
        <v/>
      </c>
      <c r="DH163" s="29"/>
      <c r="DJ163" s="40" t="str">
        <f>IF($A199="","",$A199)</f>
        <v/>
      </c>
      <c r="DK163" s="35"/>
      <c r="DL163" s="5" t="str">
        <f t="shared" si="506"/>
        <v/>
      </c>
      <c r="DM163" s="5"/>
      <c r="DN163" s="5" t="str">
        <f t="shared" si="507"/>
        <v/>
      </c>
      <c r="DO163" s="5"/>
      <c r="DP163" s="5" t="str">
        <f t="shared" si="508"/>
        <v/>
      </c>
      <c r="DQ163" s="5"/>
      <c r="DR163" s="2" t="str">
        <f t="shared" si="509"/>
        <v/>
      </c>
      <c r="DS163" s="4" t="str">
        <f t="shared" si="510"/>
        <v/>
      </c>
      <c r="DT163" s="5" t="str">
        <f t="shared" si="511"/>
        <v/>
      </c>
      <c r="DU163" s="36" t="str">
        <f t="shared" si="512"/>
        <v/>
      </c>
      <c r="DV163" s="29"/>
      <c r="DX163" s="40" t="str">
        <f>IF($A199="","",$A199)</f>
        <v/>
      </c>
      <c r="DY163" s="35"/>
      <c r="DZ163" s="5" t="str">
        <f t="shared" si="513"/>
        <v/>
      </c>
      <c r="EA163" s="5"/>
      <c r="EB163" s="5" t="str">
        <f t="shared" si="514"/>
        <v/>
      </c>
      <c r="EC163" s="5"/>
      <c r="ED163" s="5" t="str">
        <f t="shared" si="515"/>
        <v/>
      </c>
      <c r="EE163" s="5"/>
      <c r="EF163" s="2" t="str">
        <f t="shared" si="516"/>
        <v/>
      </c>
      <c r="EG163" s="4" t="str">
        <f t="shared" si="517"/>
        <v/>
      </c>
      <c r="EH163" s="5" t="str">
        <f t="shared" si="518"/>
        <v/>
      </c>
      <c r="EI163" s="36" t="str">
        <f t="shared" si="519"/>
        <v/>
      </c>
      <c r="EJ163" s="29"/>
      <c r="EL163" s="40" t="str">
        <f>IF($A199="","",$A199)</f>
        <v/>
      </c>
      <c r="EM163" s="35"/>
      <c r="EN163" s="5" t="str">
        <f t="shared" si="520"/>
        <v/>
      </c>
      <c r="EO163" s="5"/>
      <c r="EP163" s="5" t="str">
        <f t="shared" si="521"/>
        <v/>
      </c>
      <c r="EQ163" s="5"/>
      <c r="ER163" s="5" t="str">
        <f t="shared" si="522"/>
        <v/>
      </c>
      <c r="ES163" s="5"/>
      <c r="ET163" s="2" t="str">
        <f t="shared" si="523"/>
        <v/>
      </c>
      <c r="EU163" s="4" t="str">
        <f t="shared" si="524"/>
        <v/>
      </c>
      <c r="EV163" s="5" t="str">
        <f t="shared" si="525"/>
        <v/>
      </c>
      <c r="EW163" s="36" t="str">
        <f t="shared" si="526"/>
        <v/>
      </c>
      <c r="EX163" s="29"/>
      <c r="EZ163" s="40" t="str">
        <f>IF($A199="","",$A199)</f>
        <v/>
      </c>
      <c r="FA163" s="35"/>
      <c r="FB163" s="5" t="str">
        <f t="shared" si="527"/>
        <v/>
      </c>
      <c r="FC163" s="5"/>
      <c r="FD163" s="5" t="str">
        <f t="shared" si="528"/>
        <v/>
      </c>
      <c r="FE163" s="5"/>
      <c r="FF163" s="5" t="str">
        <f t="shared" si="529"/>
        <v/>
      </c>
      <c r="FG163" s="5"/>
      <c r="FH163" s="2" t="str">
        <f t="shared" si="530"/>
        <v/>
      </c>
      <c r="FI163" s="4" t="str">
        <f t="shared" si="531"/>
        <v/>
      </c>
      <c r="FJ163" s="5" t="str">
        <f t="shared" si="532"/>
        <v/>
      </c>
      <c r="FK163" s="36" t="str">
        <f t="shared" si="533"/>
        <v/>
      </c>
      <c r="FL163" s="29"/>
      <c r="FN163" s="40" t="str">
        <f>IF($A199="","",$A199)</f>
        <v/>
      </c>
      <c r="FO163" s="35"/>
      <c r="FP163" s="5" t="str">
        <f t="shared" si="534"/>
        <v/>
      </c>
      <c r="FQ163" s="5"/>
      <c r="FR163" s="5" t="str">
        <f t="shared" si="535"/>
        <v/>
      </c>
      <c r="FS163" s="5"/>
      <c r="FT163" s="5" t="str">
        <f t="shared" si="536"/>
        <v/>
      </c>
      <c r="FU163" s="5"/>
      <c r="FV163" s="2" t="str">
        <f t="shared" si="537"/>
        <v/>
      </c>
      <c r="FW163" s="4" t="str">
        <f t="shared" si="538"/>
        <v/>
      </c>
      <c r="FX163" s="5" t="str">
        <f t="shared" si="539"/>
        <v/>
      </c>
      <c r="FY163" s="36" t="str">
        <f t="shared" si="540"/>
        <v/>
      </c>
      <c r="FZ163" s="29"/>
      <c r="GB163" s="40" t="str">
        <f>IF($A199="","",$A199)</f>
        <v/>
      </c>
      <c r="GC163" s="35"/>
      <c r="GD163" s="5" t="str">
        <f t="shared" si="541"/>
        <v/>
      </c>
      <c r="GE163" s="5"/>
      <c r="GF163" s="5" t="str">
        <f t="shared" si="542"/>
        <v/>
      </c>
      <c r="GG163" s="5"/>
      <c r="GH163" s="5" t="str">
        <f t="shared" si="543"/>
        <v/>
      </c>
      <c r="GI163" s="5"/>
      <c r="GJ163" s="2" t="str">
        <f t="shared" si="544"/>
        <v/>
      </c>
      <c r="GK163" s="4" t="str">
        <f t="shared" si="545"/>
        <v/>
      </c>
      <c r="GL163" s="5" t="str">
        <f t="shared" si="546"/>
        <v/>
      </c>
      <c r="GM163" s="36" t="str">
        <f t="shared" si="547"/>
        <v/>
      </c>
      <c r="GN163" s="29"/>
      <c r="GP163" s="40" t="str">
        <f>IF($A199="","",$A199)</f>
        <v/>
      </c>
      <c r="GQ163" s="35"/>
      <c r="GR163" s="5" t="str">
        <f t="shared" si="548"/>
        <v/>
      </c>
      <c r="GS163" s="5"/>
      <c r="GT163" s="5" t="str">
        <f t="shared" si="549"/>
        <v/>
      </c>
      <c r="GU163" s="5"/>
      <c r="GV163" s="5" t="str">
        <f t="shared" si="550"/>
        <v/>
      </c>
      <c r="GW163" s="5"/>
      <c r="GX163" s="5" t="str">
        <f t="shared" si="551"/>
        <v/>
      </c>
      <c r="GY163" s="5"/>
      <c r="GZ163" s="2" t="str">
        <f t="shared" si="552"/>
        <v/>
      </c>
      <c r="HA163" s="4" t="str">
        <f t="shared" si="553"/>
        <v/>
      </c>
      <c r="HB163" s="5" t="str">
        <f t="shared" si="554"/>
        <v/>
      </c>
      <c r="HC163" s="36" t="str">
        <f t="shared" si="555"/>
        <v/>
      </c>
      <c r="HD163" s="29"/>
      <c r="HF163" s="40" t="str">
        <f>IF($A199="","",$A199)</f>
        <v/>
      </c>
      <c r="HG163" s="35"/>
      <c r="HH163" s="5" t="str">
        <f t="shared" si="556"/>
        <v/>
      </c>
      <c r="HI163" s="5"/>
      <c r="HJ163" s="29"/>
      <c r="HL163" s="40" t="str">
        <f>IF($A199="","",$A199)</f>
        <v/>
      </c>
      <c r="HM163" s="35"/>
      <c r="HN163" s="5" t="str">
        <f t="shared" si="557"/>
        <v/>
      </c>
      <c r="HO163" s="5"/>
      <c r="HP163" s="29"/>
      <c r="HR163" s="40" t="str">
        <f>IF($A199="","",$A199)</f>
        <v/>
      </c>
      <c r="HS163" s="35"/>
      <c r="HT163" s="5" t="str">
        <f t="shared" si="558"/>
        <v/>
      </c>
      <c r="HU163" s="5"/>
      <c r="HV163" s="29"/>
    </row>
    <row r="164" spans="1:230" x14ac:dyDescent="0.2">
      <c r="A164" s="54"/>
      <c r="B164" s="37"/>
      <c r="C164" s="5">
        <v>16730</v>
      </c>
      <c r="D164" s="48">
        <f t="shared" si="559"/>
        <v>28</v>
      </c>
      <c r="E164" s="5">
        <v>519</v>
      </c>
      <c r="F164" s="5">
        <f t="shared" si="560"/>
        <v>2</v>
      </c>
      <c r="G164" s="5">
        <v>12</v>
      </c>
      <c r="H164" s="5">
        <f t="shared" si="561"/>
        <v>2</v>
      </c>
      <c r="I164" s="35">
        <v>0</v>
      </c>
      <c r="J164" s="3" t="str">
        <f t="shared" si="562"/>
        <v>チェキフィルム</v>
      </c>
      <c r="K164" s="39">
        <f t="shared" si="563"/>
        <v>358</v>
      </c>
      <c r="L164" s="5">
        <f t="shared" si="564"/>
        <v>716</v>
      </c>
      <c r="M164" s="36">
        <f t="shared" si="565"/>
        <v>0.25571428571428573</v>
      </c>
      <c r="N164" s="29" t="s">
        <v>158</v>
      </c>
      <c r="O164" s="30"/>
      <c r="P164" s="54"/>
      <c r="Q164" s="5">
        <v>10497</v>
      </c>
      <c r="R164" s="5">
        <f t="shared" si="566"/>
        <v>34</v>
      </c>
      <c r="S164" s="5">
        <v>176</v>
      </c>
      <c r="T164" s="5">
        <f t="shared" si="567"/>
        <v>1</v>
      </c>
      <c r="U164" s="5">
        <v>8</v>
      </c>
      <c r="V164" s="5">
        <f t="shared" si="568"/>
        <v>2</v>
      </c>
      <c r="W164" s="35">
        <v>0</v>
      </c>
      <c r="X164" s="3" t="str">
        <f t="shared" si="592"/>
        <v>サンリオヘアバンド</v>
      </c>
      <c r="Y164" s="39">
        <f t="shared" si="590"/>
        <v>825</v>
      </c>
      <c r="Z164" s="5">
        <f t="shared" si="569"/>
        <v>1650</v>
      </c>
      <c r="AA164" s="36">
        <f t="shared" si="570"/>
        <v>0.48529411764705882</v>
      </c>
      <c r="AB164" s="29"/>
      <c r="AD164" s="54"/>
      <c r="AE164" s="5">
        <v>1244</v>
      </c>
      <c r="AF164" s="5">
        <f t="shared" si="571"/>
        <v>123</v>
      </c>
      <c r="AG164" s="5">
        <v>21</v>
      </c>
      <c r="AH164" s="5">
        <f t="shared" si="572"/>
        <v>5</v>
      </c>
      <c r="AI164" s="5">
        <v>7</v>
      </c>
      <c r="AJ164" s="5">
        <f t="shared" si="573"/>
        <v>5</v>
      </c>
      <c r="AK164" s="35">
        <v>3</v>
      </c>
      <c r="AL164" s="3" t="str">
        <f t="shared" si="574"/>
        <v>バタースクイーズ</v>
      </c>
      <c r="AM164" s="39">
        <f t="shared" si="575"/>
        <v>1100</v>
      </c>
      <c r="AN164" s="5">
        <f t="shared" si="576"/>
        <v>5500</v>
      </c>
      <c r="AO164" s="36">
        <f t="shared" si="577"/>
        <v>0.44715447154471544</v>
      </c>
      <c r="AP164" s="29"/>
      <c r="AR164" s="54"/>
      <c r="AS164" s="5">
        <v>1026</v>
      </c>
      <c r="AT164" s="5">
        <f t="shared" si="578"/>
        <v>52</v>
      </c>
      <c r="AU164" s="5">
        <v>1</v>
      </c>
      <c r="AV164" s="5">
        <f t="shared" si="591"/>
        <v>0</v>
      </c>
      <c r="AW164" s="5">
        <v>12</v>
      </c>
      <c r="AX164" s="5">
        <f t="shared" si="579"/>
        <v>0</v>
      </c>
      <c r="AY164" s="35">
        <v>0</v>
      </c>
      <c r="AZ164" s="3" t="str">
        <f t="shared" si="580"/>
        <v>ゲーム機イヤホン</v>
      </c>
      <c r="BA164" s="39">
        <f t="shared" si="581"/>
        <v>770</v>
      </c>
      <c r="BB164" s="5">
        <f t="shared" si="582"/>
        <v>0</v>
      </c>
      <c r="BC164" s="36">
        <f t="shared" si="583"/>
        <v>0</v>
      </c>
      <c r="BD164" s="29"/>
      <c r="BE164" s="32"/>
      <c r="BF164" s="33"/>
      <c r="BG164" s="4">
        <v>4203</v>
      </c>
      <c r="BH164" s="5">
        <f t="shared" si="584"/>
        <v>185</v>
      </c>
      <c r="BI164" s="4">
        <v>32</v>
      </c>
      <c r="BJ164" s="5">
        <f t="shared" si="585"/>
        <v>1</v>
      </c>
      <c r="BK164" s="4">
        <v>2</v>
      </c>
      <c r="BL164" s="5">
        <f t="shared" si="586"/>
        <v>1</v>
      </c>
      <c r="BM164" s="4">
        <v>1</v>
      </c>
      <c r="BN164" s="3" t="str">
        <f>IF(BG164="","",BN160)</f>
        <v>ボンボンドロップシール</v>
      </c>
      <c r="BO164" s="39">
        <f>IF(BG163="","",BO160)</f>
        <v>1500</v>
      </c>
      <c r="BP164" s="4">
        <f t="shared" si="587"/>
        <v>1500</v>
      </c>
      <c r="BQ164" s="36">
        <f t="shared" si="491"/>
        <v>8.1081081081081086E-2</v>
      </c>
      <c r="BR164" s="29"/>
      <c r="BT164" s="33"/>
      <c r="BU164" s="4">
        <v>31443</v>
      </c>
      <c r="BV164" s="5">
        <f t="shared" si="588"/>
        <v>62</v>
      </c>
      <c r="BW164" s="4">
        <v>1675</v>
      </c>
      <c r="BX164" s="5">
        <f t="shared" si="589"/>
        <v>1</v>
      </c>
      <c r="BY164" s="5">
        <v>35</v>
      </c>
      <c r="BZ164" s="5">
        <f>IF(BY164="","",BY160+CA160-BY164)</f>
        <v>1</v>
      </c>
      <c r="CA164" s="4">
        <v>4</v>
      </c>
      <c r="CB164" s="3" t="str">
        <f>IF(BU164="","",CB160)</f>
        <v>サンリオボアポーチ</v>
      </c>
      <c r="CC164" s="39">
        <f>IF(BU163="","",CC160)</f>
        <v>950</v>
      </c>
      <c r="CD164" s="4">
        <f>IF(BY164="","",BZ164*CC164)</f>
        <v>950</v>
      </c>
      <c r="CE164" s="36">
        <f>IF(BZ164="","",CD164/(BV164*100))</f>
        <v>0.15322580645161291</v>
      </c>
      <c r="CF164" s="29"/>
      <c r="CH164" s="40" t="str">
        <f>IF($A$425="","",$A$425)</f>
        <v/>
      </c>
      <c r="CI164" s="5"/>
      <c r="CJ164" s="5" t="str">
        <f t="shared" si="492"/>
        <v/>
      </c>
      <c r="CK164" s="5"/>
      <c r="CL164" s="5" t="str">
        <f t="shared" si="493"/>
        <v/>
      </c>
      <c r="CM164" s="5"/>
      <c r="CN164" s="5" t="str">
        <f t="shared" si="494"/>
        <v/>
      </c>
      <c r="CO164" s="5"/>
      <c r="CP164" s="2" t="str">
        <f t="shared" si="495"/>
        <v/>
      </c>
      <c r="CQ164" s="4" t="str">
        <f t="shared" si="496"/>
        <v/>
      </c>
      <c r="CR164" s="5" t="str">
        <f t="shared" si="497"/>
        <v/>
      </c>
      <c r="CS164" s="36" t="str">
        <f>IF(CR164="","",CR164/(CI164*100))</f>
        <v/>
      </c>
      <c r="CT164" s="29"/>
      <c r="CV164" s="40" t="str">
        <f>IF($A$425="","",$A$425)</f>
        <v/>
      </c>
      <c r="CW164" s="5"/>
      <c r="CX164" s="5" t="str">
        <f t="shared" si="499"/>
        <v/>
      </c>
      <c r="CY164" s="5"/>
      <c r="CZ164" s="5" t="str">
        <f t="shared" si="500"/>
        <v/>
      </c>
      <c r="DA164" s="5"/>
      <c r="DB164" s="5" t="str">
        <f t="shared" si="501"/>
        <v/>
      </c>
      <c r="DC164" s="5"/>
      <c r="DD164" s="2" t="str">
        <f t="shared" si="502"/>
        <v/>
      </c>
      <c r="DE164" s="4" t="str">
        <f t="shared" si="503"/>
        <v/>
      </c>
      <c r="DF164" s="5" t="str">
        <f t="shared" si="504"/>
        <v/>
      </c>
      <c r="DG164" s="36" t="str">
        <f>IF(DF164="","",DF164/(CW164*100))</f>
        <v/>
      </c>
      <c r="DH164" s="29"/>
      <c r="DJ164" s="40" t="str">
        <f>IF($A$425="","",$A$425)</f>
        <v/>
      </c>
      <c r="DK164" s="5"/>
      <c r="DL164" s="5" t="str">
        <f t="shared" si="506"/>
        <v/>
      </c>
      <c r="DM164" s="5"/>
      <c r="DN164" s="5" t="str">
        <f t="shared" si="507"/>
        <v/>
      </c>
      <c r="DO164" s="5"/>
      <c r="DP164" s="5" t="str">
        <f t="shared" si="508"/>
        <v/>
      </c>
      <c r="DQ164" s="5"/>
      <c r="DR164" s="2" t="str">
        <f t="shared" si="509"/>
        <v/>
      </c>
      <c r="DS164" s="4" t="str">
        <f t="shared" si="510"/>
        <v/>
      </c>
      <c r="DT164" s="5" t="str">
        <f t="shared" si="511"/>
        <v/>
      </c>
      <c r="DU164" s="36" t="str">
        <f>IF(DT164="","",DT164/(DK164*100))</f>
        <v/>
      </c>
      <c r="DV164" s="29"/>
      <c r="DX164" s="40" t="str">
        <f>IF($A$425="","",$A$425)</f>
        <v/>
      </c>
      <c r="DY164" s="5"/>
      <c r="DZ164" s="5" t="str">
        <f t="shared" si="513"/>
        <v/>
      </c>
      <c r="EA164" s="5"/>
      <c r="EB164" s="5" t="str">
        <f t="shared" si="514"/>
        <v/>
      </c>
      <c r="EC164" s="5"/>
      <c r="ED164" s="5" t="str">
        <f t="shared" si="515"/>
        <v/>
      </c>
      <c r="EE164" s="5"/>
      <c r="EF164" s="2" t="str">
        <f t="shared" si="516"/>
        <v/>
      </c>
      <c r="EG164" s="4" t="str">
        <f t="shared" si="517"/>
        <v/>
      </c>
      <c r="EH164" s="5" t="str">
        <f t="shared" si="518"/>
        <v/>
      </c>
      <c r="EI164" s="36" t="str">
        <f>IF(EH164="","",EH164/(DY164*100))</f>
        <v/>
      </c>
      <c r="EJ164" s="29"/>
      <c r="EL164" s="40" t="str">
        <f>IF($A$425="","",$A$425)</f>
        <v/>
      </c>
      <c r="EM164" s="5"/>
      <c r="EN164" s="5" t="str">
        <f t="shared" si="520"/>
        <v/>
      </c>
      <c r="EO164" s="5"/>
      <c r="EP164" s="5" t="str">
        <f t="shared" si="521"/>
        <v/>
      </c>
      <c r="EQ164" s="5"/>
      <c r="ER164" s="5" t="str">
        <f t="shared" si="522"/>
        <v/>
      </c>
      <c r="ES164" s="5"/>
      <c r="ET164" s="2" t="str">
        <f t="shared" si="523"/>
        <v/>
      </c>
      <c r="EU164" s="4" t="str">
        <f t="shared" si="524"/>
        <v/>
      </c>
      <c r="EV164" s="5" t="str">
        <f t="shared" si="525"/>
        <v/>
      </c>
      <c r="EW164" s="36" t="str">
        <f>IF(EV164="","",EV164/(EM164*100))</f>
        <v/>
      </c>
      <c r="EX164" s="29"/>
      <c r="EZ164" s="40" t="str">
        <f>IF($A$425="","",$A$425)</f>
        <v/>
      </c>
      <c r="FA164" s="5"/>
      <c r="FB164" s="5" t="str">
        <f t="shared" si="527"/>
        <v/>
      </c>
      <c r="FC164" s="5"/>
      <c r="FD164" s="5" t="str">
        <f t="shared" si="528"/>
        <v/>
      </c>
      <c r="FE164" s="5"/>
      <c r="FF164" s="5" t="str">
        <f t="shared" si="529"/>
        <v/>
      </c>
      <c r="FG164" s="5"/>
      <c r="FH164" s="2" t="str">
        <f t="shared" si="530"/>
        <v/>
      </c>
      <c r="FI164" s="4" t="str">
        <f t="shared" si="531"/>
        <v/>
      </c>
      <c r="FJ164" s="5" t="str">
        <f t="shared" si="532"/>
        <v/>
      </c>
      <c r="FK164" s="36" t="str">
        <f>IF(FJ164="","",FJ164/(FA164*100))</f>
        <v/>
      </c>
      <c r="FL164" s="29"/>
      <c r="FN164" s="40" t="str">
        <f>IF($A$425="","",$A$425)</f>
        <v/>
      </c>
      <c r="FO164" s="5"/>
      <c r="FP164" s="5" t="str">
        <f t="shared" si="534"/>
        <v/>
      </c>
      <c r="FQ164" s="5"/>
      <c r="FR164" s="5" t="str">
        <f t="shared" si="535"/>
        <v/>
      </c>
      <c r="FS164" s="5"/>
      <c r="FT164" s="5" t="str">
        <f t="shared" si="536"/>
        <v/>
      </c>
      <c r="FU164" s="5"/>
      <c r="FV164" s="2" t="str">
        <f t="shared" si="537"/>
        <v/>
      </c>
      <c r="FW164" s="4" t="str">
        <f t="shared" si="538"/>
        <v/>
      </c>
      <c r="FX164" s="5" t="str">
        <f t="shared" si="539"/>
        <v/>
      </c>
      <c r="FY164" s="36" t="str">
        <f>IF(FX164="","",FX164/(FO164*100))</f>
        <v/>
      </c>
      <c r="FZ164" s="29"/>
      <c r="GB164" s="40" t="str">
        <f>IF($A$425="","",$A$425)</f>
        <v/>
      </c>
      <c r="GC164" s="5"/>
      <c r="GD164" s="5" t="str">
        <f t="shared" si="541"/>
        <v/>
      </c>
      <c r="GE164" s="5"/>
      <c r="GF164" s="5" t="str">
        <f t="shared" si="542"/>
        <v/>
      </c>
      <c r="GG164" s="5"/>
      <c r="GH164" s="5" t="str">
        <f t="shared" si="543"/>
        <v/>
      </c>
      <c r="GI164" s="5"/>
      <c r="GJ164" s="2" t="str">
        <f t="shared" si="544"/>
        <v/>
      </c>
      <c r="GK164" s="4" t="str">
        <f t="shared" si="545"/>
        <v/>
      </c>
      <c r="GL164" s="5" t="str">
        <f t="shared" si="546"/>
        <v/>
      </c>
      <c r="GM164" s="36" t="str">
        <f>IF(GL164="","",GL164/(GC164*100))</f>
        <v/>
      </c>
      <c r="GN164" s="29"/>
      <c r="GP164" s="40" t="str">
        <f>IF($A$425="","",$A$425)</f>
        <v/>
      </c>
      <c r="GQ164" s="5"/>
      <c r="GR164" s="5" t="str">
        <f t="shared" si="548"/>
        <v/>
      </c>
      <c r="GS164" s="5"/>
      <c r="GT164" s="5" t="str">
        <f t="shared" si="549"/>
        <v/>
      </c>
      <c r="GU164" s="5"/>
      <c r="GV164" s="5" t="str">
        <f t="shared" si="550"/>
        <v/>
      </c>
      <c r="GW164" s="5"/>
      <c r="GX164" s="5" t="str">
        <f t="shared" si="551"/>
        <v/>
      </c>
      <c r="GY164" s="5"/>
      <c r="GZ164" s="2" t="str">
        <f t="shared" si="552"/>
        <v/>
      </c>
      <c r="HA164" s="4" t="str">
        <f t="shared" si="553"/>
        <v/>
      </c>
      <c r="HB164" s="5" t="str">
        <f t="shared" si="554"/>
        <v/>
      </c>
      <c r="HC164" s="36" t="str">
        <f>IF(HB164="","",HB164/(GQ164*100))</f>
        <v/>
      </c>
      <c r="HD164" s="29"/>
      <c r="HF164" s="40" t="str">
        <f>IF($A$425="","",$A$425)</f>
        <v/>
      </c>
      <c r="HG164" s="5"/>
      <c r="HH164" s="5" t="str">
        <f t="shared" si="556"/>
        <v/>
      </c>
      <c r="HI164" s="5"/>
      <c r="HJ164" s="29"/>
      <c r="HL164" s="40" t="str">
        <f>IF($A$425="","",$A$425)</f>
        <v/>
      </c>
      <c r="HM164" s="5"/>
      <c r="HN164" s="5" t="str">
        <f t="shared" si="557"/>
        <v/>
      </c>
      <c r="HO164" s="5"/>
      <c r="HP164" s="29"/>
      <c r="HR164" s="40" t="str">
        <f>IF($A$425="","",$A$425)</f>
        <v/>
      </c>
      <c r="HS164" s="5"/>
      <c r="HT164" s="5" t="str">
        <f t="shared" si="558"/>
        <v/>
      </c>
      <c r="HU164" s="5"/>
      <c r="HV164" s="29"/>
    </row>
    <row r="165" spans="1:230" x14ac:dyDescent="0.2">
      <c r="A165" s="70"/>
      <c r="B165" s="71"/>
      <c r="C165" s="58">
        <v>18325</v>
      </c>
      <c r="D165" s="5">
        <f t="shared" si="559"/>
        <v>50</v>
      </c>
      <c r="E165" s="5">
        <v>638</v>
      </c>
      <c r="F165" s="5">
        <f t="shared" si="560"/>
        <v>3</v>
      </c>
      <c r="G165" s="58">
        <v>46</v>
      </c>
      <c r="H165" s="5">
        <f t="shared" si="561"/>
        <v>3</v>
      </c>
      <c r="I165" s="59">
        <v>0</v>
      </c>
      <c r="J165" s="3" t="str">
        <f t="shared" si="562"/>
        <v>アングリーキーホルダー</v>
      </c>
      <c r="K165" s="39">
        <f t="shared" si="563"/>
        <v>100</v>
      </c>
      <c r="L165" s="5">
        <f t="shared" si="564"/>
        <v>300</v>
      </c>
      <c r="M165" s="36">
        <f t="shared" si="565"/>
        <v>0.06</v>
      </c>
      <c r="N165" s="29"/>
      <c r="P165" s="70"/>
      <c r="Q165" s="58">
        <v>10236</v>
      </c>
      <c r="R165" s="48">
        <f t="shared" si="566"/>
        <v>25</v>
      </c>
      <c r="S165" s="5">
        <v>275</v>
      </c>
      <c r="T165" s="5">
        <f t="shared" si="567"/>
        <v>1</v>
      </c>
      <c r="U165" s="58">
        <v>4</v>
      </c>
      <c r="V165" s="5">
        <f t="shared" si="568"/>
        <v>2</v>
      </c>
      <c r="W165" s="59">
        <v>4</v>
      </c>
      <c r="X165" s="3" t="str">
        <f t="shared" si="592"/>
        <v>キティヘアパッチン</v>
      </c>
      <c r="Y165" s="39">
        <f t="shared" si="590"/>
        <v>638</v>
      </c>
      <c r="Z165" s="5">
        <f t="shared" si="569"/>
        <v>1276</v>
      </c>
      <c r="AA165" s="36">
        <f t="shared" si="570"/>
        <v>0.51039999999999996</v>
      </c>
      <c r="AB165" s="29"/>
      <c r="AD165" s="70"/>
      <c r="AE165" s="58">
        <v>1047</v>
      </c>
      <c r="AF165" s="5">
        <f t="shared" si="571"/>
        <v>65</v>
      </c>
      <c r="AG165" s="5">
        <v>28</v>
      </c>
      <c r="AH165" s="5">
        <f t="shared" si="572"/>
        <v>1</v>
      </c>
      <c r="AI165" s="58">
        <v>6</v>
      </c>
      <c r="AJ165" s="5">
        <f t="shared" si="573"/>
        <v>1</v>
      </c>
      <c r="AK165" s="59">
        <v>0</v>
      </c>
      <c r="AL165" s="3" t="str">
        <f t="shared" si="574"/>
        <v>たまごっちマスコット</v>
      </c>
      <c r="AM165" s="39">
        <f t="shared" si="575"/>
        <v>1430</v>
      </c>
      <c r="AN165" s="5">
        <f t="shared" si="576"/>
        <v>1430</v>
      </c>
      <c r="AO165" s="36">
        <f t="shared" si="577"/>
        <v>0.22</v>
      </c>
      <c r="AP165" s="29"/>
      <c r="AR165" s="70"/>
      <c r="AS165" s="58">
        <v>759</v>
      </c>
      <c r="AT165" s="5">
        <f t="shared" si="578"/>
        <v>55</v>
      </c>
      <c r="AU165" s="5">
        <v>999</v>
      </c>
      <c r="AV165" s="5">
        <f t="shared" si="591"/>
        <v>0</v>
      </c>
      <c r="AW165" s="58">
        <v>8</v>
      </c>
      <c r="AX165" s="5">
        <f t="shared" si="579"/>
        <v>0</v>
      </c>
      <c r="AY165" s="59">
        <v>0</v>
      </c>
      <c r="AZ165" s="3" t="str">
        <f t="shared" si="580"/>
        <v>ゲームアーク</v>
      </c>
      <c r="BA165" s="39">
        <f t="shared" si="581"/>
        <v>682</v>
      </c>
      <c r="BB165" s="5">
        <f t="shared" si="582"/>
        <v>0</v>
      </c>
      <c r="BC165" s="36">
        <f t="shared" si="583"/>
        <v>0</v>
      </c>
      <c r="BD165" s="29"/>
      <c r="BE165" s="32"/>
      <c r="BF165" s="72"/>
      <c r="BG165" s="57">
        <v>1591</v>
      </c>
      <c r="BH165" s="5">
        <f t="shared" si="584"/>
        <v>165</v>
      </c>
      <c r="BI165" s="57">
        <v>10</v>
      </c>
      <c r="BJ165" s="5">
        <f t="shared" si="585"/>
        <v>3</v>
      </c>
      <c r="BK165" s="57">
        <v>3</v>
      </c>
      <c r="BL165" s="5">
        <f t="shared" si="586"/>
        <v>0</v>
      </c>
      <c r="BM165" s="57">
        <v>0</v>
      </c>
      <c r="BN165" s="3" t="str">
        <f>IF(BG163="","",BN161)</f>
        <v>ボンボンドロップシール</v>
      </c>
      <c r="BO165" s="39">
        <f>IF(BG163="","",BO161)</f>
        <v>1500</v>
      </c>
      <c r="BP165" s="5">
        <f t="shared" si="587"/>
        <v>0</v>
      </c>
      <c r="BQ165" s="36">
        <f t="shared" si="491"/>
        <v>0</v>
      </c>
      <c r="BR165" s="29"/>
      <c r="BT165" s="72"/>
      <c r="BU165" s="57"/>
      <c r="BV165" s="5" t="str">
        <f t="shared" si="588"/>
        <v/>
      </c>
      <c r="BW165" s="57"/>
      <c r="BX165" s="5" t="str">
        <f t="shared" si="589"/>
        <v/>
      </c>
      <c r="BY165" s="5"/>
      <c r="BZ165" s="5"/>
      <c r="CA165" s="57"/>
      <c r="CB165" s="3"/>
      <c r="CC165" s="39"/>
      <c r="CD165" s="5"/>
      <c r="CE165" s="36"/>
      <c r="CF165" s="29"/>
      <c r="CH165" s="40"/>
      <c r="CI165" s="5"/>
      <c r="CJ165" s="5"/>
      <c r="CK165" s="5"/>
      <c r="CL165" s="5"/>
      <c r="CM165" s="5"/>
      <c r="CN165" s="5"/>
      <c r="CO165" s="5"/>
      <c r="CP165" s="2" t="str">
        <f t="shared" si="495"/>
        <v/>
      </c>
      <c r="CQ165" s="4"/>
      <c r="CR165" s="5"/>
      <c r="CS165" s="36" t="str">
        <f>IF(CR165="","",CR165/(CI165*100))</f>
        <v/>
      </c>
      <c r="CT165" s="29"/>
      <c r="CV165" s="40"/>
      <c r="CW165" s="5"/>
      <c r="CX165" s="5"/>
      <c r="CY165" s="5"/>
      <c r="CZ165" s="5"/>
      <c r="DA165" s="5"/>
      <c r="DB165" s="5"/>
      <c r="DC165" s="5"/>
      <c r="DD165" s="2" t="str">
        <f t="shared" si="502"/>
        <v/>
      </c>
      <c r="DE165" s="4"/>
      <c r="DF165" s="5"/>
      <c r="DG165" s="36" t="str">
        <f>IF(DF165="","",DF165/(CW165*100))</f>
        <v/>
      </c>
      <c r="DH165" s="29"/>
      <c r="DJ165" s="40"/>
      <c r="DK165" s="5"/>
      <c r="DL165" s="5"/>
      <c r="DM165" s="5"/>
      <c r="DN165" s="5"/>
      <c r="DO165" s="5"/>
      <c r="DP165" s="5"/>
      <c r="DQ165" s="5"/>
      <c r="DR165" s="2" t="str">
        <f t="shared" si="509"/>
        <v/>
      </c>
      <c r="DS165" s="4"/>
      <c r="DT165" s="5"/>
      <c r="DU165" s="36" t="str">
        <f>IF(DT165="","",DT165/(DK165*100))</f>
        <v/>
      </c>
      <c r="DV165" s="29"/>
      <c r="DX165" s="40"/>
      <c r="DY165" s="5"/>
      <c r="DZ165" s="5"/>
      <c r="EA165" s="5"/>
      <c r="EB165" s="5"/>
      <c r="EC165" s="5"/>
      <c r="ED165" s="5"/>
      <c r="EE165" s="5"/>
      <c r="EF165" s="2" t="str">
        <f t="shared" si="516"/>
        <v/>
      </c>
      <c r="EG165" s="4"/>
      <c r="EH165" s="5"/>
      <c r="EI165" s="36" t="str">
        <f>IF(EH165="","",EH165/(DY165*100))</f>
        <v/>
      </c>
      <c r="EJ165" s="29"/>
      <c r="EL165" s="40"/>
      <c r="EM165" s="5"/>
      <c r="EN165" s="5"/>
      <c r="EO165" s="5"/>
      <c r="EP165" s="5"/>
      <c r="EQ165" s="5"/>
      <c r="ER165" s="5"/>
      <c r="ES165" s="5"/>
      <c r="ET165" s="2" t="str">
        <f t="shared" si="523"/>
        <v/>
      </c>
      <c r="EU165" s="4"/>
      <c r="EV165" s="5"/>
      <c r="EW165" s="36" t="str">
        <f>IF(EV165="","",EV165/(EM165*100))</f>
        <v/>
      </c>
      <c r="EX165" s="29"/>
      <c r="EZ165" s="40"/>
      <c r="FA165" s="5"/>
      <c r="FB165" s="5"/>
      <c r="FC165" s="5"/>
      <c r="FD165" s="5"/>
      <c r="FE165" s="5"/>
      <c r="FF165" s="5"/>
      <c r="FG165" s="5"/>
      <c r="FH165" s="2" t="str">
        <f t="shared" si="530"/>
        <v/>
      </c>
      <c r="FI165" s="4"/>
      <c r="FJ165" s="5"/>
      <c r="FK165" s="36" t="str">
        <f>IF(FJ165="","",FJ165/(FA165*100))</f>
        <v/>
      </c>
      <c r="FL165" s="29"/>
      <c r="FN165" s="40"/>
      <c r="FO165" s="5"/>
      <c r="FP165" s="5"/>
      <c r="FQ165" s="5"/>
      <c r="FR165" s="5"/>
      <c r="FS165" s="5"/>
      <c r="FT165" s="5"/>
      <c r="FU165" s="5"/>
      <c r="FV165" s="2" t="str">
        <f t="shared" si="537"/>
        <v/>
      </c>
      <c r="FW165" s="4"/>
      <c r="FX165" s="5"/>
      <c r="FY165" s="36" t="str">
        <f>IF(FX165="","",FX165/(FO165*100))</f>
        <v/>
      </c>
      <c r="FZ165" s="29"/>
      <c r="GB165" s="40"/>
      <c r="GC165" s="5"/>
      <c r="GD165" s="5"/>
      <c r="GE165" s="5"/>
      <c r="GF165" s="5"/>
      <c r="GG165" s="5"/>
      <c r="GH165" s="5"/>
      <c r="GI165" s="5"/>
      <c r="GJ165" s="2" t="str">
        <f t="shared" si="544"/>
        <v/>
      </c>
      <c r="GK165" s="4"/>
      <c r="GL165" s="5"/>
      <c r="GM165" s="36" t="str">
        <f>IF(GL165="","",GL165/(GC165*100))</f>
        <v/>
      </c>
      <c r="GN165" s="29"/>
      <c r="GP165" s="40"/>
      <c r="GQ165" s="5"/>
      <c r="GR165" s="5"/>
      <c r="GS165" s="5"/>
      <c r="GT165" s="5"/>
      <c r="GU165" s="5"/>
      <c r="GV165" s="5"/>
      <c r="GW165" s="5"/>
      <c r="GX165" s="5"/>
      <c r="GY165" s="5"/>
      <c r="GZ165" s="2" t="str">
        <f t="shared" si="552"/>
        <v/>
      </c>
      <c r="HA165" s="4"/>
      <c r="HB165" s="5"/>
      <c r="HC165" s="36" t="str">
        <f>IF(HB165="","",HB165/(GQ165*100))</f>
        <v/>
      </c>
      <c r="HD165" s="29"/>
      <c r="HF165" s="40"/>
      <c r="HG165" s="5"/>
      <c r="HH165" s="5"/>
      <c r="HI165" s="5"/>
      <c r="HJ165" s="29"/>
      <c r="HL165" s="40"/>
      <c r="HM165" s="5"/>
      <c r="HN165" s="5"/>
      <c r="HO165" s="5"/>
      <c r="HP165" s="29"/>
      <c r="HR165" s="40"/>
      <c r="HS165" s="5"/>
      <c r="HT165" s="5"/>
      <c r="HU165" s="5"/>
      <c r="HV165" s="29"/>
    </row>
    <row r="166" spans="1:230" ht="15" customHeight="1" thickBot="1" x14ac:dyDescent="0.25">
      <c r="A166" s="60"/>
      <c r="B166" s="73"/>
      <c r="C166" s="44">
        <v>22812</v>
      </c>
      <c r="D166" s="61">
        <f t="shared" si="559"/>
        <v>133</v>
      </c>
      <c r="E166" s="44">
        <v>1157</v>
      </c>
      <c r="F166" s="44">
        <f t="shared" si="560"/>
        <v>0</v>
      </c>
      <c r="G166" s="44">
        <v>5</v>
      </c>
      <c r="H166" s="44">
        <f t="shared" si="561"/>
        <v>0</v>
      </c>
      <c r="I166" s="62">
        <v>0</v>
      </c>
      <c r="J166" s="45" t="str">
        <f t="shared" si="562"/>
        <v>パステルケーキ</v>
      </c>
      <c r="K166" s="61">
        <f t="shared" si="563"/>
        <v>187</v>
      </c>
      <c r="L166" s="44">
        <f t="shared" si="564"/>
        <v>0</v>
      </c>
      <c r="M166" s="46">
        <f t="shared" si="565"/>
        <v>0</v>
      </c>
      <c r="N166" s="29"/>
      <c r="P166" s="60"/>
      <c r="Q166" s="44">
        <v>8869</v>
      </c>
      <c r="R166" s="61">
        <f t="shared" si="566"/>
        <v>53</v>
      </c>
      <c r="S166" s="44">
        <v>218</v>
      </c>
      <c r="T166" s="44">
        <f t="shared" si="567"/>
        <v>2</v>
      </c>
      <c r="U166" s="44">
        <v>12</v>
      </c>
      <c r="V166" s="44">
        <f t="shared" si="568"/>
        <v>3</v>
      </c>
      <c r="W166" s="62">
        <v>4</v>
      </c>
      <c r="X166" s="45" t="s">
        <v>159</v>
      </c>
      <c r="Y166" s="61">
        <v>150</v>
      </c>
      <c r="Z166" s="44">
        <f t="shared" si="569"/>
        <v>450</v>
      </c>
      <c r="AA166" s="46">
        <f t="shared" si="570"/>
        <v>8.4905660377358486E-2</v>
      </c>
      <c r="AB166" s="29"/>
      <c r="AD166" s="60"/>
      <c r="AE166" s="44">
        <v>617</v>
      </c>
      <c r="AF166" s="61">
        <f t="shared" si="571"/>
        <v>63</v>
      </c>
      <c r="AG166" s="44">
        <v>22</v>
      </c>
      <c r="AH166" s="44">
        <f t="shared" si="572"/>
        <v>2</v>
      </c>
      <c r="AI166" s="44">
        <v>74</v>
      </c>
      <c r="AJ166" s="44">
        <f t="shared" si="573"/>
        <v>2</v>
      </c>
      <c r="AK166" s="62">
        <v>0</v>
      </c>
      <c r="AL166" s="45" t="str">
        <f t="shared" si="574"/>
        <v>キティボールペン</v>
      </c>
      <c r="AM166" s="61">
        <f t="shared" si="575"/>
        <v>283</v>
      </c>
      <c r="AN166" s="44">
        <f t="shared" si="576"/>
        <v>566</v>
      </c>
      <c r="AO166" s="46">
        <f t="shared" si="577"/>
        <v>8.9841269841269847E-2</v>
      </c>
      <c r="AP166" s="29"/>
      <c r="AR166" s="60"/>
      <c r="AS166" s="44">
        <v>612</v>
      </c>
      <c r="AT166" s="61">
        <f t="shared" si="578"/>
        <v>82</v>
      </c>
      <c r="AU166" s="44">
        <v>16</v>
      </c>
      <c r="AV166" s="44">
        <f t="shared" si="591"/>
        <v>3</v>
      </c>
      <c r="AW166" s="44">
        <v>17</v>
      </c>
      <c r="AX166" s="44">
        <f t="shared" si="579"/>
        <v>3</v>
      </c>
      <c r="AY166" s="62">
        <v>0</v>
      </c>
      <c r="AZ166" s="45" t="str">
        <f t="shared" si="580"/>
        <v>しばこ</v>
      </c>
      <c r="BA166" s="61">
        <f t="shared" si="581"/>
        <v>110</v>
      </c>
      <c r="BB166" s="44">
        <f t="shared" si="582"/>
        <v>330</v>
      </c>
      <c r="BC166" s="46">
        <f t="shared" si="583"/>
        <v>4.0243902439024391E-2</v>
      </c>
      <c r="BD166" s="29"/>
      <c r="BE166" s="32"/>
      <c r="BF166" s="41"/>
      <c r="BG166" s="44">
        <v>3373</v>
      </c>
      <c r="BH166" s="44">
        <f t="shared" si="584"/>
        <v>79</v>
      </c>
      <c r="BI166" s="44">
        <v>33</v>
      </c>
      <c r="BJ166" s="44">
        <f t="shared" si="585"/>
        <v>3</v>
      </c>
      <c r="BK166" s="44">
        <v>2</v>
      </c>
      <c r="BL166" s="44">
        <f t="shared" si="586"/>
        <v>1</v>
      </c>
      <c r="BM166" s="44">
        <v>1</v>
      </c>
      <c r="BN166" s="45" t="str">
        <f>IF(BG164="","",BN162)</f>
        <v>ボンボンドロップシール</v>
      </c>
      <c r="BO166" s="61">
        <f>IF(BG163="","",BO162)</f>
        <v>1500</v>
      </c>
      <c r="BP166" s="44">
        <f t="shared" si="587"/>
        <v>1500</v>
      </c>
      <c r="BQ166" s="46">
        <f t="shared" si="491"/>
        <v>0.189873417721519</v>
      </c>
      <c r="BR166" s="29"/>
      <c r="BT166" s="41"/>
      <c r="BU166" s="44"/>
      <c r="BV166" s="44" t="str">
        <f t="shared" si="588"/>
        <v/>
      </c>
      <c r="BW166" s="44"/>
      <c r="BX166" s="44" t="str">
        <f t="shared" si="589"/>
        <v/>
      </c>
      <c r="BY166" s="44"/>
      <c r="BZ166" s="44"/>
      <c r="CA166" s="44"/>
      <c r="CB166" s="45"/>
      <c r="CC166" s="61"/>
      <c r="CD166" s="44"/>
      <c r="CE166" s="46"/>
      <c r="CF166" s="29"/>
      <c r="CH166" s="40"/>
      <c r="CI166" s="5"/>
      <c r="CJ166" s="5" t="str">
        <f>IF(CI166="","",CI166-CI167)</f>
        <v/>
      </c>
      <c r="CK166" s="5"/>
      <c r="CL166" s="5" t="str">
        <f>IF(CK166="","",CK166-CK167)</f>
        <v/>
      </c>
      <c r="CM166" s="5"/>
      <c r="CN166" s="5" t="str">
        <f>IF(CM166="","",CM167+CO167-CM166)</f>
        <v/>
      </c>
      <c r="CO166" s="5"/>
      <c r="CP166" s="2" t="str">
        <f t="shared" si="495"/>
        <v/>
      </c>
      <c r="CQ166" s="4" t="str">
        <f>IF(CI166="","",CQ167)</f>
        <v/>
      </c>
      <c r="CR166" s="5" t="str">
        <f t="shared" ref="CR166:CR198" si="593">IF(CQ166="","",CN166*CQ166)</f>
        <v/>
      </c>
      <c r="CS166" s="36" t="str">
        <f t="shared" ref="CS166:CS198" si="594">IF(CR166="","",CR166/(CJ166*100))</f>
        <v/>
      </c>
      <c r="CT166" s="29"/>
      <c r="CV166" s="40"/>
      <c r="CW166" s="5"/>
      <c r="CX166" s="5" t="str">
        <f>IF(CW166="","",CW166-CW167)</f>
        <v/>
      </c>
      <c r="CY166" s="5"/>
      <c r="CZ166" s="5" t="str">
        <f>IF(CY166="","",CY166-CY167)</f>
        <v/>
      </c>
      <c r="DA166" s="5"/>
      <c r="DB166" s="5" t="str">
        <f>IF(DA166="","",DA167+DC167-DA166)</f>
        <v/>
      </c>
      <c r="DC166" s="5"/>
      <c r="DD166" s="2" t="str">
        <f t="shared" si="502"/>
        <v/>
      </c>
      <c r="DE166" s="4" t="str">
        <f>IF(CW166="","",DE167)</f>
        <v/>
      </c>
      <c r="DF166" s="5" t="str">
        <f t="shared" ref="DF166:DF198" si="595">IF(DE166="","",DB166*DE166)</f>
        <v/>
      </c>
      <c r="DG166" s="36" t="str">
        <f t="shared" ref="DG166:DG198" si="596">IF(DF166="","",DF166/(CX166*100))</f>
        <v/>
      </c>
      <c r="DH166" s="29"/>
      <c r="DJ166" s="40"/>
      <c r="DK166" s="5"/>
      <c r="DL166" s="5" t="str">
        <f>IF(DK166="","",DK166-DK167)</f>
        <v/>
      </c>
      <c r="DM166" s="5"/>
      <c r="DN166" s="5" t="str">
        <f>IF(DM166="","",DM166-DM167)</f>
        <v/>
      </c>
      <c r="DO166" s="5"/>
      <c r="DP166" s="5" t="str">
        <f>IF(DO166="","",DO167+DQ167-DO166)</f>
        <v/>
      </c>
      <c r="DQ166" s="5"/>
      <c r="DR166" s="2" t="str">
        <f t="shared" si="509"/>
        <v/>
      </c>
      <c r="DS166" s="4" t="str">
        <f>IF(DK166="","",DS167)</f>
        <v/>
      </c>
      <c r="DT166" s="5" t="str">
        <f t="shared" ref="DT166:DT198" si="597">IF(DS166="","",DP166*DS166)</f>
        <v/>
      </c>
      <c r="DU166" s="36" t="str">
        <f t="shared" ref="DU166:DU198" si="598">IF(DT166="","",DT166/(DL166*100))</f>
        <v/>
      </c>
      <c r="DV166" s="29"/>
      <c r="DX166" s="40"/>
      <c r="DY166" s="5"/>
      <c r="DZ166" s="5" t="str">
        <f>IF(DY166="","",DY166-DY167)</f>
        <v/>
      </c>
      <c r="EA166" s="5"/>
      <c r="EB166" s="5" t="str">
        <f>IF(EA166="","",EA166-EA167)</f>
        <v/>
      </c>
      <c r="EC166" s="5"/>
      <c r="ED166" s="5" t="str">
        <f>IF(EC166="","",EC167+EE167-EC166)</f>
        <v/>
      </c>
      <c r="EE166" s="5"/>
      <c r="EF166" s="2" t="str">
        <f t="shared" si="516"/>
        <v/>
      </c>
      <c r="EG166" s="4" t="str">
        <f>IF(DY166="","",EG167)</f>
        <v/>
      </c>
      <c r="EH166" s="5" t="str">
        <f t="shared" ref="EH166:EH198" si="599">IF(EG166="","",ED166*EG166)</f>
        <v/>
      </c>
      <c r="EI166" s="36" t="str">
        <f t="shared" ref="EI166:EI198" si="600">IF(EH166="","",EH166/(DZ166*100))</f>
        <v/>
      </c>
      <c r="EJ166" s="29"/>
      <c r="EL166" s="40"/>
      <c r="EM166" s="5"/>
      <c r="EN166" s="5" t="str">
        <f>IF(EM166="","",EM166-EM167)</f>
        <v/>
      </c>
      <c r="EO166" s="5"/>
      <c r="EP166" s="5" t="str">
        <f>IF(EO166="","",EO166-EO167)</f>
        <v/>
      </c>
      <c r="EQ166" s="5"/>
      <c r="ER166" s="5" t="str">
        <f>IF(EQ166="","",EQ167+ES167-EQ166)</f>
        <v/>
      </c>
      <c r="ES166" s="5"/>
      <c r="ET166" s="2" t="str">
        <f t="shared" si="523"/>
        <v/>
      </c>
      <c r="EU166" s="4" t="str">
        <f>IF(EM166="","",EU167)</f>
        <v/>
      </c>
      <c r="EV166" s="5" t="str">
        <f t="shared" ref="EV166:EV198" si="601">IF(EU166="","",ER166*EU166)</f>
        <v/>
      </c>
      <c r="EW166" s="36" t="str">
        <f t="shared" ref="EW166:EW198" si="602">IF(EV166="","",EV166/(EN166*100))</f>
        <v/>
      </c>
      <c r="EX166" s="29"/>
      <c r="EZ166" s="40"/>
      <c r="FA166" s="5"/>
      <c r="FB166" s="5" t="str">
        <f>IF(FA166="","",FA166-FA167)</f>
        <v/>
      </c>
      <c r="FC166" s="5"/>
      <c r="FD166" s="5" t="str">
        <f>IF(FC166="","",FC166-FC167)</f>
        <v/>
      </c>
      <c r="FE166" s="5"/>
      <c r="FF166" s="5" t="str">
        <f>IF(FE166="","",FE167+FG167-FE166)</f>
        <v/>
      </c>
      <c r="FG166" s="5"/>
      <c r="FH166" s="2" t="str">
        <f t="shared" si="530"/>
        <v/>
      </c>
      <c r="FI166" s="4" t="str">
        <f>IF(FA166="","",FI167)</f>
        <v/>
      </c>
      <c r="FJ166" s="5" t="str">
        <f t="shared" ref="FJ166:FJ198" si="603">IF(FI166="","",FF166*FI166)</f>
        <v/>
      </c>
      <c r="FK166" s="36" t="str">
        <f t="shared" ref="FK166:FK198" si="604">IF(FJ166="","",FJ166/(FB166*100))</f>
        <v/>
      </c>
      <c r="FL166" s="29"/>
      <c r="FN166" s="40"/>
      <c r="FO166" s="5"/>
      <c r="FP166" s="5" t="str">
        <f>IF(FO166="","",FO166-FO167)</f>
        <v/>
      </c>
      <c r="FQ166" s="5"/>
      <c r="FR166" s="5" t="str">
        <f>IF(FQ166="","",FQ166-FQ167)</f>
        <v/>
      </c>
      <c r="FS166" s="5"/>
      <c r="FT166" s="5" t="str">
        <f>IF(FS166="","",FS167+FU167-FS166)</f>
        <v/>
      </c>
      <c r="FU166" s="5"/>
      <c r="FV166" s="2" t="str">
        <f t="shared" si="537"/>
        <v/>
      </c>
      <c r="FW166" s="4" t="str">
        <f>IF(FO166="","",FW167)</f>
        <v/>
      </c>
      <c r="FX166" s="5" t="str">
        <f t="shared" ref="FX166:FX198" si="605">IF(FW166="","",FT166*FW166)</f>
        <v/>
      </c>
      <c r="FY166" s="36" t="str">
        <f t="shared" ref="FY166:FY198" si="606">IF(FX166="","",FX166/(FP166*100))</f>
        <v/>
      </c>
      <c r="FZ166" s="29"/>
      <c r="GB166" s="40"/>
      <c r="GC166" s="5"/>
      <c r="GD166" s="5" t="str">
        <f>IF(GC166="","",GC166-GC167)</f>
        <v/>
      </c>
      <c r="GE166" s="5"/>
      <c r="GF166" s="5" t="str">
        <f>IF(GE166="","",GE166-GE167)</f>
        <v/>
      </c>
      <c r="GG166" s="5"/>
      <c r="GH166" s="5" t="str">
        <f>IF(GG166="","",GG167+GI167-GG166)</f>
        <v/>
      </c>
      <c r="GI166" s="5"/>
      <c r="GJ166" s="2" t="str">
        <f t="shared" si="544"/>
        <v/>
      </c>
      <c r="GK166" s="4" t="str">
        <f>IF(GC166="","",GK167)</f>
        <v/>
      </c>
      <c r="GL166" s="5" t="str">
        <f t="shared" ref="GL166:GL198" si="607">IF(GK166="","",GH166*GK166)</f>
        <v/>
      </c>
      <c r="GM166" s="36" t="str">
        <f t="shared" ref="GM166:GM198" si="608">IF(GL166="","",GL166/(GD166*100))</f>
        <v/>
      </c>
      <c r="GN166" s="29"/>
      <c r="GP166" s="40"/>
      <c r="GQ166" s="5"/>
      <c r="GR166" s="5" t="str">
        <f>IF(GQ166="","",GQ166-GQ167)</f>
        <v/>
      </c>
      <c r="GS166" s="5"/>
      <c r="GT166" s="5" t="str">
        <f>IF(GS166="","",GS166-GS167)</f>
        <v/>
      </c>
      <c r="GU166" s="5"/>
      <c r="GV166" s="5" t="str">
        <f>IF(GU166="","",GU166-GU167)</f>
        <v/>
      </c>
      <c r="GW166" s="5"/>
      <c r="GX166" s="5" t="str">
        <f>IF(GW166="","",GW167+GY167-GW166)</f>
        <v/>
      </c>
      <c r="GY166" s="5"/>
      <c r="GZ166" s="2" t="str">
        <f t="shared" si="552"/>
        <v/>
      </c>
      <c r="HA166" s="4" t="str">
        <f>IF(GQ166="","",HA167)</f>
        <v/>
      </c>
      <c r="HB166" s="5" t="str">
        <f t="shared" ref="HB166:HB198" si="609">IF(HA166="","",GX166*HA166)</f>
        <v/>
      </c>
      <c r="HC166" s="36" t="str">
        <f t="shared" ref="HC166:HC198" si="610">IF(HB166="","",HB166/(GR166*100))</f>
        <v/>
      </c>
      <c r="HD166" s="29"/>
      <c r="HF166" s="40"/>
      <c r="HG166" s="5"/>
      <c r="HH166" s="5" t="str">
        <f>IF(HG166="","",HG166-HG167)</f>
        <v/>
      </c>
      <c r="HI166" s="5"/>
      <c r="HJ166" s="29"/>
      <c r="HL166" s="40"/>
      <c r="HM166" s="5"/>
      <c r="HN166" s="5" t="str">
        <f>IF(HM166="","",HM166-HM167)</f>
        <v/>
      </c>
      <c r="HO166" s="5"/>
      <c r="HP166" s="29"/>
      <c r="HR166" s="40"/>
      <c r="HS166" s="5"/>
      <c r="HT166" s="5" t="str">
        <f>IF(HS166="","",HS166-HS167)</f>
        <v/>
      </c>
      <c r="HU166" s="5"/>
      <c r="HV166" s="29"/>
    </row>
    <row r="167" spans="1:230" ht="15" customHeight="1" thickTop="1" x14ac:dyDescent="0.2">
      <c r="A167" s="49">
        <v>46115</v>
      </c>
      <c r="B167" s="26">
        <f>SUM(D167:D170)+SUM(R167:R170)+SUM(AF167:AF170)+SUM(AT167:AT170)+SUM(CJ155,CX155,DL155,DZ155,EN155,FB155,FP155,GD155,GR155,HH155,HN155,HT155)+SUM(BH167:BH170)+SUM(BV167:BV168)</f>
        <v>2636</v>
      </c>
      <c r="C167" s="4">
        <v>13271</v>
      </c>
      <c r="D167" s="68">
        <f t="shared" si="559"/>
        <v>27</v>
      </c>
      <c r="E167" s="4">
        <v>339</v>
      </c>
      <c r="F167" s="50">
        <f t="shared" si="560"/>
        <v>1</v>
      </c>
      <c r="G167" s="4">
        <v>10</v>
      </c>
      <c r="H167" s="4">
        <f t="shared" si="561"/>
        <v>2</v>
      </c>
      <c r="I167" s="51">
        <v>0</v>
      </c>
      <c r="J167" s="3" t="str">
        <f t="shared" si="562"/>
        <v>ジャグラーボタン</v>
      </c>
      <c r="K167" s="39">
        <f t="shared" si="563"/>
        <v>748</v>
      </c>
      <c r="L167" s="50">
        <f t="shared" si="564"/>
        <v>1496</v>
      </c>
      <c r="M167" s="52">
        <f t="shared" si="565"/>
        <v>0.55407407407407405</v>
      </c>
      <c r="N167" s="29" t="s">
        <v>311</v>
      </c>
      <c r="P167" s="49" t="s">
        <v>162</v>
      </c>
      <c r="Q167" s="4">
        <v>3772</v>
      </c>
      <c r="R167" s="4">
        <f t="shared" si="566"/>
        <v>54</v>
      </c>
      <c r="S167" s="4">
        <v>189</v>
      </c>
      <c r="T167" s="50">
        <f t="shared" si="567"/>
        <v>1</v>
      </c>
      <c r="U167" s="4">
        <v>7</v>
      </c>
      <c r="V167" s="4">
        <f t="shared" si="568"/>
        <v>1</v>
      </c>
      <c r="W167" s="51">
        <v>0</v>
      </c>
      <c r="X167" s="3" t="str">
        <f t="shared" ref="X167:X206" si="611">IF(Q167="","",X163)</f>
        <v>サンリオボアバンスクリップ</v>
      </c>
      <c r="Y167" s="39">
        <f t="shared" si="590"/>
        <v>660</v>
      </c>
      <c r="Z167" s="50">
        <f t="shared" si="569"/>
        <v>660</v>
      </c>
      <c r="AA167" s="52">
        <f t="shared" si="570"/>
        <v>0.12222222222222222</v>
      </c>
      <c r="AB167" s="29"/>
      <c r="AD167" s="53">
        <f>IF($A167="","",$A167)</f>
        <v>46115</v>
      </c>
      <c r="AE167" s="4">
        <v>1793</v>
      </c>
      <c r="AF167" s="4">
        <f t="shared" si="571"/>
        <v>69</v>
      </c>
      <c r="AG167" s="4">
        <v>18</v>
      </c>
      <c r="AH167" s="50">
        <f t="shared" si="572"/>
        <v>4</v>
      </c>
      <c r="AI167" s="4">
        <v>13</v>
      </c>
      <c r="AJ167" s="4">
        <f t="shared" si="573"/>
        <v>2</v>
      </c>
      <c r="AK167" s="51">
        <v>0</v>
      </c>
      <c r="AL167" s="3" t="str">
        <f t="shared" si="574"/>
        <v>モンチッチがま口</v>
      </c>
      <c r="AM167" s="39">
        <f t="shared" si="575"/>
        <v>462</v>
      </c>
      <c r="AN167" s="50">
        <f t="shared" si="576"/>
        <v>924</v>
      </c>
      <c r="AO167" s="52">
        <f t="shared" si="577"/>
        <v>0.13391304347826086</v>
      </c>
      <c r="AP167" s="29"/>
      <c r="AR167" s="53">
        <f>IF($A167="","",$A167)</f>
        <v>46115</v>
      </c>
      <c r="AS167" s="4">
        <v>1140</v>
      </c>
      <c r="AT167" s="4">
        <f t="shared" si="578"/>
        <v>80</v>
      </c>
      <c r="AU167" s="4">
        <v>25</v>
      </c>
      <c r="AV167" s="50">
        <f t="shared" si="591"/>
        <v>1</v>
      </c>
      <c r="AW167" s="4">
        <v>9</v>
      </c>
      <c r="AX167" s="4">
        <f t="shared" si="579"/>
        <v>1</v>
      </c>
      <c r="AY167" s="51">
        <v>0</v>
      </c>
      <c r="AZ167" s="3" t="str">
        <f t="shared" si="580"/>
        <v>デジタルミニカメラ</v>
      </c>
      <c r="BA167" s="39">
        <f t="shared" si="581"/>
        <v>1075</v>
      </c>
      <c r="BB167" s="50">
        <f t="shared" si="582"/>
        <v>1075</v>
      </c>
      <c r="BC167" s="52">
        <f t="shared" si="583"/>
        <v>0.13437499999999999</v>
      </c>
      <c r="BD167" s="29"/>
      <c r="BE167" s="32"/>
      <c r="BF167" s="33">
        <f>IF($A167="","",$A167)</f>
        <v>46115</v>
      </c>
      <c r="BG167" s="4">
        <v>2512</v>
      </c>
      <c r="BH167" s="4">
        <f t="shared" si="584"/>
        <v>111</v>
      </c>
      <c r="BI167" s="4">
        <v>18</v>
      </c>
      <c r="BJ167" s="50">
        <f t="shared" si="585"/>
        <v>1</v>
      </c>
      <c r="BK167" s="4">
        <v>2</v>
      </c>
      <c r="BL167" s="4">
        <f t="shared" si="586"/>
        <v>1</v>
      </c>
      <c r="BM167" s="4">
        <v>1</v>
      </c>
      <c r="BN167" s="2" t="str">
        <f>IF(BG167="","",BN163)</f>
        <v>ボンボンドロップシール</v>
      </c>
      <c r="BO167" s="27">
        <f>IF(BG167="","",BO163)</f>
        <v>1500</v>
      </c>
      <c r="BP167" s="5">
        <f t="shared" si="587"/>
        <v>1500</v>
      </c>
      <c r="BQ167" s="52">
        <f t="shared" si="491"/>
        <v>0.13513513513513514</v>
      </c>
      <c r="BR167" s="29"/>
      <c r="BT167" s="33">
        <f>IF($A167="","",$A167)</f>
        <v>46115</v>
      </c>
      <c r="BU167" s="4">
        <v>35564</v>
      </c>
      <c r="BV167" s="4">
        <f t="shared" si="588"/>
        <v>106</v>
      </c>
      <c r="BW167" s="4">
        <v>3852</v>
      </c>
      <c r="BX167" s="50">
        <f t="shared" si="589"/>
        <v>8</v>
      </c>
      <c r="BY167" s="4">
        <v>33</v>
      </c>
      <c r="BZ167" s="4">
        <f>IF(BY167="","",BY163+CA163-BY167)</f>
        <v>8</v>
      </c>
      <c r="CA167" s="4">
        <v>5</v>
      </c>
      <c r="CB167" s="2" t="str">
        <f>IF(BU167="","",CB163)</f>
        <v>ベイビースリーフェイス</v>
      </c>
      <c r="CC167" s="27">
        <f>IF(BU167="","",CC163)</f>
        <v>1050</v>
      </c>
      <c r="CD167" s="5">
        <f>IF(BY167="","",BZ167*CC167)</f>
        <v>8400</v>
      </c>
      <c r="CE167" s="52">
        <f>IF(BZ167="","",CD167/(BV167*100))</f>
        <v>0.79245283018867929</v>
      </c>
      <c r="CF167" s="29"/>
      <c r="CH167" s="40"/>
      <c r="CI167" s="5"/>
      <c r="CJ167" s="5" t="str">
        <f>IF(CI167="","",CI167-CI164)</f>
        <v/>
      </c>
      <c r="CK167" s="5"/>
      <c r="CL167" s="5" t="str">
        <f>IF(CK167="","",CK167-CK164)</f>
        <v/>
      </c>
      <c r="CM167" s="5"/>
      <c r="CN167" s="5" t="str">
        <f>IF(CM167="","",CM164+CO164-CM167)</f>
        <v/>
      </c>
      <c r="CO167" s="5"/>
      <c r="CP167" s="2" t="str">
        <f t="shared" si="495"/>
        <v/>
      </c>
      <c r="CQ167" s="4" t="str">
        <f>IF(CI167="","",CQ164)</f>
        <v/>
      </c>
      <c r="CR167" s="5" t="str">
        <f t="shared" si="593"/>
        <v/>
      </c>
      <c r="CS167" s="36" t="str">
        <f t="shared" si="594"/>
        <v/>
      </c>
      <c r="CT167" s="29"/>
      <c r="CV167" s="40"/>
      <c r="CW167" s="5"/>
      <c r="CX167" s="5" t="str">
        <f>IF(CW167="","",CW167-CW164)</f>
        <v/>
      </c>
      <c r="CY167" s="5"/>
      <c r="CZ167" s="5" t="str">
        <f>IF(CY167="","",CY167-CY164)</f>
        <v/>
      </c>
      <c r="DA167" s="5"/>
      <c r="DB167" s="5" t="str">
        <f>IF(DA167="","",DA164+DC164-DA167)</f>
        <v/>
      </c>
      <c r="DC167" s="5"/>
      <c r="DD167" s="2" t="str">
        <f t="shared" si="502"/>
        <v/>
      </c>
      <c r="DE167" s="4" t="str">
        <f>IF(CW167="","",DE164)</f>
        <v/>
      </c>
      <c r="DF167" s="5" t="str">
        <f t="shared" si="595"/>
        <v/>
      </c>
      <c r="DG167" s="36" t="str">
        <f t="shared" si="596"/>
        <v/>
      </c>
      <c r="DH167" s="29"/>
      <c r="DJ167" s="40"/>
      <c r="DK167" s="5"/>
      <c r="DL167" s="5" t="str">
        <f>IF(DK167="","",DK167-DK164)</f>
        <v/>
      </c>
      <c r="DM167" s="5"/>
      <c r="DN167" s="5" t="str">
        <f>IF(DM167="","",DM167-DM164)</f>
        <v/>
      </c>
      <c r="DO167" s="5"/>
      <c r="DP167" s="5" t="str">
        <f>IF(DO167="","",DO164+DQ164-DO167)</f>
        <v/>
      </c>
      <c r="DQ167" s="5"/>
      <c r="DR167" s="2" t="str">
        <f t="shared" si="509"/>
        <v/>
      </c>
      <c r="DS167" s="4" t="str">
        <f>IF(DK167="","",DS164)</f>
        <v/>
      </c>
      <c r="DT167" s="5" t="str">
        <f t="shared" si="597"/>
        <v/>
      </c>
      <c r="DU167" s="36" t="str">
        <f t="shared" si="598"/>
        <v/>
      </c>
      <c r="DV167" s="29"/>
      <c r="DX167" s="40"/>
      <c r="DY167" s="5"/>
      <c r="DZ167" s="5" t="str">
        <f>IF(DY167="","",DY167-DY164)</f>
        <v/>
      </c>
      <c r="EA167" s="5"/>
      <c r="EB167" s="5" t="str">
        <f>IF(EA167="","",EA167-EA164)</f>
        <v/>
      </c>
      <c r="EC167" s="5"/>
      <c r="ED167" s="5" t="str">
        <f>IF(EC167="","",EC164+EE164-EC167)</f>
        <v/>
      </c>
      <c r="EE167" s="5"/>
      <c r="EF167" s="2" t="str">
        <f t="shared" si="516"/>
        <v/>
      </c>
      <c r="EG167" s="4" t="str">
        <f>IF(DY167="","",EG164)</f>
        <v/>
      </c>
      <c r="EH167" s="5" t="str">
        <f t="shared" si="599"/>
        <v/>
      </c>
      <c r="EI167" s="36" t="str">
        <f t="shared" si="600"/>
        <v/>
      </c>
      <c r="EJ167" s="29"/>
      <c r="EL167" s="40"/>
      <c r="EM167" s="5"/>
      <c r="EN167" s="5" t="str">
        <f>IF(EM167="","",EM167-EM164)</f>
        <v/>
      </c>
      <c r="EO167" s="5"/>
      <c r="EP167" s="5" t="str">
        <f>IF(EO167="","",EO167-EO164)</f>
        <v/>
      </c>
      <c r="EQ167" s="5"/>
      <c r="ER167" s="5" t="str">
        <f>IF(EQ167="","",EQ164+ES164-EQ167)</f>
        <v/>
      </c>
      <c r="ES167" s="5"/>
      <c r="ET167" s="2" t="str">
        <f t="shared" si="523"/>
        <v/>
      </c>
      <c r="EU167" s="4" t="str">
        <f>IF(EM167="","",EU164)</f>
        <v/>
      </c>
      <c r="EV167" s="5" t="str">
        <f t="shared" si="601"/>
        <v/>
      </c>
      <c r="EW167" s="36" t="str">
        <f t="shared" si="602"/>
        <v/>
      </c>
      <c r="EX167" s="29"/>
      <c r="EZ167" s="40"/>
      <c r="FA167" s="5"/>
      <c r="FB167" s="5" t="str">
        <f>IF(FA167="","",FA167-FA164)</f>
        <v/>
      </c>
      <c r="FC167" s="5"/>
      <c r="FD167" s="5" t="str">
        <f>IF(FC167="","",FC167-FC164)</f>
        <v/>
      </c>
      <c r="FE167" s="5"/>
      <c r="FF167" s="5" t="str">
        <f>IF(FE167="","",FE164+FG164-FE167)</f>
        <v/>
      </c>
      <c r="FG167" s="5"/>
      <c r="FH167" s="2" t="str">
        <f t="shared" si="530"/>
        <v/>
      </c>
      <c r="FI167" s="4" t="str">
        <f>IF(FA167="","",FI164)</f>
        <v/>
      </c>
      <c r="FJ167" s="5" t="str">
        <f t="shared" si="603"/>
        <v/>
      </c>
      <c r="FK167" s="36" t="str">
        <f t="shared" si="604"/>
        <v/>
      </c>
      <c r="FL167" s="29"/>
      <c r="FN167" s="40"/>
      <c r="FO167" s="5"/>
      <c r="FP167" s="5" t="str">
        <f>IF(FO167="","",FO167-FO164)</f>
        <v/>
      </c>
      <c r="FQ167" s="5"/>
      <c r="FR167" s="5" t="str">
        <f>IF(FQ167="","",FQ167-FQ164)</f>
        <v/>
      </c>
      <c r="FS167" s="5"/>
      <c r="FT167" s="5" t="str">
        <f>IF(FS167="","",FS164+FU164-FS167)</f>
        <v/>
      </c>
      <c r="FU167" s="5"/>
      <c r="FV167" s="2" t="str">
        <f t="shared" si="537"/>
        <v/>
      </c>
      <c r="FW167" s="4" t="str">
        <f>IF(FO167="","",FW164)</f>
        <v/>
      </c>
      <c r="FX167" s="5" t="str">
        <f t="shared" si="605"/>
        <v/>
      </c>
      <c r="FY167" s="36" t="str">
        <f t="shared" si="606"/>
        <v/>
      </c>
      <c r="FZ167" s="29"/>
      <c r="GB167" s="40"/>
      <c r="GC167" s="5"/>
      <c r="GD167" s="5" t="str">
        <f>IF(GC167="","",GC167-GC164)</f>
        <v/>
      </c>
      <c r="GE167" s="5"/>
      <c r="GF167" s="5" t="str">
        <f>IF(GE167="","",GE167-GE164)</f>
        <v/>
      </c>
      <c r="GG167" s="5"/>
      <c r="GH167" s="5" t="str">
        <f>IF(GG167="","",GG164+GI164-GG167)</f>
        <v/>
      </c>
      <c r="GI167" s="5"/>
      <c r="GJ167" s="2" t="str">
        <f t="shared" si="544"/>
        <v/>
      </c>
      <c r="GK167" s="4" t="str">
        <f>IF(GC167="","",GK164)</f>
        <v/>
      </c>
      <c r="GL167" s="5" t="str">
        <f t="shared" si="607"/>
        <v/>
      </c>
      <c r="GM167" s="36" t="str">
        <f t="shared" si="608"/>
        <v/>
      </c>
      <c r="GN167" s="29"/>
      <c r="GP167" s="40"/>
      <c r="GQ167" s="5"/>
      <c r="GR167" s="5" t="str">
        <f>IF(GQ167="","",GQ167-GQ164)</f>
        <v/>
      </c>
      <c r="GS167" s="5"/>
      <c r="GT167" s="5" t="str">
        <f>IF(GS167="","",GS167-GS164)</f>
        <v/>
      </c>
      <c r="GU167" s="5"/>
      <c r="GV167" s="5" t="str">
        <f>IF(GU167="","",GU167-GU164)</f>
        <v/>
      </c>
      <c r="GW167" s="5"/>
      <c r="GX167" s="5" t="str">
        <f>IF(GW167="","",GW164+GY164-GW167)</f>
        <v/>
      </c>
      <c r="GY167" s="5"/>
      <c r="GZ167" s="2" t="str">
        <f t="shared" si="552"/>
        <v/>
      </c>
      <c r="HA167" s="4" t="str">
        <f>IF(GQ167="","",HA164)</f>
        <v/>
      </c>
      <c r="HB167" s="5" t="str">
        <f t="shared" si="609"/>
        <v/>
      </c>
      <c r="HC167" s="36" t="str">
        <f t="shared" si="610"/>
        <v/>
      </c>
      <c r="HD167" s="29"/>
      <c r="HF167" s="40"/>
      <c r="HG167" s="5"/>
      <c r="HH167" s="5" t="str">
        <f>IF(HG167="","",HG167-HG164)</f>
        <v/>
      </c>
      <c r="HI167" s="5"/>
      <c r="HJ167" s="29"/>
      <c r="HL167" s="40"/>
      <c r="HM167" s="5"/>
      <c r="HN167" s="5" t="str">
        <f>IF(HM167="","",HM167-HM164)</f>
        <v/>
      </c>
      <c r="HO167" s="5"/>
      <c r="HP167" s="29"/>
      <c r="HR167" s="40"/>
      <c r="HS167" s="5"/>
      <c r="HT167" s="5" t="str">
        <f>IF(HS167="","",HS167-HS164)</f>
        <v/>
      </c>
      <c r="HU167" s="5"/>
      <c r="HV167" s="29"/>
    </row>
    <row r="168" spans="1:230" x14ac:dyDescent="0.2">
      <c r="A168" s="49"/>
      <c r="B168" s="26"/>
      <c r="C168" s="4">
        <v>16748</v>
      </c>
      <c r="D168" s="48">
        <f t="shared" si="559"/>
        <v>18</v>
      </c>
      <c r="E168" s="5">
        <v>520</v>
      </c>
      <c r="F168" s="5">
        <f t="shared" si="560"/>
        <v>1</v>
      </c>
      <c r="G168" s="5">
        <v>11</v>
      </c>
      <c r="H168" s="5">
        <f t="shared" si="561"/>
        <v>1</v>
      </c>
      <c r="I168" s="35">
        <v>3</v>
      </c>
      <c r="J168" s="3" t="str">
        <f t="shared" si="562"/>
        <v>チェキフィルム</v>
      </c>
      <c r="K168" s="39">
        <f t="shared" si="563"/>
        <v>358</v>
      </c>
      <c r="L168" s="5">
        <f t="shared" si="564"/>
        <v>358</v>
      </c>
      <c r="M168" s="36">
        <f t="shared" si="565"/>
        <v>0.19888888888888889</v>
      </c>
      <c r="N168" s="29" t="s">
        <v>311</v>
      </c>
      <c r="P168" s="49"/>
      <c r="Q168" s="4">
        <v>10576</v>
      </c>
      <c r="R168" s="5">
        <f t="shared" si="566"/>
        <v>79</v>
      </c>
      <c r="S168" s="5">
        <v>177</v>
      </c>
      <c r="T168" s="5">
        <f t="shared" si="567"/>
        <v>1</v>
      </c>
      <c r="U168" s="5">
        <v>7</v>
      </c>
      <c r="V168" s="5">
        <f t="shared" si="568"/>
        <v>1</v>
      </c>
      <c r="W168" s="35">
        <v>0</v>
      </c>
      <c r="X168" s="3" t="str">
        <f t="shared" si="611"/>
        <v>サンリオヘアバンド</v>
      </c>
      <c r="Y168" s="39">
        <f t="shared" si="590"/>
        <v>825</v>
      </c>
      <c r="Z168" s="5">
        <f t="shared" si="569"/>
        <v>825</v>
      </c>
      <c r="AA168" s="36">
        <f t="shared" si="570"/>
        <v>0.10443037974683544</v>
      </c>
      <c r="AB168" s="29"/>
      <c r="AD168" s="54"/>
      <c r="AE168" s="4">
        <v>1361</v>
      </c>
      <c r="AF168" s="5">
        <f t="shared" si="571"/>
        <v>117</v>
      </c>
      <c r="AG168" s="5">
        <v>24</v>
      </c>
      <c r="AH168" s="5">
        <f t="shared" si="572"/>
        <v>3</v>
      </c>
      <c r="AI168" s="5">
        <v>7</v>
      </c>
      <c r="AJ168" s="5">
        <f t="shared" si="573"/>
        <v>3</v>
      </c>
      <c r="AK168" s="35">
        <v>4</v>
      </c>
      <c r="AL168" s="3" t="str">
        <f t="shared" si="574"/>
        <v>バタースクイーズ</v>
      </c>
      <c r="AM168" s="39">
        <f t="shared" si="575"/>
        <v>1100</v>
      </c>
      <c r="AN168" s="5">
        <f t="shared" si="576"/>
        <v>3300</v>
      </c>
      <c r="AO168" s="36">
        <f t="shared" si="577"/>
        <v>0.28205128205128205</v>
      </c>
      <c r="AP168" s="29"/>
      <c r="AR168" s="54"/>
      <c r="AS168" s="4">
        <v>1094</v>
      </c>
      <c r="AT168" s="5">
        <f t="shared" si="578"/>
        <v>68</v>
      </c>
      <c r="AU168" s="5">
        <v>2</v>
      </c>
      <c r="AV168" s="5">
        <f t="shared" si="591"/>
        <v>1</v>
      </c>
      <c r="AW168" s="5">
        <v>11</v>
      </c>
      <c r="AX168" s="5">
        <f t="shared" si="579"/>
        <v>1</v>
      </c>
      <c r="AY168" s="35">
        <v>0</v>
      </c>
      <c r="AZ168" s="3" t="str">
        <f t="shared" si="580"/>
        <v>ゲーム機イヤホン</v>
      </c>
      <c r="BA168" s="39">
        <f t="shared" si="581"/>
        <v>770</v>
      </c>
      <c r="BB168" s="5">
        <f t="shared" si="582"/>
        <v>770</v>
      </c>
      <c r="BC168" s="36">
        <f t="shared" si="583"/>
        <v>0.11323529411764706</v>
      </c>
      <c r="BD168" s="29"/>
      <c r="BE168" s="32"/>
      <c r="BF168" s="25"/>
      <c r="BG168" s="4">
        <v>4381</v>
      </c>
      <c r="BH168" s="5">
        <f t="shared" si="584"/>
        <v>178</v>
      </c>
      <c r="BI168" s="4">
        <v>34</v>
      </c>
      <c r="BJ168" s="5">
        <f t="shared" si="585"/>
        <v>2</v>
      </c>
      <c r="BK168" s="4">
        <v>2</v>
      </c>
      <c r="BL168" s="5">
        <f t="shared" si="586"/>
        <v>1</v>
      </c>
      <c r="BM168" s="4">
        <v>1</v>
      </c>
      <c r="BN168" s="3" t="str">
        <f>IF(BG168="","",BN164)</f>
        <v>ボンボンドロップシール</v>
      </c>
      <c r="BO168" s="39">
        <f>IF(BG167="","",BO164)</f>
        <v>1500</v>
      </c>
      <c r="BP168" s="4">
        <f t="shared" si="587"/>
        <v>1500</v>
      </c>
      <c r="BQ168" s="36">
        <f t="shared" si="491"/>
        <v>8.4269662921348312E-2</v>
      </c>
      <c r="BR168" s="29"/>
      <c r="BT168" s="25"/>
      <c r="BU168" s="4">
        <v>31517</v>
      </c>
      <c r="BV168" s="5">
        <f t="shared" si="588"/>
        <v>74</v>
      </c>
      <c r="BW168" s="4">
        <v>1675</v>
      </c>
      <c r="BX168" s="5">
        <f t="shared" si="589"/>
        <v>0</v>
      </c>
      <c r="BY168" s="5">
        <v>39</v>
      </c>
      <c r="BZ168" s="5">
        <f>IF(BY168="","",BY164+CA164-BY168)</f>
        <v>0</v>
      </c>
      <c r="CA168" s="4">
        <v>2</v>
      </c>
      <c r="CB168" s="3" t="str">
        <f>IF(BU168="","",CB164)</f>
        <v>サンリオボアポーチ</v>
      </c>
      <c r="CC168" s="39">
        <f>IF(BU167="","",CC164)</f>
        <v>950</v>
      </c>
      <c r="CD168" s="4">
        <f>IF(BY168="","",BZ168*CC168)</f>
        <v>0</v>
      </c>
      <c r="CE168" s="36">
        <f>IF(BZ168="","",CD168/(BV168*100))</f>
        <v>0</v>
      </c>
      <c r="CF168" s="29"/>
      <c r="CH168" s="75"/>
      <c r="CI168" s="5"/>
      <c r="CJ168" s="5" t="str">
        <f>IF(CI168="","",CI168-CI166)</f>
        <v/>
      </c>
      <c r="CK168" s="5"/>
      <c r="CL168" s="5" t="str">
        <f>IF(CK168="","",CK168-CK166)</f>
        <v/>
      </c>
      <c r="CM168" s="5"/>
      <c r="CN168" s="5" t="str">
        <f>IF(CM168="","",CM166+CO166-CM168)</f>
        <v/>
      </c>
      <c r="CO168" s="5"/>
      <c r="CP168" s="2" t="str">
        <f t="shared" si="495"/>
        <v/>
      </c>
      <c r="CQ168" s="4" t="str">
        <f>IF(CI168="","",CQ166)</f>
        <v/>
      </c>
      <c r="CR168" s="5" t="str">
        <f t="shared" si="593"/>
        <v/>
      </c>
      <c r="CS168" s="36" t="str">
        <f t="shared" si="594"/>
        <v/>
      </c>
      <c r="CT168" s="29"/>
      <c r="CV168" s="75"/>
      <c r="CW168" s="5"/>
      <c r="CX168" s="5" t="str">
        <f>IF(CW168="","",CW168-CW166)</f>
        <v/>
      </c>
      <c r="CY168" s="5"/>
      <c r="CZ168" s="5" t="str">
        <f>IF(CY168="","",CY168-CY166)</f>
        <v/>
      </c>
      <c r="DA168" s="5"/>
      <c r="DB168" s="5" t="str">
        <f>IF(DA168="","",DA166+DC166-DA168)</f>
        <v/>
      </c>
      <c r="DC168" s="5"/>
      <c r="DD168" s="2" t="str">
        <f t="shared" si="502"/>
        <v/>
      </c>
      <c r="DE168" s="4" t="str">
        <f>IF(CW168="","",DE166)</f>
        <v/>
      </c>
      <c r="DF168" s="5" t="str">
        <f t="shared" si="595"/>
        <v/>
      </c>
      <c r="DG168" s="36" t="str">
        <f t="shared" si="596"/>
        <v/>
      </c>
      <c r="DH168" s="29"/>
      <c r="DJ168" s="75"/>
      <c r="DK168" s="5"/>
      <c r="DL168" s="5" t="str">
        <f>IF(DK168="","",DK168-DK166)</f>
        <v/>
      </c>
      <c r="DM168" s="5"/>
      <c r="DN168" s="5" t="str">
        <f>IF(DM168="","",DM168-DM166)</f>
        <v/>
      </c>
      <c r="DO168" s="5"/>
      <c r="DP168" s="5" t="str">
        <f>IF(DO168="","",DO166+DQ166-DO168)</f>
        <v/>
      </c>
      <c r="DQ168" s="5"/>
      <c r="DR168" s="2" t="str">
        <f t="shared" si="509"/>
        <v/>
      </c>
      <c r="DS168" s="4" t="str">
        <f>IF(DK168="","",DS166)</f>
        <v/>
      </c>
      <c r="DT168" s="5" t="str">
        <f t="shared" si="597"/>
        <v/>
      </c>
      <c r="DU168" s="36" t="str">
        <f t="shared" si="598"/>
        <v/>
      </c>
      <c r="DV168" s="29"/>
      <c r="DX168" s="75"/>
      <c r="DY168" s="5"/>
      <c r="DZ168" s="5" t="str">
        <f>IF(DY168="","",DY168-DY166)</f>
        <v/>
      </c>
      <c r="EA168" s="5"/>
      <c r="EB168" s="5" t="str">
        <f>IF(EA168="","",EA168-EA166)</f>
        <v/>
      </c>
      <c r="EC168" s="5"/>
      <c r="ED168" s="5" t="str">
        <f>IF(EC168="","",EC166+EE166-EC168)</f>
        <v/>
      </c>
      <c r="EE168" s="5"/>
      <c r="EF168" s="2" t="str">
        <f t="shared" si="516"/>
        <v/>
      </c>
      <c r="EG168" s="4" t="str">
        <f>IF(DY168="","",EG166)</f>
        <v/>
      </c>
      <c r="EH168" s="5" t="str">
        <f t="shared" si="599"/>
        <v/>
      </c>
      <c r="EI168" s="36" t="str">
        <f t="shared" si="600"/>
        <v/>
      </c>
      <c r="EJ168" s="29"/>
      <c r="EL168" s="75"/>
      <c r="EM168" s="5"/>
      <c r="EN168" s="5" t="str">
        <f>IF(EM168="","",EM168-EM166)</f>
        <v/>
      </c>
      <c r="EO168" s="5"/>
      <c r="EP168" s="5" t="str">
        <f>IF(EO168="","",EO168-EO166)</f>
        <v/>
      </c>
      <c r="EQ168" s="5"/>
      <c r="ER168" s="5" t="str">
        <f>IF(EQ168="","",EQ166+ES166-EQ168)</f>
        <v/>
      </c>
      <c r="ES168" s="5"/>
      <c r="ET168" s="2" t="str">
        <f t="shared" si="523"/>
        <v/>
      </c>
      <c r="EU168" s="4" t="str">
        <f>IF(EM168="","",EU166)</f>
        <v/>
      </c>
      <c r="EV168" s="5" t="str">
        <f t="shared" si="601"/>
        <v/>
      </c>
      <c r="EW168" s="36" t="str">
        <f t="shared" si="602"/>
        <v/>
      </c>
      <c r="EX168" s="29"/>
      <c r="EZ168" s="75"/>
      <c r="FA168" s="5"/>
      <c r="FB168" s="5" t="str">
        <f>IF(FA168="","",FA168-FA166)</f>
        <v/>
      </c>
      <c r="FC168" s="5"/>
      <c r="FD168" s="5" t="str">
        <f>IF(FC168="","",FC168-FC166)</f>
        <v/>
      </c>
      <c r="FE168" s="5"/>
      <c r="FF168" s="5" t="str">
        <f>IF(FE168="","",FE166+FG166-FE168)</f>
        <v/>
      </c>
      <c r="FG168" s="5"/>
      <c r="FH168" s="2" t="str">
        <f t="shared" si="530"/>
        <v/>
      </c>
      <c r="FI168" s="4" t="str">
        <f>IF(FA168="","",FI166)</f>
        <v/>
      </c>
      <c r="FJ168" s="5" t="str">
        <f t="shared" si="603"/>
        <v/>
      </c>
      <c r="FK168" s="36" t="str">
        <f t="shared" si="604"/>
        <v/>
      </c>
      <c r="FL168" s="29"/>
      <c r="FN168" s="75"/>
      <c r="FO168" s="5"/>
      <c r="FP168" s="5" t="str">
        <f>IF(FO168="","",FO168-FO166)</f>
        <v/>
      </c>
      <c r="FQ168" s="5"/>
      <c r="FR168" s="5" t="str">
        <f>IF(FQ168="","",FQ168-FQ166)</f>
        <v/>
      </c>
      <c r="FS168" s="5"/>
      <c r="FT168" s="5" t="str">
        <f>IF(FS168="","",FS166+FU166-FS168)</f>
        <v/>
      </c>
      <c r="FU168" s="5"/>
      <c r="FV168" s="2" t="str">
        <f t="shared" si="537"/>
        <v/>
      </c>
      <c r="FW168" s="4" t="str">
        <f>IF(FO168="","",FW166)</f>
        <v/>
      </c>
      <c r="FX168" s="5" t="str">
        <f t="shared" si="605"/>
        <v/>
      </c>
      <c r="FY168" s="36" t="str">
        <f t="shared" si="606"/>
        <v/>
      </c>
      <c r="FZ168" s="29"/>
      <c r="GB168" s="75"/>
      <c r="GC168" s="5"/>
      <c r="GD168" s="5" t="str">
        <f>IF(GC168="","",GC168-GC166)</f>
        <v/>
      </c>
      <c r="GE168" s="5"/>
      <c r="GF168" s="5" t="str">
        <f>IF(GE168="","",GE168-GE166)</f>
        <v/>
      </c>
      <c r="GG168" s="5"/>
      <c r="GH168" s="5" t="str">
        <f>IF(GG168="","",GG166+GI166-GG168)</f>
        <v/>
      </c>
      <c r="GI168" s="5"/>
      <c r="GJ168" s="2" t="str">
        <f t="shared" si="544"/>
        <v/>
      </c>
      <c r="GK168" s="4" t="str">
        <f>IF(GC168="","",GK166)</f>
        <v/>
      </c>
      <c r="GL168" s="5" t="str">
        <f t="shared" si="607"/>
        <v/>
      </c>
      <c r="GM168" s="36" t="str">
        <f t="shared" si="608"/>
        <v/>
      </c>
      <c r="GN168" s="29"/>
      <c r="GP168" s="75"/>
      <c r="GQ168" s="5"/>
      <c r="GR168" s="5" t="str">
        <f>IF(GQ168="","",GQ168-GQ166)</f>
        <v/>
      </c>
      <c r="GS168" s="5"/>
      <c r="GT168" s="5" t="str">
        <f>IF(GS168="","",GS168-GS166)</f>
        <v/>
      </c>
      <c r="GU168" s="5"/>
      <c r="GV168" s="5" t="str">
        <f>IF(GU168="","",GU168-GU166)</f>
        <v/>
      </c>
      <c r="GW168" s="5"/>
      <c r="GX168" s="5" t="str">
        <f>IF(GW168="","",GW166+GY166-GW168)</f>
        <v/>
      </c>
      <c r="GY168" s="5"/>
      <c r="GZ168" s="2" t="str">
        <f t="shared" si="552"/>
        <v/>
      </c>
      <c r="HA168" s="4" t="str">
        <f>IF(GQ168="","",HA166)</f>
        <v/>
      </c>
      <c r="HB168" s="5" t="str">
        <f t="shared" si="609"/>
        <v/>
      </c>
      <c r="HC168" s="36" t="str">
        <f t="shared" si="610"/>
        <v/>
      </c>
      <c r="HD168" s="29"/>
      <c r="HF168" s="75"/>
      <c r="HG168" s="5"/>
      <c r="HH168" s="5" t="str">
        <f>IF(HG168="","",HG168-HG166)</f>
        <v/>
      </c>
      <c r="HI168" s="5"/>
      <c r="HJ168" s="29"/>
      <c r="HL168" s="75"/>
      <c r="HM168" s="5"/>
      <c r="HN168" s="5" t="str">
        <f>IF(HM168="","",HM168-HM166)</f>
        <v/>
      </c>
      <c r="HO168" s="5"/>
      <c r="HP168" s="29"/>
      <c r="HR168" s="75"/>
      <c r="HS168" s="5"/>
      <c r="HT168" s="5" t="str">
        <f>IF(HS168="","",HS168-HS166)</f>
        <v/>
      </c>
      <c r="HU168" s="5"/>
      <c r="HV168" s="29"/>
    </row>
    <row r="169" spans="1:230" ht="15" customHeight="1" x14ac:dyDescent="0.2">
      <c r="A169" s="49"/>
      <c r="B169" s="64"/>
      <c r="C169" s="57">
        <v>18371</v>
      </c>
      <c r="D169" s="5">
        <f t="shared" si="559"/>
        <v>46</v>
      </c>
      <c r="E169" s="5">
        <v>639</v>
      </c>
      <c r="F169" s="5">
        <f t="shared" si="560"/>
        <v>1</v>
      </c>
      <c r="G169" s="5">
        <v>45</v>
      </c>
      <c r="H169" s="5">
        <f t="shared" si="561"/>
        <v>1</v>
      </c>
      <c r="I169" s="35">
        <v>0</v>
      </c>
      <c r="J169" s="3" t="str">
        <f t="shared" si="562"/>
        <v>アングリーキーホルダー</v>
      </c>
      <c r="K169" s="39">
        <f t="shared" si="563"/>
        <v>100</v>
      </c>
      <c r="L169" s="5">
        <f t="shared" si="564"/>
        <v>100</v>
      </c>
      <c r="M169" s="36">
        <f t="shared" si="565"/>
        <v>2.1739130434782608E-2</v>
      </c>
      <c r="N169" s="29"/>
      <c r="P169" s="49"/>
      <c r="Q169" s="57">
        <v>10286</v>
      </c>
      <c r="R169" s="5">
        <f t="shared" si="566"/>
        <v>50</v>
      </c>
      <c r="S169" s="5">
        <v>276</v>
      </c>
      <c r="T169" s="5">
        <f t="shared" si="567"/>
        <v>1</v>
      </c>
      <c r="U169" s="5">
        <v>7</v>
      </c>
      <c r="V169" s="5">
        <f t="shared" si="568"/>
        <v>1</v>
      </c>
      <c r="W169" s="35">
        <v>2</v>
      </c>
      <c r="X169" s="3" t="str">
        <f t="shared" si="611"/>
        <v>キティヘアパッチン</v>
      </c>
      <c r="Y169" s="39">
        <f t="shared" si="590"/>
        <v>638</v>
      </c>
      <c r="Z169" s="5">
        <f t="shared" si="569"/>
        <v>638</v>
      </c>
      <c r="AA169" s="36">
        <f t="shared" si="570"/>
        <v>0.12759999999999999</v>
      </c>
      <c r="AB169" s="29"/>
      <c r="AD169" s="54"/>
      <c r="AE169" s="57">
        <v>1087</v>
      </c>
      <c r="AF169" s="5">
        <f t="shared" si="571"/>
        <v>40</v>
      </c>
      <c r="AG169" s="5">
        <v>28</v>
      </c>
      <c r="AH169" s="5">
        <f t="shared" si="572"/>
        <v>0</v>
      </c>
      <c r="AI169" s="5">
        <v>6</v>
      </c>
      <c r="AJ169" s="5">
        <f t="shared" si="573"/>
        <v>0</v>
      </c>
      <c r="AK169" s="35">
        <v>3</v>
      </c>
      <c r="AL169" s="3" t="str">
        <f t="shared" si="574"/>
        <v>たまごっちマスコット</v>
      </c>
      <c r="AM169" s="39">
        <f t="shared" si="575"/>
        <v>1430</v>
      </c>
      <c r="AN169" s="5">
        <f t="shared" si="576"/>
        <v>0</v>
      </c>
      <c r="AO169" s="36">
        <f t="shared" si="577"/>
        <v>0</v>
      </c>
      <c r="AP169" s="29"/>
      <c r="AR169" s="54"/>
      <c r="AS169" s="57">
        <v>781</v>
      </c>
      <c r="AT169" s="48">
        <f t="shared" si="578"/>
        <v>22</v>
      </c>
      <c r="AU169" s="5">
        <v>999</v>
      </c>
      <c r="AV169" s="5">
        <f t="shared" si="591"/>
        <v>0</v>
      </c>
      <c r="AW169" s="5">
        <v>8</v>
      </c>
      <c r="AX169" s="5">
        <f t="shared" si="579"/>
        <v>0</v>
      </c>
      <c r="AY169" s="35">
        <v>0</v>
      </c>
      <c r="AZ169" s="3" t="str">
        <f t="shared" si="580"/>
        <v>ゲームアーク</v>
      </c>
      <c r="BA169" s="39">
        <f t="shared" si="581"/>
        <v>682</v>
      </c>
      <c r="BB169" s="5">
        <f t="shared" si="582"/>
        <v>0</v>
      </c>
      <c r="BC169" s="36">
        <f t="shared" si="583"/>
        <v>0</v>
      </c>
      <c r="BD169" s="29" t="s">
        <v>312</v>
      </c>
      <c r="BE169" s="32"/>
      <c r="BF169" s="25"/>
      <c r="BG169" s="57">
        <v>1811</v>
      </c>
      <c r="BH169" s="5">
        <f t="shared" si="584"/>
        <v>220</v>
      </c>
      <c r="BI169" s="57">
        <v>12</v>
      </c>
      <c r="BJ169" s="5">
        <f t="shared" si="585"/>
        <v>2</v>
      </c>
      <c r="BK169" s="57">
        <v>3</v>
      </c>
      <c r="BL169" s="5">
        <f t="shared" si="586"/>
        <v>0</v>
      </c>
      <c r="BM169" s="57">
        <v>0</v>
      </c>
      <c r="BN169" s="3" t="str">
        <f>IF(BG167="","",BN165)</f>
        <v>ボンボンドロップシール</v>
      </c>
      <c r="BO169" s="39">
        <f>IF(BG167="","",BO165)</f>
        <v>1500</v>
      </c>
      <c r="BP169" s="5">
        <f t="shared" si="587"/>
        <v>0</v>
      </c>
      <c r="BQ169" s="36">
        <f t="shared" si="491"/>
        <v>0</v>
      </c>
      <c r="BR169" s="29"/>
      <c r="BT169" s="25"/>
      <c r="BU169" s="57"/>
      <c r="BV169" s="5" t="str">
        <f t="shared" si="588"/>
        <v/>
      </c>
      <c r="BW169" s="57"/>
      <c r="BX169" s="5" t="str">
        <f t="shared" si="589"/>
        <v/>
      </c>
      <c r="BY169" s="5"/>
      <c r="BZ169" s="5"/>
      <c r="CA169" s="57"/>
      <c r="CB169" s="3"/>
      <c r="CC169" s="39"/>
      <c r="CD169" s="5"/>
      <c r="CE169" s="36"/>
      <c r="CF169" s="29"/>
      <c r="CH169" s="75" t="str">
        <f>IF($A169="","",$A169)</f>
        <v/>
      </c>
      <c r="CI169" s="5"/>
      <c r="CJ169" s="5" t="str">
        <f>IF(CI169="","",CI169-#REF!)</f>
        <v/>
      </c>
      <c r="CK169" s="5"/>
      <c r="CL169" s="5" t="str">
        <f>IF(CK169="","",CK169-#REF!)</f>
        <v/>
      </c>
      <c r="CM169" s="5"/>
      <c r="CN169" s="5" t="str">
        <f>IF(CM169="","",#REF!+#REF!-CM169)</f>
        <v/>
      </c>
      <c r="CO169" s="5"/>
      <c r="CP169" s="2" t="str">
        <f t="shared" si="495"/>
        <v/>
      </c>
      <c r="CQ169" s="4" t="str">
        <f>IF(CI169="","",#REF!)</f>
        <v/>
      </c>
      <c r="CR169" s="5" t="str">
        <f t="shared" si="593"/>
        <v/>
      </c>
      <c r="CS169" s="36" t="str">
        <f t="shared" si="594"/>
        <v/>
      </c>
      <c r="CT169" s="29"/>
      <c r="CV169" s="75" t="str">
        <f>IF($A169="","",$A169)</f>
        <v/>
      </c>
      <c r="CW169" s="5"/>
      <c r="CX169" s="5" t="str">
        <f>IF(CW169="","",CW169-#REF!)</f>
        <v/>
      </c>
      <c r="CY169" s="5"/>
      <c r="CZ169" s="5" t="str">
        <f>IF(CY169="","",CY169-#REF!)</f>
        <v/>
      </c>
      <c r="DA169" s="5"/>
      <c r="DB169" s="5" t="str">
        <f>IF(DA169="","",#REF!+#REF!-DA169)</f>
        <v/>
      </c>
      <c r="DC169" s="5"/>
      <c r="DD169" s="2" t="str">
        <f t="shared" si="502"/>
        <v/>
      </c>
      <c r="DE169" s="4" t="str">
        <f>IF(CW169="","",#REF!)</f>
        <v/>
      </c>
      <c r="DF169" s="5" t="str">
        <f t="shared" si="595"/>
        <v/>
      </c>
      <c r="DG169" s="36" t="str">
        <f t="shared" si="596"/>
        <v/>
      </c>
      <c r="DH169" s="29"/>
      <c r="DJ169" s="75" t="str">
        <f>IF($A169="","",$A169)</f>
        <v/>
      </c>
      <c r="DK169" s="5"/>
      <c r="DL169" s="5" t="str">
        <f>IF(DK169="","",DK169-#REF!)</f>
        <v/>
      </c>
      <c r="DM169" s="5"/>
      <c r="DN169" s="5" t="str">
        <f>IF(DM169="","",DM169-#REF!)</f>
        <v/>
      </c>
      <c r="DO169" s="5"/>
      <c r="DP169" s="5" t="str">
        <f>IF(DO169="","",#REF!+#REF!-DO169)</f>
        <v/>
      </c>
      <c r="DQ169" s="5"/>
      <c r="DR169" s="2" t="str">
        <f t="shared" si="509"/>
        <v/>
      </c>
      <c r="DS169" s="4" t="str">
        <f>IF(DK169="","",#REF!)</f>
        <v/>
      </c>
      <c r="DT169" s="5" t="str">
        <f t="shared" si="597"/>
        <v/>
      </c>
      <c r="DU169" s="36" t="str">
        <f t="shared" si="598"/>
        <v/>
      </c>
      <c r="DV169" s="29"/>
      <c r="DX169" s="75" t="str">
        <f>IF($A169="","",$A169)</f>
        <v/>
      </c>
      <c r="DY169" s="5"/>
      <c r="DZ169" s="5" t="str">
        <f>IF(DY169="","",DY169-#REF!)</f>
        <v/>
      </c>
      <c r="EA169" s="5"/>
      <c r="EB169" s="5" t="str">
        <f>IF(EA169="","",EA169-#REF!)</f>
        <v/>
      </c>
      <c r="EC169" s="5"/>
      <c r="ED169" s="5" t="str">
        <f>IF(EC169="","",#REF!+#REF!-EC169)</f>
        <v/>
      </c>
      <c r="EE169" s="5"/>
      <c r="EF169" s="2" t="str">
        <f t="shared" si="516"/>
        <v/>
      </c>
      <c r="EG169" s="4" t="str">
        <f>IF(DY169="","",#REF!)</f>
        <v/>
      </c>
      <c r="EH169" s="5" t="str">
        <f t="shared" si="599"/>
        <v/>
      </c>
      <c r="EI169" s="36" t="str">
        <f t="shared" si="600"/>
        <v/>
      </c>
      <c r="EJ169" s="29"/>
      <c r="EL169" s="75" t="str">
        <f>IF($A169="","",$A169)</f>
        <v/>
      </c>
      <c r="EM169" s="5"/>
      <c r="EN169" s="5" t="str">
        <f>IF(EM169="","",EM169-#REF!)</f>
        <v/>
      </c>
      <c r="EO169" s="5"/>
      <c r="EP169" s="5" t="str">
        <f>IF(EO169="","",EO169-#REF!)</f>
        <v/>
      </c>
      <c r="EQ169" s="5"/>
      <c r="ER169" s="5" t="str">
        <f>IF(EQ169="","",#REF!+#REF!-EQ169)</f>
        <v/>
      </c>
      <c r="ES169" s="5"/>
      <c r="ET169" s="2" t="str">
        <f t="shared" si="523"/>
        <v/>
      </c>
      <c r="EU169" s="4" t="str">
        <f>IF(EM169="","",#REF!)</f>
        <v/>
      </c>
      <c r="EV169" s="5" t="str">
        <f t="shared" si="601"/>
        <v/>
      </c>
      <c r="EW169" s="36" t="str">
        <f t="shared" si="602"/>
        <v/>
      </c>
      <c r="EX169" s="29"/>
      <c r="EZ169" s="75" t="str">
        <f>IF($A169="","",$A169)</f>
        <v/>
      </c>
      <c r="FA169" s="5"/>
      <c r="FB169" s="5" t="str">
        <f>IF(FA169="","",FA169-#REF!)</f>
        <v/>
      </c>
      <c r="FC169" s="5"/>
      <c r="FD169" s="5" t="str">
        <f>IF(FC169="","",FC169-#REF!)</f>
        <v/>
      </c>
      <c r="FE169" s="5"/>
      <c r="FF169" s="5" t="str">
        <f>IF(FE169="","",#REF!+#REF!-FE169)</f>
        <v/>
      </c>
      <c r="FG169" s="5"/>
      <c r="FH169" s="2" t="str">
        <f t="shared" si="530"/>
        <v/>
      </c>
      <c r="FI169" s="4" t="str">
        <f>IF(FA169="","",#REF!)</f>
        <v/>
      </c>
      <c r="FJ169" s="5" t="str">
        <f t="shared" si="603"/>
        <v/>
      </c>
      <c r="FK169" s="36" t="str">
        <f t="shared" si="604"/>
        <v/>
      </c>
      <c r="FL169" s="29"/>
      <c r="FN169" s="75" t="str">
        <f>IF($A169="","",$A169)</f>
        <v/>
      </c>
      <c r="FO169" s="5"/>
      <c r="FP169" s="5" t="str">
        <f>IF(FO169="","",FO169-#REF!)</f>
        <v/>
      </c>
      <c r="FQ169" s="5"/>
      <c r="FR169" s="5" t="str">
        <f>IF(FQ169="","",FQ169-#REF!)</f>
        <v/>
      </c>
      <c r="FS169" s="5"/>
      <c r="FT169" s="5" t="str">
        <f>IF(FS169="","",#REF!+#REF!-FS169)</f>
        <v/>
      </c>
      <c r="FU169" s="5"/>
      <c r="FV169" s="2" t="str">
        <f t="shared" si="537"/>
        <v/>
      </c>
      <c r="FW169" s="4" t="str">
        <f>IF(FO169="","",#REF!)</f>
        <v/>
      </c>
      <c r="FX169" s="5" t="str">
        <f t="shared" si="605"/>
        <v/>
      </c>
      <c r="FY169" s="36" t="str">
        <f t="shared" si="606"/>
        <v/>
      </c>
      <c r="FZ169" s="29"/>
      <c r="GB169" s="75" t="str">
        <f>IF($A169="","",$A169)</f>
        <v/>
      </c>
      <c r="GC169" s="5"/>
      <c r="GD169" s="5" t="str">
        <f>IF(GC169="","",GC169-#REF!)</f>
        <v/>
      </c>
      <c r="GE169" s="5"/>
      <c r="GF169" s="5" t="str">
        <f>IF(GE169="","",GE169-#REF!)</f>
        <v/>
      </c>
      <c r="GG169" s="5"/>
      <c r="GH169" s="5" t="str">
        <f>IF(GG169="","",#REF!+#REF!-GG169)</f>
        <v/>
      </c>
      <c r="GI169" s="5"/>
      <c r="GJ169" s="2" t="str">
        <f t="shared" si="544"/>
        <v/>
      </c>
      <c r="GK169" s="4" t="str">
        <f>IF(GC169="","",#REF!)</f>
        <v/>
      </c>
      <c r="GL169" s="5" t="str">
        <f t="shared" si="607"/>
        <v/>
      </c>
      <c r="GM169" s="36" t="str">
        <f t="shared" si="608"/>
        <v/>
      </c>
      <c r="GN169" s="29"/>
      <c r="GP169" s="75" t="str">
        <f>IF($A169="","",$A169)</f>
        <v/>
      </c>
      <c r="GQ169" s="5"/>
      <c r="GR169" s="5" t="str">
        <f>IF(GQ169="","",GQ169-#REF!)</f>
        <v/>
      </c>
      <c r="GS169" s="5"/>
      <c r="GT169" s="5" t="str">
        <f>IF(GS169="","",GS169-#REF!)</f>
        <v/>
      </c>
      <c r="GU169" s="5"/>
      <c r="GV169" s="5" t="str">
        <f>IF(GU169="","",GU169-#REF!)</f>
        <v/>
      </c>
      <c r="GW169" s="5"/>
      <c r="GX169" s="5" t="str">
        <f>IF(GW169="","",#REF!+#REF!-GW169)</f>
        <v/>
      </c>
      <c r="GY169" s="5"/>
      <c r="GZ169" s="2" t="str">
        <f t="shared" si="552"/>
        <v/>
      </c>
      <c r="HA169" s="4" t="str">
        <f>IF(GQ169="","",#REF!)</f>
        <v/>
      </c>
      <c r="HB169" s="5" t="str">
        <f t="shared" si="609"/>
        <v/>
      </c>
      <c r="HC169" s="36" t="str">
        <f t="shared" si="610"/>
        <v/>
      </c>
      <c r="HD169" s="29"/>
      <c r="HF169" s="75" t="str">
        <f>IF($A169="","",$A169)</f>
        <v/>
      </c>
      <c r="HG169" s="5"/>
      <c r="HH169" s="5" t="str">
        <f>IF(HG169="","",HG169-#REF!)</f>
        <v/>
      </c>
      <c r="HI169" s="5"/>
      <c r="HJ169" s="29"/>
      <c r="HL169" s="75" t="str">
        <f>IF($A169="","",$A169)</f>
        <v/>
      </c>
      <c r="HM169" s="5"/>
      <c r="HN169" s="5" t="str">
        <f>IF(HM169="","",HM169-#REF!)</f>
        <v/>
      </c>
      <c r="HO169" s="5"/>
      <c r="HP169" s="29"/>
      <c r="HR169" s="75" t="str">
        <f>IF($A169="","",$A169)</f>
        <v/>
      </c>
      <c r="HS169" s="5"/>
      <c r="HT169" s="5" t="str">
        <f>IF(HS169="","",HS169-#REF!)</f>
        <v/>
      </c>
      <c r="HU169" s="5"/>
      <c r="HV169" s="29"/>
    </row>
    <row r="170" spans="1:230" ht="15" customHeight="1" thickBot="1" x14ac:dyDescent="0.25">
      <c r="A170" s="60"/>
      <c r="B170" s="73"/>
      <c r="C170" s="43">
        <v>22891</v>
      </c>
      <c r="D170" s="61">
        <f t="shared" si="559"/>
        <v>79</v>
      </c>
      <c r="E170" s="44">
        <v>1158</v>
      </c>
      <c r="F170" s="44">
        <f t="shared" si="560"/>
        <v>1</v>
      </c>
      <c r="G170" s="44">
        <v>4</v>
      </c>
      <c r="H170" s="44">
        <f t="shared" si="561"/>
        <v>1</v>
      </c>
      <c r="I170" s="62">
        <v>2</v>
      </c>
      <c r="J170" s="45" t="str">
        <f t="shared" si="562"/>
        <v>パステルケーキ</v>
      </c>
      <c r="K170" s="61">
        <f t="shared" si="563"/>
        <v>187</v>
      </c>
      <c r="L170" s="44">
        <f t="shared" si="564"/>
        <v>187</v>
      </c>
      <c r="M170" s="46">
        <f t="shared" si="565"/>
        <v>2.3670886075949367E-2</v>
      </c>
      <c r="N170" s="29"/>
      <c r="P170" s="60"/>
      <c r="Q170" s="43">
        <v>8909</v>
      </c>
      <c r="R170" s="61">
        <f t="shared" si="566"/>
        <v>40</v>
      </c>
      <c r="S170" s="44">
        <v>221</v>
      </c>
      <c r="T170" s="44">
        <f t="shared" si="567"/>
        <v>3</v>
      </c>
      <c r="U170" s="44">
        <v>11</v>
      </c>
      <c r="V170" s="44">
        <f t="shared" si="568"/>
        <v>5</v>
      </c>
      <c r="W170" s="62">
        <v>9</v>
      </c>
      <c r="X170" s="45" t="str">
        <f t="shared" si="611"/>
        <v>ボンドロ海外製</v>
      </c>
      <c r="Y170" s="61">
        <f t="shared" si="590"/>
        <v>150</v>
      </c>
      <c r="Z170" s="44">
        <f t="shared" si="569"/>
        <v>750</v>
      </c>
      <c r="AA170" s="46">
        <f t="shared" si="570"/>
        <v>0.1875</v>
      </c>
      <c r="AB170" s="29" t="s">
        <v>163</v>
      </c>
      <c r="AD170" s="60"/>
      <c r="AE170" s="43">
        <v>649</v>
      </c>
      <c r="AF170" s="74">
        <f t="shared" si="571"/>
        <v>32</v>
      </c>
      <c r="AG170" s="44">
        <v>23</v>
      </c>
      <c r="AH170" s="44">
        <f t="shared" si="572"/>
        <v>1</v>
      </c>
      <c r="AI170" s="44">
        <v>73</v>
      </c>
      <c r="AJ170" s="44">
        <f t="shared" si="573"/>
        <v>1</v>
      </c>
      <c r="AK170" s="62">
        <v>0</v>
      </c>
      <c r="AL170" s="45" t="str">
        <f t="shared" si="574"/>
        <v>キティボールペン</v>
      </c>
      <c r="AM170" s="61">
        <f t="shared" si="575"/>
        <v>283</v>
      </c>
      <c r="AN170" s="44">
        <f t="shared" si="576"/>
        <v>283</v>
      </c>
      <c r="AO170" s="46">
        <f t="shared" si="577"/>
        <v>8.8437500000000002E-2</v>
      </c>
      <c r="AP170" s="29"/>
      <c r="AR170" s="60"/>
      <c r="AS170" s="43">
        <v>677</v>
      </c>
      <c r="AT170" s="61">
        <f t="shared" si="578"/>
        <v>65</v>
      </c>
      <c r="AU170" s="44">
        <v>17</v>
      </c>
      <c r="AV170" s="44">
        <f t="shared" si="591"/>
        <v>1</v>
      </c>
      <c r="AW170" s="44">
        <v>17</v>
      </c>
      <c r="AX170" s="44">
        <f t="shared" si="579"/>
        <v>0</v>
      </c>
      <c r="AY170" s="62">
        <v>0</v>
      </c>
      <c r="AZ170" s="45" t="str">
        <f t="shared" si="580"/>
        <v>しばこ</v>
      </c>
      <c r="BA170" s="61">
        <f t="shared" si="581"/>
        <v>110</v>
      </c>
      <c r="BB170" s="44">
        <f t="shared" si="582"/>
        <v>0</v>
      </c>
      <c r="BC170" s="46">
        <f t="shared" si="583"/>
        <v>0</v>
      </c>
      <c r="BD170" s="29"/>
      <c r="BE170" s="32"/>
      <c r="BF170" s="41"/>
      <c r="BG170" s="44">
        <v>3450</v>
      </c>
      <c r="BH170" s="44">
        <f t="shared" si="584"/>
        <v>77</v>
      </c>
      <c r="BI170" s="44">
        <v>35</v>
      </c>
      <c r="BJ170" s="44">
        <f t="shared" si="585"/>
        <v>2</v>
      </c>
      <c r="BK170" s="44">
        <v>2</v>
      </c>
      <c r="BL170" s="44">
        <f t="shared" si="586"/>
        <v>1</v>
      </c>
      <c r="BM170" s="44">
        <v>1</v>
      </c>
      <c r="BN170" s="45" t="str">
        <f>IF(BG168="","",BN166)</f>
        <v>ボンボンドロップシール</v>
      </c>
      <c r="BO170" s="61">
        <f>IF(BG167="","",BO166)</f>
        <v>1500</v>
      </c>
      <c r="BP170" s="44">
        <f t="shared" si="587"/>
        <v>1500</v>
      </c>
      <c r="BQ170" s="46">
        <f t="shared" si="491"/>
        <v>0.19480519480519481</v>
      </c>
      <c r="BR170" s="29"/>
      <c r="BT170" s="41"/>
      <c r="BU170" s="44"/>
      <c r="BV170" s="44" t="str">
        <f t="shared" si="588"/>
        <v/>
      </c>
      <c r="BW170" s="44"/>
      <c r="BX170" s="44" t="str">
        <f t="shared" si="589"/>
        <v/>
      </c>
      <c r="BY170" s="44"/>
      <c r="BZ170" s="44"/>
      <c r="CA170" s="44"/>
      <c r="CB170" s="45"/>
      <c r="CC170" s="61"/>
      <c r="CD170" s="44"/>
      <c r="CE170" s="46"/>
      <c r="CF170" s="29"/>
      <c r="CH170" s="75" t="str">
        <f>IF($A170="","",$A170)</f>
        <v/>
      </c>
      <c r="CI170" s="5"/>
      <c r="CJ170" s="5" t="str">
        <f>IF(CI170="","",CI170-CI169)</f>
        <v/>
      </c>
      <c r="CK170" s="5"/>
      <c r="CL170" s="5" t="str">
        <f>IF(CK170="","",CK170-CK169)</f>
        <v/>
      </c>
      <c r="CM170" s="5"/>
      <c r="CN170" s="5" t="str">
        <f>IF(CM170="","",CM169+CO169-CM170)</f>
        <v/>
      </c>
      <c r="CO170" s="5"/>
      <c r="CP170" s="2" t="str">
        <f t="shared" si="495"/>
        <v/>
      </c>
      <c r="CQ170" s="4" t="str">
        <f>IF(CI170="","",CQ169)</f>
        <v/>
      </c>
      <c r="CR170" s="5" t="str">
        <f t="shared" si="593"/>
        <v/>
      </c>
      <c r="CS170" s="36" t="str">
        <f t="shared" si="594"/>
        <v/>
      </c>
      <c r="CT170" s="29"/>
      <c r="CV170" s="75" t="str">
        <f>IF($A170="","",$A170)</f>
        <v/>
      </c>
      <c r="CW170" s="5"/>
      <c r="CX170" s="5" t="str">
        <f>IF(CW170="","",CW170-CW169)</f>
        <v/>
      </c>
      <c r="CY170" s="5"/>
      <c r="CZ170" s="5" t="str">
        <f>IF(CY170="","",CY170-CY169)</f>
        <v/>
      </c>
      <c r="DA170" s="5"/>
      <c r="DB170" s="5" t="str">
        <f>IF(DA170="","",DA169+DC169-DA170)</f>
        <v/>
      </c>
      <c r="DC170" s="5"/>
      <c r="DD170" s="2" t="str">
        <f t="shared" si="502"/>
        <v/>
      </c>
      <c r="DE170" s="4" t="str">
        <f>IF(CW170="","",DE169)</f>
        <v/>
      </c>
      <c r="DF170" s="5" t="str">
        <f t="shared" si="595"/>
        <v/>
      </c>
      <c r="DG170" s="36" t="str">
        <f t="shared" si="596"/>
        <v/>
      </c>
      <c r="DH170" s="29"/>
      <c r="DJ170" s="75" t="str">
        <f>IF($A170="","",$A170)</f>
        <v/>
      </c>
      <c r="DK170" s="5"/>
      <c r="DL170" s="5" t="str">
        <f>IF(DK170="","",DK170-DK169)</f>
        <v/>
      </c>
      <c r="DM170" s="5"/>
      <c r="DN170" s="5" t="str">
        <f>IF(DM170="","",DM170-DM169)</f>
        <v/>
      </c>
      <c r="DO170" s="5"/>
      <c r="DP170" s="5" t="str">
        <f>IF(DO170="","",DO169+DQ169-DO170)</f>
        <v/>
      </c>
      <c r="DQ170" s="5"/>
      <c r="DR170" s="2" t="str">
        <f t="shared" si="509"/>
        <v/>
      </c>
      <c r="DS170" s="4" t="str">
        <f>IF(DK170="","",DS169)</f>
        <v/>
      </c>
      <c r="DT170" s="5" t="str">
        <f t="shared" si="597"/>
        <v/>
      </c>
      <c r="DU170" s="36" t="str">
        <f t="shared" si="598"/>
        <v/>
      </c>
      <c r="DV170" s="29"/>
      <c r="DX170" s="75" t="str">
        <f>IF($A170="","",$A170)</f>
        <v/>
      </c>
      <c r="DY170" s="5"/>
      <c r="DZ170" s="5" t="str">
        <f>IF(DY170="","",DY170-DY169)</f>
        <v/>
      </c>
      <c r="EA170" s="5"/>
      <c r="EB170" s="5" t="str">
        <f>IF(EA170="","",EA170-EA169)</f>
        <v/>
      </c>
      <c r="EC170" s="5"/>
      <c r="ED170" s="5" t="str">
        <f>IF(EC170="","",EC169+EE169-EC170)</f>
        <v/>
      </c>
      <c r="EE170" s="5"/>
      <c r="EF170" s="2" t="str">
        <f t="shared" si="516"/>
        <v/>
      </c>
      <c r="EG170" s="4" t="str">
        <f>IF(DY170="","",EG169)</f>
        <v/>
      </c>
      <c r="EH170" s="5" t="str">
        <f t="shared" si="599"/>
        <v/>
      </c>
      <c r="EI170" s="36" t="str">
        <f t="shared" si="600"/>
        <v/>
      </c>
      <c r="EJ170" s="29"/>
      <c r="EL170" s="75" t="str">
        <f>IF($A170="","",$A170)</f>
        <v/>
      </c>
      <c r="EM170" s="5"/>
      <c r="EN170" s="5" t="str">
        <f>IF(EM170="","",EM170-EM169)</f>
        <v/>
      </c>
      <c r="EO170" s="5"/>
      <c r="EP170" s="5" t="str">
        <f>IF(EO170="","",EO170-EO169)</f>
        <v/>
      </c>
      <c r="EQ170" s="5"/>
      <c r="ER170" s="5" t="str">
        <f>IF(EQ170="","",EQ169+ES169-EQ170)</f>
        <v/>
      </c>
      <c r="ES170" s="5"/>
      <c r="ET170" s="2" t="str">
        <f t="shared" si="523"/>
        <v/>
      </c>
      <c r="EU170" s="4" t="str">
        <f>IF(EM170="","",EU169)</f>
        <v/>
      </c>
      <c r="EV170" s="5" t="str">
        <f t="shared" si="601"/>
        <v/>
      </c>
      <c r="EW170" s="36" t="str">
        <f t="shared" si="602"/>
        <v/>
      </c>
      <c r="EX170" s="29"/>
      <c r="EZ170" s="75" t="str">
        <f>IF($A170="","",$A170)</f>
        <v/>
      </c>
      <c r="FA170" s="5"/>
      <c r="FB170" s="5" t="str">
        <f>IF(FA170="","",FA170-FA169)</f>
        <v/>
      </c>
      <c r="FC170" s="5"/>
      <c r="FD170" s="5" t="str">
        <f>IF(FC170="","",FC170-FC169)</f>
        <v/>
      </c>
      <c r="FE170" s="5"/>
      <c r="FF170" s="5" t="str">
        <f>IF(FE170="","",FE169+FG169-FE170)</f>
        <v/>
      </c>
      <c r="FG170" s="5"/>
      <c r="FH170" s="2" t="str">
        <f t="shared" si="530"/>
        <v/>
      </c>
      <c r="FI170" s="4" t="str">
        <f>IF(FA170="","",FI169)</f>
        <v/>
      </c>
      <c r="FJ170" s="5" t="str">
        <f t="shared" si="603"/>
        <v/>
      </c>
      <c r="FK170" s="36" t="str">
        <f t="shared" si="604"/>
        <v/>
      </c>
      <c r="FL170" s="29"/>
      <c r="FN170" s="75" t="str">
        <f>IF($A170="","",$A170)</f>
        <v/>
      </c>
      <c r="FO170" s="5"/>
      <c r="FP170" s="5" t="str">
        <f>IF(FO170="","",FO170-FO169)</f>
        <v/>
      </c>
      <c r="FQ170" s="5"/>
      <c r="FR170" s="5" t="str">
        <f>IF(FQ170="","",FQ170-FQ169)</f>
        <v/>
      </c>
      <c r="FS170" s="5"/>
      <c r="FT170" s="5" t="str">
        <f>IF(FS170="","",FS169+FU169-FS170)</f>
        <v/>
      </c>
      <c r="FU170" s="5"/>
      <c r="FV170" s="2" t="str">
        <f t="shared" si="537"/>
        <v/>
      </c>
      <c r="FW170" s="4" t="str">
        <f>IF(FO170="","",FW169)</f>
        <v/>
      </c>
      <c r="FX170" s="5" t="str">
        <f t="shared" si="605"/>
        <v/>
      </c>
      <c r="FY170" s="36" t="str">
        <f t="shared" si="606"/>
        <v/>
      </c>
      <c r="FZ170" s="29"/>
      <c r="GB170" s="75" t="str">
        <f>IF($A170="","",$A170)</f>
        <v/>
      </c>
      <c r="GC170" s="5"/>
      <c r="GD170" s="5" t="str">
        <f>IF(GC170="","",GC170-GC169)</f>
        <v/>
      </c>
      <c r="GE170" s="5"/>
      <c r="GF170" s="5" t="str">
        <f>IF(GE170="","",GE170-GE169)</f>
        <v/>
      </c>
      <c r="GG170" s="5"/>
      <c r="GH170" s="5" t="str">
        <f>IF(GG170="","",GG169+GI169-GG170)</f>
        <v/>
      </c>
      <c r="GI170" s="5"/>
      <c r="GJ170" s="2" t="str">
        <f t="shared" si="544"/>
        <v/>
      </c>
      <c r="GK170" s="4" t="str">
        <f>IF(GC170="","",GK169)</f>
        <v/>
      </c>
      <c r="GL170" s="5" t="str">
        <f t="shared" si="607"/>
        <v/>
      </c>
      <c r="GM170" s="36" t="str">
        <f t="shared" si="608"/>
        <v/>
      </c>
      <c r="GN170" s="29"/>
      <c r="GP170" s="75" t="str">
        <f>IF($A170="","",$A170)</f>
        <v/>
      </c>
      <c r="GQ170" s="5"/>
      <c r="GR170" s="5" t="str">
        <f>IF(GQ170="","",GQ170-GQ169)</f>
        <v/>
      </c>
      <c r="GS170" s="5"/>
      <c r="GT170" s="5" t="str">
        <f>IF(GS170="","",GS170-GS169)</f>
        <v/>
      </c>
      <c r="GU170" s="5"/>
      <c r="GV170" s="5" t="str">
        <f>IF(GU170="","",GU170-GU169)</f>
        <v/>
      </c>
      <c r="GW170" s="5"/>
      <c r="GX170" s="5" t="str">
        <f>IF(GW170="","",GW169+GY169-GW170)</f>
        <v/>
      </c>
      <c r="GY170" s="5"/>
      <c r="GZ170" s="2" t="str">
        <f t="shared" si="552"/>
        <v/>
      </c>
      <c r="HA170" s="4" t="str">
        <f>IF(GQ170="","",HA169)</f>
        <v/>
      </c>
      <c r="HB170" s="5" t="str">
        <f t="shared" si="609"/>
        <v/>
      </c>
      <c r="HC170" s="36" t="str">
        <f t="shared" si="610"/>
        <v/>
      </c>
      <c r="HD170" s="29"/>
      <c r="HF170" s="75" t="str">
        <f>IF($A170="","",$A170)</f>
        <v/>
      </c>
      <c r="HG170" s="5"/>
      <c r="HH170" s="5" t="str">
        <f>IF(HG170="","",HG170-HG169)</f>
        <v/>
      </c>
      <c r="HI170" s="5"/>
      <c r="HJ170" s="29"/>
      <c r="HL170" s="75" t="str">
        <f>IF($A170="","",$A170)</f>
        <v/>
      </c>
      <c r="HM170" s="5"/>
      <c r="HN170" s="5" t="str">
        <f>IF(HM170="","",HM170-HM169)</f>
        <v/>
      </c>
      <c r="HO170" s="5"/>
      <c r="HP170" s="29"/>
      <c r="HR170" s="75" t="str">
        <f>IF($A170="","",$A170)</f>
        <v/>
      </c>
      <c r="HS170" s="5"/>
      <c r="HT170" s="5" t="str">
        <f>IF(HS170="","",HS170-HS169)</f>
        <v/>
      </c>
      <c r="HU170" s="5"/>
      <c r="HV170" s="29"/>
    </row>
    <row r="171" spans="1:230" ht="15" customHeight="1" thickTop="1" x14ac:dyDescent="0.2">
      <c r="A171" s="49">
        <v>46118</v>
      </c>
      <c r="B171" s="26">
        <f>SUM(D171:D174)+SUM(R171:R174)+SUM(AF171:AF174)+SUM(AT171:AT174)+SUM(CJ156,CX156,DL156,DZ156,EN156,FB156,FP156,GD156,GR156,HH156,HN156,HT156)+SUM(BH171:BH174)+SUM(BV171:BV172)</f>
        <v>3130</v>
      </c>
      <c r="C171" s="4">
        <v>13325</v>
      </c>
      <c r="D171" s="4">
        <f t="shared" si="559"/>
        <v>54</v>
      </c>
      <c r="E171" s="4">
        <v>339</v>
      </c>
      <c r="F171" s="50">
        <f t="shared" si="560"/>
        <v>0</v>
      </c>
      <c r="G171" s="4">
        <v>10</v>
      </c>
      <c r="H171" s="4">
        <f t="shared" si="561"/>
        <v>0</v>
      </c>
      <c r="I171" s="51">
        <v>0</v>
      </c>
      <c r="J171" s="31" t="str">
        <f t="shared" si="562"/>
        <v>ジャグラーボタン</v>
      </c>
      <c r="K171" s="27">
        <f t="shared" si="563"/>
        <v>748</v>
      </c>
      <c r="L171" s="50">
        <f t="shared" si="564"/>
        <v>0</v>
      </c>
      <c r="M171" s="52">
        <f t="shared" si="565"/>
        <v>0</v>
      </c>
      <c r="N171" s="29"/>
      <c r="P171" s="53">
        <f>IF($A171="","",$A171)</f>
        <v>46118</v>
      </c>
      <c r="Q171" s="4">
        <v>3934</v>
      </c>
      <c r="R171" s="4">
        <f t="shared" si="566"/>
        <v>162</v>
      </c>
      <c r="S171" s="4">
        <v>190</v>
      </c>
      <c r="T171" s="50">
        <f t="shared" si="567"/>
        <v>1</v>
      </c>
      <c r="U171" s="4">
        <v>6</v>
      </c>
      <c r="V171" s="4">
        <f t="shared" si="568"/>
        <v>1</v>
      </c>
      <c r="W171" s="51">
        <v>2</v>
      </c>
      <c r="X171" s="2" t="str">
        <f t="shared" si="611"/>
        <v>サンリオボアバンスクリップ</v>
      </c>
      <c r="Y171" s="27">
        <f t="shared" si="590"/>
        <v>660</v>
      </c>
      <c r="Z171" s="50">
        <f t="shared" si="569"/>
        <v>660</v>
      </c>
      <c r="AA171" s="52">
        <f t="shared" si="570"/>
        <v>4.0740740740740744E-2</v>
      </c>
      <c r="AB171" s="29"/>
      <c r="AD171" s="53">
        <f>IF($A171="","",$A171)</f>
        <v>46118</v>
      </c>
      <c r="AE171" s="4">
        <v>1871</v>
      </c>
      <c r="AF171" s="4">
        <f t="shared" si="571"/>
        <v>78</v>
      </c>
      <c r="AG171" s="4">
        <v>21</v>
      </c>
      <c r="AH171" s="50">
        <f t="shared" si="572"/>
        <v>3</v>
      </c>
      <c r="AI171" s="4">
        <v>11</v>
      </c>
      <c r="AJ171" s="4">
        <f t="shared" si="573"/>
        <v>2</v>
      </c>
      <c r="AK171" s="51">
        <v>0</v>
      </c>
      <c r="AL171" s="31" t="str">
        <f t="shared" si="574"/>
        <v>モンチッチがま口</v>
      </c>
      <c r="AM171" s="27">
        <f t="shared" si="575"/>
        <v>462</v>
      </c>
      <c r="AN171" s="50">
        <f t="shared" si="576"/>
        <v>924</v>
      </c>
      <c r="AO171" s="52">
        <f t="shared" si="577"/>
        <v>0.11846153846153847</v>
      </c>
      <c r="AP171" s="29"/>
      <c r="AR171" s="53">
        <f>IF($A171="","",$A171)</f>
        <v>46118</v>
      </c>
      <c r="AS171" s="4">
        <v>1232</v>
      </c>
      <c r="AT171" s="4">
        <f t="shared" si="578"/>
        <v>92</v>
      </c>
      <c r="AU171" s="4">
        <v>26</v>
      </c>
      <c r="AV171" s="50">
        <f t="shared" si="591"/>
        <v>1</v>
      </c>
      <c r="AW171" s="4">
        <v>8</v>
      </c>
      <c r="AX171" s="4">
        <f t="shared" si="579"/>
        <v>1</v>
      </c>
      <c r="AY171" s="51">
        <v>0</v>
      </c>
      <c r="AZ171" s="31" t="str">
        <f t="shared" si="580"/>
        <v>デジタルミニカメラ</v>
      </c>
      <c r="BA171" s="27">
        <f t="shared" si="581"/>
        <v>1075</v>
      </c>
      <c r="BB171" s="50">
        <f t="shared" si="582"/>
        <v>1075</v>
      </c>
      <c r="BC171" s="52">
        <f t="shared" si="583"/>
        <v>0.11684782608695653</v>
      </c>
      <c r="BD171" s="29"/>
      <c r="BE171" s="32"/>
      <c r="BF171" s="33">
        <f>IF($A171="","",$A171)</f>
        <v>46118</v>
      </c>
      <c r="BG171" s="4">
        <v>2581</v>
      </c>
      <c r="BH171" s="4">
        <f t="shared" si="584"/>
        <v>69</v>
      </c>
      <c r="BI171" s="4">
        <v>20</v>
      </c>
      <c r="BJ171" s="50">
        <f t="shared" si="585"/>
        <v>2</v>
      </c>
      <c r="BK171" s="4">
        <v>2</v>
      </c>
      <c r="BL171" s="4">
        <f t="shared" si="586"/>
        <v>1</v>
      </c>
      <c r="BM171" s="4">
        <v>0</v>
      </c>
      <c r="BN171" s="2" t="str">
        <f>IF(BG171="","",BN167)</f>
        <v>ボンボンドロップシール</v>
      </c>
      <c r="BO171" s="27">
        <f>IF(BG171="","",BO167)</f>
        <v>1500</v>
      </c>
      <c r="BP171" s="5">
        <f t="shared" si="587"/>
        <v>1500</v>
      </c>
      <c r="BQ171" s="52">
        <f t="shared" si="491"/>
        <v>0.21739130434782608</v>
      </c>
      <c r="BR171" s="29"/>
      <c r="BT171" s="33">
        <f>IF($A171="","",$A171)</f>
        <v>46118</v>
      </c>
      <c r="BU171" s="4">
        <v>35623</v>
      </c>
      <c r="BV171" s="4">
        <f t="shared" si="588"/>
        <v>59</v>
      </c>
      <c r="BW171" s="4">
        <v>3859</v>
      </c>
      <c r="BX171" s="50">
        <f t="shared" si="589"/>
        <v>7</v>
      </c>
      <c r="BY171" s="4">
        <v>31</v>
      </c>
      <c r="BZ171" s="4">
        <f>IF(BY171="","",BY167+CA167-BY171)</f>
        <v>7</v>
      </c>
      <c r="CA171" s="4">
        <v>10</v>
      </c>
      <c r="CB171" s="2" t="str">
        <f>IF(BU171="","",CB167)</f>
        <v>ベイビースリーフェイス</v>
      </c>
      <c r="CC171" s="27">
        <f>IF(BU171="","",CC167)</f>
        <v>1050</v>
      </c>
      <c r="CD171" s="5">
        <f>IF(BY171="","",BZ171*CC171)</f>
        <v>7350</v>
      </c>
      <c r="CE171" s="52">
        <f>IF(BZ171="","",CD171/(BV171*100))</f>
        <v>1.2457627118644068</v>
      </c>
      <c r="CF171" s="29"/>
      <c r="CH171" s="75"/>
      <c r="CI171" s="5"/>
      <c r="CJ171" s="5" t="str">
        <f>IF(CI171="","",CI171-CI170)</f>
        <v/>
      </c>
      <c r="CK171" s="5"/>
      <c r="CL171" s="5" t="str">
        <f>IF(CK171="","",CK171-CK170)</f>
        <v/>
      </c>
      <c r="CM171" s="5"/>
      <c r="CN171" s="5" t="str">
        <f>IF(CM171="","",CM170+CO170-CM171)</f>
        <v/>
      </c>
      <c r="CO171" s="5"/>
      <c r="CP171" s="4"/>
      <c r="CQ171" s="4" t="str">
        <f>IF(CI171="","",CQ170)</f>
        <v/>
      </c>
      <c r="CR171" s="5" t="str">
        <f t="shared" si="593"/>
        <v/>
      </c>
      <c r="CS171" s="36" t="str">
        <f t="shared" si="594"/>
        <v/>
      </c>
      <c r="CT171" s="29"/>
      <c r="CV171" s="75"/>
      <c r="CW171" s="5"/>
      <c r="CX171" s="5" t="str">
        <f>IF(CW171="","",CW171-CW170)</f>
        <v/>
      </c>
      <c r="CY171" s="5"/>
      <c r="CZ171" s="5" t="str">
        <f>IF(CY171="","",CY171-CY170)</f>
        <v/>
      </c>
      <c r="DA171" s="5"/>
      <c r="DB171" s="5" t="str">
        <f>IF(DA171="","",DA170+DC170-DA171)</f>
        <v/>
      </c>
      <c r="DC171" s="5"/>
      <c r="DD171" s="4"/>
      <c r="DE171" s="4" t="str">
        <f>IF(CW171="","",DE170)</f>
        <v/>
      </c>
      <c r="DF171" s="5" t="str">
        <f t="shared" si="595"/>
        <v/>
      </c>
      <c r="DG171" s="36" t="str">
        <f t="shared" si="596"/>
        <v/>
      </c>
      <c r="DH171" s="29"/>
      <c r="DJ171" s="75"/>
      <c r="DK171" s="5"/>
      <c r="DL171" s="5" t="str">
        <f>IF(DK171="","",DK171-DK170)</f>
        <v/>
      </c>
      <c r="DM171" s="5"/>
      <c r="DN171" s="5" t="str">
        <f>IF(DM171="","",DM171-DM170)</f>
        <v/>
      </c>
      <c r="DO171" s="5"/>
      <c r="DP171" s="5" t="str">
        <f>IF(DO171="","",DO170+DQ170-DO171)</f>
        <v/>
      </c>
      <c r="DQ171" s="5"/>
      <c r="DR171" s="4"/>
      <c r="DS171" s="4" t="str">
        <f>IF(DK171="","",DS170)</f>
        <v/>
      </c>
      <c r="DT171" s="5" t="str">
        <f t="shared" si="597"/>
        <v/>
      </c>
      <c r="DU171" s="36" t="str">
        <f t="shared" si="598"/>
        <v/>
      </c>
      <c r="DV171" s="29"/>
      <c r="DX171" s="75"/>
      <c r="DY171" s="5"/>
      <c r="DZ171" s="5" t="str">
        <f>IF(DY171="","",DY171-DY170)</f>
        <v/>
      </c>
      <c r="EA171" s="5"/>
      <c r="EB171" s="5" t="str">
        <f>IF(EA171="","",EA171-EA170)</f>
        <v/>
      </c>
      <c r="EC171" s="5"/>
      <c r="ED171" s="5" t="str">
        <f>IF(EC171="","",EC170+EE170-EC171)</f>
        <v/>
      </c>
      <c r="EE171" s="5"/>
      <c r="EF171" s="4"/>
      <c r="EG171" s="4" t="str">
        <f>IF(DY171="","",EG170)</f>
        <v/>
      </c>
      <c r="EH171" s="5" t="str">
        <f t="shared" si="599"/>
        <v/>
      </c>
      <c r="EI171" s="36" t="str">
        <f t="shared" si="600"/>
        <v/>
      </c>
      <c r="EJ171" s="29"/>
      <c r="EL171" s="75"/>
      <c r="EM171" s="5"/>
      <c r="EN171" s="5" t="str">
        <f>IF(EM171="","",EM171-EM170)</f>
        <v/>
      </c>
      <c r="EO171" s="5"/>
      <c r="EP171" s="5" t="str">
        <f>IF(EO171="","",EO171-EO170)</f>
        <v/>
      </c>
      <c r="EQ171" s="5"/>
      <c r="ER171" s="5" t="str">
        <f>IF(EQ171="","",EQ170+ES170-EQ171)</f>
        <v/>
      </c>
      <c r="ES171" s="5"/>
      <c r="ET171" s="4"/>
      <c r="EU171" s="4" t="str">
        <f>IF(EM171="","",EU170)</f>
        <v/>
      </c>
      <c r="EV171" s="5" t="str">
        <f t="shared" si="601"/>
        <v/>
      </c>
      <c r="EW171" s="36" t="str">
        <f t="shared" si="602"/>
        <v/>
      </c>
      <c r="EX171" s="29"/>
      <c r="EZ171" s="75"/>
      <c r="FA171" s="5"/>
      <c r="FB171" s="5" t="str">
        <f>IF(FA171="","",FA171-FA170)</f>
        <v/>
      </c>
      <c r="FC171" s="5"/>
      <c r="FD171" s="5" t="str">
        <f>IF(FC171="","",FC171-FC170)</f>
        <v/>
      </c>
      <c r="FE171" s="5"/>
      <c r="FF171" s="5" t="str">
        <f>IF(FE171="","",FE170+FG170-FE171)</f>
        <v/>
      </c>
      <c r="FG171" s="5"/>
      <c r="FH171" s="4"/>
      <c r="FI171" s="4" t="str">
        <f>IF(FA171="","",FI170)</f>
        <v/>
      </c>
      <c r="FJ171" s="5" t="str">
        <f t="shared" si="603"/>
        <v/>
      </c>
      <c r="FK171" s="36" t="str">
        <f t="shared" si="604"/>
        <v/>
      </c>
      <c r="FL171" s="29"/>
      <c r="FN171" s="75"/>
      <c r="FO171" s="5"/>
      <c r="FP171" s="5" t="str">
        <f>IF(FO171="","",FO171-FO170)</f>
        <v/>
      </c>
      <c r="FQ171" s="5"/>
      <c r="FR171" s="5" t="str">
        <f>IF(FQ171="","",FQ171-FQ170)</f>
        <v/>
      </c>
      <c r="FS171" s="5"/>
      <c r="FT171" s="5" t="str">
        <f>IF(FS171="","",FS170+FU170-FS171)</f>
        <v/>
      </c>
      <c r="FU171" s="5"/>
      <c r="FV171" s="4"/>
      <c r="FW171" s="4" t="str">
        <f>IF(FO171="","",FW170)</f>
        <v/>
      </c>
      <c r="FX171" s="5" t="str">
        <f t="shared" si="605"/>
        <v/>
      </c>
      <c r="FY171" s="36" t="str">
        <f t="shared" si="606"/>
        <v/>
      </c>
      <c r="FZ171" s="29"/>
      <c r="GB171" s="75"/>
      <c r="GC171" s="5"/>
      <c r="GD171" s="5" t="str">
        <f>IF(GC171="","",GC171-GC170)</f>
        <v/>
      </c>
      <c r="GE171" s="5"/>
      <c r="GF171" s="5" t="str">
        <f>IF(GE171="","",GE171-GE170)</f>
        <v/>
      </c>
      <c r="GG171" s="5"/>
      <c r="GH171" s="5" t="str">
        <f>IF(GG171="","",GG170+GI170-GG171)</f>
        <v/>
      </c>
      <c r="GI171" s="5"/>
      <c r="GJ171" s="4"/>
      <c r="GK171" s="4" t="str">
        <f>IF(GC171="","",GK170)</f>
        <v/>
      </c>
      <c r="GL171" s="5" t="str">
        <f t="shared" si="607"/>
        <v/>
      </c>
      <c r="GM171" s="36" t="str">
        <f t="shared" si="608"/>
        <v/>
      </c>
      <c r="GN171" s="29"/>
      <c r="GP171" s="75"/>
      <c r="GQ171" s="5"/>
      <c r="GR171" s="5" t="str">
        <f>IF(GQ171="","",GQ171-GQ170)</f>
        <v/>
      </c>
      <c r="GS171" s="5"/>
      <c r="GT171" s="5" t="str">
        <f>IF(GS171="","",GS171-GS170)</f>
        <v/>
      </c>
      <c r="GU171" s="5"/>
      <c r="GV171" s="5" t="str">
        <f>IF(GU171="","",GU171-GU170)</f>
        <v/>
      </c>
      <c r="GW171" s="5"/>
      <c r="GX171" s="5" t="str">
        <f>IF(GW171="","",GW170+GY170-GW171)</f>
        <v/>
      </c>
      <c r="GY171" s="5"/>
      <c r="GZ171" s="2" t="str">
        <f t="shared" si="552"/>
        <v/>
      </c>
      <c r="HA171" s="4" t="str">
        <f>IF(GQ171="","",HA170)</f>
        <v/>
      </c>
      <c r="HB171" s="5" t="str">
        <f t="shared" si="609"/>
        <v/>
      </c>
      <c r="HC171" s="36" t="str">
        <f t="shared" si="610"/>
        <v/>
      </c>
      <c r="HD171" s="29"/>
      <c r="HF171" s="75"/>
      <c r="HG171" s="5"/>
      <c r="HH171" s="5" t="str">
        <f>IF(HG171="","",HG171-HG170)</f>
        <v/>
      </c>
      <c r="HI171" s="5"/>
      <c r="HJ171" s="29"/>
      <c r="HL171" s="75"/>
      <c r="HM171" s="5"/>
      <c r="HN171" s="5" t="str">
        <f>IF(HM171="","",HM171-HM170)</f>
        <v/>
      </c>
      <c r="HO171" s="5"/>
      <c r="HP171" s="29"/>
      <c r="HR171" s="75"/>
      <c r="HS171" s="5"/>
      <c r="HT171" s="5" t="str">
        <f>IF(HS171="","",HS171-HS170)</f>
        <v/>
      </c>
      <c r="HU171" s="5"/>
      <c r="HV171" s="29"/>
    </row>
    <row r="172" spans="1:230" ht="15" customHeight="1" x14ac:dyDescent="0.2">
      <c r="A172" s="54"/>
      <c r="B172" s="37"/>
      <c r="C172" s="5">
        <v>16777</v>
      </c>
      <c r="D172" s="48">
        <f t="shared" si="559"/>
        <v>29</v>
      </c>
      <c r="E172" s="5">
        <v>521</v>
      </c>
      <c r="F172" s="5">
        <f t="shared" si="560"/>
        <v>1</v>
      </c>
      <c r="G172" s="5">
        <v>13</v>
      </c>
      <c r="H172" s="5">
        <f t="shared" si="561"/>
        <v>1</v>
      </c>
      <c r="I172" s="35">
        <v>37</v>
      </c>
      <c r="J172" s="38" t="str">
        <f t="shared" si="562"/>
        <v>チェキフィルム</v>
      </c>
      <c r="K172" s="39">
        <f t="shared" si="563"/>
        <v>358</v>
      </c>
      <c r="L172" s="5">
        <f t="shared" si="564"/>
        <v>358</v>
      </c>
      <c r="M172" s="36">
        <f t="shared" si="565"/>
        <v>0.12344827586206897</v>
      </c>
      <c r="N172" s="29" t="s">
        <v>168</v>
      </c>
      <c r="P172" s="54"/>
      <c r="Q172" s="5">
        <v>10672</v>
      </c>
      <c r="R172" s="5">
        <f t="shared" si="566"/>
        <v>96</v>
      </c>
      <c r="S172" s="5">
        <v>180</v>
      </c>
      <c r="T172" s="5">
        <f t="shared" si="567"/>
        <v>3</v>
      </c>
      <c r="U172" s="5">
        <v>5</v>
      </c>
      <c r="V172" s="5">
        <f t="shared" si="568"/>
        <v>2</v>
      </c>
      <c r="W172" s="35">
        <v>3</v>
      </c>
      <c r="X172" s="3" t="str">
        <f t="shared" si="611"/>
        <v>サンリオヘアバンド</v>
      </c>
      <c r="Y172" s="39">
        <f t="shared" si="590"/>
        <v>825</v>
      </c>
      <c r="Z172" s="5">
        <f t="shared" si="569"/>
        <v>1650</v>
      </c>
      <c r="AA172" s="36">
        <f t="shared" si="570"/>
        <v>0.171875</v>
      </c>
      <c r="AB172" s="29"/>
      <c r="AD172" s="54"/>
      <c r="AE172" s="5">
        <v>1437</v>
      </c>
      <c r="AF172" s="5">
        <f t="shared" si="571"/>
        <v>76</v>
      </c>
      <c r="AG172" s="5">
        <v>29</v>
      </c>
      <c r="AH172" s="5">
        <f t="shared" si="572"/>
        <v>5</v>
      </c>
      <c r="AI172" s="5">
        <v>6</v>
      </c>
      <c r="AJ172" s="5">
        <f t="shared" si="573"/>
        <v>5</v>
      </c>
      <c r="AK172" s="35">
        <v>5</v>
      </c>
      <c r="AL172" s="38" t="str">
        <f t="shared" si="574"/>
        <v>バタースクイーズ</v>
      </c>
      <c r="AM172" s="39">
        <f t="shared" si="575"/>
        <v>1100</v>
      </c>
      <c r="AN172" s="5">
        <f t="shared" si="576"/>
        <v>5500</v>
      </c>
      <c r="AO172" s="36">
        <f t="shared" si="577"/>
        <v>0.72368421052631582</v>
      </c>
      <c r="AP172" s="29"/>
      <c r="AR172" s="54"/>
      <c r="AS172" s="5">
        <v>1194</v>
      </c>
      <c r="AT172" s="5">
        <f t="shared" si="578"/>
        <v>100</v>
      </c>
      <c r="AU172" s="5">
        <v>2</v>
      </c>
      <c r="AV172" s="5">
        <f t="shared" si="591"/>
        <v>0</v>
      </c>
      <c r="AW172" s="5">
        <v>11</v>
      </c>
      <c r="AX172" s="5">
        <f t="shared" si="579"/>
        <v>0</v>
      </c>
      <c r="AY172" s="35">
        <v>0</v>
      </c>
      <c r="AZ172" s="38" t="str">
        <f t="shared" si="580"/>
        <v>ゲーム機イヤホン</v>
      </c>
      <c r="BA172" s="39">
        <f t="shared" si="581"/>
        <v>770</v>
      </c>
      <c r="BB172" s="5">
        <f t="shared" si="582"/>
        <v>0</v>
      </c>
      <c r="BC172" s="36">
        <f t="shared" si="583"/>
        <v>0</v>
      </c>
      <c r="BD172" s="29"/>
      <c r="BE172" s="32"/>
      <c r="BF172" s="25"/>
      <c r="BG172" s="5">
        <v>4497</v>
      </c>
      <c r="BH172" s="5">
        <f t="shared" si="584"/>
        <v>116</v>
      </c>
      <c r="BI172" s="5">
        <v>35</v>
      </c>
      <c r="BJ172" s="5">
        <f t="shared" si="585"/>
        <v>1</v>
      </c>
      <c r="BK172" s="5">
        <v>3</v>
      </c>
      <c r="BL172" s="5">
        <f t="shared" si="586"/>
        <v>0</v>
      </c>
      <c r="BM172" s="4">
        <v>0</v>
      </c>
      <c r="BN172" s="3" t="str">
        <f>IF(BG172="","",BN168)</f>
        <v>ボンボンドロップシール</v>
      </c>
      <c r="BO172" s="39">
        <f>IF(BG171="","",BO168)</f>
        <v>1500</v>
      </c>
      <c r="BP172" s="4">
        <f t="shared" si="587"/>
        <v>0</v>
      </c>
      <c r="BQ172" s="36">
        <f t="shared" si="491"/>
        <v>0</v>
      </c>
      <c r="BR172" s="29"/>
      <c r="BT172" s="25"/>
      <c r="BU172" s="5">
        <v>31585</v>
      </c>
      <c r="BV172" s="5">
        <f t="shared" si="588"/>
        <v>68</v>
      </c>
      <c r="BW172" s="5">
        <v>1676</v>
      </c>
      <c r="BX172" s="5">
        <f t="shared" si="589"/>
        <v>1</v>
      </c>
      <c r="BY172" s="5">
        <v>40</v>
      </c>
      <c r="BZ172" s="5">
        <f>IF(BY172="","",BY168+CA168-BY172)</f>
        <v>1</v>
      </c>
      <c r="CA172" s="4">
        <v>2</v>
      </c>
      <c r="CB172" s="3" t="str">
        <f>IF(BU172="","",CB168)</f>
        <v>サンリオボアポーチ</v>
      </c>
      <c r="CC172" s="39">
        <f>IF(BU171="","",CC168)</f>
        <v>950</v>
      </c>
      <c r="CD172" s="4">
        <f>IF(BY172="","",BZ172*CC172)</f>
        <v>950</v>
      </c>
      <c r="CE172" s="36">
        <f>IF(BZ172="","",CD172/(BV172*100))</f>
        <v>0.13970588235294118</v>
      </c>
      <c r="CF172" s="29"/>
      <c r="CH172" s="14"/>
      <c r="CI172" s="39"/>
      <c r="CJ172" s="5" t="str">
        <f>IF(CI172="","",CI172-CI171)</f>
        <v/>
      </c>
      <c r="CK172" s="5"/>
      <c r="CL172" s="5" t="str">
        <f>IF(CK172="","",CK172-CK171)</f>
        <v/>
      </c>
      <c r="CM172" s="5"/>
      <c r="CN172" s="5" t="str">
        <f>IF(CM172="","",CM171+CO171-CM172)</f>
        <v/>
      </c>
      <c r="CO172" s="5"/>
      <c r="CP172" s="5"/>
      <c r="CQ172" s="5"/>
      <c r="CR172" s="5" t="str">
        <f t="shared" si="593"/>
        <v/>
      </c>
      <c r="CS172" s="36" t="str">
        <f t="shared" si="594"/>
        <v/>
      </c>
      <c r="CT172" s="29"/>
      <c r="CV172" s="14"/>
      <c r="CW172" s="39"/>
      <c r="CX172" s="5" t="str">
        <f>IF(CW172="","",CW172-CW171)</f>
        <v/>
      </c>
      <c r="CY172" s="5"/>
      <c r="CZ172" s="5" t="str">
        <f>IF(CY172="","",CY172-CY171)</f>
        <v/>
      </c>
      <c r="DA172" s="5"/>
      <c r="DB172" s="5" t="str">
        <f>IF(DA172="","",DA171+DC171-DA172)</f>
        <v/>
      </c>
      <c r="DC172" s="5"/>
      <c r="DD172" s="5"/>
      <c r="DE172" s="5"/>
      <c r="DF172" s="5" t="str">
        <f t="shared" si="595"/>
        <v/>
      </c>
      <c r="DG172" s="36" t="str">
        <f t="shared" si="596"/>
        <v/>
      </c>
      <c r="DH172" s="29"/>
      <c r="DJ172" s="14"/>
      <c r="DK172" s="39"/>
      <c r="DL172" s="5" t="str">
        <f>IF(DK172="","",DK172-DK171)</f>
        <v/>
      </c>
      <c r="DM172" s="5"/>
      <c r="DN172" s="5" t="str">
        <f>IF(DM172="","",DM172-DM171)</f>
        <v/>
      </c>
      <c r="DO172" s="5"/>
      <c r="DP172" s="5" t="str">
        <f>IF(DO172="","",DO171+DQ171-DO172)</f>
        <v/>
      </c>
      <c r="DQ172" s="5"/>
      <c r="DR172" s="5"/>
      <c r="DS172" s="5"/>
      <c r="DT172" s="5" t="str">
        <f t="shared" si="597"/>
        <v/>
      </c>
      <c r="DU172" s="36" t="str">
        <f t="shared" si="598"/>
        <v/>
      </c>
      <c r="DV172" s="29"/>
      <c r="DX172" s="14"/>
      <c r="DY172" s="39"/>
      <c r="DZ172" s="5" t="str">
        <f>IF(DY172="","",DY172-DY171)</f>
        <v/>
      </c>
      <c r="EA172" s="5"/>
      <c r="EB172" s="5" t="str">
        <f>IF(EA172="","",EA172-EA171)</f>
        <v/>
      </c>
      <c r="EC172" s="5"/>
      <c r="ED172" s="5" t="str">
        <f>IF(EC172="","",EC171+EE171-EC172)</f>
        <v/>
      </c>
      <c r="EE172" s="5"/>
      <c r="EF172" s="5"/>
      <c r="EG172" s="5"/>
      <c r="EH172" s="5" t="str">
        <f t="shared" si="599"/>
        <v/>
      </c>
      <c r="EI172" s="36" t="str">
        <f t="shared" si="600"/>
        <v/>
      </c>
      <c r="EJ172" s="29"/>
      <c r="EL172" s="14"/>
      <c r="EM172" s="39"/>
      <c r="EN172" s="5" t="str">
        <f>IF(EM172="","",EM172-EM171)</f>
        <v/>
      </c>
      <c r="EO172" s="5"/>
      <c r="EP172" s="5" t="str">
        <f>IF(EO172="","",EO172-EO171)</f>
        <v/>
      </c>
      <c r="EQ172" s="5"/>
      <c r="ER172" s="5" t="str">
        <f>IF(EQ172="","",EQ171+ES171-EQ172)</f>
        <v/>
      </c>
      <c r="ES172" s="5"/>
      <c r="ET172" s="5"/>
      <c r="EU172" s="5"/>
      <c r="EV172" s="5" t="str">
        <f t="shared" si="601"/>
        <v/>
      </c>
      <c r="EW172" s="36" t="str">
        <f t="shared" si="602"/>
        <v/>
      </c>
      <c r="EX172" s="29"/>
      <c r="EZ172" s="14"/>
      <c r="FA172" s="39"/>
      <c r="FB172" s="5" t="str">
        <f>IF(FA172="","",FA172-FA171)</f>
        <v/>
      </c>
      <c r="FC172" s="5"/>
      <c r="FD172" s="5" t="str">
        <f>IF(FC172="","",FC172-FC171)</f>
        <v/>
      </c>
      <c r="FE172" s="5"/>
      <c r="FF172" s="5" t="str">
        <f>IF(FE172="","",FE171+FG171-FE172)</f>
        <v/>
      </c>
      <c r="FG172" s="5"/>
      <c r="FH172" s="5"/>
      <c r="FI172" s="5"/>
      <c r="FJ172" s="5" t="str">
        <f t="shared" si="603"/>
        <v/>
      </c>
      <c r="FK172" s="36" t="str">
        <f t="shared" si="604"/>
        <v/>
      </c>
      <c r="FL172" s="29"/>
      <c r="FN172" s="14"/>
      <c r="FO172" s="39"/>
      <c r="FP172" s="5" t="str">
        <f>IF(FO172="","",FO172-FO171)</f>
        <v/>
      </c>
      <c r="FQ172" s="5"/>
      <c r="FR172" s="5" t="str">
        <f>IF(FQ172="","",FQ172-FQ171)</f>
        <v/>
      </c>
      <c r="FS172" s="5"/>
      <c r="FT172" s="5" t="str">
        <f>IF(FS172="","",FS171+FU171-FS172)</f>
        <v/>
      </c>
      <c r="FU172" s="5"/>
      <c r="FV172" s="5"/>
      <c r="FW172" s="5"/>
      <c r="FX172" s="5" t="str">
        <f t="shared" si="605"/>
        <v/>
      </c>
      <c r="FY172" s="36" t="str">
        <f t="shared" si="606"/>
        <v/>
      </c>
      <c r="FZ172" s="29"/>
      <c r="GB172" s="14"/>
      <c r="GC172" s="39"/>
      <c r="GD172" s="5" t="str">
        <f>IF(GC172="","",GC172-GC171)</f>
        <v/>
      </c>
      <c r="GE172" s="5"/>
      <c r="GF172" s="5" t="str">
        <f>IF(GE172="","",GE172-GE171)</f>
        <v/>
      </c>
      <c r="GG172" s="5"/>
      <c r="GH172" s="5" t="str">
        <f>IF(GG172="","",GG171+GI171-GG172)</f>
        <v/>
      </c>
      <c r="GI172" s="5"/>
      <c r="GJ172" s="5"/>
      <c r="GK172" s="5"/>
      <c r="GL172" s="5" t="str">
        <f t="shared" si="607"/>
        <v/>
      </c>
      <c r="GM172" s="36" t="str">
        <f t="shared" si="608"/>
        <v/>
      </c>
      <c r="GN172" s="29"/>
      <c r="GP172" s="14"/>
      <c r="GQ172" s="39"/>
      <c r="GR172" s="5" t="str">
        <f>IF(GQ172="","",GQ172-GQ171)</f>
        <v/>
      </c>
      <c r="GS172" s="5"/>
      <c r="GT172" s="5" t="str">
        <f>IF(GS172="","",GS172-GS171)</f>
        <v/>
      </c>
      <c r="GU172" s="5"/>
      <c r="GV172" s="5" t="str">
        <f>IF(GU172="","",GU172-GU171)</f>
        <v/>
      </c>
      <c r="GW172" s="5"/>
      <c r="GX172" s="5" t="str">
        <f>IF(GW172="","",GW171+GY171-GW172)</f>
        <v/>
      </c>
      <c r="GY172" s="5"/>
      <c r="GZ172" s="3" t="str">
        <f t="shared" si="552"/>
        <v/>
      </c>
      <c r="HA172" s="5"/>
      <c r="HB172" s="5" t="str">
        <f t="shared" si="609"/>
        <v/>
      </c>
      <c r="HC172" s="36" t="str">
        <f t="shared" si="610"/>
        <v/>
      </c>
      <c r="HD172" s="29"/>
      <c r="HF172" s="14"/>
      <c r="HG172" s="39"/>
      <c r="HH172" s="5" t="str">
        <f>IF(HG172="","",HG172-HG171)</f>
        <v/>
      </c>
      <c r="HI172" s="5"/>
      <c r="HJ172" s="29"/>
      <c r="HL172" s="14"/>
      <c r="HM172" s="39"/>
      <c r="HN172" s="5" t="str">
        <f>IF(HM172="","",HM172-HM171)</f>
        <v/>
      </c>
      <c r="HO172" s="5"/>
      <c r="HP172" s="29"/>
      <c r="HR172" s="14"/>
      <c r="HS172" s="39"/>
      <c r="HT172" s="5" t="str">
        <f>IF(HS172="","",HS172-HS171)</f>
        <v/>
      </c>
      <c r="HU172" s="5"/>
      <c r="HV172" s="29"/>
    </row>
    <row r="173" spans="1:230" ht="15" customHeight="1" x14ac:dyDescent="0.2">
      <c r="A173" s="54"/>
      <c r="B173" s="71"/>
      <c r="C173" s="58">
        <v>18394</v>
      </c>
      <c r="D173" s="48">
        <f t="shared" si="559"/>
        <v>23</v>
      </c>
      <c r="E173" s="5">
        <v>640</v>
      </c>
      <c r="F173" s="5">
        <f t="shared" si="560"/>
        <v>1</v>
      </c>
      <c r="G173" s="58">
        <v>43</v>
      </c>
      <c r="H173" s="5">
        <f t="shared" si="561"/>
        <v>2</v>
      </c>
      <c r="I173" s="59">
        <v>-35</v>
      </c>
      <c r="J173" s="38" t="str">
        <f t="shared" si="562"/>
        <v>アングリーキーホルダー</v>
      </c>
      <c r="K173" s="5">
        <f t="shared" si="563"/>
        <v>100</v>
      </c>
      <c r="L173" s="5">
        <f t="shared" si="564"/>
        <v>200</v>
      </c>
      <c r="M173" s="36">
        <f t="shared" si="565"/>
        <v>8.6956521739130432E-2</v>
      </c>
      <c r="N173" s="29" t="s">
        <v>170</v>
      </c>
      <c r="P173" s="54"/>
      <c r="Q173" s="58">
        <v>10346</v>
      </c>
      <c r="R173" s="5">
        <f t="shared" si="566"/>
        <v>60</v>
      </c>
      <c r="S173" s="5">
        <v>278</v>
      </c>
      <c r="T173" s="5">
        <f t="shared" si="567"/>
        <v>2</v>
      </c>
      <c r="U173" s="58">
        <v>7</v>
      </c>
      <c r="V173" s="5">
        <f t="shared" si="568"/>
        <v>2</v>
      </c>
      <c r="W173" s="59">
        <v>2</v>
      </c>
      <c r="X173" s="3" t="str">
        <f t="shared" si="611"/>
        <v>キティヘアパッチン</v>
      </c>
      <c r="Y173" s="5">
        <f t="shared" si="590"/>
        <v>638</v>
      </c>
      <c r="Z173" s="5">
        <f t="shared" si="569"/>
        <v>1276</v>
      </c>
      <c r="AA173" s="36">
        <f t="shared" si="570"/>
        <v>0.21266666666666667</v>
      </c>
      <c r="AB173" s="29"/>
      <c r="AD173" s="54"/>
      <c r="AE173" s="58">
        <v>1176</v>
      </c>
      <c r="AF173" s="5">
        <f t="shared" si="571"/>
        <v>89</v>
      </c>
      <c r="AG173" s="5">
        <v>30</v>
      </c>
      <c r="AH173" s="5">
        <f t="shared" si="572"/>
        <v>2</v>
      </c>
      <c r="AI173" s="58">
        <v>7</v>
      </c>
      <c r="AJ173" s="5">
        <f t="shared" si="573"/>
        <v>2</v>
      </c>
      <c r="AK173" s="59">
        <v>2</v>
      </c>
      <c r="AL173" s="38" t="str">
        <f t="shared" si="574"/>
        <v>たまごっちマスコット</v>
      </c>
      <c r="AM173" s="5">
        <f t="shared" si="575"/>
        <v>1430</v>
      </c>
      <c r="AN173" s="5">
        <f t="shared" si="576"/>
        <v>2860</v>
      </c>
      <c r="AO173" s="36">
        <f t="shared" si="577"/>
        <v>0.32134831460674157</v>
      </c>
      <c r="AP173" s="29"/>
      <c r="AR173" s="54"/>
      <c r="AS173" s="58">
        <v>843</v>
      </c>
      <c r="AT173" s="5">
        <f t="shared" si="578"/>
        <v>62</v>
      </c>
      <c r="AU173" s="5">
        <v>0</v>
      </c>
      <c r="AV173" s="5">
        <f t="shared" si="591"/>
        <v>-999</v>
      </c>
      <c r="AW173" s="58">
        <v>7</v>
      </c>
      <c r="AX173" s="5">
        <f t="shared" si="579"/>
        <v>1</v>
      </c>
      <c r="AY173" s="59">
        <v>0</v>
      </c>
      <c r="AZ173" s="38" t="str">
        <f t="shared" si="580"/>
        <v>ゲームアーク</v>
      </c>
      <c r="BA173" s="5">
        <f t="shared" si="581"/>
        <v>682</v>
      </c>
      <c r="BB173" s="5">
        <f t="shared" si="582"/>
        <v>682</v>
      </c>
      <c r="BC173" s="36">
        <f t="shared" si="583"/>
        <v>0.11</v>
      </c>
      <c r="BD173" s="29"/>
      <c r="BE173" s="32"/>
      <c r="BF173" s="25"/>
      <c r="BG173" s="5">
        <v>1930</v>
      </c>
      <c r="BH173" s="5">
        <f t="shared" si="584"/>
        <v>119</v>
      </c>
      <c r="BI173" s="5">
        <v>14</v>
      </c>
      <c r="BJ173" s="5">
        <f t="shared" si="585"/>
        <v>2</v>
      </c>
      <c r="BK173" s="5">
        <v>2</v>
      </c>
      <c r="BL173" s="5">
        <f t="shared" si="586"/>
        <v>1</v>
      </c>
      <c r="BM173" s="57">
        <v>0</v>
      </c>
      <c r="BN173" s="3" t="str">
        <f>IF(BG171="","",BN169)</f>
        <v>ボンボンドロップシール</v>
      </c>
      <c r="BO173" s="39">
        <f>IF(BG171="","",BO169)</f>
        <v>1500</v>
      </c>
      <c r="BP173" s="5">
        <f t="shared" si="587"/>
        <v>1500</v>
      </c>
      <c r="BQ173" s="36">
        <f t="shared" si="491"/>
        <v>0.12605042016806722</v>
      </c>
      <c r="BR173" s="29"/>
      <c r="BT173" s="25"/>
      <c r="BU173" s="5"/>
      <c r="BV173" s="5" t="str">
        <f t="shared" si="588"/>
        <v/>
      </c>
      <c r="BW173" s="5"/>
      <c r="BX173" s="5" t="str">
        <f t="shared" si="589"/>
        <v/>
      </c>
      <c r="BY173" s="5"/>
      <c r="BZ173" s="5"/>
      <c r="CA173" s="57"/>
      <c r="CB173" s="3"/>
      <c r="CC173" s="39"/>
      <c r="CD173" s="5"/>
      <c r="CE173" s="36"/>
      <c r="CF173" s="29"/>
      <c r="CH173" s="14"/>
      <c r="CI173" s="39"/>
      <c r="CJ173" s="5" t="str">
        <f>IF(CI173="","",CI173-CI172)</f>
        <v/>
      </c>
      <c r="CK173" s="5"/>
      <c r="CL173" s="5" t="str">
        <f>IF(CK173="","",CK173-CK172)</f>
        <v/>
      </c>
      <c r="CM173" s="5"/>
      <c r="CN173" s="5" t="str">
        <f>IF(CM173="","",CM172+CO172-CM173)</f>
        <v/>
      </c>
      <c r="CO173" s="5"/>
      <c r="CP173" s="5"/>
      <c r="CQ173" s="5"/>
      <c r="CR173" s="5" t="str">
        <f t="shared" si="593"/>
        <v/>
      </c>
      <c r="CS173" s="36" t="str">
        <f t="shared" si="594"/>
        <v/>
      </c>
      <c r="CT173" s="29"/>
      <c r="CV173" s="14"/>
      <c r="CW173" s="39"/>
      <c r="CX173" s="5" t="str">
        <f>IF(CW173="","",CW173-CW172)</f>
        <v/>
      </c>
      <c r="CY173" s="5"/>
      <c r="CZ173" s="5" t="str">
        <f>IF(CY173="","",CY173-CY172)</f>
        <v/>
      </c>
      <c r="DA173" s="5"/>
      <c r="DB173" s="5" t="str">
        <f>IF(DA173="","",DA172+DC172-DA173)</f>
        <v/>
      </c>
      <c r="DC173" s="5"/>
      <c r="DD173" s="5"/>
      <c r="DE173" s="5"/>
      <c r="DF173" s="5" t="str">
        <f t="shared" si="595"/>
        <v/>
      </c>
      <c r="DG173" s="36" t="str">
        <f t="shared" si="596"/>
        <v/>
      </c>
      <c r="DH173" s="29"/>
      <c r="DJ173" s="14"/>
      <c r="DK173" s="39"/>
      <c r="DL173" s="5" t="str">
        <f>IF(DK173="","",DK173-DK172)</f>
        <v/>
      </c>
      <c r="DM173" s="5"/>
      <c r="DN173" s="5" t="str">
        <f>IF(DM173="","",DM173-DM172)</f>
        <v/>
      </c>
      <c r="DO173" s="5"/>
      <c r="DP173" s="5" t="str">
        <f>IF(DO173="","",DO172+DQ172-DO173)</f>
        <v/>
      </c>
      <c r="DQ173" s="5"/>
      <c r="DR173" s="5"/>
      <c r="DS173" s="5"/>
      <c r="DT173" s="5" t="str">
        <f t="shared" si="597"/>
        <v/>
      </c>
      <c r="DU173" s="36" t="str">
        <f t="shared" si="598"/>
        <v/>
      </c>
      <c r="DV173" s="29"/>
      <c r="DX173" s="14"/>
      <c r="DY173" s="39"/>
      <c r="DZ173" s="5" t="str">
        <f>IF(DY173="","",DY173-DY172)</f>
        <v/>
      </c>
      <c r="EA173" s="5"/>
      <c r="EB173" s="5" t="str">
        <f>IF(EA173="","",EA173-EA172)</f>
        <v/>
      </c>
      <c r="EC173" s="5"/>
      <c r="ED173" s="5" t="str">
        <f>IF(EC173="","",EC172+EE172-EC173)</f>
        <v/>
      </c>
      <c r="EE173" s="5"/>
      <c r="EF173" s="5"/>
      <c r="EG173" s="5"/>
      <c r="EH173" s="5" t="str">
        <f t="shared" si="599"/>
        <v/>
      </c>
      <c r="EI173" s="36" t="str">
        <f t="shared" si="600"/>
        <v/>
      </c>
      <c r="EJ173" s="29"/>
      <c r="EL173" s="14"/>
      <c r="EM173" s="39"/>
      <c r="EN173" s="5" t="str">
        <f>IF(EM173="","",EM173-EM172)</f>
        <v/>
      </c>
      <c r="EO173" s="5"/>
      <c r="EP173" s="5" t="str">
        <f>IF(EO173="","",EO173-EO172)</f>
        <v/>
      </c>
      <c r="EQ173" s="5"/>
      <c r="ER173" s="5" t="str">
        <f>IF(EQ173="","",EQ172+ES172-EQ173)</f>
        <v/>
      </c>
      <c r="ES173" s="5"/>
      <c r="ET173" s="5"/>
      <c r="EU173" s="5"/>
      <c r="EV173" s="5" t="str">
        <f t="shared" si="601"/>
        <v/>
      </c>
      <c r="EW173" s="36" t="str">
        <f t="shared" si="602"/>
        <v/>
      </c>
      <c r="EX173" s="29"/>
      <c r="EZ173" s="14"/>
      <c r="FA173" s="39"/>
      <c r="FB173" s="5" t="str">
        <f>IF(FA173="","",FA173-FA172)</f>
        <v/>
      </c>
      <c r="FC173" s="5"/>
      <c r="FD173" s="5" t="str">
        <f>IF(FC173="","",FC173-FC172)</f>
        <v/>
      </c>
      <c r="FE173" s="5"/>
      <c r="FF173" s="5" t="str">
        <f>IF(FE173="","",FE172+FG172-FE173)</f>
        <v/>
      </c>
      <c r="FG173" s="5"/>
      <c r="FH173" s="5"/>
      <c r="FI173" s="5"/>
      <c r="FJ173" s="5" t="str">
        <f t="shared" si="603"/>
        <v/>
      </c>
      <c r="FK173" s="36" t="str">
        <f t="shared" si="604"/>
        <v/>
      </c>
      <c r="FL173" s="29"/>
      <c r="FN173" s="14"/>
      <c r="FO173" s="39"/>
      <c r="FP173" s="5" t="str">
        <f>IF(FO173="","",FO173-FO172)</f>
        <v/>
      </c>
      <c r="FQ173" s="5"/>
      <c r="FR173" s="5" t="str">
        <f>IF(FQ173="","",FQ173-FQ172)</f>
        <v/>
      </c>
      <c r="FS173" s="5"/>
      <c r="FT173" s="5" t="str">
        <f>IF(FS173="","",FS172+FU172-FS173)</f>
        <v/>
      </c>
      <c r="FU173" s="5"/>
      <c r="FV173" s="5"/>
      <c r="FW173" s="5"/>
      <c r="FX173" s="5" t="str">
        <f t="shared" si="605"/>
        <v/>
      </c>
      <c r="FY173" s="36" t="str">
        <f t="shared" si="606"/>
        <v/>
      </c>
      <c r="FZ173" s="29"/>
      <c r="GB173" s="14"/>
      <c r="GC173" s="39"/>
      <c r="GD173" s="5" t="str">
        <f>IF(GC173="","",GC173-GC172)</f>
        <v/>
      </c>
      <c r="GE173" s="5"/>
      <c r="GF173" s="5" t="str">
        <f>IF(GE173="","",GE173-GE172)</f>
        <v/>
      </c>
      <c r="GG173" s="5"/>
      <c r="GH173" s="5" t="str">
        <f>IF(GG173="","",GG172+GI172-GG173)</f>
        <v/>
      </c>
      <c r="GI173" s="5"/>
      <c r="GJ173" s="5"/>
      <c r="GK173" s="5"/>
      <c r="GL173" s="5" t="str">
        <f t="shared" si="607"/>
        <v/>
      </c>
      <c r="GM173" s="36" t="str">
        <f t="shared" si="608"/>
        <v/>
      </c>
      <c r="GN173" s="29"/>
      <c r="GP173" s="14"/>
      <c r="GQ173" s="39"/>
      <c r="GR173" s="5" t="str">
        <f>IF(GQ173="","",GQ173-GQ172)</f>
        <v/>
      </c>
      <c r="GS173" s="5"/>
      <c r="GT173" s="5" t="str">
        <f>IF(GS173="","",GS173-GS172)</f>
        <v/>
      </c>
      <c r="GU173" s="5"/>
      <c r="GV173" s="5" t="str">
        <f>IF(GU173="","",GU173-GU172)</f>
        <v/>
      </c>
      <c r="GW173" s="5"/>
      <c r="GX173" s="5" t="str">
        <f>IF(GW173="","",GW172+GY172-GW173)</f>
        <v/>
      </c>
      <c r="GY173" s="5"/>
      <c r="GZ173" s="3" t="str">
        <f t="shared" si="552"/>
        <v/>
      </c>
      <c r="HA173" s="5"/>
      <c r="HB173" s="5" t="str">
        <f t="shared" si="609"/>
        <v/>
      </c>
      <c r="HC173" s="36" t="str">
        <f t="shared" si="610"/>
        <v/>
      </c>
      <c r="HD173" s="29"/>
      <c r="HF173" s="14"/>
      <c r="HG173" s="39"/>
      <c r="HH173" s="5" t="str">
        <f>IF(HG173="","",HG173-HG172)</f>
        <v/>
      </c>
      <c r="HI173" s="5"/>
      <c r="HJ173" s="29"/>
      <c r="HL173" s="14"/>
      <c r="HM173" s="39"/>
      <c r="HN173" s="5" t="str">
        <f>IF(HM173="","",HM173-HM172)</f>
        <v/>
      </c>
      <c r="HO173" s="5"/>
      <c r="HP173" s="29"/>
      <c r="HR173" s="14"/>
      <c r="HS173" s="39"/>
      <c r="HT173" s="5" t="str">
        <f>IF(HS173="","",HS173-HS172)</f>
        <v/>
      </c>
      <c r="HU173" s="5"/>
      <c r="HV173" s="29"/>
    </row>
    <row r="174" spans="1:230" ht="15" customHeight="1" thickBot="1" x14ac:dyDescent="0.25">
      <c r="A174" s="60"/>
      <c r="B174" s="73"/>
      <c r="C174" s="44">
        <v>22951</v>
      </c>
      <c r="D174" s="61">
        <f t="shared" si="559"/>
        <v>60</v>
      </c>
      <c r="E174" s="44">
        <v>1160</v>
      </c>
      <c r="F174" s="44">
        <f t="shared" si="560"/>
        <v>2</v>
      </c>
      <c r="G174" s="44">
        <v>5</v>
      </c>
      <c r="H174" s="44">
        <f t="shared" si="561"/>
        <v>1</v>
      </c>
      <c r="I174" s="62">
        <v>0</v>
      </c>
      <c r="J174" s="47" t="str">
        <f t="shared" si="562"/>
        <v>パステルケーキ</v>
      </c>
      <c r="K174" s="61">
        <f t="shared" si="563"/>
        <v>187</v>
      </c>
      <c r="L174" s="44">
        <f t="shared" si="564"/>
        <v>187</v>
      </c>
      <c r="M174" s="46">
        <f t="shared" si="565"/>
        <v>3.1166666666666665E-2</v>
      </c>
      <c r="N174" s="29"/>
      <c r="P174" s="60"/>
      <c r="Q174" s="44">
        <v>8987</v>
      </c>
      <c r="R174" s="61">
        <f t="shared" si="566"/>
        <v>78</v>
      </c>
      <c r="S174" s="44">
        <v>221</v>
      </c>
      <c r="T174" s="44">
        <f t="shared" si="567"/>
        <v>0</v>
      </c>
      <c r="U174" s="44">
        <v>17</v>
      </c>
      <c r="V174" s="44">
        <f t="shared" si="568"/>
        <v>3</v>
      </c>
      <c r="W174" s="62">
        <v>2</v>
      </c>
      <c r="X174" s="45" t="str">
        <f t="shared" si="611"/>
        <v>ボンドロ海外製</v>
      </c>
      <c r="Y174" s="61">
        <f t="shared" si="590"/>
        <v>150</v>
      </c>
      <c r="Z174" s="44">
        <f t="shared" si="569"/>
        <v>450</v>
      </c>
      <c r="AA174" s="46">
        <f t="shared" si="570"/>
        <v>5.7692307692307696E-2</v>
      </c>
      <c r="AB174" s="29" t="s">
        <v>171</v>
      </c>
      <c r="AD174" s="60"/>
      <c r="AE174" s="44">
        <v>666</v>
      </c>
      <c r="AF174" s="74">
        <f t="shared" si="571"/>
        <v>17</v>
      </c>
      <c r="AG174" s="44">
        <v>27</v>
      </c>
      <c r="AH174" s="44">
        <f t="shared" si="572"/>
        <v>4</v>
      </c>
      <c r="AI174" s="44">
        <v>73</v>
      </c>
      <c r="AJ174" s="44">
        <f t="shared" si="573"/>
        <v>0</v>
      </c>
      <c r="AK174" s="62">
        <v>-23</v>
      </c>
      <c r="AL174" s="47" t="str">
        <f t="shared" si="574"/>
        <v>キティボールペン</v>
      </c>
      <c r="AM174" s="61">
        <f t="shared" si="575"/>
        <v>283</v>
      </c>
      <c r="AN174" s="44">
        <f t="shared" si="576"/>
        <v>0</v>
      </c>
      <c r="AO174" s="46">
        <f t="shared" si="577"/>
        <v>0</v>
      </c>
      <c r="AP174" s="29" t="s">
        <v>167</v>
      </c>
      <c r="AR174" s="60"/>
      <c r="AS174" s="44">
        <v>752</v>
      </c>
      <c r="AT174" s="61">
        <f t="shared" si="578"/>
        <v>75</v>
      </c>
      <c r="AU174" s="44">
        <v>19</v>
      </c>
      <c r="AV174" s="44">
        <f t="shared" si="591"/>
        <v>2</v>
      </c>
      <c r="AW174" s="44">
        <v>11</v>
      </c>
      <c r="AX174" s="44">
        <f t="shared" si="579"/>
        <v>6</v>
      </c>
      <c r="AY174" s="62">
        <v>4</v>
      </c>
      <c r="AZ174" s="47" t="str">
        <f t="shared" si="580"/>
        <v>しばこ</v>
      </c>
      <c r="BA174" s="61">
        <f t="shared" si="581"/>
        <v>110</v>
      </c>
      <c r="BB174" s="44">
        <f t="shared" si="582"/>
        <v>660</v>
      </c>
      <c r="BC174" s="46">
        <f t="shared" si="583"/>
        <v>8.7999999999999995E-2</v>
      </c>
      <c r="BD174" s="29"/>
      <c r="BE174" s="32"/>
      <c r="BF174" s="41"/>
      <c r="BG174" s="44">
        <v>3635</v>
      </c>
      <c r="BH174" s="44">
        <f t="shared" si="584"/>
        <v>185</v>
      </c>
      <c r="BI174" s="44">
        <v>37</v>
      </c>
      <c r="BJ174" s="44">
        <f t="shared" si="585"/>
        <v>2</v>
      </c>
      <c r="BK174" s="44">
        <v>2</v>
      </c>
      <c r="BL174" s="44">
        <f t="shared" si="586"/>
        <v>1</v>
      </c>
      <c r="BM174" s="44">
        <v>1</v>
      </c>
      <c r="BN174" s="45" t="str">
        <f>IF(BG172="","",BN170)</f>
        <v>ボンボンドロップシール</v>
      </c>
      <c r="BO174" s="61">
        <f>IF(BG171="","",BO170)</f>
        <v>1500</v>
      </c>
      <c r="BP174" s="44">
        <f t="shared" si="587"/>
        <v>1500</v>
      </c>
      <c r="BQ174" s="46">
        <f t="shared" si="491"/>
        <v>8.1081081081081086E-2</v>
      </c>
      <c r="BR174" s="29"/>
      <c r="BT174" s="41"/>
      <c r="BU174" s="44"/>
      <c r="BV174" s="44" t="str">
        <f t="shared" si="588"/>
        <v/>
      </c>
      <c r="BW174" s="44"/>
      <c r="BX174" s="44" t="str">
        <f t="shared" si="589"/>
        <v/>
      </c>
      <c r="BY174" s="44"/>
      <c r="BZ174" s="44"/>
      <c r="CA174" s="44"/>
      <c r="CB174" s="45"/>
      <c r="CC174" s="61"/>
      <c r="CD174" s="44"/>
      <c r="CE174" s="46"/>
      <c r="CF174" s="29"/>
      <c r="CH174" s="14"/>
      <c r="CI174" s="39"/>
      <c r="CJ174" s="5" t="str">
        <f>IF(CI174="","",CI174-CI173)</f>
        <v/>
      </c>
      <c r="CK174" s="5"/>
      <c r="CL174" s="5"/>
      <c r="CM174" s="5"/>
      <c r="CN174" s="5" t="str">
        <f>IF(CM174="","",CM173+CO173-CM174)</f>
        <v/>
      </c>
      <c r="CO174" s="5"/>
      <c r="CP174" s="5"/>
      <c r="CQ174" s="5"/>
      <c r="CR174" s="5" t="str">
        <f t="shared" si="593"/>
        <v/>
      </c>
      <c r="CS174" s="36" t="str">
        <f t="shared" si="594"/>
        <v/>
      </c>
      <c r="CT174" s="29"/>
      <c r="CV174" s="14"/>
      <c r="CW174" s="39"/>
      <c r="CX174" s="5" t="str">
        <f>IF(CW174="","",CW174-CW173)</f>
        <v/>
      </c>
      <c r="CY174" s="5"/>
      <c r="CZ174" s="5"/>
      <c r="DA174" s="5"/>
      <c r="DB174" s="5" t="str">
        <f>IF(DA174="","",DA173+DC173-DA174)</f>
        <v/>
      </c>
      <c r="DC174" s="5"/>
      <c r="DD174" s="5"/>
      <c r="DE174" s="5"/>
      <c r="DF174" s="5" t="str">
        <f t="shared" si="595"/>
        <v/>
      </c>
      <c r="DG174" s="36" t="str">
        <f t="shared" si="596"/>
        <v/>
      </c>
      <c r="DH174" s="29"/>
      <c r="DJ174" s="14"/>
      <c r="DK174" s="39"/>
      <c r="DL174" s="5" t="str">
        <f>IF(DK174="","",DK174-DK173)</f>
        <v/>
      </c>
      <c r="DM174" s="5"/>
      <c r="DN174" s="5"/>
      <c r="DO174" s="5"/>
      <c r="DP174" s="5" t="str">
        <f>IF(DO174="","",DO173+DQ173-DO174)</f>
        <v/>
      </c>
      <c r="DQ174" s="5"/>
      <c r="DR174" s="5"/>
      <c r="DS174" s="5"/>
      <c r="DT174" s="5" t="str">
        <f t="shared" si="597"/>
        <v/>
      </c>
      <c r="DU174" s="36" t="str">
        <f t="shared" si="598"/>
        <v/>
      </c>
      <c r="DV174" s="29"/>
      <c r="DX174" s="14"/>
      <c r="DY174" s="39"/>
      <c r="DZ174" s="5" t="str">
        <f>IF(DY174="","",DY174-DY173)</f>
        <v/>
      </c>
      <c r="EA174" s="5"/>
      <c r="EB174" s="5"/>
      <c r="EC174" s="5"/>
      <c r="ED174" s="5" t="str">
        <f>IF(EC174="","",EC173+EE173-EC174)</f>
        <v/>
      </c>
      <c r="EE174" s="5"/>
      <c r="EF174" s="5"/>
      <c r="EG174" s="5"/>
      <c r="EH174" s="5" t="str">
        <f t="shared" si="599"/>
        <v/>
      </c>
      <c r="EI174" s="36" t="str">
        <f t="shared" si="600"/>
        <v/>
      </c>
      <c r="EJ174" s="29"/>
      <c r="EL174" s="14"/>
      <c r="EM174" s="39"/>
      <c r="EN174" s="5" t="str">
        <f>IF(EM174="","",EM174-EM173)</f>
        <v/>
      </c>
      <c r="EO174" s="5"/>
      <c r="EP174" s="5"/>
      <c r="EQ174" s="5"/>
      <c r="ER174" s="5" t="str">
        <f>IF(EQ174="","",EQ173+ES173-EQ174)</f>
        <v/>
      </c>
      <c r="ES174" s="5"/>
      <c r="ET174" s="5"/>
      <c r="EU174" s="5"/>
      <c r="EV174" s="5" t="str">
        <f t="shared" si="601"/>
        <v/>
      </c>
      <c r="EW174" s="36" t="str">
        <f t="shared" si="602"/>
        <v/>
      </c>
      <c r="EX174" s="29"/>
      <c r="EZ174" s="14"/>
      <c r="FA174" s="39"/>
      <c r="FB174" s="5" t="str">
        <f>IF(FA174="","",FA174-FA173)</f>
        <v/>
      </c>
      <c r="FC174" s="5"/>
      <c r="FD174" s="5"/>
      <c r="FE174" s="5"/>
      <c r="FF174" s="5" t="str">
        <f>IF(FE174="","",FE173+FG173-FE174)</f>
        <v/>
      </c>
      <c r="FG174" s="5"/>
      <c r="FH174" s="5"/>
      <c r="FI174" s="5"/>
      <c r="FJ174" s="5" t="str">
        <f t="shared" si="603"/>
        <v/>
      </c>
      <c r="FK174" s="36" t="str">
        <f t="shared" si="604"/>
        <v/>
      </c>
      <c r="FL174" s="29"/>
      <c r="FN174" s="14"/>
      <c r="FO174" s="39"/>
      <c r="FP174" s="5" t="str">
        <f>IF(FO174="","",FO174-FO173)</f>
        <v/>
      </c>
      <c r="FQ174" s="5"/>
      <c r="FR174" s="5"/>
      <c r="FS174" s="5"/>
      <c r="FT174" s="5" t="str">
        <f>IF(FS174="","",FS173+FU173-FS174)</f>
        <v/>
      </c>
      <c r="FU174" s="5"/>
      <c r="FV174" s="5"/>
      <c r="FW174" s="5"/>
      <c r="FX174" s="5" t="str">
        <f t="shared" si="605"/>
        <v/>
      </c>
      <c r="FY174" s="36" t="str">
        <f t="shared" si="606"/>
        <v/>
      </c>
      <c r="FZ174" s="29"/>
      <c r="GB174" s="14"/>
      <c r="GC174" s="39"/>
      <c r="GD174" s="5" t="str">
        <f>IF(GC174="","",GC174-GC173)</f>
        <v/>
      </c>
      <c r="GE174" s="5"/>
      <c r="GF174" s="5"/>
      <c r="GG174" s="5"/>
      <c r="GH174" s="5" t="str">
        <f>IF(GG174="","",GG173+GI173-GG174)</f>
        <v/>
      </c>
      <c r="GI174" s="5"/>
      <c r="GJ174" s="5"/>
      <c r="GK174" s="5"/>
      <c r="GL174" s="5" t="str">
        <f t="shared" si="607"/>
        <v/>
      </c>
      <c r="GM174" s="36" t="str">
        <f t="shared" si="608"/>
        <v/>
      </c>
      <c r="GN174" s="29"/>
      <c r="GP174" s="14"/>
      <c r="GQ174" s="39"/>
      <c r="GR174" s="5" t="str">
        <f>IF(GQ174="","",GQ174-GQ173)</f>
        <v/>
      </c>
      <c r="GS174" s="5"/>
      <c r="GT174" s="5" t="str">
        <f>IF(GS174="","",GS174-GS173)</f>
        <v/>
      </c>
      <c r="GU174" s="5"/>
      <c r="GV174" s="5"/>
      <c r="GW174" s="5"/>
      <c r="GX174" s="5" t="str">
        <f>IF(GW174="","",GW173+GY173-GW174)</f>
        <v/>
      </c>
      <c r="GY174" s="5"/>
      <c r="GZ174" s="3" t="str">
        <f t="shared" si="552"/>
        <v/>
      </c>
      <c r="HA174" s="5"/>
      <c r="HB174" s="5" t="str">
        <f t="shared" si="609"/>
        <v/>
      </c>
      <c r="HC174" s="36" t="str">
        <f t="shared" si="610"/>
        <v/>
      </c>
      <c r="HD174" s="29"/>
      <c r="HF174" s="14"/>
      <c r="HG174" s="39"/>
      <c r="HH174" s="5" t="str">
        <f>IF(HG174="","",HG174-HG173)</f>
        <v/>
      </c>
      <c r="HI174" s="5"/>
      <c r="HJ174" s="29"/>
      <c r="HL174" s="14"/>
      <c r="HM174" s="39"/>
      <c r="HN174" s="5" t="str">
        <f>IF(HM174="","",HM174-HM173)</f>
        <v/>
      </c>
      <c r="HO174" s="5"/>
      <c r="HP174" s="29"/>
      <c r="HR174" s="14"/>
      <c r="HS174" s="39"/>
      <c r="HT174" s="5" t="str">
        <f>IF(HS174="","",HS174-HS173)</f>
        <v/>
      </c>
      <c r="HU174" s="5"/>
      <c r="HV174" s="29"/>
    </row>
    <row r="175" spans="1:230" ht="15" customHeight="1" thickTop="1" x14ac:dyDescent="0.2">
      <c r="A175" s="49">
        <v>46122</v>
      </c>
      <c r="B175" s="26">
        <f>SUM(D175:D178)+SUM(R175:R178)+SUM(AF175:AF178)+SUM(AT175:AT178)+SUM(CJ157,CX157,DL157,DZ157,EN157,FB157,FP157,GD157,GR157,HH157,HN157,HT157)+SUM(BH175:BH178)+SUM(BV175:BV176)</f>
        <v>1412</v>
      </c>
      <c r="C175" s="4">
        <v>13339</v>
      </c>
      <c r="D175" s="68">
        <f t="shared" si="559"/>
        <v>14</v>
      </c>
      <c r="E175" s="4">
        <v>339</v>
      </c>
      <c r="F175" s="50">
        <f t="shared" si="560"/>
        <v>0</v>
      </c>
      <c r="G175" s="4">
        <v>10</v>
      </c>
      <c r="H175" s="4">
        <f t="shared" si="561"/>
        <v>0</v>
      </c>
      <c r="I175" s="51">
        <v>0</v>
      </c>
      <c r="J175" s="31" t="str">
        <f t="shared" si="562"/>
        <v>ジャグラーボタン</v>
      </c>
      <c r="K175" s="27">
        <f t="shared" si="563"/>
        <v>748</v>
      </c>
      <c r="L175" s="50">
        <f t="shared" si="564"/>
        <v>0</v>
      </c>
      <c r="M175" s="52">
        <f t="shared" si="565"/>
        <v>0</v>
      </c>
      <c r="N175" s="29" t="s">
        <v>186</v>
      </c>
      <c r="P175" s="53">
        <f>IF($A175="","",$A175)</f>
        <v>46122</v>
      </c>
      <c r="Q175" s="4">
        <v>3996</v>
      </c>
      <c r="R175" s="4">
        <f t="shared" si="566"/>
        <v>62</v>
      </c>
      <c r="S175" s="4">
        <v>191</v>
      </c>
      <c r="T175" s="50">
        <f t="shared" si="567"/>
        <v>1</v>
      </c>
      <c r="U175" s="4">
        <v>7</v>
      </c>
      <c r="V175" s="4">
        <f t="shared" si="568"/>
        <v>1</v>
      </c>
      <c r="W175" s="51">
        <v>0</v>
      </c>
      <c r="X175" s="2" t="str">
        <f t="shared" si="611"/>
        <v>サンリオボアバンスクリップ</v>
      </c>
      <c r="Y175" s="27">
        <f t="shared" si="590"/>
        <v>660</v>
      </c>
      <c r="Z175" s="50">
        <f t="shared" si="569"/>
        <v>660</v>
      </c>
      <c r="AA175" s="52">
        <f t="shared" si="570"/>
        <v>0.1064516129032258</v>
      </c>
      <c r="AB175" s="29"/>
      <c r="AD175" s="53">
        <f>IF($A175="","",$A175)</f>
        <v>46122</v>
      </c>
      <c r="AE175" s="4">
        <v>1929</v>
      </c>
      <c r="AF175" s="4">
        <f t="shared" si="571"/>
        <v>58</v>
      </c>
      <c r="AG175" s="4">
        <v>25</v>
      </c>
      <c r="AH175" s="50">
        <f t="shared" si="572"/>
        <v>4</v>
      </c>
      <c r="AI175" s="4">
        <v>8</v>
      </c>
      <c r="AJ175" s="4">
        <f t="shared" si="573"/>
        <v>3</v>
      </c>
      <c r="AK175" s="51">
        <v>0</v>
      </c>
      <c r="AL175" s="31" t="str">
        <f t="shared" si="574"/>
        <v>モンチッチがま口</v>
      </c>
      <c r="AM175" s="27">
        <f t="shared" si="575"/>
        <v>462</v>
      </c>
      <c r="AN175" s="50">
        <f t="shared" si="576"/>
        <v>1386</v>
      </c>
      <c r="AO175" s="52">
        <f t="shared" si="577"/>
        <v>0.23896551724137932</v>
      </c>
      <c r="AP175" s="29"/>
      <c r="AR175" s="53">
        <f>IF($A175="","",$A175)</f>
        <v>46122</v>
      </c>
      <c r="AS175" s="4">
        <v>1262</v>
      </c>
      <c r="AT175" s="4">
        <f t="shared" si="578"/>
        <v>30</v>
      </c>
      <c r="AU175" s="4">
        <v>28</v>
      </c>
      <c r="AV175" s="50">
        <f t="shared" si="591"/>
        <v>2</v>
      </c>
      <c r="AW175" s="4">
        <v>5</v>
      </c>
      <c r="AX175" s="4">
        <f t="shared" si="579"/>
        <v>3</v>
      </c>
      <c r="AY175" s="51">
        <v>0</v>
      </c>
      <c r="AZ175" s="31" t="str">
        <f t="shared" si="580"/>
        <v>デジタルミニカメラ</v>
      </c>
      <c r="BA175" s="27">
        <f t="shared" si="581"/>
        <v>1075</v>
      </c>
      <c r="BB175" s="50">
        <f t="shared" si="582"/>
        <v>3225</v>
      </c>
      <c r="BC175" s="52">
        <f t="shared" si="583"/>
        <v>1.075</v>
      </c>
      <c r="BD175" s="29" t="s">
        <v>179</v>
      </c>
      <c r="BE175" s="32"/>
      <c r="BF175" s="33">
        <f>IF($A175="","",$A175)</f>
        <v>46122</v>
      </c>
      <c r="BG175" s="5">
        <v>2605</v>
      </c>
      <c r="BH175" s="4">
        <f t="shared" si="584"/>
        <v>24</v>
      </c>
      <c r="BI175" s="5">
        <v>22</v>
      </c>
      <c r="BJ175" s="50">
        <f t="shared" si="585"/>
        <v>2</v>
      </c>
      <c r="BK175" s="5">
        <v>1</v>
      </c>
      <c r="BL175" s="4">
        <f t="shared" si="586"/>
        <v>1</v>
      </c>
      <c r="BM175" s="4">
        <v>2</v>
      </c>
      <c r="BN175" s="2" t="str">
        <f>IF(BG175="","",BN171)</f>
        <v>ボンボンドロップシール</v>
      </c>
      <c r="BO175" s="27">
        <f>IF(BG175="","",BO171)</f>
        <v>1500</v>
      </c>
      <c r="BP175" s="5">
        <f t="shared" si="587"/>
        <v>1500</v>
      </c>
      <c r="BQ175" s="52">
        <f t="shared" si="491"/>
        <v>0.625</v>
      </c>
      <c r="BR175" s="29"/>
      <c r="BT175" s="33">
        <f>IF($A175="","",$A175)</f>
        <v>46122</v>
      </c>
      <c r="BU175" s="5">
        <v>35632</v>
      </c>
      <c r="BV175" s="4">
        <f t="shared" si="588"/>
        <v>9</v>
      </c>
      <c r="BW175" s="5">
        <v>3860</v>
      </c>
      <c r="BX175" s="50">
        <f t="shared" si="589"/>
        <v>1</v>
      </c>
      <c r="BY175" s="4">
        <v>40</v>
      </c>
      <c r="BZ175" s="4">
        <f>IF(BY175="","",BY171+CA171-BY175)</f>
        <v>1</v>
      </c>
      <c r="CA175" s="4"/>
      <c r="CB175" s="2" t="str">
        <f>IF(BU175="","",CB171)</f>
        <v>ベイビースリーフェイス</v>
      </c>
      <c r="CC175" s="27">
        <f>IF(BU175="","",CC171)</f>
        <v>1050</v>
      </c>
      <c r="CD175" s="5">
        <f>IF(BY175="","",BZ175*CC175)</f>
        <v>1050</v>
      </c>
      <c r="CE175" s="52">
        <f>IF(BZ175="","",CD175/(BV175*100))</f>
        <v>1.1666666666666667</v>
      </c>
      <c r="CF175" s="29" t="s">
        <v>183</v>
      </c>
      <c r="CH175" s="14"/>
      <c r="CI175" s="5"/>
      <c r="CJ175" s="5" t="str">
        <f>IF(CI175="","",CI175-CI176)</f>
        <v/>
      </c>
      <c r="CK175" s="5"/>
      <c r="CL175" s="5" t="str">
        <f>IF(CK175="","",CK175-CK176)</f>
        <v/>
      </c>
      <c r="CM175" s="5"/>
      <c r="CN175" s="5" t="str">
        <f>IF(CM175="","",CM176+CO176-CM175)</f>
        <v/>
      </c>
      <c r="CO175" s="5"/>
      <c r="CP175" s="5"/>
      <c r="CQ175" s="5"/>
      <c r="CR175" s="5" t="str">
        <f t="shared" si="593"/>
        <v/>
      </c>
      <c r="CS175" s="36" t="str">
        <f t="shared" si="594"/>
        <v/>
      </c>
      <c r="CT175" s="29"/>
      <c r="CV175" s="14"/>
      <c r="CW175" s="5"/>
      <c r="CX175" s="5" t="str">
        <f>IF(CW175="","",CW175-CW176)</f>
        <v/>
      </c>
      <c r="CY175" s="5"/>
      <c r="CZ175" s="5" t="str">
        <f>IF(CY175="","",CY175-CY176)</f>
        <v/>
      </c>
      <c r="DA175" s="5"/>
      <c r="DB175" s="5" t="str">
        <f>IF(DA175="","",DA176+DC176-DA175)</f>
        <v/>
      </c>
      <c r="DC175" s="5"/>
      <c r="DD175" s="5"/>
      <c r="DE175" s="5"/>
      <c r="DF175" s="5" t="str">
        <f t="shared" si="595"/>
        <v/>
      </c>
      <c r="DG175" s="36" t="str">
        <f t="shared" si="596"/>
        <v/>
      </c>
      <c r="DH175" s="29"/>
      <c r="DJ175" s="14"/>
      <c r="DK175" s="5"/>
      <c r="DL175" s="5" t="str">
        <f>IF(DK175="","",DK175-DK176)</f>
        <v/>
      </c>
      <c r="DM175" s="5"/>
      <c r="DN175" s="5" t="str">
        <f>IF(DM175="","",DM175-DM176)</f>
        <v/>
      </c>
      <c r="DO175" s="5"/>
      <c r="DP175" s="5" t="str">
        <f>IF(DO175="","",DO176+DQ176-DO175)</f>
        <v/>
      </c>
      <c r="DQ175" s="5"/>
      <c r="DR175" s="5"/>
      <c r="DS175" s="5"/>
      <c r="DT175" s="5" t="str">
        <f t="shared" si="597"/>
        <v/>
      </c>
      <c r="DU175" s="36" t="str">
        <f t="shared" si="598"/>
        <v/>
      </c>
      <c r="DV175" s="29"/>
      <c r="DX175" s="14"/>
      <c r="DY175" s="5"/>
      <c r="DZ175" s="5" t="str">
        <f>IF(DY175="","",DY175-DY176)</f>
        <v/>
      </c>
      <c r="EA175" s="5"/>
      <c r="EB175" s="5" t="str">
        <f>IF(EA175="","",EA175-EA176)</f>
        <v/>
      </c>
      <c r="EC175" s="5"/>
      <c r="ED175" s="5" t="str">
        <f>IF(EC175="","",EC176+EE176-EC175)</f>
        <v/>
      </c>
      <c r="EE175" s="5"/>
      <c r="EF175" s="5"/>
      <c r="EG175" s="5"/>
      <c r="EH175" s="5" t="str">
        <f t="shared" si="599"/>
        <v/>
      </c>
      <c r="EI175" s="36" t="str">
        <f t="shared" si="600"/>
        <v/>
      </c>
      <c r="EJ175" s="29"/>
      <c r="EL175" s="14"/>
      <c r="EM175" s="5"/>
      <c r="EN175" s="5" t="str">
        <f>IF(EM175="","",EM175-EM176)</f>
        <v/>
      </c>
      <c r="EO175" s="5"/>
      <c r="EP175" s="5" t="str">
        <f>IF(EO175="","",EO175-EO176)</f>
        <v/>
      </c>
      <c r="EQ175" s="5"/>
      <c r="ER175" s="5" t="str">
        <f>IF(EQ175="","",EQ176+ES176-EQ175)</f>
        <v/>
      </c>
      <c r="ES175" s="5"/>
      <c r="ET175" s="5"/>
      <c r="EU175" s="5"/>
      <c r="EV175" s="5" t="str">
        <f t="shared" si="601"/>
        <v/>
      </c>
      <c r="EW175" s="36" t="str">
        <f t="shared" si="602"/>
        <v/>
      </c>
      <c r="EX175" s="29"/>
      <c r="EZ175" s="14"/>
      <c r="FA175" s="5"/>
      <c r="FB175" s="5" t="str">
        <f>IF(FA175="","",FA175-FA176)</f>
        <v/>
      </c>
      <c r="FC175" s="5"/>
      <c r="FD175" s="5" t="str">
        <f>IF(FC175="","",FC175-FC176)</f>
        <v/>
      </c>
      <c r="FE175" s="5"/>
      <c r="FF175" s="5" t="str">
        <f>IF(FE175="","",FE176+FG176-FE175)</f>
        <v/>
      </c>
      <c r="FG175" s="5"/>
      <c r="FH175" s="5"/>
      <c r="FI175" s="5"/>
      <c r="FJ175" s="5" t="str">
        <f t="shared" si="603"/>
        <v/>
      </c>
      <c r="FK175" s="36" t="str">
        <f t="shared" si="604"/>
        <v/>
      </c>
      <c r="FL175" s="29"/>
      <c r="FN175" s="14"/>
      <c r="FO175" s="5"/>
      <c r="FP175" s="5" t="str">
        <f>IF(FO175="","",FO175-FO176)</f>
        <v/>
      </c>
      <c r="FQ175" s="5"/>
      <c r="FR175" s="5" t="str">
        <f>IF(FQ175="","",FQ175-FQ176)</f>
        <v/>
      </c>
      <c r="FS175" s="5"/>
      <c r="FT175" s="5" t="str">
        <f>IF(FS175="","",FS176+FU176-FS175)</f>
        <v/>
      </c>
      <c r="FU175" s="5"/>
      <c r="FV175" s="5"/>
      <c r="FW175" s="5"/>
      <c r="FX175" s="5" t="str">
        <f t="shared" si="605"/>
        <v/>
      </c>
      <c r="FY175" s="36" t="str">
        <f t="shared" si="606"/>
        <v/>
      </c>
      <c r="FZ175" s="29"/>
      <c r="GB175" s="14"/>
      <c r="GC175" s="5"/>
      <c r="GD175" s="5" t="str">
        <f>IF(GC175="","",GC175-GC176)</f>
        <v/>
      </c>
      <c r="GE175" s="5"/>
      <c r="GF175" s="5" t="str">
        <f>IF(GE175="","",GE175-GE176)</f>
        <v/>
      </c>
      <c r="GG175" s="5"/>
      <c r="GH175" s="5" t="str">
        <f>IF(GG175="","",GG176+GI176-GG175)</f>
        <v/>
      </c>
      <c r="GI175" s="5"/>
      <c r="GJ175" s="5"/>
      <c r="GK175" s="5"/>
      <c r="GL175" s="5" t="str">
        <f t="shared" si="607"/>
        <v/>
      </c>
      <c r="GM175" s="36" t="str">
        <f t="shared" si="608"/>
        <v/>
      </c>
      <c r="GN175" s="29"/>
      <c r="GP175" s="14"/>
      <c r="GQ175" s="5"/>
      <c r="GR175" s="5" t="str">
        <f>IF(GQ175="","",GQ175-GQ176)</f>
        <v/>
      </c>
      <c r="GS175" s="5"/>
      <c r="GT175" s="5" t="str">
        <f>IF(GS175="","",GS175-GS176)</f>
        <v/>
      </c>
      <c r="GU175" s="5"/>
      <c r="GV175" s="5" t="str">
        <f>IF(GU175="","",GU175-GU176)</f>
        <v/>
      </c>
      <c r="GW175" s="5"/>
      <c r="GX175" s="5" t="str">
        <f>IF(GW175="","",GW176+GY176-GW175)</f>
        <v/>
      </c>
      <c r="GY175" s="5"/>
      <c r="GZ175" s="5"/>
      <c r="HA175" s="5"/>
      <c r="HB175" s="5" t="str">
        <f t="shared" si="609"/>
        <v/>
      </c>
      <c r="HC175" s="36" t="str">
        <f t="shared" si="610"/>
        <v/>
      </c>
      <c r="HD175" s="29"/>
      <c r="HF175" s="14"/>
      <c r="HG175" s="5"/>
      <c r="HH175" s="5" t="str">
        <f>IF(HG175="","",HG175-HG176)</f>
        <v/>
      </c>
      <c r="HI175" s="5"/>
      <c r="HJ175" s="29"/>
      <c r="HL175" s="14"/>
      <c r="HM175" s="5"/>
      <c r="HN175" s="5" t="str">
        <f>IF(HM175="","",HM175-HM176)</f>
        <v/>
      </c>
      <c r="HO175" s="5"/>
      <c r="HP175" s="29"/>
      <c r="HR175" s="14"/>
      <c r="HS175" s="5"/>
      <c r="HT175" s="5" t="str">
        <f>IF(HS175="","",HS175-HS176)</f>
        <v/>
      </c>
      <c r="HU175" s="5"/>
      <c r="HV175" s="29"/>
    </row>
    <row r="176" spans="1:230" ht="15" customHeight="1" x14ac:dyDescent="0.2">
      <c r="A176" s="49"/>
      <c r="B176" s="26"/>
      <c r="C176" s="4">
        <v>16824</v>
      </c>
      <c r="D176" s="5">
        <f t="shared" si="559"/>
        <v>47</v>
      </c>
      <c r="E176" s="5">
        <v>522</v>
      </c>
      <c r="F176" s="5">
        <f t="shared" si="560"/>
        <v>1</v>
      </c>
      <c r="G176" s="5">
        <v>46</v>
      </c>
      <c r="H176" s="5">
        <f t="shared" si="561"/>
        <v>4</v>
      </c>
      <c r="I176" s="35">
        <v>0</v>
      </c>
      <c r="J176" s="38" t="s">
        <v>176</v>
      </c>
      <c r="K176" s="39">
        <v>99</v>
      </c>
      <c r="L176" s="5">
        <f t="shared" si="564"/>
        <v>396</v>
      </c>
      <c r="M176" s="36">
        <f t="shared" si="565"/>
        <v>8.4255319148936164E-2</v>
      </c>
      <c r="N176" s="29"/>
      <c r="P176" s="49"/>
      <c r="Q176" s="4">
        <v>10707</v>
      </c>
      <c r="R176" s="5">
        <f t="shared" si="566"/>
        <v>35</v>
      </c>
      <c r="S176" s="5">
        <v>182</v>
      </c>
      <c r="T176" s="5">
        <f t="shared" si="567"/>
        <v>2</v>
      </c>
      <c r="U176" s="5">
        <v>6</v>
      </c>
      <c r="V176" s="5">
        <f t="shared" si="568"/>
        <v>2</v>
      </c>
      <c r="W176" s="35">
        <v>3</v>
      </c>
      <c r="X176" s="3" t="str">
        <f t="shared" si="611"/>
        <v>サンリオヘアバンド</v>
      </c>
      <c r="Y176" s="39">
        <f t="shared" si="590"/>
        <v>825</v>
      </c>
      <c r="Z176" s="5">
        <f t="shared" si="569"/>
        <v>1650</v>
      </c>
      <c r="AA176" s="36">
        <f t="shared" si="570"/>
        <v>0.47142857142857142</v>
      </c>
      <c r="AB176" s="29"/>
      <c r="AD176" s="49"/>
      <c r="AE176" s="4">
        <v>1487</v>
      </c>
      <c r="AF176" s="5">
        <f t="shared" si="571"/>
        <v>50</v>
      </c>
      <c r="AG176" s="5">
        <v>29</v>
      </c>
      <c r="AH176" s="5">
        <f t="shared" si="572"/>
        <v>0</v>
      </c>
      <c r="AI176" s="5">
        <v>11</v>
      </c>
      <c r="AJ176" s="5">
        <f t="shared" si="573"/>
        <v>0</v>
      </c>
      <c r="AK176" s="35">
        <v>0</v>
      </c>
      <c r="AL176" s="38" t="str">
        <f t="shared" si="574"/>
        <v>バタースクイーズ</v>
      </c>
      <c r="AM176" s="39">
        <f t="shared" si="575"/>
        <v>1100</v>
      </c>
      <c r="AN176" s="5">
        <f t="shared" si="576"/>
        <v>0</v>
      </c>
      <c r="AO176" s="36">
        <f t="shared" si="577"/>
        <v>0</v>
      </c>
      <c r="AP176" s="29"/>
      <c r="AR176" s="49"/>
      <c r="AS176" s="4">
        <v>1217</v>
      </c>
      <c r="AT176" s="5">
        <f t="shared" si="578"/>
        <v>23</v>
      </c>
      <c r="AU176" s="5">
        <v>2</v>
      </c>
      <c r="AV176" s="5">
        <f t="shared" si="591"/>
        <v>0</v>
      </c>
      <c r="AW176" s="5">
        <v>11</v>
      </c>
      <c r="AX176" s="5">
        <f t="shared" si="579"/>
        <v>0</v>
      </c>
      <c r="AY176" s="35">
        <v>0</v>
      </c>
      <c r="AZ176" s="38" t="str">
        <f t="shared" si="580"/>
        <v>ゲーム機イヤホン</v>
      </c>
      <c r="BA176" s="39">
        <f t="shared" si="581"/>
        <v>770</v>
      </c>
      <c r="BB176" s="5">
        <f t="shared" si="582"/>
        <v>0</v>
      </c>
      <c r="BC176" s="36">
        <f t="shared" si="583"/>
        <v>0</v>
      </c>
      <c r="BD176" s="29"/>
      <c r="BE176" s="32"/>
      <c r="BF176" s="33"/>
      <c r="BG176" s="4">
        <v>4542</v>
      </c>
      <c r="BH176" s="4">
        <f t="shared" si="584"/>
        <v>45</v>
      </c>
      <c r="BI176" s="4">
        <v>36</v>
      </c>
      <c r="BJ176" s="5">
        <f t="shared" si="585"/>
        <v>1</v>
      </c>
      <c r="BK176" s="4">
        <v>3</v>
      </c>
      <c r="BL176" s="5">
        <f t="shared" si="586"/>
        <v>0</v>
      </c>
      <c r="BM176" s="4">
        <v>0</v>
      </c>
      <c r="BN176" s="3" t="str">
        <f>IF(BG176="","",BN172)</f>
        <v>ボンボンドロップシール</v>
      </c>
      <c r="BO176" s="39">
        <f>IF(BG175="","",BO172)</f>
        <v>1500</v>
      </c>
      <c r="BP176" s="4">
        <f t="shared" si="587"/>
        <v>0</v>
      </c>
      <c r="BQ176" s="36">
        <f t="shared" si="491"/>
        <v>0</v>
      </c>
      <c r="BR176" s="29"/>
      <c r="BT176" s="33"/>
      <c r="BU176" s="4">
        <v>31650</v>
      </c>
      <c r="BV176" s="4">
        <f t="shared" si="588"/>
        <v>65</v>
      </c>
      <c r="BW176" s="4">
        <v>1679</v>
      </c>
      <c r="BX176" s="5">
        <f t="shared" si="589"/>
        <v>3</v>
      </c>
      <c r="BY176" s="5">
        <v>39</v>
      </c>
      <c r="BZ176" s="5">
        <f>IF(BY176="","",BY172+CA172-BY176)</f>
        <v>3</v>
      </c>
      <c r="CA176" s="4"/>
      <c r="CB176" s="3" t="str">
        <f>IF(BU176="","",CB172)</f>
        <v>サンリオボアポーチ</v>
      </c>
      <c r="CC176" s="39">
        <f>IF(BU175="","",CC172)</f>
        <v>950</v>
      </c>
      <c r="CD176" s="4">
        <f>IF(BY176="","",BZ176*CC176)</f>
        <v>2850</v>
      </c>
      <c r="CE176" s="36">
        <f>IF(BZ176="","",CD176/(BV176*100))</f>
        <v>0.43846153846153846</v>
      </c>
      <c r="CF176" s="29"/>
      <c r="CH176" s="14"/>
      <c r="CI176" s="5"/>
      <c r="CJ176" s="5" t="str">
        <f>IF(CI176="","",CI176-CI174)</f>
        <v/>
      </c>
      <c r="CK176" s="5"/>
      <c r="CL176" s="5" t="str">
        <f>IF(CK176="","",CK176-CK174)</f>
        <v/>
      </c>
      <c r="CM176" s="5"/>
      <c r="CN176" s="5" t="str">
        <f>IF(CM176="","",CM174+CO174-CM176)</f>
        <v/>
      </c>
      <c r="CO176" s="5"/>
      <c r="CP176" s="5"/>
      <c r="CQ176" s="5"/>
      <c r="CR176" s="5" t="str">
        <f t="shared" si="593"/>
        <v/>
      </c>
      <c r="CS176" s="36" t="str">
        <f t="shared" si="594"/>
        <v/>
      </c>
      <c r="CT176" s="29"/>
      <c r="CV176" s="14"/>
      <c r="CW176" s="5"/>
      <c r="CX176" s="5" t="str">
        <f>IF(CW176="","",CW176-CW174)</f>
        <v/>
      </c>
      <c r="CY176" s="5"/>
      <c r="CZ176" s="5" t="str">
        <f>IF(CY176="","",CY176-CY174)</f>
        <v/>
      </c>
      <c r="DA176" s="5"/>
      <c r="DB176" s="5" t="str">
        <f>IF(DA176="","",DA174+DC174-DA176)</f>
        <v/>
      </c>
      <c r="DC176" s="5"/>
      <c r="DD176" s="5"/>
      <c r="DE176" s="5"/>
      <c r="DF176" s="5" t="str">
        <f t="shared" si="595"/>
        <v/>
      </c>
      <c r="DG176" s="36" t="str">
        <f t="shared" si="596"/>
        <v/>
      </c>
      <c r="DH176" s="29"/>
      <c r="DJ176" s="14"/>
      <c r="DK176" s="5"/>
      <c r="DL176" s="5" t="str">
        <f>IF(DK176="","",DK176-DK174)</f>
        <v/>
      </c>
      <c r="DM176" s="5"/>
      <c r="DN176" s="5" t="str">
        <f>IF(DM176="","",DM176-DM174)</f>
        <v/>
      </c>
      <c r="DO176" s="5"/>
      <c r="DP176" s="5" t="str">
        <f>IF(DO176="","",DO174+DQ174-DO176)</f>
        <v/>
      </c>
      <c r="DQ176" s="5"/>
      <c r="DR176" s="5"/>
      <c r="DS176" s="5"/>
      <c r="DT176" s="5" t="str">
        <f t="shared" si="597"/>
        <v/>
      </c>
      <c r="DU176" s="36" t="str">
        <f t="shared" si="598"/>
        <v/>
      </c>
      <c r="DV176" s="29"/>
      <c r="DX176" s="14"/>
      <c r="DY176" s="5"/>
      <c r="DZ176" s="5" t="str">
        <f>IF(DY176="","",DY176-DY174)</f>
        <v/>
      </c>
      <c r="EA176" s="5"/>
      <c r="EB176" s="5" t="str">
        <f>IF(EA176="","",EA176-EA174)</f>
        <v/>
      </c>
      <c r="EC176" s="5"/>
      <c r="ED176" s="5" t="str">
        <f>IF(EC176="","",EC174+EE174-EC176)</f>
        <v/>
      </c>
      <c r="EE176" s="5"/>
      <c r="EF176" s="5"/>
      <c r="EG176" s="5"/>
      <c r="EH176" s="5" t="str">
        <f t="shared" si="599"/>
        <v/>
      </c>
      <c r="EI176" s="36" t="str">
        <f t="shared" si="600"/>
        <v/>
      </c>
      <c r="EJ176" s="29"/>
      <c r="EL176" s="14"/>
      <c r="EM176" s="5"/>
      <c r="EN176" s="5" t="str">
        <f>IF(EM176="","",EM176-EM174)</f>
        <v/>
      </c>
      <c r="EO176" s="5"/>
      <c r="EP176" s="5" t="str">
        <f>IF(EO176="","",EO176-EO174)</f>
        <v/>
      </c>
      <c r="EQ176" s="5"/>
      <c r="ER176" s="5" t="str">
        <f>IF(EQ176="","",EQ174+ES174-EQ176)</f>
        <v/>
      </c>
      <c r="ES176" s="5"/>
      <c r="ET176" s="5"/>
      <c r="EU176" s="5"/>
      <c r="EV176" s="5" t="str">
        <f t="shared" si="601"/>
        <v/>
      </c>
      <c r="EW176" s="36" t="str">
        <f t="shared" si="602"/>
        <v/>
      </c>
      <c r="EX176" s="29"/>
      <c r="EZ176" s="14"/>
      <c r="FA176" s="5"/>
      <c r="FB176" s="5" t="str">
        <f>IF(FA176="","",FA176-FA174)</f>
        <v/>
      </c>
      <c r="FC176" s="5"/>
      <c r="FD176" s="5" t="str">
        <f>IF(FC176="","",FC176-FC174)</f>
        <v/>
      </c>
      <c r="FE176" s="5"/>
      <c r="FF176" s="5" t="str">
        <f>IF(FE176="","",FE174+FG174-FE176)</f>
        <v/>
      </c>
      <c r="FG176" s="5"/>
      <c r="FH176" s="5"/>
      <c r="FI176" s="5"/>
      <c r="FJ176" s="5" t="str">
        <f t="shared" si="603"/>
        <v/>
      </c>
      <c r="FK176" s="36" t="str">
        <f t="shared" si="604"/>
        <v/>
      </c>
      <c r="FL176" s="29"/>
      <c r="FN176" s="14"/>
      <c r="FO176" s="5"/>
      <c r="FP176" s="5" t="str">
        <f>IF(FO176="","",FO176-FO174)</f>
        <v/>
      </c>
      <c r="FQ176" s="5"/>
      <c r="FR176" s="5" t="str">
        <f>IF(FQ176="","",FQ176-FQ174)</f>
        <v/>
      </c>
      <c r="FS176" s="5"/>
      <c r="FT176" s="5" t="str">
        <f>IF(FS176="","",FS174+FU174-FS176)</f>
        <v/>
      </c>
      <c r="FU176" s="5"/>
      <c r="FV176" s="5"/>
      <c r="FW176" s="5"/>
      <c r="FX176" s="5" t="str">
        <f t="shared" si="605"/>
        <v/>
      </c>
      <c r="FY176" s="36" t="str">
        <f t="shared" si="606"/>
        <v/>
      </c>
      <c r="FZ176" s="29"/>
      <c r="GB176" s="14"/>
      <c r="GC176" s="5"/>
      <c r="GD176" s="5" t="str">
        <f>IF(GC176="","",GC176-GC174)</f>
        <v/>
      </c>
      <c r="GE176" s="5"/>
      <c r="GF176" s="5" t="str">
        <f>IF(GE176="","",GE176-GE174)</f>
        <v/>
      </c>
      <c r="GG176" s="5"/>
      <c r="GH176" s="5" t="str">
        <f>IF(GG176="","",GG174+GI174-GG176)</f>
        <v/>
      </c>
      <c r="GI176" s="5"/>
      <c r="GJ176" s="5"/>
      <c r="GK176" s="5"/>
      <c r="GL176" s="5" t="str">
        <f t="shared" si="607"/>
        <v/>
      </c>
      <c r="GM176" s="36" t="str">
        <f t="shared" si="608"/>
        <v/>
      </c>
      <c r="GN176" s="29"/>
      <c r="GP176" s="14"/>
      <c r="GQ176" s="5"/>
      <c r="GR176" s="5" t="str">
        <f>IF(GQ176="","",GQ176-GQ174)</f>
        <v/>
      </c>
      <c r="GS176" s="5"/>
      <c r="GT176" s="5" t="str">
        <f>IF(GS176="","",GS176-GS174)</f>
        <v/>
      </c>
      <c r="GU176" s="5"/>
      <c r="GV176" s="5" t="str">
        <f>IF(GU176="","",GU176-GU174)</f>
        <v/>
      </c>
      <c r="GW176" s="5"/>
      <c r="GX176" s="5" t="str">
        <f>IF(GW176="","",GW174+GY174-GW176)</f>
        <v/>
      </c>
      <c r="GY176" s="5"/>
      <c r="GZ176" s="5"/>
      <c r="HA176" s="5"/>
      <c r="HB176" s="5" t="str">
        <f t="shared" si="609"/>
        <v/>
      </c>
      <c r="HC176" s="36" t="str">
        <f t="shared" si="610"/>
        <v/>
      </c>
      <c r="HD176" s="29"/>
      <c r="HF176" s="14"/>
      <c r="HG176" s="5"/>
      <c r="HH176" s="5" t="str">
        <f>IF(HG176="","",HG176-HG174)</f>
        <v/>
      </c>
      <c r="HI176" s="5"/>
      <c r="HJ176" s="29"/>
      <c r="HL176" s="14"/>
      <c r="HM176" s="5"/>
      <c r="HN176" s="5" t="str">
        <f>IF(HM176="","",HM176-HM174)</f>
        <v/>
      </c>
      <c r="HO176" s="5"/>
      <c r="HP176" s="29"/>
      <c r="HR176" s="14"/>
      <c r="HS176" s="5"/>
      <c r="HT176" s="5" t="str">
        <f>IF(HS176="","",HS176-HS174)</f>
        <v/>
      </c>
      <c r="HU176" s="5"/>
      <c r="HV176" s="29"/>
    </row>
    <row r="177" spans="1:230" ht="15" customHeight="1" x14ac:dyDescent="0.2">
      <c r="A177" s="54"/>
      <c r="B177" s="37"/>
      <c r="C177" s="57">
        <v>18447</v>
      </c>
      <c r="D177" s="5">
        <f t="shared" si="559"/>
        <v>53</v>
      </c>
      <c r="E177" s="5">
        <v>644</v>
      </c>
      <c r="F177" s="5">
        <f t="shared" si="560"/>
        <v>4</v>
      </c>
      <c r="G177" s="5">
        <v>3</v>
      </c>
      <c r="H177" s="5">
        <f t="shared" si="561"/>
        <v>5</v>
      </c>
      <c r="I177" s="35">
        <v>5</v>
      </c>
      <c r="J177" s="38" t="s">
        <v>177</v>
      </c>
      <c r="K177" s="5">
        <v>600</v>
      </c>
      <c r="L177" s="5">
        <f t="shared" si="564"/>
        <v>3000</v>
      </c>
      <c r="M177" s="36">
        <f t="shared" si="565"/>
        <v>0.56603773584905659</v>
      </c>
      <c r="N177" s="29" t="s">
        <v>184</v>
      </c>
      <c r="P177" s="54"/>
      <c r="Q177" s="57">
        <v>10362</v>
      </c>
      <c r="R177" s="48">
        <f t="shared" si="566"/>
        <v>16</v>
      </c>
      <c r="S177" s="5">
        <v>281</v>
      </c>
      <c r="T177" s="5">
        <f t="shared" si="567"/>
        <v>3</v>
      </c>
      <c r="U177" s="5">
        <v>6</v>
      </c>
      <c r="V177" s="5">
        <f t="shared" si="568"/>
        <v>3</v>
      </c>
      <c r="W177" s="35">
        <v>2</v>
      </c>
      <c r="X177" s="3" t="str">
        <f t="shared" si="611"/>
        <v>キティヘアパッチン</v>
      </c>
      <c r="Y177" s="5">
        <f t="shared" si="590"/>
        <v>638</v>
      </c>
      <c r="Z177" s="5">
        <f t="shared" si="569"/>
        <v>1914</v>
      </c>
      <c r="AA177" s="36">
        <f t="shared" si="570"/>
        <v>1.19625</v>
      </c>
      <c r="AB177" s="29"/>
      <c r="AD177" s="54"/>
      <c r="AE177" s="57">
        <v>1206</v>
      </c>
      <c r="AF177" s="5">
        <f t="shared" si="571"/>
        <v>30</v>
      </c>
      <c r="AG177" s="5">
        <v>31</v>
      </c>
      <c r="AH177" s="5">
        <f t="shared" si="572"/>
        <v>1</v>
      </c>
      <c r="AI177" s="5">
        <v>8</v>
      </c>
      <c r="AJ177" s="5">
        <f t="shared" si="573"/>
        <v>1</v>
      </c>
      <c r="AK177" s="35">
        <v>0</v>
      </c>
      <c r="AL177" s="38" t="str">
        <f t="shared" si="574"/>
        <v>たまごっちマスコット</v>
      </c>
      <c r="AM177" s="5">
        <f t="shared" si="575"/>
        <v>1430</v>
      </c>
      <c r="AN177" s="5">
        <f t="shared" si="576"/>
        <v>1430</v>
      </c>
      <c r="AO177" s="36">
        <f t="shared" si="577"/>
        <v>0.47666666666666668</v>
      </c>
      <c r="AP177" s="29"/>
      <c r="AR177" s="54"/>
      <c r="AS177" s="57">
        <v>877</v>
      </c>
      <c r="AT177" s="5">
        <f t="shared" si="578"/>
        <v>34</v>
      </c>
      <c r="AU177" s="5">
        <v>0</v>
      </c>
      <c r="AV177" s="5">
        <f t="shared" si="591"/>
        <v>0</v>
      </c>
      <c r="AW177" s="5">
        <v>7</v>
      </c>
      <c r="AX177" s="5">
        <f t="shared" si="579"/>
        <v>0</v>
      </c>
      <c r="AY177" s="35"/>
      <c r="AZ177" s="38" t="str">
        <f t="shared" si="580"/>
        <v>ゲームアーク</v>
      </c>
      <c r="BA177" s="5">
        <f t="shared" si="581"/>
        <v>682</v>
      </c>
      <c r="BB177" s="5">
        <f t="shared" si="582"/>
        <v>0</v>
      </c>
      <c r="BC177" s="36">
        <f t="shared" si="583"/>
        <v>0</v>
      </c>
      <c r="BD177" s="29"/>
      <c r="BE177" s="32"/>
      <c r="BF177" s="25"/>
      <c r="BG177" s="5">
        <v>2028</v>
      </c>
      <c r="BH177" s="57">
        <f t="shared" si="584"/>
        <v>98</v>
      </c>
      <c r="BI177" s="5">
        <v>15</v>
      </c>
      <c r="BJ177" s="5">
        <f t="shared" si="585"/>
        <v>1</v>
      </c>
      <c r="BK177" s="5">
        <v>2</v>
      </c>
      <c r="BL177" s="5">
        <f t="shared" si="586"/>
        <v>0</v>
      </c>
      <c r="BM177" s="57">
        <v>1</v>
      </c>
      <c r="BN177" s="3" t="str">
        <f>IF(BG175="","",BN173)</f>
        <v>ボンボンドロップシール</v>
      </c>
      <c r="BO177" s="39">
        <f>IF(BG175="","",BO173)</f>
        <v>1500</v>
      </c>
      <c r="BP177" s="5">
        <f t="shared" si="587"/>
        <v>0</v>
      </c>
      <c r="BQ177" s="36">
        <f t="shared" si="491"/>
        <v>0</v>
      </c>
      <c r="BR177" s="29"/>
      <c r="BT177" s="25"/>
      <c r="BU177" s="5"/>
      <c r="BV177" s="57" t="str">
        <f t="shared" si="588"/>
        <v/>
      </c>
      <c r="BW177" s="5"/>
      <c r="BX177" s="5" t="str">
        <f t="shared" si="589"/>
        <v/>
      </c>
      <c r="BY177" s="5"/>
      <c r="BZ177" s="5"/>
      <c r="CA177" s="57"/>
      <c r="CB177" s="3"/>
      <c r="CC177" s="39"/>
      <c r="CD177" s="5"/>
      <c r="CE177" s="36"/>
      <c r="CF177" s="29"/>
      <c r="CH177" s="14"/>
      <c r="CI177" s="39"/>
      <c r="CJ177" s="5" t="str">
        <f>IF(CI177="","",CI177-CI175)</f>
        <v/>
      </c>
      <c r="CK177" s="5"/>
      <c r="CL177" s="5"/>
      <c r="CM177" s="5"/>
      <c r="CN177" s="5" t="str">
        <f>IF(CM177="","",CM175+CO175-CM177)</f>
        <v/>
      </c>
      <c r="CO177" s="5"/>
      <c r="CP177" s="5"/>
      <c r="CQ177" s="5"/>
      <c r="CR177" s="5" t="str">
        <f t="shared" si="593"/>
        <v/>
      </c>
      <c r="CS177" s="36" t="str">
        <f t="shared" si="594"/>
        <v/>
      </c>
      <c r="CT177" s="29"/>
      <c r="CV177" s="14"/>
      <c r="CW177" s="39"/>
      <c r="CX177" s="5" t="str">
        <f>IF(CW177="","",CW177-CW175)</f>
        <v/>
      </c>
      <c r="CY177" s="5"/>
      <c r="CZ177" s="5"/>
      <c r="DA177" s="5"/>
      <c r="DB177" s="5" t="str">
        <f>IF(DA177="","",DA175+DC175-DA177)</f>
        <v/>
      </c>
      <c r="DC177" s="5"/>
      <c r="DD177" s="5"/>
      <c r="DE177" s="5"/>
      <c r="DF177" s="5" t="str">
        <f t="shared" si="595"/>
        <v/>
      </c>
      <c r="DG177" s="36" t="str">
        <f t="shared" si="596"/>
        <v/>
      </c>
      <c r="DH177" s="29"/>
      <c r="DJ177" s="14"/>
      <c r="DK177" s="39"/>
      <c r="DL177" s="5" t="str">
        <f>IF(DK177="","",DK177-DK175)</f>
        <v/>
      </c>
      <c r="DM177" s="5"/>
      <c r="DN177" s="5"/>
      <c r="DO177" s="5"/>
      <c r="DP177" s="5" t="str">
        <f>IF(DO177="","",DO175+DQ175-DO177)</f>
        <v/>
      </c>
      <c r="DQ177" s="5"/>
      <c r="DR177" s="5"/>
      <c r="DS177" s="5"/>
      <c r="DT177" s="5" t="str">
        <f t="shared" si="597"/>
        <v/>
      </c>
      <c r="DU177" s="36" t="str">
        <f t="shared" si="598"/>
        <v/>
      </c>
      <c r="DV177" s="29"/>
      <c r="DX177" s="14"/>
      <c r="DY177" s="39"/>
      <c r="DZ177" s="5" t="str">
        <f>IF(DY177="","",DY177-DY175)</f>
        <v/>
      </c>
      <c r="EA177" s="5"/>
      <c r="EB177" s="5"/>
      <c r="EC177" s="5"/>
      <c r="ED177" s="5" t="str">
        <f>IF(EC177="","",EC175+EE175-EC177)</f>
        <v/>
      </c>
      <c r="EE177" s="5"/>
      <c r="EF177" s="5"/>
      <c r="EG177" s="5"/>
      <c r="EH177" s="5" t="str">
        <f t="shared" si="599"/>
        <v/>
      </c>
      <c r="EI177" s="36" t="str">
        <f t="shared" si="600"/>
        <v/>
      </c>
      <c r="EJ177" s="29"/>
      <c r="EL177" s="14"/>
      <c r="EM177" s="39"/>
      <c r="EN177" s="5" t="str">
        <f>IF(EM177="","",EM177-EM175)</f>
        <v/>
      </c>
      <c r="EO177" s="5"/>
      <c r="EP177" s="5"/>
      <c r="EQ177" s="5"/>
      <c r="ER177" s="5" t="str">
        <f>IF(EQ177="","",EQ175+ES175-EQ177)</f>
        <v/>
      </c>
      <c r="ES177" s="5"/>
      <c r="ET177" s="5"/>
      <c r="EU177" s="5"/>
      <c r="EV177" s="5" t="str">
        <f t="shared" si="601"/>
        <v/>
      </c>
      <c r="EW177" s="36" t="str">
        <f t="shared" si="602"/>
        <v/>
      </c>
      <c r="EX177" s="29"/>
      <c r="EZ177" s="14"/>
      <c r="FA177" s="39"/>
      <c r="FB177" s="5" t="str">
        <f>IF(FA177="","",FA177-FA175)</f>
        <v/>
      </c>
      <c r="FC177" s="5"/>
      <c r="FD177" s="5"/>
      <c r="FE177" s="5"/>
      <c r="FF177" s="5" t="str">
        <f>IF(FE177="","",FE175+FG175-FE177)</f>
        <v/>
      </c>
      <c r="FG177" s="5"/>
      <c r="FH177" s="5"/>
      <c r="FI177" s="5"/>
      <c r="FJ177" s="5" t="str">
        <f t="shared" si="603"/>
        <v/>
      </c>
      <c r="FK177" s="36" t="str">
        <f t="shared" si="604"/>
        <v/>
      </c>
      <c r="FL177" s="29"/>
      <c r="FN177" s="14"/>
      <c r="FO177" s="39"/>
      <c r="FP177" s="5" t="str">
        <f>IF(FO177="","",FO177-FO175)</f>
        <v/>
      </c>
      <c r="FQ177" s="5"/>
      <c r="FR177" s="5"/>
      <c r="FS177" s="5"/>
      <c r="FT177" s="5" t="str">
        <f>IF(FS177="","",FS175+FU175-FS177)</f>
        <v/>
      </c>
      <c r="FU177" s="5"/>
      <c r="FV177" s="5"/>
      <c r="FW177" s="5"/>
      <c r="FX177" s="5" t="str">
        <f t="shared" si="605"/>
        <v/>
      </c>
      <c r="FY177" s="36" t="str">
        <f t="shared" si="606"/>
        <v/>
      </c>
      <c r="FZ177" s="29"/>
      <c r="GB177" s="14"/>
      <c r="GC177" s="39"/>
      <c r="GD177" s="5" t="str">
        <f>IF(GC177="","",GC177-GC175)</f>
        <v/>
      </c>
      <c r="GE177" s="5"/>
      <c r="GF177" s="5"/>
      <c r="GG177" s="5"/>
      <c r="GH177" s="5" t="str">
        <f>IF(GG177="","",GG175+GI175-GG177)</f>
        <v/>
      </c>
      <c r="GI177" s="5"/>
      <c r="GJ177" s="5"/>
      <c r="GK177" s="5"/>
      <c r="GL177" s="5" t="str">
        <f t="shared" si="607"/>
        <v/>
      </c>
      <c r="GM177" s="36" t="str">
        <f t="shared" si="608"/>
        <v/>
      </c>
      <c r="GN177" s="29"/>
      <c r="GP177" s="14"/>
      <c r="GQ177" s="39"/>
      <c r="GR177" s="5" t="str">
        <f>IF(GQ177="","",GQ177-GQ175)</f>
        <v/>
      </c>
      <c r="GS177" s="5"/>
      <c r="GT177" s="5" t="str">
        <f>IF(GS177="","",GS177-GS175)</f>
        <v/>
      </c>
      <c r="GU177" s="5"/>
      <c r="GV177" s="5"/>
      <c r="GW177" s="5"/>
      <c r="GX177" s="5" t="str">
        <f>IF(GW177="","",GW175+GY175-GW177)</f>
        <v/>
      </c>
      <c r="GY177" s="5"/>
      <c r="GZ177" s="5"/>
      <c r="HA177" s="5"/>
      <c r="HB177" s="5" t="str">
        <f t="shared" si="609"/>
        <v/>
      </c>
      <c r="HC177" s="36" t="str">
        <f t="shared" si="610"/>
        <v/>
      </c>
      <c r="HD177" s="29"/>
      <c r="HF177" s="14"/>
      <c r="HG177" s="39"/>
      <c r="HH177" s="5" t="str">
        <f>IF(HG177="","",HG177-HG175)</f>
        <v/>
      </c>
      <c r="HI177" s="5"/>
      <c r="HJ177" s="29"/>
      <c r="HL177" s="14"/>
      <c r="HM177" s="39"/>
      <c r="HN177" s="5" t="str">
        <f>IF(HM177="","",HM177-HM175)</f>
        <v/>
      </c>
      <c r="HO177" s="5"/>
      <c r="HP177" s="29"/>
      <c r="HR177" s="14"/>
      <c r="HS177" s="39"/>
      <c r="HT177" s="5" t="str">
        <f>IF(HS177="","",HS177-HS175)</f>
        <v/>
      </c>
      <c r="HU177" s="5"/>
      <c r="HV177" s="29"/>
    </row>
    <row r="178" spans="1:230" ht="15" customHeight="1" thickBot="1" x14ac:dyDescent="0.25">
      <c r="A178" s="60"/>
      <c r="B178" s="73"/>
      <c r="C178" s="43">
        <v>23018</v>
      </c>
      <c r="D178" s="61">
        <f t="shared" si="559"/>
        <v>67</v>
      </c>
      <c r="E178" s="44">
        <v>1162</v>
      </c>
      <c r="F178" s="44">
        <f t="shared" si="560"/>
        <v>2</v>
      </c>
      <c r="G178" s="44">
        <v>3</v>
      </c>
      <c r="H178" s="44">
        <f t="shared" si="561"/>
        <v>2</v>
      </c>
      <c r="I178" s="62">
        <v>0</v>
      </c>
      <c r="J178" s="47" t="str">
        <f t="shared" si="562"/>
        <v>パステルケーキ</v>
      </c>
      <c r="K178" s="61">
        <f t="shared" si="563"/>
        <v>187</v>
      </c>
      <c r="L178" s="44">
        <f t="shared" si="564"/>
        <v>374</v>
      </c>
      <c r="M178" s="46">
        <f t="shared" si="565"/>
        <v>5.5820895522388059E-2</v>
      </c>
      <c r="N178" s="29"/>
      <c r="P178" s="60"/>
      <c r="Q178" s="43">
        <v>9008</v>
      </c>
      <c r="R178" s="74">
        <f t="shared" si="566"/>
        <v>21</v>
      </c>
      <c r="S178" s="44">
        <v>221</v>
      </c>
      <c r="T178" s="44">
        <f t="shared" si="567"/>
        <v>0</v>
      </c>
      <c r="U178" s="44">
        <v>18</v>
      </c>
      <c r="V178" s="44">
        <f t="shared" si="568"/>
        <v>1</v>
      </c>
      <c r="W178" s="62">
        <v>4</v>
      </c>
      <c r="X178" s="45" t="str">
        <f t="shared" si="611"/>
        <v>ボンドロ海外製</v>
      </c>
      <c r="Y178" s="61">
        <f t="shared" si="590"/>
        <v>150</v>
      </c>
      <c r="Z178" s="44">
        <f t="shared" si="569"/>
        <v>150</v>
      </c>
      <c r="AA178" s="46">
        <f t="shared" si="570"/>
        <v>7.1428571428571425E-2</v>
      </c>
      <c r="AB178" s="29"/>
      <c r="AD178" s="60"/>
      <c r="AE178" s="43">
        <v>670</v>
      </c>
      <c r="AF178" s="74">
        <f t="shared" si="571"/>
        <v>4</v>
      </c>
      <c r="AG178" s="44">
        <v>27</v>
      </c>
      <c r="AH178" s="44">
        <f t="shared" si="572"/>
        <v>0</v>
      </c>
      <c r="AI178" s="44">
        <v>50</v>
      </c>
      <c r="AJ178" s="44">
        <f t="shared" si="573"/>
        <v>0</v>
      </c>
      <c r="AK178" s="62">
        <v>-43</v>
      </c>
      <c r="AL178" s="47" t="s">
        <v>178</v>
      </c>
      <c r="AM178" s="61"/>
      <c r="AN178" s="44">
        <f t="shared" si="576"/>
        <v>0</v>
      </c>
      <c r="AO178" s="46">
        <f t="shared" si="577"/>
        <v>0</v>
      </c>
      <c r="AP178" s="29" t="s">
        <v>185</v>
      </c>
      <c r="AR178" s="60"/>
      <c r="AS178" s="43">
        <v>781</v>
      </c>
      <c r="AT178" s="61">
        <f t="shared" si="578"/>
        <v>29</v>
      </c>
      <c r="AU178" s="44">
        <v>23</v>
      </c>
      <c r="AV178" s="44">
        <f t="shared" si="591"/>
        <v>4</v>
      </c>
      <c r="AW178" s="44">
        <v>10</v>
      </c>
      <c r="AX178" s="44">
        <f t="shared" si="579"/>
        <v>5</v>
      </c>
      <c r="AY178" s="62"/>
      <c r="AZ178" s="47" t="str">
        <f t="shared" si="580"/>
        <v>しばこ</v>
      </c>
      <c r="BA178" s="61">
        <f t="shared" si="581"/>
        <v>110</v>
      </c>
      <c r="BB178" s="44">
        <f t="shared" si="582"/>
        <v>550</v>
      </c>
      <c r="BC178" s="46">
        <f t="shared" si="583"/>
        <v>0.18965517241379309</v>
      </c>
      <c r="BD178" s="29"/>
      <c r="BE178" s="32"/>
      <c r="BF178" s="41"/>
      <c r="BG178" s="77">
        <v>3694</v>
      </c>
      <c r="BH178" s="43">
        <f t="shared" si="584"/>
        <v>59</v>
      </c>
      <c r="BI178" s="61">
        <v>39</v>
      </c>
      <c r="BJ178" s="44">
        <f t="shared" si="585"/>
        <v>2</v>
      </c>
      <c r="BK178" s="44">
        <v>2</v>
      </c>
      <c r="BL178" s="44">
        <f t="shared" si="586"/>
        <v>1</v>
      </c>
      <c r="BM178" s="44">
        <v>1</v>
      </c>
      <c r="BN178" s="45" t="str">
        <f>IF(BG176="","",BN174)</f>
        <v>ボンボンドロップシール</v>
      </c>
      <c r="BO178" s="61">
        <f>IF(BG175="","",BO174)</f>
        <v>1500</v>
      </c>
      <c r="BP178" s="44">
        <f t="shared" si="587"/>
        <v>1500</v>
      </c>
      <c r="BQ178" s="46">
        <f t="shared" si="491"/>
        <v>0.25423728813559321</v>
      </c>
      <c r="BR178" s="29"/>
      <c r="BT178" s="41"/>
      <c r="BU178" s="77"/>
      <c r="BV178" s="43" t="str">
        <f t="shared" si="588"/>
        <v/>
      </c>
      <c r="BW178" s="61"/>
      <c r="BX178" s="44" t="str">
        <f t="shared" si="589"/>
        <v/>
      </c>
      <c r="BY178" s="44"/>
      <c r="BZ178" s="44"/>
      <c r="CA178" s="44"/>
      <c r="CB178" s="45"/>
      <c r="CC178" s="61"/>
      <c r="CD178" s="44"/>
      <c r="CE178" s="46"/>
      <c r="CF178" s="29"/>
      <c r="CH178" s="14"/>
      <c r="CI178" s="39"/>
      <c r="CJ178" s="5" t="str">
        <f t="shared" ref="CJ178:CJ198" si="612">IF(CI178="","",CI178-CI177)</f>
        <v/>
      </c>
      <c r="CK178" s="5"/>
      <c r="CL178" s="5"/>
      <c r="CM178" s="5"/>
      <c r="CN178" s="5" t="str">
        <f t="shared" ref="CN178:CN198" si="613">IF(CM178="","",CM177+CO177-CM178)</f>
        <v/>
      </c>
      <c r="CO178" s="5"/>
      <c r="CP178" s="5"/>
      <c r="CQ178" s="5"/>
      <c r="CR178" s="5" t="str">
        <f t="shared" si="593"/>
        <v/>
      </c>
      <c r="CS178" s="36" t="str">
        <f t="shared" si="594"/>
        <v/>
      </c>
      <c r="CT178" s="29"/>
      <c r="CV178" s="14"/>
      <c r="CW178" s="39"/>
      <c r="CX178" s="5" t="str">
        <f t="shared" ref="CX178:CX198" si="614">IF(CW178="","",CW178-CW177)</f>
        <v/>
      </c>
      <c r="CY178" s="5"/>
      <c r="CZ178" s="5"/>
      <c r="DA178" s="5"/>
      <c r="DB178" s="5" t="str">
        <f t="shared" ref="DB178:DB198" si="615">IF(DA178="","",DA177+DC177-DA178)</f>
        <v/>
      </c>
      <c r="DC178" s="5"/>
      <c r="DD178" s="5"/>
      <c r="DE178" s="5"/>
      <c r="DF178" s="5" t="str">
        <f t="shared" si="595"/>
        <v/>
      </c>
      <c r="DG178" s="36" t="str">
        <f t="shared" si="596"/>
        <v/>
      </c>
      <c r="DH178" s="29"/>
      <c r="DJ178" s="14"/>
      <c r="DK178" s="39"/>
      <c r="DL178" s="5" t="str">
        <f t="shared" ref="DL178:DL198" si="616">IF(DK178="","",DK178-DK177)</f>
        <v/>
      </c>
      <c r="DM178" s="5"/>
      <c r="DN178" s="5"/>
      <c r="DO178" s="5"/>
      <c r="DP178" s="5" t="str">
        <f t="shared" ref="DP178:DP198" si="617">IF(DO178="","",DO177+DQ177-DO178)</f>
        <v/>
      </c>
      <c r="DQ178" s="5"/>
      <c r="DR178" s="5"/>
      <c r="DS178" s="5"/>
      <c r="DT178" s="5" t="str">
        <f t="shared" si="597"/>
        <v/>
      </c>
      <c r="DU178" s="36" t="str">
        <f t="shared" si="598"/>
        <v/>
      </c>
      <c r="DV178" s="29"/>
      <c r="DX178" s="14"/>
      <c r="DY178" s="39"/>
      <c r="DZ178" s="5" t="str">
        <f t="shared" ref="DZ178:DZ198" si="618">IF(DY178="","",DY178-DY177)</f>
        <v/>
      </c>
      <c r="EA178" s="5"/>
      <c r="EB178" s="5"/>
      <c r="EC178" s="5"/>
      <c r="ED178" s="5" t="str">
        <f t="shared" ref="ED178:ED198" si="619">IF(EC178="","",EC177+EE177-EC178)</f>
        <v/>
      </c>
      <c r="EE178" s="5"/>
      <c r="EF178" s="5"/>
      <c r="EG178" s="5"/>
      <c r="EH178" s="5" t="str">
        <f t="shared" si="599"/>
        <v/>
      </c>
      <c r="EI178" s="36" t="str">
        <f t="shared" si="600"/>
        <v/>
      </c>
      <c r="EJ178" s="29"/>
      <c r="EL178" s="14"/>
      <c r="EM178" s="39"/>
      <c r="EN178" s="5" t="str">
        <f t="shared" ref="EN178:EN198" si="620">IF(EM178="","",EM178-EM177)</f>
        <v/>
      </c>
      <c r="EO178" s="5"/>
      <c r="EP178" s="5"/>
      <c r="EQ178" s="5"/>
      <c r="ER178" s="5" t="str">
        <f t="shared" ref="ER178:ER198" si="621">IF(EQ178="","",EQ177+ES177-EQ178)</f>
        <v/>
      </c>
      <c r="ES178" s="5"/>
      <c r="ET178" s="5"/>
      <c r="EU178" s="5"/>
      <c r="EV178" s="5" t="str">
        <f t="shared" si="601"/>
        <v/>
      </c>
      <c r="EW178" s="36" t="str">
        <f t="shared" si="602"/>
        <v/>
      </c>
      <c r="EX178" s="29"/>
      <c r="EZ178" s="14"/>
      <c r="FA178" s="39"/>
      <c r="FB178" s="5" t="str">
        <f t="shared" ref="FB178:FB198" si="622">IF(FA178="","",FA178-FA177)</f>
        <v/>
      </c>
      <c r="FC178" s="5"/>
      <c r="FD178" s="5"/>
      <c r="FE178" s="5"/>
      <c r="FF178" s="5" t="str">
        <f t="shared" ref="FF178:FF198" si="623">IF(FE178="","",FE177+FG177-FE178)</f>
        <v/>
      </c>
      <c r="FG178" s="5"/>
      <c r="FH178" s="5"/>
      <c r="FI178" s="5"/>
      <c r="FJ178" s="5" t="str">
        <f t="shared" si="603"/>
        <v/>
      </c>
      <c r="FK178" s="36" t="str">
        <f t="shared" si="604"/>
        <v/>
      </c>
      <c r="FL178" s="29"/>
      <c r="FN178" s="14"/>
      <c r="FO178" s="39"/>
      <c r="FP178" s="5" t="str">
        <f t="shared" ref="FP178:FP198" si="624">IF(FO178="","",FO178-FO177)</f>
        <v/>
      </c>
      <c r="FQ178" s="5"/>
      <c r="FR178" s="5"/>
      <c r="FS178" s="5"/>
      <c r="FT178" s="5" t="str">
        <f t="shared" ref="FT178:FT198" si="625">IF(FS178="","",FS177+FU177-FS178)</f>
        <v/>
      </c>
      <c r="FU178" s="5"/>
      <c r="FV178" s="5"/>
      <c r="FW178" s="5"/>
      <c r="FX178" s="5" t="str">
        <f t="shared" si="605"/>
        <v/>
      </c>
      <c r="FY178" s="36" t="str">
        <f t="shared" si="606"/>
        <v/>
      </c>
      <c r="FZ178" s="29"/>
      <c r="GB178" s="14"/>
      <c r="GC178" s="39"/>
      <c r="GD178" s="5" t="str">
        <f t="shared" ref="GD178:GD198" si="626">IF(GC178="","",GC178-GC177)</f>
        <v/>
      </c>
      <c r="GE178" s="5"/>
      <c r="GF178" s="5"/>
      <c r="GG178" s="5"/>
      <c r="GH178" s="5" t="str">
        <f t="shared" ref="GH178:GH198" si="627">IF(GG178="","",GG177+GI177-GG178)</f>
        <v/>
      </c>
      <c r="GI178" s="5"/>
      <c r="GJ178" s="5"/>
      <c r="GK178" s="5"/>
      <c r="GL178" s="5" t="str">
        <f t="shared" si="607"/>
        <v/>
      </c>
      <c r="GM178" s="36" t="str">
        <f t="shared" si="608"/>
        <v/>
      </c>
      <c r="GN178" s="29"/>
      <c r="GP178" s="14"/>
      <c r="GQ178" s="39"/>
      <c r="GR178" s="5" t="str">
        <f t="shared" ref="GR178:GR198" si="628">IF(GQ178="","",GQ178-GQ177)</f>
        <v/>
      </c>
      <c r="GS178" s="5"/>
      <c r="GT178" s="5" t="str">
        <f>IF(GS178="","",GS178-GS177)</f>
        <v/>
      </c>
      <c r="GU178" s="5"/>
      <c r="GV178" s="5"/>
      <c r="GW178" s="5"/>
      <c r="GX178" s="5" t="str">
        <f t="shared" ref="GX178:GX198" si="629">IF(GW178="","",GW177+GY177-GW178)</f>
        <v/>
      </c>
      <c r="GY178" s="5"/>
      <c r="GZ178" s="5"/>
      <c r="HA178" s="5"/>
      <c r="HB178" s="5" t="str">
        <f t="shared" si="609"/>
        <v/>
      </c>
      <c r="HC178" s="36" t="str">
        <f t="shared" si="610"/>
        <v/>
      </c>
      <c r="HD178" s="29"/>
      <c r="HF178" s="14"/>
      <c r="HG178" s="39"/>
      <c r="HH178" s="5" t="str">
        <f t="shared" ref="HH178:HH198" si="630">IF(HG178="","",HG178-HG177)</f>
        <v/>
      </c>
      <c r="HI178" s="5"/>
      <c r="HJ178" s="29"/>
      <c r="HL178" s="14"/>
      <c r="HM178" s="39"/>
      <c r="HN178" s="5" t="str">
        <f t="shared" ref="HN178:HN198" si="631">IF(HM178="","",HM178-HM177)</f>
        <v/>
      </c>
      <c r="HO178" s="5"/>
      <c r="HP178" s="29"/>
      <c r="HR178" s="14"/>
      <c r="HS178" s="39"/>
      <c r="HT178" s="5" t="str">
        <f t="shared" ref="HT178:HT198" si="632">IF(HS178="","",HS178-HS177)</f>
        <v/>
      </c>
      <c r="HU178" s="5"/>
      <c r="HV178" s="29"/>
    </row>
    <row r="179" spans="1:230" ht="15" customHeight="1" thickTop="1" x14ac:dyDescent="0.2">
      <c r="A179" s="49">
        <v>46125</v>
      </c>
      <c r="B179" s="26">
        <f>SUM(D179:D182)+SUM(R179:R182)+SUM(AF179:AF182)+SUM(AT179:AT182)+SUM(CJ158,CX158,DL158,DZ158,EN158,FB158,FP158,GD158,GR158,HH158,HN158,HT158)+SUM(BH179:BH182)+SUM(BV179:BV180)</f>
        <v>2663</v>
      </c>
      <c r="C179" s="4">
        <v>13375</v>
      </c>
      <c r="D179" s="4">
        <f t="shared" si="559"/>
        <v>36</v>
      </c>
      <c r="E179" s="4">
        <v>345</v>
      </c>
      <c r="F179" s="50">
        <f t="shared" si="560"/>
        <v>6</v>
      </c>
      <c r="G179" s="4">
        <v>7</v>
      </c>
      <c r="H179" s="4">
        <f t="shared" si="561"/>
        <v>3</v>
      </c>
      <c r="I179" s="51">
        <v>3</v>
      </c>
      <c r="J179" s="31" t="s">
        <v>187</v>
      </c>
      <c r="K179" s="27">
        <v>660</v>
      </c>
      <c r="L179" s="50">
        <f t="shared" si="564"/>
        <v>1980</v>
      </c>
      <c r="M179" s="52">
        <f t="shared" si="565"/>
        <v>0.55000000000000004</v>
      </c>
      <c r="N179" s="29" t="s">
        <v>188</v>
      </c>
      <c r="P179" s="53">
        <f>IF($A179="","",$A179)</f>
        <v>46125</v>
      </c>
      <c r="Q179" s="4">
        <v>4042</v>
      </c>
      <c r="R179" s="4">
        <f t="shared" si="566"/>
        <v>46</v>
      </c>
      <c r="S179" s="4">
        <v>191</v>
      </c>
      <c r="T179" s="50">
        <f t="shared" si="567"/>
        <v>0</v>
      </c>
      <c r="U179" s="4">
        <v>6</v>
      </c>
      <c r="V179" s="4">
        <f t="shared" si="568"/>
        <v>1</v>
      </c>
      <c r="W179" s="51">
        <v>4</v>
      </c>
      <c r="X179" s="2" t="str">
        <f t="shared" si="611"/>
        <v>サンリオボアバンスクリップ</v>
      </c>
      <c r="Y179" s="27">
        <f t="shared" si="590"/>
        <v>660</v>
      </c>
      <c r="Z179" s="50">
        <f t="shared" si="569"/>
        <v>660</v>
      </c>
      <c r="AA179" s="52">
        <f t="shared" si="570"/>
        <v>0.14347826086956522</v>
      </c>
      <c r="AB179" s="29"/>
      <c r="AD179" s="53">
        <f>IF($A179="","",$A179)</f>
        <v>46125</v>
      </c>
      <c r="AE179" s="4">
        <v>1998</v>
      </c>
      <c r="AF179" s="4">
        <f t="shared" si="571"/>
        <v>69</v>
      </c>
      <c r="AG179" s="4">
        <v>27</v>
      </c>
      <c r="AH179" s="50">
        <f t="shared" si="572"/>
        <v>2</v>
      </c>
      <c r="AI179" s="4">
        <v>6</v>
      </c>
      <c r="AJ179" s="4">
        <f t="shared" si="573"/>
        <v>2</v>
      </c>
      <c r="AK179" s="51">
        <v>0</v>
      </c>
      <c r="AL179" s="31" t="str">
        <f t="shared" si="574"/>
        <v>モンチッチがま口</v>
      </c>
      <c r="AM179" s="27">
        <f t="shared" si="575"/>
        <v>462</v>
      </c>
      <c r="AN179" s="50">
        <f t="shared" si="576"/>
        <v>924</v>
      </c>
      <c r="AO179" s="52">
        <f t="shared" si="577"/>
        <v>0.13391304347826086</v>
      </c>
      <c r="AP179" s="29"/>
      <c r="AR179" s="53">
        <f>IF($A179="","",$A179)</f>
        <v>46125</v>
      </c>
      <c r="AS179" s="4">
        <v>1314</v>
      </c>
      <c r="AT179" s="4">
        <f t="shared" si="578"/>
        <v>52</v>
      </c>
      <c r="AU179" s="4">
        <v>31</v>
      </c>
      <c r="AV179" s="50">
        <f t="shared" si="591"/>
        <v>3</v>
      </c>
      <c r="AW179" s="4">
        <v>2</v>
      </c>
      <c r="AX179" s="4">
        <f t="shared" si="579"/>
        <v>3</v>
      </c>
      <c r="AY179" s="51">
        <v>0</v>
      </c>
      <c r="AZ179" s="31" t="str">
        <f t="shared" si="580"/>
        <v>デジタルミニカメラ</v>
      </c>
      <c r="BA179" s="27">
        <f t="shared" si="581"/>
        <v>1075</v>
      </c>
      <c r="BB179" s="50">
        <f t="shared" si="582"/>
        <v>3225</v>
      </c>
      <c r="BC179" s="52">
        <f t="shared" si="583"/>
        <v>0.62019230769230771</v>
      </c>
      <c r="BD179" s="29"/>
      <c r="BE179" s="32"/>
      <c r="BF179" s="33">
        <f>IF($A179="","",$A179)</f>
        <v>46125</v>
      </c>
      <c r="BG179" s="5">
        <v>2760</v>
      </c>
      <c r="BH179" s="4">
        <f t="shared" si="584"/>
        <v>155</v>
      </c>
      <c r="BI179" s="5">
        <v>23</v>
      </c>
      <c r="BJ179" s="50">
        <f t="shared" si="585"/>
        <v>1</v>
      </c>
      <c r="BK179" s="5">
        <v>2</v>
      </c>
      <c r="BL179" s="4">
        <f t="shared" si="586"/>
        <v>1</v>
      </c>
      <c r="BM179" s="4">
        <v>1</v>
      </c>
      <c r="BN179" s="2" t="str">
        <f>IF(BG179="","",BN175)</f>
        <v>ボンボンドロップシール</v>
      </c>
      <c r="BO179" s="27">
        <f>IF(BG179="","",BO175)</f>
        <v>1500</v>
      </c>
      <c r="BP179" s="5">
        <f t="shared" si="587"/>
        <v>1500</v>
      </c>
      <c r="BQ179" s="52">
        <f t="shared" si="491"/>
        <v>9.6774193548387094E-2</v>
      </c>
      <c r="BR179" s="29"/>
      <c r="BT179" s="33">
        <f>IF($A179="","",$A179)</f>
        <v>46125</v>
      </c>
      <c r="BU179" s="5">
        <v>35751</v>
      </c>
      <c r="BV179" s="4">
        <f t="shared" si="588"/>
        <v>119</v>
      </c>
      <c r="BW179" s="5">
        <v>3869</v>
      </c>
      <c r="BX179" s="50">
        <f t="shared" si="589"/>
        <v>9</v>
      </c>
      <c r="BY179" s="4">
        <v>35</v>
      </c>
      <c r="BZ179" s="4">
        <f>IF(BY179="","",BY175+CA175-BY179)</f>
        <v>5</v>
      </c>
      <c r="CA179" s="4">
        <v>10</v>
      </c>
      <c r="CB179" s="2" t="str">
        <f>IF(BU179="","",CB175)</f>
        <v>ベイビースリーフェイス</v>
      </c>
      <c r="CC179" s="27">
        <f>IF(BU179="","",CC175)</f>
        <v>1050</v>
      </c>
      <c r="CD179" s="5">
        <f>IF(BY179="","",BZ179*CC179)</f>
        <v>5250</v>
      </c>
      <c r="CE179" s="52">
        <f>IF(BZ179="","",CD179/(BV179*100))</f>
        <v>0.44117647058823528</v>
      </c>
      <c r="CF179" s="29"/>
      <c r="CH179" s="14"/>
      <c r="CI179" s="39"/>
      <c r="CJ179" s="5" t="str">
        <f t="shared" si="612"/>
        <v/>
      </c>
      <c r="CK179" s="5"/>
      <c r="CL179" s="5"/>
      <c r="CM179" s="5"/>
      <c r="CN179" s="5" t="str">
        <f t="shared" si="613"/>
        <v/>
      </c>
      <c r="CO179" s="5"/>
      <c r="CP179" s="5"/>
      <c r="CQ179" s="5"/>
      <c r="CR179" s="5" t="str">
        <f t="shared" si="593"/>
        <v/>
      </c>
      <c r="CS179" s="36" t="str">
        <f t="shared" si="594"/>
        <v/>
      </c>
      <c r="CT179" s="29"/>
      <c r="CV179" s="14"/>
      <c r="CW179" s="39"/>
      <c r="CX179" s="5" t="str">
        <f t="shared" si="614"/>
        <v/>
      </c>
      <c r="CY179" s="5"/>
      <c r="CZ179" s="5"/>
      <c r="DA179" s="5"/>
      <c r="DB179" s="5" t="str">
        <f t="shared" si="615"/>
        <v/>
      </c>
      <c r="DC179" s="5"/>
      <c r="DD179" s="5"/>
      <c r="DE179" s="5"/>
      <c r="DF179" s="5" t="str">
        <f t="shared" si="595"/>
        <v/>
      </c>
      <c r="DG179" s="36" t="str">
        <f t="shared" si="596"/>
        <v/>
      </c>
      <c r="DH179" s="29"/>
      <c r="DJ179" s="14"/>
      <c r="DK179" s="39"/>
      <c r="DL179" s="5" t="str">
        <f t="shared" si="616"/>
        <v/>
      </c>
      <c r="DM179" s="5"/>
      <c r="DN179" s="5"/>
      <c r="DO179" s="5"/>
      <c r="DP179" s="5" t="str">
        <f t="shared" si="617"/>
        <v/>
      </c>
      <c r="DQ179" s="5"/>
      <c r="DR179" s="5"/>
      <c r="DS179" s="5"/>
      <c r="DT179" s="5" t="str">
        <f t="shared" si="597"/>
        <v/>
      </c>
      <c r="DU179" s="36" t="str">
        <f t="shared" si="598"/>
        <v/>
      </c>
      <c r="DV179" s="29"/>
      <c r="DX179" s="14"/>
      <c r="DY179" s="39"/>
      <c r="DZ179" s="5" t="str">
        <f t="shared" si="618"/>
        <v/>
      </c>
      <c r="EA179" s="5"/>
      <c r="EB179" s="5"/>
      <c r="EC179" s="5"/>
      <c r="ED179" s="5" t="str">
        <f t="shared" si="619"/>
        <v/>
      </c>
      <c r="EE179" s="5"/>
      <c r="EF179" s="5"/>
      <c r="EG179" s="5"/>
      <c r="EH179" s="5" t="str">
        <f t="shared" si="599"/>
        <v/>
      </c>
      <c r="EI179" s="36" t="str">
        <f t="shared" si="600"/>
        <v/>
      </c>
      <c r="EJ179" s="29"/>
      <c r="EL179" s="14"/>
      <c r="EM179" s="39"/>
      <c r="EN179" s="5" t="str">
        <f t="shared" si="620"/>
        <v/>
      </c>
      <c r="EO179" s="5"/>
      <c r="EP179" s="5"/>
      <c r="EQ179" s="5"/>
      <c r="ER179" s="5" t="str">
        <f t="shared" si="621"/>
        <v/>
      </c>
      <c r="ES179" s="5"/>
      <c r="ET179" s="5"/>
      <c r="EU179" s="5"/>
      <c r="EV179" s="5" t="str">
        <f t="shared" si="601"/>
        <v/>
      </c>
      <c r="EW179" s="36" t="str">
        <f t="shared" si="602"/>
        <v/>
      </c>
      <c r="EX179" s="29"/>
      <c r="EZ179" s="14"/>
      <c r="FA179" s="39"/>
      <c r="FB179" s="5" t="str">
        <f t="shared" si="622"/>
        <v/>
      </c>
      <c r="FC179" s="5"/>
      <c r="FD179" s="5"/>
      <c r="FE179" s="5"/>
      <c r="FF179" s="5" t="str">
        <f t="shared" si="623"/>
        <v/>
      </c>
      <c r="FG179" s="5"/>
      <c r="FH179" s="5"/>
      <c r="FI179" s="5"/>
      <c r="FJ179" s="5" t="str">
        <f t="shared" si="603"/>
        <v/>
      </c>
      <c r="FK179" s="36" t="str">
        <f t="shared" si="604"/>
        <v/>
      </c>
      <c r="FL179" s="29"/>
      <c r="FN179" s="14"/>
      <c r="FO179" s="39"/>
      <c r="FP179" s="5" t="str">
        <f t="shared" si="624"/>
        <v/>
      </c>
      <c r="FQ179" s="5"/>
      <c r="FR179" s="5"/>
      <c r="FS179" s="5"/>
      <c r="FT179" s="5" t="str">
        <f t="shared" si="625"/>
        <v/>
      </c>
      <c r="FU179" s="5"/>
      <c r="FV179" s="5"/>
      <c r="FW179" s="5"/>
      <c r="FX179" s="5" t="str">
        <f t="shared" si="605"/>
        <v/>
      </c>
      <c r="FY179" s="36" t="str">
        <f t="shared" si="606"/>
        <v/>
      </c>
      <c r="FZ179" s="29"/>
      <c r="GB179" s="14"/>
      <c r="GC179" s="39"/>
      <c r="GD179" s="5" t="str">
        <f t="shared" si="626"/>
        <v/>
      </c>
      <c r="GE179" s="5"/>
      <c r="GF179" s="5"/>
      <c r="GG179" s="5"/>
      <c r="GH179" s="5" t="str">
        <f t="shared" si="627"/>
        <v/>
      </c>
      <c r="GI179" s="5"/>
      <c r="GJ179" s="5"/>
      <c r="GK179" s="5"/>
      <c r="GL179" s="5" t="str">
        <f t="shared" si="607"/>
        <v/>
      </c>
      <c r="GM179" s="36" t="str">
        <f t="shared" si="608"/>
        <v/>
      </c>
      <c r="GN179" s="29"/>
      <c r="GP179" s="14"/>
      <c r="GQ179" s="39"/>
      <c r="GR179" s="5" t="str">
        <f t="shared" si="628"/>
        <v/>
      </c>
      <c r="GS179" s="5"/>
      <c r="GT179" s="5" t="str">
        <f>IF(GS179="","",GS179-GS178)</f>
        <v/>
      </c>
      <c r="GU179" s="5"/>
      <c r="GV179" s="5"/>
      <c r="GW179" s="5"/>
      <c r="GX179" s="5" t="str">
        <f t="shared" si="629"/>
        <v/>
      </c>
      <c r="GY179" s="5"/>
      <c r="GZ179" s="5"/>
      <c r="HA179" s="5"/>
      <c r="HB179" s="5" t="str">
        <f t="shared" si="609"/>
        <v/>
      </c>
      <c r="HC179" s="36" t="str">
        <f t="shared" si="610"/>
        <v/>
      </c>
      <c r="HD179" s="29"/>
      <c r="HF179" s="14"/>
      <c r="HG179" s="39"/>
      <c r="HH179" s="5" t="str">
        <f t="shared" si="630"/>
        <v/>
      </c>
      <c r="HI179" s="5"/>
      <c r="HJ179" s="29"/>
      <c r="HL179" s="14"/>
      <c r="HM179" s="39"/>
      <c r="HN179" s="5" t="str">
        <f t="shared" si="631"/>
        <v/>
      </c>
      <c r="HO179" s="5"/>
      <c r="HP179" s="29"/>
      <c r="HR179" s="14"/>
      <c r="HS179" s="39"/>
      <c r="HT179" s="5" t="str">
        <f t="shared" si="632"/>
        <v/>
      </c>
      <c r="HU179" s="5"/>
      <c r="HV179" s="29"/>
    </row>
    <row r="180" spans="1:230" ht="15" customHeight="1" x14ac:dyDescent="0.2">
      <c r="A180" s="54"/>
      <c r="B180" s="26"/>
      <c r="C180" s="5">
        <v>16878</v>
      </c>
      <c r="D180" s="5">
        <f t="shared" si="559"/>
        <v>54</v>
      </c>
      <c r="E180" s="5">
        <v>525</v>
      </c>
      <c r="F180" s="5">
        <f t="shared" si="560"/>
        <v>3</v>
      </c>
      <c r="G180" s="5">
        <v>43</v>
      </c>
      <c r="H180" s="5">
        <f t="shared" si="561"/>
        <v>3</v>
      </c>
      <c r="I180" s="35">
        <v>-31</v>
      </c>
      <c r="J180" s="38" t="str">
        <f t="shared" si="562"/>
        <v>ふわもちミニスクイーズ</v>
      </c>
      <c r="K180" s="39">
        <f t="shared" si="563"/>
        <v>99</v>
      </c>
      <c r="L180" s="5">
        <f t="shared" si="564"/>
        <v>297</v>
      </c>
      <c r="M180" s="36">
        <f t="shared" si="565"/>
        <v>5.5E-2</v>
      </c>
      <c r="N180" s="29" t="s">
        <v>191</v>
      </c>
      <c r="P180" s="54"/>
      <c r="Q180" s="5">
        <v>10738</v>
      </c>
      <c r="R180" s="5">
        <f t="shared" si="566"/>
        <v>31</v>
      </c>
      <c r="S180" s="5">
        <v>183</v>
      </c>
      <c r="T180" s="5">
        <f t="shared" si="567"/>
        <v>1</v>
      </c>
      <c r="U180" s="5">
        <v>8</v>
      </c>
      <c r="V180" s="5">
        <f t="shared" si="568"/>
        <v>1</v>
      </c>
      <c r="W180" s="35">
        <v>1</v>
      </c>
      <c r="X180" s="3" t="str">
        <f t="shared" si="611"/>
        <v>サンリオヘアバンド</v>
      </c>
      <c r="Y180" s="39">
        <f t="shared" si="590"/>
        <v>825</v>
      </c>
      <c r="Z180" s="5">
        <f t="shared" si="569"/>
        <v>825</v>
      </c>
      <c r="AA180" s="36">
        <f t="shared" si="570"/>
        <v>0.2661290322580645</v>
      </c>
      <c r="AB180" s="29"/>
      <c r="AD180" s="54"/>
      <c r="AE180" s="5">
        <v>1642</v>
      </c>
      <c r="AF180" s="5">
        <f>IF(AE180="","",AE180-AE176)</f>
        <v>155</v>
      </c>
      <c r="AG180" s="5">
        <v>30</v>
      </c>
      <c r="AH180" s="5">
        <f t="shared" si="572"/>
        <v>1</v>
      </c>
      <c r="AI180" s="5">
        <v>11</v>
      </c>
      <c r="AJ180" s="5">
        <f t="shared" si="573"/>
        <v>0</v>
      </c>
      <c r="AK180" s="35">
        <v>0</v>
      </c>
      <c r="AL180" s="38" t="str">
        <f t="shared" si="574"/>
        <v>バタースクイーズ</v>
      </c>
      <c r="AM180" s="39">
        <f t="shared" si="575"/>
        <v>1100</v>
      </c>
      <c r="AN180" s="5">
        <f t="shared" si="576"/>
        <v>0</v>
      </c>
      <c r="AO180" s="36">
        <f t="shared" si="577"/>
        <v>0</v>
      </c>
      <c r="AP180" s="29"/>
      <c r="AR180" s="54"/>
      <c r="AS180" s="5">
        <v>1309</v>
      </c>
      <c r="AT180" s="5">
        <f t="shared" si="578"/>
        <v>92</v>
      </c>
      <c r="AU180" s="5">
        <v>2</v>
      </c>
      <c r="AV180" s="5">
        <f t="shared" si="591"/>
        <v>0</v>
      </c>
      <c r="AW180" s="5">
        <v>11</v>
      </c>
      <c r="AX180" s="5">
        <f t="shared" si="579"/>
        <v>0</v>
      </c>
      <c r="AY180" s="35">
        <v>0</v>
      </c>
      <c r="AZ180" s="38" t="str">
        <f t="shared" si="580"/>
        <v>ゲーム機イヤホン</v>
      </c>
      <c r="BA180" s="39">
        <f t="shared" si="581"/>
        <v>770</v>
      </c>
      <c r="BB180" s="5">
        <f t="shared" si="582"/>
        <v>0</v>
      </c>
      <c r="BC180" s="36">
        <f t="shared" si="583"/>
        <v>0</v>
      </c>
      <c r="BD180" s="29"/>
      <c r="BE180" s="32"/>
      <c r="BF180" s="25"/>
      <c r="BG180" s="4">
        <v>4656</v>
      </c>
      <c r="BH180" s="5">
        <f t="shared" si="584"/>
        <v>114</v>
      </c>
      <c r="BI180" s="4">
        <v>37</v>
      </c>
      <c r="BJ180" s="5">
        <f t="shared" si="585"/>
        <v>1</v>
      </c>
      <c r="BK180" s="4">
        <v>2</v>
      </c>
      <c r="BL180" s="5">
        <f t="shared" si="586"/>
        <v>1</v>
      </c>
      <c r="BM180" s="4">
        <v>1</v>
      </c>
      <c r="BN180" s="3" t="str">
        <f>IF(BG180="","",BN176)</f>
        <v>ボンボンドロップシール</v>
      </c>
      <c r="BO180" s="39">
        <f>IF(BG179="","",BO176)</f>
        <v>1500</v>
      </c>
      <c r="BP180" s="4">
        <f t="shared" si="587"/>
        <v>1500</v>
      </c>
      <c r="BQ180" s="36">
        <f t="shared" si="491"/>
        <v>0.13157894736842105</v>
      </c>
      <c r="BR180" s="29"/>
      <c r="BT180" s="25"/>
      <c r="BU180" s="4">
        <v>31716</v>
      </c>
      <c r="BV180" s="5">
        <f t="shared" si="588"/>
        <v>66</v>
      </c>
      <c r="BW180" s="4">
        <v>1681</v>
      </c>
      <c r="BX180" s="5">
        <f t="shared" si="589"/>
        <v>2</v>
      </c>
      <c r="BY180" s="5">
        <v>37</v>
      </c>
      <c r="BZ180" s="5">
        <f>IF(BY180="","",BY176+CA176-BY180)</f>
        <v>2</v>
      </c>
      <c r="CA180" s="4">
        <v>1</v>
      </c>
      <c r="CB180" s="3" t="str">
        <f>IF(BU180="","",CB176)</f>
        <v>サンリオボアポーチ</v>
      </c>
      <c r="CC180" s="39">
        <f>IF(BU179="","",CC176)</f>
        <v>950</v>
      </c>
      <c r="CD180" s="4">
        <f>IF(BY180="","",BZ180*CC180)</f>
        <v>1900</v>
      </c>
      <c r="CE180" s="36">
        <f>IF(BZ180="","",CD180/(BV180*100))</f>
        <v>0.2878787878787879</v>
      </c>
      <c r="CF180" s="29"/>
      <c r="CH180" s="14"/>
      <c r="CI180" s="39"/>
      <c r="CJ180" s="5" t="str">
        <f t="shared" si="612"/>
        <v/>
      </c>
      <c r="CK180" s="5"/>
      <c r="CL180" s="5"/>
      <c r="CM180" s="5"/>
      <c r="CN180" s="5" t="str">
        <f t="shared" si="613"/>
        <v/>
      </c>
      <c r="CO180" s="5"/>
      <c r="CP180" s="5"/>
      <c r="CQ180" s="5"/>
      <c r="CR180" s="5" t="str">
        <f t="shared" si="593"/>
        <v/>
      </c>
      <c r="CS180" s="36" t="str">
        <f t="shared" si="594"/>
        <v/>
      </c>
      <c r="CT180" s="29"/>
      <c r="CV180" s="14"/>
      <c r="CW180" s="39"/>
      <c r="CX180" s="5" t="str">
        <f t="shared" si="614"/>
        <v/>
      </c>
      <c r="CY180" s="5"/>
      <c r="CZ180" s="5"/>
      <c r="DA180" s="5"/>
      <c r="DB180" s="5" t="str">
        <f t="shared" si="615"/>
        <v/>
      </c>
      <c r="DC180" s="5"/>
      <c r="DD180" s="5"/>
      <c r="DE180" s="5"/>
      <c r="DF180" s="5" t="str">
        <f t="shared" si="595"/>
        <v/>
      </c>
      <c r="DG180" s="36" t="str">
        <f t="shared" si="596"/>
        <v/>
      </c>
      <c r="DH180" s="29"/>
      <c r="DJ180" s="14"/>
      <c r="DK180" s="39"/>
      <c r="DL180" s="5" t="str">
        <f t="shared" si="616"/>
        <v/>
      </c>
      <c r="DM180" s="5"/>
      <c r="DN180" s="5"/>
      <c r="DO180" s="5"/>
      <c r="DP180" s="5" t="str">
        <f t="shared" si="617"/>
        <v/>
      </c>
      <c r="DQ180" s="5"/>
      <c r="DR180" s="5"/>
      <c r="DS180" s="5"/>
      <c r="DT180" s="5" t="str">
        <f t="shared" si="597"/>
        <v/>
      </c>
      <c r="DU180" s="36" t="str">
        <f t="shared" si="598"/>
        <v/>
      </c>
      <c r="DV180" s="29"/>
      <c r="DX180" s="14"/>
      <c r="DY180" s="39"/>
      <c r="DZ180" s="5" t="str">
        <f t="shared" si="618"/>
        <v/>
      </c>
      <c r="EA180" s="5"/>
      <c r="EB180" s="5"/>
      <c r="EC180" s="5"/>
      <c r="ED180" s="5" t="str">
        <f t="shared" si="619"/>
        <v/>
      </c>
      <c r="EE180" s="5"/>
      <c r="EF180" s="5"/>
      <c r="EG180" s="5"/>
      <c r="EH180" s="5" t="str">
        <f t="shared" si="599"/>
        <v/>
      </c>
      <c r="EI180" s="36" t="str">
        <f t="shared" si="600"/>
        <v/>
      </c>
      <c r="EJ180" s="29"/>
      <c r="EL180" s="14"/>
      <c r="EM180" s="39"/>
      <c r="EN180" s="5" t="str">
        <f t="shared" si="620"/>
        <v/>
      </c>
      <c r="EO180" s="5"/>
      <c r="EP180" s="5"/>
      <c r="EQ180" s="5"/>
      <c r="ER180" s="5" t="str">
        <f t="shared" si="621"/>
        <v/>
      </c>
      <c r="ES180" s="5"/>
      <c r="ET180" s="5"/>
      <c r="EU180" s="5"/>
      <c r="EV180" s="5" t="str">
        <f t="shared" si="601"/>
        <v/>
      </c>
      <c r="EW180" s="36" t="str">
        <f t="shared" si="602"/>
        <v/>
      </c>
      <c r="EX180" s="29"/>
      <c r="EZ180" s="14"/>
      <c r="FA180" s="39"/>
      <c r="FB180" s="5" t="str">
        <f t="shared" si="622"/>
        <v/>
      </c>
      <c r="FC180" s="5"/>
      <c r="FD180" s="5"/>
      <c r="FE180" s="5"/>
      <c r="FF180" s="5" t="str">
        <f t="shared" si="623"/>
        <v/>
      </c>
      <c r="FG180" s="5"/>
      <c r="FH180" s="5"/>
      <c r="FI180" s="5"/>
      <c r="FJ180" s="5" t="str">
        <f t="shared" si="603"/>
        <v/>
      </c>
      <c r="FK180" s="36" t="str">
        <f t="shared" si="604"/>
        <v/>
      </c>
      <c r="FL180" s="29"/>
      <c r="FN180" s="14"/>
      <c r="FO180" s="39"/>
      <c r="FP180" s="5" t="str">
        <f t="shared" si="624"/>
        <v/>
      </c>
      <c r="FQ180" s="5"/>
      <c r="FR180" s="5"/>
      <c r="FS180" s="5"/>
      <c r="FT180" s="5" t="str">
        <f t="shared" si="625"/>
        <v/>
      </c>
      <c r="FU180" s="5"/>
      <c r="FV180" s="5"/>
      <c r="FW180" s="5"/>
      <c r="FX180" s="5" t="str">
        <f t="shared" si="605"/>
        <v/>
      </c>
      <c r="FY180" s="36" t="str">
        <f t="shared" si="606"/>
        <v/>
      </c>
      <c r="FZ180" s="29"/>
      <c r="GB180" s="14"/>
      <c r="GC180" s="39"/>
      <c r="GD180" s="5" t="str">
        <f t="shared" si="626"/>
        <v/>
      </c>
      <c r="GE180" s="5"/>
      <c r="GF180" s="5"/>
      <c r="GG180" s="5"/>
      <c r="GH180" s="5" t="str">
        <f t="shared" si="627"/>
        <v/>
      </c>
      <c r="GI180" s="5"/>
      <c r="GJ180" s="5"/>
      <c r="GK180" s="5"/>
      <c r="GL180" s="5" t="str">
        <f t="shared" si="607"/>
        <v/>
      </c>
      <c r="GM180" s="36" t="str">
        <f t="shared" si="608"/>
        <v/>
      </c>
      <c r="GN180" s="29"/>
      <c r="GP180" s="14"/>
      <c r="GQ180" s="39"/>
      <c r="GR180" s="5" t="str">
        <f t="shared" si="628"/>
        <v/>
      </c>
      <c r="GS180" s="5"/>
      <c r="GT180" s="5"/>
      <c r="GU180" s="5"/>
      <c r="GV180" s="5"/>
      <c r="GW180" s="5"/>
      <c r="GX180" s="5" t="str">
        <f t="shared" si="629"/>
        <v/>
      </c>
      <c r="GY180" s="5"/>
      <c r="GZ180" s="5"/>
      <c r="HA180" s="5"/>
      <c r="HB180" s="5" t="str">
        <f t="shared" si="609"/>
        <v/>
      </c>
      <c r="HC180" s="36" t="str">
        <f t="shared" si="610"/>
        <v/>
      </c>
      <c r="HD180" s="29"/>
      <c r="HF180" s="14"/>
      <c r="HG180" s="39"/>
      <c r="HH180" s="5" t="str">
        <f t="shared" si="630"/>
        <v/>
      </c>
      <c r="HI180" s="5"/>
      <c r="HJ180" s="29"/>
      <c r="HL180" s="14"/>
      <c r="HM180" s="39"/>
      <c r="HN180" s="5" t="str">
        <f t="shared" si="631"/>
        <v/>
      </c>
      <c r="HO180" s="5"/>
      <c r="HP180" s="29"/>
      <c r="HR180" s="14"/>
      <c r="HS180" s="39"/>
      <c r="HT180" s="5" t="str">
        <f t="shared" si="632"/>
        <v/>
      </c>
      <c r="HU180" s="5"/>
      <c r="HV180" s="29"/>
    </row>
    <row r="181" spans="1:230" ht="15" customHeight="1" x14ac:dyDescent="0.2">
      <c r="A181" s="54"/>
      <c r="B181" s="37"/>
      <c r="C181" s="58">
        <v>18580</v>
      </c>
      <c r="D181" s="5">
        <f t="shared" si="559"/>
        <v>133</v>
      </c>
      <c r="E181" s="5">
        <v>649</v>
      </c>
      <c r="F181" s="5">
        <f t="shared" si="560"/>
        <v>5</v>
      </c>
      <c r="G181" s="58">
        <v>1</v>
      </c>
      <c r="H181" s="5">
        <f t="shared" si="561"/>
        <v>7</v>
      </c>
      <c r="I181" s="59">
        <v>3</v>
      </c>
      <c r="J181" s="38" t="str">
        <f t="shared" si="562"/>
        <v>たまごっちブロックシール</v>
      </c>
      <c r="K181" s="5">
        <f t="shared" si="563"/>
        <v>600</v>
      </c>
      <c r="L181" s="5">
        <f t="shared" si="564"/>
        <v>4200</v>
      </c>
      <c r="M181" s="36">
        <f t="shared" si="565"/>
        <v>0.31578947368421051</v>
      </c>
      <c r="N181" s="29"/>
      <c r="P181" s="54"/>
      <c r="Q181" s="58">
        <v>10386</v>
      </c>
      <c r="R181" s="5">
        <f t="shared" si="566"/>
        <v>24</v>
      </c>
      <c r="S181" s="5">
        <v>283</v>
      </c>
      <c r="T181" s="5">
        <f t="shared" si="567"/>
        <v>2</v>
      </c>
      <c r="U181" s="58">
        <v>6</v>
      </c>
      <c r="V181" s="5">
        <f t="shared" si="568"/>
        <v>2</v>
      </c>
      <c r="W181" s="59">
        <v>4</v>
      </c>
      <c r="X181" s="3" t="str">
        <f t="shared" si="611"/>
        <v>キティヘアパッチン</v>
      </c>
      <c r="Y181" s="5">
        <f t="shared" si="590"/>
        <v>638</v>
      </c>
      <c r="Z181" s="5">
        <f t="shared" si="569"/>
        <v>1276</v>
      </c>
      <c r="AA181" s="36">
        <f t="shared" si="570"/>
        <v>0.53166666666666662</v>
      </c>
      <c r="AB181" s="29" t="s">
        <v>192</v>
      </c>
      <c r="AD181" s="54"/>
      <c r="AE181" s="58">
        <v>1243</v>
      </c>
      <c r="AF181" s="5">
        <f t="shared" si="571"/>
        <v>37</v>
      </c>
      <c r="AG181" s="5">
        <v>31</v>
      </c>
      <c r="AH181" s="5">
        <f t="shared" si="572"/>
        <v>0</v>
      </c>
      <c r="AI181" s="58">
        <v>8</v>
      </c>
      <c r="AJ181" s="5">
        <f t="shared" si="573"/>
        <v>0</v>
      </c>
      <c r="AK181" s="59">
        <v>7</v>
      </c>
      <c r="AL181" s="38" t="str">
        <f t="shared" si="574"/>
        <v>たまごっちマスコット</v>
      </c>
      <c r="AM181" s="5">
        <f t="shared" si="575"/>
        <v>1430</v>
      </c>
      <c r="AN181" s="5">
        <f t="shared" si="576"/>
        <v>0</v>
      </c>
      <c r="AO181" s="36">
        <f t="shared" si="577"/>
        <v>0</v>
      </c>
      <c r="AP181" s="29"/>
      <c r="AR181" s="54"/>
      <c r="AS181" s="58">
        <v>937</v>
      </c>
      <c r="AT181" s="5">
        <f t="shared" si="578"/>
        <v>60</v>
      </c>
      <c r="AU181" s="5">
        <v>1</v>
      </c>
      <c r="AV181" s="5">
        <f t="shared" si="591"/>
        <v>1</v>
      </c>
      <c r="AW181" s="58">
        <v>7</v>
      </c>
      <c r="AX181" s="5">
        <f t="shared" si="579"/>
        <v>0</v>
      </c>
      <c r="AY181" s="59">
        <v>0</v>
      </c>
      <c r="AZ181" s="38" t="str">
        <f t="shared" si="580"/>
        <v>ゲームアーク</v>
      </c>
      <c r="BA181" s="5">
        <f t="shared" si="581"/>
        <v>682</v>
      </c>
      <c r="BB181" s="5">
        <f t="shared" si="582"/>
        <v>0</v>
      </c>
      <c r="BC181" s="36">
        <f t="shared" si="583"/>
        <v>0</v>
      </c>
      <c r="BD181" s="29"/>
      <c r="BE181" s="32"/>
      <c r="BF181" s="25"/>
      <c r="BG181" s="5">
        <v>2112</v>
      </c>
      <c r="BH181" s="5">
        <f t="shared" si="584"/>
        <v>84</v>
      </c>
      <c r="BI181" s="5">
        <v>16</v>
      </c>
      <c r="BJ181" s="5">
        <f t="shared" si="585"/>
        <v>1</v>
      </c>
      <c r="BK181" s="5">
        <v>2</v>
      </c>
      <c r="BL181" s="5">
        <f t="shared" si="586"/>
        <v>1</v>
      </c>
      <c r="BM181" s="57">
        <v>1</v>
      </c>
      <c r="BN181" s="3" t="str">
        <f>IF(BG179="","",BN177)</f>
        <v>ボンボンドロップシール</v>
      </c>
      <c r="BO181" s="39">
        <f>IF(BG179="","",BO177)</f>
        <v>1500</v>
      </c>
      <c r="BP181" s="5">
        <f t="shared" si="587"/>
        <v>1500</v>
      </c>
      <c r="BQ181" s="36">
        <f t="shared" si="491"/>
        <v>0.17857142857142858</v>
      </c>
      <c r="BR181" s="29"/>
      <c r="BT181" s="25"/>
      <c r="BU181" s="5"/>
      <c r="BV181" s="5" t="str">
        <f t="shared" si="588"/>
        <v/>
      </c>
      <c r="BW181" s="5"/>
      <c r="BX181" s="5" t="str">
        <f t="shared" si="589"/>
        <v/>
      </c>
      <c r="BY181" s="5"/>
      <c r="BZ181" s="5"/>
      <c r="CA181" s="57"/>
      <c r="CB181" s="3"/>
      <c r="CC181" s="39"/>
      <c r="CD181" s="5"/>
      <c r="CE181" s="36"/>
      <c r="CF181" s="29"/>
      <c r="CH181" s="14"/>
      <c r="CI181" s="39"/>
      <c r="CJ181" s="5" t="str">
        <f t="shared" si="612"/>
        <v/>
      </c>
      <c r="CK181" s="5"/>
      <c r="CL181" s="5"/>
      <c r="CM181" s="5"/>
      <c r="CN181" s="5" t="str">
        <f t="shared" si="613"/>
        <v/>
      </c>
      <c r="CO181" s="5"/>
      <c r="CP181" s="5"/>
      <c r="CQ181" s="5"/>
      <c r="CR181" s="5" t="str">
        <f t="shared" si="593"/>
        <v/>
      </c>
      <c r="CS181" s="36" t="str">
        <f t="shared" si="594"/>
        <v/>
      </c>
      <c r="CT181" s="29"/>
      <c r="CV181" s="14"/>
      <c r="CW181" s="39"/>
      <c r="CX181" s="5" t="str">
        <f t="shared" si="614"/>
        <v/>
      </c>
      <c r="CY181" s="5"/>
      <c r="CZ181" s="5"/>
      <c r="DA181" s="5"/>
      <c r="DB181" s="5" t="str">
        <f t="shared" si="615"/>
        <v/>
      </c>
      <c r="DC181" s="5"/>
      <c r="DD181" s="5"/>
      <c r="DE181" s="5"/>
      <c r="DF181" s="5" t="str">
        <f t="shared" si="595"/>
        <v/>
      </c>
      <c r="DG181" s="36" t="str">
        <f t="shared" si="596"/>
        <v/>
      </c>
      <c r="DH181" s="29"/>
      <c r="DJ181" s="14"/>
      <c r="DK181" s="39"/>
      <c r="DL181" s="5" t="str">
        <f t="shared" si="616"/>
        <v/>
      </c>
      <c r="DM181" s="5"/>
      <c r="DN181" s="5"/>
      <c r="DO181" s="5"/>
      <c r="DP181" s="5" t="str">
        <f t="shared" si="617"/>
        <v/>
      </c>
      <c r="DQ181" s="5"/>
      <c r="DR181" s="5"/>
      <c r="DS181" s="5"/>
      <c r="DT181" s="5" t="str">
        <f t="shared" si="597"/>
        <v/>
      </c>
      <c r="DU181" s="36" t="str">
        <f t="shared" si="598"/>
        <v/>
      </c>
      <c r="DV181" s="29"/>
      <c r="DX181" s="14"/>
      <c r="DY181" s="39"/>
      <c r="DZ181" s="5" t="str">
        <f t="shared" si="618"/>
        <v/>
      </c>
      <c r="EA181" s="5"/>
      <c r="EB181" s="5"/>
      <c r="EC181" s="5"/>
      <c r="ED181" s="5" t="str">
        <f t="shared" si="619"/>
        <v/>
      </c>
      <c r="EE181" s="5"/>
      <c r="EF181" s="5"/>
      <c r="EG181" s="5"/>
      <c r="EH181" s="5" t="str">
        <f t="shared" si="599"/>
        <v/>
      </c>
      <c r="EI181" s="36" t="str">
        <f t="shared" si="600"/>
        <v/>
      </c>
      <c r="EJ181" s="29"/>
      <c r="EL181" s="14"/>
      <c r="EM181" s="39"/>
      <c r="EN181" s="5" t="str">
        <f t="shared" si="620"/>
        <v/>
      </c>
      <c r="EO181" s="5"/>
      <c r="EP181" s="5"/>
      <c r="EQ181" s="5"/>
      <c r="ER181" s="5" t="str">
        <f t="shared" si="621"/>
        <v/>
      </c>
      <c r="ES181" s="5"/>
      <c r="ET181" s="5"/>
      <c r="EU181" s="5"/>
      <c r="EV181" s="5" t="str">
        <f t="shared" si="601"/>
        <v/>
      </c>
      <c r="EW181" s="36" t="str">
        <f t="shared" si="602"/>
        <v/>
      </c>
      <c r="EX181" s="29"/>
      <c r="EZ181" s="14"/>
      <c r="FA181" s="39"/>
      <c r="FB181" s="5" t="str">
        <f t="shared" si="622"/>
        <v/>
      </c>
      <c r="FC181" s="5"/>
      <c r="FD181" s="5"/>
      <c r="FE181" s="5"/>
      <c r="FF181" s="5" t="str">
        <f t="shared" si="623"/>
        <v/>
      </c>
      <c r="FG181" s="5"/>
      <c r="FH181" s="5"/>
      <c r="FI181" s="5"/>
      <c r="FJ181" s="5" t="str">
        <f t="shared" si="603"/>
        <v/>
      </c>
      <c r="FK181" s="36" t="str">
        <f t="shared" si="604"/>
        <v/>
      </c>
      <c r="FL181" s="29"/>
      <c r="FN181" s="14"/>
      <c r="FO181" s="39"/>
      <c r="FP181" s="5" t="str">
        <f t="shared" si="624"/>
        <v/>
      </c>
      <c r="FQ181" s="5"/>
      <c r="FR181" s="5"/>
      <c r="FS181" s="5"/>
      <c r="FT181" s="5" t="str">
        <f t="shared" si="625"/>
        <v/>
      </c>
      <c r="FU181" s="5"/>
      <c r="FV181" s="5"/>
      <c r="FW181" s="5"/>
      <c r="FX181" s="5" t="str">
        <f t="shared" si="605"/>
        <v/>
      </c>
      <c r="FY181" s="36" t="str">
        <f t="shared" si="606"/>
        <v/>
      </c>
      <c r="FZ181" s="29"/>
      <c r="GB181" s="14"/>
      <c r="GC181" s="39"/>
      <c r="GD181" s="5" t="str">
        <f t="shared" si="626"/>
        <v/>
      </c>
      <c r="GE181" s="5"/>
      <c r="GF181" s="5"/>
      <c r="GG181" s="5"/>
      <c r="GH181" s="5" t="str">
        <f t="shared" si="627"/>
        <v/>
      </c>
      <c r="GI181" s="5"/>
      <c r="GJ181" s="5"/>
      <c r="GK181" s="5"/>
      <c r="GL181" s="5" t="str">
        <f t="shared" si="607"/>
        <v/>
      </c>
      <c r="GM181" s="36" t="str">
        <f t="shared" si="608"/>
        <v/>
      </c>
      <c r="GN181" s="29"/>
      <c r="GP181" s="14"/>
      <c r="GQ181" s="39"/>
      <c r="GR181" s="5" t="str">
        <f t="shared" si="628"/>
        <v/>
      </c>
      <c r="GS181" s="5"/>
      <c r="GT181" s="5"/>
      <c r="GU181" s="5"/>
      <c r="GV181" s="5"/>
      <c r="GW181" s="5"/>
      <c r="GX181" s="5" t="str">
        <f t="shared" si="629"/>
        <v/>
      </c>
      <c r="GY181" s="5"/>
      <c r="GZ181" s="5"/>
      <c r="HA181" s="5"/>
      <c r="HB181" s="5" t="str">
        <f t="shared" si="609"/>
        <v/>
      </c>
      <c r="HC181" s="36" t="str">
        <f t="shared" si="610"/>
        <v/>
      </c>
      <c r="HD181" s="29"/>
      <c r="HF181" s="14"/>
      <c r="HG181" s="39"/>
      <c r="HH181" s="5" t="str">
        <f t="shared" si="630"/>
        <v/>
      </c>
      <c r="HI181" s="5"/>
      <c r="HJ181" s="29"/>
      <c r="HL181" s="14"/>
      <c r="HM181" s="39"/>
      <c r="HN181" s="5" t="str">
        <f t="shared" si="631"/>
        <v/>
      </c>
      <c r="HO181" s="5"/>
      <c r="HP181" s="29"/>
      <c r="HR181" s="14"/>
      <c r="HS181" s="39"/>
      <c r="HT181" s="5" t="str">
        <f t="shared" si="632"/>
        <v/>
      </c>
      <c r="HU181" s="5"/>
      <c r="HV181" s="29"/>
    </row>
    <row r="182" spans="1:230" ht="15" customHeight="1" thickBot="1" x14ac:dyDescent="0.25">
      <c r="A182" s="60"/>
      <c r="B182" s="73"/>
      <c r="C182" s="44">
        <v>23132</v>
      </c>
      <c r="D182" s="61">
        <f t="shared" si="559"/>
        <v>114</v>
      </c>
      <c r="E182" s="44">
        <v>1163</v>
      </c>
      <c r="F182" s="44">
        <f t="shared" si="560"/>
        <v>1</v>
      </c>
      <c r="G182" s="44">
        <v>1</v>
      </c>
      <c r="H182" s="44">
        <f t="shared" si="561"/>
        <v>2</v>
      </c>
      <c r="I182" s="62">
        <v>57</v>
      </c>
      <c r="J182" s="47" t="str">
        <f t="shared" si="562"/>
        <v>パステルケーキ</v>
      </c>
      <c r="K182" s="61">
        <f t="shared" si="563"/>
        <v>187</v>
      </c>
      <c r="L182" s="44">
        <f t="shared" si="564"/>
        <v>374</v>
      </c>
      <c r="M182" s="46">
        <f t="shared" si="565"/>
        <v>3.2807017543859653E-2</v>
      </c>
      <c r="N182" s="29" t="s">
        <v>168</v>
      </c>
      <c r="P182" s="60"/>
      <c r="Q182" s="44">
        <v>9079</v>
      </c>
      <c r="R182" s="61">
        <f t="shared" si="566"/>
        <v>71</v>
      </c>
      <c r="S182" s="44">
        <v>223</v>
      </c>
      <c r="T182" s="44">
        <f t="shared" si="567"/>
        <v>2</v>
      </c>
      <c r="U182" s="44">
        <v>20</v>
      </c>
      <c r="V182" s="44">
        <f t="shared" si="568"/>
        <v>2</v>
      </c>
      <c r="W182" s="62">
        <v>4</v>
      </c>
      <c r="X182" s="45" t="str">
        <f t="shared" si="611"/>
        <v>ボンドロ海外製</v>
      </c>
      <c r="Y182" s="61">
        <f t="shared" si="590"/>
        <v>150</v>
      </c>
      <c r="Z182" s="44">
        <f t="shared" si="569"/>
        <v>300</v>
      </c>
      <c r="AA182" s="46">
        <f t="shared" si="570"/>
        <v>4.2253521126760563E-2</v>
      </c>
      <c r="AB182" s="29" t="s">
        <v>313</v>
      </c>
      <c r="AD182" s="60"/>
      <c r="AE182" s="44">
        <v>681</v>
      </c>
      <c r="AF182" s="74">
        <f t="shared" si="571"/>
        <v>11</v>
      </c>
      <c r="AG182" s="44">
        <v>27</v>
      </c>
      <c r="AH182" s="44">
        <f t="shared" si="572"/>
        <v>0</v>
      </c>
      <c r="AI182" s="44">
        <v>7</v>
      </c>
      <c r="AJ182" s="44">
        <f t="shared" si="573"/>
        <v>0</v>
      </c>
      <c r="AK182" s="62">
        <v>0</v>
      </c>
      <c r="AL182" s="47" t="s">
        <v>189</v>
      </c>
      <c r="AM182" s="61">
        <v>1100</v>
      </c>
      <c r="AN182" s="44">
        <f t="shared" si="576"/>
        <v>0</v>
      </c>
      <c r="AO182" s="46">
        <f t="shared" si="577"/>
        <v>0</v>
      </c>
      <c r="AP182" s="29"/>
      <c r="AR182" s="60"/>
      <c r="AS182" s="44">
        <v>827</v>
      </c>
      <c r="AT182" s="61">
        <f t="shared" si="578"/>
        <v>46</v>
      </c>
      <c r="AU182" s="44">
        <v>24</v>
      </c>
      <c r="AV182" s="44">
        <f t="shared" si="591"/>
        <v>1</v>
      </c>
      <c r="AW182" s="44">
        <v>9</v>
      </c>
      <c r="AX182" s="44">
        <f t="shared" si="579"/>
        <v>1</v>
      </c>
      <c r="AY182" s="62">
        <v>0</v>
      </c>
      <c r="AZ182" s="47" t="str">
        <f t="shared" si="580"/>
        <v>しばこ</v>
      </c>
      <c r="BA182" s="61">
        <f t="shared" si="581"/>
        <v>110</v>
      </c>
      <c r="BB182" s="44">
        <f t="shared" si="582"/>
        <v>110</v>
      </c>
      <c r="BC182" s="46">
        <f t="shared" si="583"/>
        <v>2.391304347826087E-2</v>
      </c>
      <c r="BD182" s="29"/>
      <c r="BE182" s="32"/>
      <c r="BF182" s="41"/>
      <c r="BG182" s="44">
        <v>3791</v>
      </c>
      <c r="BH182" s="44">
        <f t="shared" si="584"/>
        <v>97</v>
      </c>
      <c r="BI182" s="44">
        <v>40</v>
      </c>
      <c r="BJ182" s="44">
        <f t="shared" si="585"/>
        <v>1</v>
      </c>
      <c r="BK182" s="44">
        <v>2</v>
      </c>
      <c r="BL182" s="44">
        <f t="shared" si="586"/>
        <v>1</v>
      </c>
      <c r="BM182" s="44">
        <v>1</v>
      </c>
      <c r="BN182" s="45" t="str">
        <f>IF(BG180="","",BN178)</f>
        <v>ボンボンドロップシール</v>
      </c>
      <c r="BO182" s="61">
        <f>IF(BG179="","",BO178)</f>
        <v>1500</v>
      </c>
      <c r="BP182" s="44">
        <f t="shared" si="587"/>
        <v>1500</v>
      </c>
      <c r="BQ182" s="46">
        <f t="shared" si="491"/>
        <v>0.15463917525773196</v>
      </c>
      <c r="BR182" s="29"/>
      <c r="BT182" s="41"/>
      <c r="BU182" s="44"/>
      <c r="BV182" s="44" t="str">
        <f t="shared" si="588"/>
        <v/>
      </c>
      <c r="BW182" s="44"/>
      <c r="BX182" s="44" t="str">
        <f t="shared" si="589"/>
        <v/>
      </c>
      <c r="BY182" s="44"/>
      <c r="BZ182" s="44"/>
      <c r="CA182" s="44"/>
      <c r="CB182" s="45"/>
      <c r="CC182" s="61"/>
      <c r="CD182" s="44"/>
      <c r="CE182" s="46"/>
      <c r="CF182" s="29"/>
      <c r="CH182" s="14"/>
      <c r="CI182" s="39"/>
      <c r="CJ182" s="5" t="str">
        <f t="shared" si="612"/>
        <v/>
      </c>
      <c r="CK182" s="5"/>
      <c r="CL182" s="5"/>
      <c r="CM182" s="5"/>
      <c r="CN182" s="5" t="str">
        <f t="shared" si="613"/>
        <v/>
      </c>
      <c r="CO182" s="5"/>
      <c r="CP182" s="5"/>
      <c r="CQ182" s="5"/>
      <c r="CR182" s="5" t="str">
        <f t="shared" si="593"/>
        <v/>
      </c>
      <c r="CS182" s="36" t="str">
        <f t="shared" si="594"/>
        <v/>
      </c>
      <c r="CT182" s="29"/>
      <c r="CV182" s="14"/>
      <c r="CW182" s="39"/>
      <c r="CX182" s="5" t="str">
        <f t="shared" si="614"/>
        <v/>
      </c>
      <c r="CY182" s="5"/>
      <c r="CZ182" s="5"/>
      <c r="DA182" s="5"/>
      <c r="DB182" s="5" t="str">
        <f t="shared" si="615"/>
        <v/>
      </c>
      <c r="DC182" s="5"/>
      <c r="DD182" s="5"/>
      <c r="DE182" s="5"/>
      <c r="DF182" s="5" t="str">
        <f t="shared" si="595"/>
        <v/>
      </c>
      <c r="DG182" s="36" t="str">
        <f t="shared" si="596"/>
        <v/>
      </c>
      <c r="DH182" s="29"/>
      <c r="DJ182" s="14"/>
      <c r="DK182" s="39"/>
      <c r="DL182" s="5" t="str">
        <f t="shared" si="616"/>
        <v/>
      </c>
      <c r="DM182" s="5"/>
      <c r="DN182" s="5"/>
      <c r="DO182" s="5"/>
      <c r="DP182" s="5" t="str">
        <f t="shared" si="617"/>
        <v/>
      </c>
      <c r="DQ182" s="5"/>
      <c r="DR182" s="5"/>
      <c r="DS182" s="5"/>
      <c r="DT182" s="5" t="str">
        <f t="shared" si="597"/>
        <v/>
      </c>
      <c r="DU182" s="36" t="str">
        <f t="shared" si="598"/>
        <v/>
      </c>
      <c r="DV182" s="29"/>
      <c r="DX182" s="14"/>
      <c r="DY182" s="39"/>
      <c r="DZ182" s="5" t="str">
        <f t="shared" si="618"/>
        <v/>
      </c>
      <c r="EA182" s="5"/>
      <c r="EB182" s="5"/>
      <c r="EC182" s="5"/>
      <c r="ED182" s="5" t="str">
        <f t="shared" si="619"/>
        <v/>
      </c>
      <c r="EE182" s="5"/>
      <c r="EF182" s="5"/>
      <c r="EG182" s="5"/>
      <c r="EH182" s="5" t="str">
        <f t="shared" si="599"/>
        <v/>
      </c>
      <c r="EI182" s="36" t="str">
        <f t="shared" si="600"/>
        <v/>
      </c>
      <c r="EJ182" s="29"/>
      <c r="EL182" s="14"/>
      <c r="EM182" s="39"/>
      <c r="EN182" s="5" t="str">
        <f t="shared" si="620"/>
        <v/>
      </c>
      <c r="EO182" s="5"/>
      <c r="EP182" s="5"/>
      <c r="EQ182" s="5"/>
      <c r="ER182" s="5" t="str">
        <f t="shared" si="621"/>
        <v/>
      </c>
      <c r="ES182" s="5"/>
      <c r="ET182" s="5"/>
      <c r="EU182" s="5"/>
      <c r="EV182" s="5" t="str">
        <f t="shared" si="601"/>
        <v/>
      </c>
      <c r="EW182" s="36" t="str">
        <f t="shared" si="602"/>
        <v/>
      </c>
      <c r="EX182" s="29"/>
      <c r="EZ182" s="14"/>
      <c r="FA182" s="39"/>
      <c r="FB182" s="5" t="str">
        <f t="shared" si="622"/>
        <v/>
      </c>
      <c r="FC182" s="5"/>
      <c r="FD182" s="5"/>
      <c r="FE182" s="5"/>
      <c r="FF182" s="5" t="str">
        <f t="shared" si="623"/>
        <v/>
      </c>
      <c r="FG182" s="5"/>
      <c r="FH182" s="5"/>
      <c r="FI182" s="5"/>
      <c r="FJ182" s="5" t="str">
        <f t="shared" si="603"/>
        <v/>
      </c>
      <c r="FK182" s="36" t="str">
        <f t="shared" si="604"/>
        <v/>
      </c>
      <c r="FL182" s="29"/>
      <c r="FN182" s="14"/>
      <c r="FO182" s="39"/>
      <c r="FP182" s="5" t="str">
        <f t="shared" si="624"/>
        <v/>
      </c>
      <c r="FQ182" s="5"/>
      <c r="FR182" s="5"/>
      <c r="FS182" s="5"/>
      <c r="FT182" s="5" t="str">
        <f t="shared" si="625"/>
        <v/>
      </c>
      <c r="FU182" s="5"/>
      <c r="FV182" s="5"/>
      <c r="FW182" s="5"/>
      <c r="FX182" s="5" t="str">
        <f t="shared" si="605"/>
        <v/>
      </c>
      <c r="FY182" s="36" t="str">
        <f t="shared" si="606"/>
        <v/>
      </c>
      <c r="FZ182" s="29"/>
      <c r="GB182" s="14"/>
      <c r="GC182" s="39"/>
      <c r="GD182" s="5" t="str">
        <f t="shared" si="626"/>
        <v/>
      </c>
      <c r="GE182" s="5"/>
      <c r="GF182" s="5"/>
      <c r="GG182" s="5"/>
      <c r="GH182" s="5" t="str">
        <f t="shared" si="627"/>
        <v/>
      </c>
      <c r="GI182" s="5"/>
      <c r="GJ182" s="5"/>
      <c r="GK182" s="5"/>
      <c r="GL182" s="5" t="str">
        <f t="shared" si="607"/>
        <v/>
      </c>
      <c r="GM182" s="36" t="str">
        <f t="shared" si="608"/>
        <v/>
      </c>
      <c r="GN182" s="29"/>
      <c r="GP182" s="14"/>
      <c r="GQ182" s="39"/>
      <c r="GR182" s="5" t="str">
        <f t="shared" si="628"/>
        <v/>
      </c>
      <c r="GS182" s="5"/>
      <c r="GT182" s="5"/>
      <c r="GU182" s="5"/>
      <c r="GV182" s="5"/>
      <c r="GW182" s="5"/>
      <c r="GX182" s="5" t="str">
        <f t="shared" si="629"/>
        <v/>
      </c>
      <c r="GY182" s="5"/>
      <c r="GZ182" s="5"/>
      <c r="HA182" s="5"/>
      <c r="HB182" s="5" t="str">
        <f t="shared" si="609"/>
        <v/>
      </c>
      <c r="HC182" s="36" t="str">
        <f t="shared" si="610"/>
        <v/>
      </c>
      <c r="HD182" s="29"/>
      <c r="HF182" s="14"/>
      <c r="HG182" s="39"/>
      <c r="HH182" s="5" t="str">
        <f t="shared" si="630"/>
        <v/>
      </c>
      <c r="HI182" s="5"/>
      <c r="HJ182" s="29"/>
      <c r="HL182" s="14"/>
      <c r="HM182" s="39"/>
      <c r="HN182" s="5" t="str">
        <f t="shared" si="631"/>
        <v/>
      </c>
      <c r="HO182" s="5"/>
      <c r="HP182" s="29"/>
      <c r="HR182" s="14"/>
      <c r="HS182" s="39"/>
      <c r="HT182" s="5" t="str">
        <f t="shared" si="632"/>
        <v/>
      </c>
      <c r="HU182" s="5"/>
      <c r="HV182" s="29"/>
    </row>
    <row r="183" spans="1:230" ht="15" customHeight="1" thickTop="1" x14ac:dyDescent="0.2">
      <c r="A183" s="49">
        <v>46129</v>
      </c>
      <c r="B183" s="26">
        <f>SUM(D183:D186)+SUM(R183:R186)+SUM(AF183:AF186)+SUM(AT183:AT186)+SUM(CJ159,CX159,DL159,DZ159,EN159,FB159,FP159,GD159,GR159,HH159,HN159,HT159)+SUM(BH183:BH186)+SUM(BV183:BV184)</f>
        <v>1519</v>
      </c>
      <c r="C183" s="4">
        <v>13406</v>
      </c>
      <c r="D183" s="4">
        <f t="shared" si="559"/>
        <v>31</v>
      </c>
      <c r="E183" s="4">
        <v>347</v>
      </c>
      <c r="F183" s="50">
        <f t="shared" si="560"/>
        <v>2</v>
      </c>
      <c r="G183" s="4">
        <v>8</v>
      </c>
      <c r="H183" s="4">
        <f t="shared" si="561"/>
        <v>2</v>
      </c>
      <c r="I183" s="51">
        <v>0</v>
      </c>
      <c r="J183" s="31" t="str">
        <f t="shared" si="562"/>
        <v>キティダブルミラー</v>
      </c>
      <c r="K183" s="27">
        <f t="shared" si="563"/>
        <v>660</v>
      </c>
      <c r="L183" s="50">
        <f t="shared" si="564"/>
        <v>1320</v>
      </c>
      <c r="M183" s="52">
        <f t="shared" si="565"/>
        <v>0.4258064516129032</v>
      </c>
      <c r="N183" s="29"/>
      <c r="P183" s="53">
        <f>IF($A183="","",$A183)</f>
        <v>46129</v>
      </c>
      <c r="Q183" s="4">
        <v>4085</v>
      </c>
      <c r="R183" s="4">
        <f t="shared" si="566"/>
        <v>43</v>
      </c>
      <c r="S183" s="4">
        <v>191</v>
      </c>
      <c r="T183" s="50">
        <f t="shared" si="567"/>
        <v>0</v>
      </c>
      <c r="U183" s="4">
        <v>7</v>
      </c>
      <c r="V183" s="4">
        <f t="shared" si="568"/>
        <v>3</v>
      </c>
      <c r="W183" s="51">
        <v>0</v>
      </c>
      <c r="X183" s="2" t="str">
        <f t="shared" si="611"/>
        <v>サンリオボアバンスクリップ</v>
      </c>
      <c r="Y183" s="27">
        <f t="shared" si="590"/>
        <v>660</v>
      </c>
      <c r="Z183" s="50">
        <f t="shared" si="569"/>
        <v>1980</v>
      </c>
      <c r="AA183" s="52">
        <f t="shared" si="570"/>
        <v>0.46046511627906977</v>
      </c>
      <c r="AB183" s="29"/>
      <c r="AD183" s="53">
        <f>IF($A183="","",$A183)</f>
        <v>46129</v>
      </c>
      <c r="AE183" s="4">
        <v>2004</v>
      </c>
      <c r="AF183" s="4">
        <f t="shared" si="571"/>
        <v>6</v>
      </c>
      <c r="AG183" s="4">
        <v>28</v>
      </c>
      <c r="AH183" s="50">
        <f t="shared" si="572"/>
        <v>1</v>
      </c>
      <c r="AI183" s="4">
        <v>6</v>
      </c>
      <c r="AJ183" s="4">
        <f t="shared" si="573"/>
        <v>0</v>
      </c>
      <c r="AK183" s="51">
        <v>0</v>
      </c>
      <c r="AL183" s="31" t="str">
        <f t="shared" si="574"/>
        <v>モンチッチがま口</v>
      </c>
      <c r="AM183" s="27">
        <f t="shared" si="575"/>
        <v>462</v>
      </c>
      <c r="AN183" s="50">
        <f t="shared" si="576"/>
        <v>0</v>
      </c>
      <c r="AO183" s="52">
        <f t="shared" si="577"/>
        <v>0</v>
      </c>
      <c r="AP183" s="29"/>
      <c r="AR183" s="53">
        <f>IF($A183="","",$A183)</f>
        <v>46129</v>
      </c>
      <c r="AS183" s="4">
        <v>1327</v>
      </c>
      <c r="AT183" s="4">
        <f t="shared" si="578"/>
        <v>13</v>
      </c>
      <c r="AU183" s="4">
        <v>31</v>
      </c>
      <c r="AV183" s="50">
        <f t="shared" si="591"/>
        <v>0</v>
      </c>
      <c r="AW183" s="4">
        <v>2</v>
      </c>
      <c r="AX183" s="4">
        <f t="shared" si="579"/>
        <v>0</v>
      </c>
      <c r="AY183" s="51">
        <v>16</v>
      </c>
      <c r="AZ183" s="31" t="str">
        <f t="shared" si="580"/>
        <v>デジタルミニカメラ</v>
      </c>
      <c r="BA183" s="27">
        <f t="shared" si="581"/>
        <v>1075</v>
      </c>
      <c r="BB183" s="50">
        <f t="shared" si="582"/>
        <v>0</v>
      </c>
      <c r="BC183" s="52">
        <f t="shared" si="583"/>
        <v>0</v>
      </c>
      <c r="BD183" s="29" t="s">
        <v>208</v>
      </c>
      <c r="BE183" s="32"/>
      <c r="BF183" s="33">
        <f>IF($A183="","",$A183)</f>
        <v>46129</v>
      </c>
      <c r="BG183" s="5">
        <v>2829</v>
      </c>
      <c r="BH183" s="4">
        <f t="shared" si="584"/>
        <v>69</v>
      </c>
      <c r="BI183" s="5">
        <v>24</v>
      </c>
      <c r="BJ183" s="50">
        <f t="shared" si="585"/>
        <v>1</v>
      </c>
      <c r="BK183" s="58">
        <v>3</v>
      </c>
      <c r="BL183" s="4">
        <f t="shared" si="586"/>
        <v>0</v>
      </c>
      <c r="BM183" s="4">
        <v>0</v>
      </c>
      <c r="BN183" s="2" t="str">
        <f>IF(BG183="","",BN179)</f>
        <v>ボンボンドロップシール</v>
      </c>
      <c r="BO183" s="27">
        <f>IF(BG183="","",BO179)</f>
        <v>1500</v>
      </c>
      <c r="BP183" s="5">
        <f t="shared" si="587"/>
        <v>0</v>
      </c>
      <c r="BQ183" s="52">
        <f t="shared" si="491"/>
        <v>0</v>
      </c>
      <c r="BR183" s="29"/>
      <c r="BT183" s="33">
        <f>IF($A183="","",$A183)</f>
        <v>46129</v>
      </c>
      <c r="BU183" s="5">
        <v>35829</v>
      </c>
      <c r="BV183" s="4">
        <f t="shared" si="588"/>
        <v>78</v>
      </c>
      <c r="BW183" s="5">
        <v>3872</v>
      </c>
      <c r="BX183" s="50">
        <f t="shared" si="589"/>
        <v>3</v>
      </c>
      <c r="BY183" s="4">
        <v>42</v>
      </c>
      <c r="BZ183" s="4">
        <f>IF(BY183="","",BY179+CA179-BY183)</f>
        <v>3</v>
      </c>
      <c r="CA183" s="4">
        <v>6</v>
      </c>
      <c r="CB183" s="2" t="str">
        <f>IF(BU183="","",CB179)</f>
        <v>ベイビースリーフェイス</v>
      </c>
      <c r="CC183" s="27">
        <f>IF(BU183="","",CC179)</f>
        <v>1050</v>
      </c>
      <c r="CD183" s="5">
        <f>IF(BY183="","",BZ183*CC183)</f>
        <v>3150</v>
      </c>
      <c r="CE183" s="52">
        <f>IF(BZ183="","",CD183/(BV183*100))</f>
        <v>0.40384615384615385</v>
      </c>
      <c r="CF183" s="29"/>
      <c r="CH183" s="14"/>
      <c r="CI183" s="39"/>
      <c r="CJ183" s="5" t="str">
        <f t="shared" si="612"/>
        <v/>
      </c>
      <c r="CK183" s="5"/>
      <c r="CL183" s="5"/>
      <c r="CM183" s="5"/>
      <c r="CN183" s="5" t="str">
        <f t="shared" si="613"/>
        <v/>
      </c>
      <c r="CO183" s="5"/>
      <c r="CP183" s="5"/>
      <c r="CQ183" s="5"/>
      <c r="CR183" s="5" t="str">
        <f t="shared" si="593"/>
        <v/>
      </c>
      <c r="CS183" s="36" t="str">
        <f t="shared" si="594"/>
        <v/>
      </c>
      <c r="CT183" s="29"/>
      <c r="CV183" s="14"/>
      <c r="CW183" s="39"/>
      <c r="CX183" s="5" t="str">
        <f t="shared" si="614"/>
        <v/>
      </c>
      <c r="CY183" s="5"/>
      <c r="CZ183" s="5"/>
      <c r="DA183" s="5"/>
      <c r="DB183" s="5" t="str">
        <f t="shared" si="615"/>
        <v/>
      </c>
      <c r="DC183" s="5"/>
      <c r="DD183" s="5"/>
      <c r="DE183" s="5"/>
      <c r="DF183" s="5" t="str">
        <f t="shared" si="595"/>
        <v/>
      </c>
      <c r="DG183" s="36" t="str">
        <f t="shared" si="596"/>
        <v/>
      </c>
      <c r="DH183" s="29"/>
      <c r="DJ183" s="14"/>
      <c r="DK183" s="39"/>
      <c r="DL183" s="5" t="str">
        <f t="shared" si="616"/>
        <v/>
      </c>
      <c r="DM183" s="5"/>
      <c r="DN183" s="5"/>
      <c r="DO183" s="5"/>
      <c r="DP183" s="5" t="str">
        <f t="shared" si="617"/>
        <v/>
      </c>
      <c r="DQ183" s="5"/>
      <c r="DR183" s="5"/>
      <c r="DS183" s="5"/>
      <c r="DT183" s="5" t="str">
        <f t="shared" si="597"/>
        <v/>
      </c>
      <c r="DU183" s="36" t="str">
        <f t="shared" si="598"/>
        <v/>
      </c>
      <c r="DV183" s="29"/>
      <c r="DX183" s="14"/>
      <c r="DY183" s="39"/>
      <c r="DZ183" s="5" t="str">
        <f t="shared" si="618"/>
        <v/>
      </c>
      <c r="EA183" s="5"/>
      <c r="EB183" s="5"/>
      <c r="EC183" s="5"/>
      <c r="ED183" s="5" t="str">
        <f t="shared" si="619"/>
        <v/>
      </c>
      <c r="EE183" s="5"/>
      <c r="EF183" s="5"/>
      <c r="EG183" s="5"/>
      <c r="EH183" s="5" t="str">
        <f t="shared" si="599"/>
        <v/>
      </c>
      <c r="EI183" s="36" t="str">
        <f t="shared" si="600"/>
        <v/>
      </c>
      <c r="EJ183" s="29"/>
      <c r="EL183" s="14"/>
      <c r="EM183" s="39"/>
      <c r="EN183" s="5" t="str">
        <f t="shared" si="620"/>
        <v/>
      </c>
      <c r="EO183" s="5"/>
      <c r="EP183" s="5"/>
      <c r="EQ183" s="5"/>
      <c r="ER183" s="5" t="str">
        <f t="shared" si="621"/>
        <v/>
      </c>
      <c r="ES183" s="5"/>
      <c r="ET183" s="5"/>
      <c r="EU183" s="5"/>
      <c r="EV183" s="5" t="str">
        <f t="shared" si="601"/>
        <v/>
      </c>
      <c r="EW183" s="36" t="str">
        <f t="shared" si="602"/>
        <v/>
      </c>
      <c r="EX183" s="29"/>
      <c r="EZ183" s="14"/>
      <c r="FA183" s="39"/>
      <c r="FB183" s="5" t="str">
        <f t="shared" si="622"/>
        <v/>
      </c>
      <c r="FC183" s="5"/>
      <c r="FD183" s="5"/>
      <c r="FE183" s="5"/>
      <c r="FF183" s="5" t="str">
        <f t="shared" si="623"/>
        <v/>
      </c>
      <c r="FG183" s="5"/>
      <c r="FH183" s="5"/>
      <c r="FI183" s="5"/>
      <c r="FJ183" s="5" t="str">
        <f t="shared" si="603"/>
        <v/>
      </c>
      <c r="FK183" s="36" t="str">
        <f t="shared" si="604"/>
        <v/>
      </c>
      <c r="FL183" s="29"/>
      <c r="FN183" s="14"/>
      <c r="FO183" s="39"/>
      <c r="FP183" s="5" t="str">
        <f t="shared" si="624"/>
        <v/>
      </c>
      <c r="FQ183" s="5"/>
      <c r="FR183" s="5"/>
      <c r="FS183" s="5"/>
      <c r="FT183" s="5" t="str">
        <f t="shared" si="625"/>
        <v/>
      </c>
      <c r="FU183" s="5"/>
      <c r="FV183" s="5"/>
      <c r="FW183" s="5"/>
      <c r="FX183" s="5" t="str">
        <f t="shared" si="605"/>
        <v/>
      </c>
      <c r="FY183" s="36" t="str">
        <f t="shared" si="606"/>
        <v/>
      </c>
      <c r="FZ183" s="29"/>
      <c r="GB183" s="14"/>
      <c r="GC183" s="39"/>
      <c r="GD183" s="5" t="str">
        <f t="shared" si="626"/>
        <v/>
      </c>
      <c r="GE183" s="5"/>
      <c r="GF183" s="5"/>
      <c r="GG183" s="5"/>
      <c r="GH183" s="5" t="str">
        <f t="shared" si="627"/>
        <v/>
      </c>
      <c r="GI183" s="5"/>
      <c r="GJ183" s="5"/>
      <c r="GK183" s="5"/>
      <c r="GL183" s="5" t="str">
        <f t="shared" si="607"/>
        <v/>
      </c>
      <c r="GM183" s="36" t="str">
        <f t="shared" si="608"/>
        <v/>
      </c>
      <c r="GN183" s="29"/>
      <c r="GP183" s="14"/>
      <c r="GQ183" s="39"/>
      <c r="GR183" s="5" t="str">
        <f t="shared" si="628"/>
        <v/>
      </c>
      <c r="GS183" s="5"/>
      <c r="GT183" s="5"/>
      <c r="GU183" s="5"/>
      <c r="GV183" s="5"/>
      <c r="GW183" s="5"/>
      <c r="GX183" s="5" t="str">
        <f t="shared" si="629"/>
        <v/>
      </c>
      <c r="GY183" s="5"/>
      <c r="GZ183" s="5"/>
      <c r="HA183" s="5"/>
      <c r="HB183" s="5" t="str">
        <f t="shared" si="609"/>
        <v/>
      </c>
      <c r="HC183" s="36" t="str">
        <f t="shared" si="610"/>
        <v/>
      </c>
      <c r="HD183" s="29"/>
      <c r="HF183" s="14"/>
      <c r="HG183" s="39"/>
      <c r="HH183" s="5" t="str">
        <f t="shared" si="630"/>
        <v/>
      </c>
      <c r="HI183" s="5"/>
      <c r="HJ183" s="29"/>
      <c r="HL183" s="14"/>
      <c r="HM183" s="39"/>
      <c r="HN183" s="5" t="str">
        <f t="shared" si="631"/>
        <v/>
      </c>
      <c r="HO183" s="5"/>
      <c r="HP183" s="29"/>
      <c r="HR183" s="14"/>
      <c r="HS183" s="39"/>
      <c r="HT183" s="5" t="str">
        <f t="shared" si="632"/>
        <v/>
      </c>
      <c r="HU183" s="5"/>
      <c r="HV183" s="29"/>
    </row>
    <row r="184" spans="1:230" ht="15" customHeight="1" x14ac:dyDescent="0.2">
      <c r="A184" s="54"/>
      <c r="B184" s="26"/>
      <c r="C184" s="4">
        <v>16942</v>
      </c>
      <c r="D184" s="5">
        <f t="shared" si="559"/>
        <v>64</v>
      </c>
      <c r="E184" s="5">
        <v>527</v>
      </c>
      <c r="F184" s="5">
        <f t="shared" si="560"/>
        <v>2</v>
      </c>
      <c r="G184" s="5">
        <v>10</v>
      </c>
      <c r="H184" s="5">
        <f t="shared" si="561"/>
        <v>2</v>
      </c>
      <c r="I184" s="35">
        <v>0</v>
      </c>
      <c r="J184" s="38" t="s">
        <v>198</v>
      </c>
      <c r="K184" s="39"/>
      <c r="L184" s="5">
        <f t="shared" si="564"/>
        <v>0</v>
      </c>
      <c r="M184" s="36">
        <f t="shared" si="565"/>
        <v>0</v>
      </c>
      <c r="N184" s="29"/>
      <c r="P184" s="54"/>
      <c r="Q184" s="4">
        <v>10803</v>
      </c>
      <c r="R184" s="5">
        <f t="shared" si="566"/>
        <v>65</v>
      </c>
      <c r="S184" s="5">
        <v>184</v>
      </c>
      <c r="T184" s="5">
        <f t="shared" si="567"/>
        <v>1</v>
      </c>
      <c r="U184" s="5">
        <v>6</v>
      </c>
      <c r="V184" s="5">
        <f t="shared" si="568"/>
        <v>3</v>
      </c>
      <c r="W184" s="35">
        <v>4</v>
      </c>
      <c r="X184" s="3" t="str">
        <f t="shared" si="611"/>
        <v>サンリオヘアバンド</v>
      </c>
      <c r="Y184" s="39">
        <f t="shared" si="590"/>
        <v>825</v>
      </c>
      <c r="Z184" s="5">
        <f t="shared" si="569"/>
        <v>2475</v>
      </c>
      <c r="AA184" s="36">
        <f t="shared" si="570"/>
        <v>0.38076923076923075</v>
      </c>
      <c r="AB184" s="29" t="s">
        <v>201</v>
      </c>
      <c r="AD184" s="54"/>
      <c r="AE184" s="4">
        <v>1715</v>
      </c>
      <c r="AF184" s="5">
        <f t="shared" si="571"/>
        <v>73</v>
      </c>
      <c r="AG184" s="5">
        <v>31</v>
      </c>
      <c r="AH184" s="5">
        <f t="shared" si="572"/>
        <v>1</v>
      </c>
      <c r="AI184" s="5">
        <v>10</v>
      </c>
      <c r="AJ184" s="5">
        <f t="shared" si="573"/>
        <v>1</v>
      </c>
      <c r="AK184" s="35">
        <v>3</v>
      </c>
      <c r="AL184" s="38" t="str">
        <f t="shared" si="574"/>
        <v>バタースクイーズ</v>
      </c>
      <c r="AM184" s="39">
        <f t="shared" si="575"/>
        <v>1100</v>
      </c>
      <c r="AN184" s="5">
        <f t="shared" si="576"/>
        <v>1100</v>
      </c>
      <c r="AO184" s="36">
        <f t="shared" si="577"/>
        <v>0.15068493150684931</v>
      </c>
      <c r="AP184" s="29"/>
      <c r="AR184" s="54"/>
      <c r="AS184" s="4">
        <v>1326</v>
      </c>
      <c r="AT184" s="5">
        <f t="shared" si="578"/>
        <v>17</v>
      </c>
      <c r="AU184" s="5">
        <v>3</v>
      </c>
      <c r="AV184" s="5">
        <f t="shared" si="591"/>
        <v>1</v>
      </c>
      <c r="AW184" s="5">
        <v>10</v>
      </c>
      <c r="AX184" s="5">
        <f t="shared" si="579"/>
        <v>1</v>
      </c>
      <c r="AY184" s="35">
        <v>0</v>
      </c>
      <c r="AZ184" s="38" t="str">
        <f t="shared" si="580"/>
        <v>ゲーム機イヤホン</v>
      </c>
      <c r="BA184" s="39">
        <f t="shared" si="581"/>
        <v>770</v>
      </c>
      <c r="BB184" s="5">
        <f t="shared" si="582"/>
        <v>770</v>
      </c>
      <c r="BC184" s="36">
        <f t="shared" si="583"/>
        <v>0.45294117647058824</v>
      </c>
      <c r="BD184" s="29"/>
      <c r="BE184" s="32"/>
      <c r="BF184" s="25"/>
      <c r="BG184" s="4">
        <v>4707</v>
      </c>
      <c r="BH184" s="5">
        <f t="shared" si="584"/>
        <v>51</v>
      </c>
      <c r="BI184" s="4">
        <v>38</v>
      </c>
      <c r="BJ184" s="95">
        <f t="shared" si="585"/>
        <v>1</v>
      </c>
      <c r="BK184" s="115">
        <v>3</v>
      </c>
      <c r="BL184" s="39">
        <f t="shared" si="586"/>
        <v>0</v>
      </c>
      <c r="BM184" s="4">
        <v>0</v>
      </c>
      <c r="BN184" s="3" t="str">
        <f>IF(BG184="","",BN180)</f>
        <v>ボンボンドロップシール</v>
      </c>
      <c r="BO184" s="39">
        <f>IF(BG183="","",BO180)</f>
        <v>1500</v>
      </c>
      <c r="BP184" s="4">
        <f t="shared" si="587"/>
        <v>0</v>
      </c>
      <c r="BQ184" s="36">
        <f t="shared" si="491"/>
        <v>0</v>
      </c>
      <c r="BR184" s="29"/>
      <c r="BT184" s="25"/>
      <c r="BU184" s="4">
        <v>31773</v>
      </c>
      <c r="BV184" s="5">
        <f t="shared" si="588"/>
        <v>57</v>
      </c>
      <c r="BW184" s="4">
        <v>1681</v>
      </c>
      <c r="BX184" s="95">
        <f t="shared" si="589"/>
        <v>0</v>
      </c>
      <c r="BY184" s="5">
        <v>38</v>
      </c>
      <c r="BZ184" s="5">
        <f>IF(BY184="","",BY180+CA180-BY184)</f>
        <v>0</v>
      </c>
      <c r="CA184" s="4">
        <v>0</v>
      </c>
      <c r="CB184" s="3" t="str">
        <f>IF(BU184="","",CB180)</f>
        <v>サンリオボアポーチ</v>
      </c>
      <c r="CC184" s="39">
        <f>IF(BU183="","",CC180)</f>
        <v>950</v>
      </c>
      <c r="CD184" s="4">
        <f>IF(BY184="","",BZ184*CC184)</f>
        <v>0</v>
      </c>
      <c r="CE184" s="36">
        <f>IF(BZ184="","",CD184/(BV184*100))</f>
        <v>0</v>
      </c>
      <c r="CF184" s="29"/>
      <c r="CH184" s="14"/>
      <c r="CI184" s="39"/>
      <c r="CJ184" s="5" t="str">
        <f t="shared" si="612"/>
        <v/>
      </c>
      <c r="CK184" s="5"/>
      <c r="CL184" s="5"/>
      <c r="CM184" s="5"/>
      <c r="CN184" s="5" t="str">
        <f t="shared" si="613"/>
        <v/>
      </c>
      <c r="CO184" s="5"/>
      <c r="CP184" s="5"/>
      <c r="CQ184" s="5"/>
      <c r="CR184" s="5" t="str">
        <f t="shared" si="593"/>
        <v/>
      </c>
      <c r="CS184" s="36" t="str">
        <f t="shared" si="594"/>
        <v/>
      </c>
      <c r="CT184" s="29"/>
      <c r="CV184" s="14"/>
      <c r="CW184" s="39"/>
      <c r="CX184" s="5" t="str">
        <f t="shared" si="614"/>
        <v/>
      </c>
      <c r="CY184" s="5"/>
      <c r="CZ184" s="5"/>
      <c r="DA184" s="5"/>
      <c r="DB184" s="5" t="str">
        <f t="shared" si="615"/>
        <v/>
      </c>
      <c r="DC184" s="5"/>
      <c r="DD184" s="5"/>
      <c r="DE184" s="5"/>
      <c r="DF184" s="5" t="str">
        <f t="shared" si="595"/>
        <v/>
      </c>
      <c r="DG184" s="36" t="str">
        <f t="shared" si="596"/>
        <v/>
      </c>
      <c r="DH184" s="29"/>
      <c r="DJ184" s="14"/>
      <c r="DK184" s="39"/>
      <c r="DL184" s="5" t="str">
        <f t="shared" si="616"/>
        <v/>
      </c>
      <c r="DM184" s="5"/>
      <c r="DN184" s="5"/>
      <c r="DO184" s="5"/>
      <c r="DP184" s="5" t="str">
        <f t="shared" si="617"/>
        <v/>
      </c>
      <c r="DQ184" s="5"/>
      <c r="DR184" s="5"/>
      <c r="DS184" s="5"/>
      <c r="DT184" s="5" t="str">
        <f t="shared" si="597"/>
        <v/>
      </c>
      <c r="DU184" s="36" t="str">
        <f t="shared" si="598"/>
        <v/>
      </c>
      <c r="DV184" s="29"/>
      <c r="DX184" s="14"/>
      <c r="DY184" s="39"/>
      <c r="DZ184" s="5" t="str">
        <f t="shared" si="618"/>
        <v/>
      </c>
      <c r="EA184" s="5"/>
      <c r="EB184" s="5"/>
      <c r="EC184" s="5"/>
      <c r="ED184" s="5" t="str">
        <f t="shared" si="619"/>
        <v/>
      </c>
      <c r="EE184" s="5"/>
      <c r="EF184" s="5"/>
      <c r="EG184" s="5"/>
      <c r="EH184" s="5" t="str">
        <f t="shared" si="599"/>
        <v/>
      </c>
      <c r="EI184" s="36" t="str">
        <f t="shared" si="600"/>
        <v/>
      </c>
      <c r="EJ184" s="29"/>
      <c r="EL184" s="14"/>
      <c r="EM184" s="39"/>
      <c r="EN184" s="5" t="str">
        <f t="shared" si="620"/>
        <v/>
      </c>
      <c r="EO184" s="5"/>
      <c r="EP184" s="5"/>
      <c r="EQ184" s="5"/>
      <c r="ER184" s="5" t="str">
        <f t="shared" si="621"/>
        <v/>
      </c>
      <c r="ES184" s="5"/>
      <c r="ET184" s="5"/>
      <c r="EU184" s="5"/>
      <c r="EV184" s="5" t="str">
        <f t="shared" si="601"/>
        <v/>
      </c>
      <c r="EW184" s="36" t="str">
        <f t="shared" si="602"/>
        <v/>
      </c>
      <c r="EX184" s="29"/>
      <c r="EZ184" s="14"/>
      <c r="FA184" s="39"/>
      <c r="FB184" s="5" t="str">
        <f t="shared" si="622"/>
        <v/>
      </c>
      <c r="FC184" s="5"/>
      <c r="FD184" s="5"/>
      <c r="FE184" s="5"/>
      <c r="FF184" s="5" t="str">
        <f t="shared" si="623"/>
        <v/>
      </c>
      <c r="FG184" s="5"/>
      <c r="FH184" s="5"/>
      <c r="FI184" s="5"/>
      <c r="FJ184" s="5" t="str">
        <f t="shared" si="603"/>
        <v/>
      </c>
      <c r="FK184" s="36" t="str">
        <f t="shared" si="604"/>
        <v/>
      </c>
      <c r="FL184" s="29"/>
      <c r="FN184" s="14"/>
      <c r="FO184" s="39"/>
      <c r="FP184" s="5" t="str">
        <f t="shared" si="624"/>
        <v/>
      </c>
      <c r="FQ184" s="5"/>
      <c r="FR184" s="5"/>
      <c r="FS184" s="5"/>
      <c r="FT184" s="5" t="str">
        <f t="shared" si="625"/>
        <v/>
      </c>
      <c r="FU184" s="5"/>
      <c r="FV184" s="5"/>
      <c r="FW184" s="5"/>
      <c r="FX184" s="5" t="str">
        <f t="shared" si="605"/>
        <v/>
      </c>
      <c r="FY184" s="36" t="str">
        <f t="shared" si="606"/>
        <v/>
      </c>
      <c r="FZ184" s="29"/>
      <c r="GB184" s="14"/>
      <c r="GC184" s="39"/>
      <c r="GD184" s="5" t="str">
        <f t="shared" si="626"/>
        <v/>
      </c>
      <c r="GE184" s="5"/>
      <c r="GF184" s="5"/>
      <c r="GG184" s="5"/>
      <c r="GH184" s="5" t="str">
        <f t="shared" si="627"/>
        <v/>
      </c>
      <c r="GI184" s="5"/>
      <c r="GJ184" s="5"/>
      <c r="GK184" s="5"/>
      <c r="GL184" s="5" t="str">
        <f t="shared" si="607"/>
        <v/>
      </c>
      <c r="GM184" s="36" t="str">
        <f t="shared" si="608"/>
        <v/>
      </c>
      <c r="GN184" s="29"/>
      <c r="GP184" s="14"/>
      <c r="GQ184" s="39"/>
      <c r="GR184" s="5" t="str">
        <f t="shared" si="628"/>
        <v/>
      </c>
      <c r="GS184" s="5"/>
      <c r="GT184" s="5"/>
      <c r="GU184" s="5"/>
      <c r="GV184" s="5"/>
      <c r="GW184" s="5"/>
      <c r="GX184" s="5" t="str">
        <f t="shared" si="629"/>
        <v/>
      </c>
      <c r="GY184" s="5"/>
      <c r="GZ184" s="5"/>
      <c r="HA184" s="5"/>
      <c r="HB184" s="5" t="str">
        <f t="shared" si="609"/>
        <v/>
      </c>
      <c r="HC184" s="36" t="str">
        <f t="shared" si="610"/>
        <v/>
      </c>
      <c r="HD184" s="29"/>
      <c r="HF184" s="14"/>
      <c r="HG184" s="39"/>
      <c r="HH184" s="5" t="str">
        <f t="shared" si="630"/>
        <v/>
      </c>
      <c r="HI184" s="5"/>
      <c r="HJ184" s="29"/>
      <c r="HL184" s="14"/>
      <c r="HM184" s="39"/>
      <c r="HN184" s="5" t="str">
        <f t="shared" si="631"/>
        <v/>
      </c>
      <c r="HO184" s="5"/>
      <c r="HP184" s="29"/>
      <c r="HR184" s="14"/>
      <c r="HS184" s="39"/>
      <c r="HT184" s="5" t="str">
        <f t="shared" si="632"/>
        <v/>
      </c>
      <c r="HU184" s="5"/>
      <c r="HV184" s="29"/>
    </row>
    <row r="185" spans="1:230" ht="15" customHeight="1" x14ac:dyDescent="0.2">
      <c r="A185" s="54"/>
      <c r="B185" s="37"/>
      <c r="C185" s="57">
        <v>18596</v>
      </c>
      <c r="D185" s="5">
        <f t="shared" si="559"/>
        <v>16</v>
      </c>
      <c r="E185" s="5">
        <v>652</v>
      </c>
      <c r="F185" s="5">
        <f t="shared" si="560"/>
        <v>3</v>
      </c>
      <c r="G185" s="5">
        <v>0</v>
      </c>
      <c r="H185" s="5">
        <f t="shared" si="561"/>
        <v>4</v>
      </c>
      <c r="I185" s="35">
        <v>9</v>
      </c>
      <c r="J185" s="38" t="str">
        <f t="shared" si="562"/>
        <v>たまごっちブロックシール</v>
      </c>
      <c r="K185" s="5">
        <f t="shared" si="563"/>
        <v>600</v>
      </c>
      <c r="L185" s="5">
        <f t="shared" si="564"/>
        <v>2400</v>
      </c>
      <c r="M185" s="36">
        <f t="shared" si="565"/>
        <v>1.5</v>
      </c>
      <c r="N185" s="121" t="s">
        <v>204</v>
      </c>
      <c r="P185" s="54"/>
      <c r="Q185" s="57">
        <v>10404</v>
      </c>
      <c r="R185" s="5">
        <f t="shared" si="566"/>
        <v>18</v>
      </c>
      <c r="S185" s="5">
        <v>283</v>
      </c>
      <c r="T185" s="5">
        <f t="shared" si="567"/>
        <v>0</v>
      </c>
      <c r="U185" s="5">
        <v>10</v>
      </c>
      <c r="V185" s="5">
        <f t="shared" si="568"/>
        <v>0</v>
      </c>
      <c r="W185" s="35">
        <v>0</v>
      </c>
      <c r="X185" s="3" t="s">
        <v>195</v>
      </c>
      <c r="Y185" s="5">
        <f t="shared" si="590"/>
        <v>638</v>
      </c>
      <c r="Z185" s="5">
        <f t="shared" si="569"/>
        <v>0</v>
      </c>
      <c r="AA185" s="36">
        <f t="shared" si="570"/>
        <v>0</v>
      </c>
      <c r="AB185" s="29"/>
      <c r="AD185" s="54"/>
      <c r="AE185" s="57">
        <v>1281</v>
      </c>
      <c r="AF185" s="5">
        <f t="shared" si="571"/>
        <v>38</v>
      </c>
      <c r="AG185" s="5">
        <v>32</v>
      </c>
      <c r="AH185" s="5">
        <f t="shared" si="572"/>
        <v>1</v>
      </c>
      <c r="AI185" s="5">
        <v>10</v>
      </c>
      <c r="AJ185" s="5">
        <f t="shared" si="573"/>
        <v>5</v>
      </c>
      <c r="AK185" s="35">
        <v>7</v>
      </c>
      <c r="AL185" s="38" t="str">
        <f t="shared" si="574"/>
        <v>たまごっちマスコット</v>
      </c>
      <c r="AM185" s="5">
        <f t="shared" si="575"/>
        <v>1430</v>
      </c>
      <c r="AN185" s="5">
        <f t="shared" si="576"/>
        <v>7150</v>
      </c>
      <c r="AO185" s="36">
        <f t="shared" si="577"/>
        <v>1.881578947368421</v>
      </c>
      <c r="AP185" s="29" t="s">
        <v>196</v>
      </c>
      <c r="AR185" s="54"/>
      <c r="AS185" s="57">
        <v>954</v>
      </c>
      <c r="AT185" s="5">
        <f t="shared" si="578"/>
        <v>17</v>
      </c>
      <c r="AU185" s="5">
        <v>1</v>
      </c>
      <c r="AV185" s="5">
        <f t="shared" si="591"/>
        <v>0</v>
      </c>
      <c r="AW185" s="5">
        <v>7</v>
      </c>
      <c r="AX185" s="5">
        <f t="shared" si="579"/>
        <v>0</v>
      </c>
      <c r="AY185" s="35">
        <v>0</v>
      </c>
      <c r="AZ185" s="38" t="str">
        <f t="shared" si="580"/>
        <v>ゲームアーク</v>
      </c>
      <c r="BA185" s="5">
        <f t="shared" si="581"/>
        <v>682</v>
      </c>
      <c r="BB185" s="5">
        <f t="shared" si="582"/>
        <v>0</v>
      </c>
      <c r="BC185" s="36">
        <f t="shared" si="583"/>
        <v>0</v>
      </c>
      <c r="BD185" s="29"/>
      <c r="BE185" s="32"/>
      <c r="BF185" s="25"/>
      <c r="BG185" s="5">
        <v>2175</v>
      </c>
      <c r="BH185" s="5">
        <f t="shared" si="584"/>
        <v>63</v>
      </c>
      <c r="BI185" s="5">
        <v>17</v>
      </c>
      <c r="BJ185" s="5">
        <f t="shared" si="585"/>
        <v>1</v>
      </c>
      <c r="BK185" s="4">
        <v>3</v>
      </c>
      <c r="BL185" s="5">
        <f t="shared" si="586"/>
        <v>0</v>
      </c>
      <c r="BM185" s="57">
        <v>0</v>
      </c>
      <c r="BN185" s="3" t="str">
        <f>IF(BG183="","",BN181)</f>
        <v>ボンボンドロップシール</v>
      </c>
      <c r="BO185" s="39">
        <f>IF(BG183="","",BO181)</f>
        <v>1500</v>
      </c>
      <c r="BP185" s="5">
        <f t="shared" si="587"/>
        <v>0</v>
      </c>
      <c r="BQ185" s="36">
        <f t="shared" si="491"/>
        <v>0</v>
      </c>
      <c r="BR185" s="29"/>
      <c r="BT185" s="25"/>
      <c r="BU185" s="5"/>
      <c r="BV185" s="5" t="str">
        <f t="shared" si="588"/>
        <v/>
      </c>
      <c r="BW185" s="5"/>
      <c r="BX185" s="5" t="str">
        <f t="shared" si="589"/>
        <v/>
      </c>
      <c r="BY185" s="5"/>
      <c r="BZ185" s="5"/>
      <c r="CA185" s="57"/>
      <c r="CB185" s="3"/>
      <c r="CC185" s="39"/>
      <c r="CD185" s="5"/>
      <c r="CE185" s="36"/>
      <c r="CF185" s="29"/>
      <c r="CH185" s="14"/>
      <c r="CI185" s="39"/>
      <c r="CJ185" s="5" t="str">
        <f t="shared" si="612"/>
        <v/>
      </c>
      <c r="CK185" s="5"/>
      <c r="CL185" s="5"/>
      <c r="CM185" s="5"/>
      <c r="CN185" s="5" t="str">
        <f t="shared" si="613"/>
        <v/>
      </c>
      <c r="CO185" s="5"/>
      <c r="CP185" s="5"/>
      <c r="CQ185" s="5"/>
      <c r="CR185" s="5" t="str">
        <f t="shared" si="593"/>
        <v/>
      </c>
      <c r="CS185" s="36" t="str">
        <f t="shared" si="594"/>
        <v/>
      </c>
      <c r="CT185" s="29"/>
      <c r="CV185" s="14"/>
      <c r="CW185" s="39"/>
      <c r="CX185" s="5" t="str">
        <f t="shared" si="614"/>
        <v/>
      </c>
      <c r="CY185" s="5"/>
      <c r="CZ185" s="5"/>
      <c r="DA185" s="5"/>
      <c r="DB185" s="5" t="str">
        <f t="shared" si="615"/>
        <v/>
      </c>
      <c r="DC185" s="5"/>
      <c r="DD185" s="5"/>
      <c r="DE185" s="5"/>
      <c r="DF185" s="5" t="str">
        <f t="shared" si="595"/>
        <v/>
      </c>
      <c r="DG185" s="36" t="str">
        <f t="shared" si="596"/>
        <v/>
      </c>
      <c r="DH185" s="29"/>
      <c r="DJ185" s="14"/>
      <c r="DK185" s="39"/>
      <c r="DL185" s="5" t="str">
        <f t="shared" si="616"/>
        <v/>
      </c>
      <c r="DM185" s="5"/>
      <c r="DN185" s="5"/>
      <c r="DO185" s="5"/>
      <c r="DP185" s="5" t="str">
        <f t="shared" si="617"/>
        <v/>
      </c>
      <c r="DQ185" s="5"/>
      <c r="DR185" s="5"/>
      <c r="DS185" s="5"/>
      <c r="DT185" s="5" t="str">
        <f t="shared" si="597"/>
        <v/>
      </c>
      <c r="DU185" s="36" t="str">
        <f t="shared" si="598"/>
        <v/>
      </c>
      <c r="DV185" s="29"/>
      <c r="DX185" s="14"/>
      <c r="DY185" s="39"/>
      <c r="DZ185" s="5" t="str">
        <f t="shared" si="618"/>
        <v/>
      </c>
      <c r="EA185" s="5"/>
      <c r="EB185" s="5"/>
      <c r="EC185" s="5"/>
      <c r="ED185" s="5" t="str">
        <f t="shared" si="619"/>
        <v/>
      </c>
      <c r="EE185" s="5"/>
      <c r="EF185" s="5"/>
      <c r="EG185" s="5"/>
      <c r="EH185" s="5" t="str">
        <f t="shared" si="599"/>
        <v/>
      </c>
      <c r="EI185" s="36" t="str">
        <f t="shared" si="600"/>
        <v/>
      </c>
      <c r="EJ185" s="29"/>
      <c r="EL185" s="14"/>
      <c r="EM185" s="39"/>
      <c r="EN185" s="5" t="str">
        <f t="shared" si="620"/>
        <v/>
      </c>
      <c r="EO185" s="5"/>
      <c r="EP185" s="5"/>
      <c r="EQ185" s="5"/>
      <c r="ER185" s="5" t="str">
        <f t="shared" si="621"/>
        <v/>
      </c>
      <c r="ES185" s="5"/>
      <c r="ET185" s="5"/>
      <c r="EU185" s="5"/>
      <c r="EV185" s="5" t="str">
        <f t="shared" si="601"/>
        <v/>
      </c>
      <c r="EW185" s="36" t="str">
        <f t="shared" si="602"/>
        <v/>
      </c>
      <c r="EX185" s="29"/>
      <c r="EZ185" s="14"/>
      <c r="FA185" s="39"/>
      <c r="FB185" s="5" t="str">
        <f t="shared" si="622"/>
        <v/>
      </c>
      <c r="FC185" s="5"/>
      <c r="FD185" s="5"/>
      <c r="FE185" s="5"/>
      <c r="FF185" s="5" t="str">
        <f t="shared" si="623"/>
        <v/>
      </c>
      <c r="FG185" s="5"/>
      <c r="FH185" s="5"/>
      <c r="FI185" s="5"/>
      <c r="FJ185" s="5" t="str">
        <f t="shared" si="603"/>
        <v/>
      </c>
      <c r="FK185" s="36" t="str">
        <f t="shared" si="604"/>
        <v/>
      </c>
      <c r="FL185" s="29"/>
      <c r="FN185" s="14"/>
      <c r="FO185" s="39"/>
      <c r="FP185" s="5" t="str">
        <f t="shared" si="624"/>
        <v/>
      </c>
      <c r="FQ185" s="5"/>
      <c r="FR185" s="5"/>
      <c r="FS185" s="5"/>
      <c r="FT185" s="5" t="str">
        <f t="shared" si="625"/>
        <v/>
      </c>
      <c r="FU185" s="5"/>
      <c r="FV185" s="5"/>
      <c r="FW185" s="5"/>
      <c r="FX185" s="5" t="str">
        <f t="shared" si="605"/>
        <v/>
      </c>
      <c r="FY185" s="36" t="str">
        <f t="shared" si="606"/>
        <v/>
      </c>
      <c r="FZ185" s="29"/>
      <c r="GB185" s="14"/>
      <c r="GC185" s="39"/>
      <c r="GD185" s="5" t="str">
        <f t="shared" si="626"/>
        <v/>
      </c>
      <c r="GE185" s="5"/>
      <c r="GF185" s="5"/>
      <c r="GG185" s="5"/>
      <c r="GH185" s="5" t="str">
        <f t="shared" si="627"/>
        <v/>
      </c>
      <c r="GI185" s="5"/>
      <c r="GJ185" s="5"/>
      <c r="GK185" s="5"/>
      <c r="GL185" s="5" t="str">
        <f t="shared" si="607"/>
        <v/>
      </c>
      <c r="GM185" s="36" t="str">
        <f t="shared" si="608"/>
        <v/>
      </c>
      <c r="GN185" s="29"/>
      <c r="GP185" s="14"/>
      <c r="GQ185" s="39"/>
      <c r="GR185" s="5" t="str">
        <f t="shared" si="628"/>
        <v/>
      </c>
      <c r="GS185" s="5"/>
      <c r="GT185" s="5"/>
      <c r="GU185" s="5"/>
      <c r="GV185" s="5"/>
      <c r="GW185" s="5"/>
      <c r="GX185" s="5" t="str">
        <f t="shared" si="629"/>
        <v/>
      </c>
      <c r="GY185" s="5"/>
      <c r="GZ185" s="5"/>
      <c r="HA185" s="5"/>
      <c r="HB185" s="5" t="str">
        <f t="shared" si="609"/>
        <v/>
      </c>
      <c r="HC185" s="36" t="str">
        <f t="shared" si="610"/>
        <v/>
      </c>
      <c r="HD185" s="29"/>
      <c r="HF185" s="14"/>
      <c r="HG185" s="39"/>
      <c r="HH185" s="5" t="str">
        <f t="shared" si="630"/>
        <v/>
      </c>
      <c r="HI185" s="5"/>
      <c r="HJ185" s="29"/>
      <c r="HL185" s="14"/>
      <c r="HM185" s="39"/>
      <c r="HN185" s="5" t="str">
        <f t="shared" si="631"/>
        <v/>
      </c>
      <c r="HO185" s="5"/>
      <c r="HP185" s="29"/>
      <c r="HR185" s="14"/>
      <c r="HS185" s="39"/>
      <c r="HT185" s="5" t="str">
        <f t="shared" si="632"/>
        <v/>
      </c>
      <c r="HU185" s="5"/>
      <c r="HV185" s="29"/>
    </row>
    <row r="186" spans="1:230" ht="15" customHeight="1" thickBot="1" x14ac:dyDescent="0.25">
      <c r="A186" s="60"/>
      <c r="B186" s="73"/>
      <c r="C186" s="43">
        <v>23166</v>
      </c>
      <c r="D186" s="61">
        <f t="shared" si="559"/>
        <v>34</v>
      </c>
      <c r="E186" s="44">
        <v>1164</v>
      </c>
      <c r="F186" s="44">
        <f t="shared" si="560"/>
        <v>1</v>
      </c>
      <c r="G186" s="44">
        <v>57</v>
      </c>
      <c r="H186" s="44">
        <f t="shared" si="561"/>
        <v>1</v>
      </c>
      <c r="I186" s="62">
        <v>0</v>
      </c>
      <c r="J186" s="47" t="s">
        <v>176</v>
      </c>
      <c r="K186" s="61">
        <v>99</v>
      </c>
      <c r="L186" s="44">
        <f t="shared" si="564"/>
        <v>99</v>
      </c>
      <c r="M186" s="46">
        <f t="shared" si="565"/>
        <v>2.9117647058823529E-2</v>
      </c>
      <c r="N186" s="29"/>
      <c r="P186" s="60"/>
      <c r="Q186" s="43">
        <v>9095</v>
      </c>
      <c r="R186" s="61">
        <f>IF(Q186="","",Q186-Q182)</f>
        <v>16</v>
      </c>
      <c r="S186" s="44">
        <v>223</v>
      </c>
      <c r="T186" s="44">
        <f t="shared" si="567"/>
        <v>0</v>
      </c>
      <c r="U186" s="44">
        <v>22</v>
      </c>
      <c r="V186" s="44">
        <f t="shared" si="568"/>
        <v>2</v>
      </c>
      <c r="W186" s="62">
        <v>2</v>
      </c>
      <c r="X186" s="45" t="str">
        <f t="shared" si="611"/>
        <v>ボンドロ海外製</v>
      </c>
      <c r="Y186" s="61">
        <f t="shared" si="590"/>
        <v>150</v>
      </c>
      <c r="Z186" s="44">
        <f t="shared" si="569"/>
        <v>300</v>
      </c>
      <c r="AA186" s="46">
        <f t="shared" si="570"/>
        <v>0.1875</v>
      </c>
      <c r="AB186" s="29"/>
      <c r="AD186" s="60"/>
      <c r="AE186" s="43">
        <v>682</v>
      </c>
      <c r="AF186" s="61">
        <f t="shared" si="571"/>
        <v>1</v>
      </c>
      <c r="AG186" s="44">
        <v>27</v>
      </c>
      <c r="AH186" s="44">
        <f t="shared" si="572"/>
        <v>0</v>
      </c>
      <c r="AI186" s="44">
        <v>7</v>
      </c>
      <c r="AJ186" s="44">
        <f t="shared" si="573"/>
        <v>0</v>
      </c>
      <c r="AK186" s="62">
        <v>0</v>
      </c>
      <c r="AL186" s="47" t="str">
        <f t="shared" si="574"/>
        <v>キティ着物マスコット</v>
      </c>
      <c r="AM186" s="61">
        <f t="shared" si="575"/>
        <v>1100</v>
      </c>
      <c r="AN186" s="44">
        <f t="shared" si="576"/>
        <v>0</v>
      </c>
      <c r="AO186" s="46">
        <f t="shared" si="577"/>
        <v>0</v>
      </c>
      <c r="AP186" s="121" t="s">
        <v>203</v>
      </c>
      <c r="AR186" s="60"/>
      <c r="AS186" s="43">
        <v>873</v>
      </c>
      <c r="AT186" s="61">
        <f t="shared" si="578"/>
        <v>46</v>
      </c>
      <c r="AU186" s="44">
        <v>26</v>
      </c>
      <c r="AV186" s="44">
        <f t="shared" si="591"/>
        <v>2</v>
      </c>
      <c r="AW186" s="44">
        <v>7</v>
      </c>
      <c r="AX186" s="44">
        <f t="shared" si="579"/>
        <v>2</v>
      </c>
      <c r="AY186" s="62">
        <v>0</v>
      </c>
      <c r="AZ186" s="47" t="str">
        <f t="shared" si="580"/>
        <v>しばこ</v>
      </c>
      <c r="BA186" s="61">
        <f t="shared" si="581"/>
        <v>110</v>
      </c>
      <c r="BB186" s="44">
        <f t="shared" si="582"/>
        <v>220</v>
      </c>
      <c r="BC186" s="46">
        <f t="shared" si="583"/>
        <v>4.7826086956521741E-2</v>
      </c>
      <c r="BD186" s="29"/>
      <c r="BE186" s="32"/>
      <c r="BF186" s="41"/>
      <c r="BG186" s="44">
        <v>3848</v>
      </c>
      <c r="BH186" s="44">
        <f t="shared" si="584"/>
        <v>57</v>
      </c>
      <c r="BI186" s="44">
        <v>42</v>
      </c>
      <c r="BJ186" s="44">
        <f t="shared" si="585"/>
        <v>2</v>
      </c>
      <c r="BK186" s="44">
        <v>2</v>
      </c>
      <c r="BL186" s="44">
        <f t="shared" si="586"/>
        <v>1</v>
      </c>
      <c r="BM186" s="44">
        <v>1</v>
      </c>
      <c r="BN186" s="45" t="str">
        <f>IF(BG184="","",BN182)</f>
        <v>ボンボンドロップシール</v>
      </c>
      <c r="BO186" s="61">
        <f>IF(BG183="","",BO182)</f>
        <v>1500</v>
      </c>
      <c r="BP186" s="44">
        <f t="shared" si="587"/>
        <v>1500</v>
      </c>
      <c r="BQ186" s="46">
        <f t="shared" si="491"/>
        <v>0.26315789473684209</v>
      </c>
      <c r="BR186" s="29"/>
      <c r="BT186" s="41"/>
      <c r="BU186" s="44"/>
      <c r="BV186" s="44" t="str">
        <f t="shared" si="588"/>
        <v/>
      </c>
      <c r="BW186" s="44"/>
      <c r="BX186" s="44" t="str">
        <f t="shared" si="589"/>
        <v/>
      </c>
      <c r="BY186" s="44"/>
      <c r="BZ186" s="44"/>
      <c r="CA186" s="44"/>
      <c r="CB186" s="45"/>
      <c r="CC186" s="61"/>
      <c r="CD186" s="44"/>
      <c r="CE186" s="46"/>
      <c r="CF186" s="29"/>
      <c r="CH186" s="14"/>
      <c r="CI186" s="39"/>
      <c r="CJ186" s="5" t="str">
        <f t="shared" si="612"/>
        <v/>
      </c>
      <c r="CK186" s="5"/>
      <c r="CL186" s="5"/>
      <c r="CM186" s="5"/>
      <c r="CN186" s="5" t="str">
        <f t="shared" si="613"/>
        <v/>
      </c>
      <c r="CO186" s="5"/>
      <c r="CP186" s="5"/>
      <c r="CQ186" s="5"/>
      <c r="CR186" s="5" t="str">
        <f t="shared" si="593"/>
        <v/>
      </c>
      <c r="CS186" s="36" t="str">
        <f t="shared" si="594"/>
        <v/>
      </c>
      <c r="CT186" s="29"/>
      <c r="CV186" s="14"/>
      <c r="CW186" s="39"/>
      <c r="CX186" s="5" t="str">
        <f t="shared" si="614"/>
        <v/>
      </c>
      <c r="CY186" s="5"/>
      <c r="CZ186" s="5"/>
      <c r="DA186" s="5"/>
      <c r="DB186" s="5" t="str">
        <f t="shared" si="615"/>
        <v/>
      </c>
      <c r="DC186" s="5"/>
      <c r="DD186" s="5"/>
      <c r="DE186" s="5"/>
      <c r="DF186" s="5" t="str">
        <f t="shared" si="595"/>
        <v/>
      </c>
      <c r="DG186" s="36" t="str">
        <f t="shared" si="596"/>
        <v/>
      </c>
      <c r="DH186" s="29"/>
      <c r="DJ186" s="14"/>
      <c r="DK186" s="39"/>
      <c r="DL186" s="5" t="str">
        <f t="shared" si="616"/>
        <v/>
      </c>
      <c r="DM186" s="5"/>
      <c r="DN186" s="5"/>
      <c r="DO186" s="5"/>
      <c r="DP186" s="5" t="str">
        <f t="shared" si="617"/>
        <v/>
      </c>
      <c r="DQ186" s="5"/>
      <c r="DR186" s="5"/>
      <c r="DS186" s="5"/>
      <c r="DT186" s="5" t="str">
        <f t="shared" si="597"/>
        <v/>
      </c>
      <c r="DU186" s="36" t="str">
        <f t="shared" si="598"/>
        <v/>
      </c>
      <c r="DV186" s="29"/>
      <c r="DX186" s="14"/>
      <c r="DY186" s="39"/>
      <c r="DZ186" s="5" t="str">
        <f t="shared" si="618"/>
        <v/>
      </c>
      <c r="EA186" s="5"/>
      <c r="EB186" s="5"/>
      <c r="EC186" s="5"/>
      <c r="ED186" s="5" t="str">
        <f t="shared" si="619"/>
        <v/>
      </c>
      <c r="EE186" s="5"/>
      <c r="EF186" s="5"/>
      <c r="EG186" s="5"/>
      <c r="EH186" s="5" t="str">
        <f t="shared" si="599"/>
        <v/>
      </c>
      <c r="EI186" s="36" t="str">
        <f t="shared" si="600"/>
        <v/>
      </c>
      <c r="EJ186" s="29"/>
      <c r="EL186" s="14"/>
      <c r="EM186" s="39"/>
      <c r="EN186" s="5" t="str">
        <f t="shared" si="620"/>
        <v/>
      </c>
      <c r="EO186" s="5"/>
      <c r="EP186" s="5"/>
      <c r="EQ186" s="5"/>
      <c r="ER186" s="5" t="str">
        <f t="shared" si="621"/>
        <v/>
      </c>
      <c r="ES186" s="5"/>
      <c r="ET186" s="5"/>
      <c r="EU186" s="5"/>
      <c r="EV186" s="5" t="str">
        <f t="shared" si="601"/>
        <v/>
      </c>
      <c r="EW186" s="36" t="str">
        <f t="shared" si="602"/>
        <v/>
      </c>
      <c r="EX186" s="29"/>
      <c r="EZ186" s="14"/>
      <c r="FA186" s="39"/>
      <c r="FB186" s="5" t="str">
        <f t="shared" si="622"/>
        <v/>
      </c>
      <c r="FC186" s="5"/>
      <c r="FD186" s="5"/>
      <c r="FE186" s="5"/>
      <c r="FF186" s="5" t="str">
        <f t="shared" si="623"/>
        <v/>
      </c>
      <c r="FG186" s="5"/>
      <c r="FH186" s="5"/>
      <c r="FI186" s="5"/>
      <c r="FJ186" s="5" t="str">
        <f t="shared" si="603"/>
        <v/>
      </c>
      <c r="FK186" s="36" t="str">
        <f t="shared" si="604"/>
        <v/>
      </c>
      <c r="FL186" s="29"/>
      <c r="FN186" s="14"/>
      <c r="FO186" s="39"/>
      <c r="FP186" s="5" t="str">
        <f t="shared" si="624"/>
        <v/>
      </c>
      <c r="FQ186" s="5"/>
      <c r="FR186" s="5"/>
      <c r="FS186" s="5"/>
      <c r="FT186" s="5" t="str">
        <f t="shared" si="625"/>
        <v/>
      </c>
      <c r="FU186" s="5"/>
      <c r="FV186" s="5"/>
      <c r="FW186" s="5"/>
      <c r="FX186" s="5" t="str">
        <f t="shared" si="605"/>
        <v/>
      </c>
      <c r="FY186" s="36" t="str">
        <f t="shared" si="606"/>
        <v/>
      </c>
      <c r="FZ186" s="29"/>
      <c r="GB186" s="14"/>
      <c r="GC186" s="39"/>
      <c r="GD186" s="5" t="str">
        <f t="shared" si="626"/>
        <v/>
      </c>
      <c r="GE186" s="5"/>
      <c r="GF186" s="5"/>
      <c r="GG186" s="5"/>
      <c r="GH186" s="5" t="str">
        <f t="shared" si="627"/>
        <v/>
      </c>
      <c r="GI186" s="5"/>
      <c r="GJ186" s="5"/>
      <c r="GK186" s="5"/>
      <c r="GL186" s="5" t="str">
        <f t="shared" si="607"/>
        <v/>
      </c>
      <c r="GM186" s="36" t="str">
        <f t="shared" si="608"/>
        <v/>
      </c>
      <c r="GN186" s="29"/>
      <c r="GP186" s="14"/>
      <c r="GQ186" s="39"/>
      <c r="GR186" s="5" t="str">
        <f t="shared" si="628"/>
        <v/>
      </c>
      <c r="GS186" s="5"/>
      <c r="GT186" s="5"/>
      <c r="GU186" s="5"/>
      <c r="GV186" s="5"/>
      <c r="GW186" s="5"/>
      <c r="GX186" s="5" t="str">
        <f t="shared" si="629"/>
        <v/>
      </c>
      <c r="GY186" s="5"/>
      <c r="GZ186" s="5"/>
      <c r="HA186" s="5"/>
      <c r="HB186" s="5" t="str">
        <f t="shared" si="609"/>
        <v/>
      </c>
      <c r="HC186" s="36" t="str">
        <f t="shared" si="610"/>
        <v/>
      </c>
      <c r="HD186" s="29"/>
      <c r="HF186" s="14"/>
      <c r="HG186" s="39"/>
      <c r="HH186" s="5" t="str">
        <f t="shared" si="630"/>
        <v/>
      </c>
      <c r="HI186" s="5"/>
      <c r="HJ186" s="29"/>
      <c r="HL186" s="14"/>
      <c r="HM186" s="39"/>
      <c r="HN186" s="5" t="str">
        <f t="shared" si="631"/>
        <v/>
      </c>
      <c r="HO186" s="5"/>
      <c r="HP186" s="29"/>
      <c r="HR186" s="14"/>
      <c r="HS186" s="39"/>
      <c r="HT186" s="5" t="str">
        <f t="shared" si="632"/>
        <v/>
      </c>
      <c r="HU186" s="5"/>
      <c r="HV186" s="29"/>
    </row>
    <row r="187" spans="1:230" ht="15" customHeight="1" thickTop="1" x14ac:dyDescent="0.2">
      <c r="A187" s="49">
        <v>46130</v>
      </c>
      <c r="B187" s="26">
        <f>SUM(D187:D190)+SUM(R187:R190)+SUM(AF187:AF190)+SUM(AT187:AT190)+SUM(CJ160,CX160,DL160,DZ160,EN160,FB160,FP160,GD160,GR160,HH160,HN160,HT160)+SUM(BH187:BH190)+SUM(BV187:BV188)</f>
        <v>365</v>
      </c>
      <c r="C187" s="4">
        <v>13415</v>
      </c>
      <c r="D187" s="4">
        <f t="shared" ref="D187:D206" si="633">IF(C187="","",C187-C183)</f>
        <v>9</v>
      </c>
      <c r="E187" s="4">
        <v>348</v>
      </c>
      <c r="F187" s="50">
        <f t="shared" ref="F187:F206" si="634">IF(E187="","",E187-E183)</f>
        <v>1</v>
      </c>
      <c r="G187" s="4">
        <v>7</v>
      </c>
      <c r="H187" s="4">
        <f t="shared" si="561"/>
        <v>1</v>
      </c>
      <c r="I187" s="51"/>
      <c r="J187" s="31" t="str">
        <f t="shared" ref="J187:J206" si="635">IF(C187="","",J183)</f>
        <v>キティダブルミラー</v>
      </c>
      <c r="K187" s="27">
        <f t="shared" ref="K187:K206" si="636">IF(D187="","",K183)</f>
        <v>660</v>
      </c>
      <c r="L187" s="50">
        <f t="shared" ref="L187:L206" si="637">IF(G187="","",H187*K187)</f>
        <v>660</v>
      </c>
      <c r="M187" s="52">
        <f t="shared" ref="M187:M206" si="638">IF(H187="","",L187/(D187*100))</f>
        <v>0.73333333333333328</v>
      </c>
      <c r="N187" s="29" t="s">
        <v>205</v>
      </c>
      <c r="P187" s="53">
        <f>IF($A187="","",$A187)</f>
        <v>46130</v>
      </c>
      <c r="Q187" s="4">
        <v>4093</v>
      </c>
      <c r="R187" s="4">
        <f t="shared" ref="R187:R206" si="639">IF(Q187="","",Q187-Q183)</f>
        <v>8</v>
      </c>
      <c r="S187" s="4">
        <v>191</v>
      </c>
      <c r="T187" s="50">
        <f t="shared" ref="T187:T206" si="640">IF(S187="","",S187-S183)</f>
        <v>0</v>
      </c>
      <c r="U187" s="4">
        <v>7</v>
      </c>
      <c r="V187" s="4">
        <f t="shared" ref="V187:V206" si="641">IF(U187="","",U183+W183-U187)</f>
        <v>0</v>
      </c>
      <c r="W187" s="51"/>
      <c r="X187" s="2" t="str">
        <f t="shared" si="611"/>
        <v>サンリオボアバンスクリップ</v>
      </c>
      <c r="Y187" s="27">
        <f t="shared" si="590"/>
        <v>660</v>
      </c>
      <c r="Z187" s="50">
        <f t="shared" ref="Z187:Z206" si="642">IF(U187="","",V187*Y187)</f>
        <v>0</v>
      </c>
      <c r="AA187" s="52">
        <f t="shared" ref="AA187:AA206" si="643">IF(V187="","",Z187/(R187*100))</f>
        <v>0</v>
      </c>
      <c r="AB187" s="29"/>
      <c r="AD187" s="53">
        <f>IF($A187="","",$A187)</f>
        <v>46130</v>
      </c>
      <c r="AE187" s="4">
        <v>2004</v>
      </c>
      <c r="AF187" s="4">
        <f t="shared" ref="AF187:AF206" si="644">IF(AE187="","",AE187-AE183)</f>
        <v>0</v>
      </c>
      <c r="AG187" s="4">
        <v>28</v>
      </c>
      <c r="AH187" s="50">
        <f t="shared" ref="AH187:AH206" si="645">IF(AG187="","",AG187-AG183)</f>
        <v>0</v>
      </c>
      <c r="AI187" s="4">
        <v>6</v>
      </c>
      <c r="AJ187" s="4">
        <f t="shared" ref="AJ187:AJ206" si="646">IF(AI187="","",AI183+AK183-AI187)</f>
        <v>0</v>
      </c>
      <c r="AK187" s="51"/>
      <c r="AL187" s="31" t="str">
        <f t="shared" ref="AL187:AL206" si="647">IF(AE187="","",AL183)</f>
        <v>モンチッチがま口</v>
      </c>
      <c r="AM187" s="27">
        <f t="shared" ref="AM187:AM206" si="648">IF(AF187="","",AM183)</f>
        <v>462</v>
      </c>
      <c r="AN187" s="50">
        <f t="shared" ref="AN187:AN206" si="649">IF(AI187="","",AJ187*AM187)</f>
        <v>0</v>
      </c>
      <c r="AO187" s="52" t="e">
        <f t="shared" ref="AO187:AO206" si="650">IF(AJ187="","",AN187/(AF187*100))</f>
        <v>#DIV/0!</v>
      </c>
      <c r="AP187" s="29"/>
      <c r="AR187" s="53">
        <f>IF($A187="","",$A187)</f>
        <v>46130</v>
      </c>
      <c r="AS187" s="4">
        <v>1374</v>
      </c>
      <c r="AT187" s="4">
        <f t="shared" ref="AT187:AT206" si="651">IF(AS187="","",AS187-AS183)</f>
        <v>47</v>
      </c>
      <c r="AU187" s="4">
        <v>32</v>
      </c>
      <c r="AV187" s="50">
        <f t="shared" si="591"/>
        <v>1</v>
      </c>
      <c r="AW187" s="4">
        <v>17</v>
      </c>
      <c r="AX187" s="4">
        <f t="shared" ref="AX187:AX206" si="652">IF(AW187="","",AW183+AY183-AW187)</f>
        <v>1</v>
      </c>
      <c r="AY187" s="51"/>
      <c r="AZ187" s="31" t="s">
        <v>209</v>
      </c>
      <c r="BA187" s="27">
        <f t="shared" ref="BA187:BA206" si="653">IF(AT187="","",BA183)</f>
        <v>1075</v>
      </c>
      <c r="BB187" s="50">
        <f t="shared" ref="BB187:BB206" si="654">IF(AW187="","",AX187*BA187)</f>
        <v>1075</v>
      </c>
      <c r="BC187" s="52">
        <f t="shared" ref="BC187:BC206" si="655">IF(AX187="","",BB187/(AT187*100))</f>
        <v>0.22872340425531915</v>
      </c>
      <c r="BD187" s="29"/>
      <c r="BE187" s="32"/>
      <c r="BF187" s="33">
        <v>46130</v>
      </c>
      <c r="BG187" s="5">
        <v>2838</v>
      </c>
      <c r="BH187" s="4">
        <f t="shared" ref="BH187:BH206" si="656">IF(BG187="","",BG187-BG183)</f>
        <v>9</v>
      </c>
      <c r="BI187" s="5">
        <v>25</v>
      </c>
      <c r="BJ187" s="50">
        <f t="shared" ref="BJ187:BJ205" si="657">IF(BI187="","",BI187-BI183)</f>
        <v>1</v>
      </c>
      <c r="BK187" s="4">
        <v>3</v>
      </c>
      <c r="BL187" s="4">
        <f t="shared" ref="BL187:BL205" si="658">IF(BK187="","",BK183+BM183-BK187)</f>
        <v>0</v>
      </c>
      <c r="BM187" s="4"/>
      <c r="BN187" s="2" t="str">
        <f>IF(BG187="","",BN183)</f>
        <v>ボンボンドロップシール</v>
      </c>
      <c r="BO187" s="27">
        <f>IF(BG187="","",BO183)</f>
        <v>1500</v>
      </c>
      <c r="BP187" s="5">
        <f t="shared" ref="BP187:BP206" si="659">IF(BK187="","",BL187*BO187)</f>
        <v>0</v>
      </c>
      <c r="BQ187" s="52">
        <f t="shared" si="491"/>
        <v>0</v>
      </c>
      <c r="BR187" s="29"/>
      <c r="BT187" s="33">
        <v>46130</v>
      </c>
      <c r="BU187" s="5">
        <v>35838</v>
      </c>
      <c r="BV187" s="4">
        <f t="shared" ref="BV187:BV206" si="660">IF(BU187="","",BU187-BU183)</f>
        <v>9</v>
      </c>
      <c r="BW187" s="5">
        <v>3874</v>
      </c>
      <c r="BX187" s="50">
        <f t="shared" ref="BX187:BX205" si="661">IF(BW187="","",BW187-BW183)</f>
        <v>2</v>
      </c>
      <c r="BY187" s="4">
        <v>46</v>
      </c>
      <c r="BZ187" s="4">
        <f>IF(BY187="","",BY183+CA183-BY187)</f>
        <v>2</v>
      </c>
      <c r="CA187" s="4"/>
      <c r="CB187" s="2" t="str">
        <f>IF(BU187="","",CB183)</f>
        <v>ベイビースリーフェイス</v>
      </c>
      <c r="CC187" s="27">
        <f>IF(BU187="","",CC183)</f>
        <v>1050</v>
      </c>
      <c r="CD187" s="5">
        <f>IF(BY187="","",BZ187*CC187)</f>
        <v>2100</v>
      </c>
      <c r="CE187" s="52">
        <f>IF(BZ187="","",CD187/(BV187*100))</f>
        <v>2.3333333333333335</v>
      </c>
      <c r="CF187" s="29"/>
      <c r="CH187" s="14"/>
      <c r="CI187" s="39"/>
      <c r="CJ187" s="5" t="str">
        <f t="shared" si="612"/>
        <v/>
      </c>
      <c r="CK187" s="5"/>
      <c r="CL187" s="5"/>
      <c r="CM187" s="5"/>
      <c r="CN187" s="5" t="str">
        <f t="shared" si="613"/>
        <v/>
      </c>
      <c r="CO187" s="5"/>
      <c r="CP187" s="5"/>
      <c r="CQ187" s="5"/>
      <c r="CR187" s="5" t="str">
        <f t="shared" si="593"/>
        <v/>
      </c>
      <c r="CS187" s="36" t="str">
        <f t="shared" si="594"/>
        <v/>
      </c>
      <c r="CT187" s="29"/>
      <c r="CV187" s="14"/>
      <c r="CW187" s="39"/>
      <c r="CX187" s="5" t="str">
        <f t="shared" si="614"/>
        <v/>
      </c>
      <c r="CY187" s="5"/>
      <c r="CZ187" s="5"/>
      <c r="DA187" s="5"/>
      <c r="DB187" s="5" t="str">
        <f t="shared" si="615"/>
        <v/>
      </c>
      <c r="DC187" s="5"/>
      <c r="DD187" s="5"/>
      <c r="DE187" s="5"/>
      <c r="DF187" s="5" t="str">
        <f t="shared" si="595"/>
        <v/>
      </c>
      <c r="DG187" s="36" t="str">
        <f t="shared" si="596"/>
        <v/>
      </c>
      <c r="DH187" s="29"/>
      <c r="DJ187" s="14"/>
      <c r="DK187" s="39"/>
      <c r="DL187" s="5" t="str">
        <f t="shared" si="616"/>
        <v/>
      </c>
      <c r="DM187" s="5"/>
      <c r="DN187" s="5"/>
      <c r="DO187" s="5"/>
      <c r="DP187" s="5" t="str">
        <f t="shared" si="617"/>
        <v/>
      </c>
      <c r="DQ187" s="5"/>
      <c r="DR187" s="5"/>
      <c r="DS187" s="5"/>
      <c r="DT187" s="5" t="str">
        <f t="shared" si="597"/>
        <v/>
      </c>
      <c r="DU187" s="36" t="str">
        <f t="shared" si="598"/>
        <v/>
      </c>
      <c r="DV187" s="29" t="s">
        <v>152</v>
      </c>
      <c r="DX187" s="14"/>
      <c r="DY187" s="39"/>
      <c r="DZ187" s="5" t="str">
        <f t="shared" si="618"/>
        <v/>
      </c>
      <c r="EA187" s="5"/>
      <c r="EB187" s="5"/>
      <c r="EC187" s="5"/>
      <c r="ED187" s="5" t="str">
        <f t="shared" si="619"/>
        <v/>
      </c>
      <c r="EE187" s="5"/>
      <c r="EF187" s="5"/>
      <c r="EG187" s="5"/>
      <c r="EH187" s="5" t="str">
        <f t="shared" si="599"/>
        <v/>
      </c>
      <c r="EI187" s="36" t="str">
        <f t="shared" si="600"/>
        <v/>
      </c>
      <c r="EJ187" s="29"/>
      <c r="EL187" s="14"/>
      <c r="EM187" s="39"/>
      <c r="EN187" s="5" t="str">
        <f t="shared" si="620"/>
        <v/>
      </c>
      <c r="EO187" s="5"/>
      <c r="EP187" s="5"/>
      <c r="EQ187" s="5"/>
      <c r="ER187" s="5" t="str">
        <f t="shared" si="621"/>
        <v/>
      </c>
      <c r="ES187" s="5"/>
      <c r="ET187" s="5"/>
      <c r="EU187" s="5"/>
      <c r="EV187" s="5" t="str">
        <f t="shared" si="601"/>
        <v/>
      </c>
      <c r="EW187" s="36" t="str">
        <f t="shared" si="602"/>
        <v/>
      </c>
      <c r="EX187" s="29"/>
      <c r="EZ187" s="14"/>
      <c r="FA187" s="39"/>
      <c r="FB187" s="5" t="str">
        <f t="shared" si="622"/>
        <v/>
      </c>
      <c r="FC187" s="5"/>
      <c r="FD187" s="5"/>
      <c r="FE187" s="5"/>
      <c r="FF187" s="5" t="str">
        <f t="shared" si="623"/>
        <v/>
      </c>
      <c r="FG187" s="5"/>
      <c r="FH187" s="5"/>
      <c r="FI187" s="5"/>
      <c r="FJ187" s="5" t="str">
        <f t="shared" si="603"/>
        <v/>
      </c>
      <c r="FK187" s="36" t="str">
        <f t="shared" si="604"/>
        <v/>
      </c>
      <c r="FL187" s="29"/>
      <c r="FN187" s="14"/>
      <c r="FO187" s="39"/>
      <c r="FP187" s="5" t="str">
        <f t="shared" si="624"/>
        <v/>
      </c>
      <c r="FQ187" s="5"/>
      <c r="FR187" s="5"/>
      <c r="FS187" s="5"/>
      <c r="FT187" s="5" t="str">
        <f t="shared" si="625"/>
        <v/>
      </c>
      <c r="FU187" s="5"/>
      <c r="FV187" s="5"/>
      <c r="FW187" s="5"/>
      <c r="FX187" s="5" t="str">
        <f t="shared" si="605"/>
        <v/>
      </c>
      <c r="FY187" s="36" t="str">
        <f t="shared" si="606"/>
        <v/>
      </c>
      <c r="FZ187" s="29"/>
      <c r="GB187" s="14"/>
      <c r="GC187" s="39"/>
      <c r="GD187" s="5" t="str">
        <f t="shared" si="626"/>
        <v/>
      </c>
      <c r="GE187" s="5"/>
      <c r="GF187" s="5"/>
      <c r="GG187" s="5"/>
      <c r="GH187" s="5" t="str">
        <f t="shared" si="627"/>
        <v/>
      </c>
      <c r="GI187" s="5"/>
      <c r="GJ187" s="5"/>
      <c r="GK187" s="5"/>
      <c r="GL187" s="5" t="str">
        <f t="shared" si="607"/>
        <v/>
      </c>
      <c r="GM187" s="36" t="str">
        <f t="shared" si="608"/>
        <v/>
      </c>
      <c r="GN187" s="29"/>
      <c r="GP187" s="14"/>
      <c r="GQ187" s="39"/>
      <c r="GR187" s="5" t="str">
        <f t="shared" si="628"/>
        <v/>
      </c>
      <c r="GS187" s="5"/>
      <c r="GT187" s="5"/>
      <c r="GU187" s="5"/>
      <c r="GV187" s="5"/>
      <c r="GW187" s="5"/>
      <c r="GX187" s="5" t="str">
        <f t="shared" si="629"/>
        <v/>
      </c>
      <c r="GY187" s="5"/>
      <c r="GZ187" s="5"/>
      <c r="HA187" s="5"/>
      <c r="HB187" s="5" t="str">
        <f t="shared" si="609"/>
        <v/>
      </c>
      <c r="HC187" s="36" t="str">
        <f t="shared" si="610"/>
        <v/>
      </c>
      <c r="HD187" s="29"/>
      <c r="HF187" s="14"/>
      <c r="HG187" s="39"/>
      <c r="HH187" s="5" t="str">
        <f t="shared" si="630"/>
        <v/>
      </c>
      <c r="HI187" s="5"/>
      <c r="HJ187" s="29"/>
      <c r="HL187" s="14"/>
      <c r="HM187" s="39"/>
      <c r="HN187" s="5" t="str">
        <f t="shared" si="631"/>
        <v/>
      </c>
      <c r="HO187" s="5"/>
      <c r="HP187" s="29"/>
      <c r="HR187" s="14"/>
      <c r="HS187" s="39"/>
      <c r="HT187" s="5" t="str">
        <f t="shared" si="632"/>
        <v/>
      </c>
      <c r="HU187" s="5"/>
      <c r="HV187" s="29"/>
    </row>
    <row r="188" spans="1:230" ht="15" customHeight="1" x14ac:dyDescent="0.2">
      <c r="A188" s="54"/>
      <c r="B188" s="37"/>
      <c r="C188" s="5">
        <v>16945</v>
      </c>
      <c r="D188" s="5">
        <f t="shared" si="633"/>
        <v>3</v>
      </c>
      <c r="E188" s="5">
        <v>527</v>
      </c>
      <c r="F188" s="5">
        <f t="shared" si="634"/>
        <v>0</v>
      </c>
      <c r="G188" s="5">
        <v>10</v>
      </c>
      <c r="H188" s="5">
        <f t="shared" si="561"/>
        <v>0</v>
      </c>
      <c r="I188" s="35"/>
      <c r="J188" s="38" t="str">
        <f t="shared" si="635"/>
        <v>サンリオカラビナ付きミニファン</v>
      </c>
      <c r="K188" s="39">
        <f t="shared" si="636"/>
        <v>0</v>
      </c>
      <c r="L188" s="5">
        <f t="shared" si="637"/>
        <v>0</v>
      </c>
      <c r="M188" s="36">
        <f t="shared" si="638"/>
        <v>0</v>
      </c>
      <c r="N188" s="29"/>
      <c r="P188" s="54"/>
      <c r="Q188" s="5">
        <v>10807</v>
      </c>
      <c r="R188" s="5">
        <f t="shared" si="639"/>
        <v>4</v>
      </c>
      <c r="S188" s="5">
        <v>184</v>
      </c>
      <c r="T188" s="5">
        <f t="shared" si="640"/>
        <v>0</v>
      </c>
      <c r="U188" s="5">
        <v>10</v>
      </c>
      <c r="V188" s="5">
        <f t="shared" si="641"/>
        <v>0</v>
      </c>
      <c r="W188" s="35"/>
      <c r="X188" s="3" t="str">
        <f t="shared" si="611"/>
        <v>サンリオヘアバンド</v>
      </c>
      <c r="Y188" s="39">
        <f t="shared" si="590"/>
        <v>825</v>
      </c>
      <c r="Z188" s="5">
        <f t="shared" si="642"/>
        <v>0</v>
      </c>
      <c r="AA188" s="36">
        <f t="shared" si="643"/>
        <v>0</v>
      </c>
      <c r="AB188" s="29"/>
      <c r="AD188" s="54"/>
      <c r="AE188" s="5">
        <v>1723</v>
      </c>
      <c r="AF188" s="5">
        <f t="shared" si="644"/>
        <v>8</v>
      </c>
      <c r="AG188" s="5">
        <v>31</v>
      </c>
      <c r="AH188" s="5">
        <f t="shared" si="645"/>
        <v>0</v>
      </c>
      <c r="AI188" s="5">
        <v>13</v>
      </c>
      <c r="AJ188" s="5">
        <f t="shared" si="646"/>
        <v>0</v>
      </c>
      <c r="AK188" s="35"/>
      <c r="AL188" s="38" t="str">
        <f t="shared" si="647"/>
        <v>バタースクイーズ</v>
      </c>
      <c r="AM188" s="39">
        <f t="shared" si="648"/>
        <v>1100</v>
      </c>
      <c r="AN188" s="5">
        <f t="shared" si="649"/>
        <v>0</v>
      </c>
      <c r="AO188" s="36">
        <f t="shared" si="650"/>
        <v>0</v>
      </c>
      <c r="AP188" s="29"/>
      <c r="AR188" s="54"/>
      <c r="AS188" s="5">
        <v>1354</v>
      </c>
      <c r="AT188" s="5">
        <f t="shared" si="651"/>
        <v>28</v>
      </c>
      <c r="AU188" s="5">
        <v>3</v>
      </c>
      <c r="AV188" s="5">
        <f t="shared" si="591"/>
        <v>0</v>
      </c>
      <c r="AW188" s="5">
        <v>10</v>
      </c>
      <c r="AX188" s="5">
        <f t="shared" si="652"/>
        <v>0</v>
      </c>
      <c r="AY188" s="35"/>
      <c r="AZ188" s="38" t="str">
        <f t="shared" ref="AZ188:AZ206" si="662">IF(AS188="","",AZ184)</f>
        <v>ゲーム機イヤホン</v>
      </c>
      <c r="BA188" s="39">
        <f t="shared" si="653"/>
        <v>770</v>
      </c>
      <c r="BB188" s="5">
        <f t="shared" si="654"/>
        <v>0</v>
      </c>
      <c r="BC188" s="36">
        <f t="shared" si="655"/>
        <v>0</v>
      </c>
      <c r="BD188" s="29"/>
      <c r="BE188" s="32"/>
      <c r="BF188" s="25"/>
      <c r="BG188" s="4">
        <v>4726</v>
      </c>
      <c r="BH188" s="5">
        <f t="shared" si="656"/>
        <v>19</v>
      </c>
      <c r="BI188" s="4">
        <v>39</v>
      </c>
      <c r="BJ188" s="5">
        <f t="shared" si="657"/>
        <v>1</v>
      </c>
      <c r="BK188" s="5">
        <v>3</v>
      </c>
      <c r="BL188" s="5">
        <f t="shared" si="658"/>
        <v>0</v>
      </c>
      <c r="BM188" s="4"/>
      <c r="BN188" s="3" t="str">
        <f>IF(BG188="","",BN184)</f>
        <v>ボンボンドロップシール</v>
      </c>
      <c r="BO188" s="39">
        <f>IF(BG187="","",BO184)</f>
        <v>1500</v>
      </c>
      <c r="BP188" s="4">
        <f t="shared" si="659"/>
        <v>0</v>
      </c>
      <c r="BQ188" s="36">
        <f t="shared" si="491"/>
        <v>0</v>
      </c>
      <c r="BR188" s="29"/>
      <c r="BT188" s="25"/>
      <c r="BU188" s="4">
        <v>31790</v>
      </c>
      <c r="BV188" s="5">
        <f t="shared" si="660"/>
        <v>17</v>
      </c>
      <c r="BW188" s="4">
        <v>1681</v>
      </c>
      <c r="BX188" s="5">
        <f t="shared" si="661"/>
        <v>0</v>
      </c>
      <c r="BY188" s="5">
        <v>38</v>
      </c>
      <c r="BZ188" s="5">
        <f>IF(BY188="","",BY184+CA184-BY188)</f>
        <v>0</v>
      </c>
      <c r="CA188" s="4"/>
      <c r="CB188" s="3" t="str">
        <f>IF(BU188="","",CB184)</f>
        <v>サンリオボアポーチ</v>
      </c>
      <c r="CC188" s="39">
        <f>IF(BU187="","",CC184)</f>
        <v>950</v>
      </c>
      <c r="CD188" s="4">
        <f>IF(BY188="","",BZ188*CC188)</f>
        <v>0</v>
      </c>
      <c r="CE188" s="36">
        <f>IF(BZ188="","",CD188/(BV188*100))</f>
        <v>0</v>
      </c>
      <c r="CF188" s="29"/>
      <c r="CH188" s="14"/>
      <c r="CI188" s="39"/>
      <c r="CJ188" s="5" t="str">
        <f t="shared" si="612"/>
        <v/>
      </c>
      <c r="CK188" s="5"/>
      <c r="CL188" s="5"/>
      <c r="CM188" s="5"/>
      <c r="CN188" s="5" t="str">
        <f t="shared" si="613"/>
        <v/>
      </c>
      <c r="CO188" s="5"/>
      <c r="CP188" s="5"/>
      <c r="CQ188" s="5"/>
      <c r="CR188" s="5" t="str">
        <f t="shared" si="593"/>
        <v/>
      </c>
      <c r="CS188" s="36" t="str">
        <f t="shared" si="594"/>
        <v/>
      </c>
      <c r="CT188" s="29"/>
      <c r="CV188" s="14"/>
      <c r="CW188" s="39"/>
      <c r="CX188" s="5" t="str">
        <f t="shared" si="614"/>
        <v/>
      </c>
      <c r="CY188" s="5"/>
      <c r="CZ188" s="5"/>
      <c r="DA188" s="5"/>
      <c r="DB188" s="5" t="str">
        <f t="shared" si="615"/>
        <v/>
      </c>
      <c r="DC188" s="5"/>
      <c r="DD188" s="5"/>
      <c r="DE188" s="5"/>
      <c r="DF188" s="5" t="str">
        <f t="shared" si="595"/>
        <v/>
      </c>
      <c r="DG188" s="36" t="str">
        <f t="shared" si="596"/>
        <v/>
      </c>
      <c r="DH188" s="29"/>
      <c r="DJ188" s="14"/>
      <c r="DK188" s="39"/>
      <c r="DL188" s="5" t="str">
        <f t="shared" si="616"/>
        <v/>
      </c>
      <c r="DM188" s="5"/>
      <c r="DN188" s="5"/>
      <c r="DO188" s="5"/>
      <c r="DP188" s="5" t="str">
        <f t="shared" si="617"/>
        <v/>
      </c>
      <c r="DQ188" s="5"/>
      <c r="DR188" s="5"/>
      <c r="DS188" s="5"/>
      <c r="DT188" s="5" t="str">
        <f t="shared" si="597"/>
        <v/>
      </c>
      <c r="DU188" s="36" t="str">
        <f t="shared" si="598"/>
        <v/>
      </c>
      <c r="DV188" s="29"/>
      <c r="DX188" s="14"/>
      <c r="DY188" s="39"/>
      <c r="DZ188" s="5" t="str">
        <f t="shared" si="618"/>
        <v/>
      </c>
      <c r="EA188" s="5"/>
      <c r="EB188" s="5"/>
      <c r="EC188" s="5"/>
      <c r="ED188" s="5" t="str">
        <f t="shared" si="619"/>
        <v/>
      </c>
      <c r="EE188" s="5"/>
      <c r="EF188" s="5"/>
      <c r="EG188" s="5"/>
      <c r="EH188" s="5" t="str">
        <f t="shared" si="599"/>
        <v/>
      </c>
      <c r="EI188" s="36" t="str">
        <f t="shared" si="600"/>
        <v/>
      </c>
      <c r="EJ188" s="29"/>
      <c r="EL188" s="14"/>
      <c r="EM188" s="39"/>
      <c r="EN188" s="5" t="str">
        <f t="shared" si="620"/>
        <v/>
      </c>
      <c r="EO188" s="5"/>
      <c r="EP188" s="5"/>
      <c r="EQ188" s="5"/>
      <c r="ER188" s="5" t="str">
        <f t="shared" si="621"/>
        <v/>
      </c>
      <c r="ES188" s="5"/>
      <c r="ET188" s="5"/>
      <c r="EU188" s="5"/>
      <c r="EV188" s="5" t="str">
        <f t="shared" si="601"/>
        <v/>
      </c>
      <c r="EW188" s="36" t="str">
        <f t="shared" si="602"/>
        <v/>
      </c>
      <c r="EX188" s="29"/>
      <c r="EZ188" s="14"/>
      <c r="FA188" s="39"/>
      <c r="FB188" s="5" t="str">
        <f t="shared" si="622"/>
        <v/>
      </c>
      <c r="FC188" s="5"/>
      <c r="FD188" s="5"/>
      <c r="FE188" s="5"/>
      <c r="FF188" s="5" t="str">
        <f t="shared" si="623"/>
        <v/>
      </c>
      <c r="FG188" s="5"/>
      <c r="FH188" s="5"/>
      <c r="FI188" s="5"/>
      <c r="FJ188" s="5" t="str">
        <f t="shared" si="603"/>
        <v/>
      </c>
      <c r="FK188" s="36" t="str">
        <f t="shared" si="604"/>
        <v/>
      </c>
      <c r="FL188" s="29"/>
      <c r="FN188" s="14"/>
      <c r="FO188" s="39"/>
      <c r="FP188" s="5" t="str">
        <f t="shared" si="624"/>
        <v/>
      </c>
      <c r="FQ188" s="5"/>
      <c r="FR188" s="5"/>
      <c r="FS188" s="5"/>
      <c r="FT188" s="5" t="str">
        <f t="shared" si="625"/>
        <v/>
      </c>
      <c r="FU188" s="5"/>
      <c r="FV188" s="5"/>
      <c r="FW188" s="5"/>
      <c r="FX188" s="5" t="str">
        <f t="shared" si="605"/>
        <v/>
      </c>
      <c r="FY188" s="36" t="str">
        <f t="shared" si="606"/>
        <v/>
      </c>
      <c r="FZ188" s="29"/>
      <c r="GB188" s="14"/>
      <c r="GC188" s="39"/>
      <c r="GD188" s="5" t="str">
        <f t="shared" si="626"/>
        <v/>
      </c>
      <c r="GE188" s="5"/>
      <c r="GF188" s="5"/>
      <c r="GG188" s="5"/>
      <c r="GH188" s="5" t="str">
        <f t="shared" si="627"/>
        <v/>
      </c>
      <c r="GI188" s="5"/>
      <c r="GJ188" s="5"/>
      <c r="GK188" s="5"/>
      <c r="GL188" s="5" t="str">
        <f t="shared" si="607"/>
        <v/>
      </c>
      <c r="GM188" s="36" t="str">
        <f t="shared" si="608"/>
        <v/>
      </c>
      <c r="GN188" s="29"/>
      <c r="GP188" s="14"/>
      <c r="GQ188" s="39"/>
      <c r="GR188" s="5" t="str">
        <f t="shared" si="628"/>
        <v/>
      </c>
      <c r="GS188" s="5"/>
      <c r="GT188" s="5"/>
      <c r="GU188" s="5"/>
      <c r="GV188" s="5"/>
      <c r="GW188" s="5"/>
      <c r="GX188" s="5" t="str">
        <f t="shared" si="629"/>
        <v/>
      </c>
      <c r="GY188" s="5"/>
      <c r="GZ188" s="5"/>
      <c r="HA188" s="5"/>
      <c r="HB188" s="5" t="str">
        <f t="shared" si="609"/>
        <v/>
      </c>
      <c r="HC188" s="36" t="str">
        <f t="shared" si="610"/>
        <v/>
      </c>
      <c r="HD188" s="29"/>
      <c r="HF188" s="14"/>
      <c r="HG188" s="39"/>
      <c r="HH188" s="5" t="str">
        <f t="shared" si="630"/>
        <v/>
      </c>
      <c r="HI188" s="5"/>
      <c r="HJ188" s="29"/>
      <c r="HL188" s="14"/>
      <c r="HM188" s="39"/>
      <c r="HN188" s="5" t="str">
        <f t="shared" si="631"/>
        <v/>
      </c>
      <c r="HO188" s="5"/>
      <c r="HP188" s="29"/>
      <c r="HR188" s="14"/>
      <c r="HS188" s="39"/>
      <c r="HT188" s="5" t="str">
        <f t="shared" si="632"/>
        <v/>
      </c>
      <c r="HU188" s="5"/>
      <c r="HV188" s="29"/>
    </row>
    <row r="189" spans="1:230" ht="15" customHeight="1" x14ac:dyDescent="0.2">
      <c r="A189" s="54"/>
      <c r="B189" s="37"/>
      <c r="C189" s="58">
        <v>18604</v>
      </c>
      <c r="D189" s="5">
        <f t="shared" si="633"/>
        <v>8</v>
      </c>
      <c r="E189" s="5">
        <v>653</v>
      </c>
      <c r="F189" s="5">
        <f t="shared" si="634"/>
        <v>1</v>
      </c>
      <c r="G189" s="58">
        <v>8</v>
      </c>
      <c r="H189" s="5">
        <f t="shared" si="561"/>
        <v>1</v>
      </c>
      <c r="I189" s="59"/>
      <c r="J189" s="38" t="str">
        <f t="shared" si="635"/>
        <v>たまごっちブロックシール</v>
      </c>
      <c r="K189" s="5">
        <f t="shared" si="636"/>
        <v>600</v>
      </c>
      <c r="L189" s="5">
        <f t="shared" si="637"/>
        <v>600</v>
      </c>
      <c r="M189" s="36">
        <f t="shared" si="638"/>
        <v>0.75</v>
      </c>
      <c r="N189" s="29"/>
      <c r="P189" s="54"/>
      <c r="Q189" s="58">
        <v>10411</v>
      </c>
      <c r="R189" s="5">
        <f t="shared" si="639"/>
        <v>7</v>
      </c>
      <c r="S189" s="5">
        <v>283</v>
      </c>
      <c r="T189" s="5">
        <f t="shared" si="640"/>
        <v>0</v>
      </c>
      <c r="U189" s="58">
        <v>10</v>
      </c>
      <c r="V189" s="5">
        <f t="shared" si="641"/>
        <v>0</v>
      </c>
      <c r="W189" s="59"/>
      <c r="X189" s="3" t="str">
        <f t="shared" si="611"/>
        <v>キララメシールバインダー</v>
      </c>
      <c r="Y189" s="5">
        <f t="shared" ref="Y189:Y206" si="663">IF(R189="","",Y185)</f>
        <v>638</v>
      </c>
      <c r="Z189" s="5">
        <f t="shared" si="642"/>
        <v>0</v>
      </c>
      <c r="AA189" s="36">
        <f t="shared" si="643"/>
        <v>0</v>
      </c>
      <c r="AB189" s="29"/>
      <c r="AD189" s="54"/>
      <c r="AE189" s="58">
        <v>1289</v>
      </c>
      <c r="AF189" s="5">
        <f t="shared" si="644"/>
        <v>8</v>
      </c>
      <c r="AG189" s="5">
        <v>32</v>
      </c>
      <c r="AH189" s="5">
        <f t="shared" si="645"/>
        <v>0</v>
      </c>
      <c r="AI189" s="58">
        <v>17</v>
      </c>
      <c r="AJ189" s="5">
        <f t="shared" si="646"/>
        <v>0</v>
      </c>
      <c r="AK189" s="59"/>
      <c r="AL189" s="38" t="str">
        <f t="shared" si="647"/>
        <v>たまごっちマスコット</v>
      </c>
      <c r="AM189" s="5">
        <f t="shared" si="648"/>
        <v>1430</v>
      </c>
      <c r="AN189" s="5">
        <f t="shared" si="649"/>
        <v>0</v>
      </c>
      <c r="AO189" s="36">
        <f t="shared" si="650"/>
        <v>0</v>
      </c>
      <c r="AP189" s="29"/>
      <c r="AR189" s="54"/>
      <c r="AS189" s="58">
        <v>954</v>
      </c>
      <c r="AT189" s="5">
        <f t="shared" si="651"/>
        <v>0</v>
      </c>
      <c r="AU189" s="5">
        <v>1</v>
      </c>
      <c r="AV189" s="5">
        <f t="shared" ref="AV189:AV206" si="664">IF(AU189="","",AU189-AU185)</f>
        <v>0</v>
      </c>
      <c r="AW189" s="58">
        <v>7</v>
      </c>
      <c r="AX189" s="5">
        <f t="shared" si="652"/>
        <v>0</v>
      </c>
      <c r="AY189" s="59"/>
      <c r="AZ189" s="38" t="str">
        <f t="shared" si="662"/>
        <v>ゲームアーク</v>
      </c>
      <c r="BA189" s="5">
        <f t="shared" si="653"/>
        <v>682</v>
      </c>
      <c r="BB189" s="5">
        <f t="shared" si="654"/>
        <v>0</v>
      </c>
      <c r="BC189" s="36" t="e">
        <f t="shared" si="655"/>
        <v>#DIV/0!</v>
      </c>
      <c r="BD189" s="29"/>
      <c r="BE189" s="32"/>
      <c r="BF189" s="25"/>
      <c r="BG189" s="5">
        <v>2190</v>
      </c>
      <c r="BH189" s="5">
        <f t="shared" si="656"/>
        <v>15</v>
      </c>
      <c r="BI189" s="5">
        <v>18</v>
      </c>
      <c r="BJ189" s="5">
        <f t="shared" si="657"/>
        <v>1</v>
      </c>
      <c r="BK189" s="5">
        <v>3</v>
      </c>
      <c r="BL189" s="5">
        <f t="shared" si="658"/>
        <v>0</v>
      </c>
      <c r="BM189" s="57"/>
      <c r="BN189" s="3" t="str">
        <f>IF(BG187="","",BN185)</f>
        <v>ボンボンドロップシール</v>
      </c>
      <c r="BO189" s="39">
        <f>IF(BG187="","",BO185)</f>
        <v>1500</v>
      </c>
      <c r="BP189" s="5">
        <f t="shared" si="659"/>
        <v>0</v>
      </c>
      <c r="BQ189" s="36">
        <f>IF(BL189="","",BP189/(BH188*100))</f>
        <v>0</v>
      </c>
      <c r="BR189" s="29"/>
      <c r="BT189" s="25"/>
      <c r="BU189" s="5"/>
      <c r="BV189" s="5" t="str">
        <f t="shared" si="660"/>
        <v/>
      </c>
      <c r="BW189" s="5"/>
      <c r="BX189" s="5" t="str">
        <f t="shared" si="661"/>
        <v/>
      </c>
      <c r="BY189" s="5"/>
      <c r="BZ189" s="5"/>
      <c r="CA189" s="57"/>
      <c r="CB189" s="3"/>
      <c r="CC189" s="39"/>
      <c r="CD189" s="5"/>
      <c r="CE189" s="36"/>
      <c r="CF189" s="29"/>
      <c r="CH189" s="14"/>
      <c r="CI189" s="39"/>
      <c r="CJ189" s="5" t="str">
        <f t="shared" si="612"/>
        <v/>
      </c>
      <c r="CK189" s="5"/>
      <c r="CL189" s="5"/>
      <c r="CM189" s="5"/>
      <c r="CN189" s="5" t="str">
        <f t="shared" si="613"/>
        <v/>
      </c>
      <c r="CO189" s="5"/>
      <c r="CP189" s="5"/>
      <c r="CQ189" s="5"/>
      <c r="CR189" s="5" t="str">
        <f t="shared" si="593"/>
        <v/>
      </c>
      <c r="CS189" s="36" t="str">
        <f t="shared" si="594"/>
        <v/>
      </c>
      <c r="CT189" s="29"/>
      <c r="CV189" s="14"/>
      <c r="CW189" s="39"/>
      <c r="CX189" s="5" t="str">
        <f t="shared" si="614"/>
        <v/>
      </c>
      <c r="CY189" s="5"/>
      <c r="CZ189" s="5"/>
      <c r="DA189" s="5"/>
      <c r="DB189" s="5" t="str">
        <f t="shared" si="615"/>
        <v/>
      </c>
      <c r="DC189" s="5"/>
      <c r="DD189" s="5"/>
      <c r="DE189" s="5"/>
      <c r="DF189" s="5" t="str">
        <f t="shared" si="595"/>
        <v/>
      </c>
      <c r="DG189" s="36" t="str">
        <f t="shared" si="596"/>
        <v/>
      </c>
      <c r="DH189" s="29"/>
      <c r="DJ189" s="14"/>
      <c r="DK189" s="39"/>
      <c r="DL189" s="5" t="str">
        <f t="shared" si="616"/>
        <v/>
      </c>
      <c r="DM189" s="5"/>
      <c r="DN189" s="5"/>
      <c r="DO189" s="5"/>
      <c r="DP189" s="5" t="str">
        <f t="shared" si="617"/>
        <v/>
      </c>
      <c r="DQ189" s="5"/>
      <c r="DR189" s="5"/>
      <c r="DS189" s="5"/>
      <c r="DT189" s="5" t="str">
        <f t="shared" si="597"/>
        <v/>
      </c>
      <c r="DU189" s="36" t="str">
        <f t="shared" si="598"/>
        <v/>
      </c>
      <c r="DV189" s="29"/>
      <c r="DX189" s="14"/>
      <c r="DY189" s="39"/>
      <c r="DZ189" s="5" t="str">
        <f t="shared" si="618"/>
        <v/>
      </c>
      <c r="EA189" s="5"/>
      <c r="EB189" s="5"/>
      <c r="EC189" s="5"/>
      <c r="ED189" s="5" t="str">
        <f t="shared" si="619"/>
        <v/>
      </c>
      <c r="EE189" s="5"/>
      <c r="EF189" s="5"/>
      <c r="EG189" s="5"/>
      <c r="EH189" s="5" t="str">
        <f t="shared" si="599"/>
        <v/>
      </c>
      <c r="EI189" s="36" t="str">
        <f t="shared" si="600"/>
        <v/>
      </c>
      <c r="EJ189" s="29"/>
      <c r="EL189" s="14"/>
      <c r="EM189" s="39"/>
      <c r="EN189" s="5" t="str">
        <f t="shared" si="620"/>
        <v/>
      </c>
      <c r="EO189" s="5"/>
      <c r="EP189" s="5"/>
      <c r="EQ189" s="5"/>
      <c r="ER189" s="5" t="str">
        <f t="shared" si="621"/>
        <v/>
      </c>
      <c r="ES189" s="5"/>
      <c r="ET189" s="5"/>
      <c r="EU189" s="5"/>
      <c r="EV189" s="5" t="str">
        <f t="shared" si="601"/>
        <v/>
      </c>
      <c r="EW189" s="36" t="str">
        <f t="shared" si="602"/>
        <v/>
      </c>
      <c r="EX189" s="29"/>
      <c r="EZ189" s="14"/>
      <c r="FA189" s="39"/>
      <c r="FB189" s="5" t="str">
        <f t="shared" si="622"/>
        <v/>
      </c>
      <c r="FC189" s="5"/>
      <c r="FD189" s="5"/>
      <c r="FE189" s="5"/>
      <c r="FF189" s="5" t="str">
        <f t="shared" si="623"/>
        <v/>
      </c>
      <c r="FG189" s="5"/>
      <c r="FH189" s="5"/>
      <c r="FI189" s="5"/>
      <c r="FJ189" s="5" t="str">
        <f t="shared" si="603"/>
        <v/>
      </c>
      <c r="FK189" s="36" t="str">
        <f t="shared" si="604"/>
        <v/>
      </c>
      <c r="FL189" s="29"/>
      <c r="FN189" s="14"/>
      <c r="FO189" s="39"/>
      <c r="FP189" s="5" t="str">
        <f t="shared" si="624"/>
        <v/>
      </c>
      <c r="FQ189" s="5"/>
      <c r="FR189" s="5"/>
      <c r="FS189" s="5"/>
      <c r="FT189" s="5" t="str">
        <f t="shared" si="625"/>
        <v/>
      </c>
      <c r="FU189" s="5"/>
      <c r="FV189" s="5"/>
      <c r="FW189" s="5"/>
      <c r="FX189" s="5" t="str">
        <f t="shared" si="605"/>
        <v/>
      </c>
      <c r="FY189" s="36" t="str">
        <f t="shared" si="606"/>
        <v/>
      </c>
      <c r="FZ189" s="29"/>
      <c r="GB189" s="14"/>
      <c r="GC189" s="39"/>
      <c r="GD189" s="5" t="str">
        <f t="shared" si="626"/>
        <v/>
      </c>
      <c r="GE189" s="5"/>
      <c r="GF189" s="5"/>
      <c r="GG189" s="5"/>
      <c r="GH189" s="5" t="str">
        <f t="shared" si="627"/>
        <v/>
      </c>
      <c r="GI189" s="5"/>
      <c r="GJ189" s="5"/>
      <c r="GK189" s="5"/>
      <c r="GL189" s="5" t="str">
        <f t="shared" si="607"/>
        <v/>
      </c>
      <c r="GM189" s="36" t="str">
        <f t="shared" si="608"/>
        <v/>
      </c>
      <c r="GN189" s="29"/>
      <c r="GP189" s="14"/>
      <c r="GQ189" s="39"/>
      <c r="GR189" s="5" t="str">
        <f t="shared" si="628"/>
        <v/>
      </c>
      <c r="GS189" s="5"/>
      <c r="GT189" s="5"/>
      <c r="GU189" s="5"/>
      <c r="GV189" s="5"/>
      <c r="GW189" s="5"/>
      <c r="GX189" s="5" t="str">
        <f t="shared" si="629"/>
        <v/>
      </c>
      <c r="GY189" s="5"/>
      <c r="GZ189" s="5"/>
      <c r="HA189" s="5"/>
      <c r="HB189" s="5" t="str">
        <f t="shared" si="609"/>
        <v/>
      </c>
      <c r="HC189" s="36" t="str">
        <f t="shared" si="610"/>
        <v/>
      </c>
      <c r="HD189" s="29"/>
      <c r="HF189" s="14"/>
      <c r="HG189" s="39"/>
      <c r="HH189" s="5" t="str">
        <f t="shared" si="630"/>
        <v/>
      </c>
      <c r="HI189" s="5"/>
      <c r="HJ189" s="29"/>
      <c r="HL189" s="14"/>
      <c r="HM189" s="39"/>
      <c r="HN189" s="5" t="str">
        <f t="shared" si="631"/>
        <v/>
      </c>
      <c r="HO189" s="5"/>
      <c r="HP189" s="29"/>
      <c r="HR189" s="14"/>
      <c r="HS189" s="39"/>
      <c r="HT189" s="5" t="str">
        <f t="shared" si="632"/>
        <v/>
      </c>
      <c r="HU189" s="5"/>
      <c r="HV189" s="29"/>
    </row>
    <row r="190" spans="1:230" ht="15" customHeight="1" thickBot="1" x14ac:dyDescent="0.25">
      <c r="A190" s="60"/>
      <c r="B190" s="42"/>
      <c r="C190" s="44">
        <v>23167</v>
      </c>
      <c r="D190" s="61">
        <f t="shared" si="633"/>
        <v>1</v>
      </c>
      <c r="E190" s="44">
        <v>1164</v>
      </c>
      <c r="F190" s="44">
        <f t="shared" si="634"/>
        <v>0</v>
      </c>
      <c r="G190" s="44">
        <v>57</v>
      </c>
      <c r="H190" s="44">
        <f t="shared" si="561"/>
        <v>0</v>
      </c>
      <c r="I190" s="62"/>
      <c r="J190" s="47" t="str">
        <f t="shared" si="635"/>
        <v>ふわもちミニスクイーズ</v>
      </c>
      <c r="K190" s="61">
        <f t="shared" si="636"/>
        <v>99</v>
      </c>
      <c r="L190" s="44">
        <f t="shared" si="637"/>
        <v>0</v>
      </c>
      <c r="M190" s="46">
        <f t="shared" si="638"/>
        <v>0</v>
      </c>
      <c r="N190" s="29"/>
      <c r="P190" s="60"/>
      <c r="Q190" s="44">
        <v>9109</v>
      </c>
      <c r="R190" s="61">
        <f t="shared" si="639"/>
        <v>14</v>
      </c>
      <c r="S190" s="44">
        <v>223</v>
      </c>
      <c r="T190" s="44">
        <f t="shared" si="640"/>
        <v>0</v>
      </c>
      <c r="U190" s="44">
        <v>22</v>
      </c>
      <c r="V190" s="44">
        <f t="shared" si="641"/>
        <v>2</v>
      </c>
      <c r="W190" s="62"/>
      <c r="X190" s="45" t="str">
        <f t="shared" si="611"/>
        <v>ボンドロ海外製</v>
      </c>
      <c r="Y190" s="61">
        <f t="shared" si="663"/>
        <v>150</v>
      </c>
      <c r="Z190" s="44">
        <f t="shared" si="642"/>
        <v>300</v>
      </c>
      <c r="AA190" s="46">
        <f t="shared" si="643"/>
        <v>0.21428571428571427</v>
      </c>
      <c r="AB190" s="29"/>
      <c r="AD190" s="60"/>
      <c r="AE190" s="44">
        <v>682</v>
      </c>
      <c r="AF190" s="61">
        <f t="shared" si="644"/>
        <v>0</v>
      </c>
      <c r="AG190" s="44">
        <v>27</v>
      </c>
      <c r="AH190" s="44">
        <f t="shared" si="645"/>
        <v>0</v>
      </c>
      <c r="AI190" s="44">
        <v>7</v>
      </c>
      <c r="AJ190" s="44">
        <f t="shared" si="646"/>
        <v>0</v>
      </c>
      <c r="AK190" s="62"/>
      <c r="AL190" s="47" t="str">
        <f t="shared" si="647"/>
        <v>キティ着物マスコット</v>
      </c>
      <c r="AM190" s="61">
        <f t="shared" si="648"/>
        <v>1100</v>
      </c>
      <c r="AN190" s="44">
        <f t="shared" si="649"/>
        <v>0</v>
      </c>
      <c r="AO190" s="46" t="e">
        <f t="shared" si="650"/>
        <v>#DIV/0!</v>
      </c>
      <c r="AP190" s="29"/>
      <c r="AR190" s="60"/>
      <c r="AS190" s="44">
        <v>873</v>
      </c>
      <c r="AT190" s="61">
        <f t="shared" si="651"/>
        <v>0</v>
      </c>
      <c r="AU190" s="44">
        <v>26</v>
      </c>
      <c r="AV190" s="44">
        <f t="shared" si="664"/>
        <v>0</v>
      </c>
      <c r="AW190" s="44">
        <v>7</v>
      </c>
      <c r="AX190" s="44">
        <f t="shared" si="652"/>
        <v>0</v>
      </c>
      <c r="AY190" s="62"/>
      <c r="AZ190" s="47" t="str">
        <f t="shared" si="662"/>
        <v>しばこ</v>
      </c>
      <c r="BA190" s="61">
        <f t="shared" si="653"/>
        <v>110</v>
      </c>
      <c r="BB190" s="44">
        <f t="shared" si="654"/>
        <v>0</v>
      </c>
      <c r="BC190" s="46" t="e">
        <f t="shared" si="655"/>
        <v>#DIV/0!</v>
      </c>
      <c r="BD190" s="29"/>
      <c r="BE190" s="32"/>
      <c r="BF190" s="41"/>
      <c r="BG190" s="44">
        <v>3851</v>
      </c>
      <c r="BH190" s="44">
        <f t="shared" si="656"/>
        <v>3</v>
      </c>
      <c r="BI190" s="44">
        <v>43</v>
      </c>
      <c r="BJ190" s="44">
        <f t="shared" si="657"/>
        <v>1</v>
      </c>
      <c r="BK190" s="44">
        <v>3</v>
      </c>
      <c r="BL190" s="44">
        <f t="shared" si="658"/>
        <v>0</v>
      </c>
      <c r="BM190" s="44"/>
      <c r="BN190" s="45" t="str">
        <f>IF(BG188="","",BN186)</f>
        <v>ボンボンドロップシール</v>
      </c>
      <c r="BO190" s="61">
        <f>IF(BG187="","",BO186)</f>
        <v>1500</v>
      </c>
      <c r="BP190" s="44">
        <f t="shared" si="659"/>
        <v>0</v>
      </c>
      <c r="BQ190" s="46">
        <f>IF(BL190="","",BP190/(BH188*100))</f>
        <v>0</v>
      </c>
      <c r="BR190" s="29"/>
      <c r="BT190" s="41"/>
      <c r="BU190" s="44"/>
      <c r="BV190" s="44" t="str">
        <f t="shared" si="660"/>
        <v/>
      </c>
      <c r="BW190" s="44"/>
      <c r="BX190" s="44" t="str">
        <f t="shared" si="661"/>
        <v/>
      </c>
      <c r="BY190" s="44"/>
      <c r="BZ190" s="44"/>
      <c r="CA190" s="44"/>
      <c r="CB190" s="45"/>
      <c r="CC190" s="61"/>
      <c r="CD190" s="44"/>
      <c r="CE190" s="46"/>
      <c r="CF190" s="29"/>
      <c r="CH190" s="14"/>
      <c r="CI190" s="39"/>
      <c r="CJ190" s="5" t="str">
        <f t="shared" si="612"/>
        <v/>
      </c>
      <c r="CK190" s="5"/>
      <c r="CL190" s="5"/>
      <c r="CM190" s="5"/>
      <c r="CN190" s="5" t="str">
        <f t="shared" si="613"/>
        <v/>
      </c>
      <c r="CO190" s="5"/>
      <c r="CP190" s="5"/>
      <c r="CQ190" s="5"/>
      <c r="CR190" s="5" t="str">
        <f t="shared" si="593"/>
        <v/>
      </c>
      <c r="CS190" s="36" t="str">
        <f t="shared" si="594"/>
        <v/>
      </c>
      <c r="CT190" s="29"/>
      <c r="CV190" s="14"/>
      <c r="CW190" s="39"/>
      <c r="CX190" s="5" t="str">
        <f t="shared" si="614"/>
        <v/>
      </c>
      <c r="CY190" s="5"/>
      <c r="CZ190" s="5"/>
      <c r="DA190" s="5"/>
      <c r="DB190" s="5" t="str">
        <f t="shared" si="615"/>
        <v/>
      </c>
      <c r="DC190" s="5"/>
      <c r="DD190" s="5"/>
      <c r="DE190" s="5"/>
      <c r="DF190" s="5" t="str">
        <f t="shared" si="595"/>
        <v/>
      </c>
      <c r="DG190" s="36" t="str">
        <f t="shared" si="596"/>
        <v/>
      </c>
      <c r="DH190" s="29"/>
      <c r="DJ190" s="14"/>
      <c r="DK190" s="39"/>
      <c r="DL190" s="5" t="str">
        <f t="shared" si="616"/>
        <v/>
      </c>
      <c r="DM190" s="5"/>
      <c r="DN190" s="5"/>
      <c r="DO190" s="5"/>
      <c r="DP190" s="5" t="str">
        <f t="shared" si="617"/>
        <v/>
      </c>
      <c r="DQ190" s="5"/>
      <c r="DR190" s="5"/>
      <c r="DS190" s="5"/>
      <c r="DT190" s="5" t="str">
        <f t="shared" si="597"/>
        <v/>
      </c>
      <c r="DU190" s="36" t="str">
        <f t="shared" si="598"/>
        <v/>
      </c>
      <c r="DV190" s="29"/>
      <c r="DX190" s="14"/>
      <c r="DY190" s="39"/>
      <c r="DZ190" s="5" t="str">
        <f t="shared" si="618"/>
        <v/>
      </c>
      <c r="EA190" s="5"/>
      <c r="EB190" s="5"/>
      <c r="EC190" s="5"/>
      <c r="ED190" s="5" t="str">
        <f t="shared" si="619"/>
        <v/>
      </c>
      <c r="EE190" s="5"/>
      <c r="EF190" s="5"/>
      <c r="EG190" s="5"/>
      <c r="EH190" s="5" t="str">
        <f t="shared" si="599"/>
        <v/>
      </c>
      <c r="EI190" s="36" t="str">
        <f t="shared" si="600"/>
        <v/>
      </c>
      <c r="EJ190" s="29"/>
      <c r="EL190" s="14"/>
      <c r="EM190" s="39"/>
      <c r="EN190" s="5" t="str">
        <f t="shared" si="620"/>
        <v/>
      </c>
      <c r="EO190" s="5"/>
      <c r="EP190" s="5"/>
      <c r="EQ190" s="5"/>
      <c r="ER190" s="5" t="str">
        <f t="shared" si="621"/>
        <v/>
      </c>
      <c r="ES190" s="5"/>
      <c r="ET190" s="5"/>
      <c r="EU190" s="5"/>
      <c r="EV190" s="5" t="str">
        <f t="shared" si="601"/>
        <v/>
      </c>
      <c r="EW190" s="36" t="str">
        <f t="shared" si="602"/>
        <v/>
      </c>
      <c r="EX190" s="29"/>
      <c r="EZ190" s="14"/>
      <c r="FA190" s="39"/>
      <c r="FB190" s="5" t="str">
        <f t="shared" si="622"/>
        <v/>
      </c>
      <c r="FC190" s="5"/>
      <c r="FD190" s="5"/>
      <c r="FE190" s="5"/>
      <c r="FF190" s="5" t="str">
        <f t="shared" si="623"/>
        <v/>
      </c>
      <c r="FG190" s="5"/>
      <c r="FH190" s="5"/>
      <c r="FI190" s="5"/>
      <c r="FJ190" s="5" t="str">
        <f t="shared" si="603"/>
        <v/>
      </c>
      <c r="FK190" s="36" t="str">
        <f t="shared" si="604"/>
        <v/>
      </c>
      <c r="FL190" s="29"/>
      <c r="FN190" s="14"/>
      <c r="FO190" s="39"/>
      <c r="FP190" s="5" t="str">
        <f t="shared" si="624"/>
        <v/>
      </c>
      <c r="FQ190" s="5"/>
      <c r="FR190" s="5"/>
      <c r="FS190" s="5"/>
      <c r="FT190" s="5" t="str">
        <f t="shared" si="625"/>
        <v/>
      </c>
      <c r="FU190" s="5"/>
      <c r="FV190" s="5"/>
      <c r="FW190" s="5"/>
      <c r="FX190" s="5" t="str">
        <f t="shared" si="605"/>
        <v/>
      </c>
      <c r="FY190" s="36" t="str">
        <f t="shared" si="606"/>
        <v/>
      </c>
      <c r="FZ190" s="29"/>
      <c r="GB190" s="14"/>
      <c r="GC190" s="39"/>
      <c r="GD190" s="5" t="str">
        <f t="shared" si="626"/>
        <v/>
      </c>
      <c r="GE190" s="5"/>
      <c r="GF190" s="5"/>
      <c r="GG190" s="5"/>
      <c r="GH190" s="5" t="str">
        <f t="shared" si="627"/>
        <v/>
      </c>
      <c r="GI190" s="5"/>
      <c r="GJ190" s="5"/>
      <c r="GK190" s="5"/>
      <c r="GL190" s="5" t="str">
        <f t="shared" si="607"/>
        <v/>
      </c>
      <c r="GM190" s="36" t="str">
        <f t="shared" si="608"/>
        <v/>
      </c>
      <c r="GN190" s="29"/>
      <c r="GP190" s="14"/>
      <c r="GQ190" s="39"/>
      <c r="GR190" s="5" t="str">
        <f t="shared" si="628"/>
        <v/>
      </c>
      <c r="GS190" s="5"/>
      <c r="GT190" s="5"/>
      <c r="GU190" s="5"/>
      <c r="GV190" s="5"/>
      <c r="GW190" s="5"/>
      <c r="GX190" s="5" t="str">
        <f t="shared" si="629"/>
        <v/>
      </c>
      <c r="GY190" s="5"/>
      <c r="GZ190" s="5"/>
      <c r="HA190" s="5"/>
      <c r="HB190" s="5" t="str">
        <f t="shared" si="609"/>
        <v/>
      </c>
      <c r="HC190" s="36" t="str">
        <f t="shared" si="610"/>
        <v/>
      </c>
      <c r="HD190" s="29"/>
      <c r="HF190" s="14"/>
      <c r="HG190" s="39"/>
      <c r="HH190" s="5" t="str">
        <f t="shared" si="630"/>
        <v/>
      </c>
      <c r="HI190" s="5"/>
      <c r="HJ190" s="29"/>
      <c r="HL190" s="14"/>
      <c r="HM190" s="39"/>
      <c r="HN190" s="5" t="str">
        <f t="shared" si="631"/>
        <v/>
      </c>
      <c r="HO190" s="5"/>
      <c r="HP190" s="29"/>
      <c r="HR190" s="14"/>
      <c r="HS190" s="39"/>
      <c r="HT190" s="5" t="str">
        <f t="shared" si="632"/>
        <v/>
      </c>
      <c r="HU190" s="5"/>
      <c r="HV190" s="29"/>
    </row>
    <row r="191" spans="1:230" ht="15" customHeight="1" thickTop="1" x14ac:dyDescent="0.2">
      <c r="A191" s="49"/>
      <c r="B191" s="26"/>
      <c r="C191" s="4"/>
      <c r="D191" s="4"/>
      <c r="E191" s="4"/>
      <c r="F191" s="50"/>
      <c r="G191" s="4"/>
      <c r="H191" s="4"/>
      <c r="I191" s="51"/>
      <c r="J191" s="31"/>
      <c r="K191" s="27"/>
      <c r="L191" s="50"/>
      <c r="M191" s="52"/>
      <c r="N191" s="29"/>
      <c r="P191" s="53"/>
      <c r="Q191" s="4"/>
      <c r="R191" s="4"/>
      <c r="S191" s="4"/>
      <c r="T191" s="50"/>
      <c r="U191" s="4"/>
      <c r="V191" s="4"/>
      <c r="W191" s="51"/>
      <c r="X191" s="2"/>
      <c r="Y191" s="27"/>
      <c r="Z191" s="50"/>
      <c r="AA191" s="52"/>
      <c r="AB191" s="29"/>
      <c r="AD191" s="53"/>
      <c r="AE191" s="4"/>
      <c r="AF191" s="4"/>
      <c r="AG191" s="4"/>
      <c r="AH191" s="50"/>
      <c r="AI191" s="4"/>
      <c r="AJ191" s="4"/>
      <c r="AK191" s="51"/>
      <c r="AL191" s="31"/>
      <c r="AM191" s="27"/>
      <c r="AN191" s="50"/>
      <c r="AO191" s="52"/>
      <c r="AP191" s="29"/>
      <c r="AR191" s="53"/>
      <c r="AS191" s="4"/>
      <c r="AT191" s="4"/>
      <c r="AU191" s="4"/>
      <c r="AV191" s="50"/>
      <c r="AW191" s="4"/>
      <c r="AX191" s="4"/>
      <c r="AY191" s="51"/>
      <c r="AZ191" s="31"/>
      <c r="BA191" s="27"/>
      <c r="BB191" s="50"/>
      <c r="BC191" s="52"/>
      <c r="BD191" s="29"/>
      <c r="BE191" s="32"/>
      <c r="BF191" s="49"/>
      <c r="BG191" s="4"/>
      <c r="BH191" s="4"/>
      <c r="BI191" s="4"/>
      <c r="BJ191" s="50"/>
      <c r="BK191" s="4"/>
      <c r="BL191" s="4"/>
      <c r="BM191" s="4"/>
      <c r="BN191" s="2"/>
      <c r="BO191" s="27"/>
      <c r="BP191" s="5"/>
      <c r="BQ191" s="52"/>
      <c r="BR191" s="29"/>
      <c r="BT191" s="49"/>
      <c r="BU191" s="4"/>
      <c r="BV191" s="4"/>
      <c r="BW191" s="4"/>
      <c r="BX191" s="50"/>
      <c r="BY191" s="4"/>
      <c r="BZ191" s="4"/>
      <c r="CA191" s="4"/>
      <c r="CB191" s="2"/>
      <c r="CC191" s="27"/>
      <c r="CD191" s="5"/>
      <c r="CE191" s="52"/>
      <c r="CF191" s="29"/>
      <c r="CH191" s="14"/>
      <c r="CI191" s="39"/>
      <c r="CJ191" s="5" t="str">
        <f t="shared" si="612"/>
        <v/>
      </c>
      <c r="CK191" s="5"/>
      <c r="CL191" s="5"/>
      <c r="CM191" s="5"/>
      <c r="CN191" s="5" t="str">
        <f t="shared" si="613"/>
        <v/>
      </c>
      <c r="CO191" s="5"/>
      <c r="CP191" s="5"/>
      <c r="CQ191" s="5"/>
      <c r="CR191" s="5" t="str">
        <f t="shared" si="593"/>
        <v/>
      </c>
      <c r="CS191" s="36" t="str">
        <f t="shared" si="594"/>
        <v/>
      </c>
      <c r="CT191" s="29"/>
      <c r="CV191" s="14"/>
      <c r="CW191" s="39"/>
      <c r="CX191" s="5" t="str">
        <f t="shared" si="614"/>
        <v/>
      </c>
      <c r="CY191" s="5"/>
      <c r="CZ191" s="5"/>
      <c r="DA191" s="5"/>
      <c r="DB191" s="5" t="str">
        <f t="shared" si="615"/>
        <v/>
      </c>
      <c r="DC191" s="5"/>
      <c r="DD191" s="5"/>
      <c r="DE191" s="5"/>
      <c r="DF191" s="5" t="str">
        <f t="shared" si="595"/>
        <v/>
      </c>
      <c r="DG191" s="36" t="str">
        <f t="shared" si="596"/>
        <v/>
      </c>
      <c r="DH191" s="29"/>
      <c r="DJ191" s="14"/>
      <c r="DK191" s="39"/>
      <c r="DL191" s="5" t="str">
        <f t="shared" si="616"/>
        <v/>
      </c>
      <c r="DM191" s="5"/>
      <c r="DN191" s="5"/>
      <c r="DO191" s="5"/>
      <c r="DP191" s="5" t="str">
        <f t="shared" si="617"/>
        <v/>
      </c>
      <c r="DQ191" s="5"/>
      <c r="DR191" s="5"/>
      <c r="DS191" s="5"/>
      <c r="DT191" s="5" t="str">
        <f t="shared" si="597"/>
        <v/>
      </c>
      <c r="DU191" s="36" t="str">
        <f t="shared" si="598"/>
        <v/>
      </c>
      <c r="DV191" s="29"/>
      <c r="DX191" s="14"/>
      <c r="DY191" s="39"/>
      <c r="DZ191" s="5" t="str">
        <f t="shared" si="618"/>
        <v/>
      </c>
      <c r="EA191" s="5"/>
      <c r="EB191" s="5"/>
      <c r="EC191" s="5"/>
      <c r="ED191" s="5" t="str">
        <f t="shared" si="619"/>
        <v/>
      </c>
      <c r="EE191" s="5"/>
      <c r="EF191" s="5"/>
      <c r="EG191" s="5"/>
      <c r="EH191" s="5" t="str">
        <f t="shared" si="599"/>
        <v/>
      </c>
      <c r="EI191" s="36" t="str">
        <f t="shared" si="600"/>
        <v/>
      </c>
      <c r="EJ191" s="29"/>
      <c r="EL191" s="14"/>
      <c r="EM191" s="39"/>
      <c r="EN191" s="5" t="str">
        <f t="shared" si="620"/>
        <v/>
      </c>
      <c r="EO191" s="5"/>
      <c r="EP191" s="5"/>
      <c r="EQ191" s="5"/>
      <c r="ER191" s="5" t="str">
        <f t="shared" si="621"/>
        <v/>
      </c>
      <c r="ES191" s="5"/>
      <c r="ET191" s="5"/>
      <c r="EU191" s="5"/>
      <c r="EV191" s="5" t="str">
        <f t="shared" si="601"/>
        <v/>
      </c>
      <c r="EW191" s="36" t="str">
        <f t="shared" si="602"/>
        <v/>
      </c>
      <c r="EX191" s="29"/>
      <c r="EZ191" s="14"/>
      <c r="FA191" s="39"/>
      <c r="FB191" s="5" t="str">
        <f t="shared" si="622"/>
        <v/>
      </c>
      <c r="FC191" s="5"/>
      <c r="FD191" s="5"/>
      <c r="FE191" s="5"/>
      <c r="FF191" s="5" t="str">
        <f t="shared" si="623"/>
        <v/>
      </c>
      <c r="FG191" s="5"/>
      <c r="FH191" s="5"/>
      <c r="FI191" s="5"/>
      <c r="FJ191" s="5" t="str">
        <f t="shared" si="603"/>
        <v/>
      </c>
      <c r="FK191" s="36" t="str">
        <f t="shared" si="604"/>
        <v/>
      </c>
      <c r="FL191" s="29"/>
      <c r="FN191" s="14"/>
      <c r="FO191" s="39"/>
      <c r="FP191" s="5" t="str">
        <f t="shared" si="624"/>
        <v/>
      </c>
      <c r="FQ191" s="5"/>
      <c r="FR191" s="5"/>
      <c r="FS191" s="5"/>
      <c r="FT191" s="5" t="str">
        <f t="shared" si="625"/>
        <v/>
      </c>
      <c r="FU191" s="5"/>
      <c r="FV191" s="5"/>
      <c r="FW191" s="5"/>
      <c r="FX191" s="5" t="str">
        <f t="shared" si="605"/>
        <v/>
      </c>
      <c r="FY191" s="36" t="str">
        <f t="shared" si="606"/>
        <v/>
      </c>
      <c r="FZ191" s="29"/>
      <c r="GB191" s="14"/>
      <c r="GC191" s="39"/>
      <c r="GD191" s="5" t="str">
        <f t="shared" si="626"/>
        <v/>
      </c>
      <c r="GE191" s="5"/>
      <c r="GF191" s="5"/>
      <c r="GG191" s="5"/>
      <c r="GH191" s="5" t="str">
        <f t="shared" si="627"/>
        <v/>
      </c>
      <c r="GI191" s="5"/>
      <c r="GJ191" s="5"/>
      <c r="GK191" s="5"/>
      <c r="GL191" s="5" t="str">
        <f t="shared" si="607"/>
        <v/>
      </c>
      <c r="GM191" s="36" t="str">
        <f t="shared" si="608"/>
        <v/>
      </c>
      <c r="GN191" s="29"/>
      <c r="GP191" s="14"/>
      <c r="GQ191" s="39"/>
      <c r="GR191" s="5" t="str">
        <f t="shared" si="628"/>
        <v/>
      </c>
      <c r="GS191" s="5"/>
      <c r="GT191" s="5"/>
      <c r="GU191" s="5"/>
      <c r="GV191" s="5"/>
      <c r="GW191" s="5"/>
      <c r="GX191" s="5" t="str">
        <f t="shared" si="629"/>
        <v/>
      </c>
      <c r="GY191" s="5"/>
      <c r="GZ191" s="5"/>
      <c r="HA191" s="5"/>
      <c r="HB191" s="5" t="str">
        <f t="shared" si="609"/>
        <v/>
      </c>
      <c r="HC191" s="36" t="str">
        <f t="shared" si="610"/>
        <v/>
      </c>
      <c r="HD191" s="29"/>
      <c r="HF191" s="14"/>
      <c r="HG191" s="39"/>
      <c r="HH191" s="5" t="str">
        <f t="shared" si="630"/>
        <v/>
      </c>
      <c r="HI191" s="5"/>
      <c r="HJ191" s="29"/>
      <c r="HL191" s="14"/>
      <c r="HM191" s="39"/>
      <c r="HN191" s="5" t="str">
        <f t="shared" si="631"/>
        <v/>
      </c>
      <c r="HO191" s="5"/>
      <c r="HP191" s="29"/>
      <c r="HR191" s="14"/>
      <c r="HS191" s="39"/>
      <c r="HT191" s="5" t="str">
        <f t="shared" si="632"/>
        <v/>
      </c>
      <c r="HU191" s="5"/>
      <c r="HV191" s="29"/>
    </row>
    <row r="192" spans="1:230" ht="15" customHeight="1" x14ac:dyDescent="0.2">
      <c r="A192" s="54"/>
      <c r="B192" s="37"/>
      <c r="C192" s="4"/>
      <c r="D192" s="5"/>
      <c r="E192" s="5"/>
      <c r="F192" s="5"/>
      <c r="G192" s="5"/>
      <c r="H192" s="5"/>
      <c r="I192" s="35"/>
      <c r="J192" s="38"/>
      <c r="K192" s="39"/>
      <c r="L192" s="5"/>
      <c r="M192" s="36"/>
      <c r="N192" s="29"/>
      <c r="P192" s="54"/>
      <c r="Q192" s="4"/>
      <c r="R192" s="5"/>
      <c r="S192" s="5"/>
      <c r="T192" s="5"/>
      <c r="U192" s="5"/>
      <c r="V192" s="5"/>
      <c r="W192" s="35"/>
      <c r="X192" s="3"/>
      <c r="Y192" s="39"/>
      <c r="Z192" s="5"/>
      <c r="AA192" s="36"/>
      <c r="AB192" s="29"/>
      <c r="AD192" s="54"/>
      <c r="AE192" s="4"/>
      <c r="AF192" s="5"/>
      <c r="AG192" s="5"/>
      <c r="AH192" s="5"/>
      <c r="AI192" s="5"/>
      <c r="AJ192" s="5"/>
      <c r="AK192" s="35"/>
      <c r="AL192" s="38"/>
      <c r="AM192" s="39"/>
      <c r="AN192" s="5"/>
      <c r="AO192" s="36"/>
      <c r="AP192" s="29"/>
      <c r="AR192" s="54"/>
      <c r="AS192" s="4"/>
      <c r="AT192" s="5"/>
      <c r="AU192" s="5"/>
      <c r="AV192" s="5"/>
      <c r="AW192" s="5"/>
      <c r="AX192" s="5"/>
      <c r="AY192" s="35"/>
      <c r="AZ192" s="38"/>
      <c r="BA192" s="39"/>
      <c r="BB192" s="5"/>
      <c r="BC192" s="36"/>
      <c r="BD192" s="29"/>
      <c r="BE192" s="32"/>
      <c r="BF192" s="25"/>
      <c r="BG192" s="5"/>
      <c r="BH192" s="5"/>
      <c r="BI192" s="5"/>
      <c r="BJ192" s="5"/>
      <c r="BK192" s="5"/>
      <c r="BL192" s="5"/>
      <c r="BM192" s="4"/>
      <c r="BN192" s="3"/>
      <c r="BO192" s="39"/>
      <c r="BP192" s="4"/>
      <c r="BQ192" s="36"/>
      <c r="BR192" s="29"/>
      <c r="BT192" s="25"/>
      <c r="BU192" s="5"/>
      <c r="BV192" s="5"/>
      <c r="BW192" s="5"/>
      <c r="BX192" s="5"/>
      <c r="BY192" s="5"/>
      <c r="BZ192" s="5"/>
      <c r="CA192" s="4"/>
      <c r="CB192" s="3"/>
      <c r="CC192" s="39"/>
      <c r="CD192" s="4"/>
      <c r="CE192" s="36"/>
      <c r="CF192" s="29"/>
      <c r="CH192" s="14"/>
      <c r="CI192" s="39"/>
      <c r="CJ192" s="5" t="str">
        <f t="shared" si="612"/>
        <v/>
      </c>
      <c r="CK192" s="5"/>
      <c r="CL192" s="5"/>
      <c r="CM192" s="5"/>
      <c r="CN192" s="5" t="str">
        <f t="shared" si="613"/>
        <v/>
      </c>
      <c r="CO192" s="5"/>
      <c r="CP192" s="5"/>
      <c r="CQ192" s="5"/>
      <c r="CR192" s="5" t="str">
        <f t="shared" si="593"/>
        <v/>
      </c>
      <c r="CS192" s="36" t="str">
        <f t="shared" si="594"/>
        <v/>
      </c>
      <c r="CT192" s="29"/>
      <c r="CV192" s="14"/>
      <c r="CW192" s="39"/>
      <c r="CX192" s="5" t="str">
        <f t="shared" si="614"/>
        <v/>
      </c>
      <c r="CY192" s="5"/>
      <c r="CZ192" s="5"/>
      <c r="DA192" s="5"/>
      <c r="DB192" s="5" t="str">
        <f t="shared" si="615"/>
        <v/>
      </c>
      <c r="DC192" s="5"/>
      <c r="DD192" s="5"/>
      <c r="DE192" s="5"/>
      <c r="DF192" s="5" t="str">
        <f t="shared" si="595"/>
        <v/>
      </c>
      <c r="DG192" s="36" t="str">
        <f t="shared" si="596"/>
        <v/>
      </c>
      <c r="DH192" s="29"/>
      <c r="DJ192" s="14"/>
      <c r="DK192" s="39"/>
      <c r="DL192" s="5" t="str">
        <f t="shared" si="616"/>
        <v/>
      </c>
      <c r="DM192" s="5"/>
      <c r="DN192" s="5"/>
      <c r="DO192" s="5"/>
      <c r="DP192" s="5" t="str">
        <f t="shared" si="617"/>
        <v/>
      </c>
      <c r="DQ192" s="5"/>
      <c r="DR192" s="5"/>
      <c r="DS192" s="5"/>
      <c r="DT192" s="5" t="str">
        <f t="shared" si="597"/>
        <v/>
      </c>
      <c r="DU192" s="36" t="str">
        <f t="shared" si="598"/>
        <v/>
      </c>
      <c r="DV192" s="29"/>
      <c r="DX192" s="14"/>
      <c r="DY192" s="39"/>
      <c r="DZ192" s="5" t="str">
        <f t="shared" si="618"/>
        <v/>
      </c>
      <c r="EA192" s="5"/>
      <c r="EB192" s="5"/>
      <c r="EC192" s="5"/>
      <c r="ED192" s="5" t="str">
        <f t="shared" si="619"/>
        <v/>
      </c>
      <c r="EE192" s="5"/>
      <c r="EF192" s="5"/>
      <c r="EG192" s="5"/>
      <c r="EH192" s="5" t="str">
        <f t="shared" si="599"/>
        <v/>
      </c>
      <c r="EI192" s="36" t="str">
        <f t="shared" si="600"/>
        <v/>
      </c>
      <c r="EJ192" s="29"/>
      <c r="EL192" s="14"/>
      <c r="EM192" s="39"/>
      <c r="EN192" s="5" t="str">
        <f t="shared" si="620"/>
        <v/>
      </c>
      <c r="EO192" s="5"/>
      <c r="EP192" s="5"/>
      <c r="EQ192" s="5"/>
      <c r="ER192" s="5" t="str">
        <f t="shared" si="621"/>
        <v/>
      </c>
      <c r="ES192" s="5"/>
      <c r="ET192" s="5"/>
      <c r="EU192" s="5"/>
      <c r="EV192" s="5" t="str">
        <f t="shared" si="601"/>
        <v/>
      </c>
      <c r="EW192" s="36" t="str">
        <f t="shared" si="602"/>
        <v/>
      </c>
      <c r="EX192" s="29"/>
      <c r="EZ192" s="14"/>
      <c r="FA192" s="39"/>
      <c r="FB192" s="5" t="str">
        <f t="shared" si="622"/>
        <v/>
      </c>
      <c r="FC192" s="5"/>
      <c r="FD192" s="5"/>
      <c r="FE192" s="5"/>
      <c r="FF192" s="5" t="str">
        <f t="shared" si="623"/>
        <v/>
      </c>
      <c r="FG192" s="5"/>
      <c r="FH192" s="5"/>
      <c r="FI192" s="5"/>
      <c r="FJ192" s="5" t="str">
        <f t="shared" si="603"/>
        <v/>
      </c>
      <c r="FK192" s="36" t="str">
        <f t="shared" si="604"/>
        <v/>
      </c>
      <c r="FL192" s="29"/>
      <c r="FN192" s="14"/>
      <c r="FO192" s="39"/>
      <c r="FP192" s="5" t="str">
        <f t="shared" si="624"/>
        <v/>
      </c>
      <c r="FQ192" s="5"/>
      <c r="FR192" s="5"/>
      <c r="FS192" s="5"/>
      <c r="FT192" s="5" t="str">
        <f t="shared" si="625"/>
        <v/>
      </c>
      <c r="FU192" s="5"/>
      <c r="FV192" s="5"/>
      <c r="FW192" s="5"/>
      <c r="FX192" s="5" t="str">
        <f t="shared" si="605"/>
        <v/>
      </c>
      <c r="FY192" s="36" t="str">
        <f t="shared" si="606"/>
        <v/>
      </c>
      <c r="FZ192" s="29"/>
      <c r="GB192" s="14"/>
      <c r="GC192" s="39"/>
      <c r="GD192" s="5" t="str">
        <f t="shared" si="626"/>
        <v/>
      </c>
      <c r="GE192" s="5"/>
      <c r="GF192" s="5"/>
      <c r="GG192" s="5"/>
      <c r="GH192" s="5" t="str">
        <f t="shared" si="627"/>
        <v/>
      </c>
      <c r="GI192" s="5"/>
      <c r="GJ192" s="5"/>
      <c r="GK192" s="5"/>
      <c r="GL192" s="5" t="str">
        <f t="shared" si="607"/>
        <v/>
      </c>
      <c r="GM192" s="36" t="str">
        <f t="shared" si="608"/>
        <v/>
      </c>
      <c r="GN192" s="29"/>
      <c r="GP192" s="14"/>
      <c r="GQ192" s="39"/>
      <c r="GR192" s="5" t="str">
        <f t="shared" si="628"/>
        <v/>
      </c>
      <c r="GS192" s="5"/>
      <c r="GT192" s="5"/>
      <c r="GU192" s="5"/>
      <c r="GV192" s="5"/>
      <c r="GW192" s="5"/>
      <c r="GX192" s="5" t="str">
        <f t="shared" si="629"/>
        <v/>
      </c>
      <c r="GY192" s="5"/>
      <c r="GZ192" s="5"/>
      <c r="HA192" s="5"/>
      <c r="HB192" s="5" t="str">
        <f t="shared" si="609"/>
        <v/>
      </c>
      <c r="HC192" s="36" t="str">
        <f t="shared" si="610"/>
        <v/>
      </c>
      <c r="HD192" s="29"/>
      <c r="HF192" s="14"/>
      <c r="HG192" s="39"/>
      <c r="HH192" s="5" t="str">
        <f t="shared" si="630"/>
        <v/>
      </c>
      <c r="HI192" s="5"/>
      <c r="HJ192" s="29"/>
      <c r="HL192" s="14"/>
      <c r="HM192" s="39"/>
      <c r="HN192" s="5" t="str">
        <f t="shared" si="631"/>
        <v/>
      </c>
      <c r="HO192" s="5"/>
      <c r="HP192" s="29"/>
      <c r="HR192" s="14"/>
      <c r="HS192" s="39"/>
      <c r="HT192" s="5" t="str">
        <f t="shared" si="632"/>
        <v/>
      </c>
      <c r="HU192" s="5"/>
      <c r="HV192" s="29"/>
    </row>
    <row r="193" spans="1:230" ht="15" customHeight="1" x14ac:dyDescent="0.2">
      <c r="A193" s="54"/>
      <c r="B193" s="37"/>
      <c r="C193" s="57"/>
      <c r="D193" s="5"/>
      <c r="E193" s="5"/>
      <c r="F193" s="5"/>
      <c r="G193" s="5"/>
      <c r="H193" s="5"/>
      <c r="I193" s="35"/>
      <c r="J193" s="38"/>
      <c r="K193" s="5"/>
      <c r="L193" s="5"/>
      <c r="M193" s="36"/>
      <c r="N193" s="29"/>
      <c r="P193" s="54"/>
      <c r="Q193" s="57"/>
      <c r="R193" s="5"/>
      <c r="S193" s="5"/>
      <c r="T193" s="5"/>
      <c r="U193" s="5"/>
      <c r="V193" s="5"/>
      <c r="W193" s="35"/>
      <c r="X193" s="3"/>
      <c r="Y193" s="5"/>
      <c r="Z193" s="5"/>
      <c r="AA193" s="36"/>
      <c r="AB193" s="29"/>
      <c r="AD193" s="54"/>
      <c r="AE193" s="57"/>
      <c r="AF193" s="5"/>
      <c r="AG193" s="5"/>
      <c r="AH193" s="5"/>
      <c r="AI193" s="5"/>
      <c r="AJ193" s="5"/>
      <c r="AK193" s="35"/>
      <c r="AL193" s="38"/>
      <c r="AM193" s="5"/>
      <c r="AN193" s="5"/>
      <c r="AO193" s="36"/>
      <c r="AP193" s="29"/>
      <c r="AR193" s="54"/>
      <c r="AS193" s="57"/>
      <c r="AT193" s="5"/>
      <c r="AU193" s="5"/>
      <c r="AV193" s="5"/>
      <c r="AW193" s="5"/>
      <c r="AX193" s="5"/>
      <c r="AY193" s="35"/>
      <c r="AZ193" s="38"/>
      <c r="BA193" s="5"/>
      <c r="BB193" s="5"/>
      <c r="BC193" s="36"/>
      <c r="BD193" s="29"/>
      <c r="BE193" s="32"/>
      <c r="BF193" s="25"/>
      <c r="BG193" s="5"/>
      <c r="BH193" s="5"/>
      <c r="BI193" s="5"/>
      <c r="BJ193" s="5"/>
      <c r="BK193" s="5"/>
      <c r="BL193" s="5"/>
      <c r="BM193" s="57"/>
      <c r="BN193" s="3"/>
      <c r="BO193" s="39"/>
      <c r="BP193" s="5"/>
      <c r="BQ193" s="36"/>
      <c r="BR193" s="29"/>
      <c r="BT193" s="25"/>
      <c r="BU193" s="5"/>
      <c r="BV193" s="5"/>
      <c r="BW193" s="5"/>
      <c r="BX193" s="5"/>
      <c r="BY193" s="5"/>
      <c r="BZ193" s="5"/>
      <c r="CA193" s="57"/>
      <c r="CB193" s="3"/>
      <c r="CC193" s="39"/>
      <c r="CD193" s="5"/>
      <c r="CE193" s="36"/>
      <c r="CF193" s="29"/>
      <c r="CH193" s="14"/>
      <c r="CI193" s="39"/>
      <c r="CJ193" s="5" t="str">
        <f t="shared" si="612"/>
        <v/>
      </c>
      <c r="CK193" s="5"/>
      <c r="CL193" s="5"/>
      <c r="CM193" s="5"/>
      <c r="CN193" s="5" t="str">
        <f t="shared" si="613"/>
        <v/>
      </c>
      <c r="CO193" s="5"/>
      <c r="CP193" s="5"/>
      <c r="CQ193" s="5"/>
      <c r="CR193" s="5" t="str">
        <f t="shared" si="593"/>
        <v/>
      </c>
      <c r="CS193" s="36" t="str">
        <f t="shared" si="594"/>
        <v/>
      </c>
      <c r="CT193" s="29"/>
      <c r="CV193" s="14"/>
      <c r="CW193" s="39"/>
      <c r="CX193" s="5" t="str">
        <f t="shared" si="614"/>
        <v/>
      </c>
      <c r="CY193" s="5"/>
      <c r="CZ193" s="5"/>
      <c r="DA193" s="5"/>
      <c r="DB193" s="5" t="str">
        <f t="shared" si="615"/>
        <v/>
      </c>
      <c r="DC193" s="5"/>
      <c r="DD193" s="5"/>
      <c r="DE193" s="5"/>
      <c r="DF193" s="5" t="str">
        <f t="shared" si="595"/>
        <v/>
      </c>
      <c r="DG193" s="36" t="str">
        <f t="shared" si="596"/>
        <v/>
      </c>
      <c r="DH193" s="29"/>
      <c r="DJ193" s="14"/>
      <c r="DK193" s="39"/>
      <c r="DL193" s="5" t="str">
        <f t="shared" si="616"/>
        <v/>
      </c>
      <c r="DM193" s="5"/>
      <c r="DN193" s="5"/>
      <c r="DO193" s="5"/>
      <c r="DP193" s="5" t="str">
        <f t="shared" si="617"/>
        <v/>
      </c>
      <c r="DQ193" s="5"/>
      <c r="DR193" s="5"/>
      <c r="DS193" s="5"/>
      <c r="DT193" s="5" t="str">
        <f t="shared" si="597"/>
        <v/>
      </c>
      <c r="DU193" s="36" t="str">
        <f t="shared" si="598"/>
        <v/>
      </c>
      <c r="DV193" s="29"/>
      <c r="DX193" s="14"/>
      <c r="DY193" s="39"/>
      <c r="DZ193" s="5" t="str">
        <f t="shared" si="618"/>
        <v/>
      </c>
      <c r="EA193" s="5"/>
      <c r="EB193" s="5"/>
      <c r="EC193" s="5"/>
      <c r="ED193" s="5" t="str">
        <f t="shared" si="619"/>
        <v/>
      </c>
      <c r="EE193" s="5"/>
      <c r="EF193" s="5"/>
      <c r="EG193" s="5"/>
      <c r="EH193" s="5" t="str">
        <f t="shared" si="599"/>
        <v/>
      </c>
      <c r="EI193" s="36" t="str">
        <f t="shared" si="600"/>
        <v/>
      </c>
      <c r="EJ193" s="29"/>
      <c r="EL193" s="14"/>
      <c r="EM193" s="39"/>
      <c r="EN193" s="5" t="str">
        <f t="shared" si="620"/>
        <v/>
      </c>
      <c r="EO193" s="5"/>
      <c r="EP193" s="5"/>
      <c r="EQ193" s="5"/>
      <c r="ER193" s="5" t="str">
        <f t="shared" si="621"/>
        <v/>
      </c>
      <c r="ES193" s="5"/>
      <c r="ET193" s="5"/>
      <c r="EU193" s="5"/>
      <c r="EV193" s="5" t="str">
        <f t="shared" si="601"/>
        <v/>
      </c>
      <c r="EW193" s="36" t="str">
        <f t="shared" si="602"/>
        <v/>
      </c>
      <c r="EX193" s="29"/>
      <c r="EZ193" s="14"/>
      <c r="FA193" s="39"/>
      <c r="FB193" s="5" t="str">
        <f t="shared" si="622"/>
        <v/>
      </c>
      <c r="FC193" s="5"/>
      <c r="FD193" s="5"/>
      <c r="FE193" s="5"/>
      <c r="FF193" s="5" t="str">
        <f t="shared" si="623"/>
        <v/>
      </c>
      <c r="FG193" s="5"/>
      <c r="FH193" s="5"/>
      <c r="FI193" s="5"/>
      <c r="FJ193" s="5" t="str">
        <f t="shared" si="603"/>
        <v/>
      </c>
      <c r="FK193" s="36" t="str">
        <f t="shared" si="604"/>
        <v/>
      </c>
      <c r="FL193" s="29"/>
      <c r="FN193" s="14"/>
      <c r="FO193" s="39"/>
      <c r="FP193" s="5" t="str">
        <f t="shared" si="624"/>
        <v/>
      </c>
      <c r="FQ193" s="5"/>
      <c r="FR193" s="5"/>
      <c r="FS193" s="5"/>
      <c r="FT193" s="5" t="str">
        <f t="shared" si="625"/>
        <v/>
      </c>
      <c r="FU193" s="5"/>
      <c r="FV193" s="5"/>
      <c r="FW193" s="5"/>
      <c r="FX193" s="5" t="str">
        <f t="shared" si="605"/>
        <v/>
      </c>
      <c r="FY193" s="36" t="str">
        <f t="shared" si="606"/>
        <v/>
      </c>
      <c r="FZ193" s="29"/>
      <c r="GB193" s="14"/>
      <c r="GC193" s="39"/>
      <c r="GD193" s="5" t="str">
        <f t="shared" si="626"/>
        <v/>
      </c>
      <c r="GE193" s="5"/>
      <c r="GF193" s="5"/>
      <c r="GG193" s="5"/>
      <c r="GH193" s="5" t="str">
        <f t="shared" si="627"/>
        <v/>
      </c>
      <c r="GI193" s="5"/>
      <c r="GJ193" s="5"/>
      <c r="GK193" s="5"/>
      <c r="GL193" s="5" t="str">
        <f t="shared" si="607"/>
        <v/>
      </c>
      <c r="GM193" s="36" t="str">
        <f t="shared" si="608"/>
        <v/>
      </c>
      <c r="GN193" s="29"/>
      <c r="GP193" s="14"/>
      <c r="GQ193" s="39"/>
      <c r="GR193" s="5" t="str">
        <f t="shared" si="628"/>
        <v/>
      </c>
      <c r="GS193" s="5"/>
      <c r="GT193" s="5"/>
      <c r="GU193" s="5"/>
      <c r="GV193" s="5"/>
      <c r="GW193" s="5"/>
      <c r="GX193" s="5" t="str">
        <f t="shared" si="629"/>
        <v/>
      </c>
      <c r="GY193" s="5"/>
      <c r="GZ193" s="5"/>
      <c r="HA193" s="5"/>
      <c r="HB193" s="5" t="str">
        <f t="shared" si="609"/>
        <v/>
      </c>
      <c r="HC193" s="36" t="str">
        <f t="shared" si="610"/>
        <v/>
      </c>
      <c r="HD193" s="29"/>
      <c r="HF193" s="14"/>
      <c r="HG193" s="39"/>
      <c r="HH193" s="5" t="str">
        <f t="shared" si="630"/>
        <v/>
      </c>
      <c r="HI193" s="5"/>
      <c r="HJ193" s="29"/>
      <c r="HL193" s="14"/>
      <c r="HM193" s="39"/>
      <c r="HN193" s="5" t="str">
        <f t="shared" si="631"/>
        <v/>
      </c>
      <c r="HO193" s="5"/>
      <c r="HP193" s="29"/>
      <c r="HR193" s="14"/>
      <c r="HS193" s="39"/>
      <c r="HT193" s="5" t="str">
        <f t="shared" si="632"/>
        <v/>
      </c>
      <c r="HU193" s="5"/>
      <c r="HV193" s="29"/>
    </row>
    <row r="194" spans="1:230" ht="15" customHeight="1" thickBot="1" x14ac:dyDescent="0.25">
      <c r="A194" s="60"/>
      <c r="B194" s="42"/>
      <c r="C194" s="43"/>
      <c r="D194" s="61"/>
      <c r="E194" s="44"/>
      <c r="F194" s="44"/>
      <c r="G194" s="44"/>
      <c r="H194" s="44"/>
      <c r="I194" s="62"/>
      <c r="J194" s="47"/>
      <c r="K194" s="61"/>
      <c r="L194" s="44"/>
      <c r="M194" s="46"/>
      <c r="N194" s="29"/>
      <c r="P194" s="60"/>
      <c r="Q194" s="43"/>
      <c r="R194" s="61"/>
      <c r="S194" s="44"/>
      <c r="T194" s="44"/>
      <c r="U194" s="44"/>
      <c r="V194" s="44"/>
      <c r="W194" s="62"/>
      <c r="X194" s="45"/>
      <c r="Y194" s="61"/>
      <c r="Z194" s="44"/>
      <c r="AA194" s="46"/>
      <c r="AB194" s="29"/>
      <c r="AD194" s="60"/>
      <c r="AE194" s="43"/>
      <c r="AF194" s="61"/>
      <c r="AG194" s="44"/>
      <c r="AH194" s="44"/>
      <c r="AI194" s="44"/>
      <c r="AJ194" s="44"/>
      <c r="AK194" s="62"/>
      <c r="AL194" s="47"/>
      <c r="AM194" s="61"/>
      <c r="AN194" s="44"/>
      <c r="AO194" s="46"/>
      <c r="AP194" s="29"/>
      <c r="AR194" s="60"/>
      <c r="AS194" s="43"/>
      <c r="AT194" s="61"/>
      <c r="AU194" s="44"/>
      <c r="AV194" s="44"/>
      <c r="AW194" s="44"/>
      <c r="AX194" s="44"/>
      <c r="AY194" s="62"/>
      <c r="AZ194" s="47"/>
      <c r="BA194" s="61"/>
      <c r="BB194" s="44"/>
      <c r="BC194" s="46"/>
      <c r="BD194" s="29"/>
      <c r="BE194" s="32"/>
      <c r="BF194" s="41"/>
      <c r="BG194" s="44"/>
      <c r="BH194" s="44"/>
      <c r="BI194" s="44"/>
      <c r="BJ194" s="44"/>
      <c r="BK194" s="44"/>
      <c r="BL194" s="44"/>
      <c r="BM194" s="44"/>
      <c r="BN194" s="45"/>
      <c r="BO194" s="61"/>
      <c r="BP194" s="44"/>
      <c r="BQ194" s="46"/>
      <c r="BR194" s="29"/>
      <c r="BT194" s="41"/>
      <c r="BU194" s="44"/>
      <c r="BV194" s="44"/>
      <c r="BW194" s="44"/>
      <c r="BX194" s="44"/>
      <c r="BY194" s="44"/>
      <c r="BZ194" s="44"/>
      <c r="CA194" s="44"/>
      <c r="CB194" s="45"/>
      <c r="CC194" s="61"/>
      <c r="CD194" s="44"/>
      <c r="CE194" s="46"/>
      <c r="CF194" s="29"/>
      <c r="CH194" s="14"/>
      <c r="CI194" s="39"/>
      <c r="CJ194" s="5" t="str">
        <f t="shared" si="612"/>
        <v/>
      </c>
      <c r="CK194" s="5"/>
      <c r="CL194" s="5"/>
      <c r="CM194" s="5"/>
      <c r="CN194" s="5" t="str">
        <f t="shared" si="613"/>
        <v/>
      </c>
      <c r="CO194" s="5"/>
      <c r="CP194" s="5"/>
      <c r="CQ194" s="5"/>
      <c r="CR194" s="5" t="str">
        <f t="shared" si="593"/>
        <v/>
      </c>
      <c r="CS194" s="36" t="str">
        <f t="shared" si="594"/>
        <v/>
      </c>
      <c r="CT194" s="29"/>
      <c r="CV194" s="14"/>
      <c r="CW194" s="39"/>
      <c r="CX194" s="5" t="str">
        <f t="shared" si="614"/>
        <v/>
      </c>
      <c r="CY194" s="5"/>
      <c r="CZ194" s="5"/>
      <c r="DA194" s="5"/>
      <c r="DB194" s="5" t="str">
        <f t="shared" si="615"/>
        <v/>
      </c>
      <c r="DC194" s="5"/>
      <c r="DD194" s="5"/>
      <c r="DE194" s="5"/>
      <c r="DF194" s="5" t="str">
        <f t="shared" si="595"/>
        <v/>
      </c>
      <c r="DG194" s="36" t="str">
        <f t="shared" si="596"/>
        <v/>
      </c>
      <c r="DH194" s="29"/>
      <c r="DJ194" s="14"/>
      <c r="DK194" s="39"/>
      <c r="DL194" s="5" t="str">
        <f t="shared" si="616"/>
        <v/>
      </c>
      <c r="DM194" s="5"/>
      <c r="DN194" s="5"/>
      <c r="DO194" s="5"/>
      <c r="DP194" s="5" t="str">
        <f t="shared" si="617"/>
        <v/>
      </c>
      <c r="DQ194" s="5"/>
      <c r="DR194" s="5"/>
      <c r="DS194" s="5"/>
      <c r="DT194" s="5" t="str">
        <f t="shared" si="597"/>
        <v/>
      </c>
      <c r="DU194" s="36" t="str">
        <f t="shared" si="598"/>
        <v/>
      </c>
      <c r="DV194" s="29"/>
      <c r="DX194" s="14"/>
      <c r="DY194" s="39"/>
      <c r="DZ194" s="5" t="str">
        <f t="shared" si="618"/>
        <v/>
      </c>
      <c r="EA194" s="5"/>
      <c r="EB194" s="5"/>
      <c r="EC194" s="5"/>
      <c r="ED194" s="5" t="str">
        <f t="shared" si="619"/>
        <v/>
      </c>
      <c r="EE194" s="5"/>
      <c r="EF194" s="5"/>
      <c r="EG194" s="5"/>
      <c r="EH194" s="5" t="str">
        <f t="shared" si="599"/>
        <v/>
      </c>
      <c r="EI194" s="36" t="str">
        <f t="shared" si="600"/>
        <v/>
      </c>
      <c r="EJ194" s="29"/>
      <c r="EL194" s="14"/>
      <c r="EM194" s="39"/>
      <c r="EN194" s="5" t="str">
        <f t="shared" si="620"/>
        <v/>
      </c>
      <c r="EO194" s="5"/>
      <c r="EP194" s="5"/>
      <c r="EQ194" s="5"/>
      <c r="ER194" s="5" t="str">
        <f t="shared" si="621"/>
        <v/>
      </c>
      <c r="ES194" s="5"/>
      <c r="ET194" s="5"/>
      <c r="EU194" s="5"/>
      <c r="EV194" s="5" t="str">
        <f t="shared" si="601"/>
        <v/>
      </c>
      <c r="EW194" s="36" t="str">
        <f t="shared" si="602"/>
        <v/>
      </c>
      <c r="EX194" s="29"/>
      <c r="EZ194" s="14"/>
      <c r="FA194" s="39"/>
      <c r="FB194" s="5" t="str">
        <f t="shared" si="622"/>
        <v/>
      </c>
      <c r="FC194" s="5"/>
      <c r="FD194" s="5"/>
      <c r="FE194" s="5"/>
      <c r="FF194" s="5" t="str">
        <f t="shared" si="623"/>
        <v/>
      </c>
      <c r="FG194" s="5"/>
      <c r="FH194" s="5"/>
      <c r="FI194" s="5"/>
      <c r="FJ194" s="5" t="str">
        <f t="shared" si="603"/>
        <v/>
      </c>
      <c r="FK194" s="36" t="str">
        <f t="shared" si="604"/>
        <v/>
      </c>
      <c r="FL194" s="29"/>
      <c r="FN194" s="14"/>
      <c r="FO194" s="39"/>
      <c r="FP194" s="5" t="str">
        <f t="shared" si="624"/>
        <v/>
      </c>
      <c r="FQ194" s="5"/>
      <c r="FR194" s="5"/>
      <c r="FS194" s="5"/>
      <c r="FT194" s="5" t="str">
        <f t="shared" si="625"/>
        <v/>
      </c>
      <c r="FU194" s="5"/>
      <c r="FV194" s="5"/>
      <c r="FW194" s="5"/>
      <c r="FX194" s="5" t="str">
        <f t="shared" si="605"/>
        <v/>
      </c>
      <c r="FY194" s="36" t="str">
        <f t="shared" si="606"/>
        <v/>
      </c>
      <c r="FZ194" s="29"/>
      <c r="GB194" s="14"/>
      <c r="GC194" s="39"/>
      <c r="GD194" s="5" t="str">
        <f t="shared" si="626"/>
        <v/>
      </c>
      <c r="GE194" s="5"/>
      <c r="GF194" s="5"/>
      <c r="GG194" s="5"/>
      <c r="GH194" s="5" t="str">
        <f t="shared" si="627"/>
        <v/>
      </c>
      <c r="GI194" s="5"/>
      <c r="GJ194" s="5"/>
      <c r="GK194" s="5"/>
      <c r="GL194" s="5" t="str">
        <f t="shared" si="607"/>
        <v/>
      </c>
      <c r="GM194" s="36" t="str">
        <f t="shared" si="608"/>
        <v/>
      </c>
      <c r="GN194" s="29"/>
      <c r="GP194" s="14"/>
      <c r="GQ194" s="39"/>
      <c r="GR194" s="5" t="str">
        <f t="shared" si="628"/>
        <v/>
      </c>
      <c r="GS194" s="5"/>
      <c r="GT194" s="5"/>
      <c r="GU194" s="5"/>
      <c r="GV194" s="5"/>
      <c r="GW194" s="5"/>
      <c r="GX194" s="5" t="str">
        <f t="shared" si="629"/>
        <v/>
      </c>
      <c r="GY194" s="5"/>
      <c r="GZ194" s="5"/>
      <c r="HA194" s="5"/>
      <c r="HB194" s="5" t="str">
        <f t="shared" si="609"/>
        <v/>
      </c>
      <c r="HC194" s="36" t="str">
        <f t="shared" si="610"/>
        <v/>
      </c>
      <c r="HD194" s="29"/>
      <c r="HF194" s="14"/>
      <c r="HG194" s="39"/>
      <c r="HH194" s="5" t="str">
        <f t="shared" si="630"/>
        <v/>
      </c>
      <c r="HI194" s="5"/>
      <c r="HJ194" s="29"/>
      <c r="HL194" s="14"/>
      <c r="HM194" s="39"/>
      <c r="HN194" s="5" t="str">
        <f t="shared" si="631"/>
        <v/>
      </c>
      <c r="HO194" s="5"/>
      <c r="HP194" s="29"/>
      <c r="HR194" s="14"/>
      <c r="HS194" s="39"/>
      <c r="HT194" s="5" t="str">
        <f t="shared" si="632"/>
        <v/>
      </c>
      <c r="HU194" s="5"/>
      <c r="HV194" s="29"/>
    </row>
    <row r="195" spans="1:230" ht="15" customHeight="1" thickTop="1" x14ac:dyDescent="0.2">
      <c r="A195" s="49"/>
      <c r="B195" s="26">
        <f>SUM(D195:D198)+SUM(R195:R198)+SUM(AF195:AF198)+SUM(AT195:AT198)+SUM(CJ189,DL189,DZ189,EN189,FB189,FP189,GD189,GR189,HH189,HN189,HT189)+SUM(BH195:BH196)+SUM(BV195:BV196)</f>
        <v>0</v>
      </c>
      <c r="C195" s="4"/>
      <c r="D195" s="4" t="str">
        <f t="shared" si="633"/>
        <v/>
      </c>
      <c r="E195" s="4"/>
      <c r="F195" s="50" t="str">
        <f t="shared" si="634"/>
        <v/>
      </c>
      <c r="G195" s="4"/>
      <c r="H195" s="4" t="str">
        <f t="shared" si="561"/>
        <v/>
      </c>
      <c r="I195" s="35"/>
      <c r="J195" s="31" t="str">
        <f t="shared" si="635"/>
        <v/>
      </c>
      <c r="K195" s="27" t="str">
        <f t="shared" si="636"/>
        <v/>
      </c>
      <c r="L195" s="50" t="str">
        <f t="shared" si="637"/>
        <v/>
      </c>
      <c r="M195" s="52" t="str">
        <f t="shared" si="638"/>
        <v/>
      </c>
      <c r="N195" s="29"/>
      <c r="P195" s="53" t="str">
        <f>IF($A$417="","",$A$417)</f>
        <v/>
      </c>
      <c r="Q195" s="4"/>
      <c r="R195" s="4" t="str">
        <f t="shared" si="639"/>
        <v/>
      </c>
      <c r="S195" s="4"/>
      <c r="T195" s="50" t="str">
        <f t="shared" si="640"/>
        <v/>
      </c>
      <c r="U195" s="4"/>
      <c r="V195" s="4" t="str">
        <f t="shared" si="641"/>
        <v/>
      </c>
      <c r="W195" s="35"/>
      <c r="X195" s="2" t="str">
        <f t="shared" si="611"/>
        <v/>
      </c>
      <c r="Y195" s="27" t="str">
        <f t="shared" si="663"/>
        <v/>
      </c>
      <c r="Z195" s="50" t="str">
        <f t="shared" si="642"/>
        <v/>
      </c>
      <c r="AA195" s="52" t="str">
        <f t="shared" si="643"/>
        <v/>
      </c>
      <c r="AB195" s="29"/>
      <c r="AD195" s="53" t="str">
        <f>IF($A$417="","",$A$417)</f>
        <v/>
      </c>
      <c r="AE195" s="4"/>
      <c r="AF195" s="4" t="str">
        <f t="shared" si="644"/>
        <v/>
      </c>
      <c r="AG195" s="4"/>
      <c r="AH195" s="50" t="str">
        <f t="shared" si="645"/>
        <v/>
      </c>
      <c r="AI195" s="4"/>
      <c r="AJ195" s="4" t="str">
        <f t="shared" si="646"/>
        <v/>
      </c>
      <c r="AK195" s="35"/>
      <c r="AL195" s="31" t="str">
        <f t="shared" si="647"/>
        <v/>
      </c>
      <c r="AM195" s="27" t="str">
        <f t="shared" si="648"/>
        <v/>
      </c>
      <c r="AN195" s="50" t="str">
        <f t="shared" si="649"/>
        <v/>
      </c>
      <c r="AO195" s="52" t="str">
        <f t="shared" si="650"/>
        <v/>
      </c>
      <c r="AP195" s="29"/>
      <c r="AR195" s="53" t="str">
        <f>IF($A$417="","",$A$417)</f>
        <v/>
      </c>
      <c r="AS195" s="4"/>
      <c r="AT195" s="4" t="str">
        <f t="shared" si="651"/>
        <v/>
      </c>
      <c r="AU195" s="4"/>
      <c r="AV195" s="50" t="str">
        <f t="shared" si="664"/>
        <v/>
      </c>
      <c r="AW195" s="4"/>
      <c r="AX195" s="4" t="str">
        <f t="shared" si="652"/>
        <v/>
      </c>
      <c r="AY195" s="35"/>
      <c r="AZ195" s="31" t="str">
        <f t="shared" si="662"/>
        <v/>
      </c>
      <c r="BA195" s="27" t="str">
        <f t="shared" si="653"/>
        <v/>
      </c>
      <c r="BB195" s="50" t="str">
        <f t="shared" si="654"/>
        <v/>
      </c>
      <c r="BC195" s="52" t="str">
        <f t="shared" si="655"/>
        <v/>
      </c>
      <c r="BD195" s="29"/>
      <c r="BE195" s="32"/>
      <c r="BF195" s="33" t="str">
        <f>IF($A162="","",$A162)</f>
        <v/>
      </c>
      <c r="BG195" s="4"/>
      <c r="BH195" s="4" t="str">
        <f t="shared" si="656"/>
        <v/>
      </c>
      <c r="BI195" s="4"/>
      <c r="BJ195" s="50" t="str">
        <f t="shared" si="657"/>
        <v/>
      </c>
      <c r="BK195" s="4"/>
      <c r="BL195" s="4" t="str">
        <f t="shared" si="658"/>
        <v/>
      </c>
      <c r="BM195" s="4"/>
      <c r="BN195" s="2" t="str">
        <f>IF(BG195="","",BN191)</f>
        <v/>
      </c>
      <c r="BO195" s="27" t="str">
        <f>IF(BG195="","",BO191)</f>
        <v/>
      </c>
      <c r="BP195" s="5" t="str">
        <f t="shared" si="659"/>
        <v/>
      </c>
      <c r="BQ195" s="52" t="str">
        <f>IF(BL195="","",BP195/(BH195*100))</f>
        <v/>
      </c>
      <c r="BR195" s="29"/>
      <c r="BT195" s="33" t="str">
        <f>IF($A162="","",$A162)</f>
        <v/>
      </c>
      <c r="BU195" s="4"/>
      <c r="BV195" s="4" t="str">
        <f t="shared" si="660"/>
        <v/>
      </c>
      <c r="BW195" s="4"/>
      <c r="BX195" s="50" t="str">
        <f t="shared" si="661"/>
        <v/>
      </c>
      <c r="BY195" s="4"/>
      <c r="BZ195" s="4" t="str">
        <f>IF(BY195="","",BY191+CA191-BY195)</f>
        <v/>
      </c>
      <c r="CA195" s="4"/>
      <c r="CB195" s="2" t="str">
        <f>IF(BU195="","",CB191)</f>
        <v/>
      </c>
      <c r="CC195" s="27" t="str">
        <f>IF(BU195="","",CC191)</f>
        <v/>
      </c>
      <c r="CD195" s="5" t="str">
        <f>IF(BY195="","",BZ195*CC195)</f>
        <v/>
      </c>
      <c r="CE195" s="52" t="str">
        <f>IF(BZ195="","",CD195/(BV195*100))</f>
        <v/>
      </c>
      <c r="CF195" s="29"/>
      <c r="CH195" s="14"/>
      <c r="CI195" s="39"/>
      <c r="CJ195" s="5" t="str">
        <f t="shared" si="612"/>
        <v/>
      </c>
      <c r="CK195" s="5"/>
      <c r="CL195" s="5"/>
      <c r="CM195" s="5"/>
      <c r="CN195" s="5" t="str">
        <f t="shared" si="613"/>
        <v/>
      </c>
      <c r="CO195" s="5"/>
      <c r="CP195" s="5"/>
      <c r="CQ195" s="5"/>
      <c r="CR195" s="5" t="str">
        <f t="shared" si="593"/>
        <v/>
      </c>
      <c r="CS195" s="36" t="str">
        <f t="shared" si="594"/>
        <v/>
      </c>
      <c r="CT195" s="29"/>
      <c r="CV195" s="14"/>
      <c r="CW195" s="39"/>
      <c r="CX195" s="5" t="str">
        <f t="shared" si="614"/>
        <v/>
      </c>
      <c r="CY195" s="5"/>
      <c r="CZ195" s="5"/>
      <c r="DA195" s="5"/>
      <c r="DB195" s="5" t="str">
        <f t="shared" si="615"/>
        <v/>
      </c>
      <c r="DC195" s="5"/>
      <c r="DD195" s="5"/>
      <c r="DE195" s="5"/>
      <c r="DF195" s="5" t="str">
        <f t="shared" si="595"/>
        <v/>
      </c>
      <c r="DG195" s="36" t="str">
        <f t="shared" si="596"/>
        <v/>
      </c>
      <c r="DH195" s="29"/>
      <c r="DJ195" s="14"/>
      <c r="DK195" s="39"/>
      <c r="DL195" s="5" t="str">
        <f t="shared" si="616"/>
        <v/>
      </c>
      <c r="DM195" s="5"/>
      <c r="DN195" s="5"/>
      <c r="DO195" s="5"/>
      <c r="DP195" s="5" t="str">
        <f t="shared" si="617"/>
        <v/>
      </c>
      <c r="DQ195" s="5"/>
      <c r="DR195" s="5"/>
      <c r="DS195" s="5"/>
      <c r="DT195" s="5" t="str">
        <f t="shared" si="597"/>
        <v/>
      </c>
      <c r="DU195" s="36" t="str">
        <f t="shared" si="598"/>
        <v/>
      </c>
      <c r="DV195" s="29"/>
      <c r="DX195" s="14"/>
      <c r="DY195" s="39"/>
      <c r="DZ195" s="5" t="str">
        <f t="shared" si="618"/>
        <v/>
      </c>
      <c r="EA195" s="5"/>
      <c r="EB195" s="5"/>
      <c r="EC195" s="5"/>
      <c r="ED195" s="5" t="str">
        <f t="shared" si="619"/>
        <v/>
      </c>
      <c r="EE195" s="5"/>
      <c r="EF195" s="5"/>
      <c r="EG195" s="5"/>
      <c r="EH195" s="5" t="str">
        <f t="shared" si="599"/>
        <v/>
      </c>
      <c r="EI195" s="36" t="str">
        <f t="shared" si="600"/>
        <v/>
      </c>
      <c r="EJ195" s="29"/>
      <c r="EL195" s="14"/>
      <c r="EM195" s="39"/>
      <c r="EN195" s="5" t="str">
        <f t="shared" si="620"/>
        <v/>
      </c>
      <c r="EO195" s="5"/>
      <c r="EP195" s="5"/>
      <c r="EQ195" s="5"/>
      <c r="ER195" s="5" t="str">
        <f t="shared" si="621"/>
        <v/>
      </c>
      <c r="ES195" s="5"/>
      <c r="ET195" s="5"/>
      <c r="EU195" s="5"/>
      <c r="EV195" s="5" t="str">
        <f t="shared" si="601"/>
        <v/>
      </c>
      <c r="EW195" s="36" t="str">
        <f t="shared" si="602"/>
        <v/>
      </c>
      <c r="EX195" s="29"/>
      <c r="EZ195" s="14"/>
      <c r="FA195" s="39"/>
      <c r="FB195" s="5" t="str">
        <f t="shared" si="622"/>
        <v/>
      </c>
      <c r="FC195" s="5"/>
      <c r="FD195" s="5"/>
      <c r="FE195" s="5"/>
      <c r="FF195" s="5" t="str">
        <f t="shared" si="623"/>
        <v/>
      </c>
      <c r="FG195" s="5"/>
      <c r="FH195" s="5"/>
      <c r="FI195" s="5"/>
      <c r="FJ195" s="5" t="str">
        <f t="shared" si="603"/>
        <v/>
      </c>
      <c r="FK195" s="36" t="str">
        <f t="shared" si="604"/>
        <v/>
      </c>
      <c r="FL195" s="29"/>
      <c r="FN195" s="14"/>
      <c r="FO195" s="39"/>
      <c r="FP195" s="5" t="str">
        <f t="shared" si="624"/>
        <v/>
      </c>
      <c r="FQ195" s="5"/>
      <c r="FR195" s="5"/>
      <c r="FS195" s="5"/>
      <c r="FT195" s="5" t="str">
        <f t="shared" si="625"/>
        <v/>
      </c>
      <c r="FU195" s="5"/>
      <c r="FV195" s="5"/>
      <c r="FW195" s="5"/>
      <c r="FX195" s="5" t="str">
        <f t="shared" si="605"/>
        <v/>
      </c>
      <c r="FY195" s="36" t="str">
        <f t="shared" si="606"/>
        <v/>
      </c>
      <c r="FZ195" s="29"/>
      <c r="GB195" s="14"/>
      <c r="GC195" s="39"/>
      <c r="GD195" s="5" t="str">
        <f t="shared" si="626"/>
        <v/>
      </c>
      <c r="GE195" s="5"/>
      <c r="GF195" s="5"/>
      <c r="GG195" s="5"/>
      <c r="GH195" s="5" t="str">
        <f t="shared" si="627"/>
        <v/>
      </c>
      <c r="GI195" s="5"/>
      <c r="GJ195" s="5"/>
      <c r="GK195" s="5"/>
      <c r="GL195" s="5" t="str">
        <f t="shared" si="607"/>
        <v/>
      </c>
      <c r="GM195" s="36" t="str">
        <f t="shared" si="608"/>
        <v/>
      </c>
      <c r="GN195" s="29"/>
      <c r="GP195" s="14"/>
      <c r="GQ195" s="39"/>
      <c r="GR195" s="5" t="str">
        <f t="shared" si="628"/>
        <v/>
      </c>
      <c r="GS195" s="5"/>
      <c r="GT195" s="5"/>
      <c r="GU195" s="5"/>
      <c r="GV195" s="5"/>
      <c r="GW195" s="5"/>
      <c r="GX195" s="5" t="str">
        <f t="shared" si="629"/>
        <v/>
      </c>
      <c r="GY195" s="5"/>
      <c r="GZ195" s="5"/>
      <c r="HA195" s="5"/>
      <c r="HB195" s="5" t="str">
        <f t="shared" si="609"/>
        <v/>
      </c>
      <c r="HC195" s="36" t="str">
        <f t="shared" si="610"/>
        <v/>
      </c>
      <c r="HD195" s="29"/>
      <c r="HF195" s="14"/>
      <c r="HG195" s="39"/>
      <c r="HH195" s="5" t="str">
        <f t="shared" si="630"/>
        <v/>
      </c>
      <c r="HI195" s="5"/>
      <c r="HJ195" s="29"/>
      <c r="HL195" s="14"/>
      <c r="HM195" s="39"/>
      <c r="HN195" s="5" t="str">
        <f t="shared" si="631"/>
        <v/>
      </c>
      <c r="HO195" s="5"/>
      <c r="HP195" s="29"/>
      <c r="HR195" s="14"/>
      <c r="HS195" s="39"/>
      <c r="HT195" s="5" t="str">
        <f t="shared" si="632"/>
        <v/>
      </c>
      <c r="HU195" s="5"/>
      <c r="HV195" s="29"/>
    </row>
    <row r="196" spans="1:230" ht="15" customHeight="1" x14ac:dyDescent="0.2">
      <c r="A196" s="54"/>
      <c r="B196" s="37"/>
      <c r="C196" s="5"/>
      <c r="D196" s="5" t="str">
        <f t="shared" si="633"/>
        <v/>
      </c>
      <c r="E196" s="5"/>
      <c r="F196" s="5" t="str">
        <f t="shared" si="634"/>
        <v/>
      </c>
      <c r="G196" s="5"/>
      <c r="H196" s="5" t="str">
        <f t="shared" si="561"/>
        <v/>
      </c>
      <c r="I196" s="35"/>
      <c r="J196" s="38" t="str">
        <f t="shared" si="635"/>
        <v/>
      </c>
      <c r="K196" s="39" t="str">
        <f t="shared" si="636"/>
        <v/>
      </c>
      <c r="L196" s="5" t="str">
        <f t="shared" si="637"/>
        <v/>
      </c>
      <c r="M196" s="36" t="str">
        <f t="shared" si="638"/>
        <v/>
      </c>
      <c r="N196" s="29"/>
      <c r="P196" s="54"/>
      <c r="Q196" s="5"/>
      <c r="R196" s="5" t="str">
        <f t="shared" si="639"/>
        <v/>
      </c>
      <c r="S196" s="5"/>
      <c r="T196" s="5" t="str">
        <f t="shared" si="640"/>
        <v/>
      </c>
      <c r="U196" s="5"/>
      <c r="V196" s="5" t="str">
        <f t="shared" si="641"/>
        <v/>
      </c>
      <c r="W196" s="35"/>
      <c r="X196" s="3" t="str">
        <f t="shared" si="611"/>
        <v/>
      </c>
      <c r="Y196" s="39" t="str">
        <f t="shared" si="663"/>
        <v/>
      </c>
      <c r="Z196" s="5" t="str">
        <f t="shared" si="642"/>
        <v/>
      </c>
      <c r="AA196" s="36" t="str">
        <f t="shared" si="643"/>
        <v/>
      </c>
      <c r="AB196" s="29"/>
      <c r="AD196" s="54"/>
      <c r="AE196" s="5"/>
      <c r="AF196" s="5" t="str">
        <f t="shared" si="644"/>
        <v/>
      </c>
      <c r="AG196" s="5"/>
      <c r="AH196" s="5" t="str">
        <f t="shared" si="645"/>
        <v/>
      </c>
      <c r="AI196" s="5"/>
      <c r="AJ196" s="5" t="str">
        <f t="shared" si="646"/>
        <v/>
      </c>
      <c r="AK196" s="35"/>
      <c r="AL196" s="38" t="str">
        <f t="shared" si="647"/>
        <v/>
      </c>
      <c r="AM196" s="39" t="str">
        <f t="shared" si="648"/>
        <v/>
      </c>
      <c r="AN196" s="5" t="str">
        <f t="shared" si="649"/>
        <v/>
      </c>
      <c r="AO196" s="36" t="str">
        <f t="shared" si="650"/>
        <v/>
      </c>
      <c r="AP196" s="29"/>
      <c r="AR196" s="54"/>
      <c r="AS196" s="5"/>
      <c r="AT196" s="5" t="str">
        <f t="shared" si="651"/>
        <v/>
      </c>
      <c r="AU196" s="5"/>
      <c r="AV196" s="5" t="str">
        <f t="shared" si="664"/>
        <v/>
      </c>
      <c r="AW196" s="5"/>
      <c r="AX196" s="5" t="str">
        <f t="shared" si="652"/>
        <v/>
      </c>
      <c r="AY196" s="35"/>
      <c r="AZ196" s="38" t="str">
        <f t="shared" si="662"/>
        <v/>
      </c>
      <c r="BA196" s="39" t="str">
        <f t="shared" si="653"/>
        <v/>
      </c>
      <c r="BB196" s="5" t="str">
        <f t="shared" si="654"/>
        <v/>
      </c>
      <c r="BC196" s="36" t="str">
        <f t="shared" si="655"/>
        <v/>
      </c>
      <c r="BD196" s="29"/>
      <c r="BE196" s="32"/>
      <c r="BF196" s="25"/>
      <c r="BG196" s="5"/>
      <c r="BH196" s="5" t="str">
        <f t="shared" si="656"/>
        <v/>
      </c>
      <c r="BI196" s="5"/>
      <c r="BJ196" s="5" t="str">
        <f t="shared" si="657"/>
        <v/>
      </c>
      <c r="BK196" s="5"/>
      <c r="BL196" s="5" t="str">
        <f t="shared" si="658"/>
        <v/>
      </c>
      <c r="BM196" s="5"/>
      <c r="BN196" s="3" t="str">
        <f>IF(BG195="","",BN192)</f>
        <v/>
      </c>
      <c r="BO196" s="39" t="str">
        <f>IF(BG195="","",BO192)</f>
        <v/>
      </c>
      <c r="BP196" s="4" t="str">
        <f t="shared" si="659"/>
        <v/>
      </c>
      <c r="BQ196" s="36" t="str">
        <f>IF(BL196="","",BP196/(BH196*100))</f>
        <v/>
      </c>
      <c r="BR196" s="29"/>
      <c r="BT196" s="25"/>
      <c r="BU196" s="5"/>
      <c r="BV196" s="5" t="str">
        <f t="shared" si="660"/>
        <v/>
      </c>
      <c r="BW196" s="5"/>
      <c r="BX196" s="5" t="str">
        <f t="shared" si="661"/>
        <v/>
      </c>
      <c r="BY196" s="5"/>
      <c r="BZ196" s="5" t="str">
        <f>IF(BY196="","",BY192+CA192-BY196)</f>
        <v/>
      </c>
      <c r="CA196" s="4"/>
      <c r="CB196" s="3" t="str">
        <f>IF(BU196="","",CB192)</f>
        <v/>
      </c>
      <c r="CC196" s="39" t="str">
        <f>IF(BU195="","",CC192)</f>
        <v/>
      </c>
      <c r="CD196" s="4" t="str">
        <f>IF(BY196="","",BZ196*CC196)</f>
        <v/>
      </c>
      <c r="CE196" s="36" t="str">
        <f>IF(BZ196="","",CD196/(BV196*100))</f>
        <v/>
      </c>
      <c r="CF196" s="29"/>
      <c r="CH196" s="14"/>
      <c r="CI196" s="39"/>
      <c r="CJ196" s="5" t="str">
        <f t="shared" si="612"/>
        <v/>
      </c>
      <c r="CK196" s="5"/>
      <c r="CL196" s="5"/>
      <c r="CM196" s="5"/>
      <c r="CN196" s="5" t="str">
        <f t="shared" si="613"/>
        <v/>
      </c>
      <c r="CO196" s="5"/>
      <c r="CP196" s="5"/>
      <c r="CQ196" s="5"/>
      <c r="CR196" s="5" t="str">
        <f t="shared" si="593"/>
        <v/>
      </c>
      <c r="CS196" s="36" t="str">
        <f t="shared" si="594"/>
        <v/>
      </c>
      <c r="CT196" s="29"/>
      <c r="CV196" s="14"/>
      <c r="CW196" s="39"/>
      <c r="CX196" s="5" t="str">
        <f t="shared" si="614"/>
        <v/>
      </c>
      <c r="CY196" s="5"/>
      <c r="CZ196" s="5"/>
      <c r="DA196" s="5"/>
      <c r="DB196" s="5" t="str">
        <f t="shared" si="615"/>
        <v/>
      </c>
      <c r="DC196" s="5"/>
      <c r="DD196" s="5"/>
      <c r="DE196" s="5"/>
      <c r="DF196" s="5" t="str">
        <f t="shared" si="595"/>
        <v/>
      </c>
      <c r="DG196" s="36" t="str">
        <f t="shared" si="596"/>
        <v/>
      </c>
      <c r="DH196" s="29"/>
      <c r="DJ196" s="14"/>
      <c r="DK196" s="39"/>
      <c r="DL196" s="5" t="str">
        <f t="shared" si="616"/>
        <v/>
      </c>
      <c r="DM196" s="5"/>
      <c r="DN196" s="5"/>
      <c r="DO196" s="5"/>
      <c r="DP196" s="5" t="str">
        <f t="shared" si="617"/>
        <v/>
      </c>
      <c r="DQ196" s="5"/>
      <c r="DR196" s="5"/>
      <c r="DS196" s="5"/>
      <c r="DT196" s="5" t="str">
        <f t="shared" si="597"/>
        <v/>
      </c>
      <c r="DU196" s="36" t="str">
        <f t="shared" si="598"/>
        <v/>
      </c>
      <c r="DV196" s="29"/>
      <c r="DX196" s="14"/>
      <c r="DY196" s="39"/>
      <c r="DZ196" s="5" t="str">
        <f t="shared" si="618"/>
        <v/>
      </c>
      <c r="EA196" s="5"/>
      <c r="EB196" s="5"/>
      <c r="EC196" s="5"/>
      <c r="ED196" s="5" t="str">
        <f t="shared" si="619"/>
        <v/>
      </c>
      <c r="EE196" s="5"/>
      <c r="EF196" s="5"/>
      <c r="EG196" s="5"/>
      <c r="EH196" s="5" t="str">
        <f t="shared" si="599"/>
        <v/>
      </c>
      <c r="EI196" s="36" t="str">
        <f t="shared" si="600"/>
        <v/>
      </c>
      <c r="EJ196" s="29"/>
      <c r="EL196" s="14"/>
      <c r="EM196" s="39"/>
      <c r="EN196" s="5" t="str">
        <f t="shared" si="620"/>
        <v/>
      </c>
      <c r="EO196" s="5"/>
      <c r="EP196" s="5"/>
      <c r="EQ196" s="5"/>
      <c r="ER196" s="5" t="str">
        <f t="shared" si="621"/>
        <v/>
      </c>
      <c r="ES196" s="5"/>
      <c r="ET196" s="5"/>
      <c r="EU196" s="5"/>
      <c r="EV196" s="5" t="str">
        <f t="shared" si="601"/>
        <v/>
      </c>
      <c r="EW196" s="36" t="str">
        <f t="shared" si="602"/>
        <v/>
      </c>
      <c r="EX196" s="29"/>
      <c r="EZ196" s="14"/>
      <c r="FA196" s="39"/>
      <c r="FB196" s="5" t="str">
        <f t="shared" si="622"/>
        <v/>
      </c>
      <c r="FC196" s="5"/>
      <c r="FD196" s="5"/>
      <c r="FE196" s="5"/>
      <c r="FF196" s="5" t="str">
        <f t="shared" si="623"/>
        <v/>
      </c>
      <c r="FG196" s="5"/>
      <c r="FH196" s="5"/>
      <c r="FI196" s="5"/>
      <c r="FJ196" s="5" t="str">
        <f t="shared" si="603"/>
        <v/>
      </c>
      <c r="FK196" s="36" t="str">
        <f t="shared" si="604"/>
        <v/>
      </c>
      <c r="FL196" s="29"/>
      <c r="FN196" s="14"/>
      <c r="FO196" s="39"/>
      <c r="FP196" s="5" t="str">
        <f t="shared" si="624"/>
        <v/>
      </c>
      <c r="FQ196" s="5"/>
      <c r="FR196" s="5"/>
      <c r="FS196" s="5"/>
      <c r="FT196" s="5" t="str">
        <f t="shared" si="625"/>
        <v/>
      </c>
      <c r="FU196" s="5"/>
      <c r="FV196" s="5"/>
      <c r="FW196" s="5"/>
      <c r="FX196" s="5" t="str">
        <f t="shared" si="605"/>
        <v/>
      </c>
      <c r="FY196" s="36" t="str">
        <f t="shared" si="606"/>
        <v/>
      </c>
      <c r="FZ196" s="29"/>
      <c r="GB196" s="14"/>
      <c r="GC196" s="39"/>
      <c r="GD196" s="5" t="str">
        <f t="shared" si="626"/>
        <v/>
      </c>
      <c r="GE196" s="5"/>
      <c r="GF196" s="5"/>
      <c r="GG196" s="5"/>
      <c r="GH196" s="5" t="str">
        <f t="shared" si="627"/>
        <v/>
      </c>
      <c r="GI196" s="5"/>
      <c r="GJ196" s="5"/>
      <c r="GK196" s="5"/>
      <c r="GL196" s="5" t="str">
        <f t="shared" si="607"/>
        <v/>
      </c>
      <c r="GM196" s="36" t="str">
        <f t="shared" si="608"/>
        <v/>
      </c>
      <c r="GN196" s="29"/>
      <c r="GP196" s="14"/>
      <c r="GQ196" s="39"/>
      <c r="GR196" s="5" t="str">
        <f t="shared" si="628"/>
        <v/>
      </c>
      <c r="GS196" s="5"/>
      <c r="GT196" s="5"/>
      <c r="GU196" s="5"/>
      <c r="GV196" s="5"/>
      <c r="GW196" s="5"/>
      <c r="GX196" s="5" t="str">
        <f t="shared" si="629"/>
        <v/>
      </c>
      <c r="GY196" s="5"/>
      <c r="GZ196" s="5"/>
      <c r="HA196" s="5"/>
      <c r="HB196" s="5" t="str">
        <f t="shared" si="609"/>
        <v/>
      </c>
      <c r="HC196" s="36" t="str">
        <f t="shared" si="610"/>
        <v/>
      </c>
      <c r="HD196" s="29"/>
      <c r="HF196" s="14"/>
      <c r="HG196" s="39"/>
      <c r="HH196" s="5" t="str">
        <f t="shared" si="630"/>
        <v/>
      </c>
      <c r="HI196" s="5"/>
      <c r="HJ196" s="29"/>
      <c r="HL196" s="14"/>
      <c r="HM196" s="39"/>
      <c r="HN196" s="5" t="str">
        <f t="shared" si="631"/>
        <v/>
      </c>
      <c r="HO196" s="5"/>
      <c r="HP196" s="29"/>
      <c r="HR196" s="14"/>
      <c r="HS196" s="39"/>
      <c r="HT196" s="5" t="str">
        <f t="shared" si="632"/>
        <v/>
      </c>
      <c r="HU196" s="5"/>
      <c r="HV196" s="29"/>
    </row>
    <row r="197" spans="1:230" ht="15" customHeight="1" x14ac:dyDescent="0.2">
      <c r="A197" s="54"/>
      <c r="B197" s="37"/>
      <c r="C197" s="58"/>
      <c r="D197" s="5" t="str">
        <f t="shared" si="633"/>
        <v/>
      </c>
      <c r="E197" s="5"/>
      <c r="F197" s="5" t="str">
        <f t="shared" si="634"/>
        <v/>
      </c>
      <c r="G197" s="58"/>
      <c r="H197" s="5" t="str">
        <f t="shared" si="561"/>
        <v/>
      </c>
      <c r="I197" s="59"/>
      <c r="J197" s="38" t="str">
        <f t="shared" si="635"/>
        <v/>
      </c>
      <c r="K197" s="5" t="str">
        <f t="shared" si="636"/>
        <v/>
      </c>
      <c r="L197" s="5" t="str">
        <f t="shared" si="637"/>
        <v/>
      </c>
      <c r="M197" s="36" t="str">
        <f t="shared" si="638"/>
        <v/>
      </c>
      <c r="N197" s="29"/>
      <c r="P197" s="25"/>
      <c r="Q197" s="58"/>
      <c r="R197" s="5" t="str">
        <f t="shared" si="639"/>
        <v/>
      </c>
      <c r="S197" s="5"/>
      <c r="T197" s="5" t="str">
        <f t="shared" si="640"/>
        <v/>
      </c>
      <c r="U197" s="58"/>
      <c r="V197" s="5" t="str">
        <f t="shared" si="641"/>
        <v/>
      </c>
      <c r="W197" s="35"/>
      <c r="X197" s="3" t="str">
        <f t="shared" si="611"/>
        <v/>
      </c>
      <c r="Y197" s="5" t="str">
        <f t="shared" si="663"/>
        <v/>
      </c>
      <c r="Z197" s="5" t="str">
        <f t="shared" si="642"/>
        <v/>
      </c>
      <c r="AA197" s="36" t="str">
        <f t="shared" si="643"/>
        <v/>
      </c>
      <c r="AB197" s="29"/>
      <c r="AD197" s="25"/>
      <c r="AE197" s="58"/>
      <c r="AF197" s="5" t="str">
        <f t="shared" si="644"/>
        <v/>
      </c>
      <c r="AG197" s="5"/>
      <c r="AH197" s="5" t="str">
        <f t="shared" si="645"/>
        <v/>
      </c>
      <c r="AI197" s="58"/>
      <c r="AJ197" s="5" t="str">
        <f t="shared" si="646"/>
        <v/>
      </c>
      <c r="AK197" s="35"/>
      <c r="AL197" s="38" t="str">
        <f t="shared" si="647"/>
        <v/>
      </c>
      <c r="AM197" s="5" t="str">
        <f t="shared" si="648"/>
        <v/>
      </c>
      <c r="AN197" s="5" t="str">
        <f t="shared" si="649"/>
        <v/>
      </c>
      <c r="AO197" s="36" t="str">
        <f t="shared" si="650"/>
        <v/>
      </c>
      <c r="AP197" s="29"/>
      <c r="AR197" s="25"/>
      <c r="AS197" s="58"/>
      <c r="AT197" s="5" t="str">
        <f t="shared" si="651"/>
        <v/>
      </c>
      <c r="AU197" s="5"/>
      <c r="AV197" s="5" t="str">
        <f t="shared" si="664"/>
        <v/>
      </c>
      <c r="AW197" s="58"/>
      <c r="AX197" s="5" t="str">
        <f t="shared" si="652"/>
        <v/>
      </c>
      <c r="AY197" s="35"/>
      <c r="AZ197" s="38" t="str">
        <f t="shared" si="662"/>
        <v/>
      </c>
      <c r="BA197" s="5" t="str">
        <f t="shared" si="653"/>
        <v/>
      </c>
      <c r="BB197" s="5" t="str">
        <f t="shared" si="654"/>
        <v/>
      </c>
      <c r="BC197" s="36" t="str">
        <f t="shared" si="655"/>
        <v/>
      </c>
      <c r="BD197" s="29"/>
      <c r="BE197" s="32"/>
      <c r="BF197" s="25"/>
      <c r="BG197" s="5"/>
      <c r="BH197" s="5" t="str">
        <f t="shared" si="656"/>
        <v/>
      </c>
      <c r="BI197" s="5"/>
      <c r="BJ197" s="5" t="str">
        <f t="shared" si="657"/>
        <v/>
      </c>
      <c r="BK197" s="5"/>
      <c r="BL197" s="5" t="str">
        <f t="shared" si="658"/>
        <v/>
      </c>
      <c r="BM197" s="5"/>
      <c r="BN197" s="3" t="str">
        <f>IF(BG195="","",BN193)</f>
        <v/>
      </c>
      <c r="BO197" s="39" t="str">
        <f>IF(BG195="","",BO193)</f>
        <v/>
      </c>
      <c r="BP197" s="5" t="str">
        <f t="shared" si="659"/>
        <v/>
      </c>
      <c r="BQ197" s="36" t="str">
        <f>IF(BL197="","",BP197/(BH196*100))</f>
        <v/>
      </c>
      <c r="BR197" s="29"/>
      <c r="BT197" s="25"/>
      <c r="BU197" s="5"/>
      <c r="BV197" s="5" t="str">
        <f t="shared" si="660"/>
        <v/>
      </c>
      <c r="BW197" s="5"/>
      <c r="BX197" s="5" t="str">
        <f t="shared" si="661"/>
        <v/>
      </c>
      <c r="BY197" s="5"/>
      <c r="BZ197" s="5"/>
      <c r="CA197" s="57"/>
      <c r="CB197" s="3"/>
      <c r="CC197" s="39"/>
      <c r="CD197" s="5"/>
      <c r="CE197" s="36"/>
      <c r="CF197" s="29"/>
      <c r="CH197" s="14"/>
      <c r="CI197" s="39"/>
      <c r="CJ197" s="5" t="str">
        <f t="shared" si="612"/>
        <v/>
      </c>
      <c r="CK197" s="5"/>
      <c r="CL197" s="5"/>
      <c r="CM197" s="5"/>
      <c r="CN197" s="5" t="str">
        <f t="shared" si="613"/>
        <v/>
      </c>
      <c r="CO197" s="5"/>
      <c r="CP197" s="5"/>
      <c r="CQ197" s="5"/>
      <c r="CR197" s="5" t="str">
        <f t="shared" si="593"/>
        <v/>
      </c>
      <c r="CS197" s="36" t="str">
        <f t="shared" si="594"/>
        <v/>
      </c>
      <c r="CT197" s="29"/>
      <c r="CV197" s="14"/>
      <c r="CW197" s="39"/>
      <c r="CX197" s="5" t="str">
        <f t="shared" si="614"/>
        <v/>
      </c>
      <c r="CY197" s="5"/>
      <c r="CZ197" s="5"/>
      <c r="DA197" s="5"/>
      <c r="DB197" s="5" t="str">
        <f t="shared" si="615"/>
        <v/>
      </c>
      <c r="DC197" s="5"/>
      <c r="DD197" s="5"/>
      <c r="DE197" s="5"/>
      <c r="DF197" s="5" t="str">
        <f t="shared" si="595"/>
        <v/>
      </c>
      <c r="DG197" s="36" t="str">
        <f t="shared" si="596"/>
        <v/>
      </c>
      <c r="DH197" s="29"/>
      <c r="DJ197" s="14"/>
      <c r="DK197" s="39"/>
      <c r="DL197" s="5" t="str">
        <f t="shared" si="616"/>
        <v/>
      </c>
      <c r="DM197" s="5"/>
      <c r="DN197" s="5"/>
      <c r="DO197" s="5"/>
      <c r="DP197" s="5" t="str">
        <f t="shared" si="617"/>
        <v/>
      </c>
      <c r="DQ197" s="5"/>
      <c r="DR197" s="5"/>
      <c r="DS197" s="5"/>
      <c r="DT197" s="5" t="str">
        <f t="shared" si="597"/>
        <v/>
      </c>
      <c r="DU197" s="36" t="str">
        <f t="shared" si="598"/>
        <v/>
      </c>
      <c r="DV197" s="29"/>
      <c r="DX197" s="14"/>
      <c r="DY197" s="39"/>
      <c r="DZ197" s="5" t="str">
        <f t="shared" si="618"/>
        <v/>
      </c>
      <c r="EA197" s="5"/>
      <c r="EB197" s="5"/>
      <c r="EC197" s="5"/>
      <c r="ED197" s="5" t="str">
        <f t="shared" si="619"/>
        <v/>
      </c>
      <c r="EE197" s="5"/>
      <c r="EF197" s="5"/>
      <c r="EG197" s="5"/>
      <c r="EH197" s="5" t="str">
        <f t="shared" si="599"/>
        <v/>
      </c>
      <c r="EI197" s="36" t="str">
        <f t="shared" si="600"/>
        <v/>
      </c>
      <c r="EJ197" s="29"/>
      <c r="EL197" s="14"/>
      <c r="EM197" s="39"/>
      <c r="EN197" s="5" t="str">
        <f t="shared" si="620"/>
        <v/>
      </c>
      <c r="EO197" s="5"/>
      <c r="EP197" s="5"/>
      <c r="EQ197" s="5"/>
      <c r="ER197" s="5" t="str">
        <f t="shared" si="621"/>
        <v/>
      </c>
      <c r="ES197" s="5"/>
      <c r="ET197" s="5"/>
      <c r="EU197" s="5"/>
      <c r="EV197" s="5" t="str">
        <f t="shared" si="601"/>
        <v/>
      </c>
      <c r="EW197" s="36" t="str">
        <f t="shared" si="602"/>
        <v/>
      </c>
      <c r="EX197" s="29"/>
      <c r="EZ197" s="14"/>
      <c r="FA197" s="39"/>
      <c r="FB197" s="5" t="str">
        <f t="shared" si="622"/>
        <v/>
      </c>
      <c r="FC197" s="5"/>
      <c r="FD197" s="5"/>
      <c r="FE197" s="5"/>
      <c r="FF197" s="5" t="str">
        <f t="shared" si="623"/>
        <v/>
      </c>
      <c r="FG197" s="5"/>
      <c r="FH197" s="5"/>
      <c r="FI197" s="5"/>
      <c r="FJ197" s="5" t="str">
        <f t="shared" si="603"/>
        <v/>
      </c>
      <c r="FK197" s="36" t="str">
        <f t="shared" si="604"/>
        <v/>
      </c>
      <c r="FL197" s="29"/>
      <c r="FN197" s="14"/>
      <c r="FO197" s="39"/>
      <c r="FP197" s="5" t="str">
        <f t="shared" si="624"/>
        <v/>
      </c>
      <c r="FQ197" s="5"/>
      <c r="FR197" s="5"/>
      <c r="FS197" s="5"/>
      <c r="FT197" s="5" t="str">
        <f t="shared" si="625"/>
        <v/>
      </c>
      <c r="FU197" s="5"/>
      <c r="FV197" s="5"/>
      <c r="FW197" s="5"/>
      <c r="FX197" s="5" t="str">
        <f t="shared" si="605"/>
        <v/>
      </c>
      <c r="FY197" s="36" t="str">
        <f t="shared" si="606"/>
        <v/>
      </c>
      <c r="FZ197" s="29"/>
      <c r="GB197" s="14"/>
      <c r="GC197" s="39"/>
      <c r="GD197" s="5" t="str">
        <f t="shared" si="626"/>
        <v/>
      </c>
      <c r="GE197" s="5"/>
      <c r="GF197" s="5"/>
      <c r="GG197" s="5"/>
      <c r="GH197" s="5" t="str">
        <f t="shared" si="627"/>
        <v/>
      </c>
      <c r="GI197" s="5"/>
      <c r="GJ197" s="5"/>
      <c r="GK197" s="5"/>
      <c r="GL197" s="5" t="str">
        <f t="shared" si="607"/>
        <v/>
      </c>
      <c r="GM197" s="36" t="str">
        <f t="shared" si="608"/>
        <v/>
      </c>
      <c r="GN197" s="29"/>
      <c r="GP197" s="14"/>
      <c r="GQ197" s="39"/>
      <c r="GR197" s="5" t="str">
        <f t="shared" si="628"/>
        <v/>
      </c>
      <c r="GS197" s="5"/>
      <c r="GT197" s="5"/>
      <c r="GU197" s="5"/>
      <c r="GV197" s="5"/>
      <c r="GW197" s="5"/>
      <c r="GX197" s="5" t="str">
        <f t="shared" si="629"/>
        <v/>
      </c>
      <c r="GY197" s="5"/>
      <c r="GZ197" s="5"/>
      <c r="HA197" s="5"/>
      <c r="HB197" s="5" t="str">
        <f t="shared" si="609"/>
        <v/>
      </c>
      <c r="HC197" s="36" t="str">
        <f t="shared" si="610"/>
        <v/>
      </c>
      <c r="HD197" s="29"/>
      <c r="HF197" s="14"/>
      <c r="HG197" s="39"/>
      <c r="HH197" s="5" t="str">
        <f t="shared" si="630"/>
        <v/>
      </c>
      <c r="HI197" s="5"/>
      <c r="HJ197" s="29"/>
      <c r="HL197" s="14"/>
      <c r="HM197" s="39"/>
      <c r="HN197" s="5" t="str">
        <f t="shared" si="631"/>
        <v/>
      </c>
      <c r="HO197" s="5"/>
      <c r="HP197" s="29"/>
      <c r="HR197" s="14"/>
      <c r="HS197" s="39"/>
      <c r="HT197" s="5" t="str">
        <f t="shared" si="632"/>
        <v/>
      </c>
      <c r="HU197" s="5"/>
      <c r="HV197" s="29"/>
    </row>
    <row r="198" spans="1:230" ht="15" customHeight="1" thickBot="1" x14ac:dyDescent="0.25">
      <c r="A198" s="60"/>
      <c r="B198" s="73"/>
      <c r="C198" s="44"/>
      <c r="D198" s="61" t="str">
        <f t="shared" si="633"/>
        <v/>
      </c>
      <c r="E198" s="44"/>
      <c r="F198" s="44" t="str">
        <f t="shared" si="634"/>
        <v/>
      </c>
      <c r="G198" s="76"/>
      <c r="H198" s="77" t="str">
        <f t="shared" si="561"/>
        <v/>
      </c>
      <c r="I198" s="78"/>
      <c r="J198" s="79" t="str">
        <f t="shared" si="635"/>
        <v/>
      </c>
      <c r="K198" s="61" t="str">
        <f t="shared" si="636"/>
        <v/>
      </c>
      <c r="L198" s="44" t="str">
        <f t="shared" si="637"/>
        <v/>
      </c>
      <c r="M198" s="46" t="str">
        <f t="shared" si="638"/>
        <v/>
      </c>
      <c r="N198" s="29"/>
      <c r="P198" s="41"/>
      <c r="Q198" s="44"/>
      <c r="R198" s="61" t="str">
        <f t="shared" si="639"/>
        <v/>
      </c>
      <c r="S198" s="44"/>
      <c r="T198" s="44" t="str">
        <f t="shared" si="640"/>
        <v/>
      </c>
      <c r="U198" s="76"/>
      <c r="V198" s="44" t="str">
        <f t="shared" si="641"/>
        <v/>
      </c>
      <c r="W198" s="78"/>
      <c r="X198" s="45" t="str">
        <f t="shared" si="611"/>
        <v/>
      </c>
      <c r="Y198" s="61" t="str">
        <f t="shared" si="663"/>
        <v/>
      </c>
      <c r="Z198" s="44" t="str">
        <f t="shared" si="642"/>
        <v/>
      </c>
      <c r="AA198" s="46" t="str">
        <f t="shared" si="643"/>
        <v/>
      </c>
      <c r="AB198" s="29"/>
      <c r="AD198" s="41"/>
      <c r="AE198" s="44"/>
      <c r="AF198" s="61" t="str">
        <f t="shared" si="644"/>
        <v/>
      </c>
      <c r="AG198" s="44"/>
      <c r="AH198" s="44" t="str">
        <f t="shared" si="645"/>
        <v/>
      </c>
      <c r="AI198" s="76"/>
      <c r="AJ198" s="44" t="str">
        <f t="shared" si="646"/>
        <v/>
      </c>
      <c r="AK198" s="78"/>
      <c r="AL198" s="47" t="str">
        <f t="shared" si="647"/>
        <v/>
      </c>
      <c r="AM198" s="61" t="str">
        <f t="shared" si="648"/>
        <v/>
      </c>
      <c r="AN198" s="44" t="str">
        <f t="shared" si="649"/>
        <v/>
      </c>
      <c r="AO198" s="46" t="str">
        <f t="shared" si="650"/>
        <v/>
      </c>
      <c r="AP198" s="29"/>
      <c r="AR198" s="41"/>
      <c r="AS198" s="44"/>
      <c r="AT198" s="61" t="str">
        <f t="shared" si="651"/>
        <v/>
      </c>
      <c r="AU198" s="44"/>
      <c r="AV198" s="44" t="str">
        <f t="shared" si="664"/>
        <v/>
      </c>
      <c r="AW198" s="76"/>
      <c r="AX198" s="44" t="str">
        <f t="shared" si="652"/>
        <v/>
      </c>
      <c r="AY198" s="78"/>
      <c r="AZ198" s="47" t="str">
        <f t="shared" si="662"/>
        <v/>
      </c>
      <c r="BA198" s="61" t="str">
        <f t="shared" si="653"/>
        <v/>
      </c>
      <c r="BB198" s="44" t="str">
        <f t="shared" si="654"/>
        <v/>
      </c>
      <c r="BC198" s="46" t="str">
        <f t="shared" si="655"/>
        <v/>
      </c>
      <c r="BD198" s="29"/>
      <c r="BE198" s="32"/>
      <c r="BF198" s="41"/>
      <c r="BG198" s="44"/>
      <c r="BH198" s="44" t="str">
        <f t="shared" si="656"/>
        <v/>
      </c>
      <c r="BI198" s="44"/>
      <c r="BJ198" s="44" t="str">
        <f t="shared" si="657"/>
        <v/>
      </c>
      <c r="BK198" s="44"/>
      <c r="BL198" s="44" t="str">
        <f t="shared" si="658"/>
        <v/>
      </c>
      <c r="BM198" s="44"/>
      <c r="BN198" s="45" t="str">
        <f>IF(BG195="","",BN194)</f>
        <v/>
      </c>
      <c r="BO198" s="61" t="str">
        <f>IF(BG195="","",BO194)</f>
        <v/>
      </c>
      <c r="BP198" s="44" t="str">
        <f t="shared" si="659"/>
        <v/>
      </c>
      <c r="BQ198" s="46" t="str">
        <f>IF(BL198="","",BP198/(BH196*100))</f>
        <v/>
      </c>
      <c r="BR198" s="29"/>
      <c r="BT198" s="41"/>
      <c r="BU198" s="44"/>
      <c r="BV198" s="44" t="str">
        <f t="shared" si="660"/>
        <v/>
      </c>
      <c r="BW198" s="44"/>
      <c r="BX198" s="44" t="str">
        <f t="shared" si="661"/>
        <v/>
      </c>
      <c r="BY198" s="44"/>
      <c r="BZ198" s="44"/>
      <c r="CA198" s="44"/>
      <c r="CB198" s="45"/>
      <c r="CC198" s="61"/>
      <c r="CD198" s="44"/>
      <c r="CE198" s="46"/>
      <c r="CF198" s="29"/>
      <c r="CH198" s="14"/>
      <c r="CI198" s="39"/>
      <c r="CJ198" s="5" t="str">
        <f t="shared" si="612"/>
        <v/>
      </c>
      <c r="CK198" s="5"/>
      <c r="CL198" s="5"/>
      <c r="CM198" s="5"/>
      <c r="CN198" s="5" t="str">
        <f t="shared" si="613"/>
        <v/>
      </c>
      <c r="CO198" s="5"/>
      <c r="CP198" s="5"/>
      <c r="CQ198" s="5"/>
      <c r="CR198" s="5" t="str">
        <f t="shared" si="593"/>
        <v/>
      </c>
      <c r="CS198" s="36" t="str">
        <f t="shared" si="594"/>
        <v/>
      </c>
      <c r="CT198" s="29"/>
      <c r="CV198" s="14"/>
      <c r="CW198" s="39"/>
      <c r="CX198" s="5" t="str">
        <f t="shared" si="614"/>
        <v/>
      </c>
      <c r="CY198" s="5"/>
      <c r="CZ198" s="5"/>
      <c r="DA198" s="5"/>
      <c r="DB198" s="5" t="str">
        <f t="shared" si="615"/>
        <v/>
      </c>
      <c r="DC198" s="5"/>
      <c r="DD198" s="5"/>
      <c r="DE198" s="5"/>
      <c r="DF198" s="5" t="str">
        <f t="shared" si="595"/>
        <v/>
      </c>
      <c r="DG198" s="36" t="str">
        <f t="shared" si="596"/>
        <v/>
      </c>
      <c r="DH198" s="29"/>
      <c r="DJ198" s="14"/>
      <c r="DK198" s="39"/>
      <c r="DL198" s="5" t="str">
        <f t="shared" si="616"/>
        <v/>
      </c>
      <c r="DM198" s="5"/>
      <c r="DN198" s="5"/>
      <c r="DO198" s="5"/>
      <c r="DP198" s="5" t="str">
        <f t="shared" si="617"/>
        <v/>
      </c>
      <c r="DQ198" s="5"/>
      <c r="DR198" s="5"/>
      <c r="DS198" s="5"/>
      <c r="DT198" s="5" t="str">
        <f t="shared" si="597"/>
        <v/>
      </c>
      <c r="DU198" s="36" t="str">
        <f t="shared" si="598"/>
        <v/>
      </c>
      <c r="DV198" s="29"/>
      <c r="DX198" s="14"/>
      <c r="DY198" s="39"/>
      <c r="DZ198" s="5" t="str">
        <f t="shared" si="618"/>
        <v/>
      </c>
      <c r="EA198" s="5"/>
      <c r="EB198" s="5"/>
      <c r="EC198" s="5"/>
      <c r="ED198" s="5" t="str">
        <f t="shared" si="619"/>
        <v/>
      </c>
      <c r="EE198" s="5"/>
      <c r="EF198" s="5"/>
      <c r="EG198" s="5"/>
      <c r="EH198" s="5" t="str">
        <f t="shared" si="599"/>
        <v/>
      </c>
      <c r="EI198" s="36" t="str">
        <f t="shared" si="600"/>
        <v/>
      </c>
      <c r="EJ198" s="29"/>
      <c r="EL198" s="14"/>
      <c r="EM198" s="39"/>
      <c r="EN198" s="5" t="str">
        <f t="shared" si="620"/>
        <v/>
      </c>
      <c r="EO198" s="5"/>
      <c r="EP198" s="5"/>
      <c r="EQ198" s="5"/>
      <c r="ER198" s="5" t="str">
        <f t="shared" si="621"/>
        <v/>
      </c>
      <c r="ES198" s="5"/>
      <c r="ET198" s="5"/>
      <c r="EU198" s="5"/>
      <c r="EV198" s="5" t="str">
        <f t="shared" si="601"/>
        <v/>
      </c>
      <c r="EW198" s="36" t="str">
        <f t="shared" si="602"/>
        <v/>
      </c>
      <c r="EX198" s="29"/>
      <c r="EZ198" s="14"/>
      <c r="FA198" s="39"/>
      <c r="FB198" s="5" t="str">
        <f t="shared" si="622"/>
        <v/>
      </c>
      <c r="FC198" s="5"/>
      <c r="FD198" s="5"/>
      <c r="FE198" s="5"/>
      <c r="FF198" s="5" t="str">
        <f t="shared" si="623"/>
        <v/>
      </c>
      <c r="FG198" s="5"/>
      <c r="FH198" s="5"/>
      <c r="FI198" s="5"/>
      <c r="FJ198" s="5" t="str">
        <f t="shared" si="603"/>
        <v/>
      </c>
      <c r="FK198" s="36" t="str">
        <f t="shared" si="604"/>
        <v/>
      </c>
      <c r="FL198" s="29"/>
      <c r="FN198" s="14"/>
      <c r="FO198" s="39"/>
      <c r="FP198" s="5" t="str">
        <f t="shared" si="624"/>
        <v/>
      </c>
      <c r="FQ198" s="5"/>
      <c r="FR198" s="5"/>
      <c r="FS198" s="5"/>
      <c r="FT198" s="5" t="str">
        <f t="shared" si="625"/>
        <v/>
      </c>
      <c r="FU198" s="5"/>
      <c r="FV198" s="5"/>
      <c r="FW198" s="5"/>
      <c r="FX198" s="5" t="str">
        <f t="shared" si="605"/>
        <v/>
      </c>
      <c r="FY198" s="36" t="str">
        <f t="shared" si="606"/>
        <v/>
      </c>
      <c r="FZ198" s="29"/>
      <c r="GB198" s="14"/>
      <c r="GC198" s="39"/>
      <c r="GD198" s="5" t="str">
        <f t="shared" si="626"/>
        <v/>
      </c>
      <c r="GE198" s="5"/>
      <c r="GF198" s="5"/>
      <c r="GG198" s="5"/>
      <c r="GH198" s="5" t="str">
        <f t="shared" si="627"/>
        <v/>
      </c>
      <c r="GI198" s="5"/>
      <c r="GJ198" s="5"/>
      <c r="GK198" s="5"/>
      <c r="GL198" s="5" t="str">
        <f t="shared" si="607"/>
        <v/>
      </c>
      <c r="GM198" s="36" t="str">
        <f t="shared" si="608"/>
        <v/>
      </c>
      <c r="GN198" s="29"/>
      <c r="GP198" s="14"/>
      <c r="GQ198" s="39"/>
      <c r="GR198" s="5" t="str">
        <f t="shared" si="628"/>
        <v/>
      </c>
      <c r="GS198" s="5"/>
      <c r="GT198" s="5"/>
      <c r="GU198" s="5"/>
      <c r="GV198" s="5"/>
      <c r="GW198" s="5"/>
      <c r="GX198" s="5" t="str">
        <f t="shared" si="629"/>
        <v/>
      </c>
      <c r="GY198" s="5"/>
      <c r="GZ198" s="5"/>
      <c r="HA198" s="5"/>
      <c r="HB198" s="5" t="str">
        <f t="shared" si="609"/>
        <v/>
      </c>
      <c r="HC198" s="36" t="str">
        <f t="shared" si="610"/>
        <v/>
      </c>
      <c r="HD198" s="29"/>
      <c r="HF198" s="14"/>
      <c r="HG198" s="39"/>
      <c r="HH198" s="5" t="str">
        <f t="shared" si="630"/>
        <v/>
      </c>
      <c r="HI198" s="5"/>
      <c r="HJ198" s="29"/>
      <c r="HL198" s="14"/>
      <c r="HM198" s="39"/>
      <c r="HN198" s="5" t="str">
        <f t="shared" si="631"/>
        <v/>
      </c>
      <c r="HO198" s="5"/>
      <c r="HP198" s="29"/>
      <c r="HR198" s="14"/>
      <c r="HS198" s="39"/>
      <c r="HT198" s="5" t="str">
        <f t="shared" si="632"/>
        <v/>
      </c>
      <c r="HU198" s="5"/>
      <c r="HV198" s="29"/>
    </row>
    <row r="199" spans="1:230" ht="15" customHeight="1" thickTop="1" x14ac:dyDescent="0.2">
      <c r="A199" s="49"/>
      <c r="B199" s="26">
        <f>SUM(D199:D202)+SUM(R199:R202)+SUM(AF199:AF202)+SUM(AT199:AT202)+SUM(CJ193,DL193,DZ193,EN193,FB193,FP193,GD193,GR193,HH193,HN193,HT193)+SUM(BH199:BH200)+SUM(BV199:BV200)</f>
        <v>0</v>
      </c>
      <c r="C199" s="4"/>
      <c r="D199" s="4" t="str">
        <f t="shared" si="633"/>
        <v/>
      </c>
      <c r="E199" s="4"/>
      <c r="F199" s="50" t="str">
        <f t="shared" si="634"/>
        <v/>
      </c>
      <c r="G199" s="4"/>
      <c r="H199" s="4" t="str">
        <f t="shared" si="561"/>
        <v/>
      </c>
      <c r="I199" s="4"/>
      <c r="J199" s="2" t="str">
        <f t="shared" si="635"/>
        <v/>
      </c>
      <c r="K199" s="27" t="str">
        <f t="shared" si="636"/>
        <v/>
      </c>
      <c r="L199" s="50" t="str">
        <f t="shared" si="637"/>
        <v/>
      </c>
      <c r="M199" s="52" t="str">
        <f t="shared" si="638"/>
        <v/>
      </c>
      <c r="N199" s="29"/>
      <c r="P199" s="80" t="str">
        <f>IF($A$421="","",$A$421)</f>
        <v/>
      </c>
      <c r="Q199" s="4"/>
      <c r="R199" s="4" t="str">
        <f t="shared" si="639"/>
        <v/>
      </c>
      <c r="S199" s="4"/>
      <c r="T199" s="50" t="str">
        <f t="shared" si="640"/>
        <v/>
      </c>
      <c r="U199" s="4"/>
      <c r="V199" s="4" t="str">
        <f t="shared" si="641"/>
        <v/>
      </c>
      <c r="W199" s="4"/>
      <c r="X199" s="2" t="str">
        <f t="shared" si="611"/>
        <v/>
      </c>
      <c r="Y199" s="27" t="str">
        <f t="shared" si="663"/>
        <v/>
      </c>
      <c r="Z199" s="50" t="str">
        <f t="shared" si="642"/>
        <v/>
      </c>
      <c r="AA199" s="52" t="str">
        <f t="shared" si="643"/>
        <v/>
      </c>
      <c r="AB199" s="29"/>
      <c r="AD199" s="80" t="str">
        <f>IF($A$421="","",$A$421)</f>
        <v/>
      </c>
      <c r="AE199" s="4"/>
      <c r="AF199" s="4" t="str">
        <f t="shared" si="644"/>
        <v/>
      </c>
      <c r="AG199" s="4"/>
      <c r="AH199" s="50" t="str">
        <f t="shared" si="645"/>
        <v/>
      </c>
      <c r="AI199" s="4"/>
      <c r="AJ199" s="4" t="str">
        <f t="shared" si="646"/>
        <v/>
      </c>
      <c r="AK199" s="4"/>
      <c r="AL199" s="31" t="str">
        <f t="shared" si="647"/>
        <v/>
      </c>
      <c r="AM199" s="27" t="str">
        <f t="shared" si="648"/>
        <v/>
      </c>
      <c r="AN199" s="50" t="str">
        <f t="shared" si="649"/>
        <v/>
      </c>
      <c r="AO199" s="52" t="str">
        <f t="shared" si="650"/>
        <v/>
      </c>
      <c r="AP199" s="29"/>
      <c r="AR199" s="80" t="str">
        <f>IF($A$421="","",$A$421)</f>
        <v/>
      </c>
      <c r="AS199" s="4"/>
      <c r="AT199" s="4" t="str">
        <f t="shared" si="651"/>
        <v/>
      </c>
      <c r="AU199" s="4"/>
      <c r="AV199" s="50" t="str">
        <f t="shared" si="664"/>
        <v/>
      </c>
      <c r="AW199" s="4"/>
      <c r="AX199" s="4" t="str">
        <f t="shared" si="652"/>
        <v/>
      </c>
      <c r="AY199" s="4"/>
      <c r="AZ199" s="31" t="str">
        <f t="shared" si="662"/>
        <v/>
      </c>
      <c r="BA199" s="27" t="str">
        <f t="shared" si="653"/>
        <v/>
      </c>
      <c r="BB199" s="50" t="str">
        <f t="shared" si="654"/>
        <v/>
      </c>
      <c r="BC199" s="52" t="str">
        <f t="shared" si="655"/>
        <v/>
      </c>
      <c r="BD199" s="29"/>
      <c r="BE199" s="32"/>
      <c r="BF199" s="33"/>
      <c r="BG199" s="4"/>
      <c r="BH199" s="4" t="str">
        <f t="shared" si="656"/>
        <v/>
      </c>
      <c r="BI199" s="4"/>
      <c r="BJ199" s="50" t="str">
        <f t="shared" si="657"/>
        <v/>
      </c>
      <c r="BK199" s="4"/>
      <c r="BL199" s="4" t="str">
        <f t="shared" si="658"/>
        <v/>
      </c>
      <c r="BM199" s="4"/>
      <c r="BN199" s="2" t="str">
        <f>IF(BG199="","",BN195)</f>
        <v/>
      </c>
      <c r="BO199" s="27" t="str">
        <f>IF(BG199="","",BO195)</f>
        <v/>
      </c>
      <c r="BP199" s="5" t="str">
        <f t="shared" si="659"/>
        <v/>
      </c>
      <c r="BQ199" s="52" t="str">
        <f t="shared" ref="BQ199:BQ206" si="665">IF(BL199="","",BP199/(BH199*100))</f>
        <v/>
      </c>
      <c r="BR199" s="29"/>
      <c r="BT199" s="33"/>
      <c r="BU199" s="4"/>
      <c r="BV199" s="4" t="str">
        <f t="shared" si="660"/>
        <v/>
      </c>
      <c r="BW199" s="4"/>
      <c r="BX199" s="50" t="str">
        <f t="shared" si="661"/>
        <v/>
      </c>
      <c r="BY199" s="4"/>
      <c r="BZ199" s="4" t="str">
        <f>IF(BY199="","",BY195+CA195-BY199)</f>
        <v/>
      </c>
      <c r="CA199" s="4"/>
      <c r="CB199" s="2" t="str">
        <f>IF(BU199="","",CB195)</f>
        <v/>
      </c>
      <c r="CC199" s="27" t="str">
        <f>IF(BU199="","",CC195)</f>
        <v/>
      </c>
      <c r="CD199" s="5" t="str">
        <f>IF(BY199="","",BZ199*CC199)</f>
        <v/>
      </c>
      <c r="CE199" s="52" t="str">
        <f>IF(BZ199="","",CD199/(BV199*100))</f>
        <v/>
      </c>
      <c r="CF199" s="29"/>
      <c r="CH199" s="14"/>
      <c r="CI199" s="39"/>
      <c r="CJ199" s="5"/>
      <c r="CK199" s="5"/>
      <c r="CL199" s="5"/>
      <c r="CM199" s="5"/>
      <c r="CN199" s="5"/>
      <c r="CO199" s="5"/>
      <c r="CP199" s="5"/>
      <c r="CQ199" s="5"/>
      <c r="CR199" s="5"/>
      <c r="CS199" s="36"/>
      <c r="CT199" s="29"/>
      <c r="CV199" s="14"/>
      <c r="CW199" s="39"/>
      <c r="CX199" s="5"/>
      <c r="CY199" s="5"/>
      <c r="CZ199" s="5"/>
      <c r="DA199" s="5"/>
      <c r="DB199" s="5"/>
      <c r="DC199" s="5"/>
      <c r="DD199" s="5"/>
      <c r="DE199" s="5"/>
      <c r="DF199" s="5"/>
      <c r="DG199" s="36"/>
      <c r="DH199" s="29"/>
      <c r="DJ199" s="14"/>
      <c r="DK199" s="39"/>
      <c r="DL199" s="5"/>
      <c r="DM199" s="5"/>
      <c r="DN199" s="5"/>
      <c r="DO199" s="5"/>
      <c r="DP199" s="5"/>
      <c r="DQ199" s="5"/>
      <c r="DR199" s="5"/>
      <c r="DS199" s="5"/>
      <c r="DT199" s="5"/>
      <c r="DU199" s="36"/>
      <c r="DV199" s="29"/>
      <c r="DX199" s="14"/>
      <c r="DY199" s="39"/>
      <c r="DZ199" s="5"/>
      <c r="EA199" s="5"/>
      <c r="EB199" s="5"/>
      <c r="EC199" s="5"/>
      <c r="ED199" s="5"/>
      <c r="EE199" s="5"/>
      <c r="EF199" s="5"/>
      <c r="EG199" s="5"/>
      <c r="EH199" s="5"/>
      <c r="EI199" s="36"/>
      <c r="EJ199" s="29"/>
      <c r="EL199" s="14"/>
      <c r="EM199" s="39"/>
      <c r="EN199" s="5"/>
      <c r="EO199" s="5"/>
      <c r="EP199" s="5"/>
      <c r="EQ199" s="5"/>
      <c r="ER199" s="5"/>
      <c r="ES199" s="5"/>
      <c r="ET199" s="5"/>
      <c r="EU199" s="5"/>
      <c r="EV199" s="5"/>
      <c r="EW199" s="36"/>
      <c r="EX199" s="29"/>
      <c r="EZ199" s="14"/>
      <c r="FA199" s="39"/>
      <c r="FB199" s="5"/>
      <c r="FC199" s="5"/>
      <c r="FD199" s="5"/>
      <c r="FE199" s="5"/>
      <c r="FF199" s="5"/>
      <c r="FG199" s="5"/>
      <c r="FH199" s="5"/>
      <c r="FI199" s="5"/>
      <c r="FJ199" s="5"/>
      <c r="FK199" s="36"/>
      <c r="FL199" s="29"/>
      <c r="FN199" s="14"/>
      <c r="FO199" s="39"/>
      <c r="FP199" s="5"/>
      <c r="FQ199" s="5"/>
      <c r="FR199" s="5"/>
      <c r="FS199" s="5"/>
      <c r="FT199" s="5"/>
      <c r="FU199" s="5"/>
      <c r="FV199" s="5"/>
      <c r="FW199" s="5"/>
      <c r="FX199" s="5"/>
      <c r="FY199" s="36"/>
      <c r="FZ199" s="29"/>
      <c r="GB199" s="14"/>
      <c r="GC199" s="39"/>
      <c r="GD199" s="5"/>
      <c r="GE199" s="5"/>
      <c r="GF199" s="5"/>
      <c r="GG199" s="5"/>
      <c r="GH199" s="5"/>
      <c r="GI199" s="5"/>
      <c r="GJ199" s="5"/>
      <c r="GK199" s="5"/>
      <c r="GL199" s="5"/>
      <c r="GM199" s="36"/>
      <c r="GN199" s="29"/>
      <c r="GP199" s="14"/>
      <c r="GQ199" s="39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36"/>
      <c r="HD199" s="29"/>
      <c r="HF199" s="14"/>
      <c r="HG199" s="39"/>
      <c r="HH199" s="5"/>
      <c r="HI199" s="5"/>
      <c r="HJ199" s="29"/>
      <c r="HL199" s="14"/>
      <c r="HM199" s="39"/>
      <c r="HN199" s="5"/>
      <c r="HO199" s="5"/>
      <c r="HP199" s="29"/>
      <c r="HR199" s="14"/>
      <c r="HS199" s="39"/>
      <c r="HT199" s="5"/>
      <c r="HU199" s="5"/>
      <c r="HV199" s="29"/>
    </row>
    <row r="200" spans="1:230" ht="15" customHeight="1" x14ac:dyDescent="0.2">
      <c r="A200" s="54"/>
      <c r="B200" s="37"/>
      <c r="C200" s="5"/>
      <c r="D200" s="5" t="str">
        <f t="shared" si="633"/>
        <v/>
      </c>
      <c r="E200" s="5"/>
      <c r="F200" s="5" t="str">
        <f t="shared" si="634"/>
        <v/>
      </c>
      <c r="G200" s="5"/>
      <c r="H200" s="5" t="str">
        <f t="shared" si="561"/>
        <v/>
      </c>
      <c r="I200" s="5"/>
      <c r="J200" s="3" t="str">
        <f t="shared" si="635"/>
        <v/>
      </c>
      <c r="K200" s="39" t="str">
        <f t="shared" si="636"/>
        <v/>
      </c>
      <c r="L200" s="5" t="str">
        <f t="shared" si="637"/>
        <v/>
      </c>
      <c r="M200" s="36" t="str">
        <f t="shared" si="638"/>
        <v/>
      </c>
      <c r="N200" s="29"/>
      <c r="P200" s="25"/>
      <c r="Q200" s="5"/>
      <c r="R200" s="5" t="str">
        <f t="shared" si="639"/>
        <v/>
      </c>
      <c r="S200" s="5"/>
      <c r="T200" s="5" t="str">
        <f t="shared" si="640"/>
        <v/>
      </c>
      <c r="U200" s="5"/>
      <c r="V200" s="5" t="str">
        <f t="shared" si="641"/>
        <v/>
      </c>
      <c r="W200" s="5"/>
      <c r="X200" s="3" t="str">
        <f t="shared" si="611"/>
        <v/>
      </c>
      <c r="Y200" s="39" t="str">
        <f t="shared" si="663"/>
        <v/>
      </c>
      <c r="Z200" s="5" t="str">
        <f t="shared" si="642"/>
        <v/>
      </c>
      <c r="AA200" s="36" t="str">
        <f t="shared" si="643"/>
        <v/>
      </c>
      <c r="AB200" s="29"/>
      <c r="AD200" s="25"/>
      <c r="AE200" s="5"/>
      <c r="AF200" s="5" t="str">
        <f t="shared" si="644"/>
        <v/>
      </c>
      <c r="AG200" s="5"/>
      <c r="AH200" s="5" t="str">
        <f t="shared" si="645"/>
        <v/>
      </c>
      <c r="AI200" s="5"/>
      <c r="AJ200" s="5" t="str">
        <f t="shared" si="646"/>
        <v/>
      </c>
      <c r="AK200" s="5"/>
      <c r="AL200" s="38" t="str">
        <f t="shared" si="647"/>
        <v/>
      </c>
      <c r="AM200" s="39" t="str">
        <f t="shared" si="648"/>
        <v/>
      </c>
      <c r="AN200" s="5" t="str">
        <f t="shared" si="649"/>
        <v/>
      </c>
      <c r="AO200" s="36" t="str">
        <f t="shared" si="650"/>
        <v/>
      </c>
      <c r="AP200" s="29"/>
      <c r="AR200" s="25"/>
      <c r="AS200" s="5"/>
      <c r="AT200" s="5" t="str">
        <f t="shared" si="651"/>
        <v/>
      </c>
      <c r="AU200" s="5"/>
      <c r="AV200" s="5" t="str">
        <f t="shared" si="664"/>
        <v/>
      </c>
      <c r="AW200" s="5"/>
      <c r="AX200" s="5" t="str">
        <f t="shared" si="652"/>
        <v/>
      </c>
      <c r="AY200" s="5"/>
      <c r="AZ200" s="38" t="str">
        <f t="shared" si="662"/>
        <v/>
      </c>
      <c r="BA200" s="39" t="str">
        <f t="shared" si="653"/>
        <v/>
      </c>
      <c r="BB200" s="5" t="str">
        <f t="shared" si="654"/>
        <v/>
      </c>
      <c r="BC200" s="36" t="str">
        <f t="shared" si="655"/>
        <v/>
      </c>
      <c r="BD200" s="29"/>
      <c r="BE200" s="32"/>
      <c r="BF200" s="25"/>
      <c r="BG200" s="5"/>
      <c r="BH200" s="5" t="str">
        <f t="shared" si="656"/>
        <v/>
      </c>
      <c r="BI200" s="5"/>
      <c r="BJ200" s="5" t="str">
        <f t="shared" si="657"/>
        <v/>
      </c>
      <c r="BK200" s="5"/>
      <c r="BL200" s="5" t="str">
        <f t="shared" si="658"/>
        <v/>
      </c>
      <c r="BM200" s="5"/>
      <c r="BN200" s="3" t="str">
        <f>IF(BG199="","",BN196)</f>
        <v/>
      </c>
      <c r="BO200" s="39" t="str">
        <f>IF(BG199="","",BO196)</f>
        <v/>
      </c>
      <c r="BP200" s="4" t="str">
        <f t="shared" si="659"/>
        <v/>
      </c>
      <c r="BQ200" s="36" t="str">
        <f t="shared" si="665"/>
        <v/>
      </c>
      <c r="BR200" s="29"/>
      <c r="BT200" s="25"/>
      <c r="BU200" s="5"/>
      <c r="BV200" s="5" t="str">
        <f t="shared" si="660"/>
        <v/>
      </c>
      <c r="BW200" s="5"/>
      <c r="BX200" s="5" t="str">
        <f t="shared" si="661"/>
        <v/>
      </c>
      <c r="BY200" s="5"/>
      <c r="BZ200" s="5" t="str">
        <f>IF(BY200="","",BY196+CA196-BY200)</f>
        <v/>
      </c>
      <c r="CA200" s="4"/>
      <c r="CB200" s="3" t="str">
        <f>IF(BU200="","",CB196)</f>
        <v/>
      </c>
      <c r="CC200" s="39" t="str">
        <f>IF(BU199="","",CC196)</f>
        <v/>
      </c>
      <c r="CD200" s="4" t="str">
        <f>IF(BY200="","",BZ200*CC200)</f>
        <v/>
      </c>
      <c r="CE200" s="36" t="str">
        <f>IF(BZ200="","",CD200/(BV200*100))</f>
        <v/>
      </c>
      <c r="CF200" s="29"/>
      <c r="CH200" s="14"/>
      <c r="CI200" s="39"/>
      <c r="CJ200" s="5" t="str">
        <f>IF(CI200="","",CI200-#REF!)</f>
        <v/>
      </c>
      <c r="CK200" s="5"/>
      <c r="CL200" s="5"/>
      <c r="CM200" s="5"/>
      <c r="CN200" s="5" t="str">
        <f>IF(CM200="","",#REF!+#REF!-CM200)</f>
        <v/>
      </c>
      <c r="CO200" s="5"/>
      <c r="CP200" s="5"/>
      <c r="CQ200" s="5"/>
      <c r="CR200" s="5" t="str">
        <f>IF(CQ200="","",CN200*CQ200)</f>
        <v/>
      </c>
      <c r="CS200" s="36" t="str">
        <f>IF(CR200="","",CR200/(CJ200*100))</f>
        <v/>
      </c>
      <c r="CT200" s="29"/>
      <c r="CV200" s="14"/>
      <c r="CW200" s="39"/>
      <c r="CX200" s="5" t="str">
        <f>IF(CW200="","",CW200-#REF!)</f>
        <v/>
      </c>
      <c r="CY200" s="5"/>
      <c r="CZ200" s="5"/>
      <c r="DA200" s="5"/>
      <c r="DB200" s="5" t="str">
        <f>IF(DA200="","",#REF!+#REF!-DA200)</f>
        <v/>
      </c>
      <c r="DC200" s="5"/>
      <c r="DD200" s="5"/>
      <c r="DE200" s="5"/>
      <c r="DF200" s="5" t="str">
        <f>IF(DE200="","",DB200*DE200)</f>
        <v/>
      </c>
      <c r="DG200" s="36" t="str">
        <f>IF(DF200="","",DF200/(CX200*100))</f>
        <v/>
      </c>
      <c r="DH200" s="29"/>
      <c r="DJ200" s="14"/>
      <c r="DK200" s="39"/>
      <c r="DL200" s="5" t="str">
        <f>IF(DK200="","",DK200-#REF!)</f>
        <v/>
      </c>
      <c r="DM200" s="5"/>
      <c r="DN200" s="5"/>
      <c r="DO200" s="5"/>
      <c r="DP200" s="5" t="str">
        <f>IF(DO200="","",#REF!+#REF!-DO200)</f>
        <v/>
      </c>
      <c r="DQ200" s="5"/>
      <c r="DR200" s="5"/>
      <c r="DS200" s="5"/>
      <c r="DT200" s="5" t="str">
        <f>IF(DS200="","",DP200*DS200)</f>
        <v/>
      </c>
      <c r="DU200" s="36" t="str">
        <f>IF(DT200="","",DT200/(DL200*100))</f>
        <v/>
      </c>
      <c r="DV200" s="29"/>
      <c r="DX200" s="14"/>
      <c r="DY200" s="39"/>
      <c r="DZ200" s="5" t="str">
        <f>IF(DY200="","",DY200-#REF!)</f>
        <v/>
      </c>
      <c r="EA200" s="5"/>
      <c r="EB200" s="5"/>
      <c r="EC200" s="5"/>
      <c r="ED200" s="5" t="str">
        <f>IF(EC200="","",#REF!+#REF!-EC200)</f>
        <v/>
      </c>
      <c r="EE200" s="5"/>
      <c r="EF200" s="5"/>
      <c r="EG200" s="5"/>
      <c r="EH200" s="5" t="str">
        <f>IF(EG200="","",ED200*EG200)</f>
        <v/>
      </c>
      <c r="EI200" s="36" t="str">
        <f>IF(EH200="","",EH200/(DZ200*100))</f>
        <v/>
      </c>
      <c r="EJ200" s="29"/>
      <c r="EL200" s="14"/>
      <c r="EM200" s="39"/>
      <c r="EN200" s="5" t="str">
        <f>IF(EM200="","",EM200-#REF!)</f>
        <v/>
      </c>
      <c r="EO200" s="5"/>
      <c r="EP200" s="5"/>
      <c r="EQ200" s="5"/>
      <c r="ER200" s="5" t="str">
        <f>IF(EQ200="","",#REF!+#REF!-EQ200)</f>
        <v/>
      </c>
      <c r="ES200" s="5"/>
      <c r="ET200" s="5"/>
      <c r="EU200" s="5"/>
      <c r="EV200" s="5" t="str">
        <f>IF(EU200="","",ER200*EU200)</f>
        <v/>
      </c>
      <c r="EW200" s="36" t="str">
        <f>IF(EV200="","",EV200/(EN200*100))</f>
        <v/>
      </c>
      <c r="EX200" s="29"/>
      <c r="EZ200" s="14"/>
      <c r="FA200" s="39"/>
      <c r="FB200" s="5" t="str">
        <f>IF(FA200="","",FA200-#REF!)</f>
        <v/>
      </c>
      <c r="FC200" s="5"/>
      <c r="FD200" s="5"/>
      <c r="FE200" s="5"/>
      <c r="FF200" s="5" t="str">
        <f>IF(FE200="","",#REF!+#REF!-FE200)</f>
        <v/>
      </c>
      <c r="FG200" s="5"/>
      <c r="FH200" s="5"/>
      <c r="FI200" s="5"/>
      <c r="FJ200" s="5" t="str">
        <f>IF(FI200="","",FF200*FI200)</f>
        <v/>
      </c>
      <c r="FK200" s="36" t="str">
        <f>IF(FJ200="","",FJ200/(FB200*100))</f>
        <v/>
      </c>
      <c r="FL200" s="29"/>
      <c r="FN200" s="14"/>
      <c r="FO200" s="39"/>
      <c r="FP200" s="5" t="str">
        <f>IF(FO200="","",FO200-#REF!)</f>
        <v/>
      </c>
      <c r="FQ200" s="5"/>
      <c r="FR200" s="5"/>
      <c r="FS200" s="5"/>
      <c r="FT200" s="5" t="str">
        <f>IF(FS200="","",#REF!+#REF!-FS200)</f>
        <v/>
      </c>
      <c r="FU200" s="5"/>
      <c r="FV200" s="5"/>
      <c r="FW200" s="5"/>
      <c r="FX200" s="5" t="str">
        <f>IF(FW200="","",FT200*FW200)</f>
        <v/>
      </c>
      <c r="FY200" s="36" t="str">
        <f>IF(FX200="","",FX200/(FP200*100))</f>
        <v/>
      </c>
      <c r="FZ200" s="29"/>
      <c r="GB200" s="14"/>
      <c r="GC200" s="39"/>
      <c r="GD200" s="5" t="str">
        <f>IF(GC200="","",GC200-#REF!)</f>
        <v/>
      </c>
      <c r="GE200" s="5"/>
      <c r="GF200" s="5"/>
      <c r="GG200" s="5"/>
      <c r="GH200" s="5" t="str">
        <f>IF(GG200="","",#REF!+#REF!-GG200)</f>
        <v/>
      </c>
      <c r="GI200" s="5"/>
      <c r="GJ200" s="5"/>
      <c r="GK200" s="5"/>
      <c r="GL200" s="5" t="str">
        <f>IF(GK200="","",GH200*GK200)</f>
        <v/>
      </c>
      <c r="GM200" s="36" t="str">
        <f>IF(GL200="","",GL200/(GD200*100))</f>
        <v/>
      </c>
      <c r="GN200" s="29"/>
      <c r="GP200" s="14"/>
      <c r="GQ200" s="39"/>
      <c r="GR200" s="5" t="str">
        <f>IF(GQ200="","",GQ200-#REF!)</f>
        <v/>
      </c>
      <c r="GS200" s="5"/>
      <c r="GT200" s="5"/>
      <c r="GU200" s="5"/>
      <c r="GV200" s="5"/>
      <c r="GW200" s="5"/>
      <c r="GX200" s="5" t="str">
        <f>IF(GW200="","",#REF!+#REF!-GW200)</f>
        <v/>
      </c>
      <c r="GY200" s="5"/>
      <c r="GZ200" s="5"/>
      <c r="HA200" s="5"/>
      <c r="HB200" s="5" t="str">
        <f>IF(HA200="","",GX200*HA200)</f>
        <v/>
      </c>
      <c r="HC200" s="36" t="str">
        <f>IF(HB200="","",HB200/(GR200*100))</f>
        <v/>
      </c>
      <c r="HD200" s="29"/>
      <c r="HF200" s="14"/>
      <c r="HG200" s="39"/>
      <c r="HH200" s="5" t="str">
        <f>IF(HG200="","",HG200-#REF!)</f>
        <v/>
      </c>
      <c r="HI200" s="5"/>
      <c r="HJ200" s="29"/>
      <c r="HL200" s="14"/>
      <c r="HM200" s="39"/>
      <c r="HN200" s="5" t="str">
        <f>IF(HM200="","",HM200-#REF!)</f>
        <v/>
      </c>
      <c r="HO200" s="5"/>
      <c r="HP200" s="29"/>
      <c r="HR200" s="14"/>
      <c r="HS200" s="39"/>
      <c r="HT200" s="5" t="str">
        <f>IF(HS200="","",HS200-#REF!)</f>
        <v/>
      </c>
      <c r="HU200" s="5"/>
      <c r="HV200" s="29"/>
    </row>
    <row r="201" spans="1:230" ht="15" customHeight="1" x14ac:dyDescent="0.2">
      <c r="A201" s="54"/>
      <c r="B201" s="37"/>
      <c r="C201" s="5"/>
      <c r="D201" s="5" t="str">
        <f t="shared" si="633"/>
        <v/>
      </c>
      <c r="E201" s="5"/>
      <c r="F201" s="5" t="str">
        <f t="shared" si="634"/>
        <v/>
      </c>
      <c r="G201" s="5"/>
      <c r="H201" s="5" t="str">
        <f t="shared" si="561"/>
        <v/>
      </c>
      <c r="I201" s="5"/>
      <c r="J201" s="3" t="str">
        <f t="shared" si="635"/>
        <v/>
      </c>
      <c r="K201" s="5" t="str">
        <f t="shared" si="636"/>
        <v/>
      </c>
      <c r="L201" s="5" t="str">
        <f t="shared" si="637"/>
        <v/>
      </c>
      <c r="M201" s="36" t="str">
        <f t="shared" si="638"/>
        <v/>
      </c>
      <c r="N201" s="29"/>
      <c r="P201" s="25"/>
      <c r="Q201" s="5"/>
      <c r="R201" s="5" t="str">
        <f t="shared" si="639"/>
        <v/>
      </c>
      <c r="S201" s="5"/>
      <c r="T201" s="5" t="str">
        <f t="shared" si="640"/>
        <v/>
      </c>
      <c r="U201" s="5"/>
      <c r="V201" s="5" t="str">
        <f t="shared" si="641"/>
        <v/>
      </c>
      <c r="W201" s="5"/>
      <c r="X201" s="3" t="str">
        <f t="shared" si="611"/>
        <v/>
      </c>
      <c r="Y201" s="5" t="str">
        <f t="shared" si="663"/>
        <v/>
      </c>
      <c r="Z201" s="5" t="str">
        <f t="shared" si="642"/>
        <v/>
      </c>
      <c r="AA201" s="36" t="str">
        <f t="shared" si="643"/>
        <v/>
      </c>
      <c r="AB201" s="29"/>
      <c r="AD201" s="25"/>
      <c r="AE201" s="5"/>
      <c r="AF201" s="5" t="str">
        <f t="shared" si="644"/>
        <v/>
      </c>
      <c r="AG201" s="5"/>
      <c r="AH201" s="5" t="str">
        <f t="shared" si="645"/>
        <v/>
      </c>
      <c r="AI201" s="5"/>
      <c r="AJ201" s="5" t="str">
        <f t="shared" si="646"/>
        <v/>
      </c>
      <c r="AK201" s="5"/>
      <c r="AL201" s="38" t="str">
        <f t="shared" si="647"/>
        <v/>
      </c>
      <c r="AM201" s="5" t="str">
        <f t="shared" si="648"/>
        <v/>
      </c>
      <c r="AN201" s="5" t="str">
        <f t="shared" si="649"/>
        <v/>
      </c>
      <c r="AO201" s="36" t="str">
        <f t="shared" si="650"/>
        <v/>
      </c>
      <c r="AP201" s="29"/>
      <c r="AR201" s="25"/>
      <c r="AS201" s="5"/>
      <c r="AT201" s="5" t="str">
        <f t="shared" si="651"/>
        <v/>
      </c>
      <c r="AU201" s="5"/>
      <c r="AV201" s="5" t="str">
        <f t="shared" si="664"/>
        <v/>
      </c>
      <c r="AW201" s="5"/>
      <c r="AX201" s="5" t="str">
        <f t="shared" si="652"/>
        <v/>
      </c>
      <c r="AY201" s="5"/>
      <c r="AZ201" s="38" t="str">
        <f t="shared" si="662"/>
        <v/>
      </c>
      <c r="BA201" s="5" t="str">
        <f t="shared" si="653"/>
        <v/>
      </c>
      <c r="BB201" s="5" t="str">
        <f t="shared" si="654"/>
        <v/>
      </c>
      <c r="BC201" s="36" t="str">
        <f t="shared" si="655"/>
        <v/>
      </c>
      <c r="BD201" s="29"/>
      <c r="BE201" s="32"/>
      <c r="BF201" s="25"/>
      <c r="BG201" s="5"/>
      <c r="BH201" s="5" t="str">
        <f t="shared" si="656"/>
        <v/>
      </c>
      <c r="BI201" s="5"/>
      <c r="BJ201" s="5" t="str">
        <f t="shared" si="657"/>
        <v/>
      </c>
      <c r="BK201" s="5"/>
      <c r="BL201" s="5" t="str">
        <f t="shared" si="658"/>
        <v/>
      </c>
      <c r="BM201" s="5"/>
      <c r="BN201" s="3" t="str">
        <f>IF(BG199="","",BN197)</f>
        <v/>
      </c>
      <c r="BO201" s="39" t="str">
        <f>IF(BG199="","",BO197)</f>
        <v/>
      </c>
      <c r="BP201" s="5" t="str">
        <f t="shared" si="659"/>
        <v/>
      </c>
      <c r="BQ201" s="36" t="str">
        <f t="shared" si="665"/>
        <v/>
      </c>
      <c r="BR201" s="29"/>
      <c r="BT201" s="25"/>
      <c r="BU201" s="5"/>
      <c r="BV201" s="5" t="str">
        <f t="shared" si="660"/>
        <v/>
      </c>
      <c r="BW201" s="5"/>
      <c r="BX201" s="5" t="str">
        <f t="shared" si="661"/>
        <v/>
      </c>
      <c r="BY201" s="5"/>
      <c r="BZ201" s="5"/>
      <c r="CA201" s="57"/>
      <c r="CB201" s="3"/>
      <c r="CC201" s="39"/>
      <c r="CD201" s="5"/>
      <c r="CE201" s="36"/>
      <c r="CF201" s="29"/>
      <c r="CH201" s="14"/>
      <c r="CI201" s="39"/>
      <c r="CJ201" s="5" t="str">
        <f>IF(CI201="","",CI201-CI200)</f>
        <v/>
      </c>
      <c r="CK201" s="5"/>
      <c r="CL201" s="5"/>
      <c r="CM201" s="5"/>
      <c r="CN201" s="5" t="str">
        <f>IF(CM201="","",CM200+CO200-CM201)</f>
        <v/>
      </c>
      <c r="CO201" s="5"/>
      <c r="CP201" s="5"/>
      <c r="CQ201" s="5"/>
      <c r="CR201" s="5" t="str">
        <f>IF(CQ201="","",CN201*CQ201)</f>
        <v/>
      </c>
      <c r="CS201" s="36" t="str">
        <f>IF(CR201="","",CR201/(CJ201*100))</f>
        <v/>
      </c>
      <c r="CT201" s="29"/>
      <c r="CV201" s="14"/>
      <c r="CW201" s="39"/>
      <c r="CX201" s="5" t="str">
        <f>IF(CW201="","",CW201-CW200)</f>
        <v/>
      </c>
      <c r="CY201" s="5"/>
      <c r="CZ201" s="5"/>
      <c r="DA201" s="5"/>
      <c r="DB201" s="5" t="str">
        <f>IF(DA201="","",DA200+DC200-DA201)</f>
        <v/>
      </c>
      <c r="DC201" s="5"/>
      <c r="DD201" s="5"/>
      <c r="DE201" s="5"/>
      <c r="DF201" s="5" t="str">
        <f>IF(DE201="","",DB201*DE201)</f>
        <v/>
      </c>
      <c r="DG201" s="36" t="str">
        <f>IF(DF201="","",DF201/(CX201*100))</f>
        <v/>
      </c>
      <c r="DH201" s="29"/>
      <c r="DJ201" s="14"/>
      <c r="DK201" s="39"/>
      <c r="DL201" s="5" t="str">
        <f>IF(DK201="","",DK201-DK200)</f>
        <v/>
      </c>
      <c r="DM201" s="5"/>
      <c r="DN201" s="5"/>
      <c r="DO201" s="5"/>
      <c r="DP201" s="5" t="str">
        <f>IF(DO201="","",DO200+DQ200-DO201)</f>
        <v/>
      </c>
      <c r="DQ201" s="5"/>
      <c r="DR201" s="5"/>
      <c r="DS201" s="5"/>
      <c r="DT201" s="5" t="str">
        <f>IF(DS201="","",DP201*DS201)</f>
        <v/>
      </c>
      <c r="DU201" s="36" t="str">
        <f>IF(DT201="","",DT201/(DL201*100))</f>
        <v/>
      </c>
      <c r="DV201" s="29"/>
      <c r="DX201" s="14"/>
      <c r="DY201" s="39"/>
      <c r="DZ201" s="5" t="str">
        <f>IF(DY201="","",DY201-DY200)</f>
        <v/>
      </c>
      <c r="EA201" s="5"/>
      <c r="EB201" s="5"/>
      <c r="EC201" s="5"/>
      <c r="ED201" s="5" t="str">
        <f>IF(EC201="","",EC200+EE200-EC201)</f>
        <v/>
      </c>
      <c r="EE201" s="5"/>
      <c r="EF201" s="5"/>
      <c r="EG201" s="5"/>
      <c r="EH201" s="5" t="str">
        <f>IF(EG201="","",ED201*EG201)</f>
        <v/>
      </c>
      <c r="EI201" s="36" t="str">
        <f>IF(EH201="","",EH201/(DZ201*100))</f>
        <v/>
      </c>
      <c r="EJ201" s="29"/>
      <c r="EL201" s="14"/>
      <c r="EM201" s="39"/>
      <c r="EN201" s="5" t="str">
        <f>IF(EM201="","",EM201-EM200)</f>
        <v/>
      </c>
      <c r="EO201" s="5"/>
      <c r="EP201" s="5"/>
      <c r="EQ201" s="5"/>
      <c r="ER201" s="5" t="str">
        <f>IF(EQ201="","",EQ200+ES200-EQ201)</f>
        <v/>
      </c>
      <c r="ES201" s="5"/>
      <c r="ET201" s="5"/>
      <c r="EU201" s="5"/>
      <c r="EV201" s="5" t="str">
        <f>IF(EU201="","",ER201*EU201)</f>
        <v/>
      </c>
      <c r="EW201" s="36" t="str">
        <f>IF(EV201="","",EV201/(EN201*100))</f>
        <v/>
      </c>
      <c r="EX201" s="29"/>
      <c r="EZ201" s="14"/>
      <c r="FA201" s="39"/>
      <c r="FB201" s="5" t="str">
        <f>IF(FA201="","",FA201-FA200)</f>
        <v/>
      </c>
      <c r="FC201" s="5"/>
      <c r="FD201" s="5"/>
      <c r="FE201" s="5"/>
      <c r="FF201" s="5" t="str">
        <f>IF(FE201="","",FE200+FG200-FE201)</f>
        <v/>
      </c>
      <c r="FG201" s="5"/>
      <c r="FH201" s="5"/>
      <c r="FI201" s="5"/>
      <c r="FJ201" s="5" t="str">
        <f>IF(FI201="","",FF201*FI201)</f>
        <v/>
      </c>
      <c r="FK201" s="36" t="str">
        <f>IF(FJ201="","",FJ201/(FB201*100))</f>
        <v/>
      </c>
      <c r="FL201" s="29"/>
      <c r="FN201" s="14"/>
      <c r="FO201" s="39"/>
      <c r="FP201" s="5" t="str">
        <f>IF(FO201="","",FO201-FO200)</f>
        <v/>
      </c>
      <c r="FQ201" s="5"/>
      <c r="FR201" s="5"/>
      <c r="FS201" s="5"/>
      <c r="FT201" s="5" t="str">
        <f>IF(FS201="","",FS200+FU200-FS201)</f>
        <v/>
      </c>
      <c r="FU201" s="5"/>
      <c r="FV201" s="5"/>
      <c r="FW201" s="5"/>
      <c r="FX201" s="5" t="str">
        <f>IF(FW201="","",FT201*FW201)</f>
        <v/>
      </c>
      <c r="FY201" s="36" t="str">
        <f>IF(FX201="","",FX201/(FP201*100))</f>
        <v/>
      </c>
      <c r="FZ201" s="29"/>
      <c r="GB201" s="14"/>
      <c r="GC201" s="39"/>
      <c r="GD201" s="5" t="str">
        <f>IF(GC201="","",GC201-GC200)</f>
        <v/>
      </c>
      <c r="GE201" s="5"/>
      <c r="GF201" s="5"/>
      <c r="GG201" s="5"/>
      <c r="GH201" s="5" t="str">
        <f>IF(GG201="","",GG200+GI200-GG201)</f>
        <v/>
      </c>
      <c r="GI201" s="5"/>
      <c r="GJ201" s="5"/>
      <c r="GK201" s="5"/>
      <c r="GL201" s="5" t="str">
        <f>IF(GK201="","",GH201*GK201)</f>
        <v/>
      </c>
      <c r="GM201" s="36" t="str">
        <f>IF(GL201="","",GL201/(GD201*100))</f>
        <v/>
      </c>
      <c r="GN201" s="29"/>
      <c r="GP201" s="14"/>
      <c r="GQ201" s="39"/>
      <c r="GR201" s="5" t="str">
        <f>IF(GQ201="","",GQ201-GQ200)</f>
        <v/>
      </c>
      <c r="GS201" s="5"/>
      <c r="GT201" s="5"/>
      <c r="GU201" s="5"/>
      <c r="GV201" s="5"/>
      <c r="GW201" s="5"/>
      <c r="GX201" s="5" t="str">
        <f>IF(GW201="","",GW200+GY200-GW201)</f>
        <v/>
      </c>
      <c r="GY201" s="5"/>
      <c r="GZ201" s="5"/>
      <c r="HA201" s="5"/>
      <c r="HB201" s="5" t="str">
        <f>IF(HA201="","",GX201*HA201)</f>
        <v/>
      </c>
      <c r="HC201" s="36" t="str">
        <f>IF(HB201="","",HB201/(GR201*100))</f>
        <v/>
      </c>
      <c r="HD201" s="29"/>
      <c r="HF201" s="14"/>
      <c r="HG201" s="39"/>
      <c r="HH201" s="5" t="str">
        <f>IF(HG201="","",HG201-HG200)</f>
        <v/>
      </c>
      <c r="HI201" s="5"/>
      <c r="HJ201" s="29"/>
      <c r="HL201" s="14"/>
      <c r="HM201" s="39"/>
      <c r="HN201" s="5" t="str">
        <f>IF(HM201="","",HM201-HM200)</f>
        <v/>
      </c>
      <c r="HO201" s="5"/>
      <c r="HP201" s="29"/>
      <c r="HR201" s="14"/>
      <c r="HS201" s="39"/>
      <c r="HT201" s="5" t="str">
        <f>IF(HS201="","",HS201-HS200)</f>
        <v/>
      </c>
      <c r="HU201" s="5"/>
      <c r="HV201" s="29"/>
    </row>
    <row r="202" spans="1:230" ht="15" customHeight="1" thickBot="1" x14ac:dyDescent="0.25">
      <c r="A202" s="60"/>
      <c r="B202" s="73"/>
      <c r="C202" s="44"/>
      <c r="D202" s="44" t="str">
        <f t="shared" si="633"/>
        <v/>
      </c>
      <c r="E202" s="44"/>
      <c r="F202" s="44" t="str">
        <f t="shared" si="634"/>
        <v/>
      </c>
      <c r="G202" s="44"/>
      <c r="H202" s="44"/>
      <c r="I202" s="44"/>
      <c r="J202" s="45" t="str">
        <f t="shared" si="635"/>
        <v/>
      </c>
      <c r="K202" s="61" t="str">
        <f t="shared" si="636"/>
        <v/>
      </c>
      <c r="L202" s="44" t="str">
        <f t="shared" si="637"/>
        <v/>
      </c>
      <c r="M202" s="46" t="str">
        <f t="shared" si="638"/>
        <v/>
      </c>
      <c r="N202" s="29"/>
      <c r="P202" s="41"/>
      <c r="Q202" s="44"/>
      <c r="R202" s="44" t="str">
        <f t="shared" si="639"/>
        <v/>
      </c>
      <c r="S202" s="44"/>
      <c r="T202" s="44" t="str">
        <f t="shared" si="640"/>
        <v/>
      </c>
      <c r="U202" s="44"/>
      <c r="V202" s="44" t="str">
        <f t="shared" si="641"/>
        <v/>
      </c>
      <c r="W202" s="44"/>
      <c r="X202" s="45" t="str">
        <f t="shared" si="611"/>
        <v/>
      </c>
      <c r="Y202" s="61" t="str">
        <f t="shared" si="663"/>
        <v/>
      </c>
      <c r="Z202" s="44" t="str">
        <f t="shared" si="642"/>
        <v/>
      </c>
      <c r="AA202" s="46" t="str">
        <f t="shared" si="643"/>
        <v/>
      </c>
      <c r="AB202" s="29"/>
      <c r="AD202" s="41"/>
      <c r="AE202" s="44"/>
      <c r="AF202" s="44" t="str">
        <f t="shared" si="644"/>
        <v/>
      </c>
      <c r="AG202" s="44"/>
      <c r="AH202" s="44" t="str">
        <f t="shared" si="645"/>
        <v/>
      </c>
      <c r="AI202" s="44"/>
      <c r="AJ202" s="44" t="str">
        <f t="shared" si="646"/>
        <v/>
      </c>
      <c r="AK202" s="44"/>
      <c r="AL202" s="47" t="str">
        <f t="shared" si="647"/>
        <v/>
      </c>
      <c r="AM202" s="61" t="str">
        <f t="shared" si="648"/>
        <v/>
      </c>
      <c r="AN202" s="44" t="str">
        <f t="shared" si="649"/>
        <v/>
      </c>
      <c r="AO202" s="46" t="str">
        <f t="shared" si="650"/>
        <v/>
      </c>
      <c r="AP202" s="29"/>
      <c r="AR202" s="41"/>
      <c r="AS202" s="44"/>
      <c r="AT202" s="44" t="str">
        <f t="shared" si="651"/>
        <v/>
      </c>
      <c r="AU202" s="44"/>
      <c r="AV202" s="44" t="str">
        <f t="shared" si="664"/>
        <v/>
      </c>
      <c r="AW202" s="44"/>
      <c r="AX202" s="44" t="str">
        <f t="shared" si="652"/>
        <v/>
      </c>
      <c r="AY202" s="44"/>
      <c r="AZ202" s="47" t="str">
        <f t="shared" si="662"/>
        <v/>
      </c>
      <c r="BA202" s="61" t="str">
        <f t="shared" si="653"/>
        <v/>
      </c>
      <c r="BB202" s="44" t="str">
        <f t="shared" si="654"/>
        <v/>
      </c>
      <c r="BC202" s="46" t="str">
        <f t="shared" si="655"/>
        <v/>
      </c>
      <c r="BD202" s="29"/>
      <c r="BE202" s="32"/>
      <c r="BF202" s="41"/>
      <c r="BG202" s="44"/>
      <c r="BH202" s="44" t="str">
        <f t="shared" si="656"/>
        <v/>
      </c>
      <c r="BI202" s="44"/>
      <c r="BJ202" s="44" t="str">
        <f t="shared" si="657"/>
        <v/>
      </c>
      <c r="BK202" s="44"/>
      <c r="BL202" s="44" t="str">
        <f t="shared" si="658"/>
        <v/>
      </c>
      <c r="BM202" s="44"/>
      <c r="BN202" s="45" t="str">
        <f>IF(BG199="","",BN198)</f>
        <v/>
      </c>
      <c r="BO202" s="61" t="str">
        <f>IF(BG199="","",BO198)</f>
        <v/>
      </c>
      <c r="BP202" s="44" t="str">
        <f t="shared" si="659"/>
        <v/>
      </c>
      <c r="BQ202" s="46" t="str">
        <f t="shared" si="665"/>
        <v/>
      </c>
      <c r="BR202" s="29"/>
      <c r="BT202" s="41"/>
      <c r="BU202" s="44"/>
      <c r="BV202" s="44" t="str">
        <f t="shared" si="660"/>
        <v/>
      </c>
      <c r="BW202" s="44"/>
      <c r="BX202" s="44" t="str">
        <f t="shared" si="661"/>
        <v/>
      </c>
      <c r="BY202" s="44"/>
      <c r="BZ202" s="44"/>
      <c r="CA202" s="44"/>
      <c r="CB202" s="45"/>
      <c r="CC202" s="61"/>
      <c r="CD202" s="44"/>
      <c r="CE202" s="46"/>
      <c r="CF202" s="29"/>
      <c r="CH202" s="14"/>
      <c r="CI202" s="39"/>
      <c r="CJ202" s="5" t="str">
        <f>IF(CI202="","",CI202-CI201)</f>
        <v/>
      </c>
      <c r="CK202" s="5"/>
      <c r="CL202" s="5"/>
      <c r="CM202" s="5"/>
      <c r="CN202" s="5" t="str">
        <f>IF(CM202="","",CM201+CO201-CM202)</f>
        <v/>
      </c>
      <c r="CO202" s="5"/>
      <c r="CP202" s="5"/>
      <c r="CQ202" s="5"/>
      <c r="CR202" s="5" t="str">
        <f>IF(CQ202="","",CN202*CQ202)</f>
        <v/>
      </c>
      <c r="CS202" s="36" t="str">
        <f>IF(CR202="","",CR202/(CJ202*100))</f>
        <v/>
      </c>
      <c r="CT202" s="29"/>
      <c r="CV202" s="14"/>
      <c r="CW202" s="39"/>
      <c r="CX202" s="5" t="str">
        <f>IF(CW202="","",CW202-CW201)</f>
        <v/>
      </c>
      <c r="CY202" s="5"/>
      <c r="CZ202" s="5"/>
      <c r="DA202" s="5"/>
      <c r="DB202" s="5" t="str">
        <f>IF(DA202="","",DA201+DC201-DA202)</f>
        <v/>
      </c>
      <c r="DC202" s="5"/>
      <c r="DD202" s="5"/>
      <c r="DE202" s="5"/>
      <c r="DF202" s="5" t="str">
        <f>IF(DE202="","",DB202*DE202)</f>
        <v/>
      </c>
      <c r="DG202" s="36" t="str">
        <f>IF(DF202="","",DF202/(CX202*100))</f>
        <v/>
      </c>
      <c r="DH202" s="29"/>
      <c r="DJ202" s="14"/>
      <c r="DK202" s="39"/>
      <c r="DL202" s="5" t="str">
        <f>IF(DK202="","",DK202-DK201)</f>
        <v/>
      </c>
      <c r="DM202" s="5"/>
      <c r="DN202" s="5"/>
      <c r="DO202" s="5"/>
      <c r="DP202" s="5" t="str">
        <f>IF(DO202="","",DO201+DQ201-DO202)</f>
        <v/>
      </c>
      <c r="DQ202" s="5"/>
      <c r="DR202" s="5"/>
      <c r="DS202" s="5"/>
      <c r="DT202" s="5" t="str">
        <f>IF(DS202="","",DP202*DS202)</f>
        <v/>
      </c>
      <c r="DU202" s="36" t="str">
        <f>IF(DT202="","",DT202/(DL202*100))</f>
        <v/>
      </c>
      <c r="DV202" s="29"/>
      <c r="DX202" s="14"/>
      <c r="DY202" s="39"/>
      <c r="DZ202" s="5" t="str">
        <f>IF(DY202="","",DY202-DY201)</f>
        <v/>
      </c>
      <c r="EA202" s="5"/>
      <c r="EB202" s="5"/>
      <c r="EC202" s="5"/>
      <c r="ED202" s="5" t="str">
        <f>IF(EC202="","",EC201+EE201-EC202)</f>
        <v/>
      </c>
      <c r="EE202" s="5"/>
      <c r="EF202" s="5"/>
      <c r="EG202" s="5"/>
      <c r="EH202" s="5" t="str">
        <f>IF(EG202="","",ED202*EG202)</f>
        <v/>
      </c>
      <c r="EI202" s="36" t="str">
        <f>IF(EH202="","",EH202/(DZ202*100))</f>
        <v/>
      </c>
      <c r="EJ202" s="29"/>
      <c r="EL202" s="14"/>
      <c r="EM202" s="39"/>
      <c r="EN202" s="5" t="str">
        <f>IF(EM202="","",EM202-EM201)</f>
        <v/>
      </c>
      <c r="EO202" s="5"/>
      <c r="EP202" s="5"/>
      <c r="EQ202" s="5"/>
      <c r="ER202" s="5" t="str">
        <f>IF(EQ202="","",EQ201+ES201-EQ202)</f>
        <v/>
      </c>
      <c r="ES202" s="5"/>
      <c r="ET202" s="5"/>
      <c r="EU202" s="5"/>
      <c r="EV202" s="5" t="str">
        <f>IF(EU202="","",ER202*EU202)</f>
        <v/>
      </c>
      <c r="EW202" s="36" t="str">
        <f>IF(EV202="","",EV202/(EN202*100))</f>
        <v/>
      </c>
      <c r="EX202" s="29"/>
      <c r="EZ202" s="14"/>
      <c r="FA202" s="39"/>
      <c r="FB202" s="5" t="str">
        <f>IF(FA202="","",FA202-FA201)</f>
        <v/>
      </c>
      <c r="FC202" s="5"/>
      <c r="FD202" s="5"/>
      <c r="FE202" s="5"/>
      <c r="FF202" s="5" t="str">
        <f>IF(FE202="","",FE201+FG201-FE202)</f>
        <v/>
      </c>
      <c r="FG202" s="5"/>
      <c r="FH202" s="5"/>
      <c r="FI202" s="5"/>
      <c r="FJ202" s="5" t="str">
        <f>IF(FI202="","",FF202*FI202)</f>
        <v/>
      </c>
      <c r="FK202" s="36" t="str">
        <f>IF(FJ202="","",FJ202/(FB202*100))</f>
        <v/>
      </c>
      <c r="FL202" s="29"/>
      <c r="FN202" s="14"/>
      <c r="FO202" s="39"/>
      <c r="FP202" s="5" t="str">
        <f>IF(FO202="","",FO202-FO201)</f>
        <v/>
      </c>
      <c r="FQ202" s="5"/>
      <c r="FR202" s="5"/>
      <c r="FS202" s="5"/>
      <c r="FT202" s="5" t="str">
        <f>IF(FS202="","",FS201+FU201-FS202)</f>
        <v/>
      </c>
      <c r="FU202" s="5"/>
      <c r="FV202" s="5"/>
      <c r="FW202" s="5"/>
      <c r="FX202" s="5" t="str">
        <f>IF(FW202="","",FT202*FW202)</f>
        <v/>
      </c>
      <c r="FY202" s="36" t="str">
        <f>IF(FX202="","",FX202/(FP202*100))</f>
        <v/>
      </c>
      <c r="FZ202" s="29"/>
      <c r="GB202" s="14"/>
      <c r="GC202" s="39"/>
      <c r="GD202" s="5" t="str">
        <f>IF(GC202="","",GC202-GC201)</f>
        <v/>
      </c>
      <c r="GE202" s="5"/>
      <c r="GF202" s="5"/>
      <c r="GG202" s="5"/>
      <c r="GH202" s="5" t="str">
        <f>IF(GG202="","",GG201+GI201-GG202)</f>
        <v/>
      </c>
      <c r="GI202" s="5"/>
      <c r="GJ202" s="5"/>
      <c r="GK202" s="5"/>
      <c r="GL202" s="5" t="str">
        <f>IF(GK202="","",GH202*GK202)</f>
        <v/>
      </c>
      <c r="GM202" s="36" t="str">
        <f>IF(GL202="","",GL202/(GD202*100))</f>
        <v/>
      </c>
      <c r="GN202" s="29"/>
      <c r="GP202" s="14"/>
      <c r="GQ202" s="39"/>
      <c r="GR202" s="5" t="str">
        <f>IF(GQ202="","",GQ202-GQ201)</f>
        <v/>
      </c>
      <c r="GS202" s="5"/>
      <c r="GT202" s="5"/>
      <c r="GU202" s="5"/>
      <c r="GV202" s="5"/>
      <c r="GW202" s="5"/>
      <c r="GX202" s="5" t="str">
        <f>IF(GW202="","",GW201+GY201-GW202)</f>
        <v/>
      </c>
      <c r="GY202" s="5"/>
      <c r="GZ202" s="5"/>
      <c r="HA202" s="5"/>
      <c r="HB202" s="5" t="str">
        <f>IF(HA202="","",GX202*HA202)</f>
        <v/>
      </c>
      <c r="HC202" s="36" t="str">
        <f>IF(HB202="","",HB202/(GR202*100))</f>
        <v/>
      </c>
      <c r="HD202" s="29"/>
      <c r="HF202" s="14"/>
      <c r="HG202" s="39"/>
      <c r="HH202" s="5" t="str">
        <f>IF(HG202="","",HG202-HG201)</f>
        <v/>
      </c>
      <c r="HI202" s="5"/>
      <c r="HJ202" s="29"/>
      <c r="HL202" s="14"/>
      <c r="HM202" s="39"/>
      <c r="HN202" s="5" t="str">
        <f>IF(HM202="","",HM202-HM201)</f>
        <v/>
      </c>
      <c r="HO202" s="5"/>
      <c r="HP202" s="29"/>
      <c r="HR202" s="14"/>
      <c r="HS202" s="39"/>
      <c r="HT202" s="5" t="str">
        <f>IF(HS202="","",HS202-HS201)</f>
        <v/>
      </c>
      <c r="HU202" s="5"/>
      <c r="HV202" s="29"/>
    </row>
    <row r="203" spans="1:230" ht="15" customHeight="1" thickTop="1" x14ac:dyDescent="0.2">
      <c r="A203" s="49"/>
      <c r="B203" s="26">
        <f>SUM(D203:D206)+SUM(R203:R206)+SUM(AF203:AF206)+SUM(AT203:AT206)+SUM(CJ197,DL197,DZ197,EN197,FB197,FP197,GD197,GR197,HH197,HN197,HT197)+SUM(BH203:BH204)+SUM(BV203:BV204)</f>
        <v>0</v>
      </c>
      <c r="C203" s="4"/>
      <c r="D203" s="4" t="str">
        <f t="shared" si="633"/>
        <v/>
      </c>
      <c r="E203" s="4"/>
      <c r="F203" s="4" t="str">
        <f t="shared" si="634"/>
        <v/>
      </c>
      <c r="G203" s="4"/>
      <c r="H203" s="4" t="str">
        <f>IF(G203="","",G199+I199-G203)</f>
        <v/>
      </c>
      <c r="I203" s="4"/>
      <c r="J203" s="2" t="str">
        <f t="shared" si="635"/>
        <v/>
      </c>
      <c r="K203" s="4" t="str">
        <f t="shared" si="636"/>
        <v/>
      </c>
      <c r="L203" s="4" t="str">
        <f t="shared" si="637"/>
        <v/>
      </c>
      <c r="M203" s="4" t="str">
        <f t="shared" si="638"/>
        <v/>
      </c>
      <c r="N203" s="29"/>
      <c r="P203" s="80" t="str">
        <f>IF($A$425="","",$A$425)</f>
        <v/>
      </c>
      <c r="Q203" s="4"/>
      <c r="R203" s="4" t="str">
        <f t="shared" si="639"/>
        <v/>
      </c>
      <c r="S203" s="4"/>
      <c r="T203" s="4" t="str">
        <f t="shared" si="640"/>
        <v/>
      </c>
      <c r="U203" s="4"/>
      <c r="V203" s="4" t="str">
        <f t="shared" si="641"/>
        <v/>
      </c>
      <c r="W203" s="4"/>
      <c r="X203" s="2" t="str">
        <f t="shared" si="611"/>
        <v/>
      </c>
      <c r="Y203" s="4" t="str">
        <f t="shared" si="663"/>
        <v/>
      </c>
      <c r="Z203" s="4" t="str">
        <f t="shared" si="642"/>
        <v/>
      </c>
      <c r="AA203" s="4" t="str">
        <f t="shared" si="643"/>
        <v/>
      </c>
      <c r="AB203" s="29"/>
      <c r="AD203" s="80" t="str">
        <f>IF($A$425="","",$A$425)</f>
        <v/>
      </c>
      <c r="AE203" s="4"/>
      <c r="AF203" s="4" t="str">
        <f t="shared" si="644"/>
        <v/>
      </c>
      <c r="AG203" s="4"/>
      <c r="AH203" s="4" t="str">
        <f t="shared" si="645"/>
        <v/>
      </c>
      <c r="AI203" s="4"/>
      <c r="AJ203" s="4" t="str">
        <f t="shared" si="646"/>
        <v/>
      </c>
      <c r="AK203" s="4"/>
      <c r="AL203" s="31" t="str">
        <f t="shared" si="647"/>
        <v/>
      </c>
      <c r="AM203" s="4" t="str">
        <f t="shared" si="648"/>
        <v/>
      </c>
      <c r="AN203" s="4" t="str">
        <f t="shared" si="649"/>
        <v/>
      </c>
      <c r="AO203" s="4" t="str">
        <f t="shared" si="650"/>
        <v/>
      </c>
      <c r="AP203" s="29"/>
      <c r="AR203" s="80" t="str">
        <f>IF($A$425="","",$A$425)</f>
        <v/>
      </c>
      <c r="AS203" s="4"/>
      <c r="AT203" s="4" t="str">
        <f t="shared" si="651"/>
        <v/>
      </c>
      <c r="AU203" s="4"/>
      <c r="AV203" s="4" t="str">
        <f t="shared" si="664"/>
        <v/>
      </c>
      <c r="AW203" s="4"/>
      <c r="AX203" s="4" t="str">
        <f t="shared" si="652"/>
        <v/>
      </c>
      <c r="AY203" s="4"/>
      <c r="AZ203" s="31" t="str">
        <f t="shared" si="662"/>
        <v/>
      </c>
      <c r="BA203" s="4" t="str">
        <f t="shared" si="653"/>
        <v/>
      </c>
      <c r="BB203" s="4" t="str">
        <f t="shared" si="654"/>
        <v/>
      </c>
      <c r="BC203" s="4" t="str">
        <f t="shared" si="655"/>
        <v/>
      </c>
      <c r="BD203" s="29"/>
      <c r="BE203" s="32"/>
      <c r="BF203" s="33" t="str">
        <f>IF($A164="","",$A164)</f>
        <v/>
      </c>
      <c r="BG203" s="4"/>
      <c r="BH203" s="4" t="str">
        <f t="shared" si="656"/>
        <v/>
      </c>
      <c r="BI203" s="4"/>
      <c r="BJ203" s="50" t="str">
        <f t="shared" si="657"/>
        <v/>
      </c>
      <c r="BK203" s="4"/>
      <c r="BL203" s="4" t="str">
        <f t="shared" si="658"/>
        <v/>
      </c>
      <c r="BM203" s="4"/>
      <c r="BN203" s="2" t="str">
        <f t="shared" ref="BN203:BO206" si="666">IF(BG203="","",BN199)</f>
        <v/>
      </c>
      <c r="BO203" s="27" t="str">
        <f t="shared" si="666"/>
        <v/>
      </c>
      <c r="BP203" s="50" t="str">
        <f t="shared" si="659"/>
        <v/>
      </c>
      <c r="BQ203" s="52" t="str">
        <f t="shared" si="665"/>
        <v/>
      </c>
      <c r="BR203" s="29"/>
      <c r="BT203" s="33" t="str">
        <f>IF($A164="","",$A164)</f>
        <v/>
      </c>
      <c r="BU203" s="4"/>
      <c r="BV203" s="4" t="str">
        <f t="shared" si="660"/>
        <v/>
      </c>
      <c r="BW203" s="4"/>
      <c r="BX203" s="50" t="str">
        <f t="shared" si="661"/>
        <v/>
      </c>
      <c r="BY203" s="4"/>
      <c r="BZ203" s="4" t="str">
        <f>IF(BY203="","",BY199+CA199-BY203)</f>
        <v/>
      </c>
      <c r="CA203" s="4"/>
      <c r="CB203" s="2" t="str">
        <f>IF(BU203="","",CB199)</f>
        <v/>
      </c>
      <c r="CC203" s="27" t="str">
        <f>IF(BU203="","",CC199)</f>
        <v/>
      </c>
      <c r="CD203" s="5" t="str">
        <f>IF(BY203="","",BZ203*CC203)</f>
        <v/>
      </c>
      <c r="CE203" s="52" t="str">
        <f>IF(BZ203="","",CD203/(BV203*100))</f>
        <v/>
      </c>
      <c r="CF203" s="29"/>
      <c r="CH203" s="14"/>
      <c r="CI203" s="39"/>
      <c r="CJ203" s="5"/>
      <c r="CK203" s="5"/>
      <c r="CL203" s="5"/>
      <c r="CM203" s="5"/>
      <c r="CN203" s="5" t="str">
        <f>IF(CM203="","",CM202+CO202-CM203)</f>
        <v/>
      </c>
      <c r="CO203" s="5"/>
      <c r="CP203" s="5"/>
      <c r="CQ203" s="5"/>
      <c r="CR203" s="5" t="str">
        <f>IF(CQ203="","",CN203*CQ203)</f>
        <v/>
      </c>
      <c r="CS203" s="36" t="str">
        <f>IF(CR203="","",CR203/(CJ203*100))</f>
        <v/>
      </c>
      <c r="CT203" s="29"/>
      <c r="CV203" s="14"/>
      <c r="CW203" s="39"/>
      <c r="CX203" s="5"/>
      <c r="CY203" s="5"/>
      <c r="CZ203" s="5"/>
      <c r="DA203" s="5"/>
      <c r="DB203" s="5" t="str">
        <f>IF(DA203="","",DA202+DC202-DA203)</f>
        <v/>
      </c>
      <c r="DC203" s="5"/>
      <c r="DD203" s="5"/>
      <c r="DE203" s="5"/>
      <c r="DF203" s="5" t="str">
        <f>IF(DE203="","",DB203*DE203)</f>
        <v/>
      </c>
      <c r="DG203" s="36" t="str">
        <f>IF(DF203="","",DF203/(CX203*100))</f>
        <v/>
      </c>
      <c r="DH203" s="29"/>
      <c r="DJ203" s="14"/>
      <c r="DK203" s="39"/>
      <c r="DL203" s="5"/>
      <c r="DM203" s="5"/>
      <c r="DN203" s="5"/>
      <c r="DO203" s="5"/>
      <c r="DP203" s="5" t="str">
        <f>IF(DO203="","",DO202+DQ202-DO203)</f>
        <v/>
      </c>
      <c r="DQ203" s="5"/>
      <c r="DR203" s="5"/>
      <c r="DS203" s="5"/>
      <c r="DT203" s="5" t="str">
        <f>IF(DS203="","",DP203*DS203)</f>
        <v/>
      </c>
      <c r="DU203" s="36" t="str">
        <f>IF(DT203="","",DT203/(DL203*100))</f>
        <v/>
      </c>
      <c r="DV203" s="29"/>
      <c r="DX203" s="14"/>
      <c r="DY203" s="39"/>
      <c r="DZ203" s="5"/>
      <c r="EA203" s="5"/>
      <c r="EB203" s="5"/>
      <c r="EC203" s="5"/>
      <c r="ED203" s="5" t="str">
        <f>IF(EC203="","",EC202+EE202-EC203)</f>
        <v/>
      </c>
      <c r="EE203" s="5"/>
      <c r="EF203" s="5"/>
      <c r="EG203" s="5"/>
      <c r="EH203" s="5" t="str">
        <f>IF(EG203="","",ED203*EG203)</f>
        <v/>
      </c>
      <c r="EI203" s="36" t="str">
        <f>IF(EH203="","",EH203/(DZ203*100))</f>
        <v/>
      </c>
      <c r="EJ203" s="29"/>
      <c r="EL203" s="14"/>
      <c r="EM203" s="39"/>
      <c r="EN203" s="5"/>
      <c r="EO203" s="5"/>
      <c r="EP203" s="5"/>
      <c r="EQ203" s="5"/>
      <c r="ER203" s="5" t="str">
        <f>IF(EQ203="","",EQ202+ES202-EQ203)</f>
        <v/>
      </c>
      <c r="ES203" s="5"/>
      <c r="ET203" s="5"/>
      <c r="EU203" s="5"/>
      <c r="EV203" s="5" t="str">
        <f>IF(EU203="","",ER203*EU203)</f>
        <v/>
      </c>
      <c r="EW203" s="36" t="str">
        <f>IF(EV203="","",EV203/(EN203*100))</f>
        <v/>
      </c>
      <c r="EX203" s="29"/>
      <c r="EZ203" s="14"/>
      <c r="FA203" s="39"/>
      <c r="FB203" s="5"/>
      <c r="FC203" s="5"/>
      <c r="FD203" s="5"/>
      <c r="FE203" s="5"/>
      <c r="FF203" s="5" t="str">
        <f>IF(FE203="","",FE202+FG202-FE203)</f>
        <v/>
      </c>
      <c r="FG203" s="5"/>
      <c r="FH203" s="5"/>
      <c r="FI203" s="5"/>
      <c r="FJ203" s="5" t="str">
        <f>IF(FI203="","",FF203*FI203)</f>
        <v/>
      </c>
      <c r="FK203" s="36" t="str">
        <f>IF(FJ203="","",FJ203/(FB203*100))</f>
        <v/>
      </c>
      <c r="FL203" s="29"/>
      <c r="FN203" s="14"/>
      <c r="FO203" s="39"/>
      <c r="FP203" s="5"/>
      <c r="FQ203" s="5"/>
      <c r="FR203" s="5"/>
      <c r="FS203" s="5"/>
      <c r="FT203" s="5" t="str">
        <f>IF(FS203="","",FS202+FU202-FS203)</f>
        <v/>
      </c>
      <c r="FU203" s="5"/>
      <c r="FV203" s="5"/>
      <c r="FW203" s="5"/>
      <c r="FX203" s="5" t="str">
        <f>IF(FW203="","",FT203*FW203)</f>
        <v/>
      </c>
      <c r="FY203" s="36" t="str">
        <f>IF(FX203="","",FX203/(FP203*100))</f>
        <v/>
      </c>
      <c r="FZ203" s="29"/>
      <c r="GB203" s="14"/>
      <c r="GC203" s="39"/>
      <c r="GD203" s="5"/>
      <c r="GE203" s="5"/>
      <c r="GF203" s="5"/>
      <c r="GG203" s="5"/>
      <c r="GH203" s="5" t="str">
        <f>IF(GG203="","",GG202+GI202-GG203)</f>
        <v/>
      </c>
      <c r="GI203" s="5"/>
      <c r="GJ203" s="5"/>
      <c r="GK203" s="5"/>
      <c r="GL203" s="5" t="str">
        <f>IF(GK203="","",GH203*GK203)</f>
        <v/>
      </c>
      <c r="GM203" s="36" t="str">
        <f>IF(GL203="","",GL203/(GD203*100))</f>
        <v/>
      </c>
      <c r="GN203" s="29"/>
      <c r="GP203" s="14"/>
      <c r="GQ203" s="39"/>
      <c r="GR203" s="5"/>
      <c r="GS203" s="5"/>
      <c r="GT203" s="5"/>
      <c r="GU203" s="5"/>
      <c r="GV203" s="5"/>
      <c r="GW203" s="5"/>
      <c r="GX203" s="5" t="str">
        <f>IF(GW203="","",GW202+GY202-GW203)</f>
        <v/>
      </c>
      <c r="GY203" s="5"/>
      <c r="GZ203" s="5"/>
      <c r="HA203" s="5"/>
      <c r="HB203" s="5" t="str">
        <f>IF(HA203="","",GX203*HA203)</f>
        <v/>
      </c>
      <c r="HC203" s="36" t="str">
        <f>IF(HB203="","",HB203/(GR203*100))</f>
        <v/>
      </c>
      <c r="HD203" s="29"/>
      <c r="HF203" s="14"/>
      <c r="HG203" s="39"/>
      <c r="HH203" s="5"/>
      <c r="HI203" s="5"/>
      <c r="HJ203" s="29"/>
      <c r="HL203" s="14"/>
      <c r="HM203" s="39"/>
      <c r="HN203" s="5"/>
      <c r="HO203" s="5"/>
      <c r="HP203" s="29"/>
      <c r="HR203" s="14"/>
      <c r="HS203" s="39"/>
      <c r="HT203" s="5"/>
      <c r="HU203" s="5"/>
      <c r="HV203" s="29"/>
    </row>
    <row r="204" spans="1:230" ht="15" customHeight="1" x14ac:dyDescent="0.2">
      <c r="A204" s="49"/>
      <c r="B204" s="26"/>
      <c r="C204" s="4"/>
      <c r="D204" s="4" t="str">
        <f t="shared" si="633"/>
        <v/>
      </c>
      <c r="E204" s="4"/>
      <c r="F204" s="4" t="str">
        <f t="shared" si="634"/>
        <v/>
      </c>
      <c r="G204" s="4"/>
      <c r="H204" s="4" t="str">
        <f>IF(G204="","",G200+I200-G204)</f>
        <v/>
      </c>
      <c r="I204" s="4"/>
      <c r="J204" s="2" t="str">
        <f t="shared" si="635"/>
        <v/>
      </c>
      <c r="K204" s="4" t="str">
        <f t="shared" si="636"/>
        <v/>
      </c>
      <c r="L204" s="4" t="str">
        <f t="shared" si="637"/>
        <v/>
      </c>
      <c r="M204" s="4" t="str">
        <f t="shared" si="638"/>
        <v/>
      </c>
      <c r="N204" s="29"/>
      <c r="P204" s="33"/>
      <c r="Q204" s="4"/>
      <c r="R204" s="4" t="str">
        <f t="shared" si="639"/>
        <v/>
      </c>
      <c r="S204" s="4"/>
      <c r="T204" s="4" t="str">
        <f t="shared" si="640"/>
        <v/>
      </c>
      <c r="U204" s="4"/>
      <c r="V204" s="4" t="str">
        <f t="shared" si="641"/>
        <v/>
      </c>
      <c r="W204" s="4"/>
      <c r="X204" s="31" t="str">
        <f t="shared" si="611"/>
        <v/>
      </c>
      <c r="Y204" s="4" t="str">
        <f t="shared" si="663"/>
        <v/>
      </c>
      <c r="Z204" s="4" t="str">
        <f t="shared" si="642"/>
        <v/>
      </c>
      <c r="AA204" s="4" t="str">
        <f t="shared" si="643"/>
        <v/>
      </c>
      <c r="AB204" s="29"/>
      <c r="AD204" s="33"/>
      <c r="AE204" s="4"/>
      <c r="AF204" s="4" t="str">
        <f t="shared" si="644"/>
        <v/>
      </c>
      <c r="AG204" s="4"/>
      <c r="AH204" s="4" t="str">
        <f t="shared" si="645"/>
        <v/>
      </c>
      <c r="AI204" s="4"/>
      <c r="AJ204" s="4" t="str">
        <f t="shared" si="646"/>
        <v/>
      </c>
      <c r="AK204" s="4"/>
      <c r="AL204" s="31" t="str">
        <f t="shared" si="647"/>
        <v/>
      </c>
      <c r="AM204" s="4" t="str">
        <f t="shared" si="648"/>
        <v/>
      </c>
      <c r="AN204" s="4" t="str">
        <f t="shared" si="649"/>
        <v/>
      </c>
      <c r="AO204" s="4" t="str">
        <f t="shared" si="650"/>
        <v/>
      </c>
      <c r="AP204" s="29"/>
      <c r="AR204" s="33"/>
      <c r="AS204" s="4"/>
      <c r="AT204" s="4" t="str">
        <f t="shared" si="651"/>
        <v/>
      </c>
      <c r="AU204" s="4"/>
      <c r="AV204" s="4" t="str">
        <f t="shared" si="664"/>
        <v/>
      </c>
      <c r="AW204" s="4"/>
      <c r="AX204" s="4" t="str">
        <f t="shared" si="652"/>
        <v/>
      </c>
      <c r="AY204" s="4"/>
      <c r="AZ204" s="31" t="str">
        <f t="shared" si="662"/>
        <v/>
      </c>
      <c r="BA204" s="4" t="str">
        <f t="shared" si="653"/>
        <v/>
      </c>
      <c r="BB204" s="4" t="str">
        <f t="shared" si="654"/>
        <v/>
      </c>
      <c r="BC204" s="4" t="str">
        <f t="shared" si="655"/>
        <v/>
      </c>
      <c r="BD204" s="29"/>
      <c r="BE204" s="32"/>
      <c r="BF204" s="33"/>
      <c r="BG204" s="4"/>
      <c r="BH204" s="5" t="str">
        <f t="shared" si="656"/>
        <v/>
      </c>
      <c r="BI204" s="4"/>
      <c r="BJ204" s="5" t="str">
        <f t="shared" si="657"/>
        <v/>
      </c>
      <c r="BK204" s="4"/>
      <c r="BL204" s="5" t="str">
        <f t="shared" si="658"/>
        <v/>
      </c>
      <c r="BM204" s="4"/>
      <c r="BN204" s="3" t="str">
        <f t="shared" si="666"/>
        <v/>
      </c>
      <c r="BO204" s="39" t="str">
        <f t="shared" si="666"/>
        <v/>
      </c>
      <c r="BP204" s="5" t="str">
        <f t="shared" si="659"/>
        <v/>
      </c>
      <c r="BQ204" s="36" t="str">
        <f t="shared" si="665"/>
        <v/>
      </c>
      <c r="BR204" s="29"/>
      <c r="BT204" s="33"/>
      <c r="BU204" s="4"/>
      <c r="BV204" s="5" t="str">
        <f t="shared" si="660"/>
        <v/>
      </c>
      <c r="BW204" s="4"/>
      <c r="BX204" s="5" t="str">
        <f t="shared" si="661"/>
        <v/>
      </c>
      <c r="BY204" s="5"/>
      <c r="BZ204" s="5" t="str">
        <f>IF(BY204="","",BY200+CA200-BY204)</f>
        <v/>
      </c>
      <c r="CA204" s="4"/>
      <c r="CB204" s="3" t="str">
        <f>IF(BU204="","",CB200)</f>
        <v/>
      </c>
      <c r="CC204" s="39" t="str">
        <f>IF(BU203="","",CC200)</f>
        <v/>
      </c>
      <c r="CD204" s="4" t="str">
        <f>IF(BY204="","",BZ204*CC204)</f>
        <v/>
      </c>
      <c r="CE204" s="36" t="str">
        <f>IF(BZ204="","",CD204/(BV204*100))</f>
        <v/>
      </c>
      <c r="CF204" s="29"/>
      <c r="CH204" s="14"/>
      <c r="CI204" s="39"/>
      <c r="CJ204" s="5"/>
      <c r="CK204" s="5"/>
      <c r="CL204" s="5"/>
      <c r="CM204" s="5"/>
      <c r="CN204" s="5"/>
      <c r="CO204" s="5"/>
      <c r="CP204" s="5"/>
      <c r="CQ204" s="5"/>
      <c r="CR204" s="5"/>
      <c r="CS204" s="36"/>
      <c r="CT204" s="29"/>
      <c r="CV204" s="14"/>
      <c r="CW204" s="39"/>
      <c r="CX204" s="5"/>
      <c r="CY204" s="5"/>
      <c r="CZ204" s="5"/>
      <c r="DA204" s="5"/>
      <c r="DB204" s="5"/>
      <c r="DC204" s="5"/>
      <c r="DD204" s="5"/>
      <c r="DE204" s="5"/>
      <c r="DF204" s="5"/>
      <c r="DG204" s="36"/>
      <c r="DH204" s="29"/>
      <c r="DJ204" s="14"/>
      <c r="DK204" s="39"/>
      <c r="DL204" s="5"/>
      <c r="DM204" s="5"/>
      <c r="DN204" s="5"/>
      <c r="DO204" s="5"/>
      <c r="DP204" s="5"/>
      <c r="DQ204" s="5"/>
      <c r="DR204" s="5"/>
      <c r="DS204" s="5"/>
      <c r="DT204" s="5"/>
      <c r="DU204" s="36"/>
      <c r="DV204" s="29"/>
      <c r="DX204" s="14"/>
      <c r="DY204" s="39"/>
      <c r="DZ204" s="5"/>
      <c r="EA204" s="5"/>
      <c r="EB204" s="5"/>
      <c r="EC204" s="5"/>
      <c r="ED204" s="5"/>
      <c r="EE204" s="5"/>
      <c r="EF204" s="5"/>
      <c r="EG204" s="5"/>
      <c r="EH204" s="5"/>
      <c r="EI204" s="36"/>
      <c r="EJ204" s="29"/>
      <c r="EL204" s="14"/>
      <c r="EM204" s="39"/>
      <c r="EN204" s="5"/>
      <c r="EO204" s="5"/>
      <c r="EP204" s="5"/>
      <c r="EQ204" s="5"/>
      <c r="ER204" s="5"/>
      <c r="ES204" s="5"/>
      <c r="ET204" s="5"/>
      <c r="EU204" s="5"/>
      <c r="EV204" s="5"/>
      <c r="EW204" s="36"/>
      <c r="EX204" s="29"/>
      <c r="EZ204" s="14"/>
      <c r="FA204" s="39"/>
      <c r="FB204" s="5"/>
      <c r="FC204" s="5"/>
      <c r="FD204" s="5"/>
      <c r="FE204" s="5"/>
      <c r="FF204" s="5"/>
      <c r="FG204" s="5"/>
      <c r="FH204" s="5"/>
      <c r="FI204" s="5"/>
      <c r="FJ204" s="5"/>
      <c r="FK204" s="36"/>
      <c r="FL204" s="29"/>
      <c r="FN204" s="14"/>
      <c r="FO204" s="39"/>
      <c r="FP204" s="5"/>
      <c r="FQ204" s="5"/>
      <c r="FR204" s="5"/>
      <c r="FS204" s="5"/>
      <c r="FT204" s="5"/>
      <c r="FU204" s="5"/>
      <c r="FV204" s="5"/>
      <c r="FW204" s="5"/>
      <c r="FX204" s="5"/>
      <c r="FY204" s="36"/>
      <c r="FZ204" s="29"/>
      <c r="GB204" s="14"/>
      <c r="GC204" s="39"/>
      <c r="GD204" s="5"/>
      <c r="GE204" s="5"/>
      <c r="GF204" s="5"/>
      <c r="GG204" s="5"/>
      <c r="GH204" s="5"/>
      <c r="GI204" s="5"/>
      <c r="GJ204" s="5"/>
      <c r="GK204" s="5"/>
      <c r="GL204" s="5"/>
      <c r="GM204" s="36"/>
      <c r="GN204" s="29"/>
      <c r="GP204" s="14"/>
      <c r="GQ204" s="39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36"/>
      <c r="HD204" s="29"/>
      <c r="HF204" s="14"/>
      <c r="HG204" s="39"/>
      <c r="HH204" s="5"/>
      <c r="HI204" s="5"/>
      <c r="HJ204" s="29"/>
      <c r="HL204" s="14"/>
      <c r="HM204" s="39"/>
      <c r="HN204" s="5"/>
      <c r="HO204" s="5"/>
      <c r="HP204" s="29"/>
      <c r="HR204" s="14"/>
      <c r="HS204" s="39"/>
      <c r="HT204" s="5"/>
      <c r="HU204" s="5"/>
      <c r="HV204" s="29"/>
    </row>
    <row r="205" spans="1:230" ht="15" customHeight="1" x14ac:dyDescent="0.2">
      <c r="A205" s="15"/>
      <c r="B205" s="64"/>
      <c r="C205" s="57"/>
      <c r="D205" s="57" t="str">
        <f t="shared" si="633"/>
        <v/>
      </c>
      <c r="E205" s="57"/>
      <c r="F205" s="57" t="str">
        <f t="shared" si="634"/>
        <v/>
      </c>
      <c r="G205" s="57"/>
      <c r="H205" s="57" t="str">
        <f>IF(G205="","",G201+I201-G205)</f>
        <v/>
      </c>
      <c r="I205" s="57"/>
      <c r="J205" s="81" t="str">
        <f t="shared" si="635"/>
        <v/>
      </c>
      <c r="K205" s="57" t="str">
        <f t="shared" si="636"/>
        <v/>
      </c>
      <c r="L205" s="57" t="str">
        <f t="shared" si="637"/>
        <v/>
      </c>
      <c r="M205" s="57" t="str">
        <f t="shared" si="638"/>
        <v/>
      </c>
      <c r="N205" s="82"/>
      <c r="P205" s="72"/>
      <c r="Q205" s="57"/>
      <c r="R205" s="57" t="str">
        <f t="shared" si="639"/>
        <v/>
      </c>
      <c r="S205" s="57"/>
      <c r="T205" s="57" t="str">
        <f t="shared" si="640"/>
        <v/>
      </c>
      <c r="U205" s="57"/>
      <c r="V205" s="57" t="str">
        <f t="shared" si="641"/>
        <v/>
      </c>
      <c r="W205" s="57"/>
      <c r="X205" s="83" t="str">
        <f t="shared" si="611"/>
        <v/>
      </c>
      <c r="Y205" s="57" t="str">
        <f t="shared" si="663"/>
        <v/>
      </c>
      <c r="Z205" s="57" t="str">
        <f t="shared" si="642"/>
        <v/>
      </c>
      <c r="AA205" s="57" t="str">
        <f t="shared" si="643"/>
        <v/>
      </c>
      <c r="AB205" s="82"/>
      <c r="AD205" s="72"/>
      <c r="AE205" s="57"/>
      <c r="AF205" s="57" t="str">
        <f t="shared" si="644"/>
        <v/>
      </c>
      <c r="AG205" s="57"/>
      <c r="AH205" s="57" t="str">
        <f t="shared" si="645"/>
        <v/>
      </c>
      <c r="AI205" s="57"/>
      <c r="AJ205" s="57" t="str">
        <f t="shared" si="646"/>
        <v/>
      </c>
      <c r="AK205" s="57"/>
      <c r="AL205" s="83" t="str">
        <f t="shared" si="647"/>
        <v/>
      </c>
      <c r="AM205" s="57" t="str">
        <f t="shared" si="648"/>
        <v/>
      </c>
      <c r="AN205" s="57" t="str">
        <f t="shared" si="649"/>
        <v/>
      </c>
      <c r="AO205" s="57" t="str">
        <f t="shared" si="650"/>
        <v/>
      </c>
      <c r="AP205" s="82"/>
      <c r="AR205" s="72"/>
      <c r="AS205" s="57"/>
      <c r="AT205" s="57" t="str">
        <f t="shared" si="651"/>
        <v/>
      </c>
      <c r="AU205" s="57"/>
      <c r="AV205" s="57" t="str">
        <f t="shared" si="664"/>
        <v/>
      </c>
      <c r="AW205" s="57"/>
      <c r="AX205" s="57" t="str">
        <f t="shared" si="652"/>
        <v/>
      </c>
      <c r="AY205" s="57"/>
      <c r="AZ205" s="83" t="str">
        <f t="shared" si="662"/>
        <v/>
      </c>
      <c r="BA205" s="57" t="str">
        <f t="shared" si="653"/>
        <v/>
      </c>
      <c r="BB205" s="57" t="str">
        <f t="shared" si="654"/>
        <v/>
      </c>
      <c r="BC205" s="57" t="str">
        <f t="shared" si="655"/>
        <v/>
      </c>
      <c r="BD205" s="82"/>
      <c r="BE205" s="32"/>
      <c r="BF205" s="33"/>
      <c r="BG205" s="4"/>
      <c r="BH205" s="5" t="str">
        <f t="shared" si="656"/>
        <v/>
      </c>
      <c r="BI205" s="4"/>
      <c r="BJ205" s="5" t="str">
        <f t="shared" si="657"/>
        <v/>
      </c>
      <c r="BK205" s="4"/>
      <c r="BL205" s="5" t="str">
        <f t="shared" si="658"/>
        <v/>
      </c>
      <c r="BM205" s="4"/>
      <c r="BN205" s="3" t="str">
        <f t="shared" si="666"/>
        <v/>
      </c>
      <c r="BO205" s="39" t="str">
        <f t="shared" si="666"/>
        <v/>
      </c>
      <c r="BP205" s="5" t="str">
        <f t="shared" si="659"/>
        <v/>
      </c>
      <c r="BQ205" s="36" t="str">
        <f t="shared" si="665"/>
        <v/>
      </c>
      <c r="BR205" s="29"/>
      <c r="BT205" s="33"/>
      <c r="BU205" s="4"/>
      <c r="BV205" s="5" t="str">
        <f t="shared" si="660"/>
        <v/>
      </c>
      <c r="BW205" s="4"/>
      <c r="BX205" s="5" t="str">
        <f t="shared" si="661"/>
        <v/>
      </c>
      <c r="BY205" s="5"/>
      <c r="BZ205" s="5"/>
      <c r="CA205" s="57"/>
      <c r="CB205" s="3"/>
      <c r="CC205" s="39"/>
      <c r="CD205" s="5"/>
      <c r="CE205" s="36"/>
      <c r="CF205" s="29"/>
      <c r="CH205" s="14"/>
      <c r="CI205" s="39"/>
      <c r="CJ205" s="5"/>
      <c r="CK205" s="5"/>
      <c r="CL205" s="5"/>
      <c r="CM205" s="5"/>
      <c r="CN205" s="5"/>
      <c r="CO205" s="5"/>
      <c r="CP205" s="5"/>
      <c r="CQ205" s="5"/>
      <c r="CR205" s="5"/>
      <c r="CS205" s="36"/>
      <c r="CT205" s="29"/>
      <c r="CV205" s="14"/>
      <c r="CW205" s="39"/>
      <c r="CX205" s="5"/>
      <c r="CY205" s="5"/>
      <c r="CZ205" s="5"/>
      <c r="DA205" s="5"/>
      <c r="DB205" s="5"/>
      <c r="DC205" s="5"/>
      <c r="DD205" s="5"/>
      <c r="DE205" s="5"/>
      <c r="DF205" s="5"/>
      <c r="DG205" s="36"/>
      <c r="DH205" s="29"/>
      <c r="DJ205" s="14"/>
      <c r="DK205" s="39"/>
      <c r="DL205" s="5"/>
      <c r="DM205" s="5"/>
      <c r="DN205" s="5"/>
      <c r="DO205" s="5"/>
      <c r="DP205" s="5"/>
      <c r="DQ205" s="5"/>
      <c r="DR205" s="5"/>
      <c r="DS205" s="5"/>
      <c r="DT205" s="5"/>
      <c r="DU205" s="36"/>
      <c r="DV205" s="29"/>
      <c r="DX205" s="14"/>
      <c r="DY205" s="39"/>
      <c r="DZ205" s="5"/>
      <c r="EA205" s="5"/>
      <c r="EB205" s="5"/>
      <c r="EC205" s="5"/>
      <c r="ED205" s="5"/>
      <c r="EE205" s="5"/>
      <c r="EF205" s="5"/>
      <c r="EG205" s="5"/>
      <c r="EH205" s="5"/>
      <c r="EI205" s="36"/>
      <c r="EJ205" s="29"/>
      <c r="EL205" s="14"/>
      <c r="EM205" s="39"/>
      <c r="EN205" s="5"/>
      <c r="EO205" s="5"/>
      <c r="EP205" s="5"/>
      <c r="EQ205" s="5"/>
      <c r="ER205" s="5"/>
      <c r="ES205" s="5"/>
      <c r="ET205" s="5"/>
      <c r="EU205" s="5"/>
      <c r="EV205" s="5"/>
      <c r="EW205" s="36"/>
      <c r="EX205" s="29"/>
      <c r="EZ205" s="14"/>
      <c r="FA205" s="39"/>
      <c r="FB205" s="5"/>
      <c r="FC205" s="5"/>
      <c r="FD205" s="5"/>
      <c r="FE205" s="5"/>
      <c r="FF205" s="5"/>
      <c r="FG205" s="5"/>
      <c r="FH205" s="5"/>
      <c r="FI205" s="5"/>
      <c r="FJ205" s="5"/>
      <c r="FK205" s="36"/>
      <c r="FL205" s="29"/>
      <c r="FN205" s="14"/>
      <c r="FO205" s="39"/>
      <c r="FP205" s="5"/>
      <c r="FQ205" s="5"/>
      <c r="FR205" s="5"/>
      <c r="FS205" s="5"/>
      <c r="FT205" s="5"/>
      <c r="FU205" s="5"/>
      <c r="FV205" s="5"/>
      <c r="FW205" s="5"/>
      <c r="FX205" s="5"/>
      <c r="FY205" s="36"/>
      <c r="FZ205" s="29"/>
      <c r="GB205" s="14"/>
      <c r="GC205" s="39"/>
      <c r="GD205" s="5"/>
      <c r="GE205" s="5"/>
      <c r="GF205" s="5"/>
      <c r="GG205" s="5"/>
      <c r="GH205" s="5"/>
      <c r="GI205" s="5"/>
      <c r="GJ205" s="5"/>
      <c r="GK205" s="5"/>
      <c r="GL205" s="5"/>
      <c r="GM205" s="36"/>
      <c r="GN205" s="29"/>
      <c r="GP205" s="14"/>
      <c r="GQ205" s="39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36"/>
      <c r="HD205" s="29"/>
      <c r="HF205" s="14"/>
      <c r="HG205" s="39"/>
      <c r="HH205" s="5"/>
      <c r="HI205" s="5"/>
      <c r="HJ205" s="29"/>
      <c r="HL205" s="14"/>
      <c r="HM205" s="39"/>
      <c r="HN205" s="5"/>
      <c r="HO205" s="5"/>
      <c r="HP205" s="29"/>
      <c r="HR205" s="14"/>
      <c r="HS205" s="39"/>
      <c r="HT205" s="5"/>
      <c r="HU205" s="5"/>
      <c r="HV205" s="29"/>
    </row>
    <row r="206" spans="1:230" ht="15" customHeight="1" thickBot="1" x14ac:dyDescent="0.25">
      <c r="A206" s="84"/>
      <c r="B206" s="66"/>
      <c r="C206" s="43"/>
      <c r="D206" s="43" t="str">
        <f t="shared" si="633"/>
        <v/>
      </c>
      <c r="E206" s="43"/>
      <c r="F206" s="43" t="str">
        <f t="shared" si="634"/>
        <v/>
      </c>
      <c r="G206" s="43"/>
      <c r="H206" s="43" t="str">
        <f>IF(G206="","",G202+I202-G206)</f>
        <v/>
      </c>
      <c r="I206" s="43"/>
      <c r="J206" s="85" t="str">
        <f t="shared" si="635"/>
        <v/>
      </c>
      <c r="K206" s="43" t="str">
        <f t="shared" si="636"/>
        <v/>
      </c>
      <c r="L206" s="43" t="str">
        <f t="shared" si="637"/>
        <v/>
      </c>
      <c r="M206" s="43" t="str">
        <f t="shared" si="638"/>
        <v/>
      </c>
      <c r="N206" s="86"/>
      <c r="P206" s="87"/>
      <c r="Q206" s="43"/>
      <c r="R206" s="43" t="str">
        <f t="shared" si="639"/>
        <v/>
      </c>
      <c r="S206" s="43"/>
      <c r="T206" s="43" t="str">
        <f t="shared" si="640"/>
        <v/>
      </c>
      <c r="U206" s="43"/>
      <c r="V206" s="43" t="str">
        <f t="shared" si="641"/>
        <v/>
      </c>
      <c r="W206" s="43"/>
      <c r="X206" s="88" t="str">
        <f t="shared" si="611"/>
        <v/>
      </c>
      <c r="Y206" s="43" t="str">
        <f t="shared" si="663"/>
        <v/>
      </c>
      <c r="Z206" s="43" t="str">
        <f t="shared" si="642"/>
        <v/>
      </c>
      <c r="AA206" s="43" t="str">
        <f t="shared" si="643"/>
        <v/>
      </c>
      <c r="AB206" s="86"/>
      <c r="AD206" s="87"/>
      <c r="AE206" s="43"/>
      <c r="AF206" s="43" t="str">
        <f t="shared" si="644"/>
        <v/>
      </c>
      <c r="AG206" s="43"/>
      <c r="AH206" s="43" t="str">
        <f t="shared" si="645"/>
        <v/>
      </c>
      <c r="AI206" s="43"/>
      <c r="AJ206" s="43" t="str">
        <f t="shared" si="646"/>
        <v/>
      </c>
      <c r="AK206" s="43"/>
      <c r="AL206" s="88" t="str">
        <f t="shared" si="647"/>
        <v/>
      </c>
      <c r="AM206" s="43" t="str">
        <f t="shared" si="648"/>
        <v/>
      </c>
      <c r="AN206" s="43" t="str">
        <f t="shared" si="649"/>
        <v/>
      </c>
      <c r="AO206" s="43" t="str">
        <f t="shared" si="650"/>
        <v/>
      </c>
      <c r="AP206" s="86"/>
      <c r="AR206" s="87"/>
      <c r="AS206" s="43"/>
      <c r="AT206" s="43" t="str">
        <f t="shared" si="651"/>
        <v/>
      </c>
      <c r="AU206" s="43"/>
      <c r="AV206" s="43" t="str">
        <f t="shared" si="664"/>
        <v/>
      </c>
      <c r="AW206" s="43"/>
      <c r="AX206" s="43" t="str">
        <f t="shared" si="652"/>
        <v/>
      </c>
      <c r="AY206" s="43"/>
      <c r="AZ206" s="88" t="str">
        <f t="shared" si="662"/>
        <v/>
      </c>
      <c r="BA206" s="43" t="str">
        <f t="shared" si="653"/>
        <v/>
      </c>
      <c r="BB206" s="43" t="str">
        <f t="shared" si="654"/>
        <v/>
      </c>
      <c r="BC206" s="43" t="str">
        <f t="shared" si="655"/>
        <v/>
      </c>
      <c r="BD206" s="86"/>
      <c r="BE206" s="32"/>
      <c r="BF206" s="33"/>
      <c r="BG206" s="4"/>
      <c r="BH206" s="5" t="str">
        <f t="shared" si="656"/>
        <v/>
      </c>
      <c r="BI206" s="5"/>
      <c r="BJ206" s="5"/>
      <c r="BK206" s="5"/>
      <c r="BL206" s="5"/>
      <c r="BM206" s="4"/>
      <c r="BN206" s="45" t="str">
        <f t="shared" si="666"/>
        <v/>
      </c>
      <c r="BO206" s="61" t="str">
        <f t="shared" si="666"/>
        <v/>
      </c>
      <c r="BP206" s="44" t="str">
        <f t="shared" si="659"/>
        <v/>
      </c>
      <c r="BQ206" s="46" t="str">
        <f t="shared" si="665"/>
        <v/>
      </c>
      <c r="BR206" s="29"/>
      <c r="BT206" s="87"/>
      <c r="BU206" s="43"/>
      <c r="BV206" s="43" t="str">
        <f t="shared" si="660"/>
        <v/>
      </c>
      <c r="BW206" s="43"/>
      <c r="BX206" s="43"/>
      <c r="BY206" s="44"/>
      <c r="BZ206" s="44"/>
      <c r="CA206" s="44"/>
      <c r="CB206" s="45"/>
      <c r="CC206" s="61"/>
      <c r="CD206" s="44"/>
      <c r="CE206" s="46"/>
      <c r="CF206" s="29"/>
      <c r="CH206" s="14"/>
      <c r="CI206" s="39"/>
      <c r="CJ206" s="5"/>
      <c r="CK206" s="5"/>
      <c r="CL206" s="5"/>
      <c r="CM206" s="5"/>
      <c r="CN206" s="5"/>
      <c r="CO206" s="5"/>
      <c r="CP206" s="5"/>
      <c r="CQ206" s="5"/>
      <c r="CR206" s="5"/>
      <c r="CS206" s="36"/>
      <c r="CT206" s="29"/>
      <c r="CV206" s="14"/>
      <c r="CW206" s="39"/>
      <c r="CX206" s="5"/>
      <c r="CY206" s="5"/>
      <c r="CZ206" s="5"/>
      <c r="DA206" s="5"/>
      <c r="DB206" s="5"/>
      <c r="DC206" s="5"/>
      <c r="DD206" s="5"/>
      <c r="DE206" s="5"/>
      <c r="DF206" s="5"/>
      <c r="DG206" s="36"/>
      <c r="DH206" s="29"/>
      <c r="DJ206" s="14"/>
      <c r="DK206" s="39"/>
      <c r="DL206" s="5"/>
      <c r="DM206" s="5"/>
      <c r="DN206" s="5"/>
      <c r="DO206" s="5"/>
      <c r="DP206" s="5"/>
      <c r="DQ206" s="5"/>
      <c r="DR206" s="5"/>
      <c r="DS206" s="5"/>
      <c r="DT206" s="5"/>
      <c r="DU206" s="36"/>
      <c r="DV206" s="29"/>
      <c r="DX206" s="14"/>
      <c r="DY206" s="39"/>
      <c r="DZ206" s="5"/>
      <c r="EA206" s="5"/>
      <c r="EB206" s="5"/>
      <c r="EC206" s="5"/>
      <c r="ED206" s="5"/>
      <c r="EE206" s="5"/>
      <c r="EF206" s="5"/>
      <c r="EG206" s="5"/>
      <c r="EH206" s="5"/>
      <c r="EI206" s="36"/>
      <c r="EJ206" s="29"/>
      <c r="EL206" s="14"/>
      <c r="EM206" s="39"/>
      <c r="EN206" s="5"/>
      <c r="EO206" s="5"/>
      <c r="EP206" s="5"/>
      <c r="EQ206" s="5"/>
      <c r="ER206" s="5"/>
      <c r="ES206" s="5"/>
      <c r="ET206" s="5"/>
      <c r="EU206" s="5"/>
      <c r="EV206" s="5"/>
      <c r="EW206" s="36"/>
      <c r="EX206" s="29"/>
      <c r="EZ206" s="14"/>
      <c r="FA206" s="39"/>
      <c r="FB206" s="5"/>
      <c r="FC206" s="5"/>
      <c r="FD206" s="5"/>
      <c r="FE206" s="5"/>
      <c r="FF206" s="5"/>
      <c r="FG206" s="5"/>
      <c r="FH206" s="5"/>
      <c r="FI206" s="5"/>
      <c r="FJ206" s="5"/>
      <c r="FK206" s="36"/>
      <c r="FL206" s="29"/>
      <c r="FN206" s="14"/>
      <c r="FO206" s="39"/>
      <c r="FP206" s="5"/>
      <c r="FQ206" s="5"/>
      <c r="FR206" s="5"/>
      <c r="FS206" s="5"/>
      <c r="FT206" s="5"/>
      <c r="FU206" s="5"/>
      <c r="FV206" s="5"/>
      <c r="FW206" s="5"/>
      <c r="FX206" s="5"/>
      <c r="FY206" s="36"/>
      <c r="FZ206" s="29"/>
      <c r="GB206" s="14"/>
      <c r="GC206" s="39"/>
      <c r="GD206" s="5"/>
      <c r="GE206" s="5"/>
      <c r="GF206" s="5"/>
      <c r="GG206" s="5"/>
      <c r="GH206" s="5"/>
      <c r="GI206" s="5"/>
      <c r="GJ206" s="5"/>
      <c r="GK206" s="5"/>
      <c r="GL206" s="5"/>
      <c r="GM206" s="36"/>
      <c r="GN206" s="29"/>
      <c r="GP206" s="14"/>
      <c r="GQ206" s="39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36"/>
      <c r="HD206" s="29"/>
      <c r="HF206" s="14"/>
      <c r="HG206" s="39"/>
      <c r="HH206" s="5"/>
      <c r="HI206" s="5"/>
      <c r="HJ206" s="29"/>
      <c r="HL206" s="14"/>
      <c r="HM206" s="39"/>
      <c r="HN206" s="5"/>
      <c r="HO206" s="5"/>
      <c r="HP206" s="29"/>
      <c r="HR206" s="14"/>
      <c r="HS206" s="39"/>
      <c r="HT206" s="5"/>
      <c r="HU206" s="5"/>
      <c r="HV206" s="29"/>
    </row>
    <row r="207" spans="1:230" ht="15" customHeight="1" thickTop="1" x14ac:dyDescent="0.2">
      <c r="A207" s="33"/>
      <c r="B207" s="26"/>
      <c r="C207" s="89" t="s">
        <v>20</v>
      </c>
      <c r="D207" s="4">
        <f>SUM(D151:D203)*100</f>
        <v>192900</v>
      </c>
      <c r="E207" s="90" t="s">
        <v>284</v>
      </c>
      <c r="F207" s="4"/>
      <c r="G207" s="89"/>
      <c r="H207" s="4"/>
      <c r="I207" s="4"/>
      <c r="J207" s="164" t="s">
        <v>21</v>
      </c>
      <c r="K207" s="164"/>
      <c r="L207" s="4">
        <f>SUM(L151:L203)</f>
        <v>23059</v>
      </c>
      <c r="M207" s="4"/>
      <c r="N207" s="34"/>
      <c r="P207" s="33"/>
      <c r="Q207" s="89" t="s">
        <v>20</v>
      </c>
      <c r="R207" s="4">
        <f>SUM(R151:R203)*100</f>
        <v>183600</v>
      </c>
      <c r="S207" s="90" t="s">
        <v>284</v>
      </c>
      <c r="T207" s="4"/>
      <c r="U207" s="89"/>
      <c r="V207" s="4"/>
      <c r="W207" s="4"/>
      <c r="X207" s="164" t="s">
        <v>21</v>
      </c>
      <c r="Y207" s="164"/>
      <c r="Z207" s="4">
        <f>SUM(Z151:Z203)</f>
        <v>34524</v>
      </c>
      <c r="AA207" s="4"/>
      <c r="AB207" s="34"/>
      <c r="AD207" s="33"/>
      <c r="AE207" s="89" t="s">
        <v>20</v>
      </c>
      <c r="AF207" s="4">
        <f>SUM(AF151:AF203)*100</f>
        <v>211900</v>
      </c>
      <c r="AG207" s="90" t="s">
        <v>284</v>
      </c>
      <c r="AH207" s="4"/>
      <c r="AI207" s="89"/>
      <c r="AJ207" s="4"/>
      <c r="AK207" s="4"/>
      <c r="AL207" s="164" t="s">
        <v>21</v>
      </c>
      <c r="AM207" s="164"/>
      <c r="AN207" s="4">
        <f>SUM(AN151:AN203)</f>
        <v>52356</v>
      </c>
      <c r="AO207" s="4"/>
      <c r="AP207" s="34"/>
      <c r="AR207" s="33"/>
      <c r="AS207" s="89" t="s">
        <v>20</v>
      </c>
      <c r="AT207" s="4">
        <f>SUM(AT151:AT203)*100</f>
        <v>179800</v>
      </c>
      <c r="AU207" s="90" t="s">
        <v>284</v>
      </c>
      <c r="AV207" s="4"/>
      <c r="AW207" s="89"/>
      <c r="AX207" s="4"/>
      <c r="AY207" s="4"/>
      <c r="AZ207" s="164" t="s">
        <v>21</v>
      </c>
      <c r="BA207" s="164"/>
      <c r="BB207" s="4">
        <f>SUM(BB151:BB203)</f>
        <v>25384</v>
      </c>
      <c r="BC207" s="4"/>
      <c r="BD207" s="34"/>
      <c r="BE207" s="32"/>
      <c r="BF207" s="25"/>
      <c r="BG207" s="16" t="s">
        <v>20</v>
      </c>
      <c r="BH207" s="4">
        <f>SUM(BH151:BH203)*100</f>
        <v>424200</v>
      </c>
      <c r="BI207" s="4"/>
      <c r="BJ207" s="4"/>
      <c r="BK207" s="16"/>
      <c r="BL207" s="5"/>
      <c r="BM207" s="5"/>
      <c r="BN207" s="154" t="s">
        <v>21</v>
      </c>
      <c r="BO207" s="154"/>
      <c r="BP207" s="5">
        <f>SUM(BP151:BP203)</f>
        <v>42900</v>
      </c>
      <c r="BQ207" s="5"/>
      <c r="BR207" s="29"/>
      <c r="BT207" s="33"/>
      <c r="BU207" s="89" t="s">
        <v>20</v>
      </c>
      <c r="BV207" s="4">
        <f>SUM(BV151:BV203)*100</f>
        <v>130000</v>
      </c>
      <c r="BW207" s="4"/>
      <c r="BX207" s="4"/>
      <c r="BY207" s="16"/>
      <c r="BZ207" s="5"/>
      <c r="CA207" s="5"/>
      <c r="CB207" s="154" t="s">
        <v>21</v>
      </c>
      <c r="CC207" s="154"/>
      <c r="CD207" s="5">
        <f>SUM(CD151:CD203)</f>
        <v>65150</v>
      </c>
      <c r="CE207" s="5"/>
      <c r="CF207" s="29"/>
      <c r="CH207" s="14"/>
      <c r="CI207" s="23" t="s">
        <v>20</v>
      </c>
      <c r="CJ207" s="5">
        <f>SUM(CJ151:CJ203)*100</f>
        <v>91100</v>
      </c>
      <c r="CK207" s="5"/>
      <c r="CL207" s="5"/>
      <c r="CM207" s="16"/>
      <c r="CN207" s="5"/>
      <c r="CO207" s="5"/>
      <c r="CP207" s="5"/>
      <c r="CQ207" s="5"/>
      <c r="CR207" s="5"/>
      <c r="CS207" s="5"/>
      <c r="CT207" s="29"/>
      <c r="CV207" s="14"/>
      <c r="CW207" s="23" t="s">
        <v>20</v>
      </c>
      <c r="CX207" s="5">
        <f>SUM(CX151:CX203)*100</f>
        <v>20800</v>
      </c>
      <c r="CY207" s="5"/>
      <c r="CZ207" s="5"/>
      <c r="DA207" s="16"/>
      <c r="DB207" s="5"/>
      <c r="DC207" s="5"/>
      <c r="DD207" s="5"/>
      <c r="DE207" s="5"/>
      <c r="DF207" s="5"/>
      <c r="DG207" s="5"/>
      <c r="DH207" s="29"/>
      <c r="DJ207" s="14"/>
      <c r="DK207" s="23" t="s">
        <v>20</v>
      </c>
      <c r="DL207" s="5">
        <f>SUM(DL151:DL203)*100</f>
        <v>32800</v>
      </c>
      <c r="DM207" s="5"/>
      <c r="DN207" s="5"/>
      <c r="DO207" s="16"/>
      <c r="DP207" s="5"/>
      <c r="DQ207" s="5"/>
      <c r="DR207" s="5"/>
      <c r="DS207" s="5"/>
      <c r="DT207" s="5"/>
      <c r="DU207" s="5"/>
      <c r="DV207" s="29"/>
      <c r="DX207" s="14"/>
      <c r="DY207" s="23" t="s">
        <v>20</v>
      </c>
      <c r="DZ207" s="5">
        <f>SUM(DZ151:DZ203)*100</f>
        <v>416100</v>
      </c>
      <c r="EA207" s="5"/>
      <c r="EB207" s="5"/>
      <c r="EC207" s="16"/>
      <c r="ED207" s="5"/>
      <c r="EE207" s="5"/>
      <c r="EF207" s="5"/>
      <c r="EG207" s="5"/>
      <c r="EH207" s="5"/>
      <c r="EI207" s="5"/>
      <c r="EJ207" s="29"/>
      <c r="EL207" s="14"/>
      <c r="EM207" s="23" t="s">
        <v>20</v>
      </c>
      <c r="EN207" s="5">
        <f>SUM(EN151:EN203)*100</f>
        <v>40000</v>
      </c>
      <c r="EO207" s="5"/>
      <c r="EP207" s="5"/>
      <c r="EQ207" s="16"/>
      <c r="ER207" s="5"/>
      <c r="ES207" s="5"/>
      <c r="ET207" s="5"/>
      <c r="EU207" s="5"/>
      <c r="EV207" s="5"/>
      <c r="EW207" s="5"/>
      <c r="EX207" s="29"/>
      <c r="EZ207" s="14"/>
      <c r="FA207" s="23" t="s">
        <v>20</v>
      </c>
      <c r="FB207" s="5">
        <f>SUM(FB151:FB203)*100</f>
        <v>27900</v>
      </c>
      <c r="FC207" s="5"/>
      <c r="FD207" s="5"/>
      <c r="FE207" s="16"/>
      <c r="FF207" s="5"/>
      <c r="FG207" s="5"/>
      <c r="FH207" s="5"/>
      <c r="FI207" s="5"/>
      <c r="FJ207" s="5"/>
      <c r="FK207" s="5"/>
      <c r="FL207" s="29"/>
      <c r="FN207" s="14"/>
      <c r="FO207" s="23" t="s">
        <v>20</v>
      </c>
      <c r="FP207" s="5">
        <f>SUM(FP151:FP203)*100</f>
        <v>35000</v>
      </c>
      <c r="FQ207" s="5"/>
      <c r="FR207" s="5"/>
      <c r="FS207" s="16"/>
      <c r="FT207" s="5"/>
      <c r="FU207" s="5"/>
      <c r="FV207" s="5"/>
      <c r="FW207" s="5"/>
      <c r="FX207" s="5"/>
      <c r="FY207" s="5"/>
      <c r="FZ207" s="29"/>
      <c r="GB207" s="14"/>
      <c r="GC207" s="23" t="s">
        <v>20</v>
      </c>
      <c r="GD207" s="5">
        <f>SUM(GD151:GD203)*100</f>
        <v>25600</v>
      </c>
      <c r="GE207" s="5"/>
      <c r="GF207" s="5"/>
      <c r="GG207" s="16"/>
      <c r="GH207" s="5"/>
      <c r="GI207" s="5"/>
      <c r="GJ207" s="5"/>
      <c r="GK207" s="5"/>
      <c r="GL207" s="5"/>
      <c r="GM207" s="5"/>
      <c r="GN207" s="29"/>
      <c r="GP207" s="14"/>
      <c r="GQ207" s="23" t="s">
        <v>20</v>
      </c>
      <c r="GR207" s="5">
        <f>SUM(GR151:GR203)*100</f>
        <v>109000</v>
      </c>
      <c r="GS207" s="5"/>
      <c r="GT207" s="5"/>
      <c r="GU207" s="5"/>
      <c r="GV207" s="5"/>
      <c r="GW207" s="16"/>
      <c r="GX207" s="5"/>
      <c r="GY207" s="5"/>
      <c r="GZ207" s="5"/>
      <c r="HA207" s="5"/>
      <c r="HB207" s="5"/>
      <c r="HC207" s="5"/>
      <c r="HD207" s="29"/>
      <c r="HF207" s="14"/>
      <c r="HG207" s="23" t="s">
        <v>20</v>
      </c>
      <c r="HH207" s="5">
        <f>SUM(HH151:HH203)*100</f>
        <v>29100</v>
      </c>
      <c r="HI207" s="5"/>
      <c r="HJ207" s="29"/>
      <c r="HL207" s="14"/>
      <c r="HM207" s="23" t="s">
        <v>20</v>
      </c>
      <c r="HN207" s="5">
        <f>SUM(HN151:HN203)*100</f>
        <v>20100</v>
      </c>
      <c r="HO207" s="5"/>
      <c r="HP207" s="29"/>
      <c r="HR207" s="14"/>
      <c r="HS207" s="23" t="s">
        <v>20</v>
      </c>
      <c r="HT207" s="5">
        <f>SUM(HT151:HT203)*100</f>
        <v>28600</v>
      </c>
      <c r="HU207" s="5"/>
      <c r="HV207" s="29"/>
    </row>
    <row r="208" spans="1:230" x14ac:dyDescent="0.2">
      <c r="A208" s="91"/>
      <c r="B208" s="71"/>
      <c r="C208" s="16" t="s">
        <v>22</v>
      </c>
      <c r="D208" s="5">
        <f>D207/A212</f>
        <v>6222.5806451612907</v>
      </c>
      <c r="E208" s="5">
        <f>D208*A211</f>
        <v>192900</v>
      </c>
      <c r="F208" s="5"/>
      <c r="G208" s="16"/>
      <c r="H208" s="5"/>
      <c r="I208" s="5"/>
      <c r="J208" s="161" t="s">
        <v>23</v>
      </c>
      <c r="K208" s="161"/>
      <c r="L208" s="5"/>
      <c r="M208" s="92">
        <f>L207/D207</f>
        <v>0.11953862104717471</v>
      </c>
      <c r="N208" s="29"/>
      <c r="P208" s="93"/>
      <c r="Q208" s="16" t="s">
        <v>22</v>
      </c>
      <c r="R208" s="5">
        <f>R207/A212</f>
        <v>5922.5806451612907</v>
      </c>
      <c r="S208" s="5">
        <f>R208*A211</f>
        <v>183600</v>
      </c>
      <c r="T208" s="5"/>
      <c r="U208" s="16"/>
      <c r="V208" s="5"/>
      <c r="W208" s="5"/>
      <c r="X208" s="161" t="s">
        <v>23</v>
      </c>
      <c r="Y208" s="161"/>
      <c r="Z208" s="5"/>
      <c r="AA208" s="92">
        <f>Z207/R207</f>
        <v>0.18803921568627452</v>
      </c>
      <c r="AB208" s="29"/>
      <c r="AD208" s="93"/>
      <c r="AE208" s="16" t="s">
        <v>22</v>
      </c>
      <c r="AF208" s="5">
        <f>AF207/A212</f>
        <v>6835.4838709677415</v>
      </c>
      <c r="AG208" s="5">
        <f>AF208*A211</f>
        <v>211900</v>
      </c>
      <c r="AH208" s="5"/>
      <c r="AI208" s="16"/>
      <c r="AJ208" s="5"/>
      <c r="AK208" s="5"/>
      <c r="AL208" s="161" t="s">
        <v>23</v>
      </c>
      <c r="AM208" s="161"/>
      <c r="AN208" s="5"/>
      <c r="AO208" s="92">
        <f>AN207/AF207</f>
        <v>0.24707881075979235</v>
      </c>
      <c r="AP208" s="29"/>
      <c r="AR208" s="93"/>
      <c r="AS208" s="16" t="s">
        <v>22</v>
      </c>
      <c r="AT208" s="5">
        <f>AT207/A212</f>
        <v>5800</v>
      </c>
      <c r="AU208" s="5">
        <f>AT208*A211</f>
        <v>179800</v>
      </c>
      <c r="AV208" s="5"/>
      <c r="AW208" s="16"/>
      <c r="AX208" s="5"/>
      <c r="AY208" s="5"/>
      <c r="AZ208" s="161" t="s">
        <v>23</v>
      </c>
      <c r="BA208" s="161"/>
      <c r="BB208" s="5"/>
      <c r="BC208" s="92">
        <f>BB207/AT207</f>
        <v>0.14117908787541714</v>
      </c>
      <c r="BD208" s="29"/>
      <c r="BE208" s="32"/>
      <c r="BF208" s="25"/>
      <c r="BG208" s="16" t="s">
        <v>22</v>
      </c>
      <c r="BH208" s="5">
        <f>BH207/A212</f>
        <v>13683.870967741936</v>
      </c>
      <c r="BI208" s="5">
        <f>BH208*$A211</f>
        <v>424200</v>
      </c>
      <c r="BJ208" s="5"/>
      <c r="BK208" s="16"/>
      <c r="BL208" s="5"/>
      <c r="BM208" s="5"/>
      <c r="BN208" s="154" t="s">
        <v>23</v>
      </c>
      <c r="BO208" s="154"/>
      <c r="BP208" s="5"/>
      <c r="BQ208" s="92">
        <f>BP207/BH207</f>
        <v>0.10113154172560113</v>
      </c>
      <c r="BR208" s="29"/>
      <c r="BT208" s="25"/>
      <c r="BU208" s="16" t="s">
        <v>22</v>
      </c>
      <c r="BV208" s="5">
        <f>BV207/A212</f>
        <v>4193.5483870967746</v>
      </c>
      <c r="BW208" s="5">
        <f>BV208*$A211</f>
        <v>130000.00000000001</v>
      </c>
      <c r="BX208" s="5"/>
      <c r="BY208" s="16"/>
      <c r="BZ208" s="5"/>
      <c r="CA208" s="5"/>
      <c r="CB208" s="154" t="s">
        <v>23</v>
      </c>
      <c r="CC208" s="154"/>
      <c r="CD208" s="5"/>
      <c r="CE208" s="92">
        <f>CD207/BV207</f>
        <v>0.50115384615384617</v>
      </c>
      <c r="CF208" s="29"/>
      <c r="CH208" s="14"/>
      <c r="CI208" s="23" t="s">
        <v>22</v>
      </c>
      <c r="CJ208" s="5">
        <f>CJ207/A212</f>
        <v>2938.7096774193546</v>
      </c>
      <c r="CK208" s="5">
        <f>CJ208*A211</f>
        <v>91100</v>
      </c>
      <c r="CL208" s="5"/>
      <c r="CM208" s="16"/>
      <c r="CN208" s="5"/>
      <c r="CO208" s="5"/>
      <c r="CP208" s="5"/>
      <c r="CQ208" s="5"/>
      <c r="CR208" s="5"/>
      <c r="CS208" s="5"/>
      <c r="CT208" s="29"/>
      <c r="CV208" s="14"/>
      <c r="CW208" s="23" t="s">
        <v>22</v>
      </c>
      <c r="CX208" s="5">
        <f>CX207/A212</f>
        <v>670.9677419354839</v>
      </c>
      <c r="CY208" s="5">
        <f>CX208*A211</f>
        <v>20800</v>
      </c>
      <c r="CZ208" s="5"/>
      <c r="DA208" s="16"/>
      <c r="DB208" s="5"/>
      <c r="DC208" s="5"/>
      <c r="DD208" s="5"/>
      <c r="DE208" s="5"/>
      <c r="DF208" s="5"/>
      <c r="DG208" s="5"/>
      <c r="DH208" s="29"/>
      <c r="DJ208" s="14"/>
      <c r="DK208" s="23" t="s">
        <v>22</v>
      </c>
      <c r="DL208" s="5">
        <f>DL207/A212</f>
        <v>1058.0645161290322</v>
      </c>
      <c r="DM208" s="5">
        <f>DL208*A211</f>
        <v>32800</v>
      </c>
      <c r="DN208" s="5"/>
      <c r="DO208" s="16"/>
      <c r="DP208" s="5"/>
      <c r="DQ208" s="5"/>
      <c r="DR208" s="5"/>
      <c r="DS208" s="5"/>
      <c r="DT208" s="5"/>
      <c r="DU208" s="5"/>
      <c r="DV208" s="29"/>
      <c r="DX208" s="14"/>
      <c r="DY208" s="23" t="s">
        <v>22</v>
      </c>
      <c r="DZ208" s="5">
        <f>DZ207/A212</f>
        <v>13422.58064516129</v>
      </c>
      <c r="EA208" s="5">
        <f>DZ208*A211</f>
        <v>416100</v>
      </c>
      <c r="EB208" s="5"/>
      <c r="EC208" s="16"/>
      <c r="ED208" s="5"/>
      <c r="EE208" s="5"/>
      <c r="EF208" s="5"/>
      <c r="EG208" s="5"/>
      <c r="EH208" s="5"/>
      <c r="EI208" s="5"/>
      <c r="EJ208" s="29"/>
      <c r="EL208" s="14"/>
      <c r="EM208" s="23" t="s">
        <v>22</v>
      </c>
      <c r="EN208" s="5">
        <f>EN207/A212</f>
        <v>1290.3225806451612</v>
      </c>
      <c r="EO208" s="5">
        <f>EN208*A211</f>
        <v>40000</v>
      </c>
      <c r="EP208" s="5"/>
      <c r="EQ208" s="16"/>
      <c r="ER208" s="5"/>
      <c r="ES208" s="5"/>
      <c r="ET208" s="5"/>
      <c r="EU208" s="5"/>
      <c r="EV208" s="5"/>
      <c r="EW208" s="5"/>
      <c r="EX208" s="29"/>
      <c r="EZ208" s="14"/>
      <c r="FA208" s="23" t="s">
        <v>22</v>
      </c>
      <c r="FB208" s="5">
        <f>FB207/A212</f>
        <v>900</v>
      </c>
      <c r="FC208" s="5">
        <f>FB208*A211</f>
        <v>27900</v>
      </c>
      <c r="FD208" s="5"/>
      <c r="FE208" s="16"/>
      <c r="FF208" s="5"/>
      <c r="FG208" s="5"/>
      <c r="FH208" s="5"/>
      <c r="FI208" s="5"/>
      <c r="FJ208" s="5"/>
      <c r="FK208" s="5"/>
      <c r="FL208" s="29"/>
      <c r="FN208" s="14"/>
      <c r="FO208" s="23" t="s">
        <v>22</v>
      </c>
      <c r="FP208" s="5">
        <f>FP207/A212</f>
        <v>1129.0322580645161</v>
      </c>
      <c r="FQ208" s="5">
        <f>FP208*A211</f>
        <v>35000</v>
      </c>
      <c r="FR208" s="5"/>
      <c r="FS208" s="16"/>
      <c r="FT208" s="5"/>
      <c r="FU208" s="5"/>
      <c r="FV208" s="5"/>
      <c r="FW208" s="5"/>
      <c r="FX208" s="5"/>
      <c r="FY208" s="5"/>
      <c r="FZ208" s="29"/>
      <c r="GB208" s="14"/>
      <c r="GC208" s="23" t="s">
        <v>22</v>
      </c>
      <c r="GD208" s="5">
        <f>GD207/A212</f>
        <v>825.80645161290317</v>
      </c>
      <c r="GE208" s="5">
        <f>GD208*A211</f>
        <v>25600</v>
      </c>
      <c r="GF208" s="5"/>
      <c r="GG208" s="16"/>
      <c r="GH208" s="5"/>
      <c r="GI208" s="5"/>
      <c r="GJ208" s="5"/>
      <c r="GK208" s="5"/>
      <c r="GL208" s="5"/>
      <c r="GM208" s="5"/>
      <c r="GN208" s="29"/>
      <c r="GP208" s="14"/>
      <c r="GQ208" s="23" t="s">
        <v>22</v>
      </c>
      <c r="GR208" s="5">
        <f>GR207/A212</f>
        <v>3516.1290322580644</v>
      </c>
      <c r="GS208" s="5"/>
      <c r="GT208" s="5"/>
      <c r="GU208" s="5">
        <f>GR208*A211</f>
        <v>109000</v>
      </c>
      <c r="GV208" s="5"/>
      <c r="GW208" s="16"/>
      <c r="GX208" s="5"/>
      <c r="GY208" s="5"/>
      <c r="GZ208" s="5"/>
      <c r="HA208" s="5"/>
      <c r="HB208" s="5"/>
      <c r="HC208" s="5"/>
      <c r="HD208" s="29"/>
      <c r="HF208" s="14"/>
      <c r="HG208" s="23" t="s">
        <v>22</v>
      </c>
      <c r="HH208" s="5">
        <f>HH207/A212</f>
        <v>938.70967741935488</v>
      </c>
      <c r="HI208" s="5">
        <f>HH208*A211</f>
        <v>29100</v>
      </c>
      <c r="HJ208" s="29"/>
      <c r="HL208" s="14"/>
      <c r="HM208" s="23" t="s">
        <v>22</v>
      </c>
      <c r="HN208" s="5">
        <f>HN207/A212</f>
        <v>648.38709677419354</v>
      </c>
      <c r="HO208" s="5">
        <f>HN208*A211</f>
        <v>20100</v>
      </c>
      <c r="HP208" s="29"/>
      <c r="HR208" s="14"/>
      <c r="HS208" s="23" t="s">
        <v>22</v>
      </c>
      <c r="HT208" s="5">
        <f>HT207/A212</f>
        <v>922.58064516129036</v>
      </c>
      <c r="HU208" s="5">
        <f>HT208*A211</f>
        <v>28600</v>
      </c>
      <c r="HV208" s="29"/>
    </row>
    <row r="209" spans="1:230" x14ac:dyDescent="0.2">
      <c r="A209" s="25"/>
      <c r="B209" s="94"/>
      <c r="C209" s="23" t="s">
        <v>24</v>
      </c>
      <c r="D209" s="5">
        <f>D207*0.6</f>
        <v>115740</v>
      </c>
      <c r="E209" s="5"/>
      <c r="F209" s="5"/>
      <c r="G209" s="16"/>
      <c r="H209" s="5"/>
      <c r="I209" s="5"/>
      <c r="J209" s="161" t="s">
        <v>25</v>
      </c>
      <c r="K209" s="161"/>
      <c r="L209" s="5">
        <f>D209-L207</f>
        <v>92681</v>
      </c>
      <c r="M209" s="92">
        <f>L209/D207</f>
        <v>0.48046137895282531</v>
      </c>
      <c r="N209" s="29"/>
      <c r="P209" s="25"/>
      <c r="Q209" s="23" t="s">
        <v>24</v>
      </c>
      <c r="R209" s="5">
        <f>R207*0.6</f>
        <v>110160</v>
      </c>
      <c r="S209" s="5"/>
      <c r="T209" s="5"/>
      <c r="U209" s="16"/>
      <c r="V209" s="5"/>
      <c r="W209" s="5"/>
      <c r="X209" s="161" t="s">
        <v>25</v>
      </c>
      <c r="Y209" s="161"/>
      <c r="Z209" s="5">
        <f>R209-Z207</f>
        <v>75636</v>
      </c>
      <c r="AA209" s="92">
        <f>Z209/R207</f>
        <v>0.41196078431372551</v>
      </c>
      <c r="AB209" s="29"/>
      <c r="AD209" s="25"/>
      <c r="AE209" s="23" t="s">
        <v>24</v>
      </c>
      <c r="AF209" s="5">
        <f>AF207*0.6</f>
        <v>127140</v>
      </c>
      <c r="AG209" s="5"/>
      <c r="AH209" s="5"/>
      <c r="AI209" s="16"/>
      <c r="AJ209" s="5"/>
      <c r="AK209" s="5"/>
      <c r="AL209" s="161" t="s">
        <v>25</v>
      </c>
      <c r="AM209" s="161"/>
      <c r="AN209" s="5">
        <f>AF209-AN207</f>
        <v>74784</v>
      </c>
      <c r="AO209" s="92">
        <f>AN209/AF207</f>
        <v>0.35292118924020766</v>
      </c>
      <c r="AP209" s="29"/>
      <c r="AR209" s="25"/>
      <c r="AS209" s="23" t="s">
        <v>24</v>
      </c>
      <c r="AT209" s="5">
        <f>AT207*0.6</f>
        <v>107880</v>
      </c>
      <c r="AU209" s="5"/>
      <c r="AV209" s="5"/>
      <c r="AW209" s="16"/>
      <c r="AX209" s="5"/>
      <c r="AY209" s="5"/>
      <c r="AZ209" s="161" t="s">
        <v>25</v>
      </c>
      <c r="BA209" s="161"/>
      <c r="BB209" s="5">
        <f>AT209-BB207</f>
        <v>82496</v>
      </c>
      <c r="BC209" s="92">
        <f>BB209/AT207</f>
        <v>0.45882091212458287</v>
      </c>
      <c r="BD209" s="29"/>
      <c r="BE209" s="32"/>
      <c r="BF209" s="25"/>
      <c r="BG209" s="16" t="s">
        <v>24</v>
      </c>
      <c r="BH209" s="5">
        <f>BH207*$K217</f>
        <v>0</v>
      </c>
      <c r="BI209" s="5"/>
      <c r="BJ209" s="5"/>
      <c r="BK209" s="16"/>
      <c r="BL209" s="5"/>
      <c r="BM209" s="5"/>
      <c r="BN209" s="154" t="s">
        <v>25</v>
      </c>
      <c r="BO209" s="154"/>
      <c r="BP209" s="5">
        <f>BH209-BP207</f>
        <v>-42900</v>
      </c>
      <c r="BQ209" s="92">
        <f>BP209/BH207</f>
        <v>-0.10113154172560113</v>
      </c>
      <c r="BR209" s="29"/>
      <c r="BT209" s="25"/>
      <c r="BU209" s="16" t="s">
        <v>24</v>
      </c>
      <c r="BV209" s="5">
        <f>BV207*$K217</f>
        <v>0</v>
      </c>
      <c r="BW209" s="5"/>
      <c r="BX209" s="5"/>
      <c r="BY209" s="16"/>
      <c r="BZ209" s="5"/>
      <c r="CA209" s="5"/>
      <c r="CB209" s="154" t="s">
        <v>25</v>
      </c>
      <c r="CC209" s="154"/>
      <c r="CD209" s="5">
        <f>BV209-CD207</f>
        <v>-65150</v>
      </c>
      <c r="CE209" s="92">
        <f>CD209/BV207</f>
        <v>-0.50115384615384617</v>
      </c>
      <c r="CF209" s="29"/>
      <c r="CH209" s="14"/>
      <c r="CI209" s="23" t="s">
        <v>24</v>
      </c>
      <c r="CJ209" s="5">
        <f>CJ207*0.6</f>
        <v>54660</v>
      </c>
      <c r="CK209" s="5"/>
      <c r="CL209" s="5"/>
      <c r="CM209" s="16" t="s">
        <v>37</v>
      </c>
      <c r="CN209" s="5">
        <f>SUM(CR151:CR203)</f>
        <v>36080</v>
      </c>
      <c r="CO209" s="92">
        <f>CN209/CJ207</f>
        <v>0.39604829857299673</v>
      </c>
      <c r="CP209" s="92"/>
      <c r="CQ209" s="5"/>
      <c r="CR209" s="5"/>
      <c r="CS209" s="5"/>
      <c r="CT209" s="29"/>
      <c r="CV209" s="14"/>
      <c r="CW209" s="23" t="s">
        <v>24</v>
      </c>
      <c r="CX209" s="5">
        <f>CX207*0.6</f>
        <v>12480</v>
      </c>
      <c r="CY209" s="5"/>
      <c r="CZ209" s="5"/>
      <c r="DA209" s="16" t="s">
        <v>37</v>
      </c>
      <c r="DB209" s="5">
        <f>SUM(DF151:DF203)</f>
        <v>0</v>
      </c>
      <c r="DC209" s="92">
        <f>DB209/CX207</f>
        <v>0</v>
      </c>
      <c r="DD209" s="92"/>
      <c r="DE209" s="5"/>
      <c r="DF209" s="5"/>
      <c r="DG209" s="5"/>
      <c r="DH209" s="29"/>
      <c r="DJ209" s="14"/>
      <c r="DK209" s="23" t="s">
        <v>24</v>
      </c>
      <c r="DL209" s="5">
        <f>DL207*0.6</f>
        <v>19680</v>
      </c>
      <c r="DM209" s="5"/>
      <c r="DN209" s="5"/>
      <c r="DO209" s="16" t="s">
        <v>37</v>
      </c>
      <c r="DP209" s="5">
        <f>SUM(DT151:DT203)</f>
        <v>6814</v>
      </c>
      <c r="DQ209" s="92">
        <f>DP209/DL207</f>
        <v>0.20774390243902438</v>
      </c>
      <c r="DR209" s="92"/>
      <c r="DS209" s="5"/>
      <c r="DT209" s="5"/>
      <c r="DU209" s="5"/>
      <c r="DV209" s="29"/>
      <c r="DX209" s="14"/>
      <c r="DY209" s="23" t="s">
        <v>24</v>
      </c>
      <c r="DZ209" s="5">
        <f>DZ207*0.6</f>
        <v>249660</v>
      </c>
      <c r="EA209" s="5"/>
      <c r="EB209" s="5"/>
      <c r="EC209" s="16" t="s">
        <v>37</v>
      </c>
      <c r="ED209" s="5">
        <f>SUM(EH151:EH203)</f>
        <v>58500</v>
      </c>
      <c r="EE209" s="92">
        <f>ED209/DZ207</f>
        <v>0.14059120403749098</v>
      </c>
      <c r="EF209" s="92"/>
      <c r="EG209" s="5"/>
      <c r="EH209" s="5"/>
      <c r="EI209" s="5"/>
      <c r="EJ209" s="29"/>
      <c r="EL209" s="14"/>
      <c r="EM209" s="23" t="s">
        <v>24</v>
      </c>
      <c r="EN209" s="5">
        <f>EN207*0.6</f>
        <v>24000</v>
      </c>
      <c r="EO209" s="5"/>
      <c r="EP209" s="5"/>
      <c r="EQ209" s="16" t="s">
        <v>37</v>
      </c>
      <c r="ER209" s="5">
        <f>SUM(EV151:EV203)</f>
        <v>6512</v>
      </c>
      <c r="ES209" s="92">
        <f>ER209/EN207</f>
        <v>0.1628</v>
      </c>
      <c r="ET209" s="92"/>
      <c r="EU209" s="5"/>
      <c r="EV209" s="5"/>
      <c r="EW209" s="5"/>
      <c r="EX209" s="29"/>
      <c r="EZ209" s="14"/>
      <c r="FA209" s="23" t="s">
        <v>24</v>
      </c>
      <c r="FB209" s="5">
        <f>FB207*0.6</f>
        <v>16740</v>
      </c>
      <c r="FC209" s="5"/>
      <c r="FD209" s="5"/>
      <c r="FE209" s="16" t="s">
        <v>37</v>
      </c>
      <c r="FF209" s="5">
        <f>SUM(FJ151:FJ203)</f>
        <v>15930</v>
      </c>
      <c r="FG209" s="92">
        <f>FF209/FB207</f>
        <v>0.57096774193548383</v>
      </c>
      <c r="FH209" s="92"/>
      <c r="FI209" s="5"/>
      <c r="FJ209" s="5"/>
      <c r="FK209" s="5"/>
      <c r="FL209" s="29"/>
      <c r="FN209" s="14"/>
      <c r="FO209" s="23" t="s">
        <v>24</v>
      </c>
      <c r="FP209" s="5">
        <f>FP207*0.6</f>
        <v>21000</v>
      </c>
      <c r="FQ209" s="5"/>
      <c r="FR209" s="5"/>
      <c r="FS209" s="16" t="s">
        <v>37</v>
      </c>
      <c r="FT209" s="5">
        <f>SUM(FX151:FX203)</f>
        <v>17600</v>
      </c>
      <c r="FU209" s="92">
        <f>FT209/FP207</f>
        <v>0.50285714285714289</v>
      </c>
      <c r="FV209" s="92"/>
      <c r="FW209" s="5"/>
      <c r="FX209" s="5"/>
      <c r="FY209" s="5"/>
      <c r="FZ209" s="29"/>
      <c r="GB209" s="14"/>
      <c r="GC209" s="23" t="s">
        <v>24</v>
      </c>
      <c r="GD209" s="5">
        <f>GD207*0.6</f>
        <v>15360</v>
      </c>
      <c r="GE209" s="5"/>
      <c r="GF209" s="5"/>
      <c r="GG209" s="16" t="s">
        <v>37</v>
      </c>
      <c r="GH209" s="5">
        <f>SUM(GL151:GL203)</f>
        <v>8400</v>
      </c>
      <c r="GI209" s="92">
        <f>GH209/GD207</f>
        <v>0.328125</v>
      </c>
      <c r="GJ209" s="92"/>
      <c r="GK209" s="5"/>
      <c r="GL209" s="5"/>
      <c r="GM209" s="5"/>
      <c r="GN209" s="29"/>
      <c r="GP209" s="14"/>
      <c r="GQ209" s="23" t="s">
        <v>24</v>
      </c>
      <c r="GR209" s="5">
        <f>GR207*0.6</f>
        <v>65400</v>
      </c>
      <c r="GS209" s="5"/>
      <c r="GT209" s="5"/>
      <c r="GU209" s="5"/>
      <c r="GV209" s="5"/>
      <c r="GW209" s="16" t="s">
        <v>37</v>
      </c>
      <c r="GX209" s="5">
        <f>SUM(HB151:HB203)</f>
        <v>27000</v>
      </c>
      <c r="GY209" s="92">
        <f>GX209/GR207</f>
        <v>0.24770642201834864</v>
      </c>
      <c r="GZ209" s="92"/>
      <c r="HA209" s="5"/>
      <c r="HB209" s="5"/>
      <c r="HC209" s="5"/>
      <c r="HD209" s="29"/>
      <c r="HF209" s="14"/>
      <c r="HG209" s="23" t="s">
        <v>24</v>
      </c>
      <c r="HH209" s="5">
        <f>HH207*0.6</f>
        <v>17460</v>
      </c>
      <c r="HI209" s="5"/>
      <c r="HJ209" s="29"/>
      <c r="HL209" s="14"/>
      <c r="HM209" s="23" t="s">
        <v>24</v>
      </c>
      <c r="HN209" s="5">
        <f>HN207*0.6</f>
        <v>12060</v>
      </c>
      <c r="HO209" s="5"/>
      <c r="HP209" s="29"/>
      <c r="HR209" s="14"/>
      <c r="HS209" s="23" t="s">
        <v>24</v>
      </c>
      <c r="HT209" s="5">
        <f>HT207*0.6</f>
        <v>17160</v>
      </c>
      <c r="HU209" s="5"/>
      <c r="HV209" s="29"/>
    </row>
    <row r="210" spans="1:230" x14ac:dyDescent="0.2">
      <c r="A210" s="33"/>
      <c r="B210" s="26"/>
      <c r="C210" s="16" t="s">
        <v>26</v>
      </c>
      <c r="D210" s="5"/>
      <c r="E210" s="5"/>
      <c r="F210" s="5"/>
      <c r="G210" s="16"/>
      <c r="H210" s="5"/>
      <c r="I210" s="95"/>
      <c r="J210" s="159" t="s">
        <v>285</v>
      </c>
      <c r="K210" s="159"/>
      <c r="L210" s="4">
        <f>(G175+I175)*K175+(G176+I176)*K176+(G177+I177)*K177+(G178+I178)*K178</f>
        <v>17395</v>
      </c>
      <c r="M210" s="36"/>
      <c r="N210" s="29"/>
      <c r="P210" s="33"/>
      <c r="Q210" s="16" t="s">
        <v>26</v>
      </c>
      <c r="R210" s="5"/>
      <c r="S210" s="5"/>
      <c r="T210" s="5"/>
      <c r="U210" s="16"/>
      <c r="V210" s="5"/>
      <c r="W210" s="95"/>
      <c r="X210" s="159" t="s">
        <v>285</v>
      </c>
      <c r="Y210" s="159"/>
      <c r="Z210" s="4">
        <f>(U175+W175)*Y175+(U176+W176)*Y176+(U177+W177)*Y177+(U178+W178)*Y178</f>
        <v>20449</v>
      </c>
      <c r="AA210" s="36"/>
      <c r="AB210" s="29"/>
      <c r="AD210" s="33"/>
      <c r="AE210" s="16" t="s">
        <v>26</v>
      </c>
      <c r="AF210" s="5"/>
      <c r="AG210" s="5"/>
      <c r="AH210" s="5"/>
      <c r="AI210" s="16"/>
      <c r="AJ210" s="5"/>
      <c r="AK210" s="95"/>
      <c r="AL210" s="159" t="s">
        <v>285</v>
      </c>
      <c r="AM210" s="159"/>
      <c r="AN210" s="4">
        <f>(AI175+AK175)*AM175+(AI176+AK176)*AM176+(AI177+AK177)*AM177+(AI178+AK178)*AM178</f>
        <v>27236</v>
      </c>
      <c r="AO210" s="36"/>
      <c r="AP210" s="29"/>
      <c r="AR210" s="33"/>
      <c r="AS210" s="16" t="s">
        <v>26</v>
      </c>
      <c r="AT210" s="5"/>
      <c r="AU210" s="5"/>
      <c r="AV210" s="5"/>
      <c r="AW210" s="16"/>
      <c r="AX210" s="5"/>
      <c r="AY210" s="95"/>
      <c r="AZ210" s="159" t="s">
        <v>285</v>
      </c>
      <c r="BA210" s="159"/>
      <c r="BB210" s="4">
        <f>(AW175+AY175)*BA175+(AW176+AY176)*BA176+(AW177+AY177)*BA177+(AW178+AY178)*BA178</f>
        <v>19719</v>
      </c>
      <c r="BC210" s="36"/>
      <c r="BD210" s="29"/>
      <c r="BE210" s="32"/>
      <c r="BF210" s="25"/>
      <c r="BG210" s="16" t="s">
        <v>26</v>
      </c>
      <c r="BH210" s="5">
        <f>CH279</f>
        <v>0</v>
      </c>
      <c r="BI210" s="5"/>
      <c r="BJ210" s="5"/>
      <c r="BK210" s="16"/>
      <c r="BL210" s="5"/>
      <c r="BM210" s="5"/>
      <c r="BN210" s="159" t="s">
        <v>285</v>
      </c>
      <c r="BO210" s="160"/>
      <c r="BP210" s="4">
        <f>(BK183+BM183)*BO183+(BK184+BM184)*BO184+(BK185+BM185)*BO185+(BK186+BM186)*BO186</f>
        <v>18000</v>
      </c>
      <c r="BQ210" s="36"/>
      <c r="BR210" s="29"/>
      <c r="BT210" s="25"/>
      <c r="BU210" s="16" t="s">
        <v>26</v>
      </c>
      <c r="BV210" s="5">
        <f>DK279</f>
        <v>0</v>
      </c>
      <c r="BW210" s="5"/>
      <c r="BX210" s="5"/>
      <c r="BY210" s="16"/>
      <c r="BZ210" s="5"/>
      <c r="CA210" s="5"/>
      <c r="CB210" s="159" t="s">
        <v>285</v>
      </c>
      <c r="CC210" s="160"/>
      <c r="CD210" s="4">
        <f>(BY183+CA183)*CC183+(BY184+CA184)*CC184+(BY185+CA185)*CC185+(BY186+CA186)*CC186</f>
        <v>86500</v>
      </c>
      <c r="CE210" s="36"/>
      <c r="CF210" s="29"/>
      <c r="CH210" s="14"/>
      <c r="CI210" s="23" t="s">
        <v>26</v>
      </c>
      <c r="CJ210" s="5" t="e">
        <f>#REF!</f>
        <v>#REF!</v>
      </c>
      <c r="CK210" s="5"/>
      <c r="CL210" s="5"/>
      <c r="CM210" s="16" t="s">
        <v>25</v>
      </c>
      <c r="CN210" s="5">
        <f>CJ209-CN209</f>
        <v>18580</v>
      </c>
      <c r="CO210" s="92">
        <f>CN210/CJ207</f>
        <v>0.20395170142700331</v>
      </c>
      <c r="CP210" s="92"/>
      <c r="CQ210" s="36"/>
      <c r="CR210" s="36"/>
      <c r="CS210" s="36"/>
      <c r="CT210" s="29"/>
      <c r="CV210" s="14"/>
      <c r="CW210" s="23" t="s">
        <v>26</v>
      </c>
      <c r="CX210" s="5" t="e">
        <f>#REF!</f>
        <v>#REF!</v>
      </c>
      <c r="CY210" s="5"/>
      <c r="CZ210" s="5"/>
      <c r="DA210" s="16" t="s">
        <v>25</v>
      </c>
      <c r="DB210" s="5">
        <f>CX209-DB209</f>
        <v>12480</v>
      </c>
      <c r="DC210" s="92">
        <f>DB210/CX207</f>
        <v>0.6</v>
      </c>
      <c r="DD210" s="92"/>
      <c r="DE210" s="36"/>
      <c r="DF210" s="36"/>
      <c r="DG210" s="36"/>
      <c r="DH210" s="29"/>
      <c r="DJ210" s="14"/>
      <c r="DK210" s="23" t="s">
        <v>26</v>
      </c>
      <c r="DL210" s="5" t="e">
        <f>#REF!</f>
        <v>#REF!</v>
      </c>
      <c r="DM210" s="5"/>
      <c r="DN210" s="5"/>
      <c r="DO210" s="16" t="s">
        <v>25</v>
      </c>
      <c r="DP210" s="5">
        <f>DL209-DP209</f>
        <v>12866</v>
      </c>
      <c r="DQ210" s="92">
        <f>DP210/DL207</f>
        <v>0.39225609756097563</v>
      </c>
      <c r="DR210" s="92"/>
      <c r="DS210" s="36"/>
      <c r="DT210" s="36"/>
      <c r="DU210" s="36"/>
      <c r="DV210" s="29"/>
      <c r="DX210" s="14"/>
      <c r="DY210" s="23" t="s">
        <v>26</v>
      </c>
      <c r="DZ210" s="5">
        <f>DZ281</f>
        <v>606800</v>
      </c>
      <c r="EA210" s="5"/>
      <c r="EB210" s="5"/>
      <c r="EC210" s="16" t="s">
        <v>25</v>
      </c>
      <c r="ED210" s="5">
        <f>DZ209-ED209</f>
        <v>191160</v>
      </c>
      <c r="EE210" s="92">
        <f>ED210/DZ207</f>
        <v>0.459408795962509</v>
      </c>
      <c r="EF210" s="92"/>
      <c r="EG210" s="36"/>
      <c r="EH210" s="36"/>
      <c r="EI210" s="36"/>
      <c r="EJ210" s="29"/>
      <c r="EL210" s="14"/>
      <c r="EM210" s="23" t="s">
        <v>26</v>
      </c>
      <c r="EN210" s="5" t="e">
        <f>#REF!</f>
        <v>#REF!</v>
      </c>
      <c r="EO210" s="5"/>
      <c r="EP210" s="5"/>
      <c r="EQ210" s="16" t="s">
        <v>25</v>
      </c>
      <c r="ER210" s="5">
        <f>EN209-ER209</f>
        <v>17488</v>
      </c>
      <c r="ES210" s="92">
        <f>ER210/EN207</f>
        <v>0.43719999999999998</v>
      </c>
      <c r="ET210" s="92"/>
      <c r="EU210" s="36"/>
      <c r="EV210" s="36"/>
      <c r="EW210" s="36"/>
      <c r="EX210" s="29"/>
      <c r="EZ210" s="14"/>
      <c r="FA210" s="23" t="s">
        <v>26</v>
      </c>
      <c r="FB210" s="5" t="e">
        <f>#REF!</f>
        <v>#REF!</v>
      </c>
      <c r="FC210" s="5"/>
      <c r="FD210" s="5"/>
      <c r="FE210" s="16" t="s">
        <v>25</v>
      </c>
      <c r="FF210" s="5">
        <f>FB209-FF209</f>
        <v>810</v>
      </c>
      <c r="FG210" s="92">
        <f>FF210/FB207</f>
        <v>2.903225806451613E-2</v>
      </c>
      <c r="FH210" s="92"/>
      <c r="FI210" s="36"/>
      <c r="FJ210" s="36"/>
      <c r="FK210" s="36"/>
      <c r="FL210" s="29"/>
      <c r="FN210" s="14"/>
      <c r="FO210" s="23" t="s">
        <v>26</v>
      </c>
      <c r="FP210" s="5" t="e">
        <f>#REF!</f>
        <v>#REF!</v>
      </c>
      <c r="FQ210" s="5"/>
      <c r="FR210" s="5"/>
      <c r="FS210" s="16" t="s">
        <v>25</v>
      </c>
      <c r="FT210" s="5">
        <f>FP209-FT209</f>
        <v>3400</v>
      </c>
      <c r="FU210" s="92">
        <f>FT210/FP207</f>
        <v>9.7142857142857142E-2</v>
      </c>
      <c r="FV210" s="92"/>
      <c r="FW210" s="36"/>
      <c r="FX210" s="36"/>
      <c r="FY210" s="36"/>
      <c r="FZ210" s="29"/>
      <c r="GB210" s="14"/>
      <c r="GC210" s="23" t="s">
        <v>26</v>
      </c>
      <c r="GD210" s="5" t="e">
        <f>#REF!</f>
        <v>#REF!</v>
      </c>
      <c r="GE210" s="5"/>
      <c r="GF210" s="5"/>
      <c r="GG210" s="16" t="s">
        <v>25</v>
      </c>
      <c r="GH210" s="5">
        <f>GD209-GH209</f>
        <v>6960</v>
      </c>
      <c r="GI210" s="92">
        <f>GH210/GD207</f>
        <v>0.27187499999999998</v>
      </c>
      <c r="GJ210" s="92"/>
      <c r="GK210" s="36"/>
      <c r="GL210" s="36"/>
      <c r="GM210" s="36"/>
      <c r="GN210" s="29"/>
      <c r="GP210" s="14"/>
      <c r="GQ210" s="23" t="s">
        <v>26</v>
      </c>
      <c r="GR210" s="5" t="e">
        <f>#REF!</f>
        <v>#REF!</v>
      </c>
      <c r="GS210" s="5"/>
      <c r="GT210" s="5"/>
      <c r="GU210" s="5"/>
      <c r="GV210" s="5"/>
      <c r="GW210" s="16" t="s">
        <v>25</v>
      </c>
      <c r="GX210" s="5">
        <f>GR209-GX209</f>
        <v>38400</v>
      </c>
      <c r="GY210" s="92">
        <f>GX210/GR207</f>
        <v>0.3522935779816514</v>
      </c>
      <c r="GZ210" s="92"/>
      <c r="HA210" s="36"/>
      <c r="HB210" s="36"/>
      <c r="HC210" s="36"/>
      <c r="HD210" s="29"/>
      <c r="HF210" s="14"/>
      <c r="HG210" s="23" t="s">
        <v>26</v>
      </c>
      <c r="HH210" s="5" t="e">
        <f>#REF!</f>
        <v>#REF!</v>
      </c>
      <c r="HI210" s="5"/>
      <c r="HJ210" s="29"/>
      <c r="HL210" s="14"/>
      <c r="HM210" s="23" t="s">
        <v>26</v>
      </c>
      <c r="HN210" s="5" t="e">
        <f>#REF!</f>
        <v>#REF!</v>
      </c>
      <c r="HO210" s="5"/>
      <c r="HP210" s="29"/>
      <c r="HR210" s="14"/>
      <c r="HS210" s="23" t="s">
        <v>26</v>
      </c>
      <c r="HT210" s="5" t="e">
        <f>#REF!</f>
        <v>#REF!</v>
      </c>
      <c r="HU210" s="5"/>
      <c r="HV210" s="29"/>
    </row>
    <row r="211" spans="1:230" x14ac:dyDescent="0.2">
      <c r="A211" s="15">
        <v>31</v>
      </c>
      <c r="B211" s="96">
        <f>SUM(B151:B203)*100</f>
        <v>2198500</v>
      </c>
      <c r="C211" s="16"/>
      <c r="D211" s="5"/>
      <c r="E211" s="5"/>
      <c r="F211" s="5"/>
      <c r="G211" s="16"/>
      <c r="H211" s="5"/>
      <c r="I211" s="95"/>
      <c r="J211" s="97"/>
      <c r="K211" s="98"/>
      <c r="L211" s="27"/>
      <c r="M211" s="36"/>
      <c r="N211" s="29"/>
      <c r="P211" s="33"/>
      <c r="Q211" s="16"/>
      <c r="R211" s="5"/>
      <c r="S211" s="5"/>
      <c r="T211" s="5"/>
      <c r="U211" s="16"/>
      <c r="V211" s="5"/>
      <c r="W211" s="95"/>
      <c r="X211" s="97"/>
      <c r="Y211" s="98"/>
      <c r="Z211" s="27"/>
      <c r="AA211" s="36"/>
      <c r="AB211" s="29"/>
      <c r="AD211" s="33"/>
      <c r="AE211" s="16"/>
      <c r="AF211" s="5"/>
      <c r="AG211" s="5"/>
      <c r="AH211" s="5"/>
      <c r="AI211" s="16"/>
      <c r="AJ211" s="5"/>
      <c r="AK211" s="95"/>
      <c r="AL211" s="97"/>
      <c r="AM211" s="98"/>
      <c r="AN211" s="27"/>
      <c r="AO211" s="36"/>
      <c r="AP211" s="29"/>
      <c r="AR211" s="33"/>
      <c r="AS211" s="16"/>
      <c r="AT211" s="5"/>
      <c r="AU211" s="5"/>
      <c r="AV211" s="5"/>
      <c r="AW211" s="16"/>
      <c r="AX211" s="5"/>
      <c r="AY211" s="95"/>
      <c r="AZ211" s="97"/>
      <c r="BA211" s="98"/>
      <c r="BB211" s="27"/>
      <c r="BC211" s="36"/>
      <c r="BD211" s="29"/>
      <c r="BE211" s="32"/>
      <c r="BF211" s="25"/>
      <c r="BG211" s="5"/>
      <c r="BH211" s="5"/>
      <c r="BI211" s="5"/>
      <c r="BJ211" s="5"/>
      <c r="BK211" s="16"/>
      <c r="BL211" s="5"/>
      <c r="BM211" s="5"/>
      <c r="BN211" s="95"/>
      <c r="BO211" s="99"/>
      <c r="BP211" s="39"/>
      <c r="BQ211" s="36"/>
      <c r="BR211" s="29"/>
      <c r="BT211" s="25"/>
      <c r="BU211" s="5"/>
      <c r="BV211" s="5"/>
      <c r="BW211" s="5"/>
      <c r="BX211" s="5"/>
      <c r="BY211" s="16"/>
      <c r="BZ211" s="5"/>
      <c r="CA211" s="5"/>
      <c r="CB211" s="95"/>
      <c r="CC211" s="99"/>
      <c r="CD211" s="39"/>
      <c r="CE211" s="36"/>
      <c r="CF211" s="29"/>
      <c r="CH211" s="14"/>
      <c r="CI211" s="39"/>
      <c r="CJ211" s="5"/>
      <c r="CK211" s="5"/>
      <c r="CL211" s="5"/>
      <c r="CM211" s="154" t="s">
        <v>286</v>
      </c>
      <c r="CN211" s="158"/>
      <c r="CO211" s="5">
        <f>(CM154+CO154)*CQ154</f>
        <v>22880</v>
      </c>
      <c r="CP211" s="5"/>
      <c r="CQ211" s="36"/>
      <c r="CR211" s="36"/>
      <c r="CS211" s="36"/>
      <c r="CT211" s="29"/>
      <c r="CV211" s="14"/>
      <c r="CW211" s="39"/>
      <c r="CX211" s="5"/>
      <c r="CY211" s="5"/>
      <c r="CZ211" s="5"/>
      <c r="DA211" s="154" t="s">
        <v>286</v>
      </c>
      <c r="DB211" s="158"/>
      <c r="DC211" s="5">
        <f>(DA154+DC154)*DE154</f>
        <v>0</v>
      </c>
      <c r="DD211" s="5"/>
      <c r="DE211" s="36"/>
      <c r="DF211" s="36"/>
      <c r="DG211" s="36"/>
      <c r="DH211" s="29"/>
      <c r="DJ211" s="14"/>
      <c r="DK211" s="39"/>
      <c r="DL211" s="5"/>
      <c r="DM211" s="5"/>
      <c r="DN211" s="5"/>
      <c r="DO211" s="154" t="s">
        <v>286</v>
      </c>
      <c r="DP211" s="158"/>
      <c r="DQ211" s="5">
        <f>(DO154+DQ154)*DS154</f>
        <v>6524</v>
      </c>
      <c r="DR211" s="5"/>
      <c r="DS211" s="36"/>
      <c r="DT211" s="36"/>
      <c r="DU211" s="36"/>
      <c r="DV211" s="29"/>
      <c r="DX211" s="14"/>
      <c r="DY211" s="39"/>
      <c r="DZ211" s="5"/>
      <c r="EA211" s="5"/>
      <c r="EB211" s="5"/>
      <c r="EC211" s="154" t="s">
        <v>286</v>
      </c>
      <c r="ED211" s="158"/>
      <c r="EE211" s="5">
        <f>(EC154+EE154)*EG154</f>
        <v>22500</v>
      </c>
      <c r="EF211" s="5"/>
      <c r="EG211" s="36"/>
      <c r="EH211" s="36"/>
      <c r="EI211" s="36"/>
      <c r="EJ211" s="29"/>
      <c r="EL211" s="14"/>
      <c r="EM211" s="39"/>
      <c r="EN211" s="5"/>
      <c r="EO211" s="5"/>
      <c r="EP211" s="5"/>
      <c r="EQ211" s="154" t="s">
        <v>286</v>
      </c>
      <c r="ER211" s="158"/>
      <c r="ES211" s="5">
        <f>(EQ154+ES154)*EU154</f>
        <v>5984</v>
      </c>
      <c r="ET211" s="5"/>
      <c r="EU211" s="36"/>
      <c r="EV211" s="36"/>
      <c r="EW211" s="36"/>
      <c r="EX211" s="29"/>
      <c r="EZ211" s="14"/>
      <c r="FA211" s="39"/>
      <c r="FB211" s="5"/>
      <c r="FC211" s="5"/>
      <c r="FD211" s="5"/>
      <c r="FE211" s="154" t="s">
        <v>286</v>
      </c>
      <c r="FF211" s="158"/>
      <c r="FG211" s="5">
        <f>(FE154+FG154)*FI154</f>
        <v>26950</v>
      </c>
      <c r="FH211" s="5"/>
      <c r="FI211" s="36"/>
      <c r="FJ211" s="36"/>
      <c r="FK211" s="36"/>
      <c r="FL211" s="29"/>
      <c r="FN211" s="14"/>
      <c r="FO211" s="39"/>
      <c r="FP211" s="5"/>
      <c r="FQ211" s="5"/>
      <c r="FR211" s="5"/>
      <c r="FS211" s="154" t="s">
        <v>286</v>
      </c>
      <c r="FT211" s="158"/>
      <c r="FU211" s="5">
        <f>(FS154+FU154)*FW154</f>
        <v>60060</v>
      </c>
      <c r="FV211" s="5"/>
      <c r="FW211" s="36"/>
      <c r="FX211" s="36"/>
      <c r="FY211" s="36"/>
      <c r="FZ211" s="29"/>
      <c r="GB211" s="14"/>
      <c r="GC211" s="39"/>
      <c r="GD211" s="5"/>
      <c r="GE211" s="5"/>
      <c r="GF211" s="5"/>
      <c r="GG211" s="154" t="s">
        <v>286</v>
      </c>
      <c r="GH211" s="158"/>
      <c r="GI211" s="5">
        <f>(GG154+GI154)*GK154</f>
        <v>58800</v>
      </c>
      <c r="GJ211" s="5"/>
      <c r="GK211" s="36"/>
      <c r="GL211" s="36"/>
      <c r="GM211" s="36"/>
      <c r="GN211" s="29"/>
      <c r="GP211" s="14"/>
      <c r="GQ211" s="39"/>
      <c r="GR211" s="5"/>
      <c r="GS211" s="5"/>
      <c r="GT211" s="5"/>
      <c r="GU211" s="5"/>
      <c r="GV211" s="5"/>
      <c r="GW211" s="154" t="s">
        <v>286</v>
      </c>
      <c r="GX211" s="158"/>
      <c r="GY211" s="5">
        <f>(GW154+GY154)*HA154</f>
        <v>21000</v>
      </c>
      <c r="GZ211" s="5"/>
      <c r="HA211" s="36"/>
      <c r="HB211" s="36"/>
      <c r="HC211" s="36"/>
      <c r="HD211" s="29"/>
      <c r="HF211" s="14"/>
      <c r="HG211" s="39"/>
      <c r="HH211" s="5"/>
      <c r="HI211" s="5"/>
      <c r="HJ211" s="29"/>
      <c r="HL211" s="14"/>
      <c r="HM211" s="39"/>
      <c r="HN211" s="5"/>
      <c r="HO211" s="5"/>
      <c r="HP211" s="29"/>
      <c r="HR211" s="14"/>
      <c r="HS211" s="39"/>
      <c r="HT211" s="5"/>
      <c r="HU211" s="5"/>
      <c r="HV211" s="29"/>
    </row>
    <row r="212" spans="1:230" x14ac:dyDescent="0.2">
      <c r="A212" s="100">
        <f>DATEDIF(A$253,A183,"d")</f>
        <v>31</v>
      </c>
      <c r="B212" s="96"/>
      <c r="C212" s="16"/>
      <c r="D212" s="5"/>
      <c r="E212" s="58"/>
      <c r="F212" s="5"/>
      <c r="G212" s="16"/>
      <c r="H212" s="5"/>
      <c r="I212" s="95"/>
      <c r="J212" s="97"/>
      <c r="K212" s="98"/>
      <c r="L212" s="27"/>
      <c r="M212" s="36"/>
      <c r="N212" s="29"/>
      <c r="P212" s="33"/>
      <c r="Q212" s="16"/>
      <c r="R212" s="5"/>
      <c r="S212" s="5"/>
      <c r="T212" s="5"/>
      <c r="U212" s="16"/>
      <c r="V212" s="5"/>
      <c r="W212" s="95"/>
      <c r="X212" s="97"/>
      <c r="Y212" s="98"/>
      <c r="Z212" s="27"/>
      <c r="AA212" s="36"/>
      <c r="AB212" s="29"/>
      <c r="AD212" s="33"/>
      <c r="AE212" s="16"/>
      <c r="AF212" s="5"/>
      <c r="AG212" s="5"/>
      <c r="AH212" s="5"/>
      <c r="AI212" s="16"/>
      <c r="AJ212" s="5"/>
      <c r="AK212" s="95"/>
      <c r="AL212" s="97"/>
      <c r="AM212" s="98"/>
      <c r="AN212" s="27"/>
      <c r="AO212" s="36"/>
      <c r="AP212" s="29"/>
      <c r="AR212" s="33"/>
      <c r="AS212" s="16"/>
      <c r="AT212" s="5"/>
      <c r="AU212" s="5"/>
      <c r="AV212" s="5"/>
      <c r="AW212" s="16"/>
      <c r="AX212" s="5"/>
      <c r="AY212" s="95"/>
      <c r="AZ212" s="97"/>
      <c r="BA212" s="98"/>
      <c r="BB212" s="27"/>
      <c r="BC212" s="36"/>
      <c r="BD212" s="29"/>
      <c r="BE212" s="32"/>
      <c r="BF212" s="25"/>
      <c r="BG212" s="5"/>
      <c r="BH212" s="5"/>
      <c r="BI212" s="5"/>
      <c r="BJ212" s="5"/>
      <c r="BK212" s="16"/>
      <c r="BL212" s="5"/>
      <c r="BM212" s="5"/>
      <c r="BN212" s="21"/>
      <c r="BO212" s="101"/>
      <c r="BP212" s="102"/>
      <c r="BQ212" s="36"/>
      <c r="BR212" s="29"/>
      <c r="BT212" s="25"/>
      <c r="BU212" s="5"/>
      <c r="BV212" s="5"/>
      <c r="BW212" s="5"/>
      <c r="BX212" s="5"/>
      <c r="BY212" s="16"/>
      <c r="BZ212" s="5"/>
      <c r="CA212" s="5"/>
      <c r="CB212" s="21"/>
      <c r="CC212" s="101"/>
      <c r="CD212" s="102"/>
      <c r="CE212" s="36"/>
      <c r="CF212" s="29"/>
      <c r="CH212" s="14"/>
      <c r="CI212" s="39"/>
      <c r="CJ212" s="5"/>
      <c r="CK212" s="5"/>
      <c r="CL212" s="5"/>
      <c r="CM212" s="16"/>
      <c r="CN212" s="5"/>
      <c r="CO212" s="5"/>
      <c r="CP212" s="5"/>
      <c r="CQ212" s="36"/>
      <c r="CR212" s="36"/>
      <c r="CS212" s="36"/>
      <c r="CT212" s="29"/>
      <c r="CV212" s="14"/>
      <c r="CW212" s="39"/>
      <c r="CX212" s="5"/>
      <c r="CY212" s="5"/>
      <c r="CZ212" s="5"/>
      <c r="DA212" s="16"/>
      <c r="DB212" s="5"/>
      <c r="DC212" s="5"/>
      <c r="DD212" s="5"/>
      <c r="DE212" s="36"/>
      <c r="DF212" s="36"/>
      <c r="DG212" s="36"/>
      <c r="DH212" s="29"/>
      <c r="DJ212" s="14"/>
      <c r="DK212" s="39"/>
      <c r="DL212" s="5"/>
      <c r="DM212" s="5"/>
      <c r="DN212" s="5"/>
      <c r="DO212" s="16"/>
      <c r="DP212" s="5"/>
      <c r="DQ212" s="5"/>
      <c r="DR212" s="5"/>
      <c r="DS212" s="36"/>
      <c r="DT212" s="36"/>
      <c r="DU212" s="36"/>
      <c r="DV212" s="29"/>
      <c r="DX212" s="14"/>
      <c r="DY212" s="39"/>
      <c r="DZ212" s="5"/>
      <c r="EA212" s="5"/>
      <c r="EB212" s="5"/>
      <c r="EC212" s="16"/>
      <c r="ED212" s="5"/>
      <c r="EE212" s="5"/>
      <c r="EF212" s="5"/>
      <c r="EG212" s="36"/>
      <c r="EH212" s="36"/>
      <c r="EI212" s="36"/>
      <c r="EJ212" s="29"/>
      <c r="EL212" s="14"/>
      <c r="EM212" s="39"/>
      <c r="EN212" s="5"/>
      <c r="EO212" s="5"/>
      <c r="EP212" s="5"/>
      <c r="EQ212" s="16"/>
      <c r="ER212" s="5"/>
      <c r="ES212" s="5"/>
      <c r="ET212" s="5"/>
      <c r="EU212" s="36"/>
      <c r="EV212" s="36"/>
      <c r="EW212" s="36"/>
      <c r="EX212" s="29"/>
      <c r="EZ212" s="14"/>
      <c r="FA212" s="39"/>
      <c r="FB212" s="5"/>
      <c r="FC212" s="5"/>
      <c r="FD212" s="5"/>
      <c r="FE212" s="16"/>
      <c r="FF212" s="5"/>
      <c r="FG212" s="5"/>
      <c r="FH212" s="5"/>
      <c r="FI212" s="36"/>
      <c r="FJ212" s="36"/>
      <c r="FK212" s="36"/>
      <c r="FL212" s="29"/>
      <c r="FN212" s="14"/>
      <c r="FO212" s="39"/>
      <c r="FP212" s="5"/>
      <c r="FQ212" s="5"/>
      <c r="FR212" s="5"/>
      <c r="FS212" s="16"/>
      <c r="FT212" s="5"/>
      <c r="FU212" s="5"/>
      <c r="FV212" s="5"/>
      <c r="FW212" s="36"/>
      <c r="FX212" s="36"/>
      <c r="FY212" s="36"/>
      <c r="FZ212" s="29"/>
      <c r="GB212" s="14"/>
      <c r="GC212" s="39"/>
      <c r="GD212" s="5"/>
      <c r="GE212" s="5"/>
      <c r="GF212" s="5"/>
      <c r="GG212" s="16"/>
      <c r="GH212" s="5"/>
      <c r="GI212" s="5"/>
      <c r="GJ212" s="5"/>
      <c r="GK212" s="36"/>
      <c r="GL212" s="36"/>
      <c r="GM212" s="36"/>
      <c r="GN212" s="29"/>
      <c r="GP212" s="14"/>
      <c r="GQ212" s="39"/>
      <c r="GR212" s="5"/>
      <c r="GS212" s="5"/>
      <c r="GT212" s="5"/>
      <c r="GU212" s="5"/>
      <c r="GV212" s="5"/>
      <c r="GW212" s="16"/>
      <c r="GX212" s="5"/>
      <c r="GY212" s="5"/>
      <c r="GZ212" s="5"/>
      <c r="HA212" s="36"/>
      <c r="HB212" s="36"/>
      <c r="HC212" s="36"/>
      <c r="HD212" s="29"/>
      <c r="HF212" s="14"/>
      <c r="HG212" s="39"/>
      <c r="HH212" s="5"/>
      <c r="HI212" s="5"/>
      <c r="HJ212" s="29"/>
      <c r="HL212" s="14"/>
      <c r="HM212" s="39"/>
      <c r="HN212" s="5"/>
      <c r="HO212" s="5"/>
      <c r="HP212" s="29"/>
      <c r="HR212" s="14"/>
      <c r="HS212" s="39"/>
      <c r="HT212" s="5"/>
      <c r="HU212" s="5"/>
      <c r="HV212" s="29"/>
    </row>
    <row r="213" spans="1:230" x14ac:dyDescent="0.2">
      <c r="A213" s="157" t="s">
        <v>27</v>
      </c>
      <c r="B213" s="157"/>
      <c r="C213" s="157"/>
      <c r="D213" s="103">
        <f>SUM(D151,D155,D159,D163,D167,D171,D175,D179,D183,D187,D191,D195,D199)*100</f>
        <v>26700</v>
      </c>
      <c r="E213" s="39"/>
      <c r="F213" s="5"/>
      <c r="G213" s="16">
        <f>D213/H213</f>
        <v>2225</v>
      </c>
      <c r="H213" s="103">
        <f>SUM(H151,H155,H159,H163,H167,H171,H176,H179,H183,H187,H191,H195,H199)</f>
        <v>12</v>
      </c>
      <c r="I213" s="5"/>
      <c r="J213" s="2" t="str">
        <f t="shared" ref="J213:K216" si="667">J151</f>
        <v>ジャグラーボタン</v>
      </c>
      <c r="K213" s="27">
        <f t="shared" si="667"/>
        <v>748</v>
      </c>
      <c r="L213" s="103">
        <f>SUM(L151,L155,L159,L163,L167,L171,L176,L179,L183,L187,L191,L195,L199)</f>
        <v>5852</v>
      </c>
      <c r="M213" s="92">
        <f>L213/D213</f>
        <v>0.21917602996254681</v>
      </c>
      <c r="N213" s="29"/>
      <c r="O213" s="104"/>
      <c r="P213" s="157" t="s">
        <v>27</v>
      </c>
      <c r="Q213" s="157"/>
      <c r="R213" s="103">
        <f>SUM(R151,R155,R159,R163,R167,R171,R175,R179,R183,R187,R191,R195,R199)*100</f>
        <v>66100</v>
      </c>
      <c r="S213" s="39"/>
      <c r="T213" s="5"/>
      <c r="U213" s="16">
        <f>R213/V213</f>
        <v>4721.4285714285716</v>
      </c>
      <c r="V213" s="103">
        <f>SUM(V151,V155,V159,V163,V167,V171,V176,V179,V183,V187,V191,V195,V199)</f>
        <v>14</v>
      </c>
      <c r="W213" s="5"/>
      <c r="X213" s="31" t="str">
        <f t="shared" ref="X213:Y216" si="668">X151</f>
        <v>サンリオボアバンスクリップ</v>
      </c>
      <c r="Y213" s="27">
        <f t="shared" si="668"/>
        <v>660</v>
      </c>
      <c r="Z213" s="103">
        <f>SUM(Z151,Z155,Z159,Z163,Z167,Z171,Z176,Z179,Z183,Z187,Z191,Z195,Z199)</f>
        <v>9570</v>
      </c>
      <c r="AA213" s="92">
        <f>Z213/R213</f>
        <v>0.14478063540090771</v>
      </c>
      <c r="AB213" s="29"/>
      <c r="AD213" s="157" t="s">
        <v>27</v>
      </c>
      <c r="AE213" s="157"/>
      <c r="AF213" s="103">
        <f>SUM(AF151,AF155,AF159,AF163,AF167,AF171,AF175,AF179,AF183,AF187,AF191,AF195,AF199)*100</f>
        <v>58900</v>
      </c>
      <c r="AG213" s="39"/>
      <c r="AH213" s="5"/>
      <c r="AI213" s="16">
        <f>AF213/AJ213</f>
        <v>5890</v>
      </c>
      <c r="AJ213" s="103">
        <f>SUM(AJ151,AJ155,AJ159,AJ163,AJ167,AJ171,AJ176,AJ179,AJ183,AJ187,AJ191,AJ195,AJ199)</f>
        <v>10</v>
      </c>
      <c r="AK213" s="5"/>
      <c r="AL213" s="31" t="str">
        <f t="shared" ref="AL213:AM216" si="669">AL151</f>
        <v>モンチッチがま口</v>
      </c>
      <c r="AM213" s="27">
        <f t="shared" si="669"/>
        <v>462</v>
      </c>
      <c r="AN213" s="103">
        <f>SUM(AN151,AN155,AN159,AN163,AN167,AN171,AN176,AN179,AN183,AN187,AN191,AN195,AN199)</f>
        <v>4620</v>
      </c>
      <c r="AO213" s="92">
        <f>AN213/AF213</f>
        <v>7.843803056027164E-2</v>
      </c>
      <c r="AP213" s="29"/>
      <c r="AR213" s="157" t="s">
        <v>27</v>
      </c>
      <c r="AS213" s="157"/>
      <c r="AT213" s="103">
        <f>SUM(AT151,AT155,AT159,AT163,AT167,AT171,AT175,AT179,AT183,AT187,AT191,AT195,AT199)*100</f>
        <v>55000</v>
      </c>
      <c r="AU213" s="39"/>
      <c r="AV213" s="5"/>
      <c r="AW213" s="16">
        <f>AT213/AX213</f>
        <v>4230.7692307692305</v>
      </c>
      <c r="AX213" s="103">
        <f>SUM(AX151,AX155,AX159,AX163,AX167,AX171,AX176,AX179,AX183,AX187,AX191,AX195,AX199)</f>
        <v>13</v>
      </c>
      <c r="AY213" s="5"/>
      <c r="AZ213" s="31" t="str">
        <f t="shared" ref="AZ213:BA216" si="670">AZ151</f>
        <v>デジタルミニカメラ</v>
      </c>
      <c r="BA213" s="27">
        <f t="shared" si="670"/>
        <v>1075</v>
      </c>
      <c r="BB213" s="103">
        <f>SUM(BB151,BB155,BB159,BB163,BB167,BB171,BB176,BB179,BB183,BB187,BB191,BB195,BB199)</f>
        <v>13975</v>
      </c>
      <c r="BC213" s="92">
        <f>BB213/AT213</f>
        <v>0.25409090909090909</v>
      </c>
      <c r="BD213" s="29"/>
      <c r="BE213" s="105"/>
      <c r="BF213" s="157" t="s">
        <v>27</v>
      </c>
      <c r="BG213" s="157"/>
      <c r="BH213" s="103">
        <f>SUM(BH151,BH155,BH159,BH163,BH167,BH171,BH175,BH179,BH183,BH187,BH191,BH195,BH199)*100</f>
        <v>77200</v>
      </c>
      <c r="BI213" s="39"/>
      <c r="BJ213" s="5"/>
      <c r="BK213" s="16">
        <f>BH213/BL213</f>
        <v>25733.333333333332</v>
      </c>
      <c r="BL213" s="103">
        <f>SUM(BL151,BL155,BL159,BL163,BL168,BL171,BL176,BL179,BL183,BL187,BL191,BL195,BL199)</f>
        <v>3</v>
      </c>
      <c r="BM213" s="5"/>
      <c r="BN213" s="2" t="str">
        <f t="shared" ref="BN213:BO216" si="671">BN151</f>
        <v>ボンボンドロップシール</v>
      </c>
      <c r="BO213" s="4">
        <f t="shared" si="671"/>
        <v>1500</v>
      </c>
      <c r="BP213" s="103">
        <f>SUM(BP151,BP155,BP159,BP163,BP167,BP171,BP175,BP179,BP183,BP187,BP191,BP195,BP199)</f>
        <v>6000</v>
      </c>
      <c r="BQ213" s="92">
        <f>BP213/BH213</f>
        <v>7.7720207253886009E-2</v>
      </c>
      <c r="BR213" s="29"/>
      <c r="BT213" s="157" t="s">
        <v>27</v>
      </c>
      <c r="BU213" s="157"/>
      <c r="BV213" s="103">
        <f>SUM(BV151,BV155,BV159,BV163,BV167,BV171,BV175,BV179,BV183,BV187,BV191,BV195,BV199)*100</f>
        <v>73400</v>
      </c>
      <c r="BW213" s="39"/>
      <c r="BX213" s="5"/>
      <c r="BY213" s="16">
        <f>BV213/BZ213</f>
        <v>1561.7021276595744</v>
      </c>
      <c r="BZ213" s="103">
        <f>SUM(BZ151,BZ155,BZ159,BZ163,BZ168,BZ171,BZ176,BZ179,BZ183,BZ187,BZ191,BZ195,BZ199)</f>
        <v>47</v>
      </c>
      <c r="CA213" s="5"/>
      <c r="CB213" s="2" t="str">
        <f t="shared" ref="CB213:CC216" si="672">CB151</f>
        <v>ベイビースリーフェイス</v>
      </c>
      <c r="CC213" s="4">
        <f t="shared" si="672"/>
        <v>1050</v>
      </c>
      <c r="CD213" s="103">
        <f>SUM(CD151,CD155,CD159,CD163,CD167,CD171,CD175,CD179,CD183,CD187,CD191,CD195,CD199)</f>
        <v>55650</v>
      </c>
      <c r="CE213" s="92">
        <f>CD213/BV213</f>
        <v>0.75817438692098094</v>
      </c>
      <c r="CF213" s="29"/>
      <c r="CH213" s="14"/>
      <c r="CI213" s="39"/>
      <c r="CJ213" s="5"/>
      <c r="CK213" s="5"/>
      <c r="CL213" s="5"/>
      <c r="CM213" s="16"/>
      <c r="CN213" s="5"/>
      <c r="CO213" s="92"/>
      <c r="CP213" s="92"/>
      <c r="CQ213" s="5"/>
      <c r="CR213" s="5"/>
      <c r="CS213" s="5"/>
      <c r="CT213" s="29"/>
      <c r="CV213" s="14"/>
      <c r="CW213" s="39"/>
      <c r="CX213" s="5"/>
      <c r="CY213" s="5"/>
      <c r="CZ213" s="5"/>
      <c r="DA213" s="16"/>
      <c r="DB213" s="5"/>
      <c r="DC213" s="92"/>
      <c r="DD213" s="92"/>
      <c r="DE213" s="5"/>
      <c r="DF213" s="5"/>
      <c r="DG213" s="5"/>
      <c r="DH213" s="29"/>
      <c r="DJ213" s="14"/>
      <c r="DK213" s="39"/>
      <c r="DL213" s="5"/>
      <c r="DM213" s="5"/>
      <c r="DN213" s="5"/>
      <c r="DO213" s="16"/>
      <c r="DP213" s="5"/>
      <c r="DQ213" s="92"/>
      <c r="DR213" s="92"/>
      <c r="DS213" s="5"/>
      <c r="DT213" s="5"/>
      <c r="DU213" s="5"/>
      <c r="DV213" s="29"/>
      <c r="DX213" s="14"/>
      <c r="DY213" s="39"/>
      <c r="DZ213" s="5"/>
      <c r="EA213" s="5"/>
      <c r="EB213" s="5"/>
      <c r="EC213" s="16"/>
      <c r="ED213" s="5"/>
      <c r="EE213" s="92"/>
      <c r="EF213" s="92"/>
      <c r="EG213" s="5"/>
      <c r="EH213" s="5"/>
      <c r="EI213" s="5"/>
      <c r="EJ213" s="29"/>
      <c r="EL213" s="14"/>
      <c r="EM213" s="39"/>
      <c r="EN213" s="5"/>
      <c r="EO213" s="5"/>
      <c r="EP213" s="5"/>
      <c r="EQ213" s="16"/>
      <c r="ER213" s="5"/>
      <c r="ES213" s="92"/>
      <c r="ET213" s="92"/>
      <c r="EU213" s="5"/>
      <c r="EV213" s="5"/>
      <c r="EW213" s="5"/>
      <c r="EX213" s="29"/>
      <c r="EZ213" s="14"/>
      <c r="FA213" s="39"/>
      <c r="FB213" s="5"/>
      <c r="FC213" s="5"/>
      <c r="FD213" s="5"/>
      <c r="FE213" s="16"/>
      <c r="FF213" s="5"/>
      <c r="FG213" s="92"/>
      <c r="FH213" s="92"/>
      <c r="FI213" s="5"/>
      <c r="FJ213" s="5"/>
      <c r="FK213" s="5"/>
      <c r="FL213" s="29"/>
      <c r="FN213" s="14"/>
      <c r="FO213" s="39"/>
      <c r="FP213" s="5"/>
      <c r="FQ213" s="5"/>
      <c r="FR213" s="5"/>
      <c r="FS213" s="16"/>
      <c r="FT213" s="5"/>
      <c r="FU213" s="92"/>
      <c r="FV213" s="92"/>
      <c r="FW213" s="5"/>
      <c r="FX213" s="5"/>
      <c r="FY213" s="5"/>
      <c r="FZ213" s="29"/>
      <c r="GB213" s="14"/>
      <c r="GC213" s="39"/>
      <c r="GD213" s="5"/>
      <c r="GE213" s="5"/>
      <c r="GF213" s="5"/>
      <c r="GG213" s="16"/>
      <c r="GH213" s="5"/>
      <c r="GI213" s="92"/>
      <c r="GJ213" s="92"/>
      <c r="GK213" s="5"/>
      <c r="GL213" s="5"/>
      <c r="GM213" s="5"/>
      <c r="GN213" s="29"/>
      <c r="GP213" s="14"/>
      <c r="GQ213" s="39"/>
      <c r="GR213" s="5"/>
      <c r="GS213" s="5"/>
      <c r="GT213" s="5"/>
      <c r="GU213" s="5"/>
      <c r="GV213" s="5"/>
      <c r="GW213" s="16"/>
      <c r="GX213" s="5"/>
      <c r="GY213" s="92"/>
      <c r="GZ213" s="92"/>
      <c r="HA213" s="5"/>
      <c r="HB213" s="5"/>
      <c r="HC213" s="5"/>
      <c r="HD213" s="29"/>
      <c r="HF213" s="14"/>
      <c r="HG213" s="39"/>
      <c r="HH213" s="5"/>
      <c r="HI213" s="5"/>
      <c r="HJ213" s="29"/>
      <c r="HL213" s="14"/>
      <c r="HM213" s="39"/>
      <c r="HN213" s="5"/>
      <c r="HO213" s="5"/>
      <c r="HP213" s="29"/>
      <c r="HR213" s="14"/>
      <c r="HS213" s="39"/>
      <c r="HT213" s="5"/>
      <c r="HU213" s="5"/>
      <c r="HV213" s="29"/>
    </row>
    <row r="214" spans="1:230" x14ac:dyDescent="0.2">
      <c r="A214" s="157" t="s">
        <v>27</v>
      </c>
      <c r="B214" s="157"/>
      <c r="C214" s="157"/>
      <c r="D214" s="103">
        <f>SUM(D152,D156,D160,D164,D168,D172,D176,D180,D184,D188,D192,D196,D200)*100</f>
        <v>33400</v>
      </c>
      <c r="E214" s="39"/>
      <c r="F214" s="5"/>
      <c r="G214" s="16">
        <f>D214/H214</f>
        <v>2226.6666666666665</v>
      </c>
      <c r="H214" s="103">
        <f>SUM(H152,H156,H160,H164,H168,H172,H175,H180,H184,H188,H192,H196,H200)</f>
        <v>15</v>
      </c>
      <c r="I214" s="5"/>
      <c r="J214" s="2" t="str">
        <f t="shared" si="667"/>
        <v>チェキフィルム</v>
      </c>
      <c r="K214" s="27">
        <f t="shared" si="667"/>
        <v>358</v>
      </c>
      <c r="L214" s="103">
        <f>SUM(L152,L156,L160,L164,L168,L172,L175,L180,L184,L188,L192,L196,L200)</f>
        <v>3877</v>
      </c>
      <c r="M214" s="92">
        <f>L214/D214</f>
        <v>0.11607784431137724</v>
      </c>
      <c r="N214" s="29"/>
      <c r="O214" s="30"/>
      <c r="P214" s="157" t="s">
        <v>27</v>
      </c>
      <c r="Q214" s="157"/>
      <c r="R214" s="103">
        <f>SUM(R152,R156,R160,R164,R168,R172,R176,R180,R184,R188,R192,R196,R200)*100</f>
        <v>58200</v>
      </c>
      <c r="S214" s="39"/>
      <c r="T214" s="5"/>
      <c r="U214" s="16">
        <f>R214/V214</f>
        <v>3880</v>
      </c>
      <c r="V214" s="103">
        <f>SUM(V152,V156,V160,V164,V168,V172,V175,V180,V184,V188,V192,V196,V200)</f>
        <v>15</v>
      </c>
      <c r="W214" s="5"/>
      <c r="X214" s="31" t="str">
        <f t="shared" si="668"/>
        <v>サンリオヘアバンド</v>
      </c>
      <c r="Y214" s="27">
        <f t="shared" si="668"/>
        <v>825</v>
      </c>
      <c r="Z214" s="103">
        <f>SUM(Z152,Z156,Z160,Z164,Z168,Z172,Z175,Z180,Z184,Z188,Z192,Z196,Z200)</f>
        <v>12210</v>
      </c>
      <c r="AA214" s="92">
        <f>Z214/R214</f>
        <v>0.20979381443298969</v>
      </c>
      <c r="AB214" s="29"/>
      <c r="AD214" s="157" t="s">
        <v>27</v>
      </c>
      <c r="AE214" s="157"/>
      <c r="AF214" s="103">
        <f>SUM(AF152,AF156,AF160,AF164,AF168,AF172,AF176,AF180,AF184,AF188,AF192,AF196,AF200)*100</f>
        <v>83500</v>
      </c>
      <c r="AG214" s="39"/>
      <c r="AH214" s="5"/>
      <c r="AI214" s="16">
        <f>AF214/AJ214</f>
        <v>3630.4347826086955</v>
      </c>
      <c r="AJ214" s="103">
        <f>SUM(AJ152,AJ156,AJ160,AJ164,AJ168,AJ172,AJ175,AJ180,AJ184,AJ188,AJ192,AJ196,AJ200)</f>
        <v>23</v>
      </c>
      <c r="AK214" s="5"/>
      <c r="AL214" s="31" t="str">
        <f t="shared" si="669"/>
        <v>バタースクイーズ</v>
      </c>
      <c r="AM214" s="27">
        <f t="shared" si="669"/>
        <v>1100</v>
      </c>
      <c r="AN214" s="103">
        <f>SUM(AN152,AN156,AN160,AN164,AN168,AN172,AN175,AN180,AN184,AN188,AN192,AN196,AN200)</f>
        <v>23386</v>
      </c>
      <c r="AO214" s="92">
        <f>AN214/AF214</f>
        <v>0.28007185628742515</v>
      </c>
      <c r="AP214" s="29"/>
      <c r="AR214" s="157" t="s">
        <v>27</v>
      </c>
      <c r="AS214" s="157"/>
      <c r="AT214" s="103">
        <f>SUM(AT152,AT156,AT160,AT164,AT168,AT172,AT176,AT180,AT184,AT188,AT192,AT196,AT200)*100</f>
        <v>50000</v>
      </c>
      <c r="AU214" s="39"/>
      <c r="AV214" s="5"/>
      <c r="AW214" s="16">
        <f>AT214/AX214</f>
        <v>5555.5555555555557</v>
      </c>
      <c r="AX214" s="103">
        <f>SUM(AX152,AX156,AX160,AX164,AX168,AX172,AX175,AX180,AX184,AX188,AX192,AX196,AX200)</f>
        <v>9</v>
      </c>
      <c r="AY214" s="5"/>
      <c r="AZ214" s="31" t="str">
        <f t="shared" si="670"/>
        <v>ゲーム機イヤホン</v>
      </c>
      <c r="BA214" s="27">
        <f t="shared" si="670"/>
        <v>770</v>
      </c>
      <c r="BB214" s="103">
        <f>SUM(BB152,BB156,BB160,BB164,BB168,BB172,BB175,BB180,BB184,BB188,BB192,BB196,BB200)</f>
        <v>7845</v>
      </c>
      <c r="BC214" s="92">
        <f>BB214/AT214</f>
        <v>0.15690000000000001</v>
      </c>
      <c r="BD214" s="29"/>
      <c r="BE214" s="105"/>
      <c r="BF214" s="157" t="s">
        <v>27</v>
      </c>
      <c r="BG214" s="157"/>
      <c r="BH214" s="103">
        <f>SUM(BH152,BH156,BH160,BH164,BH168,BH172,BH176,BH180,BH184,BH188,BH192,BH196,BH200)*100</f>
        <v>126900</v>
      </c>
      <c r="BI214" s="39"/>
      <c r="BJ214" s="5"/>
      <c r="BK214" s="16">
        <f>BH214/BL214</f>
        <v>15862.5</v>
      </c>
      <c r="BL214" s="103">
        <f>SUM(BL152,BL156,BL160,BL164,BL168,BL172,BL175,BL180,BL184,BL188,BL192,BL196,BL200)</f>
        <v>8</v>
      </c>
      <c r="BM214" s="5"/>
      <c r="BN214" s="2" t="str">
        <f t="shared" si="671"/>
        <v>ボンボンドロップシール</v>
      </c>
      <c r="BO214" s="4">
        <f t="shared" si="671"/>
        <v>1500</v>
      </c>
      <c r="BP214" s="103">
        <f>SUM(BP152,BP156,BP160,BP164,BP168,BP172,BP175,BP180,BP184,BP188,BP192,BP196,BP200)</f>
        <v>12000</v>
      </c>
      <c r="BQ214" s="92">
        <f>BP214/BH214</f>
        <v>9.4562647754137114E-2</v>
      </c>
      <c r="BR214" s="29"/>
      <c r="BT214" s="157" t="s">
        <v>27</v>
      </c>
      <c r="BU214" s="157"/>
      <c r="BV214" s="103">
        <f>SUM(BV152,BV156,BV160,BV164,BV168,BV172,BV176,BV180,BV184,BV188,BV192,BV196,BV200)*100</f>
        <v>56600</v>
      </c>
      <c r="BW214" s="39"/>
      <c r="BX214" s="5"/>
      <c r="BY214" s="16">
        <f>BV214/BZ214</f>
        <v>7075</v>
      </c>
      <c r="BZ214" s="103">
        <f>SUM(BZ152,BZ156,BZ160,BZ164,BZ168,BZ172,BZ175,BZ180,BZ184,BZ188,BZ192,BZ196,BZ200)</f>
        <v>8</v>
      </c>
      <c r="CA214" s="5"/>
      <c r="CB214" s="2" t="str">
        <f t="shared" si="672"/>
        <v>サンリオボアポーチ</v>
      </c>
      <c r="CC214" s="4">
        <f t="shared" si="672"/>
        <v>950</v>
      </c>
      <c r="CD214" s="103">
        <f>SUM(CD152,CD156,CD160,CD164,CD168,CD172,CD175,CD180,CD184,CD188,CD192,CD196,CD200)</f>
        <v>7700</v>
      </c>
      <c r="CE214" s="92">
        <f>CD214/BV214</f>
        <v>0.13604240282685512</v>
      </c>
      <c r="CF214" s="29"/>
      <c r="CH214" s="14"/>
      <c r="CI214" s="5"/>
      <c r="CJ214" s="5"/>
      <c r="CK214" s="5"/>
      <c r="CL214" s="5"/>
      <c r="CM214" s="16"/>
      <c r="CN214" s="5"/>
      <c r="CO214" s="92"/>
      <c r="CP214" s="92"/>
      <c r="CQ214" s="5"/>
      <c r="CR214" s="5"/>
      <c r="CS214" s="5"/>
      <c r="CT214" s="29"/>
      <c r="CV214" s="14"/>
      <c r="CW214" s="5"/>
      <c r="CX214" s="5"/>
      <c r="CY214" s="5"/>
      <c r="CZ214" s="5"/>
      <c r="DA214" s="16"/>
      <c r="DB214" s="5"/>
      <c r="DC214" s="92"/>
      <c r="DD214" s="92"/>
      <c r="DE214" s="5"/>
      <c r="DF214" s="5"/>
      <c r="DG214" s="5"/>
      <c r="DH214" s="29"/>
      <c r="DJ214" s="14"/>
      <c r="DK214" s="5"/>
      <c r="DL214" s="5"/>
      <c r="DM214" s="5"/>
      <c r="DN214" s="5"/>
      <c r="DO214" s="16"/>
      <c r="DP214" s="5"/>
      <c r="DQ214" s="92"/>
      <c r="DR214" s="92"/>
      <c r="DS214" s="5"/>
      <c r="DT214" s="5"/>
      <c r="DU214" s="5"/>
      <c r="DV214" s="29"/>
      <c r="DX214" s="14"/>
      <c r="DY214" s="5"/>
      <c r="DZ214" s="5"/>
      <c r="EA214" s="5"/>
      <c r="EB214" s="5"/>
      <c r="EC214" s="16"/>
      <c r="ED214" s="5"/>
      <c r="EE214" s="92"/>
      <c r="EF214" s="92"/>
      <c r="EG214" s="5"/>
      <c r="EH214" s="5"/>
      <c r="EI214" s="5"/>
      <c r="EJ214" s="29"/>
      <c r="EL214" s="14"/>
      <c r="EM214" s="5"/>
      <c r="EN214" s="5"/>
      <c r="EO214" s="5"/>
      <c r="EP214" s="5"/>
      <c r="EQ214" s="16"/>
      <c r="ER214" s="5"/>
      <c r="ES214" s="92"/>
      <c r="ET214" s="92"/>
      <c r="EU214" s="5"/>
      <c r="EV214" s="5"/>
      <c r="EW214" s="5"/>
      <c r="EX214" s="29"/>
      <c r="EZ214" s="14"/>
      <c r="FA214" s="5"/>
      <c r="FB214" s="5"/>
      <c r="FC214" s="5"/>
      <c r="FD214" s="5"/>
      <c r="FE214" s="16"/>
      <c r="FF214" s="5"/>
      <c r="FG214" s="92"/>
      <c r="FH214" s="92"/>
      <c r="FI214" s="5"/>
      <c r="FJ214" s="5"/>
      <c r="FK214" s="5"/>
      <c r="FL214" s="29"/>
      <c r="FN214" s="14"/>
      <c r="FO214" s="5"/>
      <c r="FP214" s="5"/>
      <c r="FQ214" s="5"/>
      <c r="FR214" s="5"/>
      <c r="FS214" s="16"/>
      <c r="FT214" s="5"/>
      <c r="FU214" s="92"/>
      <c r="FV214" s="92"/>
      <c r="FW214" s="5"/>
      <c r="FX214" s="5"/>
      <c r="FY214" s="5"/>
      <c r="FZ214" s="29"/>
      <c r="GB214" s="14"/>
      <c r="GC214" s="5"/>
      <c r="GD214" s="5"/>
      <c r="GE214" s="5"/>
      <c r="GF214" s="5"/>
      <c r="GG214" s="16"/>
      <c r="GH214" s="5"/>
      <c r="GI214" s="92"/>
      <c r="GJ214" s="92"/>
      <c r="GK214" s="5"/>
      <c r="GL214" s="5"/>
      <c r="GM214" s="5"/>
      <c r="GN214" s="29"/>
      <c r="GP214" s="14"/>
      <c r="GQ214" s="5"/>
      <c r="GR214" s="5"/>
      <c r="GS214" s="5"/>
      <c r="GT214" s="5"/>
      <c r="GU214" s="5"/>
      <c r="GV214" s="5"/>
      <c r="GW214" s="16"/>
      <c r="GX214" s="5"/>
      <c r="GY214" s="92"/>
      <c r="GZ214" s="92"/>
      <c r="HA214" s="5"/>
      <c r="HB214" s="5"/>
      <c r="HC214" s="5"/>
      <c r="HD214" s="29"/>
      <c r="HF214" s="14"/>
      <c r="HG214" s="5"/>
      <c r="HH214" s="5"/>
      <c r="HI214" s="5"/>
      <c r="HJ214" s="29"/>
      <c r="HL214" s="14"/>
      <c r="HM214" s="5"/>
      <c r="HN214" s="5"/>
      <c r="HO214" s="5"/>
      <c r="HP214" s="29"/>
      <c r="HR214" s="14"/>
      <c r="HS214" s="5"/>
      <c r="HT214" s="5"/>
      <c r="HU214" s="5"/>
      <c r="HV214" s="29"/>
    </row>
    <row r="215" spans="1:230" x14ac:dyDescent="0.2">
      <c r="A215" s="157" t="s">
        <v>27</v>
      </c>
      <c r="B215" s="157"/>
      <c r="C215" s="157"/>
      <c r="D215" s="103">
        <f>SUM(D153,D157,D161,D165,D169,D173,D177,D181,D185,D189,D193,D197,D201)*100</f>
        <v>44900</v>
      </c>
      <c r="E215" s="39"/>
      <c r="F215" s="5"/>
      <c r="G215" s="16">
        <f>D215/H215</f>
        <v>2245</v>
      </c>
      <c r="H215" s="103">
        <f>SUM(H153,H157,H161,H166,H169,H173,H177,H181,H185,H189,H193,H197,H201)</f>
        <v>20</v>
      </c>
      <c r="I215" s="5"/>
      <c r="J215" s="2" t="str">
        <f t="shared" si="667"/>
        <v>アングリーキーホルダー</v>
      </c>
      <c r="K215" s="27">
        <f t="shared" si="667"/>
        <v>100</v>
      </c>
      <c r="L215" s="103">
        <f>SUM(L153,L157,L161,L166,L169,L173,L177,L181,L185,L189,L193,L197,L201)</f>
        <v>10500</v>
      </c>
      <c r="M215" s="92">
        <f>L215/D215</f>
        <v>0.23385300668151449</v>
      </c>
      <c r="N215" s="29"/>
      <c r="O215" s="30"/>
      <c r="P215" s="157" t="s">
        <v>27</v>
      </c>
      <c r="Q215" s="157"/>
      <c r="R215" s="103">
        <f>SUM(R153,R157,R161,R165,R169,R173,R177,R181,R185,R189,R193,R197,R201)*100</f>
        <v>26100</v>
      </c>
      <c r="S215" s="39"/>
      <c r="T215" s="5"/>
      <c r="U215" s="16">
        <f>R215/V215</f>
        <v>1864.2857142857142</v>
      </c>
      <c r="V215" s="103">
        <f>SUM(V153,V157,V161,V166,V169,V173,V177,V181,V185,V189,V193,V197,V201)</f>
        <v>14</v>
      </c>
      <c r="W215" s="5"/>
      <c r="X215" s="31" t="str">
        <f t="shared" si="668"/>
        <v>ギャルキティマスコット</v>
      </c>
      <c r="Y215" s="27">
        <f t="shared" si="668"/>
        <v>638</v>
      </c>
      <c r="Z215" s="103">
        <f>SUM(Z153,Z157,Z161,Z166,Z169,Z173,Z177,Z181,Z185,Z189,Z193,Z197,Z201)</f>
        <v>7468</v>
      </c>
      <c r="AA215" s="92">
        <f>Z215/R215</f>
        <v>0.28613026819923371</v>
      </c>
      <c r="AB215" s="29"/>
      <c r="AD215" s="157" t="s">
        <v>27</v>
      </c>
      <c r="AE215" s="157"/>
      <c r="AF215" s="103">
        <f>SUM(AF153,AF157,AF161,AF165,AF169,AF173,AF177,AF181,AF185,AF189,AF193,AF197,AF201)*100</f>
        <v>45900</v>
      </c>
      <c r="AG215" s="39"/>
      <c r="AH215" s="5"/>
      <c r="AI215" s="16">
        <f>AF215/AJ215</f>
        <v>2868.75</v>
      </c>
      <c r="AJ215" s="103">
        <f>SUM(AJ153,AJ157,AJ161,AJ166,AJ169,AJ173,AJ177,AJ181,AJ185,AJ189,AJ193,AJ197,AJ201)</f>
        <v>16</v>
      </c>
      <c r="AK215" s="5"/>
      <c r="AL215" s="31" t="str">
        <f t="shared" si="669"/>
        <v>たまごっちマスコット</v>
      </c>
      <c r="AM215" s="27">
        <f t="shared" si="669"/>
        <v>1430</v>
      </c>
      <c r="AN215" s="103">
        <f>SUM(AN153,AN157,AN161,AN166,AN169,AN173,AN177,AN181,AN185,AN189,AN193,AN197,AN201)</f>
        <v>20656</v>
      </c>
      <c r="AO215" s="92">
        <f>AN215/AF215</f>
        <v>0.45002178649237473</v>
      </c>
      <c r="AP215" s="29"/>
      <c r="AR215" s="157" t="s">
        <v>27</v>
      </c>
      <c r="AS215" s="157"/>
      <c r="AT215" s="103">
        <f>SUM(AT153,AT157,AT161,AT165,AT169,AT173,AT177,AT181,AT185,AT189,AT193,AT197,AT201)*100</f>
        <v>32200</v>
      </c>
      <c r="AU215" s="39"/>
      <c r="AV215" s="5"/>
      <c r="AW215" s="16">
        <f>AT215/AX215</f>
        <v>6440</v>
      </c>
      <c r="AX215" s="103">
        <f>SUM(AX153,AX157,AX161,AX166,AX169,AX173,AX177,AX181,AX185,AX189,AX193,AX197,AX201)</f>
        <v>5</v>
      </c>
      <c r="AY215" s="5"/>
      <c r="AZ215" s="31" t="str">
        <f t="shared" si="670"/>
        <v>ゲームアーク</v>
      </c>
      <c r="BA215" s="27">
        <f t="shared" si="670"/>
        <v>682</v>
      </c>
      <c r="BB215" s="103">
        <f>SUM(BB153,BB157,BB161,BB166,BB169,BB173,BB177,BB181,BB185,BB189,BB193,BB197,BB201)</f>
        <v>1694</v>
      </c>
      <c r="BC215" s="92">
        <f>BB215/AT215</f>
        <v>5.2608695652173916E-2</v>
      </c>
      <c r="BD215" s="29"/>
      <c r="BE215" s="105"/>
      <c r="BF215" s="157" t="s">
        <v>27</v>
      </c>
      <c r="BG215" s="157"/>
      <c r="BH215" s="103">
        <f>SUM(BH153,BH157,BH161,BH165,BH169,BH173,BH177,BH181,BH185,BH189,BH193,BH197,BH201)*100</f>
        <v>116000</v>
      </c>
      <c r="BI215" s="39"/>
      <c r="BJ215" s="5"/>
      <c r="BK215" s="16">
        <f>BH215/BL215</f>
        <v>14500</v>
      </c>
      <c r="BL215" s="103">
        <f>SUM(BL153,BL157,BL161,BL165,BL169,BL173,BL177,BL181,BL185,BL189,BL193,BL197,BL201)</f>
        <v>8</v>
      </c>
      <c r="BM215" s="5"/>
      <c r="BN215" s="2" t="str">
        <f t="shared" si="671"/>
        <v>ボンボンドロップシール</v>
      </c>
      <c r="BO215" s="4">
        <f t="shared" si="671"/>
        <v>1500</v>
      </c>
      <c r="BP215" s="103">
        <f>SUM(BP153,BP157,BP161,BP165,BP169,BP173,BP177,BP181,BP185,BP189,BP193,BP197,BP201)</f>
        <v>9900</v>
      </c>
      <c r="BQ215" s="92">
        <f>BP215/BH215</f>
        <v>8.5344827586206901E-2</v>
      </c>
      <c r="BR215" s="29"/>
      <c r="BT215" s="157" t="s">
        <v>27</v>
      </c>
      <c r="BU215" s="157"/>
      <c r="BV215" s="103">
        <f>SUM(BV153,BV157,BV161,BV165,BV169,BV173,BV177,BV181,BV185,BV189,BV193,BV197,BV201)*100</f>
        <v>0</v>
      </c>
      <c r="BW215" s="39"/>
      <c r="BX215" s="5"/>
      <c r="BY215" s="16" t="e">
        <f>BV215/BZ215</f>
        <v>#DIV/0!</v>
      </c>
      <c r="BZ215" s="103">
        <f>SUM(BZ153,BZ157,BZ161,BZ165,BZ169,BZ173,BZ177,BZ181,BZ185,BZ189,BZ193,BZ197,BZ201)</f>
        <v>0</v>
      </c>
      <c r="CA215" s="5"/>
      <c r="CB215" s="2">
        <f t="shared" si="672"/>
        <v>0</v>
      </c>
      <c r="CC215" s="4">
        <f t="shared" si="672"/>
        <v>0</v>
      </c>
      <c r="CD215" s="103">
        <f>SUM(CD153,CD157,CD161,CD165,CD169,CD173,CD177,CD181,CD185,CD189,CD193,CD197,CD201)</f>
        <v>0</v>
      </c>
      <c r="CE215" s="92" t="e">
        <f>CD215/BV215</f>
        <v>#DIV/0!</v>
      </c>
      <c r="CF215" s="29"/>
      <c r="CH215" s="14"/>
      <c r="CI215" s="154"/>
      <c r="CJ215" s="154"/>
      <c r="CK215" s="106"/>
      <c r="CL215" s="5"/>
      <c r="CM215" s="16"/>
      <c r="CN215" s="5"/>
      <c r="CO215" s="92"/>
      <c r="CP215" s="92"/>
      <c r="CQ215" s="5"/>
      <c r="CR215" s="5"/>
      <c r="CS215" s="5"/>
      <c r="CT215" s="29"/>
      <c r="CV215" s="14"/>
      <c r="CW215" s="154"/>
      <c r="CX215" s="154"/>
      <c r="CY215" s="106"/>
      <c r="CZ215" s="5"/>
      <c r="DA215" s="16"/>
      <c r="DB215" s="5"/>
      <c r="DC215" s="92"/>
      <c r="DD215" s="92"/>
      <c r="DE215" s="5"/>
      <c r="DF215" s="5"/>
      <c r="DG215" s="5"/>
      <c r="DH215" s="29"/>
      <c r="DJ215" s="14"/>
      <c r="DK215" s="154"/>
      <c r="DL215" s="154"/>
      <c r="DM215" s="106"/>
      <c r="DN215" s="5"/>
      <c r="DO215" s="16"/>
      <c r="DP215" s="5"/>
      <c r="DQ215" s="92"/>
      <c r="DR215" s="92"/>
      <c r="DS215" s="5"/>
      <c r="DT215" s="5"/>
      <c r="DU215" s="5"/>
      <c r="DV215" s="29"/>
      <c r="DX215" s="14"/>
      <c r="DY215" s="154"/>
      <c r="DZ215" s="154"/>
      <c r="EA215" s="106"/>
      <c r="EB215" s="5"/>
      <c r="EC215" s="16"/>
      <c r="ED215" s="5"/>
      <c r="EE215" s="92"/>
      <c r="EF215" s="92"/>
      <c r="EG215" s="5"/>
      <c r="EH215" s="5"/>
      <c r="EI215" s="5"/>
      <c r="EJ215" s="29"/>
      <c r="EL215" s="14"/>
      <c r="EM215" s="154"/>
      <c r="EN215" s="154"/>
      <c r="EO215" s="106"/>
      <c r="EP215" s="5"/>
      <c r="EQ215" s="16"/>
      <c r="ER215" s="5"/>
      <c r="ES215" s="92"/>
      <c r="ET215" s="92"/>
      <c r="EU215" s="5"/>
      <c r="EV215" s="5"/>
      <c r="EW215" s="5"/>
      <c r="EX215" s="29"/>
      <c r="EZ215" s="14"/>
      <c r="FA215" s="154"/>
      <c r="FB215" s="154"/>
      <c r="FC215" s="106"/>
      <c r="FD215" s="5"/>
      <c r="FE215" s="16"/>
      <c r="FF215" s="5"/>
      <c r="FG215" s="92"/>
      <c r="FH215" s="92"/>
      <c r="FI215" s="5"/>
      <c r="FJ215" s="5"/>
      <c r="FK215" s="5"/>
      <c r="FL215" s="29"/>
      <c r="FN215" s="14"/>
      <c r="FO215" s="154"/>
      <c r="FP215" s="154"/>
      <c r="FQ215" s="106"/>
      <c r="FR215" s="5"/>
      <c r="FS215" s="16"/>
      <c r="FT215" s="5"/>
      <c r="FU215" s="92"/>
      <c r="FV215" s="92"/>
      <c r="FW215" s="5"/>
      <c r="FX215" s="5"/>
      <c r="FY215" s="5"/>
      <c r="FZ215" s="29"/>
      <c r="GB215" s="14"/>
      <c r="GC215" s="154"/>
      <c r="GD215" s="154"/>
      <c r="GE215" s="106"/>
      <c r="GF215" s="5"/>
      <c r="GG215" s="16"/>
      <c r="GH215" s="5"/>
      <c r="GI215" s="92"/>
      <c r="GJ215" s="92"/>
      <c r="GK215" s="5"/>
      <c r="GL215" s="5"/>
      <c r="GM215" s="5"/>
      <c r="GN215" s="29"/>
      <c r="GP215" s="14"/>
      <c r="GQ215" s="154"/>
      <c r="GR215" s="154"/>
      <c r="GS215" s="21"/>
      <c r="GT215" s="21"/>
      <c r="GU215" s="106"/>
      <c r="GV215" s="5"/>
      <c r="GW215" s="16"/>
      <c r="GX215" s="5"/>
      <c r="GY215" s="92"/>
      <c r="GZ215" s="92"/>
      <c r="HA215" s="5"/>
      <c r="HB215" s="5"/>
      <c r="HC215" s="5"/>
      <c r="HD215" s="29"/>
      <c r="HF215" s="14"/>
      <c r="HG215" s="154"/>
      <c r="HH215" s="154"/>
      <c r="HI215" s="106"/>
      <c r="HJ215" s="29"/>
      <c r="HL215" s="14"/>
      <c r="HM215" s="154"/>
      <c r="HN215" s="154"/>
      <c r="HO215" s="106"/>
      <c r="HP215" s="29"/>
      <c r="HR215" s="14"/>
      <c r="HS215" s="154"/>
      <c r="HT215" s="154"/>
      <c r="HU215" s="106"/>
      <c r="HV215" s="29"/>
    </row>
    <row r="216" spans="1:230" ht="15" customHeight="1" thickBot="1" x14ac:dyDescent="0.25">
      <c r="A216" s="157" t="s">
        <v>27</v>
      </c>
      <c r="B216" s="157"/>
      <c r="C216" s="157"/>
      <c r="D216" s="103">
        <f>SUM(D154,D158,D162,D166,D170,D174,D178,D182,D186,D190,D194,D198,D202)*100</f>
        <v>87900</v>
      </c>
      <c r="E216" s="39"/>
      <c r="F216" s="5"/>
      <c r="G216" s="16">
        <f>D216/H216</f>
        <v>5170.588235294118</v>
      </c>
      <c r="H216" s="103">
        <f>SUM(H154,H158,H162,H165,H170,H174,H178,H182,H186,H190,H194,H198,H202)</f>
        <v>17</v>
      </c>
      <c r="I216" s="5"/>
      <c r="J216" s="2" t="str">
        <f t="shared" si="667"/>
        <v>パステルケーキ</v>
      </c>
      <c r="K216" s="27">
        <f t="shared" si="667"/>
        <v>187</v>
      </c>
      <c r="L216" s="103">
        <f>SUM(L154,L158,L162,L165,L170,L174,L178,L182,L186,L190,L194,L198,L202)</f>
        <v>2830</v>
      </c>
      <c r="M216" s="92">
        <f>L216/D216</f>
        <v>3.2195676905574518E-2</v>
      </c>
      <c r="N216" s="29"/>
      <c r="O216" s="30"/>
      <c r="P216" s="157" t="s">
        <v>27</v>
      </c>
      <c r="Q216" s="157"/>
      <c r="R216" s="103">
        <f>SUM(R154,R158,R162,R166,R170,R174,R178,R182,R186,R190,R194,R198,R202)*100</f>
        <v>33200</v>
      </c>
      <c r="S216" s="39"/>
      <c r="T216" s="5"/>
      <c r="U216" s="16">
        <f>R216/V216</f>
        <v>1509.090909090909</v>
      </c>
      <c r="V216" s="103">
        <f>SUM(V154,V158,V162,V165,V170,V174,V178,V182,V186,V190,V194,V198,V202)</f>
        <v>22</v>
      </c>
      <c r="W216" s="5"/>
      <c r="X216" s="31" t="str">
        <f t="shared" si="668"/>
        <v>オーロラブレスレット</v>
      </c>
      <c r="Y216" s="27">
        <f t="shared" si="668"/>
        <v>350</v>
      </c>
      <c r="Z216" s="103">
        <f>SUM(Z154,Z158,Z162,Z165,Z170,Z174,Z178,Z182,Z186,Z190,Z194,Z198,Z202)</f>
        <v>5276</v>
      </c>
      <c r="AA216" s="92">
        <f>Z216/R216</f>
        <v>0.15891566265060242</v>
      </c>
      <c r="AB216" s="29"/>
      <c r="AD216" s="157" t="s">
        <v>27</v>
      </c>
      <c r="AE216" s="157"/>
      <c r="AF216" s="103">
        <f>SUM(AF154,AF158,AF162,AF166,AF170,AF174,AF178,AF182,AF186,AF190,AF194,AF198,AF202)*100</f>
        <v>23600</v>
      </c>
      <c r="AG216" s="39"/>
      <c r="AH216" s="5"/>
      <c r="AI216" s="16">
        <f>AF216/AJ216</f>
        <v>2622.2222222222222</v>
      </c>
      <c r="AJ216" s="103">
        <f>SUM(AJ154,AJ158,AJ162,AJ165,AJ170,AJ174,AJ178,AJ182,AJ186,AJ190,AJ194,AJ198,AJ202)</f>
        <v>9</v>
      </c>
      <c r="AK216" s="5"/>
      <c r="AL216" s="31" t="str">
        <f t="shared" si="669"/>
        <v>キティボールペン</v>
      </c>
      <c r="AM216" s="27">
        <f t="shared" si="669"/>
        <v>283</v>
      </c>
      <c r="AN216" s="103">
        <f>SUM(AN154,AN158,AN162,AN165,AN170,AN174,AN178,AN182,AN186,AN190,AN194,AN198,AN202)</f>
        <v>3694</v>
      </c>
      <c r="AO216" s="92">
        <f>AN216/AF216</f>
        <v>0.15652542372881356</v>
      </c>
      <c r="AP216" s="29"/>
      <c r="AR216" s="157" t="s">
        <v>27</v>
      </c>
      <c r="AS216" s="157"/>
      <c r="AT216" s="103">
        <f>SUM(AT154,AT158,AT162,AT166,AT170,AT174,AT178,AT182,AT186,AT190,AT194,AT198,AT202)*100</f>
        <v>42600</v>
      </c>
      <c r="AU216" s="39"/>
      <c r="AV216" s="5"/>
      <c r="AW216" s="16">
        <f>AT216/AX216</f>
        <v>2505.8823529411766</v>
      </c>
      <c r="AX216" s="103">
        <f>SUM(AX154,AX158,AX162,AX165,AX170,AX174,AX178,AX182,AX186,AX190,AX194,AX198,AX202)</f>
        <v>17</v>
      </c>
      <c r="AY216" s="5"/>
      <c r="AZ216" s="31" t="str">
        <f t="shared" si="670"/>
        <v>しばこ</v>
      </c>
      <c r="BA216" s="27">
        <f t="shared" si="670"/>
        <v>110</v>
      </c>
      <c r="BB216" s="103">
        <f>SUM(BB154,BB158,BB162,BB165,BB170,BB174,BB178,BB182,BB186,BB190,BB194,BB198,BB202)</f>
        <v>1870</v>
      </c>
      <c r="BC216" s="92">
        <f>BB216/AT216</f>
        <v>4.3896713615023474E-2</v>
      </c>
      <c r="BD216" s="29"/>
      <c r="BE216" s="105"/>
      <c r="BF216" s="157" t="s">
        <v>27</v>
      </c>
      <c r="BG216" s="157"/>
      <c r="BH216" s="103">
        <f>SUM(BH154,BH158,BH162,BH166,BH170,BH174,BH178,BH182,BH186,BH190,BH194,BH198,BH202)*100</f>
        <v>104100</v>
      </c>
      <c r="BI216" s="39"/>
      <c r="BJ216" s="5"/>
      <c r="BK216" s="16">
        <f>BH216/BL216</f>
        <v>9463.636363636364</v>
      </c>
      <c r="BL216" s="103">
        <f>SUM(BL154,BL158,BL162,BL166,BL170,BL174,BL178,BL182,BL186,BL190,BL194,BL198,BL202)</f>
        <v>11</v>
      </c>
      <c r="BM216" s="5"/>
      <c r="BN216" s="2" t="str">
        <f t="shared" si="671"/>
        <v>ボンボンドロップシール</v>
      </c>
      <c r="BO216" s="4">
        <f t="shared" si="671"/>
        <v>1500</v>
      </c>
      <c r="BP216" s="103">
        <f>SUM(BP154,BP158,BP162,BP166,BP170,BP174,BP178,BP182,BP186,BP190,BP194,BP198,BP202)</f>
        <v>16500</v>
      </c>
      <c r="BQ216" s="92">
        <f>BP216/BH216</f>
        <v>0.15850144092219021</v>
      </c>
      <c r="BR216" s="29"/>
      <c r="BT216" s="157" t="s">
        <v>27</v>
      </c>
      <c r="BU216" s="157"/>
      <c r="BV216" s="103">
        <f>SUM(BV154,BV158,BV162,BV166,BV170,BV174,BV178,BV182,BV186,BV190,BV194,BV198,BV202)*100</f>
        <v>0</v>
      </c>
      <c r="BW216" s="39"/>
      <c r="BX216" s="5"/>
      <c r="BY216" s="16" t="e">
        <f>BV216/BZ216</f>
        <v>#DIV/0!</v>
      </c>
      <c r="BZ216" s="103">
        <f>SUM(BZ154,BZ158,BZ162,BZ166,BZ170,BZ174,BZ178,BZ182,BZ186,BZ190,BZ194,BZ198,BZ202)</f>
        <v>0</v>
      </c>
      <c r="CA216" s="5"/>
      <c r="CB216" s="2">
        <f t="shared" si="672"/>
        <v>0</v>
      </c>
      <c r="CC216" s="4">
        <f t="shared" si="672"/>
        <v>0</v>
      </c>
      <c r="CD216" s="103">
        <f>SUM(CD154,CD158,CD162,CD166,CD170,CD174,CD178,CD182,CD186,CD190,CD194,CD198,CD202)</f>
        <v>0</v>
      </c>
      <c r="CE216" s="92" t="e">
        <f>CD216/BV216</f>
        <v>#DIV/0!</v>
      </c>
      <c r="CF216" s="29"/>
      <c r="CH216" s="14"/>
      <c r="CI216" s="154"/>
      <c r="CJ216" s="154"/>
      <c r="CK216" s="5"/>
      <c r="CL216" s="5"/>
      <c r="CM216" s="16"/>
      <c r="CN216" s="5"/>
      <c r="CO216" s="92"/>
      <c r="CP216" s="92"/>
      <c r="CQ216" s="36"/>
      <c r="CR216" s="36"/>
      <c r="CS216" s="36"/>
      <c r="CT216" s="29"/>
      <c r="CV216" s="14"/>
      <c r="CW216" s="154"/>
      <c r="CX216" s="154"/>
      <c r="CY216" s="5"/>
      <c r="CZ216" s="5"/>
      <c r="DA216" s="16"/>
      <c r="DB216" s="5"/>
      <c r="DC216" s="92"/>
      <c r="DD216" s="92"/>
      <c r="DE216" s="36"/>
      <c r="DF216" s="36"/>
      <c r="DG216" s="36"/>
      <c r="DH216" s="29"/>
      <c r="DJ216" s="14"/>
      <c r="DK216" s="154"/>
      <c r="DL216" s="154"/>
      <c r="DM216" s="5"/>
      <c r="DN216" s="5"/>
      <c r="DO216" s="16"/>
      <c r="DP216" s="5"/>
      <c r="DQ216" s="92"/>
      <c r="DR216" s="92"/>
      <c r="DS216" s="36"/>
      <c r="DT216" s="36"/>
      <c r="DU216" s="36"/>
      <c r="DV216" s="29"/>
      <c r="DX216" s="14"/>
      <c r="DY216" s="154"/>
      <c r="DZ216" s="154"/>
      <c r="EA216" s="5"/>
      <c r="EB216" s="5"/>
      <c r="EC216" s="16"/>
      <c r="ED216" s="5"/>
      <c r="EE216" s="92"/>
      <c r="EF216" s="92"/>
      <c r="EG216" s="36"/>
      <c r="EH216" s="36"/>
      <c r="EI216" s="36"/>
      <c r="EJ216" s="29"/>
      <c r="EL216" s="14"/>
      <c r="EM216" s="154"/>
      <c r="EN216" s="154"/>
      <c r="EO216" s="5"/>
      <c r="EP216" s="5"/>
      <c r="EQ216" s="16"/>
      <c r="ER216" s="5"/>
      <c r="ES216" s="92"/>
      <c r="ET216" s="92"/>
      <c r="EU216" s="36"/>
      <c r="EV216" s="36"/>
      <c r="EW216" s="36"/>
      <c r="EX216" s="29"/>
      <c r="EZ216" s="14"/>
      <c r="FA216" s="154"/>
      <c r="FB216" s="154"/>
      <c r="FC216" s="5"/>
      <c r="FD216" s="5"/>
      <c r="FE216" s="16"/>
      <c r="FF216" s="5"/>
      <c r="FG216" s="92"/>
      <c r="FH216" s="92"/>
      <c r="FI216" s="36"/>
      <c r="FJ216" s="36"/>
      <c r="FK216" s="36"/>
      <c r="FL216" s="29"/>
      <c r="FN216" s="14"/>
      <c r="FO216" s="154"/>
      <c r="FP216" s="154"/>
      <c r="FQ216" s="5"/>
      <c r="FR216" s="5"/>
      <c r="FS216" s="16"/>
      <c r="FT216" s="5"/>
      <c r="FU216" s="92"/>
      <c r="FV216" s="92"/>
      <c r="FW216" s="36"/>
      <c r="FX216" s="36"/>
      <c r="FY216" s="36"/>
      <c r="FZ216" s="29"/>
      <c r="GB216" s="14"/>
      <c r="GC216" s="154"/>
      <c r="GD216" s="154"/>
      <c r="GE216" s="5"/>
      <c r="GF216" s="5"/>
      <c r="GG216" s="16"/>
      <c r="GH216" s="5"/>
      <c r="GI216" s="92"/>
      <c r="GJ216" s="92"/>
      <c r="GK216" s="36"/>
      <c r="GL216" s="36"/>
      <c r="GM216" s="36"/>
      <c r="GN216" s="29"/>
      <c r="GP216" s="14"/>
      <c r="GQ216" s="154"/>
      <c r="GR216" s="154"/>
      <c r="GS216" s="21"/>
      <c r="GT216" s="21"/>
      <c r="GU216" s="5"/>
      <c r="GV216" s="5"/>
      <c r="GW216" s="16"/>
      <c r="GX216" s="5"/>
      <c r="GY216" s="92"/>
      <c r="GZ216" s="92"/>
      <c r="HA216" s="36"/>
      <c r="HB216" s="36"/>
      <c r="HC216" s="36"/>
      <c r="HD216" s="29"/>
      <c r="HF216" s="14"/>
      <c r="HG216" s="154"/>
      <c r="HH216" s="154"/>
      <c r="HI216" s="5"/>
      <c r="HJ216" s="29"/>
      <c r="HL216" s="14"/>
      <c r="HM216" s="154"/>
      <c r="HN216" s="154"/>
      <c r="HO216" s="5"/>
      <c r="HP216" s="29"/>
      <c r="HR216" s="14"/>
      <c r="HS216" s="154"/>
      <c r="HT216" s="154"/>
      <c r="HU216" s="5"/>
      <c r="HV216" s="29"/>
    </row>
    <row r="217" spans="1:230" ht="15" customHeight="1" thickTop="1" x14ac:dyDescent="0.2">
      <c r="A217" s="25"/>
      <c r="B217" s="37"/>
      <c r="C217" s="16" t="s">
        <v>20</v>
      </c>
      <c r="D217" s="5">
        <f>SUM(D213:D216)</f>
        <v>192900</v>
      </c>
      <c r="E217" s="39"/>
      <c r="F217" s="5"/>
      <c r="G217" s="5"/>
      <c r="H217" s="5">
        <f>SUM(H213:H216)</f>
        <v>64</v>
      </c>
      <c r="I217" s="5"/>
      <c r="J217" s="156" t="s">
        <v>28</v>
      </c>
      <c r="K217" s="156"/>
      <c r="L217" s="4">
        <f>SUM(L213:L216)</f>
        <v>23059</v>
      </c>
      <c r="M217" s="107">
        <f>L217/D217</f>
        <v>0.11953862104717471</v>
      </c>
      <c r="N217" s="34"/>
      <c r="O217" s="30"/>
      <c r="P217" s="25"/>
      <c r="Q217" s="16" t="s">
        <v>20</v>
      </c>
      <c r="R217" s="5">
        <f>SUM(R213:R216)</f>
        <v>183600</v>
      </c>
      <c r="S217" s="39"/>
      <c r="T217" s="5"/>
      <c r="U217" s="5"/>
      <c r="V217" s="5">
        <f>SUM(V213:V216)</f>
        <v>65</v>
      </c>
      <c r="W217" s="5"/>
      <c r="X217" s="156" t="s">
        <v>28</v>
      </c>
      <c r="Y217" s="156"/>
      <c r="Z217" s="4">
        <f>SUM(Z213:Z216)</f>
        <v>34524</v>
      </c>
      <c r="AA217" s="107">
        <f>Z217/R217</f>
        <v>0.18803921568627452</v>
      </c>
      <c r="AB217" s="29"/>
      <c r="AD217" s="25"/>
      <c r="AE217" s="16" t="s">
        <v>20</v>
      </c>
      <c r="AF217" s="5">
        <f>SUM(AF213:AF216)</f>
        <v>211900</v>
      </c>
      <c r="AG217" s="39"/>
      <c r="AH217" s="5"/>
      <c r="AI217" s="5"/>
      <c r="AJ217" s="5">
        <f>SUM(AJ213:AJ216)</f>
        <v>58</v>
      </c>
      <c r="AK217" s="5"/>
      <c r="AL217" s="156" t="s">
        <v>28</v>
      </c>
      <c r="AM217" s="156"/>
      <c r="AN217" s="4">
        <f>SUM(AN213:AN216)</f>
        <v>52356</v>
      </c>
      <c r="AO217" s="107">
        <f>AN217/AF217</f>
        <v>0.24707881075979235</v>
      </c>
      <c r="AP217" s="29"/>
      <c r="AR217" s="25"/>
      <c r="AS217" s="16" t="s">
        <v>20</v>
      </c>
      <c r="AT217" s="5">
        <f>SUM(AT213:AT216)</f>
        <v>179800</v>
      </c>
      <c r="AU217" s="39"/>
      <c r="AV217" s="5"/>
      <c r="AW217" s="5"/>
      <c r="AX217" s="5">
        <f>SUM(AX213:AX216)</f>
        <v>44</v>
      </c>
      <c r="AY217" s="5"/>
      <c r="AZ217" s="156" t="s">
        <v>28</v>
      </c>
      <c r="BA217" s="156"/>
      <c r="BB217" s="4">
        <f>SUM(BB213:BB216)</f>
        <v>25384</v>
      </c>
      <c r="BC217" s="107">
        <f>BB217/AT217</f>
        <v>0.14117908787541714</v>
      </c>
      <c r="BD217" s="29"/>
      <c r="BE217" s="32"/>
      <c r="BF217" s="25"/>
      <c r="BG217" s="16" t="s">
        <v>20</v>
      </c>
      <c r="BH217" s="5">
        <f>SUM(BH213:BH216)</f>
        <v>424200</v>
      </c>
      <c r="BI217" s="5"/>
      <c r="BJ217" s="5"/>
      <c r="BK217" s="5"/>
      <c r="BL217" s="5">
        <f>SUM(BL213:BL216)</f>
        <v>30</v>
      </c>
      <c r="BM217" s="5"/>
      <c r="BN217" s="155" t="s">
        <v>28</v>
      </c>
      <c r="BO217" s="155"/>
      <c r="BP217" s="4">
        <f>SUM(BP213:BP216)</f>
        <v>44400</v>
      </c>
      <c r="BQ217" s="107">
        <f>BP217/BH217</f>
        <v>0.10466760961810467</v>
      </c>
      <c r="BR217" s="29"/>
      <c r="BT217" s="25"/>
      <c r="BU217" s="16" t="s">
        <v>20</v>
      </c>
      <c r="BV217" s="5">
        <f>SUM(BV213:BV216)</f>
        <v>130000</v>
      </c>
      <c r="BW217" s="5"/>
      <c r="BX217" s="5"/>
      <c r="BY217" s="5"/>
      <c r="BZ217" s="5">
        <f>SUM(BZ213:BZ216)</f>
        <v>55</v>
      </c>
      <c r="CA217" s="5"/>
      <c r="CB217" s="155" t="s">
        <v>28</v>
      </c>
      <c r="CC217" s="155"/>
      <c r="CD217" s="4">
        <f>SUM(CD213:CD216)</f>
        <v>63350</v>
      </c>
      <c r="CE217" s="107">
        <f>CD217/BV217</f>
        <v>0.48730769230769233</v>
      </c>
      <c r="CF217" s="29"/>
      <c r="CH217" s="14"/>
      <c r="CI217" s="154"/>
      <c r="CJ217" s="154"/>
      <c r="CK217" s="92"/>
      <c r="CL217" s="5"/>
      <c r="CM217" s="16"/>
      <c r="CN217" s="5"/>
      <c r="CO217" s="92"/>
      <c r="CP217" s="92"/>
      <c r="CQ217" s="36"/>
      <c r="CR217" s="36"/>
      <c r="CS217" s="36"/>
      <c r="CT217" s="29"/>
      <c r="CV217" s="14"/>
      <c r="CW217" s="154"/>
      <c r="CX217" s="154"/>
      <c r="CY217" s="92"/>
      <c r="CZ217" s="5"/>
      <c r="DA217" s="16"/>
      <c r="DB217" s="5"/>
      <c r="DC217" s="92"/>
      <c r="DD217" s="92"/>
      <c r="DE217" s="36"/>
      <c r="DF217" s="36"/>
      <c r="DG217" s="36"/>
      <c r="DH217" s="29"/>
      <c r="DJ217" s="14"/>
      <c r="DK217" s="154"/>
      <c r="DL217" s="154"/>
      <c r="DM217" s="92"/>
      <c r="DN217" s="5"/>
      <c r="DO217" s="16"/>
      <c r="DP217" s="5"/>
      <c r="DQ217" s="92"/>
      <c r="DR217" s="92"/>
      <c r="DS217" s="36"/>
      <c r="DT217" s="36"/>
      <c r="DU217" s="36"/>
      <c r="DV217" s="29"/>
      <c r="DX217" s="14"/>
      <c r="DY217" s="154"/>
      <c r="DZ217" s="154"/>
      <c r="EA217" s="92"/>
      <c r="EB217" s="5"/>
      <c r="EC217" s="16"/>
      <c r="ED217" s="5"/>
      <c r="EE217" s="92"/>
      <c r="EF217" s="92"/>
      <c r="EG217" s="36"/>
      <c r="EH217" s="36"/>
      <c r="EI217" s="36"/>
      <c r="EJ217" s="29"/>
      <c r="EL217" s="14"/>
      <c r="EM217" s="154"/>
      <c r="EN217" s="154"/>
      <c r="EO217" s="92"/>
      <c r="EP217" s="5"/>
      <c r="EQ217" s="16"/>
      <c r="ER217" s="5"/>
      <c r="ES217" s="92"/>
      <c r="ET217" s="92"/>
      <c r="EU217" s="36"/>
      <c r="EV217" s="36"/>
      <c r="EW217" s="36"/>
      <c r="EX217" s="29"/>
      <c r="EZ217" s="14"/>
      <c r="FA217" s="154"/>
      <c r="FB217" s="154"/>
      <c r="FC217" s="92"/>
      <c r="FD217" s="5"/>
      <c r="FE217" s="16"/>
      <c r="FF217" s="5"/>
      <c r="FG217" s="92"/>
      <c r="FH217" s="92"/>
      <c r="FI217" s="36"/>
      <c r="FJ217" s="36"/>
      <c r="FK217" s="36"/>
      <c r="FL217" s="29"/>
      <c r="FN217" s="14"/>
      <c r="FO217" s="154"/>
      <c r="FP217" s="154"/>
      <c r="FQ217" s="92"/>
      <c r="FR217" s="5"/>
      <c r="FS217" s="16"/>
      <c r="FT217" s="5"/>
      <c r="FU217" s="92"/>
      <c r="FV217" s="92"/>
      <c r="FW217" s="36"/>
      <c r="FX217" s="36"/>
      <c r="FY217" s="36"/>
      <c r="FZ217" s="29"/>
      <c r="GB217" s="14"/>
      <c r="GC217" s="154"/>
      <c r="GD217" s="154"/>
      <c r="GE217" s="92"/>
      <c r="GF217" s="5"/>
      <c r="GG217" s="16"/>
      <c r="GH217" s="5"/>
      <c r="GI217" s="92"/>
      <c r="GJ217" s="92"/>
      <c r="GK217" s="36"/>
      <c r="GL217" s="36"/>
      <c r="GM217" s="36"/>
      <c r="GN217" s="29"/>
      <c r="GP217" s="14"/>
      <c r="GQ217" s="154"/>
      <c r="GR217" s="154"/>
      <c r="GS217" s="21"/>
      <c r="GT217" s="21"/>
      <c r="GU217" s="92"/>
      <c r="GV217" s="5"/>
      <c r="GW217" s="16"/>
      <c r="GX217" s="5"/>
      <c r="GY217" s="92"/>
      <c r="GZ217" s="92"/>
      <c r="HA217" s="36"/>
      <c r="HB217" s="36"/>
      <c r="HC217" s="36"/>
      <c r="HD217" s="29"/>
      <c r="HF217" s="14"/>
      <c r="HG217" s="154"/>
      <c r="HH217" s="154"/>
      <c r="HI217" s="92"/>
      <c r="HJ217" s="29"/>
      <c r="HL217" s="14"/>
      <c r="HM217" s="154"/>
      <c r="HN217" s="154"/>
      <c r="HO217" s="92"/>
      <c r="HP217" s="29"/>
      <c r="HR217" s="14"/>
      <c r="HS217" s="154"/>
      <c r="HT217" s="154"/>
      <c r="HU217" s="92"/>
      <c r="HV217" s="29"/>
    </row>
    <row r="218" spans="1:230" x14ac:dyDescent="0.2">
      <c r="A218" s="108"/>
      <c r="J218" s="110"/>
      <c r="K218" s="13"/>
      <c r="N218" s="111"/>
      <c r="O218" s="30"/>
      <c r="P218" s="108"/>
      <c r="X218" s="1"/>
      <c r="AB218" s="111"/>
      <c r="AD218" s="108"/>
      <c r="AL218" s="1"/>
      <c r="AP218" s="111"/>
      <c r="AR218" s="108"/>
      <c r="AZ218" s="1"/>
      <c r="BD218" s="111"/>
      <c r="CH218" s="112"/>
      <c r="CV218" s="112"/>
      <c r="DJ218" s="112"/>
      <c r="DX218" s="112"/>
      <c r="EL218" s="112"/>
      <c r="EZ218" s="112"/>
      <c r="FN218" s="112"/>
      <c r="GB218" s="112"/>
      <c r="GP218" s="112"/>
      <c r="HF218" s="112"/>
      <c r="HL218" s="112"/>
      <c r="HR218" s="112"/>
    </row>
    <row r="219" spans="1:230" ht="15" customHeight="1" x14ac:dyDescent="0.2">
      <c r="B219" s="146" t="s">
        <v>287</v>
      </c>
      <c r="C219" s="147"/>
      <c r="D219" s="148" t="s">
        <v>288</v>
      </c>
      <c r="E219" s="149"/>
      <c r="F219" s="148" t="s">
        <v>289</v>
      </c>
      <c r="G219" s="149"/>
      <c r="K219" s="13"/>
      <c r="CH219" s="112"/>
      <c r="CV219" s="112"/>
      <c r="DJ219" s="112"/>
      <c r="DX219" s="112"/>
      <c r="EL219" s="112"/>
      <c r="EZ219" s="112"/>
      <c r="FN219" s="112"/>
      <c r="GB219" s="112"/>
      <c r="GP219" s="112"/>
      <c r="HF219" s="112"/>
      <c r="HL219" s="112"/>
      <c r="HR219" s="112"/>
    </row>
    <row r="220" spans="1:230" x14ac:dyDescent="0.2">
      <c r="B220" s="150">
        <f>B211/A212*A211</f>
        <v>2198500</v>
      </c>
      <c r="C220" s="151"/>
      <c r="D220" s="152">
        <f>L207+Z207+BB207+CN209+DB209+DP209+ED209+ER209+FF209+FT209+GH209+BP207+CD207+GX209+AN207</f>
        <v>420209</v>
      </c>
      <c r="E220" s="153"/>
      <c r="F220" s="152">
        <f>K210+Y210</f>
        <v>0</v>
      </c>
      <c r="G220" s="153"/>
      <c r="K220" s="13"/>
      <c r="CH220" s="112"/>
      <c r="CV220" s="112"/>
      <c r="DJ220" s="112"/>
      <c r="DX220" s="112"/>
      <c r="EL220" s="112"/>
      <c r="EZ220" s="112"/>
      <c r="FN220" s="112"/>
      <c r="GB220" s="112"/>
      <c r="GP220" s="112"/>
      <c r="HF220" s="112"/>
      <c r="HL220" s="112"/>
      <c r="HR220" s="112"/>
    </row>
    <row r="221" spans="1:230" x14ac:dyDescent="0.2">
      <c r="B221" s="113"/>
      <c r="C221" s="113"/>
      <c r="D221" s="23" t="s">
        <v>290</v>
      </c>
      <c r="E221" s="114">
        <f>D220/B211</f>
        <v>0.19113440982488061</v>
      </c>
      <c r="F221" s="5"/>
      <c r="G221" s="5"/>
      <c r="K221" s="13"/>
      <c r="CH221" s="112"/>
      <c r="CV221" s="112"/>
      <c r="DJ221" s="112"/>
      <c r="DX221" s="112"/>
      <c r="EL221" s="112"/>
      <c r="EZ221" s="112"/>
      <c r="FN221" s="112"/>
      <c r="GB221" s="112"/>
      <c r="GP221" s="112"/>
      <c r="HF221" s="112"/>
      <c r="HL221" s="112"/>
      <c r="HR221" s="112"/>
    </row>
    <row r="222" spans="1:230" x14ac:dyDescent="0.2">
      <c r="E222" s="30"/>
      <c r="F222" s="30"/>
      <c r="G222" s="30"/>
      <c r="H222" s="30"/>
      <c r="K222" s="13"/>
    </row>
    <row r="223" spans="1:230" ht="19.5" customHeight="1" x14ac:dyDescent="0.2">
      <c r="A223" s="162" t="s">
        <v>244</v>
      </c>
      <c r="B223" s="162"/>
      <c r="C223" s="162"/>
      <c r="D223" s="162"/>
      <c r="E223" s="166" t="s">
        <v>0</v>
      </c>
      <c r="F223" s="166"/>
      <c r="G223" s="166"/>
      <c r="H223" s="166"/>
      <c r="I223" s="6"/>
      <c r="J223" s="7"/>
      <c r="K223" s="6"/>
      <c r="L223" s="6"/>
      <c r="M223" s="6"/>
      <c r="N223" s="8"/>
      <c r="O223" s="9"/>
      <c r="P223" s="162" t="s">
        <v>244</v>
      </c>
      <c r="Q223" s="162"/>
      <c r="R223" s="162"/>
      <c r="S223" s="166" t="s">
        <v>1</v>
      </c>
      <c r="T223" s="166"/>
      <c r="U223" s="166"/>
      <c r="V223" s="166"/>
      <c r="W223" s="6"/>
      <c r="X223" s="10"/>
      <c r="Y223" s="6"/>
      <c r="Z223" s="6"/>
      <c r="AA223" s="6"/>
      <c r="AB223" s="8"/>
      <c r="AC223" s="6"/>
      <c r="AD223" s="162" t="s">
        <v>244</v>
      </c>
      <c r="AE223" s="162"/>
      <c r="AF223" s="162"/>
      <c r="AG223" s="166" t="s">
        <v>38</v>
      </c>
      <c r="AH223" s="166"/>
      <c r="AI223" s="166"/>
      <c r="AJ223" s="166"/>
      <c r="AK223" s="6"/>
      <c r="AL223" s="10"/>
      <c r="AM223" s="6"/>
      <c r="AN223" s="6"/>
      <c r="AO223" s="6"/>
      <c r="AP223" s="8"/>
      <c r="AQ223" s="6"/>
      <c r="AR223" s="162" t="s">
        <v>244</v>
      </c>
      <c r="AS223" s="162"/>
      <c r="AT223" s="162"/>
      <c r="AU223" s="166" t="s">
        <v>39</v>
      </c>
      <c r="AV223" s="166"/>
      <c r="AW223" s="166"/>
      <c r="AX223" s="166"/>
      <c r="AY223" s="6"/>
      <c r="AZ223" s="10"/>
      <c r="BA223" s="6"/>
      <c r="BB223" s="6"/>
      <c r="BC223" s="6"/>
      <c r="BD223" s="8"/>
      <c r="BE223" s="11"/>
      <c r="BF223" s="162" t="s">
        <v>244</v>
      </c>
      <c r="BG223" s="162"/>
      <c r="BH223" s="162"/>
      <c r="BI223" s="165" t="s">
        <v>245</v>
      </c>
      <c r="BJ223" s="165"/>
      <c r="BK223" s="165"/>
      <c r="BL223" s="165"/>
      <c r="BM223" s="11"/>
      <c r="BN223" s="11"/>
      <c r="BO223" s="11"/>
      <c r="BP223" s="11"/>
      <c r="BQ223" s="11"/>
      <c r="BR223" s="11"/>
      <c r="BS223" s="6"/>
      <c r="BT223" s="162" t="s">
        <v>244</v>
      </c>
      <c r="BU223" s="162"/>
      <c r="BV223" s="162"/>
      <c r="BW223" s="165" t="s">
        <v>246</v>
      </c>
      <c r="BX223" s="165"/>
      <c r="BY223" s="165"/>
      <c r="BZ223" s="165"/>
      <c r="CA223" s="11"/>
      <c r="CB223" s="11"/>
      <c r="CC223" s="11"/>
      <c r="CD223" s="11"/>
      <c r="CE223" s="11"/>
      <c r="CF223" s="11"/>
      <c r="CG223" s="6"/>
      <c r="CH223" s="162" t="s">
        <v>244</v>
      </c>
      <c r="CI223" s="162"/>
      <c r="CJ223" s="162"/>
      <c r="CK223" s="162" t="s">
        <v>247</v>
      </c>
      <c r="CL223" s="162"/>
      <c r="CM223" s="162"/>
      <c r="CN223" s="162"/>
      <c r="CO223" s="11"/>
      <c r="CP223" s="11"/>
      <c r="CQ223" s="11"/>
      <c r="CR223" s="11"/>
      <c r="CS223" s="11"/>
      <c r="CT223" s="11"/>
      <c r="CU223" s="6"/>
      <c r="CV223" s="162" t="s">
        <v>244</v>
      </c>
      <c r="CW223" s="162"/>
      <c r="CX223" s="162"/>
      <c r="CY223" s="162" t="s">
        <v>248</v>
      </c>
      <c r="CZ223" s="162"/>
      <c r="DA223" s="162"/>
      <c r="DB223" s="162"/>
      <c r="DC223" s="11"/>
      <c r="DD223" s="11"/>
      <c r="DE223" s="11"/>
      <c r="DF223" s="11"/>
      <c r="DG223" s="11"/>
      <c r="DH223" s="11"/>
      <c r="DI223" s="6"/>
      <c r="DJ223" s="162" t="s">
        <v>244</v>
      </c>
      <c r="DK223" s="162"/>
      <c r="DL223" s="162"/>
      <c r="DM223" s="162" t="s">
        <v>249</v>
      </c>
      <c r="DN223" s="162"/>
      <c r="DO223" s="162"/>
      <c r="DP223" s="162"/>
      <c r="DQ223" s="11"/>
      <c r="DR223" s="11"/>
      <c r="DS223" s="11"/>
      <c r="DT223" s="11"/>
      <c r="DU223" s="11"/>
      <c r="DV223" s="11"/>
      <c r="DW223" s="6"/>
      <c r="DX223" s="162" t="s">
        <v>244</v>
      </c>
      <c r="DY223" s="162"/>
      <c r="DZ223" s="162"/>
      <c r="EA223" s="162" t="s">
        <v>250</v>
      </c>
      <c r="EB223" s="162"/>
      <c r="EC223" s="162"/>
      <c r="ED223" s="162"/>
      <c r="EE223" s="11"/>
      <c r="EF223" s="11"/>
      <c r="EG223" s="11"/>
      <c r="EH223" s="11"/>
      <c r="EI223" s="11"/>
      <c r="EJ223" s="11"/>
      <c r="EK223" s="6"/>
      <c r="EL223" s="162" t="s">
        <v>244</v>
      </c>
      <c r="EM223" s="162"/>
      <c r="EN223" s="162"/>
      <c r="EO223" s="162" t="s">
        <v>251</v>
      </c>
      <c r="EP223" s="162"/>
      <c r="EQ223" s="162"/>
      <c r="ER223" s="162"/>
      <c r="ES223" s="11"/>
      <c r="ET223" s="11"/>
      <c r="EU223" s="11"/>
      <c r="EV223" s="11"/>
      <c r="EW223" s="11"/>
      <c r="EX223" s="11"/>
      <c r="EY223" s="6"/>
      <c r="EZ223" s="162" t="s">
        <v>244</v>
      </c>
      <c r="FA223" s="162"/>
      <c r="FB223" s="162"/>
      <c r="FC223" s="162" t="s">
        <v>252</v>
      </c>
      <c r="FD223" s="162"/>
      <c r="FE223" s="162"/>
      <c r="FF223" s="162"/>
      <c r="FG223" s="11"/>
      <c r="FH223" s="11"/>
      <c r="FI223" s="11"/>
      <c r="FJ223" s="11"/>
      <c r="FK223" s="11"/>
      <c r="FL223" s="11"/>
      <c r="FM223" s="6"/>
      <c r="FN223" s="162" t="s">
        <v>244</v>
      </c>
      <c r="FO223" s="162"/>
      <c r="FP223" s="162"/>
      <c r="FQ223" s="162" t="s">
        <v>111</v>
      </c>
      <c r="FR223" s="162"/>
      <c r="FS223" s="162"/>
      <c r="FT223" s="162"/>
      <c r="FU223" s="11"/>
      <c r="FV223" s="11"/>
      <c r="FW223" s="11"/>
      <c r="FX223" s="11"/>
      <c r="FY223" s="11"/>
      <c r="FZ223" s="11"/>
      <c r="GA223" s="6"/>
      <c r="GB223" s="162" t="s">
        <v>244</v>
      </c>
      <c r="GC223" s="162"/>
      <c r="GD223" s="162"/>
      <c r="GE223" s="162" t="s">
        <v>253</v>
      </c>
      <c r="GF223" s="162"/>
      <c r="GG223" s="162"/>
      <c r="GH223" s="162"/>
      <c r="GI223" s="11"/>
      <c r="GJ223" s="11"/>
      <c r="GK223" s="11"/>
      <c r="GL223" s="11"/>
      <c r="GM223" s="11"/>
      <c r="GN223" s="11"/>
      <c r="GO223" s="6"/>
      <c r="GP223" s="162" t="s">
        <v>244</v>
      </c>
      <c r="GQ223" s="162"/>
      <c r="GR223" s="162"/>
      <c r="GS223" s="12"/>
      <c r="GT223" s="12"/>
      <c r="GU223" s="162" t="s">
        <v>254</v>
      </c>
      <c r="GV223" s="162"/>
      <c r="GW223" s="162"/>
      <c r="GX223" s="162"/>
      <c r="GY223" s="11"/>
      <c r="GZ223" s="11"/>
      <c r="HA223" s="11"/>
      <c r="HB223" s="11"/>
      <c r="HC223" s="11"/>
      <c r="HD223" s="11"/>
      <c r="HF223" s="162" t="s">
        <v>244</v>
      </c>
      <c r="HG223" s="162"/>
      <c r="HH223" s="162" t="s">
        <v>314</v>
      </c>
      <c r="HI223" s="162"/>
      <c r="HJ223" s="162"/>
      <c r="HL223" s="162" t="s">
        <v>244</v>
      </c>
      <c r="HM223" s="162"/>
      <c r="HN223" s="162" t="s">
        <v>256</v>
      </c>
      <c r="HO223" s="162"/>
      <c r="HP223" s="162"/>
      <c r="HR223" s="162" t="s">
        <v>244</v>
      </c>
      <c r="HS223" s="162"/>
      <c r="HT223" s="162" t="s">
        <v>257</v>
      </c>
      <c r="HU223" s="162"/>
      <c r="HV223" s="162"/>
    </row>
    <row r="224" spans="1:230" x14ac:dyDescent="0.2">
      <c r="A224" s="14" t="s">
        <v>2</v>
      </c>
      <c r="B224" s="15" t="s">
        <v>258</v>
      </c>
      <c r="C224" s="16" t="s">
        <v>3</v>
      </c>
      <c r="D224" s="16" t="s">
        <v>4</v>
      </c>
      <c r="E224" s="17" t="s">
        <v>5</v>
      </c>
      <c r="F224" s="16" t="s">
        <v>4</v>
      </c>
      <c r="G224" s="16" t="s">
        <v>6</v>
      </c>
      <c r="H224" s="16" t="s">
        <v>7</v>
      </c>
      <c r="I224" s="16" t="s">
        <v>8</v>
      </c>
      <c r="J224" s="17" t="s">
        <v>9</v>
      </c>
      <c r="K224" s="16" t="s">
        <v>10</v>
      </c>
      <c r="L224" s="16" t="s">
        <v>7</v>
      </c>
      <c r="M224" s="16" t="s">
        <v>11</v>
      </c>
      <c r="N224" s="16" t="s">
        <v>12</v>
      </c>
      <c r="O224" s="18"/>
      <c r="P224" s="14" t="s">
        <v>2</v>
      </c>
      <c r="Q224" s="16" t="s">
        <v>3</v>
      </c>
      <c r="R224" s="16" t="s">
        <v>4</v>
      </c>
      <c r="S224" s="17" t="s">
        <v>5</v>
      </c>
      <c r="T224" s="16" t="s">
        <v>4</v>
      </c>
      <c r="U224" s="16" t="s">
        <v>6</v>
      </c>
      <c r="V224" s="16" t="s">
        <v>7</v>
      </c>
      <c r="W224" s="16" t="s">
        <v>8</v>
      </c>
      <c r="X224" s="19" t="s">
        <v>9</v>
      </c>
      <c r="Y224" s="16" t="s">
        <v>10</v>
      </c>
      <c r="Z224" s="16" t="s">
        <v>7</v>
      </c>
      <c r="AA224" s="16" t="s">
        <v>11</v>
      </c>
      <c r="AB224" s="16" t="s">
        <v>12</v>
      </c>
      <c r="AD224" s="14" t="s">
        <v>2</v>
      </c>
      <c r="AE224" s="16" t="s">
        <v>3</v>
      </c>
      <c r="AF224" s="16" t="s">
        <v>4</v>
      </c>
      <c r="AG224" s="17" t="s">
        <v>5</v>
      </c>
      <c r="AH224" s="16" t="s">
        <v>4</v>
      </c>
      <c r="AI224" s="16" t="s">
        <v>6</v>
      </c>
      <c r="AJ224" s="16" t="s">
        <v>7</v>
      </c>
      <c r="AK224" s="16" t="s">
        <v>8</v>
      </c>
      <c r="AL224" s="19" t="s">
        <v>9</v>
      </c>
      <c r="AM224" s="16" t="s">
        <v>10</v>
      </c>
      <c r="AN224" s="16" t="s">
        <v>7</v>
      </c>
      <c r="AO224" s="16" t="s">
        <v>11</v>
      </c>
      <c r="AP224" s="16" t="s">
        <v>12</v>
      </c>
      <c r="AR224" s="14" t="s">
        <v>2</v>
      </c>
      <c r="AS224" s="16" t="s">
        <v>3</v>
      </c>
      <c r="AT224" s="16" t="s">
        <v>4</v>
      </c>
      <c r="AU224" s="17" t="s">
        <v>5</v>
      </c>
      <c r="AV224" s="16" t="s">
        <v>4</v>
      </c>
      <c r="AW224" s="16" t="s">
        <v>6</v>
      </c>
      <c r="AX224" s="16" t="s">
        <v>7</v>
      </c>
      <c r="AY224" s="16" t="s">
        <v>8</v>
      </c>
      <c r="AZ224" s="19" t="s">
        <v>9</v>
      </c>
      <c r="BA224" s="16" t="s">
        <v>10</v>
      </c>
      <c r="BB224" s="16" t="s">
        <v>7</v>
      </c>
      <c r="BC224" s="16" t="s">
        <v>11</v>
      </c>
      <c r="BD224" s="16" t="s">
        <v>12</v>
      </c>
      <c r="BE224" s="20"/>
      <c r="BF224" s="14" t="s">
        <v>2</v>
      </c>
      <c r="BG224" s="16" t="s">
        <v>3</v>
      </c>
      <c r="BH224" s="16" t="s">
        <v>4</v>
      </c>
      <c r="BI224" s="17" t="s">
        <v>5</v>
      </c>
      <c r="BJ224" s="16" t="s">
        <v>4</v>
      </c>
      <c r="BK224" s="16" t="s">
        <v>6</v>
      </c>
      <c r="BL224" s="16" t="s">
        <v>7</v>
      </c>
      <c r="BM224" s="16" t="s">
        <v>8</v>
      </c>
      <c r="BN224" s="16" t="s">
        <v>9</v>
      </c>
      <c r="BO224" s="16" t="s">
        <v>10</v>
      </c>
      <c r="BP224" s="16" t="s">
        <v>7</v>
      </c>
      <c r="BQ224" s="16" t="s">
        <v>11</v>
      </c>
      <c r="BR224" s="16" t="s">
        <v>12</v>
      </c>
      <c r="BT224" s="14" t="s">
        <v>2</v>
      </c>
      <c r="BU224" s="16" t="s">
        <v>3</v>
      </c>
      <c r="BV224" s="16" t="s">
        <v>4</v>
      </c>
      <c r="BW224" s="17" t="s">
        <v>5</v>
      </c>
      <c r="BX224" s="16" t="s">
        <v>4</v>
      </c>
      <c r="BY224" s="16" t="s">
        <v>6</v>
      </c>
      <c r="BZ224" s="16" t="s">
        <v>7</v>
      </c>
      <c r="CA224" s="16" t="s">
        <v>8</v>
      </c>
      <c r="CB224" s="16" t="s">
        <v>9</v>
      </c>
      <c r="CC224" s="16" t="s">
        <v>10</v>
      </c>
      <c r="CD224" s="16" t="s">
        <v>7</v>
      </c>
      <c r="CE224" s="16" t="s">
        <v>11</v>
      </c>
      <c r="CF224" s="16" t="s">
        <v>12</v>
      </c>
      <c r="CH224" s="24" t="s">
        <v>2</v>
      </c>
      <c r="CI224" s="16" t="s">
        <v>3</v>
      </c>
      <c r="CJ224" s="16" t="s">
        <v>4</v>
      </c>
      <c r="CK224" s="17" t="s">
        <v>5</v>
      </c>
      <c r="CL224" s="16" t="s">
        <v>4</v>
      </c>
      <c r="CM224" s="16" t="s">
        <v>6</v>
      </c>
      <c r="CN224" s="16" t="s">
        <v>7</v>
      </c>
      <c r="CO224" s="16" t="s">
        <v>8</v>
      </c>
      <c r="CP224" s="16"/>
      <c r="CQ224" s="16" t="s">
        <v>10</v>
      </c>
      <c r="CR224" s="16" t="s">
        <v>32</v>
      </c>
      <c r="CS224" s="16" t="s">
        <v>33</v>
      </c>
      <c r="CT224" s="16" t="s">
        <v>12</v>
      </c>
      <c r="CV224" s="24" t="s">
        <v>2</v>
      </c>
      <c r="CW224" s="16" t="s">
        <v>3</v>
      </c>
      <c r="CX224" s="16" t="s">
        <v>4</v>
      </c>
      <c r="CY224" s="17" t="s">
        <v>5</v>
      </c>
      <c r="CZ224" s="16" t="s">
        <v>4</v>
      </c>
      <c r="DA224" s="16" t="s">
        <v>6</v>
      </c>
      <c r="DB224" s="16" t="s">
        <v>7</v>
      </c>
      <c r="DC224" s="16" t="s">
        <v>8</v>
      </c>
      <c r="DD224" s="16"/>
      <c r="DE224" s="16" t="s">
        <v>10</v>
      </c>
      <c r="DF224" s="16" t="s">
        <v>32</v>
      </c>
      <c r="DG224" s="16" t="s">
        <v>33</v>
      </c>
      <c r="DH224" s="16" t="s">
        <v>12</v>
      </c>
      <c r="DJ224" s="24" t="s">
        <v>2</v>
      </c>
      <c r="DK224" s="16" t="s">
        <v>3</v>
      </c>
      <c r="DL224" s="16" t="s">
        <v>4</v>
      </c>
      <c r="DM224" s="17" t="s">
        <v>5</v>
      </c>
      <c r="DN224" s="16" t="s">
        <v>4</v>
      </c>
      <c r="DO224" s="16" t="s">
        <v>6</v>
      </c>
      <c r="DP224" s="16" t="s">
        <v>7</v>
      </c>
      <c r="DQ224" s="16" t="s">
        <v>8</v>
      </c>
      <c r="DR224" s="16"/>
      <c r="DS224" s="16" t="s">
        <v>10</v>
      </c>
      <c r="DT224" s="16" t="s">
        <v>32</v>
      </c>
      <c r="DU224" s="16" t="s">
        <v>33</v>
      </c>
      <c r="DV224" s="16" t="s">
        <v>12</v>
      </c>
      <c r="DX224" s="24" t="s">
        <v>2</v>
      </c>
      <c r="DY224" s="16" t="s">
        <v>3</v>
      </c>
      <c r="DZ224" s="16" t="s">
        <v>4</v>
      </c>
      <c r="EA224" s="17" t="s">
        <v>5</v>
      </c>
      <c r="EB224" s="16" t="s">
        <v>4</v>
      </c>
      <c r="EC224" s="16" t="s">
        <v>6</v>
      </c>
      <c r="ED224" s="16" t="s">
        <v>7</v>
      </c>
      <c r="EE224" s="16" t="s">
        <v>8</v>
      </c>
      <c r="EF224" s="16"/>
      <c r="EG224" s="16" t="s">
        <v>10</v>
      </c>
      <c r="EH224" s="16" t="s">
        <v>32</v>
      </c>
      <c r="EI224" s="16" t="s">
        <v>33</v>
      </c>
      <c r="EJ224" s="16" t="s">
        <v>12</v>
      </c>
      <c r="EL224" s="24" t="s">
        <v>2</v>
      </c>
      <c r="EM224" s="16" t="s">
        <v>3</v>
      </c>
      <c r="EN224" s="16" t="s">
        <v>4</v>
      </c>
      <c r="EO224" s="17" t="s">
        <v>5</v>
      </c>
      <c r="EP224" s="16" t="s">
        <v>4</v>
      </c>
      <c r="EQ224" s="16" t="s">
        <v>6</v>
      </c>
      <c r="ER224" s="16" t="s">
        <v>7</v>
      </c>
      <c r="ES224" s="16" t="s">
        <v>8</v>
      </c>
      <c r="ET224" s="16"/>
      <c r="EU224" s="16" t="s">
        <v>10</v>
      </c>
      <c r="EV224" s="16" t="s">
        <v>32</v>
      </c>
      <c r="EW224" s="16" t="s">
        <v>33</v>
      </c>
      <c r="EX224" s="16" t="s">
        <v>12</v>
      </c>
      <c r="EZ224" s="24" t="s">
        <v>2</v>
      </c>
      <c r="FA224" s="16" t="s">
        <v>3</v>
      </c>
      <c r="FB224" s="16" t="s">
        <v>4</v>
      </c>
      <c r="FC224" s="17" t="s">
        <v>5</v>
      </c>
      <c r="FD224" s="16" t="s">
        <v>4</v>
      </c>
      <c r="FE224" s="16" t="s">
        <v>6</v>
      </c>
      <c r="FF224" s="16" t="s">
        <v>7</v>
      </c>
      <c r="FG224" s="16" t="s">
        <v>8</v>
      </c>
      <c r="FH224" s="16"/>
      <c r="FI224" s="16" t="s">
        <v>10</v>
      </c>
      <c r="FJ224" s="16" t="s">
        <v>32</v>
      </c>
      <c r="FK224" s="16" t="s">
        <v>33</v>
      </c>
      <c r="FL224" s="16" t="s">
        <v>12</v>
      </c>
      <c r="FN224" s="24" t="s">
        <v>2</v>
      </c>
      <c r="FO224" s="16" t="s">
        <v>3</v>
      </c>
      <c r="FP224" s="16" t="s">
        <v>4</v>
      </c>
      <c r="FQ224" s="17" t="s">
        <v>5</v>
      </c>
      <c r="FR224" s="16" t="s">
        <v>4</v>
      </c>
      <c r="FS224" s="16" t="s">
        <v>6</v>
      </c>
      <c r="FT224" s="16" t="s">
        <v>7</v>
      </c>
      <c r="FU224" s="16" t="s">
        <v>8</v>
      </c>
      <c r="FV224" s="16"/>
      <c r="FW224" s="16" t="s">
        <v>10</v>
      </c>
      <c r="FX224" s="16" t="s">
        <v>32</v>
      </c>
      <c r="FY224" s="16" t="s">
        <v>33</v>
      </c>
      <c r="FZ224" s="16" t="s">
        <v>12</v>
      </c>
      <c r="GB224" s="24" t="s">
        <v>2</v>
      </c>
      <c r="GC224" s="16" t="s">
        <v>3</v>
      </c>
      <c r="GD224" s="16" t="s">
        <v>4</v>
      </c>
      <c r="GE224" s="17" t="s">
        <v>5</v>
      </c>
      <c r="GF224" s="16" t="s">
        <v>4</v>
      </c>
      <c r="GG224" s="16" t="s">
        <v>6</v>
      </c>
      <c r="GH224" s="16" t="s">
        <v>7</v>
      </c>
      <c r="GI224" s="16" t="s">
        <v>8</v>
      </c>
      <c r="GJ224" s="16"/>
      <c r="GK224" s="16" t="s">
        <v>10</v>
      </c>
      <c r="GL224" s="16" t="s">
        <v>32</v>
      </c>
      <c r="GM224" s="16" t="s">
        <v>33</v>
      </c>
      <c r="GN224" s="16" t="s">
        <v>12</v>
      </c>
      <c r="GP224" s="24" t="s">
        <v>2</v>
      </c>
      <c r="GQ224" s="16" t="s">
        <v>3</v>
      </c>
      <c r="GR224" s="16" t="s">
        <v>4</v>
      </c>
      <c r="GS224" s="16" t="s">
        <v>260</v>
      </c>
      <c r="GT224" s="16" t="s">
        <v>4</v>
      </c>
      <c r="GU224" s="17" t="s">
        <v>5</v>
      </c>
      <c r="GV224" s="16" t="s">
        <v>4</v>
      </c>
      <c r="GW224" s="16" t="s">
        <v>6</v>
      </c>
      <c r="GX224" s="16" t="s">
        <v>7</v>
      </c>
      <c r="GY224" s="16" t="s">
        <v>8</v>
      </c>
      <c r="GZ224" s="16"/>
      <c r="HA224" s="16" t="s">
        <v>10</v>
      </c>
      <c r="HB224" s="16" t="s">
        <v>32</v>
      </c>
      <c r="HC224" s="16" t="s">
        <v>33</v>
      </c>
      <c r="HD224" s="16" t="s">
        <v>12</v>
      </c>
      <c r="HF224" s="24" t="s">
        <v>2</v>
      </c>
      <c r="HG224" s="16" t="s">
        <v>3</v>
      </c>
      <c r="HH224" s="16" t="s">
        <v>4</v>
      </c>
      <c r="HI224" s="17"/>
      <c r="HJ224" s="16" t="s">
        <v>261</v>
      </c>
      <c r="HL224" s="24" t="s">
        <v>2</v>
      </c>
      <c r="HM224" s="16" t="s">
        <v>3</v>
      </c>
      <c r="HN224" s="16" t="s">
        <v>4</v>
      </c>
      <c r="HO224" s="17"/>
      <c r="HP224" s="16" t="s">
        <v>261</v>
      </c>
      <c r="HR224" s="24" t="s">
        <v>2</v>
      </c>
      <c r="HS224" s="16" t="s">
        <v>3</v>
      </c>
      <c r="HT224" s="16" t="s">
        <v>4</v>
      </c>
      <c r="HU224" s="17"/>
      <c r="HV224" s="16" t="s">
        <v>261</v>
      </c>
    </row>
    <row r="225" spans="1:230" x14ac:dyDescent="0.2">
      <c r="A225" s="25">
        <v>46071</v>
      </c>
      <c r="B225" s="26"/>
      <c r="C225" s="4">
        <v>12879</v>
      </c>
      <c r="D225" s="4"/>
      <c r="E225" s="4">
        <v>336</v>
      </c>
      <c r="F225" s="4"/>
      <c r="G225" s="4"/>
      <c r="H225" s="4"/>
      <c r="I225" s="4">
        <v>14</v>
      </c>
      <c r="J225" s="2"/>
      <c r="K225" s="27"/>
      <c r="L225" s="4"/>
      <c r="M225" s="28"/>
      <c r="N225" s="29"/>
      <c r="O225" s="30"/>
      <c r="P225" s="25">
        <v>46071</v>
      </c>
      <c r="Q225" s="4">
        <v>8995</v>
      </c>
      <c r="R225" s="4"/>
      <c r="S225" s="4"/>
      <c r="T225" s="4"/>
      <c r="U225" s="4"/>
      <c r="V225" s="4"/>
      <c r="W225" s="4"/>
      <c r="X225" s="31"/>
      <c r="Y225" s="27"/>
      <c r="Z225" s="4"/>
      <c r="AA225" s="28"/>
      <c r="AB225" s="29"/>
      <c r="AD225" s="25">
        <v>46071</v>
      </c>
      <c r="AE225" s="4">
        <v>544</v>
      </c>
      <c r="AF225" s="4"/>
      <c r="AG225" s="4"/>
      <c r="AH225" s="4"/>
      <c r="AI225" s="4"/>
      <c r="AJ225" s="4"/>
      <c r="AK225" s="4"/>
      <c r="AL225" s="31" t="s">
        <v>264</v>
      </c>
      <c r="AM225" s="27">
        <v>462</v>
      </c>
      <c r="AN225" s="4"/>
      <c r="AO225" s="28"/>
      <c r="AP225" s="29"/>
      <c r="AR225" s="25">
        <v>46071</v>
      </c>
      <c r="AS225" s="4">
        <v>323</v>
      </c>
      <c r="AT225" s="4"/>
      <c r="AU225" s="4"/>
      <c r="AV225" s="4"/>
      <c r="AW225" s="4"/>
      <c r="AX225" s="4"/>
      <c r="AY225" s="4"/>
      <c r="AZ225" s="31" t="s">
        <v>292</v>
      </c>
      <c r="BA225" s="27">
        <v>1075</v>
      </c>
      <c r="BB225" s="4"/>
      <c r="BC225" s="28"/>
      <c r="BD225" s="29"/>
      <c r="BE225" s="32"/>
      <c r="BF225" s="33">
        <v>46071</v>
      </c>
      <c r="BG225" s="4">
        <v>138428</v>
      </c>
      <c r="BH225" s="4"/>
      <c r="BI225" s="5"/>
      <c r="BJ225" s="4"/>
      <c r="BK225" s="4">
        <v>3</v>
      </c>
      <c r="BL225" s="4"/>
      <c r="BM225" s="4"/>
      <c r="BN225" s="3" t="s">
        <v>129</v>
      </c>
      <c r="BO225" s="4">
        <v>1500</v>
      </c>
      <c r="BP225" s="4"/>
      <c r="BQ225" s="28"/>
      <c r="BR225" s="34"/>
      <c r="BT225" s="33">
        <v>46071</v>
      </c>
      <c r="BU225" s="4">
        <v>34756</v>
      </c>
      <c r="BV225" s="4"/>
      <c r="BW225" s="5">
        <v>3800</v>
      </c>
      <c r="BX225" s="4"/>
      <c r="BY225" s="4"/>
      <c r="BZ225" s="4"/>
      <c r="CA225" s="4">
        <v>31</v>
      </c>
      <c r="CB225" s="3" t="s">
        <v>122</v>
      </c>
      <c r="CC225" s="4">
        <v>550</v>
      </c>
      <c r="CD225" s="4"/>
      <c r="CE225" s="28"/>
      <c r="CF225" s="34"/>
      <c r="CH225" s="14">
        <v>46071</v>
      </c>
      <c r="CI225" s="35">
        <v>29760</v>
      </c>
      <c r="CJ225" s="4"/>
      <c r="CK225" s="5"/>
      <c r="CL225" s="4"/>
      <c r="CM225" s="4">
        <v>25</v>
      </c>
      <c r="CN225" s="4"/>
      <c r="CO225" s="4"/>
      <c r="CP225" s="4"/>
      <c r="CQ225" s="4">
        <v>880</v>
      </c>
      <c r="CR225" s="5"/>
      <c r="CS225" s="36"/>
      <c r="CT225" s="29" t="s">
        <v>315</v>
      </c>
      <c r="CV225" s="14">
        <v>46071</v>
      </c>
      <c r="CW225" s="35">
        <v>51800</v>
      </c>
      <c r="CX225" s="4"/>
      <c r="CY225" s="5"/>
      <c r="CZ225" s="4"/>
      <c r="DA225" s="4">
        <v>150</v>
      </c>
      <c r="DB225" s="4"/>
      <c r="DC225" s="4"/>
      <c r="DD225" s="4"/>
      <c r="DE225" s="4"/>
      <c r="DF225" s="5"/>
      <c r="DG225" s="36"/>
      <c r="DH225" s="29" t="s">
        <v>316</v>
      </c>
      <c r="DJ225" s="14">
        <v>46071</v>
      </c>
      <c r="DK225" s="35">
        <v>17067</v>
      </c>
      <c r="DL225" s="4"/>
      <c r="DM225" s="5"/>
      <c r="DN225" s="4"/>
      <c r="DO225" s="4">
        <v>14</v>
      </c>
      <c r="DP225" s="4"/>
      <c r="DQ225" s="4"/>
      <c r="DR225" s="4"/>
      <c r="DS225" s="4">
        <v>300</v>
      </c>
      <c r="DT225" s="5"/>
      <c r="DU225" s="36"/>
      <c r="DV225" s="29" t="s">
        <v>317</v>
      </c>
      <c r="DX225" s="14">
        <v>46071</v>
      </c>
      <c r="DY225" s="35">
        <v>4362</v>
      </c>
      <c r="DZ225" s="4"/>
      <c r="EA225" s="5">
        <v>38</v>
      </c>
      <c r="EB225" s="4"/>
      <c r="EC225" s="4"/>
      <c r="ED225" s="4"/>
      <c r="EE225" s="4"/>
      <c r="EF225" s="4"/>
      <c r="EG225" s="4">
        <v>1500</v>
      </c>
      <c r="EH225" s="5"/>
      <c r="EI225" s="36"/>
      <c r="EJ225" s="29" t="s">
        <v>318</v>
      </c>
      <c r="EL225" s="14">
        <v>46071</v>
      </c>
      <c r="EM225" s="35">
        <v>221</v>
      </c>
      <c r="EN225" s="4"/>
      <c r="EO225" s="5"/>
      <c r="EP225" s="4"/>
      <c r="EQ225" s="4">
        <v>5</v>
      </c>
      <c r="ER225" s="4"/>
      <c r="ES225" s="4"/>
      <c r="ET225" s="4"/>
      <c r="EU225" s="4">
        <v>220</v>
      </c>
      <c r="EV225" s="5"/>
      <c r="EW225" s="36"/>
      <c r="EX225" s="29"/>
      <c r="EZ225" s="14">
        <v>46071</v>
      </c>
      <c r="FA225" s="35">
        <v>150</v>
      </c>
      <c r="FB225" s="4"/>
      <c r="FC225" s="5"/>
      <c r="FD225" s="4"/>
      <c r="FE225" s="4">
        <v>80</v>
      </c>
      <c r="FF225" s="4"/>
      <c r="FG225" s="4"/>
      <c r="FH225" s="4"/>
      <c r="FI225" s="4">
        <v>490</v>
      </c>
      <c r="FJ225" s="5"/>
      <c r="FK225" s="36"/>
      <c r="FL225" s="29" t="s">
        <v>319</v>
      </c>
      <c r="FN225" s="14">
        <v>46071</v>
      </c>
      <c r="FO225" s="35">
        <v>225</v>
      </c>
      <c r="FP225" s="4"/>
      <c r="FQ225" s="5"/>
      <c r="FR225" s="4"/>
      <c r="FS225" s="4">
        <v>105</v>
      </c>
      <c r="FT225" s="4"/>
      <c r="FU225" s="4"/>
      <c r="FV225" s="4"/>
      <c r="FW225" s="4">
        <v>572</v>
      </c>
      <c r="FX225" s="5"/>
      <c r="FY225" s="36"/>
      <c r="FZ225" s="29" t="s">
        <v>300</v>
      </c>
      <c r="GB225" s="14">
        <v>46071</v>
      </c>
      <c r="GC225" s="35">
        <v>218</v>
      </c>
      <c r="GD225" s="4"/>
      <c r="GE225" s="5"/>
      <c r="GF225" s="4"/>
      <c r="GG225" s="4">
        <v>120</v>
      </c>
      <c r="GH225" s="4"/>
      <c r="GI225" s="4"/>
      <c r="GJ225" s="4"/>
      <c r="GK225" s="4">
        <v>600</v>
      </c>
      <c r="GL225" s="5"/>
      <c r="GM225" s="36"/>
      <c r="GN225" s="29" t="s">
        <v>302</v>
      </c>
      <c r="GP225" s="14">
        <v>46071</v>
      </c>
      <c r="GQ225" s="35">
        <v>83230</v>
      </c>
      <c r="GR225" s="4"/>
      <c r="GS225" s="4">
        <v>3215</v>
      </c>
      <c r="GT225" s="4"/>
      <c r="GU225" s="5">
        <v>3472</v>
      </c>
      <c r="GV225" s="4"/>
      <c r="GW225" s="4"/>
      <c r="GX225" s="4"/>
      <c r="GY225" s="4">
        <v>20</v>
      </c>
      <c r="GZ225" s="4"/>
      <c r="HA225" s="4"/>
      <c r="HB225" s="5"/>
      <c r="HC225" s="36"/>
      <c r="HD225" s="29"/>
      <c r="HF225" s="14">
        <v>46071</v>
      </c>
      <c r="HG225" s="35">
        <v>60819</v>
      </c>
      <c r="HH225" s="4"/>
      <c r="HI225" s="5"/>
      <c r="HJ225" s="29"/>
      <c r="HL225" s="14">
        <v>46071</v>
      </c>
      <c r="HM225" s="35">
        <v>45071</v>
      </c>
      <c r="HN225" s="4"/>
      <c r="HO225" s="5"/>
      <c r="HP225" s="29"/>
      <c r="HR225" s="14">
        <v>46071</v>
      </c>
      <c r="HS225" s="35">
        <v>42403</v>
      </c>
      <c r="HT225" s="4"/>
      <c r="HU225" s="5"/>
      <c r="HV225" s="29"/>
    </row>
    <row r="226" spans="1:230" x14ac:dyDescent="0.2">
      <c r="A226" s="14"/>
      <c r="B226" s="37"/>
      <c r="C226" s="4">
        <v>16470</v>
      </c>
      <c r="D226" s="5"/>
      <c r="E226" s="4">
        <v>514</v>
      </c>
      <c r="F226" s="5"/>
      <c r="G226" s="5"/>
      <c r="H226" s="5"/>
      <c r="I226" s="5">
        <v>35</v>
      </c>
      <c r="J226" s="2"/>
      <c r="K226" s="4"/>
      <c r="L226" s="5"/>
      <c r="M226" s="36"/>
      <c r="N226" s="29"/>
      <c r="O226" s="30"/>
      <c r="P226" s="25"/>
      <c r="Q226" s="4">
        <v>9927</v>
      </c>
      <c r="R226" s="5"/>
      <c r="S226" s="4"/>
      <c r="T226" s="5"/>
      <c r="U226" s="5"/>
      <c r="V226" s="5"/>
      <c r="W226" s="5"/>
      <c r="X226" s="38"/>
      <c r="Y226" s="39"/>
      <c r="Z226" s="5"/>
      <c r="AA226" s="36"/>
      <c r="AB226" s="29"/>
      <c r="AD226" s="25"/>
      <c r="AE226" s="4">
        <v>176</v>
      </c>
      <c r="AF226" s="5"/>
      <c r="AG226" s="4"/>
      <c r="AH226" s="5"/>
      <c r="AI226" s="5"/>
      <c r="AJ226" s="5"/>
      <c r="AK226" s="5"/>
      <c r="AL226" s="38" t="s">
        <v>278</v>
      </c>
      <c r="AM226" s="39">
        <v>1500</v>
      </c>
      <c r="AN226" s="5"/>
      <c r="AO226" s="36"/>
      <c r="AP226" s="29"/>
      <c r="AR226" s="25"/>
      <c r="AS226" s="4">
        <v>269</v>
      </c>
      <c r="AT226" s="5"/>
      <c r="AU226" s="4"/>
      <c r="AV226" s="5"/>
      <c r="AW226" s="5"/>
      <c r="AX226" s="5"/>
      <c r="AY226" s="5"/>
      <c r="AZ226" s="38" t="s">
        <v>275</v>
      </c>
      <c r="BA226" s="39">
        <v>770</v>
      </c>
      <c r="BB226" s="5"/>
      <c r="BC226" s="36"/>
      <c r="BD226" s="29"/>
      <c r="BE226" s="32"/>
      <c r="BF226" s="25"/>
      <c r="BG226" s="5">
        <v>115258</v>
      </c>
      <c r="BH226" s="5"/>
      <c r="BI226" s="4"/>
      <c r="BJ226" s="5"/>
      <c r="BK226" s="5">
        <v>3</v>
      </c>
      <c r="BL226" s="4"/>
      <c r="BM226" s="5"/>
      <c r="BN226" s="2" t="s">
        <v>129</v>
      </c>
      <c r="BO226" s="4">
        <v>1500</v>
      </c>
      <c r="BP226" s="5"/>
      <c r="BQ226" s="36"/>
      <c r="BR226" s="29"/>
      <c r="BT226" s="25"/>
      <c r="BU226" s="5">
        <v>30557</v>
      </c>
      <c r="BV226" s="5"/>
      <c r="BW226" s="4">
        <v>1652</v>
      </c>
      <c r="BX226" s="5"/>
      <c r="BY226" s="5"/>
      <c r="BZ226" s="4"/>
      <c r="CA226" s="5">
        <v>55</v>
      </c>
      <c r="CB226" s="2" t="s">
        <v>123</v>
      </c>
      <c r="CC226" s="4">
        <v>950</v>
      </c>
      <c r="CD226" s="5"/>
      <c r="CE226" s="36"/>
      <c r="CF226" s="29"/>
      <c r="CH226" s="40">
        <f>IF($A229="","",$A229)</f>
        <v>46084</v>
      </c>
      <c r="CI226" s="35">
        <v>30184</v>
      </c>
      <c r="CJ226" s="5">
        <f t="shared" ref="CJ226:CJ238" si="673">IF(CI226="","",CI226-CI225)</f>
        <v>424</v>
      </c>
      <c r="CK226" s="5">
        <v>483</v>
      </c>
      <c r="CL226" s="5">
        <f t="shared" ref="CL226:CL238" si="674">IF(CK226="","",CK226-CK225)</f>
        <v>483</v>
      </c>
      <c r="CM226" s="4">
        <v>25</v>
      </c>
      <c r="CN226" s="5">
        <f t="shared" ref="CN226:CN238" si="675">IF(CM226="","",CM225+CO225-CM226)</f>
        <v>0</v>
      </c>
      <c r="CO226" s="4"/>
      <c r="CP226" s="4"/>
      <c r="CQ226" s="4">
        <f t="shared" ref="CQ226:CQ238" si="676">IF(CI226="","",CQ225)</f>
        <v>880</v>
      </c>
      <c r="CR226" s="5">
        <f t="shared" ref="CR226:CR238" si="677">IF(CQ226="","",CN226*CQ226)</f>
        <v>0</v>
      </c>
      <c r="CS226" s="36">
        <f t="shared" ref="CS226:CS237" si="678">IF(CR226="","",CR226/(CJ226*100))</f>
        <v>0</v>
      </c>
      <c r="CT226" s="29"/>
      <c r="CV226" s="40">
        <f>IF($A229="","",$A229)</f>
        <v>46084</v>
      </c>
      <c r="CW226" s="35">
        <v>51894</v>
      </c>
      <c r="CX226" s="5">
        <f t="shared" ref="CX226:CX238" si="679">IF(CW226="","",CW226-CW225)</f>
        <v>94</v>
      </c>
      <c r="CY226" s="5"/>
      <c r="CZ226" s="5" t="str">
        <f t="shared" ref="CZ226:CZ238" si="680">IF(CY226="","",CY226-CY225)</f>
        <v/>
      </c>
      <c r="DA226" s="4">
        <v>110</v>
      </c>
      <c r="DB226" s="5">
        <f t="shared" ref="DB226:DB238" si="681">IF(DA226="","",DA225+DC225-DA226)</f>
        <v>40</v>
      </c>
      <c r="DC226" s="4"/>
      <c r="DD226" s="4"/>
      <c r="DE226" s="4">
        <f t="shared" ref="DE226:DE238" si="682">IF(CW226="","",DE225)</f>
        <v>0</v>
      </c>
      <c r="DF226" s="5">
        <f t="shared" ref="DF226:DF238" si="683">IF(DE226="","",DB226*DE226)</f>
        <v>0</v>
      </c>
      <c r="DG226" s="36">
        <f t="shared" ref="DG226:DG237" si="684">IF(DF226="","",DF226/(CX226*100))</f>
        <v>0</v>
      </c>
      <c r="DH226" s="29"/>
      <c r="DJ226" s="40">
        <f>IF($A229="","",$A229)</f>
        <v>46084</v>
      </c>
      <c r="DK226" s="35">
        <v>17200</v>
      </c>
      <c r="DL226" s="5">
        <f t="shared" ref="DL226:DL238" si="685">IF(DK226="","",DK226-DK225)</f>
        <v>133</v>
      </c>
      <c r="DM226" s="5">
        <v>319</v>
      </c>
      <c r="DN226" s="5">
        <f t="shared" ref="DN226:DN238" si="686">IF(DM226="","",DM226-DM225)</f>
        <v>319</v>
      </c>
      <c r="DO226" s="4">
        <v>14</v>
      </c>
      <c r="DP226" s="5">
        <f t="shared" ref="DP226:DP238" si="687">IF(DO226="","",DO225+DQ225-DO226)</f>
        <v>0</v>
      </c>
      <c r="DQ226" s="4"/>
      <c r="DR226" s="4"/>
      <c r="DS226" s="4">
        <f t="shared" ref="DS226:DS238" si="688">IF(DK226="","",DS225)</f>
        <v>300</v>
      </c>
      <c r="DT226" s="5">
        <f t="shared" ref="DT226:DT238" si="689">IF(DS226="","",DP226*DS226)</f>
        <v>0</v>
      </c>
      <c r="DU226" s="36">
        <f t="shared" ref="DU226:DU237" si="690">IF(DT226="","",DT226/(DL226*100))</f>
        <v>0</v>
      </c>
      <c r="DV226" s="29"/>
      <c r="DX226" s="40">
        <f>IF($A229="","",$A229)</f>
        <v>46084</v>
      </c>
      <c r="DY226" s="35">
        <v>7621</v>
      </c>
      <c r="DZ226" s="5">
        <f t="shared" ref="DZ226:DZ238" si="691">IF(DY226="","",DY226-DY225)</f>
        <v>3259</v>
      </c>
      <c r="EA226" s="5">
        <v>58</v>
      </c>
      <c r="EB226" s="5">
        <f t="shared" ref="EB226:EB238" si="692">IF(EA226="","",EA226-EA225)</f>
        <v>20</v>
      </c>
      <c r="EC226" s="4">
        <v>0</v>
      </c>
      <c r="ED226" s="5">
        <f t="shared" ref="ED226:ED238" si="693">IF(EC226="","",EC225+EE225-EC226)</f>
        <v>0</v>
      </c>
      <c r="EE226" s="4"/>
      <c r="EF226" s="4"/>
      <c r="EG226" s="4">
        <f t="shared" ref="EG226:EG238" si="694">IF(DY226="","",EG225)</f>
        <v>1500</v>
      </c>
      <c r="EH226" s="5">
        <f t="shared" ref="EH226:EH238" si="695">IF(EG226="","",ED226*EG226)</f>
        <v>0</v>
      </c>
      <c r="EI226" s="36">
        <f t="shared" ref="EI226:EI237" si="696">IF(EH226="","",EH226/(DZ226*100))</f>
        <v>0</v>
      </c>
      <c r="EJ226" s="29" t="s">
        <v>124</v>
      </c>
      <c r="EL226" s="40">
        <f>IF($A229="","",$A229)</f>
        <v>46084</v>
      </c>
      <c r="EM226" s="35">
        <v>402</v>
      </c>
      <c r="EN226" s="5">
        <f t="shared" ref="EN226:EN238" si="697">IF(EM226="","",EM226-EM225)</f>
        <v>181</v>
      </c>
      <c r="EO226" s="5">
        <v>1003</v>
      </c>
      <c r="EP226" s="5">
        <f t="shared" ref="EP226:EP238" si="698">IF(EO226="","",EO226-EO225)</f>
        <v>1003</v>
      </c>
      <c r="EQ226" s="4">
        <v>5</v>
      </c>
      <c r="ER226" s="5">
        <f t="shared" ref="ER226:ER238" si="699">IF(EQ226="","",EQ225+ES225-EQ226)</f>
        <v>0</v>
      </c>
      <c r="ES226" s="4"/>
      <c r="ET226" s="4"/>
      <c r="EU226" s="4">
        <f t="shared" ref="EU226:EU238" si="700">IF(EM226="","",EU225)</f>
        <v>220</v>
      </c>
      <c r="EV226" s="5">
        <f t="shared" ref="EV226:EV238" si="701">IF(EU226="","",ER226*EU226)</f>
        <v>0</v>
      </c>
      <c r="EW226" s="36">
        <f t="shared" ref="EW226:EW237" si="702">IF(EV226="","",EV226/(EN226*100))</f>
        <v>0</v>
      </c>
      <c r="EX226" s="29"/>
      <c r="EZ226" s="40">
        <f>IF($A229="","",$A229)</f>
        <v>46084</v>
      </c>
      <c r="FA226" s="35">
        <v>284</v>
      </c>
      <c r="FB226" s="5">
        <f t="shared" ref="FB226:FB238" si="703">IF(FA226="","",FA226-FA225)</f>
        <v>134</v>
      </c>
      <c r="FC226" s="5">
        <v>25</v>
      </c>
      <c r="FD226" s="5"/>
      <c r="FE226" s="4">
        <v>70</v>
      </c>
      <c r="FF226" s="5">
        <f>IF(FE226="","",FE225+FG225-FE226)</f>
        <v>10</v>
      </c>
      <c r="FG226" s="4"/>
      <c r="FH226" s="4"/>
      <c r="FI226" s="4">
        <f>IF(FA226="","",FI225)</f>
        <v>490</v>
      </c>
      <c r="FJ226" s="5">
        <f>IF(FI226="","",FF226*FI226)</f>
        <v>4900</v>
      </c>
      <c r="FK226" s="36">
        <f>IF(FJ226="","",FJ226/(FB226*100))</f>
        <v>0.36567164179104478</v>
      </c>
      <c r="FL226" s="29"/>
      <c r="FN226" s="40">
        <f>IF($A229="","",$A229)</f>
        <v>46084</v>
      </c>
      <c r="FO226" s="35">
        <v>301</v>
      </c>
      <c r="FP226" s="5">
        <v>131</v>
      </c>
      <c r="FQ226" s="5">
        <v>40</v>
      </c>
      <c r="FR226" s="5"/>
      <c r="FS226" s="4">
        <v>95</v>
      </c>
      <c r="FT226" s="5">
        <f>IF(FS226="","",FS225+FU225-FS226)</f>
        <v>10</v>
      </c>
      <c r="FU226" s="4">
        <v>19</v>
      </c>
      <c r="FV226" s="4"/>
      <c r="FW226" s="4">
        <f>IF(FO226="","",FW225)</f>
        <v>572</v>
      </c>
      <c r="FX226" s="5">
        <f>IF(FW226="","",FT226*FW226)</f>
        <v>5720</v>
      </c>
      <c r="FY226" s="36">
        <f>IF(FX226="","",FX226/(FP226*100))</f>
        <v>0.43664122137404582</v>
      </c>
      <c r="FZ226" s="29"/>
      <c r="GB226" s="40">
        <f>IF($A229="","",$A229)</f>
        <v>46084</v>
      </c>
      <c r="GC226" s="35">
        <v>308</v>
      </c>
      <c r="GD226" s="5">
        <v>137</v>
      </c>
      <c r="GE226" s="5">
        <v>39</v>
      </c>
      <c r="GF226" s="5">
        <f t="shared" ref="GF226:GF238" si="704">IF(GE226="","",GE226-GE225)</f>
        <v>39</v>
      </c>
      <c r="GG226" s="4">
        <v>110</v>
      </c>
      <c r="GH226" s="5">
        <f t="shared" ref="GH226:GH238" si="705">IF(GG226="","",GG225+GI225-GG226)</f>
        <v>10</v>
      </c>
      <c r="GI226" s="4"/>
      <c r="GJ226" s="4"/>
      <c r="GK226" s="4">
        <f t="shared" ref="GK226:GK238" si="706">IF(GC226="","",GK225)</f>
        <v>600</v>
      </c>
      <c r="GL226" s="5">
        <f t="shared" ref="GL226:GL238" si="707">IF(GK226="","",GH226*GK226)</f>
        <v>6000</v>
      </c>
      <c r="GM226" s="36">
        <f t="shared" ref="GM226:GM237" si="708">IF(GL226="","",GL226/(GD226*100))</f>
        <v>0.43795620437956206</v>
      </c>
      <c r="GN226" s="29"/>
      <c r="GP226" s="40">
        <f>IF($A229="","",$A229)</f>
        <v>46084</v>
      </c>
      <c r="GQ226" s="35">
        <v>83800</v>
      </c>
      <c r="GR226" s="5">
        <f t="shared" ref="GR226:GR238" si="709">IF(GQ226="","",GQ226-GQ225)</f>
        <v>570</v>
      </c>
      <c r="GS226" s="5">
        <v>3218</v>
      </c>
      <c r="GT226" s="5">
        <f t="shared" ref="GT226:GT232" si="710">IF(GS226="","",GS226-GS225)</f>
        <v>3</v>
      </c>
      <c r="GU226" s="5">
        <v>3483</v>
      </c>
      <c r="GV226" s="5">
        <f t="shared" ref="GV226:GV238" si="711">IF(GU226="","",GU226-GU225)</f>
        <v>11</v>
      </c>
      <c r="GW226" s="4">
        <v>9</v>
      </c>
      <c r="GX226" s="5">
        <f t="shared" ref="GX226:GX238" si="712">IF(GW226="","",GW225+GY225-GW226)</f>
        <v>11</v>
      </c>
      <c r="GY226" s="4">
        <v>0</v>
      </c>
      <c r="GZ226" s="4"/>
      <c r="HA226" s="4">
        <v>1000</v>
      </c>
      <c r="HB226" s="5">
        <f t="shared" ref="HB226:HB238" si="713">IF(HA226="","",GX226*HA226)</f>
        <v>11000</v>
      </c>
      <c r="HC226" s="36">
        <f t="shared" ref="HC226:HC237" si="714">IF(HB226="","",HB226/(GR226*100))</f>
        <v>0.19298245614035087</v>
      </c>
      <c r="HD226" s="29" t="s">
        <v>320</v>
      </c>
      <c r="HF226" s="40">
        <f>IF($A229="","",$A229)</f>
        <v>46084</v>
      </c>
      <c r="HG226" s="35">
        <v>60908</v>
      </c>
      <c r="HH226" s="5">
        <f t="shared" ref="HH226:HH238" si="715">IF(HG226="","",HG226-HG225)</f>
        <v>89</v>
      </c>
      <c r="HI226" s="5"/>
      <c r="HJ226" s="29"/>
      <c r="HL226" s="40">
        <f>IF($A229="","",$A229)</f>
        <v>46084</v>
      </c>
      <c r="HM226" s="35">
        <v>45163</v>
      </c>
      <c r="HN226" s="5">
        <f t="shared" ref="HN226:HN238" si="716">IF(HM226="","",HM226-HM225)</f>
        <v>92</v>
      </c>
      <c r="HO226" s="5"/>
      <c r="HP226" s="29"/>
      <c r="HR226" s="40">
        <f>IF($A229="","",$A229)</f>
        <v>46084</v>
      </c>
      <c r="HS226" s="35">
        <v>42540</v>
      </c>
      <c r="HT226" s="5">
        <f t="shared" ref="HT226:HT238" si="717">IF(HS226="","",HS226-HS225)</f>
        <v>137</v>
      </c>
      <c r="HU226" s="5"/>
      <c r="HV226" s="29"/>
    </row>
    <row r="227" spans="1:230" x14ac:dyDescent="0.2">
      <c r="A227" s="25"/>
      <c r="B227" s="37"/>
      <c r="C227" s="4">
        <v>18071</v>
      </c>
      <c r="D227" s="5"/>
      <c r="E227" s="4">
        <v>635</v>
      </c>
      <c r="F227" s="5"/>
      <c r="G227" s="5"/>
      <c r="H227" s="5"/>
      <c r="I227" s="5">
        <v>33</v>
      </c>
      <c r="J227" s="3"/>
      <c r="K227" s="39"/>
      <c r="L227" s="5"/>
      <c r="M227" s="36"/>
      <c r="N227" s="29"/>
      <c r="O227" s="30"/>
      <c r="P227" s="25"/>
      <c r="Q227" s="4">
        <v>9973</v>
      </c>
      <c r="R227" s="5"/>
      <c r="S227" s="4"/>
      <c r="T227" s="5"/>
      <c r="U227" s="5"/>
      <c r="V227" s="5"/>
      <c r="W227" s="5"/>
      <c r="X227" s="38"/>
      <c r="Y227" s="39"/>
      <c r="Z227" s="5"/>
      <c r="AA227" s="36"/>
      <c r="AB227" s="29"/>
      <c r="AD227" s="25"/>
      <c r="AE227" s="4">
        <v>265</v>
      </c>
      <c r="AF227" s="5"/>
      <c r="AG227" s="4"/>
      <c r="AH227" s="5"/>
      <c r="AI227" s="5"/>
      <c r="AJ227" s="5"/>
      <c r="AK227" s="5"/>
      <c r="AL227" s="38" t="s">
        <v>274</v>
      </c>
      <c r="AM227" s="39">
        <v>1100</v>
      </c>
      <c r="AN227" s="5"/>
      <c r="AO227" s="36"/>
      <c r="AP227" s="29"/>
      <c r="AR227" s="25"/>
      <c r="AS227" s="4">
        <v>300</v>
      </c>
      <c r="AT227" s="5"/>
      <c r="AU227" s="4"/>
      <c r="AV227" s="5"/>
      <c r="AW227" s="5"/>
      <c r="AX227" s="5"/>
      <c r="AY227" s="5"/>
      <c r="AZ227" s="38" t="s">
        <v>279</v>
      </c>
      <c r="BA227" s="39">
        <v>682</v>
      </c>
      <c r="BB227" s="5"/>
      <c r="BC227" s="36"/>
      <c r="BD227" s="29"/>
      <c r="BE227" s="32"/>
      <c r="BF227" s="25"/>
      <c r="BG227" s="5"/>
      <c r="BH227" s="5"/>
      <c r="BI227" s="5"/>
      <c r="BJ227" s="5"/>
      <c r="BK227" s="5">
        <v>3</v>
      </c>
      <c r="BL227" s="4"/>
      <c r="BM227" s="5"/>
      <c r="BN227" s="3" t="s">
        <v>321</v>
      </c>
      <c r="BO227" s="5">
        <v>800</v>
      </c>
      <c r="BP227" s="5"/>
      <c r="BQ227" s="36"/>
      <c r="BR227" s="29"/>
      <c r="BT227" s="25"/>
      <c r="BU227" s="5"/>
      <c r="BV227" s="5"/>
      <c r="BW227" s="5"/>
      <c r="BX227" s="5"/>
      <c r="BY227" s="5"/>
      <c r="BZ227" s="4"/>
      <c r="CA227" s="5"/>
      <c r="CB227" s="3"/>
      <c r="CC227" s="5"/>
      <c r="CD227" s="5"/>
      <c r="CE227" s="36"/>
      <c r="CF227" s="29"/>
      <c r="CH227" s="40">
        <f>IF($A233="","",$A233)</f>
        <v>46087</v>
      </c>
      <c r="CI227" s="35">
        <v>30204</v>
      </c>
      <c r="CJ227" s="5">
        <f t="shared" si="673"/>
        <v>20</v>
      </c>
      <c r="CK227" s="5">
        <v>483</v>
      </c>
      <c r="CL227" s="5">
        <f t="shared" si="674"/>
        <v>0</v>
      </c>
      <c r="CM227" s="4">
        <v>25</v>
      </c>
      <c r="CN227" s="5">
        <f t="shared" si="675"/>
        <v>0</v>
      </c>
      <c r="CO227" s="4">
        <v>9</v>
      </c>
      <c r="CP227" s="4"/>
      <c r="CQ227" s="4">
        <f t="shared" si="676"/>
        <v>880</v>
      </c>
      <c r="CR227" s="5">
        <f t="shared" si="677"/>
        <v>0</v>
      </c>
      <c r="CS227" s="36">
        <f t="shared" si="678"/>
        <v>0</v>
      </c>
      <c r="CT227" s="29"/>
      <c r="CV227" s="40">
        <f>IF($A233="","",$A233)</f>
        <v>46087</v>
      </c>
      <c r="CW227" s="35">
        <v>51939</v>
      </c>
      <c r="CX227" s="5">
        <f t="shared" si="679"/>
        <v>45</v>
      </c>
      <c r="CY227" s="5">
        <v>3259</v>
      </c>
      <c r="CZ227" s="5">
        <f t="shared" si="680"/>
        <v>3259</v>
      </c>
      <c r="DA227" s="4">
        <v>100</v>
      </c>
      <c r="DB227" s="5">
        <f t="shared" si="681"/>
        <v>10</v>
      </c>
      <c r="DC227" s="4"/>
      <c r="DD227" s="4"/>
      <c r="DE227" s="4">
        <f t="shared" si="682"/>
        <v>0</v>
      </c>
      <c r="DF227" s="5">
        <f t="shared" si="683"/>
        <v>0</v>
      </c>
      <c r="DG227" s="36">
        <f t="shared" si="684"/>
        <v>0</v>
      </c>
      <c r="DH227" s="29"/>
      <c r="DJ227" s="40">
        <f>IF($A233="","",$A233)</f>
        <v>46087</v>
      </c>
      <c r="DK227" s="35">
        <v>17239</v>
      </c>
      <c r="DL227" s="5">
        <f t="shared" si="685"/>
        <v>39</v>
      </c>
      <c r="DM227" s="5">
        <v>319</v>
      </c>
      <c r="DN227" s="5">
        <f t="shared" si="686"/>
        <v>0</v>
      </c>
      <c r="DO227" s="4">
        <v>14</v>
      </c>
      <c r="DP227" s="5">
        <f t="shared" si="687"/>
        <v>0</v>
      </c>
      <c r="DQ227" s="4"/>
      <c r="DR227" s="4"/>
      <c r="DS227" s="4">
        <f t="shared" si="688"/>
        <v>300</v>
      </c>
      <c r="DT227" s="5">
        <f t="shared" si="689"/>
        <v>0</v>
      </c>
      <c r="DU227" s="36">
        <f t="shared" si="690"/>
        <v>0</v>
      </c>
      <c r="DV227" s="29"/>
      <c r="DX227" s="40">
        <f>IF($A233="","",$A233)</f>
        <v>46087</v>
      </c>
      <c r="DY227" s="35">
        <v>8049</v>
      </c>
      <c r="DZ227" s="5">
        <f t="shared" si="691"/>
        <v>428</v>
      </c>
      <c r="EA227" s="5">
        <v>69</v>
      </c>
      <c r="EB227" s="5">
        <f t="shared" si="692"/>
        <v>11</v>
      </c>
      <c r="EC227" s="4">
        <v>3</v>
      </c>
      <c r="ED227" s="5">
        <f t="shared" si="693"/>
        <v>-3</v>
      </c>
      <c r="EE227" s="4">
        <v>23</v>
      </c>
      <c r="EF227" s="4"/>
      <c r="EG227" s="4">
        <f t="shared" si="694"/>
        <v>1500</v>
      </c>
      <c r="EH227" s="5">
        <f t="shared" si="695"/>
        <v>-4500</v>
      </c>
      <c r="EI227" s="36">
        <f t="shared" si="696"/>
        <v>-0.10514018691588785</v>
      </c>
      <c r="EJ227" s="29" t="s">
        <v>125</v>
      </c>
      <c r="EL227" s="40">
        <f>IF($A233="","",$A233)</f>
        <v>46087</v>
      </c>
      <c r="EM227" s="35">
        <v>447</v>
      </c>
      <c r="EN227" s="5">
        <f>IF(EM227="","",EM227-EM226)</f>
        <v>45</v>
      </c>
      <c r="EO227" s="5">
        <v>1003</v>
      </c>
      <c r="EP227" s="5">
        <f t="shared" si="698"/>
        <v>0</v>
      </c>
      <c r="EQ227" s="4">
        <v>5</v>
      </c>
      <c r="ER227" s="5">
        <f t="shared" si="699"/>
        <v>0</v>
      </c>
      <c r="ES227" s="4">
        <v>36</v>
      </c>
      <c r="ET227" s="4"/>
      <c r="EU227" s="4">
        <f t="shared" si="700"/>
        <v>220</v>
      </c>
      <c r="EV227" s="5">
        <f t="shared" si="701"/>
        <v>0</v>
      </c>
      <c r="EW227" s="36">
        <f t="shared" si="702"/>
        <v>0</v>
      </c>
      <c r="EX227" s="29" t="s">
        <v>322</v>
      </c>
      <c r="EZ227" s="40">
        <f>IF($A233="","",$A233)</f>
        <v>46087</v>
      </c>
      <c r="FA227" s="35">
        <v>304</v>
      </c>
      <c r="FB227" s="5">
        <f t="shared" si="703"/>
        <v>20</v>
      </c>
      <c r="FC227" s="5">
        <v>25</v>
      </c>
      <c r="FD227" s="5">
        <f t="shared" ref="FD227:FD238" si="718">IF(FC227="","",FC227-FC226)</f>
        <v>0</v>
      </c>
      <c r="FE227" s="4">
        <v>61</v>
      </c>
      <c r="FF227" s="5">
        <f t="shared" ref="FF227:FF238" si="719">IF(FE227="","",FE226+FG226-FE227)</f>
        <v>9</v>
      </c>
      <c r="FG227" s="4"/>
      <c r="FH227" s="4"/>
      <c r="FI227" s="4">
        <f t="shared" ref="FI227:FI238" si="720">IF(FA227="","",FI226)</f>
        <v>490</v>
      </c>
      <c r="FJ227" s="5">
        <f t="shared" ref="FJ227:FJ238" si="721">IF(FI227="","",FF227*FI227)</f>
        <v>4410</v>
      </c>
      <c r="FK227" s="36">
        <f t="shared" ref="FK227:FK237" si="722">IF(FJ227="","",FJ227/(FB227*100))</f>
        <v>2.2050000000000001</v>
      </c>
      <c r="FL227" s="29"/>
      <c r="FN227" s="40">
        <f>IF($A233="","",$A233)</f>
        <v>46087</v>
      </c>
      <c r="FO227" s="35">
        <v>355</v>
      </c>
      <c r="FP227" s="5">
        <f t="shared" ref="FP227:FP238" si="723">IF(FO227="","",FO227-FO226)</f>
        <v>54</v>
      </c>
      <c r="FQ227" s="5">
        <v>40</v>
      </c>
      <c r="FR227" s="5">
        <f t="shared" ref="FR227:FR238" si="724">IF(FQ227="","",FQ227-FQ226)</f>
        <v>0</v>
      </c>
      <c r="FS227" s="4">
        <v>93</v>
      </c>
      <c r="FT227" s="5">
        <f t="shared" ref="FT227:FT238" si="725">IF(FS227="","",FS226+FU226-FS227)</f>
        <v>21</v>
      </c>
      <c r="FU227" s="4">
        <v>20</v>
      </c>
      <c r="FV227" s="4"/>
      <c r="FW227" s="4">
        <f t="shared" ref="FW227:FW238" si="726">IF(FO227="","",FW226)</f>
        <v>572</v>
      </c>
      <c r="FX227" s="5">
        <f t="shared" ref="FX227:FX238" si="727">IF(FW227="","",FT227*FW227)</f>
        <v>12012</v>
      </c>
      <c r="FY227" s="36">
        <f t="shared" ref="FY227:FY237" si="728">IF(FX227="","",FX227/(FP227*100))</f>
        <v>2.2244444444444444</v>
      </c>
      <c r="FZ227" s="29"/>
      <c r="GB227" s="40">
        <f>IF($A233="","",$A233)</f>
        <v>46087</v>
      </c>
      <c r="GC227" s="35">
        <v>362</v>
      </c>
      <c r="GD227" s="5">
        <f t="shared" ref="GD227:GD238" si="729">IF(GC227="","",GC227-GC226)</f>
        <v>54</v>
      </c>
      <c r="GE227" s="5">
        <v>39</v>
      </c>
      <c r="GF227" s="5">
        <f t="shared" si="704"/>
        <v>0</v>
      </c>
      <c r="GG227" s="4">
        <v>103</v>
      </c>
      <c r="GH227" s="5">
        <f t="shared" si="705"/>
        <v>7</v>
      </c>
      <c r="GI227" s="4"/>
      <c r="GJ227" s="4"/>
      <c r="GK227" s="4">
        <f t="shared" si="706"/>
        <v>600</v>
      </c>
      <c r="GL227" s="5">
        <f t="shared" si="707"/>
        <v>4200</v>
      </c>
      <c r="GM227" s="36">
        <f t="shared" si="708"/>
        <v>0.77777777777777779</v>
      </c>
      <c r="GN227" s="29"/>
      <c r="GP227" s="40">
        <f>IF($A233="","",$A233)</f>
        <v>46087</v>
      </c>
      <c r="GQ227" s="35">
        <v>83832</v>
      </c>
      <c r="GR227" s="5">
        <f t="shared" si="709"/>
        <v>32</v>
      </c>
      <c r="GS227" s="5">
        <v>3218</v>
      </c>
      <c r="GT227" s="5">
        <f t="shared" si="710"/>
        <v>0</v>
      </c>
      <c r="GU227" s="5">
        <v>3484</v>
      </c>
      <c r="GV227" s="5">
        <f t="shared" si="711"/>
        <v>1</v>
      </c>
      <c r="GW227" s="4">
        <v>8</v>
      </c>
      <c r="GX227" s="5">
        <f t="shared" si="712"/>
        <v>1</v>
      </c>
      <c r="GY227" s="4">
        <v>16</v>
      </c>
      <c r="GZ227" s="4"/>
      <c r="HA227" s="4">
        <f t="shared" ref="HA227:HA238" si="730">IF(GQ227="","",HA226)</f>
        <v>1000</v>
      </c>
      <c r="HB227" s="5">
        <f t="shared" si="713"/>
        <v>1000</v>
      </c>
      <c r="HC227" s="36">
        <f t="shared" si="714"/>
        <v>0.3125</v>
      </c>
      <c r="HD227" s="29"/>
      <c r="HF227" s="40">
        <f>IF($A233="","",$A233)</f>
        <v>46087</v>
      </c>
      <c r="HG227" s="35">
        <v>60955</v>
      </c>
      <c r="HH227" s="5">
        <f t="shared" si="715"/>
        <v>47</v>
      </c>
      <c r="HI227" s="5"/>
      <c r="HJ227" s="29"/>
      <c r="HL227" s="40">
        <f>IF($A233="","",$A233)</f>
        <v>46087</v>
      </c>
      <c r="HM227" s="35">
        <v>45170</v>
      </c>
      <c r="HN227" s="5">
        <f t="shared" si="716"/>
        <v>7</v>
      </c>
      <c r="HO227" s="5"/>
      <c r="HP227" s="29"/>
      <c r="HR227" s="40">
        <f>IF($A233="","",$A233)</f>
        <v>46087</v>
      </c>
      <c r="HS227" s="35">
        <v>42566</v>
      </c>
      <c r="HT227" s="5">
        <f t="shared" si="717"/>
        <v>26</v>
      </c>
      <c r="HU227" s="5"/>
      <c r="HV227" s="29"/>
    </row>
    <row r="228" spans="1:230" ht="15" customHeight="1" thickBot="1" x14ac:dyDescent="0.25">
      <c r="A228" s="41"/>
      <c r="B228" s="42"/>
      <c r="C228" s="43">
        <v>21955</v>
      </c>
      <c r="D228" s="43"/>
      <c r="E228" s="43">
        <v>1134</v>
      </c>
      <c r="F228" s="44"/>
      <c r="G228" s="44"/>
      <c r="H228" s="44"/>
      <c r="I228" s="44">
        <v>12</v>
      </c>
      <c r="J228" s="45"/>
      <c r="K228" s="44"/>
      <c r="L228" s="44"/>
      <c r="M228" s="46"/>
      <c r="N228" s="29"/>
      <c r="O228" s="30"/>
      <c r="P228" s="41"/>
      <c r="Q228" s="43">
        <v>8677</v>
      </c>
      <c r="R228" s="43"/>
      <c r="S228" s="43"/>
      <c r="T228" s="44"/>
      <c r="U228" s="44"/>
      <c r="V228" s="44"/>
      <c r="W228" s="44"/>
      <c r="X228" s="47"/>
      <c r="Y228" s="44"/>
      <c r="Z228" s="44"/>
      <c r="AA228" s="46"/>
      <c r="AB228" s="29"/>
      <c r="AD228" s="41"/>
      <c r="AE228" s="43">
        <v>153</v>
      </c>
      <c r="AF228" s="43"/>
      <c r="AG228" s="43"/>
      <c r="AH228" s="44"/>
      <c r="AI228" s="44"/>
      <c r="AJ228" s="44"/>
      <c r="AK228" s="44"/>
      <c r="AL228" s="47" t="s">
        <v>309</v>
      </c>
      <c r="AM228" s="44">
        <v>283</v>
      </c>
      <c r="AN228" s="44"/>
      <c r="AO228" s="46"/>
      <c r="AP228" s="29"/>
      <c r="AR228" s="41"/>
      <c r="AS228" s="43">
        <v>125</v>
      </c>
      <c r="AT228" s="43"/>
      <c r="AU228" s="43"/>
      <c r="AV228" s="44"/>
      <c r="AW228" s="44"/>
      <c r="AX228" s="44"/>
      <c r="AY228" s="44"/>
      <c r="AZ228" s="47" t="s">
        <v>283</v>
      </c>
      <c r="BA228" s="44">
        <v>110</v>
      </c>
      <c r="BB228" s="44"/>
      <c r="BC228" s="46"/>
      <c r="BD228" s="29"/>
      <c r="BE228" s="32"/>
      <c r="BF228" s="41"/>
      <c r="BG228" s="44"/>
      <c r="BH228" s="44"/>
      <c r="BI228" s="44"/>
      <c r="BJ228" s="44"/>
      <c r="BK228" s="44">
        <v>3</v>
      </c>
      <c r="BL228" s="44"/>
      <c r="BM228" s="44"/>
      <c r="BN228" s="45" t="s">
        <v>129</v>
      </c>
      <c r="BO228" s="44">
        <v>1500</v>
      </c>
      <c r="BP228" s="44"/>
      <c r="BQ228" s="46"/>
      <c r="BR228" s="29"/>
      <c r="BT228" s="41"/>
      <c r="BU228" s="44"/>
      <c r="BV228" s="44"/>
      <c r="BW228" s="44"/>
      <c r="BX228" s="44"/>
      <c r="BY228" s="44"/>
      <c r="BZ228" s="44"/>
      <c r="CA228" s="44"/>
      <c r="CB228" s="45"/>
      <c r="CC228" s="44"/>
      <c r="CD228" s="44"/>
      <c r="CE228" s="46"/>
      <c r="CF228" s="29"/>
      <c r="CH228" s="40">
        <f>IF($A237="","",$A237)</f>
        <v>46090</v>
      </c>
      <c r="CI228" s="35">
        <v>30242</v>
      </c>
      <c r="CJ228" s="5">
        <f t="shared" si="673"/>
        <v>38</v>
      </c>
      <c r="CK228" s="5">
        <v>485</v>
      </c>
      <c r="CL228" s="5">
        <f t="shared" si="674"/>
        <v>2</v>
      </c>
      <c r="CM228" s="4">
        <v>32</v>
      </c>
      <c r="CN228" s="5">
        <f t="shared" si="675"/>
        <v>2</v>
      </c>
      <c r="CO228" s="4">
        <v>0</v>
      </c>
      <c r="CP228" s="4"/>
      <c r="CQ228" s="4">
        <f t="shared" si="676"/>
        <v>880</v>
      </c>
      <c r="CR228" s="5">
        <f t="shared" si="677"/>
        <v>1760</v>
      </c>
      <c r="CS228" s="36">
        <f t="shared" si="678"/>
        <v>0.4631578947368421</v>
      </c>
      <c r="CT228" s="29"/>
      <c r="CV228" s="40">
        <f>IF($A237="","",$A237)</f>
        <v>46090</v>
      </c>
      <c r="CW228" s="35">
        <v>51952</v>
      </c>
      <c r="CX228" s="5">
        <f t="shared" si="679"/>
        <v>13</v>
      </c>
      <c r="CY228" s="5">
        <v>3261</v>
      </c>
      <c r="CZ228" s="5">
        <f t="shared" si="680"/>
        <v>2</v>
      </c>
      <c r="DA228" s="4">
        <v>98</v>
      </c>
      <c r="DB228" s="5">
        <f t="shared" si="681"/>
        <v>2</v>
      </c>
      <c r="DC228" s="4">
        <v>0</v>
      </c>
      <c r="DD228" s="4"/>
      <c r="DE228" s="4">
        <f t="shared" si="682"/>
        <v>0</v>
      </c>
      <c r="DF228" s="5">
        <f t="shared" si="683"/>
        <v>0</v>
      </c>
      <c r="DG228" s="36">
        <f t="shared" si="684"/>
        <v>0</v>
      </c>
      <c r="DH228" s="29"/>
      <c r="DJ228" s="40">
        <f>IF($A237="","",$A237)</f>
        <v>46090</v>
      </c>
      <c r="DK228" s="35">
        <v>17289</v>
      </c>
      <c r="DL228" s="5">
        <f t="shared" si="685"/>
        <v>50</v>
      </c>
      <c r="DM228" s="5">
        <v>321</v>
      </c>
      <c r="DN228" s="5">
        <f t="shared" si="686"/>
        <v>2</v>
      </c>
      <c r="DO228" s="4">
        <v>12</v>
      </c>
      <c r="DP228" s="5">
        <f t="shared" si="687"/>
        <v>2</v>
      </c>
      <c r="DQ228" s="4">
        <v>0</v>
      </c>
      <c r="DR228" s="4"/>
      <c r="DS228" s="4">
        <f t="shared" si="688"/>
        <v>300</v>
      </c>
      <c r="DT228" s="5">
        <f t="shared" si="689"/>
        <v>600</v>
      </c>
      <c r="DU228" s="36">
        <f t="shared" si="690"/>
        <v>0.12</v>
      </c>
      <c r="DV228" s="29"/>
      <c r="DX228" s="40">
        <f>IF($A237="","",$A237)</f>
        <v>46090</v>
      </c>
      <c r="DY228" s="35">
        <v>8769</v>
      </c>
      <c r="DZ228" s="5">
        <f t="shared" si="691"/>
        <v>720</v>
      </c>
      <c r="EA228" s="5">
        <v>76</v>
      </c>
      <c r="EB228" s="5">
        <f t="shared" si="692"/>
        <v>7</v>
      </c>
      <c r="EC228" s="4">
        <v>19</v>
      </c>
      <c r="ED228" s="5">
        <f t="shared" si="693"/>
        <v>7</v>
      </c>
      <c r="EE228" s="4">
        <v>0</v>
      </c>
      <c r="EF228" s="4"/>
      <c r="EG228" s="4">
        <f t="shared" si="694"/>
        <v>1500</v>
      </c>
      <c r="EH228" s="5">
        <f t="shared" si="695"/>
        <v>10500</v>
      </c>
      <c r="EI228" s="36">
        <f t="shared" si="696"/>
        <v>0.14583333333333334</v>
      </c>
      <c r="EJ228" s="29"/>
      <c r="EL228" s="40">
        <f>IF($A237="","",$A237)</f>
        <v>46090</v>
      </c>
      <c r="EM228" s="35">
        <v>549</v>
      </c>
      <c r="EN228" s="5">
        <f t="shared" si="697"/>
        <v>102</v>
      </c>
      <c r="EO228" s="5">
        <v>1015</v>
      </c>
      <c r="EP228" s="5">
        <f t="shared" si="698"/>
        <v>12</v>
      </c>
      <c r="EQ228" s="4">
        <v>30</v>
      </c>
      <c r="ER228" s="5">
        <f t="shared" si="699"/>
        <v>11</v>
      </c>
      <c r="ES228" s="4">
        <v>0</v>
      </c>
      <c r="ET228" s="4"/>
      <c r="EU228" s="4">
        <f t="shared" si="700"/>
        <v>220</v>
      </c>
      <c r="EV228" s="5">
        <f t="shared" si="701"/>
        <v>2420</v>
      </c>
      <c r="EW228" s="36">
        <f t="shared" si="702"/>
        <v>0.2372549019607843</v>
      </c>
      <c r="EX228" s="29"/>
      <c r="EZ228" s="40">
        <f>IF($A237="","",$A237)</f>
        <v>46090</v>
      </c>
      <c r="FA228" s="35">
        <v>340</v>
      </c>
      <c r="FB228" s="5">
        <f t="shared" si="703"/>
        <v>36</v>
      </c>
      <c r="FC228" s="5">
        <v>32</v>
      </c>
      <c r="FD228" s="5">
        <f t="shared" si="718"/>
        <v>7</v>
      </c>
      <c r="FE228" s="4">
        <v>54</v>
      </c>
      <c r="FF228" s="5">
        <f t="shared" si="719"/>
        <v>7</v>
      </c>
      <c r="FG228" s="4">
        <v>0</v>
      </c>
      <c r="FH228" s="4"/>
      <c r="FI228" s="4">
        <f t="shared" si="720"/>
        <v>490</v>
      </c>
      <c r="FJ228" s="5">
        <f t="shared" si="721"/>
        <v>3430</v>
      </c>
      <c r="FK228" s="36">
        <f t="shared" si="722"/>
        <v>0.95277777777777772</v>
      </c>
      <c r="FL228" s="29"/>
      <c r="FN228" s="40">
        <f>IF($A237="","",$A237)</f>
        <v>46090</v>
      </c>
      <c r="FO228" s="35">
        <v>417</v>
      </c>
      <c r="FP228" s="5">
        <f t="shared" si="723"/>
        <v>62</v>
      </c>
      <c r="FQ228" s="5">
        <v>45</v>
      </c>
      <c r="FR228" s="5">
        <f t="shared" si="724"/>
        <v>5</v>
      </c>
      <c r="FS228" s="4">
        <v>108</v>
      </c>
      <c r="FT228" s="5">
        <f t="shared" si="725"/>
        <v>5</v>
      </c>
      <c r="FU228" s="4">
        <v>0</v>
      </c>
      <c r="FV228" s="4"/>
      <c r="FW228" s="4">
        <f t="shared" si="726"/>
        <v>572</v>
      </c>
      <c r="FX228" s="5">
        <f t="shared" si="727"/>
        <v>2860</v>
      </c>
      <c r="FY228" s="36">
        <f t="shared" si="728"/>
        <v>0.46129032258064517</v>
      </c>
      <c r="FZ228" s="29"/>
      <c r="GB228" s="40">
        <f>IF($A237="","",$A237)</f>
        <v>46090</v>
      </c>
      <c r="GC228" s="35">
        <v>384</v>
      </c>
      <c r="GD228" s="5">
        <f t="shared" si="729"/>
        <v>22</v>
      </c>
      <c r="GE228" s="5">
        <v>41</v>
      </c>
      <c r="GF228" s="5">
        <f t="shared" si="704"/>
        <v>2</v>
      </c>
      <c r="GG228" s="4">
        <v>101</v>
      </c>
      <c r="GH228" s="5">
        <f t="shared" si="705"/>
        <v>2</v>
      </c>
      <c r="GI228" s="4">
        <v>0</v>
      </c>
      <c r="GJ228" s="4"/>
      <c r="GK228" s="4">
        <f t="shared" si="706"/>
        <v>600</v>
      </c>
      <c r="GL228" s="5">
        <f t="shared" si="707"/>
        <v>1200</v>
      </c>
      <c r="GM228" s="36">
        <f t="shared" si="708"/>
        <v>0.54545454545454541</v>
      </c>
      <c r="GN228" s="29"/>
      <c r="GP228" s="40">
        <f>IF($A237="","",$A237)</f>
        <v>46090</v>
      </c>
      <c r="GQ228" s="35">
        <v>84012</v>
      </c>
      <c r="GR228" s="5">
        <f t="shared" si="709"/>
        <v>180</v>
      </c>
      <c r="GS228" s="5">
        <v>3219</v>
      </c>
      <c r="GT228" s="5">
        <f t="shared" si="710"/>
        <v>1</v>
      </c>
      <c r="GU228" s="5">
        <v>3487</v>
      </c>
      <c r="GV228" s="5">
        <f t="shared" si="711"/>
        <v>3</v>
      </c>
      <c r="GW228" s="4">
        <v>21</v>
      </c>
      <c r="GX228" s="5">
        <f t="shared" si="712"/>
        <v>3</v>
      </c>
      <c r="GY228" s="4">
        <v>5</v>
      </c>
      <c r="GZ228" s="4"/>
      <c r="HA228" s="4">
        <f t="shared" si="730"/>
        <v>1000</v>
      </c>
      <c r="HB228" s="5">
        <f t="shared" si="713"/>
        <v>3000</v>
      </c>
      <c r="HC228" s="36">
        <f t="shared" si="714"/>
        <v>0.16666666666666666</v>
      </c>
      <c r="HD228" s="29"/>
      <c r="HF228" s="40">
        <f>IF($A237="","",$A237)</f>
        <v>46090</v>
      </c>
      <c r="HG228" s="35">
        <v>60990</v>
      </c>
      <c r="HH228" s="5">
        <f t="shared" si="715"/>
        <v>35</v>
      </c>
      <c r="HI228" s="5"/>
      <c r="HJ228" s="29"/>
      <c r="HL228" s="40">
        <f>IF($A237="","",$A237)</f>
        <v>46090</v>
      </c>
      <c r="HM228" s="35">
        <v>45213</v>
      </c>
      <c r="HN228" s="5">
        <f t="shared" si="716"/>
        <v>43</v>
      </c>
      <c r="HO228" s="5"/>
      <c r="HP228" s="29"/>
      <c r="HR228" s="40">
        <f>IF($A237="","",$A237)</f>
        <v>46090</v>
      </c>
      <c r="HS228" s="35">
        <v>42613</v>
      </c>
      <c r="HT228" s="5">
        <f t="shared" si="717"/>
        <v>47</v>
      </c>
      <c r="HU228" s="5"/>
      <c r="HV228" s="29"/>
    </row>
    <row r="229" spans="1:230" ht="15" customHeight="1" thickTop="1" x14ac:dyDescent="0.2">
      <c r="A229" s="49">
        <v>46084</v>
      </c>
      <c r="B229" s="26">
        <f>SUM(D229:D232)+SUM(R229:R232)+SUM(AF229:AF232)+SUM(AT229:AT232)+SUM(CJ226,CX226,DL226,DZ226,EN226,FB226,FP226,GD226,GR226,HH226,HN226,HT226)+SUM(BH229:BH232)+SUM(BV229:BV230)</f>
        <v>11497</v>
      </c>
      <c r="C229" s="4">
        <v>12925</v>
      </c>
      <c r="D229" s="4">
        <f t="shared" ref="D229:D280" si="731">IF(C229="","",C229-C225)</f>
        <v>46</v>
      </c>
      <c r="E229" s="4">
        <v>337</v>
      </c>
      <c r="F229" s="50">
        <f t="shared" ref="F229:F280" si="732">IF(E229="","",E229-E225)</f>
        <v>1</v>
      </c>
      <c r="G229" s="4">
        <v>13</v>
      </c>
      <c r="H229" s="4">
        <f t="shared" ref="H229:H275" si="733">IF(G229="","",G225+I225-G229)</f>
        <v>1</v>
      </c>
      <c r="I229" s="51"/>
      <c r="J229" s="31" t="s">
        <v>115</v>
      </c>
      <c r="K229" s="27">
        <v>748</v>
      </c>
      <c r="L229" s="50">
        <f t="shared" ref="L229:L280" si="734">IF(G229="","",H229*K229)</f>
        <v>748</v>
      </c>
      <c r="M229" s="52">
        <f t="shared" ref="M229:M280" si="735">IF(H229="","",L229/(D229*100))</f>
        <v>0.16260869565217392</v>
      </c>
      <c r="N229" s="29"/>
      <c r="O229" s="30"/>
      <c r="P229" s="53">
        <f>IF($A229="","",$A229)</f>
        <v>46084</v>
      </c>
      <c r="Q229" s="4">
        <v>8992</v>
      </c>
      <c r="R229" s="4">
        <f t="shared" ref="R229:R256" si="736">IF(Q229="","",Q229-Q225)</f>
        <v>-3</v>
      </c>
      <c r="S229" s="4">
        <v>173</v>
      </c>
      <c r="T229" s="50">
        <f t="shared" ref="T229:T256" si="737">IF(S229="","",S229-S225)</f>
        <v>173</v>
      </c>
      <c r="U229" s="4"/>
      <c r="V229" s="4" t="str">
        <f t="shared" ref="V229:V235" si="738">IF(U229="","",U225+W225-U229)</f>
        <v/>
      </c>
      <c r="W229" s="51">
        <v>15</v>
      </c>
      <c r="X229" s="31">
        <f t="shared" ref="X229:X256" si="739">IF(Q229="","",X225)</f>
        <v>0</v>
      </c>
      <c r="Y229" s="27">
        <v>660</v>
      </c>
      <c r="Z229" s="50" t="str">
        <f t="shared" ref="Z229:Z256" si="740">IF(U229="","",V229*Y229)</f>
        <v/>
      </c>
      <c r="AA229" s="52" t="str">
        <f t="shared" ref="AA229:AA256" si="741">IF(V229="","",Z229/(R229*100))</f>
        <v/>
      </c>
      <c r="AB229" s="29"/>
      <c r="AD229" s="53">
        <f>IF($A229="","",$A229)</f>
        <v>46084</v>
      </c>
      <c r="AE229" s="4">
        <v>1040</v>
      </c>
      <c r="AF229" s="4">
        <f t="shared" ref="AF229:AF256" si="742">IF(AE229="","",AE229-AE225)</f>
        <v>496</v>
      </c>
      <c r="AG229" s="4">
        <v>1</v>
      </c>
      <c r="AH229" s="50">
        <f t="shared" ref="AH229:AH256" si="743">IF(AG229="","",AG229-AG225)</f>
        <v>1</v>
      </c>
      <c r="AI229" s="4">
        <v>21</v>
      </c>
      <c r="AJ229" s="4"/>
      <c r="AK229" s="51"/>
      <c r="AL229" s="31" t="str">
        <f>IF(AE229="","",AL225)</f>
        <v>モンチッチがま口</v>
      </c>
      <c r="AM229" s="27">
        <f t="shared" ref="AM229:AM256" si="744">IF(AF229="","",AM225)</f>
        <v>462</v>
      </c>
      <c r="AN229" s="50">
        <f t="shared" ref="AN229:AN256" si="745">IF(AI229="","",AJ229*AM229)</f>
        <v>0</v>
      </c>
      <c r="AO229" s="52" t="str">
        <f t="shared" ref="AO229:AO256" si="746">IF(AJ229="","",AN229/(AF229*100))</f>
        <v/>
      </c>
      <c r="AP229" s="29"/>
      <c r="AR229" s="53">
        <f>IF($A229="","",$A229)</f>
        <v>46084</v>
      </c>
      <c r="AS229" s="4">
        <v>489</v>
      </c>
      <c r="AT229" s="4">
        <f t="shared" ref="AT229:AT256" si="747">IF(AS229="","",AS229-AS225)</f>
        <v>166</v>
      </c>
      <c r="AU229" s="4">
        <v>10</v>
      </c>
      <c r="AV229" s="50">
        <f t="shared" ref="AV229:AV256" si="748">IF(AU229="","",AU229-AU225)</f>
        <v>10</v>
      </c>
      <c r="AW229" s="4">
        <v>14</v>
      </c>
      <c r="AX229" s="4"/>
      <c r="AY229" s="51"/>
      <c r="AZ229" s="31" t="str">
        <f t="shared" ref="AZ229:AZ256" si="749">IF(AS229="","",AZ225)</f>
        <v>デジタルミニカメラ</v>
      </c>
      <c r="BA229" s="27">
        <f t="shared" ref="BA229:BA256" si="750">IF(AT229="","",BA225)</f>
        <v>1075</v>
      </c>
      <c r="BB229" s="50">
        <f t="shared" ref="BB229:BB256" si="751">IF(AW229="","",AX229*BA229)</f>
        <v>0</v>
      </c>
      <c r="BC229" s="52" t="str">
        <f t="shared" ref="BC229:BC256" si="752">IF(AX229="","",BB229/(AT229*100))</f>
        <v/>
      </c>
      <c r="BD229" s="29"/>
      <c r="BE229" s="32"/>
      <c r="BF229" s="33">
        <f>IF($A229="","",$A229+BF234)</f>
        <v>46084</v>
      </c>
      <c r="BG229" s="5">
        <v>1742</v>
      </c>
      <c r="BH229" s="4">
        <v>2985</v>
      </c>
      <c r="BI229" s="5">
        <v>10</v>
      </c>
      <c r="BJ229" s="50"/>
      <c r="BK229" s="4">
        <v>0</v>
      </c>
      <c r="BL229" s="4">
        <f>IF(BK229="","",BK225+BM225-BK229)</f>
        <v>3</v>
      </c>
      <c r="BM229" s="4">
        <v>10</v>
      </c>
      <c r="BN229" s="2" t="str">
        <f>IF(BG229="","",BN225)</f>
        <v>ボンボンドロップシール</v>
      </c>
      <c r="BO229" s="27">
        <f>IF(BG229="","",BO225)</f>
        <v>1500</v>
      </c>
      <c r="BP229" s="5">
        <f t="shared" ref="BP229:BP280" si="753">IF(BK229="","",BL229*BO229)</f>
        <v>4500</v>
      </c>
      <c r="BQ229" s="52">
        <f>IF(BL229="","",BP229/(BH229*100))</f>
        <v>1.507537688442211E-2</v>
      </c>
      <c r="BR229" s="29" t="s">
        <v>318</v>
      </c>
      <c r="BT229" s="33">
        <f>IF($A229="","",$A229)</f>
        <v>46084</v>
      </c>
      <c r="BU229" s="58">
        <v>34900</v>
      </c>
      <c r="BV229" s="58">
        <f>BU229-BU225</f>
        <v>144</v>
      </c>
      <c r="BW229" s="58">
        <v>3804</v>
      </c>
      <c r="BX229" s="58">
        <f>BW229-BW225</f>
        <v>4</v>
      </c>
      <c r="BY229" s="58">
        <v>27</v>
      </c>
      <c r="BZ229" s="4">
        <f>IF(BY229="","",BY225+CA225-BY229)</f>
        <v>4</v>
      </c>
      <c r="CA229" s="58">
        <v>0</v>
      </c>
      <c r="CB229" s="2" t="str">
        <f>IF(BU229="","",CB225)</f>
        <v>ＡＩモンスター</v>
      </c>
      <c r="CC229" s="27">
        <f>IF(BU229="","",CC225)</f>
        <v>550</v>
      </c>
      <c r="CD229" s="5">
        <f t="shared" ref="CD229:CD230" si="754">IF(BY229="","",BZ229*CC229)</f>
        <v>2200</v>
      </c>
      <c r="CE229" s="52">
        <f>IF(BZ229="","",CD229/(BV229*100))</f>
        <v>0.15277777777777779</v>
      </c>
      <c r="CF229" s="29"/>
      <c r="CH229" s="40">
        <f>IF($A241="","",$A241)</f>
        <v>46091</v>
      </c>
      <c r="CI229" s="35">
        <v>30255</v>
      </c>
      <c r="CJ229" s="5">
        <f>IF(CI229="","",CI229-CI228)</f>
        <v>13</v>
      </c>
      <c r="CK229" s="5">
        <v>485</v>
      </c>
      <c r="CL229" s="5">
        <v>0</v>
      </c>
      <c r="CM229" s="4">
        <v>32</v>
      </c>
      <c r="CN229" s="5">
        <f t="shared" si="675"/>
        <v>0</v>
      </c>
      <c r="CO229" s="4">
        <v>0</v>
      </c>
      <c r="CP229" s="4"/>
      <c r="CQ229" s="4">
        <f t="shared" si="676"/>
        <v>880</v>
      </c>
      <c r="CR229" s="5">
        <f t="shared" si="677"/>
        <v>0</v>
      </c>
      <c r="CS229" s="36">
        <f t="shared" si="678"/>
        <v>0</v>
      </c>
      <c r="CT229" s="29"/>
      <c r="CV229" s="40">
        <f>IF($A241="","",$A241)</f>
        <v>46091</v>
      </c>
      <c r="CW229" s="35">
        <v>51957</v>
      </c>
      <c r="CX229" s="5">
        <f t="shared" si="679"/>
        <v>5</v>
      </c>
      <c r="CY229" s="5">
        <v>3261</v>
      </c>
      <c r="CZ229" s="5">
        <f t="shared" si="680"/>
        <v>0</v>
      </c>
      <c r="DA229" s="4">
        <v>98</v>
      </c>
      <c r="DB229" s="5">
        <f t="shared" si="681"/>
        <v>0</v>
      </c>
      <c r="DC229" s="4">
        <v>0</v>
      </c>
      <c r="DD229" s="4"/>
      <c r="DE229" s="4">
        <f t="shared" si="682"/>
        <v>0</v>
      </c>
      <c r="DF229" s="5">
        <f t="shared" si="683"/>
        <v>0</v>
      </c>
      <c r="DG229" s="36">
        <f t="shared" si="684"/>
        <v>0</v>
      </c>
      <c r="DH229" s="29"/>
      <c r="DJ229" s="40">
        <f>IF($A241="","",$A241)</f>
        <v>46091</v>
      </c>
      <c r="DK229" s="35">
        <v>17316</v>
      </c>
      <c r="DL229" s="5">
        <f>IF(DK229="","",DK229-DK228)</f>
        <v>27</v>
      </c>
      <c r="DM229" s="5">
        <v>321</v>
      </c>
      <c r="DN229" s="5">
        <f t="shared" si="686"/>
        <v>0</v>
      </c>
      <c r="DO229" s="4">
        <v>12</v>
      </c>
      <c r="DP229" s="5">
        <f t="shared" si="687"/>
        <v>0</v>
      </c>
      <c r="DQ229" s="4"/>
      <c r="DR229" s="4"/>
      <c r="DS229" s="4">
        <f t="shared" si="688"/>
        <v>300</v>
      </c>
      <c r="DT229" s="5">
        <f t="shared" si="689"/>
        <v>0</v>
      </c>
      <c r="DU229" s="36">
        <f t="shared" si="690"/>
        <v>0</v>
      </c>
      <c r="DV229" s="29"/>
      <c r="DX229" s="40">
        <f>IF($A241="","",$A241)</f>
        <v>46091</v>
      </c>
      <c r="DY229" s="35">
        <v>9444</v>
      </c>
      <c r="DZ229" s="5">
        <f>IF(DY229="","",DY229-DY228)</f>
        <v>675</v>
      </c>
      <c r="EA229" s="5">
        <v>83</v>
      </c>
      <c r="EB229" s="5">
        <f t="shared" si="692"/>
        <v>7</v>
      </c>
      <c r="EC229" s="4">
        <v>12</v>
      </c>
      <c r="ED229" s="5">
        <f t="shared" si="693"/>
        <v>7</v>
      </c>
      <c r="EE229" s="4">
        <v>6</v>
      </c>
      <c r="EF229" s="4"/>
      <c r="EG229" s="4">
        <f t="shared" si="694"/>
        <v>1500</v>
      </c>
      <c r="EH229" s="5">
        <f t="shared" si="695"/>
        <v>10500</v>
      </c>
      <c r="EI229" s="36">
        <f t="shared" si="696"/>
        <v>0.15555555555555556</v>
      </c>
      <c r="EJ229" s="29"/>
      <c r="EL229" s="40">
        <f>IF($A241="","",$A241)</f>
        <v>46091</v>
      </c>
      <c r="EM229" s="35">
        <v>579</v>
      </c>
      <c r="EN229" s="5">
        <f t="shared" si="697"/>
        <v>30</v>
      </c>
      <c r="EO229" s="5">
        <v>1020</v>
      </c>
      <c r="EP229" s="5">
        <f t="shared" si="698"/>
        <v>5</v>
      </c>
      <c r="EQ229" s="4">
        <v>25</v>
      </c>
      <c r="ER229" s="5">
        <f t="shared" si="699"/>
        <v>5</v>
      </c>
      <c r="ES229" s="4">
        <v>10</v>
      </c>
      <c r="ET229" s="4"/>
      <c r="EU229" s="4">
        <f t="shared" si="700"/>
        <v>220</v>
      </c>
      <c r="EV229" s="5">
        <f t="shared" si="701"/>
        <v>1100</v>
      </c>
      <c r="EW229" s="36">
        <f t="shared" si="702"/>
        <v>0.36666666666666664</v>
      </c>
      <c r="EX229" s="29"/>
      <c r="EZ229" s="40">
        <f>IF($A241="","",$A241)</f>
        <v>46091</v>
      </c>
      <c r="FA229" s="35">
        <v>350</v>
      </c>
      <c r="FB229" s="5">
        <f t="shared" si="703"/>
        <v>10</v>
      </c>
      <c r="FC229" s="5">
        <v>34</v>
      </c>
      <c r="FD229" s="5">
        <f t="shared" si="718"/>
        <v>2</v>
      </c>
      <c r="FE229" s="4">
        <v>52</v>
      </c>
      <c r="FF229" s="5">
        <f t="shared" si="719"/>
        <v>2</v>
      </c>
      <c r="FG229" s="4">
        <v>0</v>
      </c>
      <c r="FH229" s="4"/>
      <c r="FI229" s="4">
        <f t="shared" si="720"/>
        <v>490</v>
      </c>
      <c r="FJ229" s="5">
        <f t="shared" si="721"/>
        <v>980</v>
      </c>
      <c r="FK229" s="36">
        <f t="shared" si="722"/>
        <v>0.98</v>
      </c>
      <c r="FL229" s="29"/>
      <c r="FN229" s="40">
        <f>IF($A241="","",$A241)</f>
        <v>46091</v>
      </c>
      <c r="FO229" s="35">
        <v>428</v>
      </c>
      <c r="FP229" s="5">
        <f t="shared" si="723"/>
        <v>11</v>
      </c>
      <c r="FQ229" s="5">
        <v>46</v>
      </c>
      <c r="FR229" s="5">
        <f t="shared" si="724"/>
        <v>1</v>
      </c>
      <c r="FS229" s="4">
        <v>107</v>
      </c>
      <c r="FT229" s="5">
        <f t="shared" si="725"/>
        <v>1</v>
      </c>
      <c r="FU229" s="4">
        <v>0</v>
      </c>
      <c r="FV229" s="4"/>
      <c r="FW229" s="4">
        <f t="shared" si="726"/>
        <v>572</v>
      </c>
      <c r="FX229" s="5">
        <f t="shared" si="727"/>
        <v>572</v>
      </c>
      <c r="FY229" s="36">
        <f t="shared" si="728"/>
        <v>0.52</v>
      </c>
      <c r="FZ229" s="29"/>
      <c r="GB229" s="40">
        <f>IF($A241="","",$A241)</f>
        <v>46091</v>
      </c>
      <c r="GC229" s="35">
        <v>384</v>
      </c>
      <c r="GD229" s="48">
        <f t="shared" si="729"/>
        <v>0</v>
      </c>
      <c r="GE229" s="5">
        <v>41</v>
      </c>
      <c r="GF229" s="5">
        <f t="shared" si="704"/>
        <v>0</v>
      </c>
      <c r="GG229" s="4">
        <v>101</v>
      </c>
      <c r="GH229" s="5">
        <f t="shared" si="705"/>
        <v>0</v>
      </c>
      <c r="GI229" s="4">
        <v>0</v>
      </c>
      <c r="GJ229" s="4"/>
      <c r="GK229" s="4">
        <f t="shared" si="706"/>
        <v>600</v>
      </c>
      <c r="GL229" s="5">
        <f t="shared" si="707"/>
        <v>0</v>
      </c>
      <c r="GM229" s="36" t="e">
        <f t="shared" si="708"/>
        <v>#DIV/0!</v>
      </c>
      <c r="GN229" s="29"/>
      <c r="GP229" s="40">
        <f>IF($A241="","",$A241)</f>
        <v>46091</v>
      </c>
      <c r="GQ229" s="35">
        <v>84049</v>
      </c>
      <c r="GR229" s="5">
        <f t="shared" si="709"/>
        <v>37</v>
      </c>
      <c r="GS229" s="5">
        <v>3219</v>
      </c>
      <c r="GT229" s="5">
        <f t="shared" si="710"/>
        <v>0</v>
      </c>
      <c r="GU229" s="5">
        <v>3487</v>
      </c>
      <c r="GV229" s="5">
        <f t="shared" si="711"/>
        <v>0</v>
      </c>
      <c r="GW229" s="4">
        <v>26</v>
      </c>
      <c r="GX229" s="5">
        <f t="shared" si="712"/>
        <v>0</v>
      </c>
      <c r="GY229" s="4">
        <v>0</v>
      </c>
      <c r="GZ229" s="4"/>
      <c r="HA229" s="4">
        <f t="shared" si="730"/>
        <v>1000</v>
      </c>
      <c r="HB229" s="5">
        <f t="shared" si="713"/>
        <v>0</v>
      </c>
      <c r="HC229" s="36">
        <f t="shared" si="714"/>
        <v>0</v>
      </c>
      <c r="HD229" s="29"/>
      <c r="HF229" s="40">
        <f>IF($A241="","",$A241)</f>
        <v>46091</v>
      </c>
      <c r="HG229" s="35">
        <v>60997</v>
      </c>
      <c r="HH229" s="5">
        <f t="shared" si="715"/>
        <v>7</v>
      </c>
      <c r="HI229" s="5"/>
      <c r="HJ229" s="29"/>
      <c r="HL229" s="40">
        <f>IF($A241="","",$A241)</f>
        <v>46091</v>
      </c>
      <c r="HM229" s="35">
        <v>45217</v>
      </c>
      <c r="HN229" s="5">
        <f t="shared" si="716"/>
        <v>4</v>
      </c>
      <c r="HO229" s="5"/>
      <c r="HP229" s="29"/>
      <c r="HR229" s="40">
        <f>IF($A241="","",$A241)</f>
        <v>46091</v>
      </c>
      <c r="HS229" s="35">
        <v>42622</v>
      </c>
      <c r="HT229" s="5">
        <f t="shared" si="717"/>
        <v>9</v>
      </c>
      <c r="HU229" s="5"/>
      <c r="HV229" s="29"/>
    </row>
    <row r="230" spans="1:230" x14ac:dyDescent="0.2">
      <c r="A230" s="54"/>
      <c r="B230" s="55"/>
      <c r="C230" s="4">
        <v>16450</v>
      </c>
      <c r="D230" s="5">
        <f t="shared" si="731"/>
        <v>-20</v>
      </c>
      <c r="E230" s="5">
        <v>514</v>
      </c>
      <c r="F230" s="5">
        <f t="shared" si="732"/>
        <v>0</v>
      </c>
      <c r="G230" s="5">
        <v>35</v>
      </c>
      <c r="H230" s="5">
        <f t="shared" si="733"/>
        <v>0</v>
      </c>
      <c r="I230" s="35"/>
      <c r="J230" s="38" t="s">
        <v>116</v>
      </c>
      <c r="K230" s="39">
        <v>358</v>
      </c>
      <c r="L230" s="5">
        <f t="shared" si="734"/>
        <v>0</v>
      </c>
      <c r="M230" s="36">
        <f t="shared" si="735"/>
        <v>0</v>
      </c>
      <c r="N230" s="29"/>
      <c r="O230" s="30"/>
      <c r="P230" s="54"/>
      <c r="Q230" s="4">
        <v>9978</v>
      </c>
      <c r="R230" s="5">
        <f t="shared" si="736"/>
        <v>51</v>
      </c>
      <c r="S230" s="5">
        <v>167</v>
      </c>
      <c r="T230" s="5">
        <f t="shared" si="737"/>
        <v>167</v>
      </c>
      <c r="U230" s="5"/>
      <c r="V230" s="5" t="str">
        <f t="shared" si="738"/>
        <v/>
      </c>
      <c r="W230" s="35">
        <v>8</v>
      </c>
      <c r="X230" s="38">
        <f t="shared" si="739"/>
        <v>0</v>
      </c>
      <c r="Y230" s="39">
        <v>825</v>
      </c>
      <c r="Z230" s="5" t="str">
        <f t="shared" si="740"/>
        <v/>
      </c>
      <c r="AA230" s="36" t="str">
        <f t="shared" si="741"/>
        <v/>
      </c>
      <c r="AB230" s="29"/>
      <c r="AD230" s="54"/>
      <c r="AE230" s="4">
        <v>300</v>
      </c>
      <c r="AF230" s="5">
        <f t="shared" si="742"/>
        <v>124</v>
      </c>
      <c r="AG230" s="5">
        <v>0</v>
      </c>
      <c r="AH230" s="5">
        <f t="shared" si="743"/>
        <v>0</v>
      </c>
      <c r="AI230" s="5">
        <v>8</v>
      </c>
      <c r="AJ230" s="5"/>
      <c r="AK230" s="35"/>
      <c r="AL230" s="38" t="str">
        <f t="shared" ref="AL230:AL256" si="755">IF(AE230="","",AL226)</f>
        <v>たまごっちマスコット</v>
      </c>
      <c r="AM230" s="39">
        <f t="shared" si="744"/>
        <v>1500</v>
      </c>
      <c r="AN230" s="5">
        <f t="shared" si="745"/>
        <v>0</v>
      </c>
      <c r="AO230" s="36" t="str">
        <f t="shared" si="746"/>
        <v/>
      </c>
      <c r="AP230" s="29"/>
      <c r="AR230" s="54"/>
      <c r="AS230" s="4">
        <v>423</v>
      </c>
      <c r="AT230" s="5">
        <f t="shared" si="747"/>
        <v>154</v>
      </c>
      <c r="AU230" s="5">
        <v>995</v>
      </c>
      <c r="AV230" s="5">
        <f t="shared" si="748"/>
        <v>995</v>
      </c>
      <c r="AW230" s="5">
        <v>12</v>
      </c>
      <c r="AX230" s="5"/>
      <c r="AY230" s="35"/>
      <c r="AZ230" s="38" t="str">
        <f t="shared" si="749"/>
        <v>ゲーム機イヤホン</v>
      </c>
      <c r="BA230" s="39">
        <f t="shared" si="750"/>
        <v>770</v>
      </c>
      <c r="BB230" s="5">
        <f t="shared" si="751"/>
        <v>0</v>
      </c>
      <c r="BC230" s="36" t="str">
        <f t="shared" si="752"/>
        <v/>
      </c>
      <c r="BD230" s="29"/>
      <c r="BE230" s="32"/>
      <c r="BF230" s="25"/>
      <c r="BG230" s="4">
        <v>2078</v>
      </c>
      <c r="BH230" s="5">
        <v>1097</v>
      </c>
      <c r="BI230" s="4">
        <v>12</v>
      </c>
      <c r="BJ230" s="5"/>
      <c r="BK230" s="5">
        <v>0</v>
      </c>
      <c r="BL230" s="5">
        <f t="shared" ref="BL230:BL279" si="756">IF(BK230="","",BK226+BM226-BK230)</f>
        <v>3</v>
      </c>
      <c r="BM230" s="4">
        <v>12</v>
      </c>
      <c r="BN230" s="3" t="str">
        <f>IF(BG230="","",BN226)</f>
        <v>ボンボンドロップシール</v>
      </c>
      <c r="BO230" s="39">
        <f>IF(BG229="","",BO226)</f>
        <v>1500</v>
      </c>
      <c r="BP230" s="4">
        <f t="shared" si="753"/>
        <v>4500</v>
      </c>
      <c r="BQ230" s="36">
        <f>IF(BL230="","",BP230/(BH230*100))</f>
        <v>4.1020966271649952E-2</v>
      </c>
      <c r="BR230" s="29"/>
      <c r="BT230" s="56"/>
      <c r="BU230" s="116">
        <v>30998</v>
      </c>
      <c r="BV230" s="117">
        <f>BU230-BU226</f>
        <v>441</v>
      </c>
      <c r="BW230" s="117">
        <v>1660</v>
      </c>
      <c r="BX230" s="117">
        <f>BW230-BW226</f>
        <v>8</v>
      </c>
      <c r="BY230" s="117">
        <v>47</v>
      </c>
      <c r="BZ230" s="5">
        <f>IF(BY230="","",BY226+CA226-BY230)</f>
        <v>8</v>
      </c>
      <c r="CA230" s="118">
        <v>0</v>
      </c>
      <c r="CB230" s="119" t="str">
        <f>IF(BU230="","",CB226)</f>
        <v>サンリオボアポーチ</v>
      </c>
      <c r="CC230" s="39">
        <f>IF(BU229="","",CC226)</f>
        <v>950</v>
      </c>
      <c r="CD230" s="4">
        <f t="shared" si="754"/>
        <v>7600</v>
      </c>
      <c r="CE230" s="36">
        <f>IF(BZ230="","",CD230/(BV230*100))</f>
        <v>0.17233560090702948</v>
      </c>
      <c r="CF230" s="29"/>
      <c r="CH230" s="40">
        <f>IF($A245="","",$A245)</f>
        <v>46094</v>
      </c>
      <c r="CI230" s="35">
        <v>30329</v>
      </c>
      <c r="CJ230" s="5">
        <f t="shared" si="673"/>
        <v>74</v>
      </c>
      <c r="CK230" s="5">
        <v>485</v>
      </c>
      <c r="CL230" s="5">
        <f t="shared" si="674"/>
        <v>0</v>
      </c>
      <c r="CM230" s="4">
        <v>32</v>
      </c>
      <c r="CN230" s="5">
        <f t="shared" si="675"/>
        <v>0</v>
      </c>
      <c r="CO230" s="4"/>
      <c r="CP230" s="4"/>
      <c r="CQ230" s="4">
        <f t="shared" si="676"/>
        <v>880</v>
      </c>
      <c r="CR230" s="5">
        <f t="shared" si="677"/>
        <v>0</v>
      </c>
      <c r="CS230" s="36">
        <f t="shared" si="678"/>
        <v>0</v>
      </c>
      <c r="CT230" s="29"/>
      <c r="CV230" s="40">
        <f>IF($A245="","",$A245)</f>
        <v>46094</v>
      </c>
      <c r="CW230" s="35">
        <v>51961</v>
      </c>
      <c r="CX230" s="5">
        <f t="shared" si="679"/>
        <v>4</v>
      </c>
      <c r="CY230" s="5">
        <v>3261</v>
      </c>
      <c r="CZ230" s="5">
        <f t="shared" si="680"/>
        <v>0</v>
      </c>
      <c r="DA230" s="4">
        <v>98</v>
      </c>
      <c r="DB230" s="5">
        <f t="shared" si="681"/>
        <v>0</v>
      </c>
      <c r="DC230" s="4">
        <v>40</v>
      </c>
      <c r="DD230" s="4"/>
      <c r="DE230" s="4">
        <f t="shared" si="682"/>
        <v>0</v>
      </c>
      <c r="DF230" s="5">
        <f t="shared" si="683"/>
        <v>0</v>
      </c>
      <c r="DG230" s="36">
        <f t="shared" si="684"/>
        <v>0</v>
      </c>
      <c r="DH230" s="29" t="s">
        <v>138</v>
      </c>
      <c r="DJ230" s="40">
        <f>IF($A245="","",$A245)</f>
        <v>46094</v>
      </c>
      <c r="DK230" s="35">
        <v>17345</v>
      </c>
      <c r="DL230" s="5">
        <f t="shared" si="685"/>
        <v>29</v>
      </c>
      <c r="DM230" s="5">
        <v>322</v>
      </c>
      <c r="DN230" s="5">
        <f t="shared" si="686"/>
        <v>1</v>
      </c>
      <c r="DO230" s="4">
        <v>11</v>
      </c>
      <c r="DP230" s="5">
        <f t="shared" si="687"/>
        <v>1</v>
      </c>
      <c r="DQ230" s="4"/>
      <c r="DR230" s="4"/>
      <c r="DS230" s="4">
        <f t="shared" si="688"/>
        <v>300</v>
      </c>
      <c r="DT230" s="5">
        <f t="shared" si="689"/>
        <v>300</v>
      </c>
      <c r="DU230" s="36">
        <f t="shared" si="690"/>
        <v>0.10344827586206896</v>
      </c>
      <c r="DV230" s="29"/>
      <c r="DX230" s="40">
        <f>IF($A245="","",$A245)</f>
        <v>46094</v>
      </c>
      <c r="DY230" s="35">
        <v>9745</v>
      </c>
      <c r="DZ230" s="5">
        <f t="shared" si="691"/>
        <v>301</v>
      </c>
      <c r="EA230" s="5">
        <v>86</v>
      </c>
      <c r="EB230" s="5">
        <f t="shared" si="692"/>
        <v>3</v>
      </c>
      <c r="EC230" s="4">
        <v>10</v>
      </c>
      <c r="ED230" s="5">
        <f t="shared" si="693"/>
        <v>8</v>
      </c>
      <c r="EE230" s="4">
        <v>8</v>
      </c>
      <c r="EF230" s="4"/>
      <c r="EG230" s="4">
        <f t="shared" si="694"/>
        <v>1500</v>
      </c>
      <c r="EH230" s="5">
        <f t="shared" si="695"/>
        <v>12000</v>
      </c>
      <c r="EI230" s="36">
        <f t="shared" si="696"/>
        <v>0.39867109634551495</v>
      </c>
      <c r="EJ230" s="29"/>
      <c r="EL230" s="40">
        <f>IF($A245="","",$A245)</f>
        <v>46094</v>
      </c>
      <c r="EM230" s="35">
        <v>605</v>
      </c>
      <c r="EN230" s="5">
        <f t="shared" si="697"/>
        <v>26</v>
      </c>
      <c r="EO230" s="5">
        <v>1021</v>
      </c>
      <c r="EP230" s="5">
        <f t="shared" si="698"/>
        <v>1</v>
      </c>
      <c r="EQ230" s="4">
        <v>34</v>
      </c>
      <c r="ER230" s="5">
        <f t="shared" si="699"/>
        <v>1</v>
      </c>
      <c r="ES230" s="4"/>
      <c r="ET230" s="4"/>
      <c r="EU230" s="4">
        <f t="shared" si="700"/>
        <v>220</v>
      </c>
      <c r="EV230" s="5">
        <f t="shared" si="701"/>
        <v>220</v>
      </c>
      <c r="EW230" s="36">
        <f t="shared" si="702"/>
        <v>8.461538461538462E-2</v>
      </c>
      <c r="EX230" s="29"/>
      <c r="EZ230" s="40">
        <f>IF($A245="","",$A245)</f>
        <v>46094</v>
      </c>
      <c r="FA230" s="35">
        <v>351</v>
      </c>
      <c r="FB230" s="48">
        <f t="shared" si="703"/>
        <v>1</v>
      </c>
      <c r="FC230" s="5">
        <v>34</v>
      </c>
      <c r="FD230" s="5">
        <f t="shared" si="718"/>
        <v>0</v>
      </c>
      <c r="FE230" s="4">
        <v>52</v>
      </c>
      <c r="FF230" s="5">
        <f t="shared" si="719"/>
        <v>0</v>
      </c>
      <c r="FG230" s="4">
        <v>0</v>
      </c>
      <c r="FH230" s="4"/>
      <c r="FI230" s="4">
        <f t="shared" si="720"/>
        <v>490</v>
      </c>
      <c r="FJ230" s="5">
        <f t="shared" si="721"/>
        <v>0</v>
      </c>
      <c r="FK230" s="36">
        <f t="shared" si="722"/>
        <v>0</v>
      </c>
      <c r="FL230" s="29"/>
      <c r="FN230" s="40">
        <f>IF($A245="","",$A245)</f>
        <v>46094</v>
      </c>
      <c r="FO230" s="35">
        <v>459</v>
      </c>
      <c r="FP230" s="5">
        <f t="shared" si="723"/>
        <v>31</v>
      </c>
      <c r="FQ230" s="5">
        <v>48</v>
      </c>
      <c r="FR230" s="5">
        <f t="shared" si="724"/>
        <v>2</v>
      </c>
      <c r="FS230" s="4">
        <v>105</v>
      </c>
      <c r="FT230" s="5">
        <f t="shared" si="725"/>
        <v>2</v>
      </c>
      <c r="FU230" s="4">
        <v>0</v>
      </c>
      <c r="FV230" s="4"/>
      <c r="FW230" s="4">
        <f t="shared" si="726"/>
        <v>572</v>
      </c>
      <c r="FX230" s="5">
        <f t="shared" si="727"/>
        <v>1144</v>
      </c>
      <c r="FY230" s="36">
        <f t="shared" si="728"/>
        <v>0.36903225806451612</v>
      </c>
      <c r="FZ230" s="29"/>
      <c r="GB230" s="40">
        <f>IF($A245="","",$A245)</f>
        <v>46094</v>
      </c>
      <c r="GC230" s="35">
        <v>399</v>
      </c>
      <c r="GD230" s="5">
        <f t="shared" si="729"/>
        <v>15</v>
      </c>
      <c r="GE230" s="5">
        <v>42</v>
      </c>
      <c r="GF230" s="5">
        <f t="shared" si="704"/>
        <v>1</v>
      </c>
      <c r="GG230" s="4">
        <v>100</v>
      </c>
      <c r="GH230" s="5">
        <f t="shared" si="705"/>
        <v>1</v>
      </c>
      <c r="GI230" s="4"/>
      <c r="GJ230" s="4"/>
      <c r="GK230" s="4">
        <f t="shared" si="706"/>
        <v>600</v>
      </c>
      <c r="GL230" s="5">
        <f t="shared" si="707"/>
        <v>600</v>
      </c>
      <c r="GM230" s="36">
        <f t="shared" si="708"/>
        <v>0.4</v>
      </c>
      <c r="GN230" s="29"/>
      <c r="GP230" s="40">
        <f>IF($A245="","",$A245)</f>
        <v>46094</v>
      </c>
      <c r="GQ230" s="35">
        <v>84098</v>
      </c>
      <c r="GR230" s="5">
        <f t="shared" si="709"/>
        <v>49</v>
      </c>
      <c r="GS230" s="5">
        <v>3219</v>
      </c>
      <c r="GT230" s="5">
        <f t="shared" si="710"/>
        <v>0</v>
      </c>
      <c r="GU230" s="5">
        <v>3489</v>
      </c>
      <c r="GV230" s="5">
        <f t="shared" si="711"/>
        <v>2</v>
      </c>
      <c r="GW230" s="4">
        <v>24</v>
      </c>
      <c r="GX230" s="5">
        <f t="shared" si="712"/>
        <v>2</v>
      </c>
      <c r="GY230" s="4"/>
      <c r="GZ230" s="4"/>
      <c r="HA230" s="4">
        <f t="shared" si="730"/>
        <v>1000</v>
      </c>
      <c r="HB230" s="5">
        <f t="shared" si="713"/>
        <v>2000</v>
      </c>
      <c r="HC230" s="36">
        <f t="shared" si="714"/>
        <v>0.40816326530612246</v>
      </c>
      <c r="HD230" s="29"/>
      <c r="HF230" s="40">
        <f>IF($A245="","",$A245)</f>
        <v>46094</v>
      </c>
      <c r="HG230" s="35">
        <v>61010</v>
      </c>
      <c r="HH230" s="5">
        <f t="shared" si="715"/>
        <v>13</v>
      </c>
      <c r="HI230" s="5"/>
      <c r="HJ230" s="29"/>
      <c r="HL230" s="40">
        <f>IF($A245="","",$A245)</f>
        <v>46094</v>
      </c>
      <c r="HM230" s="35">
        <v>45220</v>
      </c>
      <c r="HN230" s="5">
        <f t="shared" si="716"/>
        <v>3</v>
      </c>
      <c r="HO230" s="5"/>
      <c r="HP230" s="29"/>
      <c r="HR230" s="40">
        <f>IF($A245="","",$A245)</f>
        <v>46094</v>
      </c>
      <c r="HS230" s="35">
        <v>42630</v>
      </c>
      <c r="HT230" s="5">
        <f t="shared" si="717"/>
        <v>8</v>
      </c>
      <c r="HU230" s="5"/>
      <c r="HV230" s="29"/>
    </row>
    <row r="231" spans="1:230" x14ac:dyDescent="0.2">
      <c r="A231" s="54"/>
      <c r="B231" s="55"/>
      <c r="C231" s="57">
        <v>18072</v>
      </c>
      <c r="D231" s="5">
        <f t="shared" si="731"/>
        <v>1</v>
      </c>
      <c r="E231" s="5">
        <v>635</v>
      </c>
      <c r="F231" s="5">
        <f t="shared" si="732"/>
        <v>0</v>
      </c>
      <c r="G231" s="58">
        <v>33</v>
      </c>
      <c r="H231" s="5">
        <f t="shared" si="733"/>
        <v>0</v>
      </c>
      <c r="I231" s="59"/>
      <c r="J231" s="38" t="s">
        <v>117</v>
      </c>
      <c r="K231" s="5">
        <v>100</v>
      </c>
      <c r="L231" s="5">
        <f t="shared" si="734"/>
        <v>0</v>
      </c>
      <c r="M231" s="36">
        <f t="shared" si="735"/>
        <v>0</v>
      </c>
      <c r="N231" s="29"/>
      <c r="O231" s="30"/>
      <c r="P231" s="54"/>
      <c r="Q231" s="57">
        <v>10005</v>
      </c>
      <c r="R231" s="5">
        <f t="shared" si="736"/>
        <v>32</v>
      </c>
      <c r="S231" s="5">
        <v>268</v>
      </c>
      <c r="T231" s="5">
        <f t="shared" si="737"/>
        <v>268</v>
      </c>
      <c r="U231" s="58"/>
      <c r="V231" s="5" t="str">
        <f t="shared" si="738"/>
        <v/>
      </c>
      <c r="W231" s="59">
        <v>6</v>
      </c>
      <c r="X231" s="38">
        <f t="shared" si="739"/>
        <v>0</v>
      </c>
      <c r="Y231" s="5">
        <v>638</v>
      </c>
      <c r="Z231" s="5" t="str">
        <f t="shared" si="740"/>
        <v/>
      </c>
      <c r="AA231" s="36" t="str">
        <f t="shared" si="741"/>
        <v/>
      </c>
      <c r="AB231" s="29"/>
      <c r="AD231" s="54"/>
      <c r="AE231" s="57">
        <v>398</v>
      </c>
      <c r="AF231" s="5">
        <f t="shared" si="742"/>
        <v>133</v>
      </c>
      <c r="AG231" s="5">
        <v>997</v>
      </c>
      <c r="AH231" s="5">
        <f t="shared" si="743"/>
        <v>997</v>
      </c>
      <c r="AI231" s="58">
        <v>12</v>
      </c>
      <c r="AJ231" s="5"/>
      <c r="AK231" s="59"/>
      <c r="AL231" s="38" t="str">
        <f t="shared" si="755"/>
        <v>バタースクイーズ</v>
      </c>
      <c r="AM231" s="5">
        <f t="shared" si="744"/>
        <v>1100</v>
      </c>
      <c r="AN231" s="5">
        <f t="shared" si="745"/>
        <v>0</v>
      </c>
      <c r="AO231" s="36" t="str">
        <f t="shared" si="746"/>
        <v/>
      </c>
      <c r="AP231" s="29"/>
      <c r="AR231" s="54"/>
      <c r="AS231" s="57">
        <v>415</v>
      </c>
      <c r="AT231" s="5">
        <f t="shared" si="747"/>
        <v>115</v>
      </c>
      <c r="AU231" s="5">
        <v>996</v>
      </c>
      <c r="AV231" s="5">
        <f t="shared" si="748"/>
        <v>996</v>
      </c>
      <c r="AW231" s="58">
        <v>11</v>
      </c>
      <c r="AX231" s="5"/>
      <c r="AY231" s="59"/>
      <c r="AZ231" s="38" t="str">
        <f t="shared" si="749"/>
        <v>ゲームアーク</v>
      </c>
      <c r="BA231" s="5">
        <f t="shared" si="750"/>
        <v>682</v>
      </c>
      <c r="BB231" s="5">
        <f t="shared" si="751"/>
        <v>0</v>
      </c>
      <c r="BC231" s="36" t="str">
        <f t="shared" si="752"/>
        <v/>
      </c>
      <c r="BD231" s="29"/>
      <c r="BE231" s="32"/>
      <c r="BF231" s="25"/>
      <c r="BG231" s="5">
        <v>584</v>
      </c>
      <c r="BH231" s="5"/>
      <c r="BI231" s="5">
        <v>2</v>
      </c>
      <c r="BJ231" s="5"/>
      <c r="BK231" s="5">
        <v>0</v>
      </c>
      <c r="BL231" s="5">
        <f t="shared" si="756"/>
        <v>3</v>
      </c>
      <c r="BM231" s="57">
        <v>2</v>
      </c>
      <c r="BN231" s="3" t="str">
        <f>IF(BG229="","",BN227)</f>
        <v>プチドロップシール</v>
      </c>
      <c r="BO231" s="39">
        <f>IF(BG229="","",BO227)</f>
        <v>800</v>
      </c>
      <c r="BP231" s="5">
        <f t="shared" si="753"/>
        <v>2400</v>
      </c>
      <c r="BQ231" s="36">
        <f>IF(BL231="","",BP231/(BH230*100))</f>
        <v>2.187784867821331E-2</v>
      </c>
      <c r="BR231" s="29"/>
      <c r="BT231" s="25"/>
      <c r="BU231" s="4"/>
      <c r="BV231" s="4" t="str">
        <f t="shared" ref="BV231:BV280" si="757">IF(BU231="","",BU231-BU227)</f>
        <v/>
      </c>
      <c r="BW231" s="4"/>
      <c r="BX231" s="4" t="str">
        <f t="shared" ref="BX231:BX279" si="758">IF(BW231="","",BW231-BW227)</f>
        <v/>
      </c>
      <c r="BY231" s="4"/>
      <c r="BZ231" s="5"/>
      <c r="CA231" s="57"/>
      <c r="CB231" s="3"/>
      <c r="CC231" s="39"/>
      <c r="CD231" s="5"/>
      <c r="CE231" s="36"/>
      <c r="CF231" s="29"/>
      <c r="CH231" s="40" t="str">
        <f>IF($A249="","",$A249)</f>
        <v>3/16/月</v>
      </c>
      <c r="CI231" s="35">
        <v>30402</v>
      </c>
      <c r="CJ231" s="5">
        <f t="shared" si="673"/>
        <v>73</v>
      </c>
      <c r="CK231" s="5">
        <v>486</v>
      </c>
      <c r="CL231" s="5">
        <f t="shared" si="674"/>
        <v>1</v>
      </c>
      <c r="CM231" s="4">
        <v>31</v>
      </c>
      <c r="CN231" s="5">
        <f t="shared" si="675"/>
        <v>1</v>
      </c>
      <c r="CO231" s="4"/>
      <c r="CP231" s="4"/>
      <c r="CQ231" s="4">
        <f t="shared" si="676"/>
        <v>880</v>
      </c>
      <c r="CR231" s="5">
        <f t="shared" si="677"/>
        <v>880</v>
      </c>
      <c r="CS231" s="36">
        <f t="shared" si="678"/>
        <v>0.12054794520547946</v>
      </c>
      <c r="CT231" s="29"/>
      <c r="CV231" s="40" t="str">
        <f>IF($A249="","",$A249)</f>
        <v>3/16/月</v>
      </c>
      <c r="CW231" s="35">
        <v>52020</v>
      </c>
      <c r="CX231" s="5">
        <f t="shared" si="679"/>
        <v>59</v>
      </c>
      <c r="CY231" s="5">
        <v>3263</v>
      </c>
      <c r="CZ231" s="5">
        <f t="shared" si="680"/>
        <v>2</v>
      </c>
      <c r="DA231" s="4">
        <v>136</v>
      </c>
      <c r="DB231" s="5">
        <f t="shared" si="681"/>
        <v>2</v>
      </c>
      <c r="DC231" s="4">
        <v>0</v>
      </c>
      <c r="DD231" s="4"/>
      <c r="DE231" s="4">
        <f t="shared" si="682"/>
        <v>0</v>
      </c>
      <c r="DF231" s="5">
        <f t="shared" si="683"/>
        <v>0</v>
      </c>
      <c r="DG231" s="36">
        <f t="shared" si="684"/>
        <v>0</v>
      </c>
      <c r="DH231" s="29"/>
      <c r="DJ231" s="40" t="str">
        <f>IF($A249="","",$A249)</f>
        <v>3/16/月</v>
      </c>
      <c r="DK231" s="35">
        <v>17377</v>
      </c>
      <c r="DL231" s="5">
        <f t="shared" si="685"/>
        <v>32</v>
      </c>
      <c r="DM231" s="5">
        <v>324</v>
      </c>
      <c r="DN231" s="5">
        <f t="shared" si="686"/>
        <v>2</v>
      </c>
      <c r="DO231" s="4">
        <v>9</v>
      </c>
      <c r="DP231" s="5">
        <f t="shared" si="687"/>
        <v>2</v>
      </c>
      <c r="DQ231" s="4"/>
      <c r="DR231" s="4"/>
      <c r="DS231" s="4">
        <f t="shared" si="688"/>
        <v>300</v>
      </c>
      <c r="DT231" s="5">
        <f t="shared" si="689"/>
        <v>600</v>
      </c>
      <c r="DU231" s="36">
        <f t="shared" si="690"/>
        <v>0.1875</v>
      </c>
      <c r="DV231" s="29"/>
      <c r="DX231" s="40" t="str">
        <f>IF($A249="","",$A249)</f>
        <v>3/16/月</v>
      </c>
      <c r="DY231" s="35">
        <v>10329</v>
      </c>
      <c r="DZ231" s="5">
        <f t="shared" si="691"/>
        <v>584</v>
      </c>
      <c r="EA231" s="5">
        <v>93</v>
      </c>
      <c r="EB231" s="5">
        <f t="shared" si="692"/>
        <v>7</v>
      </c>
      <c r="EC231" s="4">
        <v>9</v>
      </c>
      <c r="ED231" s="5">
        <f t="shared" si="693"/>
        <v>9</v>
      </c>
      <c r="EE231" s="4">
        <v>7</v>
      </c>
      <c r="EF231" s="4"/>
      <c r="EG231" s="4">
        <f t="shared" si="694"/>
        <v>1500</v>
      </c>
      <c r="EH231" s="5">
        <f t="shared" si="695"/>
        <v>13500</v>
      </c>
      <c r="EI231" s="36">
        <f t="shared" si="696"/>
        <v>0.23116438356164384</v>
      </c>
      <c r="EJ231" s="29"/>
      <c r="EL231" s="40" t="str">
        <f>IF($A249="","",$A249)</f>
        <v>3/16/月</v>
      </c>
      <c r="EM231" s="35">
        <v>687</v>
      </c>
      <c r="EN231" s="5">
        <f t="shared" si="697"/>
        <v>82</v>
      </c>
      <c r="EO231" s="5">
        <v>1028</v>
      </c>
      <c r="EP231" s="5">
        <f t="shared" si="698"/>
        <v>7</v>
      </c>
      <c r="EQ231" s="4">
        <v>28</v>
      </c>
      <c r="ER231" s="5">
        <f t="shared" si="699"/>
        <v>6</v>
      </c>
      <c r="ES231" s="4"/>
      <c r="ET231" s="4"/>
      <c r="EU231" s="4">
        <f t="shared" si="700"/>
        <v>220</v>
      </c>
      <c r="EV231" s="5">
        <f t="shared" si="701"/>
        <v>1320</v>
      </c>
      <c r="EW231" s="36">
        <f t="shared" si="702"/>
        <v>0.16097560975609757</v>
      </c>
      <c r="EX231" s="29"/>
      <c r="EZ231" s="40" t="str">
        <f>IF($A249="","",$A249)</f>
        <v>3/16/月</v>
      </c>
      <c r="FA231" s="35">
        <v>424</v>
      </c>
      <c r="FB231" s="5">
        <f t="shared" si="703"/>
        <v>73</v>
      </c>
      <c r="FC231" s="5">
        <v>39</v>
      </c>
      <c r="FD231" s="5">
        <f t="shared" si="718"/>
        <v>5</v>
      </c>
      <c r="FE231" s="4">
        <v>47</v>
      </c>
      <c r="FF231" s="5">
        <f t="shared" si="719"/>
        <v>5</v>
      </c>
      <c r="FG231" s="4">
        <v>10</v>
      </c>
      <c r="FH231" s="4"/>
      <c r="FI231" s="4">
        <f t="shared" si="720"/>
        <v>490</v>
      </c>
      <c r="FJ231" s="5">
        <f t="shared" si="721"/>
        <v>2450</v>
      </c>
      <c r="FK231" s="36">
        <f t="shared" si="722"/>
        <v>0.33561643835616439</v>
      </c>
      <c r="FL231" s="29"/>
      <c r="FN231" s="40" t="str">
        <f>IF($A249="","",$A249)</f>
        <v>3/16/月</v>
      </c>
      <c r="FO231" s="35">
        <v>515</v>
      </c>
      <c r="FP231" s="5">
        <f t="shared" si="723"/>
        <v>56</v>
      </c>
      <c r="FQ231" s="5">
        <v>54</v>
      </c>
      <c r="FR231" s="5">
        <f t="shared" si="724"/>
        <v>6</v>
      </c>
      <c r="FS231" s="4">
        <v>99</v>
      </c>
      <c r="FT231" s="5">
        <f t="shared" si="725"/>
        <v>6</v>
      </c>
      <c r="FU231" s="4">
        <v>10</v>
      </c>
      <c r="FV231" s="4"/>
      <c r="FW231" s="4">
        <f t="shared" si="726"/>
        <v>572</v>
      </c>
      <c r="FX231" s="5">
        <f t="shared" si="727"/>
        <v>3432</v>
      </c>
      <c r="FY231" s="36">
        <f t="shared" si="728"/>
        <v>0.61285714285714288</v>
      </c>
      <c r="FZ231" s="29"/>
      <c r="GB231" s="40" t="str">
        <f>IF($A249="","",$A249)</f>
        <v>3/16/月</v>
      </c>
      <c r="GC231" s="35">
        <v>438</v>
      </c>
      <c r="GD231" s="5">
        <f t="shared" si="729"/>
        <v>39</v>
      </c>
      <c r="GE231" s="5">
        <v>43</v>
      </c>
      <c r="GF231" s="5">
        <f t="shared" si="704"/>
        <v>1</v>
      </c>
      <c r="GG231" s="4">
        <v>99</v>
      </c>
      <c r="GH231" s="5">
        <f t="shared" si="705"/>
        <v>1</v>
      </c>
      <c r="GI231" s="4">
        <v>10</v>
      </c>
      <c r="GJ231" s="4"/>
      <c r="GK231" s="4">
        <f t="shared" si="706"/>
        <v>600</v>
      </c>
      <c r="GL231" s="5">
        <f t="shared" si="707"/>
        <v>600</v>
      </c>
      <c r="GM231" s="36">
        <f t="shared" si="708"/>
        <v>0.15384615384615385</v>
      </c>
      <c r="GN231" s="29"/>
      <c r="GP231" s="40" t="str">
        <f>IF($A249="","",$A249)</f>
        <v>3/16/月</v>
      </c>
      <c r="GQ231" s="35">
        <v>84278</v>
      </c>
      <c r="GR231" s="5">
        <f t="shared" si="709"/>
        <v>180</v>
      </c>
      <c r="GS231" s="5">
        <v>3220</v>
      </c>
      <c r="GT231" s="5">
        <f t="shared" si="710"/>
        <v>1</v>
      </c>
      <c r="GU231" s="5">
        <v>3489</v>
      </c>
      <c r="GV231" s="5">
        <f>IF(GU231="","",GU231-GU230)</f>
        <v>0</v>
      </c>
      <c r="GW231" s="4">
        <v>24</v>
      </c>
      <c r="GX231" s="5">
        <f t="shared" si="712"/>
        <v>0</v>
      </c>
      <c r="GY231" s="4"/>
      <c r="GZ231" s="4"/>
      <c r="HA231" s="4">
        <f t="shared" si="730"/>
        <v>1000</v>
      </c>
      <c r="HB231" s="5">
        <f t="shared" si="713"/>
        <v>0</v>
      </c>
      <c r="HC231" s="36">
        <f t="shared" si="714"/>
        <v>0</v>
      </c>
      <c r="HD231" s="29"/>
      <c r="HF231" s="40" t="str">
        <f>IF($A249="","",$A249)</f>
        <v>3/16/月</v>
      </c>
      <c r="HG231" s="35">
        <v>61049</v>
      </c>
      <c r="HH231" s="5">
        <f t="shared" si="715"/>
        <v>39</v>
      </c>
      <c r="HI231" s="5"/>
      <c r="HJ231" s="29"/>
      <c r="HL231" s="40" t="str">
        <f>IF($A249="","",$A249)</f>
        <v>3/16/月</v>
      </c>
      <c r="HM231" s="35">
        <v>45253</v>
      </c>
      <c r="HN231" s="5">
        <f t="shared" si="716"/>
        <v>33</v>
      </c>
      <c r="HO231" s="5"/>
      <c r="HP231" s="29"/>
      <c r="HR231" s="40" t="str">
        <f>IF($A249="","",$A249)</f>
        <v>3/16/月</v>
      </c>
      <c r="HS231" s="35">
        <v>42676</v>
      </c>
      <c r="HT231" s="5">
        <f t="shared" si="717"/>
        <v>46</v>
      </c>
      <c r="HU231" s="5"/>
      <c r="HV231" s="29"/>
    </row>
    <row r="232" spans="1:230" ht="15" customHeight="1" thickBot="1" x14ac:dyDescent="0.25">
      <c r="A232" s="60"/>
      <c r="B232" s="42"/>
      <c r="C232" s="43">
        <v>21990</v>
      </c>
      <c r="D232" s="61">
        <f t="shared" si="731"/>
        <v>35</v>
      </c>
      <c r="E232" s="44">
        <v>1134</v>
      </c>
      <c r="F232" s="44">
        <f t="shared" si="732"/>
        <v>0</v>
      </c>
      <c r="G232" s="44">
        <v>12</v>
      </c>
      <c r="H232" s="44">
        <f t="shared" si="733"/>
        <v>0</v>
      </c>
      <c r="I232" s="62"/>
      <c r="J232" s="47" t="s">
        <v>118</v>
      </c>
      <c r="K232" s="61">
        <v>187</v>
      </c>
      <c r="L232" s="44">
        <f t="shared" si="734"/>
        <v>0</v>
      </c>
      <c r="M232" s="46">
        <f t="shared" si="735"/>
        <v>0</v>
      </c>
      <c r="N232" s="29"/>
      <c r="O232" s="30"/>
      <c r="P232" s="60"/>
      <c r="Q232" s="43">
        <v>8700</v>
      </c>
      <c r="R232" s="61">
        <f t="shared" si="736"/>
        <v>23</v>
      </c>
      <c r="S232" s="44">
        <v>205</v>
      </c>
      <c r="T232" s="44">
        <f t="shared" si="737"/>
        <v>205</v>
      </c>
      <c r="U232" s="44"/>
      <c r="V232" s="44" t="str">
        <f t="shared" si="738"/>
        <v/>
      </c>
      <c r="W232" s="62">
        <v>22</v>
      </c>
      <c r="X232" s="47">
        <f t="shared" si="739"/>
        <v>0</v>
      </c>
      <c r="Y232" s="61">
        <v>350</v>
      </c>
      <c r="Z232" s="44" t="str">
        <f t="shared" si="740"/>
        <v/>
      </c>
      <c r="AA232" s="46" t="str">
        <f t="shared" si="741"/>
        <v/>
      </c>
      <c r="AB232" s="29"/>
      <c r="AD232" s="60"/>
      <c r="AE232" s="43">
        <v>200</v>
      </c>
      <c r="AF232" s="61">
        <f t="shared" si="742"/>
        <v>47</v>
      </c>
      <c r="AG232" s="44">
        <v>997</v>
      </c>
      <c r="AH232" s="44">
        <f t="shared" si="743"/>
        <v>997</v>
      </c>
      <c r="AI232" s="44">
        <v>59</v>
      </c>
      <c r="AJ232" s="44"/>
      <c r="AK232" s="62"/>
      <c r="AL232" s="47" t="str">
        <f t="shared" si="755"/>
        <v>キティボールペン</v>
      </c>
      <c r="AM232" s="61">
        <f t="shared" si="744"/>
        <v>283</v>
      </c>
      <c r="AN232" s="44">
        <f t="shared" si="745"/>
        <v>0</v>
      </c>
      <c r="AO232" s="46" t="str">
        <f t="shared" si="746"/>
        <v/>
      </c>
      <c r="AP232" s="29"/>
      <c r="AR232" s="60"/>
      <c r="AS232" s="43">
        <v>174</v>
      </c>
      <c r="AT232" s="61">
        <f t="shared" si="747"/>
        <v>49</v>
      </c>
      <c r="AU232" s="44">
        <v>999</v>
      </c>
      <c r="AV232" s="44">
        <f t="shared" si="748"/>
        <v>999</v>
      </c>
      <c r="AW232" s="44">
        <v>21</v>
      </c>
      <c r="AX232" s="44"/>
      <c r="AY232" s="62"/>
      <c r="AZ232" s="47" t="str">
        <f t="shared" si="749"/>
        <v>しばこ</v>
      </c>
      <c r="BA232" s="61">
        <f t="shared" si="750"/>
        <v>110</v>
      </c>
      <c r="BB232" s="44">
        <f t="shared" si="751"/>
        <v>0</v>
      </c>
      <c r="BC232" s="46" t="str">
        <f t="shared" si="752"/>
        <v/>
      </c>
      <c r="BD232" s="29"/>
      <c r="BE232" s="32"/>
      <c r="BF232" s="41"/>
      <c r="BG232" s="44">
        <v>2259</v>
      </c>
      <c r="BH232" s="44"/>
      <c r="BI232" s="44">
        <v>17</v>
      </c>
      <c r="BJ232" s="44"/>
      <c r="BK232" s="44">
        <v>0</v>
      </c>
      <c r="BL232" s="44">
        <f t="shared" si="756"/>
        <v>3</v>
      </c>
      <c r="BM232" s="44">
        <v>17</v>
      </c>
      <c r="BN232" s="45" t="str">
        <f>IF(BG230="","",BN228)</f>
        <v>ボンボンドロップシール</v>
      </c>
      <c r="BO232" s="61">
        <f>IF(BG229="","",BO228)</f>
        <v>1500</v>
      </c>
      <c r="BP232" s="44">
        <f t="shared" si="753"/>
        <v>4500</v>
      </c>
      <c r="BQ232" s="46">
        <f>IF(BL232="","",BP232/(BH230*100))</f>
        <v>4.1020966271649952E-2</v>
      </c>
      <c r="BR232" s="29"/>
      <c r="BT232" s="41"/>
      <c r="BU232" s="44"/>
      <c r="BV232" s="44" t="str">
        <f t="shared" si="757"/>
        <v/>
      </c>
      <c r="BW232" s="44"/>
      <c r="BX232" s="44" t="str">
        <f t="shared" si="758"/>
        <v/>
      </c>
      <c r="BY232" s="44"/>
      <c r="BZ232" s="44"/>
      <c r="CA232" s="44"/>
      <c r="CB232" s="45"/>
      <c r="CC232" s="61"/>
      <c r="CD232" s="44"/>
      <c r="CE232" s="46"/>
      <c r="CF232" s="29"/>
      <c r="CH232" s="40">
        <f>IF($A253="","",$A253)</f>
        <v>46098</v>
      </c>
      <c r="CI232" s="35">
        <v>30405</v>
      </c>
      <c r="CJ232" s="5">
        <f t="shared" si="673"/>
        <v>3</v>
      </c>
      <c r="CK232" s="5">
        <v>486</v>
      </c>
      <c r="CL232" s="5">
        <f t="shared" si="674"/>
        <v>0</v>
      </c>
      <c r="CM232" s="4">
        <v>31</v>
      </c>
      <c r="CN232" s="5">
        <f t="shared" si="675"/>
        <v>0</v>
      </c>
      <c r="CO232" s="4"/>
      <c r="CP232" s="4"/>
      <c r="CQ232" s="4">
        <f t="shared" si="676"/>
        <v>880</v>
      </c>
      <c r="CR232" s="5">
        <f t="shared" si="677"/>
        <v>0</v>
      </c>
      <c r="CS232" s="36">
        <f t="shared" si="678"/>
        <v>0</v>
      </c>
      <c r="CT232" s="29"/>
      <c r="CV232" s="40">
        <f>IF($A253="","",$A253)</f>
        <v>46098</v>
      </c>
      <c r="CW232" s="35">
        <v>52020</v>
      </c>
      <c r="CX232" s="5">
        <f t="shared" si="679"/>
        <v>0</v>
      </c>
      <c r="CY232" s="5">
        <v>3263</v>
      </c>
      <c r="CZ232" s="5">
        <f t="shared" si="680"/>
        <v>0</v>
      </c>
      <c r="DA232" s="4">
        <v>136</v>
      </c>
      <c r="DB232" s="5">
        <f t="shared" si="681"/>
        <v>0</v>
      </c>
      <c r="DC232" s="4">
        <v>0</v>
      </c>
      <c r="DD232" s="4"/>
      <c r="DE232" s="4">
        <f t="shared" si="682"/>
        <v>0</v>
      </c>
      <c r="DF232" s="5">
        <f t="shared" si="683"/>
        <v>0</v>
      </c>
      <c r="DG232" s="36" t="e">
        <f t="shared" si="684"/>
        <v>#DIV/0!</v>
      </c>
      <c r="DH232" s="29"/>
      <c r="DJ232" s="40">
        <f>IF($A253="","",$A253)</f>
        <v>46098</v>
      </c>
      <c r="DK232" s="35">
        <v>17387</v>
      </c>
      <c r="DL232" s="5">
        <f t="shared" si="685"/>
        <v>10</v>
      </c>
      <c r="DM232" s="5">
        <v>324</v>
      </c>
      <c r="DN232" s="5">
        <f t="shared" si="686"/>
        <v>0</v>
      </c>
      <c r="DO232" s="4">
        <v>9</v>
      </c>
      <c r="DP232" s="5">
        <f t="shared" si="687"/>
        <v>0</v>
      </c>
      <c r="DQ232" s="4">
        <v>0</v>
      </c>
      <c r="DR232" s="4"/>
      <c r="DS232" s="4">
        <f t="shared" si="688"/>
        <v>300</v>
      </c>
      <c r="DT232" s="5">
        <f t="shared" si="689"/>
        <v>0</v>
      </c>
      <c r="DU232" s="36">
        <f t="shared" si="690"/>
        <v>0</v>
      </c>
      <c r="DV232" s="29"/>
      <c r="DX232" s="40">
        <f>IF($A253="","",$A253)</f>
        <v>46098</v>
      </c>
      <c r="DY232" s="35">
        <v>10430</v>
      </c>
      <c r="DZ232" s="5">
        <f t="shared" si="691"/>
        <v>101</v>
      </c>
      <c r="EA232" s="5">
        <v>93</v>
      </c>
      <c r="EB232" s="5">
        <f t="shared" si="692"/>
        <v>0</v>
      </c>
      <c r="EC232" s="4">
        <v>9</v>
      </c>
      <c r="ED232" s="5">
        <f t="shared" si="693"/>
        <v>7</v>
      </c>
      <c r="EE232" s="4"/>
      <c r="EF232" s="4"/>
      <c r="EG232" s="4">
        <f t="shared" si="694"/>
        <v>1500</v>
      </c>
      <c r="EH232" s="5">
        <f t="shared" si="695"/>
        <v>10500</v>
      </c>
      <c r="EI232" s="36">
        <f t="shared" si="696"/>
        <v>1.0396039603960396</v>
      </c>
      <c r="EJ232" s="29"/>
      <c r="EL232" s="40">
        <f>IF($A253="","",$A253)</f>
        <v>46098</v>
      </c>
      <c r="EM232" s="35">
        <v>688</v>
      </c>
      <c r="EN232" s="5">
        <f t="shared" si="697"/>
        <v>1</v>
      </c>
      <c r="EO232" s="5">
        <v>1029</v>
      </c>
      <c r="EP232" s="5">
        <f t="shared" si="698"/>
        <v>1</v>
      </c>
      <c r="EQ232" s="4">
        <v>27</v>
      </c>
      <c r="ER232" s="5">
        <f t="shared" si="699"/>
        <v>1</v>
      </c>
      <c r="ES232" s="4"/>
      <c r="ET232" s="4"/>
      <c r="EU232" s="4">
        <f t="shared" si="700"/>
        <v>220</v>
      </c>
      <c r="EV232" s="5">
        <f t="shared" si="701"/>
        <v>220</v>
      </c>
      <c r="EW232" s="36">
        <f t="shared" si="702"/>
        <v>2.2000000000000002</v>
      </c>
      <c r="EX232" s="29"/>
      <c r="EZ232" s="40">
        <f>IF($A253="","",$A253)</f>
        <v>46098</v>
      </c>
      <c r="FA232" s="35">
        <v>435</v>
      </c>
      <c r="FB232" s="5">
        <f t="shared" si="703"/>
        <v>11</v>
      </c>
      <c r="FC232" s="5">
        <v>40</v>
      </c>
      <c r="FD232" s="5">
        <f t="shared" si="718"/>
        <v>1</v>
      </c>
      <c r="FE232" s="4">
        <v>46</v>
      </c>
      <c r="FF232" s="5">
        <f t="shared" si="719"/>
        <v>11</v>
      </c>
      <c r="FG232" s="4"/>
      <c r="FH232" s="4"/>
      <c r="FI232" s="4">
        <f t="shared" si="720"/>
        <v>490</v>
      </c>
      <c r="FJ232" s="5">
        <f t="shared" si="721"/>
        <v>5390</v>
      </c>
      <c r="FK232" s="36">
        <f t="shared" si="722"/>
        <v>4.9000000000000004</v>
      </c>
      <c r="FL232" s="29"/>
      <c r="FN232" s="40">
        <f>IF($A253="","",$A253)</f>
        <v>46098</v>
      </c>
      <c r="FO232" s="35">
        <v>535</v>
      </c>
      <c r="FP232" s="5">
        <f t="shared" si="723"/>
        <v>20</v>
      </c>
      <c r="FQ232" s="5">
        <v>55</v>
      </c>
      <c r="FR232" s="5">
        <f t="shared" si="724"/>
        <v>1</v>
      </c>
      <c r="FS232" s="4">
        <v>109</v>
      </c>
      <c r="FT232" s="5">
        <f t="shared" si="725"/>
        <v>0</v>
      </c>
      <c r="FU232" s="4"/>
      <c r="FV232" s="4"/>
      <c r="FW232" s="4">
        <f t="shared" si="726"/>
        <v>572</v>
      </c>
      <c r="FX232" s="5">
        <f t="shared" si="727"/>
        <v>0</v>
      </c>
      <c r="FY232" s="36">
        <f t="shared" si="728"/>
        <v>0</v>
      </c>
      <c r="FZ232" s="29"/>
      <c r="GB232" s="40">
        <f>IF($A253="","",$A253)</f>
        <v>46098</v>
      </c>
      <c r="GC232" s="35">
        <v>446</v>
      </c>
      <c r="GD232" s="5">
        <f t="shared" si="729"/>
        <v>8</v>
      </c>
      <c r="GE232" s="5">
        <v>43</v>
      </c>
      <c r="GF232" s="5">
        <f t="shared" si="704"/>
        <v>0</v>
      </c>
      <c r="GG232" s="4">
        <v>109</v>
      </c>
      <c r="GH232" s="5">
        <f t="shared" si="705"/>
        <v>0</v>
      </c>
      <c r="GI232" s="4"/>
      <c r="GJ232" s="4"/>
      <c r="GK232" s="4">
        <f t="shared" si="706"/>
        <v>600</v>
      </c>
      <c r="GL232" s="5">
        <f t="shared" si="707"/>
        <v>0</v>
      </c>
      <c r="GM232" s="36">
        <f t="shared" si="708"/>
        <v>0</v>
      </c>
      <c r="GN232" s="29"/>
      <c r="GP232" s="40">
        <f>IF($A253="","",$A253)</f>
        <v>46098</v>
      </c>
      <c r="GQ232" s="35">
        <v>84292</v>
      </c>
      <c r="GR232" s="5">
        <f t="shared" si="709"/>
        <v>14</v>
      </c>
      <c r="GS232" s="5">
        <v>3220</v>
      </c>
      <c r="GT232" s="5">
        <f t="shared" si="710"/>
        <v>0</v>
      </c>
      <c r="GU232" s="5">
        <v>3489</v>
      </c>
      <c r="GV232" s="5">
        <f t="shared" si="711"/>
        <v>0</v>
      </c>
      <c r="GW232" s="4">
        <v>24</v>
      </c>
      <c r="GX232" s="5">
        <f t="shared" si="712"/>
        <v>0</v>
      </c>
      <c r="GY232" s="4"/>
      <c r="GZ232" s="4"/>
      <c r="HA232" s="4">
        <f t="shared" si="730"/>
        <v>1000</v>
      </c>
      <c r="HB232" s="5">
        <f t="shared" si="713"/>
        <v>0</v>
      </c>
      <c r="HC232" s="36">
        <f t="shared" si="714"/>
        <v>0</v>
      </c>
      <c r="HD232" s="29"/>
      <c r="HF232" s="40">
        <f>IF($A253="","",$A253)</f>
        <v>46098</v>
      </c>
      <c r="HG232" s="35">
        <v>61049</v>
      </c>
      <c r="HH232" s="5">
        <f t="shared" si="715"/>
        <v>0</v>
      </c>
      <c r="HI232" s="5"/>
      <c r="HJ232" s="29"/>
      <c r="HL232" s="40">
        <f>IF($A253="","",$A253)</f>
        <v>46098</v>
      </c>
      <c r="HM232" s="35">
        <v>45253</v>
      </c>
      <c r="HN232" s="5">
        <f t="shared" si="716"/>
        <v>0</v>
      </c>
      <c r="HO232" s="5"/>
      <c r="HP232" s="29"/>
      <c r="HR232" s="40">
        <f>IF($A253="","",$A253)</f>
        <v>46098</v>
      </c>
      <c r="HS232" s="35">
        <v>42679</v>
      </c>
      <c r="HT232" s="5">
        <f t="shared" si="717"/>
        <v>3</v>
      </c>
      <c r="HU232" s="5"/>
      <c r="HV232" s="29"/>
    </row>
    <row r="233" spans="1:230" ht="15" customHeight="1" thickTop="1" x14ac:dyDescent="0.2">
      <c r="A233" s="49">
        <v>46087</v>
      </c>
      <c r="B233" s="26">
        <f>SUM(D233:D236)+SUM(R233:R236)+SUM(AF233:AF236)+SUM(AT233:AT236)+SUM(CJ227,CX227,DL227,DZ227,EN227,FB227,FP227,GD227,GR227,HH227,HN227,HT227)+SUM(BH233:BH236)+SUM(BV233:BV234)</f>
        <v>2898</v>
      </c>
      <c r="C233" s="4">
        <v>12974</v>
      </c>
      <c r="D233" s="4">
        <f t="shared" si="731"/>
        <v>49</v>
      </c>
      <c r="E233" s="4">
        <v>337</v>
      </c>
      <c r="F233" s="50">
        <f t="shared" si="732"/>
        <v>0</v>
      </c>
      <c r="G233" s="4">
        <v>13</v>
      </c>
      <c r="H233" s="4">
        <f t="shared" si="733"/>
        <v>0</v>
      </c>
      <c r="I233" s="51"/>
      <c r="J233" s="31" t="str">
        <f t="shared" ref="J233:K240" si="759">IF(C233="","",J229)</f>
        <v>ジャグラーボタン</v>
      </c>
      <c r="K233" s="27">
        <f t="shared" si="759"/>
        <v>748</v>
      </c>
      <c r="L233" s="50">
        <f t="shared" si="734"/>
        <v>0</v>
      </c>
      <c r="M233" s="52">
        <f t="shared" si="735"/>
        <v>0</v>
      </c>
      <c r="N233" s="29"/>
      <c r="O233" s="30"/>
      <c r="P233" s="53">
        <f>IF($A233="","",$A233)</f>
        <v>46087</v>
      </c>
      <c r="Q233" s="4">
        <v>8992</v>
      </c>
      <c r="R233" s="4">
        <f t="shared" si="736"/>
        <v>0</v>
      </c>
      <c r="S233" s="4">
        <v>173</v>
      </c>
      <c r="T233" s="50">
        <f t="shared" si="737"/>
        <v>0</v>
      </c>
      <c r="U233" s="4">
        <v>15</v>
      </c>
      <c r="V233" s="4">
        <f t="shared" si="738"/>
        <v>0</v>
      </c>
      <c r="W233" s="51">
        <v>-5</v>
      </c>
      <c r="X233" s="31" t="s">
        <v>112</v>
      </c>
      <c r="Y233" s="39">
        <f>IF(R233="","",Y229)</f>
        <v>660</v>
      </c>
      <c r="Z233" s="50">
        <f t="shared" si="740"/>
        <v>0</v>
      </c>
      <c r="AA233" s="52" t="e">
        <f t="shared" si="741"/>
        <v>#DIV/0!</v>
      </c>
      <c r="AB233" s="29" t="s">
        <v>127</v>
      </c>
      <c r="AD233" s="53">
        <f>IF($A233="","",$A233)</f>
        <v>46087</v>
      </c>
      <c r="AE233" s="4">
        <v>1226</v>
      </c>
      <c r="AF233" s="4">
        <f t="shared" si="742"/>
        <v>186</v>
      </c>
      <c r="AG233" s="4">
        <v>3</v>
      </c>
      <c r="AH233" s="50">
        <f t="shared" si="743"/>
        <v>2</v>
      </c>
      <c r="AI233" s="4">
        <v>19</v>
      </c>
      <c r="AJ233" s="4">
        <f t="shared" ref="AJ233:AJ235" si="760">IF(AI233="","",AI229+AK229-AI233)</f>
        <v>2</v>
      </c>
      <c r="AK233" s="51"/>
      <c r="AL233" s="31" t="str">
        <f t="shared" si="755"/>
        <v>モンチッチがま口</v>
      </c>
      <c r="AM233" s="27">
        <f t="shared" si="744"/>
        <v>462</v>
      </c>
      <c r="AN233" s="50">
        <f t="shared" si="745"/>
        <v>924</v>
      </c>
      <c r="AO233" s="52">
        <f t="shared" si="746"/>
        <v>4.9677419354838707E-2</v>
      </c>
      <c r="AP233" s="29"/>
      <c r="AR233" s="53">
        <f>IF($A233="","",$A233)</f>
        <v>46087</v>
      </c>
      <c r="AS233" s="4">
        <v>634</v>
      </c>
      <c r="AT233" s="4">
        <f t="shared" si="747"/>
        <v>145</v>
      </c>
      <c r="AU233" s="4">
        <v>14</v>
      </c>
      <c r="AV233" s="50">
        <f t="shared" si="748"/>
        <v>4</v>
      </c>
      <c r="AW233" s="4">
        <v>12</v>
      </c>
      <c r="AX233" s="4">
        <f t="shared" ref="AX233:AX235" si="761">IF(AW233="","",AW229+AY229-AW233)</f>
        <v>2</v>
      </c>
      <c r="AY233" s="51"/>
      <c r="AZ233" s="31" t="str">
        <f t="shared" si="749"/>
        <v>デジタルミニカメラ</v>
      </c>
      <c r="BA233" s="27">
        <f t="shared" si="750"/>
        <v>1075</v>
      </c>
      <c r="BB233" s="50">
        <f t="shared" si="751"/>
        <v>2150</v>
      </c>
      <c r="BC233" s="52">
        <f t="shared" si="752"/>
        <v>0.14827586206896551</v>
      </c>
      <c r="BD233" s="29"/>
      <c r="BE233" s="32"/>
      <c r="BF233" s="33">
        <f>IF($A233="","",$A233)</f>
        <v>46087</v>
      </c>
      <c r="BG233" s="5">
        <v>1843</v>
      </c>
      <c r="BH233" s="4">
        <f>IF(BG233="","",BG233-BG229)</f>
        <v>101</v>
      </c>
      <c r="BI233" s="5">
        <v>12</v>
      </c>
      <c r="BJ233" s="50">
        <f>IF(BI233="","",BI233-BI229)</f>
        <v>2</v>
      </c>
      <c r="BK233" s="4">
        <v>0</v>
      </c>
      <c r="BL233" s="4">
        <f t="shared" si="756"/>
        <v>10</v>
      </c>
      <c r="BM233" s="122">
        <v>3</v>
      </c>
      <c r="BN233" s="2" t="str">
        <f>IF(BG233="","",BN229)</f>
        <v>ボンボンドロップシール</v>
      </c>
      <c r="BO233" s="27">
        <f>IF(BG233="","",BO229)</f>
        <v>1500</v>
      </c>
      <c r="BP233" s="5">
        <f t="shared" ref="BP233:BP248" si="762">IF(BK233="","",BL233*BO233)</f>
        <v>15000</v>
      </c>
      <c r="BQ233" s="52">
        <f>IF(BL233="","",BP233/(BH233*100))</f>
        <v>1.4851485148514851</v>
      </c>
      <c r="BR233" s="29"/>
      <c r="BT233" s="33">
        <f>IF($A233="","",$A233)</f>
        <v>46087</v>
      </c>
      <c r="BU233" s="5">
        <v>34950</v>
      </c>
      <c r="BV233" s="4">
        <f t="shared" si="757"/>
        <v>50</v>
      </c>
      <c r="BW233" s="5">
        <v>3804</v>
      </c>
      <c r="BX233" s="50">
        <f t="shared" si="758"/>
        <v>0</v>
      </c>
      <c r="BY233" s="4">
        <v>27</v>
      </c>
      <c r="BZ233" s="4">
        <f t="shared" ref="BZ233:BZ278" si="763">IF(BY233="","",BY229+CA229-BY233)</f>
        <v>0</v>
      </c>
      <c r="CA233" s="4">
        <v>21</v>
      </c>
      <c r="CB233" s="2" t="str">
        <f>IF(BU233="","",CB229)</f>
        <v>ＡＩモンスター</v>
      </c>
      <c r="CC233" s="27">
        <f>IF(BU233="","",CC229)</f>
        <v>550</v>
      </c>
      <c r="CD233" s="5">
        <f t="shared" ref="CD233:CD234" si="764">IF(BY233="","",BZ233*CC233)</f>
        <v>0</v>
      </c>
      <c r="CE233" s="52">
        <f>IF(BZ233="","",CD233/(BV233*100))</f>
        <v>0</v>
      </c>
      <c r="CF233" s="29" t="s">
        <v>126</v>
      </c>
      <c r="CH233" s="40" t="str">
        <f>IF($A257="","",$A257)</f>
        <v/>
      </c>
      <c r="CI233" s="35"/>
      <c r="CJ233" s="5"/>
      <c r="CK233" s="5"/>
      <c r="CL233" s="5"/>
      <c r="CM233" s="4"/>
      <c r="CN233" s="5"/>
      <c r="CO233" s="4"/>
      <c r="CP233" s="4"/>
      <c r="CQ233" s="4"/>
      <c r="CR233" s="5"/>
      <c r="CS233" s="36"/>
      <c r="CT233" s="63"/>
      <c r="CV233" s="40"/>
      <c r="CW233" s="35"/>
      <c r="CX233" s="5"/>
      <c r="CY233" s="5"/>
      <c r="CZ233" s="5"/>
      <c r="DA233" s="4"/>
      <c r="DB233" s="5"/>
      <c r="DC233" s="4"/>
      <c r="DD233" s="4"/>
      <c r="DE233" s="4"/>
      <c r="DF233" s="5"/>
      <c r="DG233" s="36"/>
      <c r="DH233" s="63"/>
      <c r="DJ233" s="40"/>
      <c r="DK233" s="35"/>
      <c r="DL233" s="5"/>
      <c r="DM233" s="5"/>
      <c r="DN233" s="5"/>
      <c r="DO233" s="4"/>
      <c r="DP233" s="5"/>
      <c r="DQ233" s="4"/>
      <c r="DR233" s="4"/>
      <c r="DS233" s="4"/>
      <c r="DT233" s="5"/>
      <c r="DU233" s="36"/>
      <c r="DV233" s="63"/>
      <c r="DX233" s="40"/>
      <c r="DY233" s="35"/>
      <c r="DZ233" s="5"/>
      <c r="EA233" s="5"/>
      <c r="EB233" s="5"/>
      <c r="EC233" s="4"/>
      <c r="ED233" s="5"/>
      <c r="EE233" s="4"/>
      <c r="EF233" s="4"/>
      <c r="EG233" s="4"/>
      <c r="EH233" s="5"/>
      <c r="EI233" s="36"/>
      <c r="EJ233" s="63"/>
      <c r="EL233" s="40"/>
      <c r="EM233" s="35"/>
      <c r="EN233" s="5"/>
      <c r="EO233" s="5"/>
      <c r="EP233" s="5"/>
      <c r="EQ233" s="4"/>
      <c r="ER233" s="5"/>
      <c r="ES233" s="4"/>
      <c r="ET233" s="4"/>
      <c r="EU233" s="4"/>
      <c r="EV233" s="5"/>
      <c r="EW233" s="36"/>
      <c r="EX233" s="63"/>
      <c r="EZ233" s="40"/>
      <c r="FA233" s="35"/>
      <c r="FB233" s="5"/>
      <c r="FC233" s="5"/>
      <c r="FD233" s="5"/>
      <c r="FE233" s="4"/>
      <c r="FF233" s="5"/>
      <c r="FG233" s="4"/>
      <c r="FH233" s="4"/>
      <c r="FI233" s="4"/>
      <c r="FJ233" s="5"/>
      <c r="FK233" s="36"/>
      <c r="FL233" s="63"/>
      <c r="FN233" s="40"/>
      <c r="FO233" s="35"/>
      <c r="FP233" s="5"/>
      <c r="FQ233" s="5"/>
      <c r="FR233" s="5"/>
      <c r="FS233" s="4"/>
      <c r="FT233" s="5"/>
      <c r="FU233" s="4"/>
      <c r="FV233" s="4"/>
      <c r="FW233" s="4"/>
      <c r="FX233" s="5"/>
      <c r="FY233" s="36"/>
      <c r="FZ233" s="63"/>
      <c r="GB233" s="40"/>
      <c r="GC233" s="35"/>
      <c r="GD233" s="5"/>
      <c r="GE233" s="5"/>
      <c r="GF233" s="5"/>
      <c r="GG233" s="4"/>
      <c r="GH233" s="5"/>
      <c r="GI233" s="4"/>
      <c r="GJ233" s="4"/>
      <c r="GK233" s="4"/>
      <c r="GL233" s="5"/>
      <c r="GM233" s="36"/>
      <c r="GN233" s="63"/>
      <c r="GP233" s="40" t="str">
        <f>IF($A257="","",$A257)</f>
        <v/>
      </c>
      <c r="GQ233" s="35"/>
      <c r="GR233" s="5"/>
      <c r="GS233" s="5"/>
      <c r="GT233" s="5"/>
      <c r="GU233" s="5"/>
      <c r="GV233" s="5"/>
      <c r="GW233" s="4"/>
      <c r="GX233" s="5"/>
      <c r="GY233" s="4"/>
      <c r="GZ233" s="4"/>
      <c r="HA233" s="4"/>
      <c r="HB233" s="5"/>
      <c r="HC233" s="36"/>
      <c r="HD233" s="63"/>
      <c r="HF233" s="40"/>
      <c r="HG233" s="35"/>
      <c r="HH233" s="5"/>
      <c r="HI233" s="5"/>
      <c r="HJ233" s="63"/>
      <c r="HL233" s="40"/>
      <c r="HM233" s="35"/>
      <c r="HN233" s="5"/>
      <c r="HO233" s="5"/>
      <c r="HP233" s="63"/>
      <c r="HR233" s="40"/>
      <c r="HS233" s="35"/>
      <c r="HT233" s="5"/>
      <c r="HU233" s="5"/>
      <c r="HV233" s="63"/>
    </row>
    <row r="234" spans="1:230" x14ac:dyDescent="0.2">
      <c r="A234" s="54"/>
      <c r="B234" s="26"/>
      <c r="C234" s="4">
        <v>16508</v>
      </c>
      <c r="D234" s="5">
        <f t="shared" si="731"/>
        <v>58</v>
      </c>
      <c r="E234" s="5">
        <v>514</v>
      </c>
      <c r="F234" s="5">
        <f t="shared" si="732"/>
        <v>0</v>
      </c>
      <c r="G234" s="5">
        <v>35</v>
      </c>
      <c r="H234" s="5">
        <f t="shared" si="733"/>
        <v>0</v>
      </c>
      <c r="I234" s="35"/>
      <c r="J234" s="38" t="str">
        <f t="shared" si="759"/>
        <v>番長ボタン</v>
      </c>
      <c r="K234" s="39">
        <f t="shared" si="759"/>
        <v>358</v>
      </c>
      <c r="L234" s="5">
        <f t="shared" si="734"/>
        <v>0</v>
      </c>
      <c r="M234" s="36">
        <f t="shared" si="735"/>
        <v>0</v>
      </c>
      <c r="N234" s="29"/>
      <c r="O234" s="30"/>
      <c r="P234" s="25"/>
      <c r="Q234" s="4">
        <v>10036</v>
      </c>
      <c r="R234" s="5">
        <f t="shared" si="736"/>
        <v>58</v>
      </c>
      <c r="S234" s="5">
        <v>167</v>
      </c>
      <c r="T234" s="5">
        <f t="shared" si="737"/>
        <v>0</v>
      </c>
      <c r="U234" s="5">
        <v>8</v>
      </c>
      <c r="V234" s="5">
        <f t="shared" si="738"/>
        <v>0</v>
      </c>
      <c r="W234" s="35">
        <v>0</v>
      </c>
      <c r="X234" s="38" t="s">
        <v>19</v>
      </c>
      <c r="Y234" s="39">
        <f>IF(R234="","",Y230)</f>
        <v>825</v>
      </c>
      <c r="Z234" s="5">
        <f t="shared" si="740"/>
        <v>0</v>
      </c>
      <c r="AA234" s="36">
        <f t="shared" si="741"/>
        <v>0</v>
      </c>
      <c r="AB234" s="29"/>
      <c r="AD234" s="25"/>
      <c r="AE234" s="4">
        <v>556</v>
      </c>
      <c r="AF234" s="5">
        <f t="shared" si="742"/>
        <v>256</v>
      </c>
      <c r="AG234" s="5">
        <v>2</v>
      </c>
      <c r="AH234" s="5">
        <f t="shared" si="743"/>
        <v>2</v>
      </c>
      <c r="AI234" s="5">
        <v>6</v>
      </c>
      <c r="AJ234" s="5">
        <f t="shared" si="760"/>
        <v>2</v>
      </c>
      <c r="AK234" s="35"/>
      <c r="AL234" s="38" t="str">
        <f t="shared" si="755"/>
        <v>たまごっちマスコット</v>
      </c>
      <c r="AM234" s="39">
        <f t="shared" si="744"/>
        <v>1500</v>
      </c>
      <c r="AN234" s="5">
        <f t="shared" si="745"/>
        <v>3000</v>
      </c>
      <c r="AO234" s="36">
        <f t="shared" si="746"/>
        <v>0.1171875</v>
      </c>
      <c r="AP234" s="29"/>
      <c r="AR234" s="25"/>
      <c r="AS234" s="4">
        <v>564</v>
      </c>
      <c r="AT234" s="5">
        <f t="shared" si="747"/>
        <v>141</v>
      </c>
      <c r="AU234" s="5">
        <v>996</v>
      </c>
      <c r="AV234" s="5">
        <f t="shared" si="748"/>
        <v>1</v>
      </c>
      <c r="AW234" s="5">
        <v>11</v>
      </c>
      <c r="AX234" s="5">
        <f t="shared" si="761"/>
        <v>1</v>
      </c>
      <c r="AY234" s="35">
        <v>6</v>
      </c>
      <c r="AZ234" s="38" t="str">
        <f t="shared" si="749"/>
        <v>ゲーム機イヤホン</v>
      </c>
      <c r="BA234" s="39">
        <f t="shared" si="750"/>
        <v>770</v>
      </c>
      <c r="BB234" s="5">
        <f t="shared" si="751"/>
        <v>770</v>
      </c>
      <c r="BC234" s="36">
        <f t="shared" si="752"/>
        <v>5.4609929078014187E-2</v>
      </c>
      <c r="BD234" s="29"/>
      <c r="BE234" s="32"/>
      <c r="BF234" s="25"/>
      <c r="BG234" s="4">
        <v>2374</v>
      </c>
      <c r="BH234" s="5">
        <f>IF(BG234="","",BG234-BG230)</f>
        <v>296</v>
      </c>
      <c r="BI234" s="4">
        <v>15</v>
      </c>
      <c r="BJ234" s="95">
        <f>IF(BI234="","",BI234-BI230)</f>
        <v>3</v>
      </c>
      <c r="BK234" s="5">
        <v>2</v>
      </c>
      <c r="BL234" s="5">
        <f t="shared" si="756"/>
        <v>10</v>
      </c>
      <c r="BM234" s="95">
        <v>1</v>
      </c>
      <c r="BN234" s="3" t="str">
        <f>IF(BG234="","",BN230)</f>
        <v>ボンボンドロップシール</v>
      </c>
      <c r="BO234" s="39">
        <f>IF(BG233="","",BO230)</f>
        <v>1500</v>
      </c>
      <c r="BP234" s="4">
        <f t="shared" si="762"/>
        <v>15000</v>
      </c>
      <c r="BQ234" s="36">
        <f>IF(BL234="","",BP234/(BH234*100))</f>
        <v>0.5067567567567568</v>
      </c>
      <c r="BR234" s="29"/>
      <c r="BT234" s="25"/>
      <c r="BU234" s="4">
        <v>31002</v>
      </c>
      <c r="BV234" s="5">
        <f t="shared" si="757"/>
        <v>4</v>
      </c>
      <c r="BW234" s="4">
        <v>1660</v>
      </c>
      <c r="BX234" s="5">
        <f t="shared" si="758"/>
        <v>0</v>
      </c>
      <c r="BY234" s="5">
        <v>47</v>
      </c>
      <c r="BZ234" s="5">
        <f t="shared" si="763"/>
        <v>0</v>
      </c>
      <c r="CA234" s="4">
        <v>0</v>
      </c>
      <c r="CB234" s="3" t="str">
        <f>IF(BU234="","",CB230)</f>
        <v>サンリオボアポーチ</v>
      </c>
      <c r="CC234" s="39">
        <f>IF(BU233="","",CC230)</f>
        <v>950</v>
      </c>
      <c r="CD234" s="4">
        <f t="shared" si="764"/>
        <v>0</v>
      </c>
      <c r="CE234" s="36">
        <f>IF(BZ234="","",CD234/(BV234*100))</f>
        <v>0</v>
      </c>
      <c r="CF234" s="29"/>
      <c r="CH234" s="40" t="str">
        <f>IF($A261="","",$A261)</f>
        <v/>
      </c>
      <c r="CI234" s="35"/>
      <c r="CJ234" s="5" t="str">
        <f t="shared" si="673"/>
        <v/>
      </c>
      <c r="CK234" s="5"/>
      <c r="CL234" s="5" t="str">
        <f t="shared" si="674"/>
        <v/>
      </c>
      <c r="CM234" s="5"/>
      <c r="CN234" s="5" t="str">
        <f t="shared" si="675"/>
        <v/>
      </c>
      <c r="CO234" s="5"/>
      <c r="CP234" s="4"/>
      <c r="CQ234" s="4" t="str">
        <f t="shared" si="676"/>
        <v/>
      </c>
      <c r="CR234" s="5" t="str">
        <f t="shared" si="677"/>
        <v/>
      </c>
      <c r="CS234" s="36" t="str">
        <f t="shared" si="678"/>
        <v/>
      </c>
      <c r="CT234" s="63"/>
      <c r="CV234" s="40" t="str">
        <f>IF($A261="","",$A261)</f>
        <v/>
      </c>
      <c r="CW234" s="35"/>
      <c r="CX234" s="5" t="str">
        <f t="shared" si="679"/>
        <v/>
      </c>
      <c r="CY234" s="5"/>
      <c r="CZ234" s="5" t="str">
        <f t="shared" si="680"/>
        <v/>
      </c>
      <c r="DA234" s="5"/>
      <c r="DB234" s="5" t="str">
        <f t="shared" si="681"/>
        <v/>
      </c>
      <c r="DC234" s="5"/>
      <c r="DD234" s="4"/>
      <c r="DE234" s="4" t="str">
        <f t="shared" si="682"/>
        <v/>
      </c>
      <c r="DF234" s="5" t="str">
        <f t="shared" si="683"/>
        <v/>
      </c>
      <c r="DG234" s="36" t="str">
        <f t="shared" si="684"/>
        <v/>
      </c>
      <c r="DH234" s="63"/>
      <c r="DJ234" s="40" t="str">
        <f>IF($A261="","",$A261)</f>
        <v/>
      </c>
      <c r="DK234" s="35"/>
      <c r="DL234" s="5" t="str">
        <f t="shared" si="685"/>
        <v/>
      </c>
      <c r="DM234" s="5"/>
      <c r="DN234" s="5" t="str">
        <f t="shared" si="686"/>
        <v/>
      </c>
      <c r="DO234" s="5"/>
      <c r="DP234" s="5" t="str">
        <f t="shared" si="687"/>
        <v/>
      </c>
      <c r="DQ234" s="5"/>
      <c r="DR234" s="4"/>
      <c r="DS234" s="4" t="str">
        <f t="shared" si="688"/>
        <v/>
      </c>
      <c r="DT234" s="5" t="str">
        <f t="shared" si="689"/>
        <v/>
      </c>
      <c r="DU234" s="36" t="str">
        <f t="shared" si="690"/>
        <v/>
      </c>
      <c r="DV234" s="63"/>
      <c r="DX234" s="40" t="str">
        <f>IF($A261="","",$A261)</f>
        <v/>
      </c>
      <c r="DY234" s="35"/>
      <c r="DZ234" s="5" t="str">
        <f t="shared" si="691"/>
        <v/>
      </c>
      <c r="EA234" s="5"/>
      <c r="EB234" s="5" t="str">
        <f t="shared" si="692"/>
        <v/>
      </c>
      <c r="EC234" s="5"/>
      <c r="ED234" s="5" t="str">
        <f t="shared" si="693"/>
        <v/>
      </c>
      <c r="EE234" s="5"/>
      <c r="EF234" s="4"/>
      <c r="EG234" s="4" t="str">
        <f t="shared" si="694"/>
        <v/>
      </c>
      <c r="EH234" s="5" t="str">
        <f t="shared" si="695"/>
        <v/>
      </c>
      <c r="EI234" s="36" t="str">
        <f t="shared" si="696"/>
        <v/>
      </c>
      <c r="EJ234" s="63"/>
      <c r="EL234" s="40" t="str">
        <f>IF($A261="","",$A261)</f>
        <v/>
      </c>
      <c r="EM234" s="35"/>
      <c r="EN234" s="5" t="str">
        <f t="shared" si="697"/>
        <v/>
      </c>
      <c r="EO234" s="5"/>
      <c r="EP234" s="5" t="str">
        <f t="shared" si="698"/>
        <v/>
      </c>
      <c r="EQ234" s="5"/>
      <c r="ER234" s="5" t="str">
        <f t="shared" si="699"/>
        <v/>
      </c>
      <c r="ES234" s="5"/>
      <c r="ET234" s="4"/>
      <c r="EU234" s="4" t="str">
        <f t="shared" si="700"/>
        <v/>
      </c>
      <c r="EV234" s="5" t="str">
        <f t="shared" si="701"/>
        <v/>
      </c>
      <c r="EW234" s="36" t="str">
        <f t="shared" si="702"/>
        <v/>
      </c>
      <c r="EX234" s="63"/>
      <c r="EZ234" s="40" t="str">
        <f>IF($A261="","",$A261)</f>
        <v/>
      </c>
      <c r="FA234" s="35"/>
      <c r="FB234" s="5" t="str">
        <f t="shared" si="703"/>
        <v/>
      </c>
      <c r="FC234" s="5"/>
      <c r="FD234" s="5" t="str">
        <f t="shared" si="718"/>
        <v/>
      </c>
      <c r="FE234" s="5"/>
      <c r="FF234" s="5" t="str">
        <f t="shared" si="719"/>
        <v/>
      </c>
      <c r="FG234" s="5"/>
      <c r="FH234" s="4"/>
      <c r="FI234" s="4" t="str">
        <f t="shared" si="720"/>
        <v/>
      </c>
      <c r="FJ234" s="5" t="str">
        <f t="shared" si="721"/>
        <v/>
      </c>
      <c r="FK234" s="36" t="str">
        <f t="shared" si="722"/>
        <v/>
      </c>
      <c r="FL234" s="63"/>
      <c r="FN234" s="40" t="str">
        <f>IF($A261="","",$A261)</f>
        <v/>
      </c>
      <c r="FO234" s="35"/>
      <c r="FP234" s="5" t="str">
        <f t="shared" si="723"/>
        <v/>
      </c>
      <c r="FQ234" s="5"/>
      <c r="FR234" s="5" t="str">
        <f t="shared" si="724"/>
        <v/>
      </c>
      <c r="FS234" s="5"/>
      <c r="FT234" s="5" t="str">
        <f t="shared" si="725"/>
        <v/>
      </c>
      <c r="FU234" s="5"/>
      <c r="FV234" s="4"/>
      <c r="FW234" s="4" t="str">
        <f t="shared" si="726"/>
        <v/>
      </c>
      <c r="FX234" s="5" t="str">
        <f t="shared" si="727"/>
        <v/>
      </c>
      <c r="FY234" s="36" t="str">
        <f t="shared" si="728"/>
        <v/>
      </c>
      <c r="FZ234" s="63"/>
      <c r="GB234" s="40" t="str">
        <f>IF($A261="","",$A261)</f>
        <v/>
      </c>
      <c r="GC234" s="35"/>
      <c r="GD234" s="5" t="str">
        <f t="shared" si="729"/>
        <v/>
      </c>
      <c r="GE234" s="5"/>
      <c r="GF234" s="5" t="str">
        <f t="shared" si="704"/>
        <v/>
      </c>
      <c r="GG234" s="5"/>
      <c r="GH234" s="5" t="str">
        <f t="shared" si="705"/>
        <v/>
      </c>
      <c r="GI234" s="5"/>
      <c r="GJ234" s="4"/>
      <c r="GK234" s="4" t="str">
        <f t="shared" si="706"/>
        <v/>
      </c>
      <c r="GL234" s="5" t="str">
        <f t="shared" si="707"/>
        <v/>
      </c>
      <c r="GM234" s="36" t="str">
        <f t="shared" si="708"/>
        <v/>
      </c>
      <c r="GN234" s="63"/>
      <c r="GP234" s="40" t="str">
        <f>IF($A261="","",$A261)</f>
        <v/>
      </c>
      <c r="GQ234" s="35"/>
      <c r="GR234" s="5" t="str">
        <f t="shared" si="709"/>
        <v/>
      </c>
      <c r="GS234" s="5"/>
      <c r="GT234" s="5" t="str">
        <f>IF(GS234="","",GS234-GS233)</f>
        <v/>
      </c>
      <c r="GU234" s="5"/>
      <c r="GV234" s="5" t="str">
        <f t="shared" si="711"/>
        <v/>
      </c>
      <c r="GW234" s="5"/>
      <c r="GX234" s="5" t="str">
        <f t="shared" si="712"/>
        <v/>
      </c>
      <c r="GY234" s="5"/>
      <c r="GZ234" s="4"/>
      <c r="HA234" s="4" t="str">
        <f t="shared" si="730"/>
        <v/>
      </c>
      <c r="HB234" s="5" t="str">
        <f t="shared" si="713"/>
        <v/>
      </c>
      <c r="HC234" s="36" t="str">
        <f t="shared" si="714"/>
        <v/>
      </c>
      <c r="HD234" s="63"/>
      <c r="HF234" s="40" t="str">
        <f>IF($A261="","",$A261)</f>
        <v/>
      </c>
      <c r="HG234" s="35"/>
      <c r="HH234" s="5" t="str">
        <f t="shared" si="715"/>
        <v/>
      </c>
      <c r="HI234" s="5"/>
      <c r="HJ234" s="63"/>
      <c r="HL234" s="40" t="str">
        <f>IF($A261="","",$A261)</f>
        <v/>
      </c>
      <c r="HM234" s="35"/>
      <c r="HN234" s="5" t="str">
        <f t="shared" si="716"/>
        <v/>
      </c>
      <c r="HO234" s="5"/>
      <c r="HP234" s="63"/>
      <c r="HR234" s="40" t="str">
        <f>IF($A261="","",$A261)</f>
        <v/>
      </c>
      <c r="HS234" s="35"/>
      <c r="HT234" s="5" t="str">
        <f t="shared" si="717"/>
        <v/>
      </c>
      <c r="HU234" s="5"/>
      <c r="HV234" s="63"/>
    </row>
    <row r="235" spans="1:230" x14ac:dyDescent="0.2">
      <c r="A235" s="54"/>
      <c r="B235" s="64"/>
      <c r="C235" s="57">
        <v>18112</v>
      </c>
      <c r="D235" s="5">
        <f t="shared" si="731"/>
        <v>40</v>
      </c>
      <c r="E235" s="5">
        <v>635</v>
      </c>
      <c r="F235" s="5">
        <f t="shared" si="732"/>
        <v>0</v>
      </c>
      <c r="G235" s="5">
        <v>33</v>
      </c>
      <c r="H235" s="5">
        <f t="shared" si="733"/>
        <v>0</v>
      </c>
      <c r="I235" s="35">
        <v>16</v>
      </c>
      <c r="J235" s="38" t="str">
        <f t="shared" si="759"/>
        <v>アングリーキーホルダー</v>
      </c>
      <c r="K235" s="5">
        <f t="shared" si="759"/>
        <v>100</v>
      </c>
      <c r="L235" s="5">
        <f t="shared" si="734"/>
        <v>0</v>
      </c>
      <c r="M235" s="36">
        <f t="shared" si="735"/>
        <v>0</v>
      </c>
      <c r="N235" s="29"/>
      <c r="O235" s="30"/>
      <c r="P235" s="25"/>
      <c r="Q235" s="57">
        <v>10055</v>
      </c>
      <c r="R235" s="5">
        <f t="shared" si="736"/>
        <v>50</v>
      </c>
      <c r="S235" s="5">
        <v>268</v>
      </c>
      <c r="T235" s="5">
        <f t="shared" si="737"/>
        <v>0</v>
      </c>
      <c r="U235" s="5">
        <v>6</v>
      </c>
      <c r="V235" s="5">
        <f t="shared" si="738"/>
        <v>0</v>
      </c>
      <c r="W235" s="35">
        <v>8</v>
      </c>
      <c r="X235" s="38" t="s">
        <v>113</v>
      </c>
      <c r="Y235" s="39">
        <f>IF(R235="","",Y231)</f>
        <v>638</v>
      </c>
      <c r="Z235" s="5">
        <f t="shared" si="740"/>
        <v>0</v>
      </c>
      <c r="AA235" s="36">
        <f t="shared" si="741"/>
        <v>0</v>
      </c>
      <c r="AB235" s="29"/>
      <c r="AD235" s="25"/>
      <c r="AE235" s="57">
        <v>526</v>
      </c>
      <c r="AF235" s="5">
        <f t="shared" si="742"/>
        <v>128</v>
      </c>
      <c r="AG235" s="5">
        <v>4</v>
      </c>
      <c r="AH235" s="5">
        <f>IF(AG235="","",AG235-AG231)+1000</f>
        <v>7</v>
      </c>
      <c r="AI235" s="5">
        <v>5</v>
      </c>
      <c r="AJ235" s="5">
        <f t="shared" si="760"/>
        <v>7</v>
      </c>
      <c r="AK235" s="35">
        <v>5</v>
      </c>
      <c r="AL235" s="38" t="str">
        <f t="shared" si="755"/>
        <v>バタースクイーズ</v>
      </c>
      <c r="AM235" s="5">
        <f t="shared" si="744"/>
        <v>1100</v>
      </c>
      <c r="AN235" s="5">
        <f t="shared" si="745"/>
        <v>7700</v>
      </c>
      <c r="AO235" s="36">
        <f t="shared" si="746"/>
        <v>0.6015625</v>
      </c>
      <c r="AP235" s="29" t="s">
        <v>128</v>
      </c>
      <c r="AR235" s="25"/>
      <c r="AS235" s="57">
        <v>524</v>
      </c>
      <c r="AT235" s="5">
        <f t="shared" si="747"/>
        <v>109</v>
      </c>
      <c r="AU235" s="5">
        <v>996</v>
      </c>
      <c r="AV235" s="5">
        <f t="shared" si="748"/>
        <v>0</v>
      </c>
      <c r="AW235" s="5">
        <v>11</v>
      </c>
      <c r="AX235" s="5">
        <f t="shared" si="761"/>
        <v>0</v>
      </c>
      <c r="AY235" s="35"/>
      <c r="AZ235" s="38" t="str">
        <f t="shared" si="749"/>
        <v>ゲームアーク</v>
      </c>
      <c r="BA235" s="5">
        <f t="shared" si="750"/>
        <v>682</v>
      </c>
      <c r="BB235" s="5">
        <f t="shared" si="751"/>
        <v>0</v>
      </c>
      <c r="BC235" s="36">
        <f t="shared" si="752"/>
        <v>0</v>
      </c>
      <c r="BD235" s="29"/>
      <c r="BE235" s="32"/>
      <c r="BF235" s="25"/>
      <c r="BG235" s="5">
        <v>624</v>
      </c>
      <c r="BH235" s="5">
        <f>IF(BG235="","",BG235-BG231)</f>
        <v>40</v>
      </c>
      <c r="BI235" s="5">
        <v>3</v>
      </c>
      <c r="BJ235" s="5">
        <f>IF(BI235="","",BI235-BI231)</f>
        <v>1</v>
      </c>
      <c r="BK235" s="5">
        <v>2</v>
      </c>
      <c r="BL235" s="5">
        <f t="shared" si="756"/>
        <v>0</v>
      </c>
      <c r="BM235" s="95">
        <v>1</v>
      </c>
      <c r="BN235" s="3" t="str">
        <f>IF(BG233="","",BN231)</f>
        <v>プチドロップシール</v>
      </c>
      <c r="BO235" s="39">
        <f>IF(BG233="","",BO231)</f>
        <v>800</v>
      </c>
      <c r="BP235" s="5">
        <f t="shared" si="762"/>
        <v>0</v>
      </c>
      <c r="BQ235" s="36">
        <f>IF(BL235="","",BP235/(BH234*100))</f>
        <v>0</v>
      </c>
      <c r="BR235" s="29"/>
      <c r="BT235" s="25"/>
      <c r="BU235" s="5"/>
      <c r="BV235" s="5" t="str">
        <f t="shared" si="757"/>
        <v/>
      </c>
      <c r="BW235" s="5"/>
      <c r="BX235" s="5" t="str">
        <f t="shared" si="758"/>
        <v/>
      </c>
      <c r="BY235" s="5"/>
      <c r="BZ235" s="5"/>
      <c r="CA235" s="57"/>
      <c r="CB235" s="3"/>
      <c r="CC235" s="39"/>
      <c r="CD235" s="5"/>
      <c r="CE235" s="36"/>
      <c r="CF235" s="29"/>
      <c r="CH235" s="40" t="str">
        <f>IF($A265="","",$A265)</f>
        <v/>
      </c>
      <c r="CI235" s="35"/>
      <c r="CJ235" s="5" t="str">
        <f t="shared" si="673"/>
        <v/>
      </c>
      <c r="CK235" s="5"/>
      <c r="CL235" s="5" t="str">
        <f t="shared" si="674"/>
        <v/>
      </c>
      <c r="CM235" s="5"/>
      <c r="CN235" s="5" t="str">
        <f t="shared" si="675"/>
        <v/>
      </c>
      <c r="CO235" s="5"/>
      <c r="CP235" s="4"/>
      <c r="CQ235" s="4" t="str">
        <f t="shared" si="676"/>
        <v/>
      </c>
      <c r="CR235" s="5" t="str">
        <f t="shared" si="677"/>
        <v/>
      </c>
      <c r="CS235" s="36" t="str">
        <f t="shared" si="678"/>
        <v/>
      </c>
      <c r="CT235" s="63"/>
      <c r="CV235" s="40" t="str">
        <f>IF($A265="","",$A265)</f>
        <v/>
      </c>
      <c r="CW235" s="35"/>
      <c r="CX235" s="5" t="str">
        <f t="shared" si="679"/>
        <v/>
      </c>
      <c r="CY235" s="5"/>
      <c r="CZ235" s="5" t="str">
        <f t="shared" si="680"/>
        <v/>
      </c>
      <c r="DA235" s="5"/>
      <c r="DB235" s="5" t="str">
        <f t="shared" si="681"/>
        <v/>
      </c>
      <c r="DC235" s="5"/>
      <c r="DD235" s="4"/>
      <c r="DE235" s="4" t="str">
        <f t="shared" si="682"/>
        <v/>
      </c>
      <c r="DF235" s="5" t="str">
        <f t="shared" si="683"/>
        <v/>
      </c>
      <c r="DG235" s="36" t="str">
        <f t="shared" si="684"/>
        <v/>
      </c>
      <c r="DH235" s="63"/>
      <c r="DJ235" s="40" t="str">
        <f>IF($A265="","",$A265)</f>
        <v/>
      </c>
      <c r="DK235" s="35"/>
      <c r="DL235" s="5" t="str">
        <f t="shared" si="685"/>
        <v/>
      </c>
      <c r="DM235" s="5"/>
      <c r="DN235" s="5" t="str">
        <f t="shared" si="686"/>
        <v/>
      </c>
      <c r="DO235" s="5"/>
      <c r="DP235" s="5" t="str">
        <f t="shared" si="687"/>
        <v/>
      </c>
      <c r="DQ235" s="5"/>
      <c r="DR235" s="4"/>
      <c r="DS235" s="4" t="str">
        <f t="shared" si="688"/>
        <v/>
      </c>
      <c r="DT235" s="5" t="str">
        <f t="shared" si="689"/>
        <v/>
      </c>
      <c r="DU235" s="36" t="str">
        <f t="shared" si="690"/>
        <v/>
      </c>
      <c r="DV235" s="63"/>
      <c r="DX235" s="40" t="str">
        <f>IF($A265="","",$A265)</f>
        <v/>
      </c>
      <c r="DY235" s="35"/>
      <c r="DZ235" s="5" t="str">
        <f t="shared" si="691"/>
        <v/>
      </c>
      <c r="EA235" s="5"/>
      <c r="EB235" s="5" t="str">
        <f t="shared" si="692"/>
        <v/>
      </c>
      <c r="EC235" s="5"/>
      <c r="ED235" s="5" t="str">
        <f t="shared" si="693"/>
        <v/>
      </c>
      <c r="EE235" s="5"/>
      <c r="EF235" s="4"/>
      <c r="EG235" s="4" t="str">
        <f t="shared" si="694"/>
        <v/>
      </c>
      <c r="EH235" s="5" t="str">
        <f t="shared" si="695"/>
        <v/>
      </c>
      <c r="EI235" s="36" t="str">
        <f t="shared" si="696"/>
        <v/>
      </c>
      <c r="EJ235" s="63"/>
      <c r="EL235" s="40" t="str">
        <f>IF($A265="","",$A265)</f>
        <v/>
      </c>
      <c r="EM235" s="35"/>
      <c r="EN235" s="5" t="str">
        <f t="shared" si="697"/>
        <v/>
      </c>
      <c r="EO235" s="5"/>
      <c r="EP235" s="5" t="str">
        <f t="shared" si="698"/>
        <v/>
      </c>
      <c r="EQ235" s="5"/>
      <c r="ER235" s="5" t="str">
        <f t="shared" si="699"/>
        <v/>
      </c>
      <c r="ES235" s="5"/>
      <c r="ET235" s="4"/>
      <c r="EU235" s="4" t="str">
        <f t="shared" si="700"/>
        <v/>
      </c>
      <c r="EV235" s="5" t="str">
        <f t="shared" si="701"/>
        <v/>
      </c>
      <c r="EW235" s="36" t="str">
        <f t="shared" si="702"/>
        <v/>
      </c>
      <c r="EX235" s="63"/>
      <c r="EZ235" s="40" t="str">
        <f>IF($A265="","",$A265)</f>
        <v/>
      </c>
      <c r="FA235" s="35"/>
      <c r="FB235" s="5" t="str">
        <f t="shared" si="703"/>
        <v/>
      </c>
      <c r="FC235" s="5"/>
      <c r="FD235" s="5" t="str">
        <f t="shared" si="718"/>
        <v/>
      </c>
      <c r="FE235" s="5"/>
      <c r="FF235" s="5" t="str">
        <f t="shared" si="719"/>
        <v/>
      </c>
      <c r="FG235" s="5"/>
      <c r="FH235" s="4"/>
      <c r="FI235" s="4" t="str">
        <f t="shared" si="720"/>
        <v/>
      </c>
      <c r="FJ235" s="5" t="str">
        <f t="shared" si="721"/>
        <v/>
      </c>
      <c r="FK235" s="36" t="str">
        <f t="shared" si="722"/>
        <v/>
      </c>
      <c r="FL235" s="63"/>
      <c r="FN235" s="40" t="str">
        <f>IF($A265="","",$A265)</f>
        <v/>
      </c>
      <c r="FO235" s="35"/>
      <c r="FP235" s="5" t="str">
        <f t="shared" si="723"/>
        <v/>
      </c>
      <c r="FQ235" s="5"/>
      <c r="FR235" s="5" t="str">
        <f t="shared" si="724"/>
        <v/>
      </c>
      <c r="FS235" s="5"/>
      <c r="FT235" s="5" t="str">
        <f t="shared" si="725"/>
        <v/>
      </c>
      <c r="FU235" s="5"/>
      <c r="FV235" s="4"/>
      <c r="FW235" s="4" t="str">
        <f t="shared" si="726"/>
        <v/>
      </c>
      <c r="FX235" s="5" t="str">
        <f t="shared" si="727"/>
        <v/>
      </c>
      <c r="FY235" s="36" t="str">
        <f t="shared" si="728"/>
        <v/>
      </c>
      <c r="FZ235" s="63"/>
      <c r="GB235" s="40" t="str">
        <f>IF($A265="","",$A265)</f>
        <v/>
      </c>
      <c r="GC235" s="35"/>
      <c r="GD235" s="5" t="str">
        <f t="shared" si="729"/>
        <v/>
      </c>
      <c r="GE235" s="5"/>
      <c r="GF235" s="5" t="str">
        <f t="shared" si="704"/>
        <v/>
      </c>
      <c r="GG235" s="5"/>
      <c r="GH235" s="5" t="str">
        <f t="shared" si="705"/>
        <v/>
      </c>
      <c r="GI235" s="5"/>
      <c r="GJ235" s="4"/>
      <c r="GK235" s="4" t="str">
        <f t="shared" si="706"/>
        <v/>
      </c>
      <c r="GL235" s="5" t="str">
        <f t="shared" si="707"/>
        <v/>
      </c>
      <c r="GM235" s="36" t="str">
        <f t="shared" si="708"/>
        <v/>
      </c>
      <c r="GN235" s="63"/>
      <c r="GP235" s="40" t="str">
        <f>IF($A265="","",$A265)</f>
        <v/>
      </c>
      <c r="GQ235" s="35"/>
      <c r="GR235" s="5" t="str">
        <f t="shared" si="709"/>
        <v/>
      </c>
      <c r="GS235" s="5"/>
      <c r="GT235" s="5" t="str">
        <f>IF(GS235="","",GS235-GS234)</f>
        <v/>
      </c>
      <c r="GU235" s="5"/>
      <c r="GV235" s="5" t="str">
        <f t="shared" si="711"/>
        <v/>
      </c>
      <c r="GW235" s="5"/>
      <c r="GX235" s="5" t="str">
        <f t="shared" si="712"/>
        <v/>
      </c>
      <c r="GY235" s="5"/>
      <c r="GZ235" s="4"/>
      <c r="HA235" s="4" t="str">
        <f t="shared" si="730"/>
        <v/>
      </c>
      <c r="HB235" s="5" t="str">
        <f t="shared" si="713"/>
        <v/>
      </c>
      <c r="HC235" s="36" t="str">
        <f t="shared" si="714"/>
        <v/>
      </c>
      <c r="HD235" s="63"/>
      <c r="HF235" s="40" t="str">
        <f>IF($A265="","",$A265)</f>
        <v/>
      </c>
      <c r="HG235" s="35"/>
      <c r="HH235" s="5" t="str">
        <f t="shared" si="715"/>
        <v/>
      </c>
      <c r="HI235" s="5"/>
      <c r="HJ235" s="63"/>
      <c r="HL235" s="40" t="str">
        <f>IF($A265="","",$A265)</f>
        <v/>
      </c>
      <c r="HM235" s="35"/>
      <c r="HN235" s="5" t="str">
        <f t="shared" si="716"/>
        <v/>
      </c>
      <c r="HO235" s="5"/>
      <c r="HP235" s="63"/>
      <c r="HR235" s="40" t="str">
        <f>IF($A265="","",$A265)</f>
        <v/>
      </c>
      <c r="HS235" s="35"/>
      <c r="HT235" s="5" t="str">
        <f t="shared" si="717"/>
        <v/>
      </c>
      <c r="HU235" s="5"/>
      <c r="HV235" s="63"/>
    </row>
    <row r="236" spans="1:230" ht="15" customHeight="1" thickBot="1" x14ac:dyDescent="0.25">
      <c r="A236" s="65"/>
      <c r="B236" s="66"/>
      <c r="C236" s="43">
        <v>22055</v>
      </c>
      <c r="D236" s="61">
        <f t="shared" si="731"/>
        <v>65</v>
      </c>
      <c r="E236" s="44">
        <v>1144</v>
      </c>
      <c r="F236" s="44">
        <f t="shared" si="732"/>
        <v>10</v>
      </c>
      <c r="G236" s="44">
        <v>12</v>
      </c>
      <c r="H236" s="44">
        <f>IF(G236="","",G232+I232-G236)</f>
        <v>0</v>
      </c>
      <c r="I236" s="62"/>
      <c r="J236" s="47" t="str">
        <f t="shared" si="759"/>
        <v>パステルケーキ</v>
      </c>
      <c r="K236" s="61">
        <f t="shared" si="759"/>
        <v>187</v>
      </c>
      <c r="L236" s="44">
        <f t="shared" si="734"/>
        <v>0</v>
      </c>
      <c r="M236" s="46">
        <f t="shared" si="735"/>
        <v>0</v>
      </c>
      <c r="N236" s="29"/>
      <c r="O236" s="30"/>
      <c r="P236" s="67"/>
      <c r="Q236" s="43">
        <v>8736</v>
      </c>
      <c r="R236" s="61">
        <f t="shared" si="736"/>
        <v>36</v>
      </c>
      <c r="S236" s="44">
        <v>205</v>
      </c>
      <c r="T236" s="44">
        <f t="shared" si="737"/>
        <v>0</v>
      </c>
      <c r="U236" s="44">
        <v>22</v>
      </c>
      <c r="V236" s="44">
        <f>IF(U236="","",U232+W232-U236)</f>
        <v>0</v>
      </c>
      <c r="W236" s="62">
        <v>0</v>
      </c>
      <c r="X236" s="47" t="s">
        <v>114</v>
      </c>
      <c r="Y236" s="61">
        <f>IF(R236="","",Y232)</f>
        <v>350</v>
      </c>
      <c r="Z236" s="44">
        <f t="shared" si="740"/>
        <v>0</v>
      </c>
      <c r="AA236" s="46">
        <f t="shared" si="741"/>
        <v>0</v>
      </c>
      <c r="AB236" s="29"/>
      <c r="AD236" s="67"/>
      <c r="AE236" s="43">
        <v>227</v>
      </c>
      <c r="AF236" s="61">
        <f t="shared" si="742"/>
        <v>27</v>
      </c>
      <c r="AG236" s="44">
        <v>0</v>
      </c>
      <c r="AH236" s="44">
        <f>IF(AG236="","",AG236-AG232)+1000</f>
        <v>3</v>
      </c>
      <c r="AI236" s="44">
        <v>56</v>
      </c>
      <c r="AJ236" s="44">
        <f>IF(AI236="","",AI232+AK232-AI236)</f>
        <v>3</v>
      </c>
      <c r="AK236" s="62">
        <v>40</v>
      </c>
      <c r="AL236" s="47" t="str">
        <f t="shared" si="755"/>
        <v>キティボールペン</v>
      </c>
      <c r="AM236" s="61">
        <f t="shared" si="744"/>
        <v>283</v>
      </c>
      <c r="AN236" s="44">
        <f t="shared" si="745"/>
        <v>849</v>
      </c>
      <c r="AO236" s="46">
        <f t="shared" si="746"/>
        <v>0.31444444444444447</v>
      </c>
      <c r="AP236" s="29"/>
      <c r="AR236" s="67"/>
      <c r="AS236" s="43">
        <v>226</v>
      </c>
      <c r="AT236" s="61">
        <f t="shared" si="747"/>
        <v>52</v>
      </c>
      <c r="AU236" s="44">
        <v>999</v>
      </c>
      <c r="AV236" s="44">
        <f t="shared" si="748"/>
        <v>0</v>
      </c>
      <c r="AW236" s="44">
        <v>21</v>
      </c>
      <c r="AX236" s="44">
        <f>IF(AW236="","",AW232+AY232-AW236)</f>
        <v>0</v>
      </c>
      <c r="AY236" s="62"/>
      <c r="AZ236" s="47" t="s">
        <v>119</v>
      </c>
      <c r="BA236" s="61">
        <f t="shared" si="750"/>
        <v>110</v>
      </c>
      <c r="BB236" s="44">
        <f t="shared" si="751"/>
        <v>0</v>
      </c>
      <c r="BC236" s="46">
        <f t="shared" si="752"/>
        <v>0</v>
      </c>
      <c r="BD236" s="29"/>
      <c r="BE236" s="32"/>
      <c r="BF236" s="41"/>
      <c r="BG236" s="44">
        <v>2449</v>
      </c>
      <c r="BH236" s="44">
        <f t="shared" ref="BH236:BH280" si="765">IF(BG236="","",BG236-BG232)</f>
        <v>190</v>
      </c>
      <c r="BI236" s="44">
        <v>20</v>
      </c>
      <c r="BJ236" s="44">
        <f t="shared" ref="BJ236:BJ279" si="766">IF(BI236="","",BI236-BI232)</f>
        <v>3</v>
      </c>
      <c r="BK236" s="44">
        <v>0</v>
      </c>
      <c r="BL236" s="44">
        <f t="shared" si="756"/>
        <v>17</v>
      </c>
      <c r="BM236" s="77">
        <v>3</v>
      </c>
      <c r="BN236" s="45" t="str">
        <f>IF(BG234="","",BN232)</f>
        <v>ボンボンドロップシール</v>
      </c>
      <c r="BO236" s="61">
        <f>IF(BG233="","",BO232)</f>
        <v>1500</v>
      </c>
      <c r="BP236" s="44">
        <f t="shared" si="762"/>
        <v>25500</v>
      </c>
      <c r="BQ236" s="46">
        <f>IF(BL236="","",BP236/(BH234*100))</f>
        <v>0.86148648648648651</v>
      </c>
      <c r="BR236" s="29"/>
      <c r="BT236" s="41"/>
      <c r="BU236" s="44"/>
      <c r="BV236" s="44" t="str">
        <f t="shared" si="757"/>
        <v/>
      </c>
      <c r="BW236" s="44"/>
      <c r="BX236" s="44" t="str">
        <f t="shared" si="758"/>
        <v/>
      </c>
      <c r="BY236" s="44"/>
      <c r="BZ236" s="44"/>
      <c r="CA236" s="44"/>
      <c r="CB236" s="45"/>
      <c r="CC236" s="61"/>
      <c r="CD236" s="44"/>
      <c r="CE236" s="46"/>
      <c r="CF236" s="29"/>
      <c r="CH236" s="40" t="str">
        <f>IF($A269="","",$A269)</f>
        <v/>
      </c>
      <c r="CI236" s="35"/>
      <c r="CJ236" s="5" t="str">
        <f t="shared" si="673"/>
        <v/>
      </c>
      <c r="CK236" s="5"/>
      <c r="CL236" s="5" t="str">
        <f t="shared" si="674"/>
        <v/>
      </c>
      <c r="CM236" s="5"/>
      <c r="CN236" s="5" t="str">
        <f t="shared" si="675"/>
        <v/>
      </c>
      <c r="CO236" s="5"/>
      <c r="CP236" s="4"/>
      <c r="CQ236" s="4" t="str">
        <f t="shared" si="676"/>
        <v/>
      </c>
      <c r="CR236" s="5" t="str">
        <f t="shared" si="677"/>
        <v/>
      </c>
      <c r="CS236" s="36" t="str">
        <f t="shared" si="678"/>
        <v/>
      </c>
      <c r="CT236" s="29"/>
      <c r="CV236" s="40" t="str">
        <f>IF($A269="","",$A269)</f>
        <v/>
      </c>
      <c r="CW236" s="35"/>
      <c r="CX236" s="5" t="str">
        <f t="shared" si="679"/>
        <v/>
      </c>
      <c r="CY236" s="5"/>
      <c r="CZ236" s="5" t="str">
        <f t="shared" si="680"/>
        <v/>
      </c>
      <c r="DA236" s="5"/>
      <c r="DB236" s="5" t="str">
        <f t="shared" si="681"/>
        <v/>
      </c>
      <c r="DC236" s="5"/>
      <c r="DD236" s="4"/>
      <c r="DE236" s="4" t="str">
        <f t="shared" si="682"/>
        <v/>
      </c>
      <c r="DF236" s="5" t="str">
        <f t="shared" si="683"/>
        <v/>
      </c>
      <c r="DG236" s="36" t="str">
        <f t="shared" si="684"/>
        <v/>
      </c>
      <c r="DH236" s="29"/>
      <c r="DJ236" s="40" t="str">
        <f>IF($A269="","",$A269)</f>
        <v/>
      </c>
      <c r="DK236" s="35"/>
      <c r="DL236" s="5" t="str">
        <f t="shared" si="685"/>
        <v/>
      </c>
      <c r="DM236" s="5"/>
      <c r="DN236" s="5" t="str">
        <f t="shared" si="686"/>
        <v/>
      </c>
      <c r="DO236" s="5"/>
      <c r="DP236" s="5" t="str">
        <f t="shared" si="687"/>
        <v/>
      </c>
      <c r="DQ236" s="5"/>
      <c r="DR236" s="4"/>
      <c r="DS236" s="4" t="str">
        <f t="shared" si="688"/>
        <v/>
      </c>
      <c r="DT236" s="5" t="str">
        <f t="shared" si="689"/>
        <v/>
      </c>
      <c r="DU236" s="36" t="str">
        <f t="shared" si="690"/>
        <v/>
      </c>
      <c r="DV236" s="29"/>
      <c r="DX236" s="40" t="str">
        <f>IF($A269="","",$A269)</f>
        <v/>
      </c>
      <c r="DY236" s="35"/>
      <c r="DZ236" s="5" t="str">
        <f t="shared" si="691"/>
        <v/>
      </c>
      <c r="EA236" s="5"/>
      <c r="EB236" s="5" t="str">
        <f t="shared" si="692"/>
        <v/>
      </c>
      <c r="EC236" s="5"/>
      <c r="ED236" s="5" t="str">
        <f t="shared" si="693"/>
        <v/>
      </c>
      <c r="EE236" s="5"/>
      <c r="EF236" s="4"/>
      <c r="EG236" s="4" t="str">
        <f t="shared" si="694"/>
        <v/>
      </c>
      <c r="EH236" s="5" t="str">
        <f t="shared" si="695"/>
        <v/>
      </c>
      <c r="EI236" s="36" t="str">
        <f t="shared" si="696"/>
        <v/>
      </c>
      <c r="EJ236" s="29"/>
      <c r="EL236" s="40" t="str">
        <f>IF($A269="","",$A269)</f>
        <v/>
      </c>
      <c r="EM236" s="35"/>
      <c r="EN236" s="5" t="str">
        <f t="shared" si="697"/>
        <v/>
      </c>
      <c r="EO236" s="5"/>
      <c r="EP236" s="5" t="str">
        <f t="shared" si="698"/>
        <v/>
      </c>
      <c r="EQ236" s="5"/>
      <c r="ER236" s="5" t="str">
        <f t="shared" si="699"/>
        <v/>
      </c>
      <c r="ES236" s="5"/>
      <c r="ET236" s="4"/>
      <c r="EU236" s="4" t="str">
        <f t="shared" si="700"/>
        <v/>
      </c>
      <c r="EV236" s="5" t="str">
        <f t="shared" si="701"/>
        <v/>
      </c>
      <c r="EW236" s="36" t="str">
        <f t="shared" si="702"/>
        <v/>
      </c>
      <c r="EX236" s="29"/>
      <c r="EZ236" s="40" t="str">
        <f>IF($A269="","",$A269)</f>
        <v/>
      </c>
      <c r="FA236" s="35"/>
      <c r="FB236" s="5" t="str">
        <f t="shared" si="703"/>
        <v/>
      </c>
      <c r="FC236" s="5"/>
      <c r="FD236" s="5" t="str">
        <f t="shared" si="718"/>
        <v/>
      </c>
      <c r="FE236" s="5"/>
      <c r="FF236" s="5" t="str">
        <f t="shared" si="719"/>
        <v/>
      </c>
      <c r="FG236" s="5"/>
      <c r="FH236" s="4"/>
      <c r="FI236" s="4" t="str">
        <f t="shared" si="720"/>
        <v/>
      </c>
      <c r="FJ236" s="5" t="str">
        <f t="shared" si="721"/>
        <v/>
      </c>
      <c r="FK236" s="36" t="str">
        <f t="shared" si="722"/>
        <v/>
      </c>
      <c r="FL236" s="29"/>
      <c r="FN236" s="40" t="str">
        <f>IF($A269="","",$A269)</f>
        <v/>
      </c>
      <c r="FO236" s="35"/>
      <c r="FP236" s="5" t="str">
        <f t="shared" si="723"/>
        <v/>
      </c>
      <c r="FQ236" s="5"/>
      <c r="FR236" s="5" t="str">
        <f t="shared" si="724"/>
        <v/>
      </c>
      <c r="FS236" s="5"/>
      <c r="FT236" s="5" t="str">
        <f t="shared" si="725"/>
        <v/>
      </c>
      <c r="FU236" s="5"/>
      <c r="FV236" s="4"/>
      <c r="FW236" s="4" t="str">
        <f t="shared" si="726"/>
        <v/>
      </c>
      <c r="FX236" s="5" t="str">
        <f t="shared" si="727"/>
        <v/>
      </c>
      <c r="FY236" s="36" t="str">
        <f t="shared" si="728"/>
        <v/>
      </c>
      <c r="FZ236" s="29"/>
      <c r="GB236" s="40" t="str">
        <f>IF($A269="","",$A269)</f>
        <v/>
      </c>
      <c r="GC236" s="35"/>
      <c r="GD236" s="5" t="str">
        <f t="shared" si="729"/>
        <v/>
      </c>
      <c r="GE236" s="5"/>
      <c r="GF236" s="5" t="str">
        <f t="shared" si="704"/>
        <v/>
      </c>
      <c r="GG236" s="5"/>
      <c r="GH236" s="5" t="str">
        <f t="shared" si="705"/>
        <v/>
      </c>
      <c r="GI236" s="5"/>
      <c r="GJ236" s="4"/>
      <c r="GK236" s="4" t="str">
        <f t="shared" si="706"/>
        <v/>
      </c>
      <c r="GL236" s="5" t="str">
        <f t="shared" si="707"/>
        <v/>
      </c>
      <c r="GM236" s="36" t="str">
        <f t="shared" si="708"/>
        <v/>
      </c>
      <c r="GN236" s="29"/>
      <c r="GP236" s="40" t="str">
        <f>IF($A269="","",$A269)</f>
        <v/>
      </c>
      <c r="GQ236" s="35"/>
      <c r="GR236" s="5" t="str">
        <f t="shared" si="709"/>
        <v/>
      </c>
      <c r="GS236" s="5"/>
      <c r="GT236" s="5" t="str">
        <f>IF(GS236="","",GS236-GS235)</f>
        <v/>
      </c>
      <c r="GU236" s="5"/>
      <c r="GV236" s="5" t="str">
        <f t="shared" si="711"/>
        <v/>
      </c>
      <c r="GW236" s="5"/>
      <c r="GX236" s="5" t="str">
        <f t="shared" si="712"/>
        <v/>
      </c>
      <c r="GY236" s="5"/>
      <c r="GZ236" s="4"/>
      <c r="HA236" s="4" t="str">
        <f t="shared" si="730"/>
        <v/>
      </c>
      <c r="HB236" s="5" t="str">
        <f t="shared" si="713"/>
        <v/>
      </c>
      <c r="HC236" s="36" t="str">
        <f t="shared" si="714"/>
        <v/>
      </c>
      <c r="HD236" s="29"/>
      <c r="HF236" s="40" t="str">
        <f>IF($A269="","",$A269)</f>
        <v/>
      </c>
      <c r="HG236" s="35"/>
      <c r="HH236" s="5" t="str">
        <f t="shared" si="715"/>
        <v/>
      </c>
      <c r="HI236" s="5"/>
      <c r="HJ236" s="29"/>
      <c r="HL236" s="40" t="str">
        <f>IF($A269="","",$A269)</f>
        <v/>
      </c>
      <c r="HM236" s="35"/>
      <c r="HN236" s="5" t="str">
        <f t="shared" si="716"/>
        <v/>
      </c>
      <c r="HO236" s="5"/>
      <c r="HP236" s="29"/>
      <c r="HR236" s="40" t="str">
        <f>IF($A269="","",$A269)</f>
        <v/>
      </c>
      <c r="HS236" s="35"/>
      <c r="HT236" s="5" t="str">
        <f t="shared" si="717"/>
        <v/>
      </c>
      <c r="HU236" s="5"/>
      <c r="HV236" s="29"/>
    </row>
    <row r="237" spans="1:230" ht="15" customHeight="1" thickTop="1" x14ac:dyDescent="0.2">
      <c r="A237" s="49">
        <v>46090</v>
      </c>
      <c r="B237" s="26">
        <f>SUM(D237:D240)+SUM(R237:R240)+SUM(AF237:AF240)+SUM(AT237:AT240)+SUM(CJ228,CX228,DL228,DZ228,EN228,FB228,FP228,GD228,GR228,HH228,HN228,HT228)+SUM(BH237:BH240)+SUM(BV237:BV238)</f>
        <v>3379</v>
      </c>
      <c r="C237" s="4">
        <v>13022</v>
      </c>
      <c r="D237" s="4">
        <f t="shared" si="731"/>
        <v>48</v>
      </c>
      <c r="E237" s="4">
        <v>337</v>
      </c>
      <c r="F237" s="50">
        <f t="shared" si="732"/>
        <v>0</v>
      </c>
      <c r="G237" s="4">
        <v>12</v>
      </c>
      <c r="H237" s="4">
        <f t="shared" si="733"/>
        <v>1</v>
      </c>
      <c r="I237" s="51">
        <v>0</v>
      </c>
      <c r="J237" s="3" t="str">
        <f t="shared" si="759"/>
        <v>ジャグラーボタン</v>
      </c>
      <c r="K237" s="39">
        <f t="shared" si="759"/>
        <v>748</v>
      </c>
      <c r="L237" s="50">
        <f t="shared" si="734"/>
        <v>748</v>
      </c>
      <c r="M237" s="52">
        <f t="shared" si="735"/>
        <v>0.15583333333333332</v>
      </c>
      <c r="N237" s="29"/>
      <c r="O237" s="30"/>
      <c r="P237" s="53">
        <f>IF($A237="","",$A237)</f>
        <v>46090</v>
      </c>
      <c r="Q237" s="4">
        <v>3133</v>
      </c>
      <c r="R237" s="4">
        <v>200</v>
      </c>
      <c r="S237" s="4">
        <v>176</v>
      </c>
      <c r="T237" s="50">
        <f t="shared" si="737"/>
        <v>3</v>
      </c>
      <c r="U237" s="4">
        <v>7</v>
      </c>
      <c r="V237" s="4">
        <f t="shared" ref="V237:V256" si="767">IF(U237="","",U233+W233-U237)</f>
        <v>3</v>
      </c>
      <c r="W237" s="51">
        <v>0</v>
      </c>
      <c r="X237" s="3" t="s">
        <v>130</v>
      </c>
      <c r="Y237" s="39">
        <f>IF(R237="","",Y233)</f>
        <v>660</v>
      </c>
      <c r="Z237" s="50">
        <f t="shared" si="740"/>
        <v>1980</v>
      </c>
      <c r="AA237" s="52">
        <f t="shared" si="741"/>
        <v>9.9000000000000005E-2</v>
      </c>
      <c r="AB237" s="29"/>
      <c r="AD237" s="53">
        <f>IF($A237="","",$A237)</f>
        <v>46090</v>
      </c>
      <c r="AE237" s="4">
        <v>1294</v>
      </c>
      <c r="AF237" s="4">
        <f t="shared" si="742"/>
        <v>68</v>
      </c>
      <c r="AG237" s="4">
        <v>3</v>
      </c>
      <c r="AH237" s="50">
        <f t="shared" si="743"/>
        <v>0</v>
      </c>
      <c r="AI237" s="4">
        <v>19</v>
      </c>
      <c r="AJ237" s="4">
        <f t="shared" ref="AJ237:AJ256" si="768">IF(AI237="","",AI233+AK233-AI237)</f>
        <v>0</v>
      </c>
      <c r="AK237" s="51">
        <v>0</v>
      </c>
      <c r="AL237" s="3" t="str">
        <f t="shared" si="755"/>
        <v>モンチッチがま口</v>
      </c>
      <c r="AM237" s="39">
        <f t="shared" si="744"/>
        <v>462</v>
      </c>
      <c r="AN237" s="50">
        <f t="shared" si="745"/>
        <v>0</v>
      </c>
      <c r="AO237" s="52">
        <f t="shared" si="746"/>
        <v>0</v>
      </c>
      <c r="AP237" s="29"/>
      <c r="AR237" s="53">
        <f>IF($A237="","",$A237)</f>
        <v>46090</v>
      </c>
      <c r="AS237" s="4">
        <v>701</v>
      </c>
      <c r="AT237" s="4">
        <f t="shared" si="747"/>
        <v>67</v>
      </c>
      <c r="AU237" s="4">
        <v>16</v>
      </c>
      <c r="AV237" s="50">
        <f t="shared" si="748"/>
        <v>2</v>
      </c>
      <c r="AW237" s="4">
        <v>10</v>
      </c>
      <c r="AX237" s="4">
        <f t="shared" ref="AX237:AX256" si="769">IF(AW237="","",AW233+AY233-AW237)</f>
        <v>2</v>
      </c>
      <c r="AY237" s="51">
        <v>0</v>
      </c>
      <c r="AZ237" s="31" t="s">
        <v>292</v>
      </c>
      <c r="BA237" s="39">
        <f t="shared" si="750"/>
        <v>1075</v>
      </c>
      <c r="BB237" s="50">
        <f t="shared" si="751"/>
        <v>2150</v>
      </c>
      <c r="BC237" s="52">
        <f t="shared" si="752"/>
        <v>0.32089552238805968</v>
      </c>
      <c r="BD237" s="29"/>
      <c r="BE237" s="32"/>
      <c r="BF237" s="33">
        <f>IF($A237="","",$A237)</f>
        <v>46090</v>
      </c>
      <c r="BG237" s="4">
        <v>1940</v>
      </c>
      <c r="BH237" s="4">
        <f t="shared" si="765"/>
        <v>97</v>
      </c>
      <c r="BI237" s="4">
        <v>12</v>
      </c>
      <c r="BJ237" s="50">
        <f t="shared" si="766"/>
        <v>0</v>
      </c>
      <c r="BK237" s="4">
        <v>3</v>
      </c>
      <c r="BL237" s="4">
        <f t="shared" si="756"/>
        <v>0</v>
      </c>
      <c r="BM237" s="4">
        <v>0</v>
      </c>
      <c r="BN237" s="2" t="str">
        <f>IF(BG237="","",BN233)</f>
        <v>ボンボンドロップシール</v>
      </c>
      <c r="BO237" s="27">
        <f>IF(BG237="","",BO233)</f>
        <v>1500</v>
      </c>
      <c r="BP237" s="5">
        <f t="shared" si="762"/>
        <v>0</v>
      </c>
      <c r="BQ237" s="52">
        <f>IF(BL237="","",BP237/(BH237*100))</f>
        <v>0</v>
      </c>
      <c r="BR237" s="29"/>
      <c r="BT237" s="33">
        <f>IF($A237="","",$A237)</f>
        <v>46090</v>
      </c>
      <c r="BU237" s="4">
        <v>35014</v>
      </c>
      <c r="BV237" s="4">
        <f t="shared" si="757"/>
        <v>64</v>
      </c>
      <c r="BW237" s="4">
        <v>3811</v>
      </c>
      <c r="BX237" s="50">
        <f t="shared" si="758"/>
        <v>7</v>
      </c>
      <c r="BY237" s="4">
        <v>41</v>
      </c>
      <c r="BZ237" s="4">
        <f t="shared" si="763"/>
        <v>7</v>
      </c>
      <c r="CA237" s="4">
        <v>0</v>
      </c>
      <c r="CB237" s="2" t="s">
        <v>131</v>
      </c>
      <c r="CC237" s="27">
        <v>1050</v>
      </c>
      <c r="CD237" s="5">
        <f t="shared" ref="CD237:CD238" si="770">IF(BY237="","",BZ237*CC237)</f>
        <v>7350</v>
      </c>
      <c r="CE237" s="52">
        <f>IF(BZ237="","",CD237/(BV237*100))</f>
        <v>1.1484375</v>
      </c>
      <c r="CF237" s="29"/>
      <c r="CH237" s="40" t="str">
        <f>IF($A273="","",$A273)</f>
        <v/>
      </c>
      <c r="CI237" s="35"/>
      <c r="CJ237" s="5" t="str">
        <f t="shared" si="673"/>
        <v/>
      </c>
      <c r="CK237" s="5"/>
      <c r="CL237" s="5" t="str">
        <f t="shared" si="674"/>
        <v/>
      </c>
      <c r="CM237" s="5"/>
      <c r="CN237" s="5" t="str">
        <f t="shared" si="675"/>
        <v/>
      </c>
      <c r="CO237" s="5"/>
      <c r="CP237" s="4"/>
      <c r="CQ237" s="4" t="str">
        <f t="shared" si="676"/>
        <v/>
      </c>
      <c r="CR237" s="5" t="str">
        <f t="shared" si="677"/>
        <v/>
      </c>
      <c r="CS237" s="36" t="str">
        <f t="shared" si="678"/>
        <v/>
      </c>
      <c r="CT237" s="29"/>
      <c r="CV237" s="40" t="str">
        <f>IF($A273="","",$A273)</f>
        <v/>
      </c>
      <c r="CW237" s="35"/>
      <c r="CX237" s="5" t="str">
        <f t="shared" si="679"/>
        <v/>
      </c>
      <c r="CY237" s="5"/>
      <c r="CZ237" s="5" t="str">
        <f t="shared" si="680"/>
        <v/>
      </c>
      <c r="DA237" s="5"/>
      <c r="DB237" s="5" t="str">
        <f t="shared" si="681"/>
        <v/>
      </c>
      <c r="DC237" s="5"/>
      <c r="DD237" s="4"/>
      <c r="DE237" s="4" t="str">
        <f t="shared" si="682"/>
        <v/>
      </c>
      <c r="DF237" s="5" t="str">
        <f t="shared" si="683"/>
        <v/>
      </c>
      <c r="DG237" s="36" t="str">
        <f t="shared" si="684"/>
        <v/>
      </c>
      <c r="DH237" s="29"/>
      <c r="DJ237" s="40" t="str">
        <f>IF($A273="","",$A273)</f>
        <v/>
      </c>
      <c r="DK237" s="35"/>
      <c r="DL237" s="5" t="str">
        <f t="shared" si="685"/>
        <v/>
      </c>
      <c r="DM237" s="5"/>
      <c r="DN237" s="5" t="str">
        <f t="shared" si="686"/>
        <v/>
      </c>
      <c r="DO237" s="5"/>
      <c r="DP237" s="5" t="str">
        <f t="shared" si="687"/>
        <v/>
      </c>
      <c r="DQ237" s="5"/>
      <c r="DR237" s="4"/>
      <c r="DS237" s="4" t="str">
        <f t="shared" si="688"/>
        <v/>
      </c>
      <c r="DT237" s="5" t="str">
        <f t="shared" si="689"/>
        <v/>
      </c>
      <c r="DU237" s="36" t="str">
        <f t="shared" si="690"/>
        <v/>
      </c>
      <c r="DV237" s="29"/>
      <c r="DX237" s="40" t="str">
        <f>IF($A273="","",$A273)</f>
        <v/>
      </c>
      <c r="DY237" s="35"/>
      <c r="DZ237" s="5" t="str">
        <f t="shared" si="691"/>
        <v/>
      </c>
      <c r="EA237" s="5"/>
      <c r="EB237" s="5" t="str">
        <f t="shared" si="692"/>
        <v/>
      </c>
      <c r="EC237" s="5"/>
      <c r="ED237" s="5" t="str">
        <f t="shared" si="693"/>
        <v/>
      </c>
      <c r="EE237" s="5"/>
      <c r="EF237" s="4"/>
      <c r="EG237" s="4" t="str">
        <f t="shared" si="694"/>
        <v/>
      </c>
      <c r="EH237" s="5" t="str">
        <f t="shared" si="695"/>
        <v/>
      </c>
      <c r="EI237" s="36" t="str">
        <f t="shared" si="696"/>
        <v/>
      </c>
      <c r="EJ237" s="29"/>
      <c r="EL237" s="40" t="str">
        <f>IF($A273="","",$A273)</f>
        <v/>
      </c>
      <c r="EM237" s="35"/>
      <c r="EN237" s="5" t="str">
        <f t="shared" si="697"/>
        <v/>
      </c>
      <c r="EO237" s="5"/>
      <c r="EP237" s="5" t="str">
        <f t="shared" si="698"/>
        <v/>
      </c>
      <c r="EQ237" s="5"/>
      <c r="ER237" s="5" t="str">
        <f t="shared" si="699"/>
        <v/>
      </c>
      <c r="ES237" s="5"/>
      <c r="ET237" s="4"/>
      <c r="EU237" s="4" t="str">
        <f t="shared" si="700"/>
        <v/>
      </c>
      <c r="EV237" s="5" t="str">
        <f t="shared" si="701"/>
        <v/>
      </c>
      <c r="EW237" s="36" t="str">
        <f t="shared" si="702"/>
        <v/>
      </c>
      <c r="EX237" s="29"/>
      <c r="EZ237" s="40" t="str">
        <f>IF($A273="","",$A273)</f>
        <v/>
      </c>
      <c r="FA237" s="35"/>
      <c r="FB237" s="5" t="str">
        <f t="shared" si="703"/>
        <v/>
      </c>
      <c r="FC237" s="5"/>
      <c r="FD237" s="5" t="str">
        <f t="shared" si="718"/>
        <v/>
      </c>
      <c r="FE237" s="5"/>
      <c r="FF237" s="5" t="str">
        <f t="shared" si="719"/>
        <v/>
      </c>
      <c r="FG237" s="5"/>
      <c r="FH237" s="4"/>
      <c r="FI237" s="4" t="str">
        <f t="shared" si="720"/>
        <v/>
      </c>
      <c r="FJ237" s="5" t="str">
        <f t="shared" si="721"/>
        <v/>
      </c>
      <c r="FK237" s="36" t="str">
        <f t="shared" si="722"/>
        <v/>
      </c>
      <c r="FL237" s="29"/>
      <c r="FN237" s="40" t="str">
        <f>IF($A273="","",$A273)</f>
        <v/>
      </c>
      <c r="FO237" s="35"/>
      <c r="FP237" s="5" t="str">
        <f t="shared" si="723"/>
        <v/>
      </c>
      <c r="FQ237" s="5"/>
      <c r="FR237" s="5" t="str">
        <f t="shared" si="724"/>
        <v/>
      </c>
      <c r="FS237" s="5"/>
      <c r="FT237" s="5" t="str">
        <f t="shared" si="725"/>
        <v/>
      </c>
      <c r="FU237" s="5"/>
      <c r="FV237" s="4"/>
      <c r="FW237" s="4" t="str">
        <f t="shared" si="726"/>
        <v/>
      </c>
      <c r="FX237" s="5" t="str">
        <f t="shared" si="727"/>
        <v/>
      </c>
      <c r="FY237" s="36" t="str">
        <f t="shared" si="728"/>
        <v/>
      </c>
      <c r="FZ237" s="29"/>
      <c r="GB237" s="40" t="str">
        <f>IF($A273="","",$A273)</f>
        <v/>
      </c>
      <c r="GC237" s="35"/>
      <c r="GD237" s="5" t="str">
        <f t="shared" si="729"/>
        <v/>
      </c>
      <c r="GE237" s="5"/>
      <c r="GF237" s="5" t="str">
        <f t="shared" si="704"/>
        <v/>
      </c>
      <c r="GG237" s="5"/>
      <c r="GH237" s="5" t="str">
        <f t="shared" si="705"/>
        <v/>
      </c>
      <c r="GI237" s="5"/>
      <c r="GJ237" s="4"/>
      <c r="GK237" s="4" t="str">
        <f t="shared" si="706"/>
        <v/>
      </c>
      <c r="GL237" s="5" t="str">
        <f t="shared" si="707"/>
        <v/>
      </c>
      <c r="GM237" s="36" t="str">
        <f t="shared" si="708"/>
        <v/>
      </c>
      <c r="GN237" s="29"/>
      <c r="GP237" s="40" t="str">
        <f>IF($A273="","",$A273)</f>
        <v/>
      </c>
      <c r="GQ237" s="35"/>
      <c r="GR237" s="5" t="str">
        <f t="shared" si="709"/>
        <v/>
      </c>
      <c r="GS237" s="5"/>
      <c r="GT237" s="5" t="str">
        <f>IF(GS237="","",GS237-GS236)</f>
        <v/>
      </c>
      <c r="GU237" s="5"/>
      <c r="GV237" s="5" t="str">
        <f t="shared" si="711"/>
        <v/>
      </c>
      <c r="GW237" s="5"/>
      <c r="GX237" s="5" t="str">
        <f t="shared" si="712"/>
        <v/>
      </c>
      <c r="GY237" s="5"/>
      <c r="GZ237" s="4"/>
      <c r="HA237" s="4" t="str">
        <f t="shared" si="730"/>
        <v/>
      </c>
      <c r="HB237" s="5" t="str">
        <f t="shared" si="713"/>
        <v/>
      </c>
      <c r="HC237" s="36" t="str">
        <f t="shared" si="714"/>
        <v/>
      </c>
      <c r="HD237" s="29"/>
      <c r="HF237" s="40" t="str">
        <f>IF($A273="","",$A273)</f>
        <v/>
      </c>
      <c r="HG237" s="35"/>
      <c r="HH237" s="5" t="str">
        <f t="shared" si="715"/>
        <v/>
      </c>
      <c r="HI237" s="5"/>
      <c r="HJ237" s="29"/>
      <c r="HL237" s="40" t="str">
        <f>IF($A273="","",$A273)</f>
        <v/>
      </c>
      <c r="HM237" s="35"/>
      <c r="HN237" s="5" t="str">
        <f t="shared" si="716"/>
        <v/>
      </c>
      <c r="HO237" s="5"/>
      <c r="HP237" s="29"/>
      <c r="HR237" s="40" t="str">
        <f>IF($A273="","",$A273)</f>
        <v/>
      </c>
      <c r="HS237" s="35"/>
      <c r="HT237" s="5" t="str">
        <f t="shared" si="717"/>
        <v/>
      </c>
      <c r="HU237" s="5"/>
      <c r="HV237" s="29"/>
    </row>
    <row r="238" spans="1:230" x14ac:dyDescent="0.2">
      <c r="A238" s="54"/>
      <c r="B238" s="37"/>
      <c r="C238" s="5">
        <v>16524</v>
      </c>
      <c r="D238" s="48">
        <f t="shared" si="731"/>
        <v>16</v>
      </c>
      <c r="E238" s="5">
        <v>514</v>
      </c>
      <c r="F238" s="5">
        <f t="shared" si="732"/>
        <v>0</v>
      </c>
      <c r="G238" s="5">
        <v>35</v>
      </c>
      <c r="H238" s="5">
        <f t="shared" si="733"/>
        <v>0</v>
      </c>
      <c r="I238" s="35">
        <v>0</v>
      </c>
      <c r="J238" s="3" t="str">
        <f t="shared" si="759"/>
        <v>番長ボタン</v>
      </c>
      <c r="K238" s="39">
        <f t="shared" si="759"/>
        <v>358</v>
      </c>
      <c r="L238" s="5">
        <f t="shared" si="734"/>
        <v>0</v>
      </c>
      <c r="M238" s="36">
        <f t="shared" si="735"/>
        <v>0</v>
      </c>
      <c r="N238" s="29"/>
      <c r="O238" s="30"/>
      <c r="P238" s="54"/>
      <c r="Q238" s="5">
        <v>10077</v>
      </c>
      <c r="R238" s="5">
        <f t="shared" si="736"/>
        <v>41</v>
      </c>
      <c r="S238" s="5">
        <v>169</v>
      </c>
      <c r="T238" s="5">
        <f t="shared" si="737"/>
        <v>2</v>
      </c>
      <c r="U238" s="5">
        <v>4</v>
      </c>
      <c r="V238" s="5">
        <f t="shared" si="767"/>
        <v>4</v>
      </c>
      <c r="W238" s="35">
        <v>0</v>
      </c>
      <c r="X238" s="38" t="s">
        <v>19</v>
      </c>
      <c r="Y238" s="39">
        <f t="shared" ref="Y238:Y256" si="771">IF(R238="","",Y234)</f>
        <v>825</v>
      </c>
      <c r="Z238" s="5">
        <f t="shared" si="740"/>
        <v>3300</v>
      </c>
      <c r="AA238" s="36">
        <f t="shared" si="741"/>
        <v>0.80487804878048785</v>
      </c>
      <c r="AB238" s="29"/>
      <c r="AD238" s="54"/>
      <c r="AE238" s="5">
        <v>630</v>
      </c>
      <c r="AF238" s="5">
        <f t="shared" si="742"/>
        <v>74</v>
      </c>
      <c r="AG238" s="5">
        <v>3</v>
      </c>
      <c r="AH238" s="5">
        <f t="shared" si="743"/>
        <v>1</v>
      </c>
      <c r="AI238" s="5">
        <v>5</v>
      </c>
      <c r="AJ238" s="5">
        <f t="shared" si="768"/>
        <v>1</v>
      </c>
      <c r="AK238" s="35">
        <v>-4</v>
      </c>
      <c r="AL238" s="3" t="str">
        <f t="shared" si="755"/>
        <v>たまごっちマスコット</v>
      </c>
      <c r="AM238" s="39">
        <f t="shared" si="744"/>
        <v>1500</v>
      </c>
      <c r="AN238" s="5">
        <f t="shared" si="745"/>
        <v>1500</v>
      </c>
      <c r="AO238" s="36">
        <f t="shared" si="746"/>
        <v>0.20270270270270271</v>
      </c>
      <c r="AP238" s="29" t="s">
        <v>133</v>
      </c>
      <c r="AR238" s="54"/>
      <c r="AS238" s="5">
        <v>596</v>
      </c>
      <c r="AT238" s="5">
        <f t="shared" si="747"/>
        <v>32</v>
      </c>
      <c r="AU238" s="5">
        <v>996</v>
      </c>
      <c r="AV238" s="5">
        <f t="shared" si="748"/>
        <v>0</v>
      </c>
      <c r="AW238" s="5">
        <v>17</v>
      </c>
      <c r="AX238" s="5">
        <f t="shared" si="769"/>
        <v>0</v>
      </c>
      <c r="AY238" s="35">
        <v>0</v>
      </c>
      <c r="AZ238" s="38" t="s">
        <v>275</v>
      </c>
      <c r="BA238" s="39">
        <f t="shared" si="750"/>
        <v>770</v>
      </c>
      <c r="BB238" s="5">
        <f t="shared" si="751"/>
        <v>0</v>
      </c>
      <c r="BC238" s="36">
        <f t="shared" si="752"/>
        <v>0</v>
      </c>
      <c r="BD238" s="29"/>
      <c r="BE238" s="32"/>
      <c r="BF238" s="33"/>
      <c r="BG238" s="4">
        <v>2907</v>
      </c>
      <c r="BH238" s="5">
        <f t="shared" si="765"/>
        <v>533</v>
      </c>
      <c r="BI238" s="4">
        <v>19</v>
      </c>
      <c r="BJ238" s="5">
        <f t="shared" si="766"/>
        <v>4</v>
      </c>
      <c r="BK238" s="4">
        <v>1</v>
      </c>
      <c r="BL238" s="5">
        <f t="shared" si="756"/>
        <v>2</v>
      </c>
      <c r="BM238" s="4">
        <v>2</v>
      </c>
      <c r="BN238" s="3" t="str">
        <f>IF(BG238="","",BN234)</f>
        <v>ボンボンドロップシール</v>
      </c>
      <c r="BO238" s="39">
        <f>IF(BG237="","",BO234)</f>
        <v>1500</v>
      </c>
      <c r="BP238" s="4">
        <f t="shared" si="762"/>
        <v>3000</v>
      </c>
      <c r="BQ238" s="36">
        <f>IF(BL238="","",BP238/(BH238*100))</f>
        <v>5.6285178236397747E-2</v>
      </c>
      <c r="BR238" s="29"/>
      <c r="BT238" s="33"/>
      <c r="BU238" s="4">
        <v>31084</v>
      </c>
      <c r="BV238" s="5">
        <f t="shared" si="757"/>
        <v>82</v>
      </c>
      <c r="BW238" s="4">
        <v>1665</v>
      </c>
      <c r="BX238" s="5">
        <f t="shared" si="758"/>
        <v>5</v>
      </c>
      <c r="BY238" s="5">
        <v>42</v>
      </c>
      <c r="BZ238" s="5">
        <f t="shared" si="763"/>
        <v>5</v>
      </c>
      <c r="CA238" s="4">
        <v>3</v>
      </c>
      <c r="CB238" s="3" t="str">
        <f>IF(BU238="","",CB234)</f>
        <v>サンリオボアポーチ</v>
      </c>
      <c r="CC238" s="39">
        <f>IF(BU237="","",CC234)</f>
        <v>950</v>
      </c>
      <c r="CD238" s="4">
        <f t="shared" si="770"/>
        <v>4750</v>
      </c>
      <c r="CE238" s="36">
        <f>IF(BZ238="","",CD238/(BV238*100))</f>
        <v>0.57926829268292679</v>
      </c>
      <c r="CF238" s="29"/>
      <c r="CH238" s="40" t="str">
        <f>IF($A$425="","",$A$425)</f>
        <v/>
      </c>
      <c r="CI238" s="5"/>
      <c r="CJ238" s="5" t="str">
        <f t="shared" si="673"/>
        <v/>
      </c>
      <c r="CK238" s="5"/>
      <c r="CL238" s="5" t="str">
        <f t="shared" si="674"/>
        <v/>
      </c>
      <c r="CM238" s="5"/>
      <c r="CN238" s="5" t="str">
        <f t="shared" si="675"/>
        <v/>
      </c>
      <c r="CO238" s="5"/>
      <c r="CP238" s="4"/>
      <c r="CQ238" s="4" t="str">
        <f t="shared" si="676"/>
        <v/>
      </c>
      <c r="CR238" s="5" t="str">
        <f t="shared" si="677"/>
        <v/>
      </c>
      <c r="CS238" s="36" t="str">
        <f>IF(CR238="","",CR238/(CI238*100))</f>
        <v/>
      </c>
      <c r="CT238" s="29"/>
      <c r="CV238" s="40" t="str">
        <f>IF($A$425="","",$A$425)</f>
        <v/>
      </c>
      <c r="CW238" s="5"/>
      <c r="CX238" s="5" t="str">
        <f t="shared" si="679"/>
        <v/>
      </c>
      <c r="CY238" s="5"/>
      <c r="CZ238" s="5" t="str">
        <f t="shared" si="680"/>
        <v/>
      </c>
      <c r="DA238" s="5"/>
      <c r="DB238" s="5" t="str">
        <f t="shared" si="681"/>
        <v/>
      </c>
      <c r="DC238" s="5"/>
      <c r="DD238" s="4"/>
      <c r="DE238" s="4" t="str">
        <f t="shared" si="682"/>
        <v/>
      </c>
      <c r="DF238" s="5" t="str">
        <f t="shared" si="683"/>
        <v/>
      </c>
      <c r="DG238" s="36" t="str">
        <f>IF(DF238="","",DF238/(CW238*100))</f>
        <v/>
      </c>
      <c r="DH238" s="29"/>
      <c r="DJ238" s="40" t="str">
        <f>IF($A$425="","",$A$425)</f>
        <v/>
      </c>
      <c r="DK238" s="5"/>
      <c r="DL238" s="5" t="str">
        <f t="shared" si="685"/>
        <v/>
      </c>
      <c r="DM238" s="5"/>
      <c r="DN238" s="5" t="str">
        <f t="shared" si="686"/>
        <v/>
      </c>
      <c r="DO238" s="5"/>
      <c r="DP238" s="5" t="str">
        <f t="shared" si="687"/>
        <v/>
      </c>
      <c r="DQ238" s="5"/>
      <c r="DR238" s="4"/>
      <c r="DS238" s="4" t="str">
        <f t="shared" si="688"/>
        <v/>
      </c>
      <c r="DT238" s="5" t="str">
        <f t="shared" si="689"/>
        <v/>
      </c>
      <c r="DU238" s="36" t="str">
        <f>IF(DT238="","",DT238/(DK238*100))</f>
        <v/>
      </c>
      <c r="DV238" s="29"/>
      <c r="DX238" s="40" t="str">
        <f>IF($A$425="","",$A$425)</f>
        <v/>
      </c>
      <c r="DY238" s="5"/>
      <c r="DZ238" s="5" t="str">
        <f t="shared" si="691"/>
        <v/>
      </c>
      <c r="EA238" s="5"/>
      <c r="EB238" s="5" t="str">
        <f t="shared" si="692"/>
        <v/>
      </c>
      <c r="EC238" s="5"/>
      <c r="ED238" s="5" t="str">
        <f t="shared" si="693"/>
        <v/>
      </c>
      <c r="EE238" s="5"/>
      <c r="EF238" s="4"/>
      <c r="EG238" s="4" t="str">
        <f t="shared" si="694"/>
        <v/>
      </c>
      <c r="EH238" s="5" t="str">
        <f t="shared" si="695"/>
        <v/>
      </c>
      <c r="EI238" s="36" t="str">
        <f>IF(EH238="","",EH238/(DY238*100))</f>
        <v/>
      </c>
      <c r="EJ238" s="29"/>
      <c r="EL238" s="40" t="str">
        <f>IF($A$425="","",$A$425)</f>
        <v/>
      </c>
      <c r="EM238" s="5"/>
      <c r="EN238" s="5" t="str">
        <f t="shared" si="697"/>
        <v/>
      </c>
      <c r="EO238" s="5"/>
      <c r="EP238" s="5" t="str">
        <f t="shared" si="698"/>
        <v/>
      </c>
      <c r="EQ238" s="5"/>
      <c r="ER238" s="5" t="str">
        <f t="shared" si="699"/>
        <v/>
      </c>
      <c r="ES238" s="5"/>
      <c r="ET238" s="4"/>
      <c r="EU238" s="4" t="str">
        <f t="shared" si="700"/>
        <v/>
      </c>
      <c r="EV238" s="5" t="str">
        <f t="shared" si="701"/>
        <v/>
      </c>
      <c r="EW238" s="36" t="str">
        <f>IF(EV238="","",EV238/(EM238*100))</f>
        <v/>
      </c>
      <c r="EX238" s="29"/>
      <c r="EZ238" s="40" t="str">
        <f>IF($A$425="","",$A$425)</f>
        <v/>
      </c>
      <c r="FA238" s="5"/>
      <c r="FB238" s="5" t="str">
        <f t="shared" si="703"/>
        <v/>
      </c>
      <c r="FC238" s="5"/>
      <c r="FD238" s="5" t="str">
        <f t="shared" si="718"/>
        <v/>
      </c>
      <c r="FE238" s="5"/>
      <c r="FF238" s="5" t="str">
        <f t="shared" si="719"/>
        <v/>
      </c>
      <c r="FG238" s="5"/>
      <c r="FH238" s="4"/>
      <c r="FI238" s="4" t="str">
        <f t="shared" si="720"/>
        <v/>
      </c>
      <c r="FJ238" s="5" t="str">
        <f t="shared" si="721"/>
        <v/>
      </c>
      <c r="FK238" s="36" t="str">
        <f>IF(FJ238="","",FJ238/(FA238*100))</f>
        <v/>
      </c>
      <c r="FL238" s="29"/>
      <c r="FN238" s="40" t="str">
        <f>IF($A$425="","",$A$425)</f>
        <v/>
      </c>
      <c r="FO238" s="5"/>
      <c r="FP238" s="5" t="str">
        <f t="shared" si="723"/>
        <v/>
      </c>
      <c r="FQ238" s="5"/>
      <c r="FR238" s="5" t="str">
        <f t="shared" si="724"/>
        <v/>
      </c>
      <c r="FS238" s="5"/>
      <c r="FT238" s="5" t="str">
        <f t="shared" si="725"/>
        <v/>
      </c>
      <c r="FU238" s="5"/>
      <c r="FV238" s="4"/>
      <c r="FW238" s="4" t="str">
        <f t="shared" si="726"/>
        <v/>
      </c>
      <c r="FX238" s="5" t="str">
        <f t="shared" si="727"/>
        <v/>
      </c>
      <c r="FY238" s="36" t="str">
        <f>IF(FX238="","",FX238/(FO238*100))</f>
        <v/>
      </c>
      <c r="FZ238" s="29"/>
      <c r="GB238" s="40" t="str">
        <f>IF($A$425="","",$A$425)</f>
        <v/>
      </c>
      <c r="GC238" s="5"/>
      <c r="GD238" s="5" t="str">
        <f t="shared" si="729"/>
        <v/>
      </c>
      <c r="GE238" s="5"/>
      <c r="GF238" s="5" t="str">
        <f t="shared" si="704"/>
        <v/>
      </c>
      <c r="GG238" s="5"/>
      <c r="GH238" s="5" t="str">
        <f t="shared" si="705"/>
        <v/>
      </c>
      <c r="GI238" s="5"/>
      <c r="GJ238" s="4"/>
      <c r="GK238" s="4" t="str">
        <f t="shared" si="706"/>
        <v/>
      </c>
      <c r="GL238" s="5" t="str">
        <f t="shared" si="707"/>
        <v/>
      </c>
      <c r="GM238" s="36" t="str">
        <f>IF(GL238="","",GL238/(GC238*100))</f>
        <v/>
      </c>
      <c r="GN238" s="29"/>
      <c r="GP238" s="40" t="str">
        <f>IF($A$425="","",$A$425)</f>
        <v/>
      </c>
      <c r="GQ238" s="5"/>
      <c r="GR238" s="5" t="str">
        <f t="shared" si="709"/>
        <v/>
      </c>
      <c r="GS238" s="5"/>
      <c r="GT238" s="5" t="str">
        <f>IF(GS238="","",GS238-GS237)</f>
        <v/>
      </c>
      <c r="GU238" s="5"/>
      <c r="GV238" s="5" t="str">
        <f t="shared" si="711"/>
        <v/>
      </c>
      <c r="GW238" s="5"/>
      <c r="GX238" s="5" t="str">
        <f t="shared" si="712"/>
        <v/>
      </c>
      <c r="GY238" s="5"/>
      <c r="GZ238" s="4"/>
      <c r="HA238" s="4" t="str">
        <f t="shared" si="730"/>
        <v/>
      </c>
      <c r="HB238" s="5" t="str">
        <f t="shared" si="713"/>
        <v/>
      </c>
      <c r="HC238" s="36" t="str">
        <f>IF(HB238="","",HB238/(GQ238*100))</f>
        <v/>
      </c>
      <c r="HD238" s="29"/>
      <c r="HF238" s="40" t="str">
        <f>IF($A$425="","",$A$425)</f>
        <v/>
      </c>
      <c r="HG238" s="5"/>
      <c r="HH238" s="5" t="str">
        <f t="shared" si="715"/>
        <v/>
      </c>
      <c r="HI238" s="5"/>
      <c r="HJ238" s="29"/>
      <c r="HL238" s="40" t="str">
        <f>IF($A$425="","",$A$425)</f>
        <v/>
      </c>
      <c r="HM238" s="5"/>
      <c r="HN238" s="5" t="str">
        <f t="shared" si="716"/>
        <v/>
      </c>
      <c r="HO238" s="5"/>
      <c r="HP238" s="29"/>
      <c r="HR238" s="40" t="str">
        <f>IF($A$425="","",$A$425)</f>
        <v/>
      </c>
      <c r="HS238" s="5"/>
      <c r="HT238" s="5" t="str">
        <f t="shared" si="717"/>
        <v/>
      </c>
      <c r="HU238" s="5"/>
      <c r="HV238" s="29"/>
    </row>
    <row r="239" spans="1:230" x14ac:dyDescent="0.2">
      <c r="A239" s="70"/>
      <c r="B239" s="71"/>
      <c r="C239" s="58">
        <v>18118</v>
      </c>
      <c r="D239" s="48">
        <f t="shared" si="731"/>
        <v>6</v>
      </c>
      <c r="E239" s="5">
        <v>635</v>
      </c>
      <c r="F239" s="5">
        <f t="shared" si="732"/>
        <v>0</v>
      </c>
      <c r="G239" s="58">
        <v>49</v>
      </c>
      <c r="H239" s="5">
        <f t="shared" si="733"/>
        <v>0</v>
      </c>
      <c r="I239" s="59">
        <v>0</v>
      </c>
      <c r="J239" s="3" t="str">
        <f t="shared" si="759"/>
        <v>アングリーキーホルダー</v>
      </c>
      <c r="K239" s="39">
        <f t="shared" si="759"/>
        <v>100</v>
      </c>
      <c r="L239" s="5">
        <f t="shared" si="734"/>
        <v>0</v>
      </c>
      <c r="M239" s="36">
        <f t="shared" si="735"/>
        <v>0</v>
      </c>
      <c r="N239" s="29"/>
      <c r="P239" s="70"/>
      <c r="Q239" s="58">
        <v>10079</v>
      </c>
      <c r="R239" s="48">
        <f>IF(Q239="","",Q239-Q235)</f>
        <v>24</v>
      </c>
      <c r="S239" s="5">
        <v>268</v>
      </c>
      <c r="T239" s="5">
        <f t="shared" si="737"/>
        <v>0</v>
      </c>
      <c r="U239" s="58">
        <v>14</v>
      </c>
      <c r="V239" s="5">
        <f t="shared" si="767"/>
        <v>0</v>
      </c>
      <c r="W239" s="59">
        <v>0</v>
      </c>
      <c r="X239" s="38" t="s">
        <v>113</v>
      </c>
      <c r="Y239" s="39">
        <f t="shared" si="771"/>
        <v>638</v>
      </c>
      <c r="Z239" s="5">
        <f t="shared" si="740"/>
        <v>0</v>
      </c>
      <c r="AA239" s="36">
        <f t="shared" si="741"/>
        <v>0</v>
      </c>
      <c r="AB239" s="29"/>
      <c r="AD239" s="70"/>
      <c r="AE239" s="58">
        <v>682</v>
      </c>
      <c r="AF239" s="5">
        <f t="shared" si="742"/>
        <v>156</v>
      </c>
      <c r="AG239" s="5">
        <v>16</v>
      </c>
      <c r="AH239" s="5">
        <f t="shared" si="743"/>
        <v>12</v>
      </c>
      <c r="AI239" s="58">
        <v>2</v>
      </c>
      <c r="AJ239" s="5">
        <f t="shared" si="768"/>
        <v>8</v>
      </c>
      <c r="AK239" s="59">
        <v>8</v>
      </c>
      <c r="AL239" s="3" t="str">
        <f t="shared" si="755"/>
        <v>バタースクイーズ</v>
      </c>
      <c r="AM239" s="39">
        <f t="shared" si="744"/>
        <v>1100</v>
      </c>
      <c r="AN239" s="5">
        <f t="shared" si="745"/>
        <v>8800</v>
      </c>
      <c r="AO239" s="36">
        <f t="shared" si="746"/>
        <v>0.5641025641025641</v>
      </c>
      <c r="AP239" s="29" t="s">
        <v>132</v>
      </c>
      <c r="AR239" s="70"/>
      <c r="AS239" s="58">
        <v>552</v>
      </c>
      <c r="AT239" s="5">
        <f t="shared" si="747"/>
        <v>28</v>
      </c>
      <c r="AU239" s="5">
        <v>996</v>
      </c>
      <c r="AV239" s="5">
        <f t="shared" si="748"/>
        <v>0</v>
      </c>
      <c r="AW239" s="58">
        <v>11</v>
      </c>
      <c r="AX239" s="5">
        <f t="shared" si="769"/>
        <v>0</v>
      </c>
      <c r="AY239" s="59">
        <v>0</v>
      </c>
      <c r="AZ239" s="3" t="str">
        <f t="shared" si="749"/>
        <v>ゲームアーク</v>
      </c>
      <c r="BA239" s="39">
        <f t="shared" si="750"/>
        <v>682</v>
      </c>
      <c r="BB239" s="5">
        <f t="shared" si="751"/>
        <v>0</v>
      </c>
      <c r="BC239" s="36">
        <f t="shared" si="752"/>
        <v>0</v>
      </c>
      <c r="BD239" s="29"/>
      <c r="BE239" s="32"/>
      <c r="BF239" s="72"/>
      <c r="BG239" s="57">
        <v>674</v>
      </c>
      <c r="BH239" s="5">
        <f t="shared" si="765"/>
        <v>50</v>
      </c>
      <c r="BI239" s="57">
        <v>3</v>
      </c>
      <c r="BJ239" s="5">
        <f t="shared" si="766"/>
        <v>0</v>
      </c>
      <c r="BK239" s="57">
        <v>3</v>
      </c>
      <c r="BL239" s="5">
        <f t="shared" si="756"/>
        <v>0</v>
      </c>
      <c r="BM239" s="57">
        <v>0</v>
      </c>
      <c r="BN239" s="3" t="str">
        <f>IF(BG237="","",BN235)</f>
        <v>プチドロップシール</v>
      </c>
      <c r="BO239" s="39">
        <f>IF(BG237="","",BO235)</f>
        <v>800</v>
      </c>
      <c r="BP239" s="5">
        <f t="shared" si="762"/>
        <v>0</v>
      </c>
      <c r="BQ239" s="36">
        <f>IF(BL239="","",BP239/(BH238*100))</f>
        <v>0</v>
      </c>
      <c r="BR239" s="29"/>
      <c r="BT239" s="72"/>
      <c r="BU239" s="57"/>
      <c r="BV239" s="5" t="str">
        <f t="shared" si="757"/>
        <v/>
      </c>
      <c r="BW239" s="57"/>
      <c r="BX239" s="5" t="str">
        <f t="shared" si="758"/>
        <v/>
      </c>
      <c r="BY239" s="5"/>
      <c r="BZ239" s="5"/>
      <c r="CA239" s="57"/>
      <c r="CB239" s="3"/>
      <c r="CC239" s="39"/>
      <c r="CD239" s="5"/>
      <c r="CE239" s="36"/>
      <c r="CF239" s="29"/>
      <c r="CH239" s="40"/>
      <c r="CI239" s="5"/>
      <c r="CJ239" s="5"/>
      <c r="CK239" s="5"/>
      <c r="CL239" s="5"/>
      <c r="CM239" s="5"/>
      <c r="CN239" s="5"/>
      <c r="CO239" s="5"/>
      <c r="CP239" s="4"/>
      <c r="CQ239" s="4"/>
      <c r="CR239" s="5"/>
      <c r="CS239" s="36" t="str">
        <f>IF(CR239="","",CR239/(CI239*100))</f>
        <v/>
      </c>
      <c r="CT239" s="29"/>
      <c r="CV239" s="40"/>
      <c r="CW239" s="5"/>
      <c r="CX239" s="5"/>
      <c r="CY239" s="5"/>
      <c r="CZ239" s="5"/>
      <c r="DA239" s="5"/>
      <c r="DB239" s="5"/>
      <c r="DC239" s="5"/>
      <c r="DD239" s="4"/>
      <c r="DE239" s="4"/>
      <c r="DF239" s="5"/>
      <c r="DG239" s="36" t="str">
        <f>IF(DF239="","",DF239/(CW239*100))</f>
        <v/>
      </c>
      <c r="DH239" s="29"/>
      <c r="DJ239" s="40"/>
      <c r="DK239" s="5"/>
      <c r="DL239" s="5"/>
      <c r="DM239" s="5"/>
      <c r="DN239" s="5"/>
      <c r="DO239" s="5"/>
      <c r="DP239" s="5"/>
      <c r="DQ239" s="5"/>
      <c r="DR239" s="4"/>
      <c r="DS239" s="4"/>
      <c r="DT239" s="5"/>
      <c r="DU239" s="36" t="str">
        <f>IF(DT239="","",DT239/(DK239*100))</f>
        <v/>
      </c>
      <c r="DV239" s="29"/>
      <c r="DX239" s="40"/>
      <c r="DY239" s="5"/>
      <c r="DZ239" s="5"/>
      <c r="EA239" s="5"/>
      <c r="EB239" s="5"/>
      <c r="EC239" s="5"/>
      <c r="ED239" s="5"/>
      <c r="EE239" s="5"/>
      <c r="EF239" s="4"/>
      <c r="EG239" s="4"/>
      <c r="EH239" s="5"/>
      <c r="EI239" s="36" t="str">
        <f>IF(EH239="","",EH239/(DY239*100))</f>
        <v/>
      </c>
      <c r="EJ239" s="29"/>
      <c r="EL239" s="40"/>
      <c r="EM239" s="5"/>
      <c r="EN239" s="5"/>
      <c r="EO239" s="5"/>
      <c r="EP239" s="5"/>
      <c r="EQ239" s="5"/>
      <c r="ER239" s="5"/>
      <c r="ES239" s="5"/>
      <c r="ET239" s="4"/>
      <c r="EU239" s="4"/>
      <c r="EV239" s="5"/>
      <c r="EW239" s="36" t="str">
        <f>IF(EV239="","",EV239/(EM239*100))</f>
        <v/>
      </c>
      <c r="EX239" s="29"/>
      <c r="EZ239" s="40"/>
      <c r="FA239" s="5"/>
      <c r="FB239" s="5"/>
      <c r="FC239" s="5"/>
      <c r="FD239" s="5"/>
      <c r="FE239" s="5"/>
      <c r="FF239" s="5"/>
      <c r="FG239" s="5"/>
      <c r="FH239" s="4"/>
      <c r="FI239" s="4"/>
      <c r="FJ239" s="5"/>
      <c r="FK239" s="36" t="str">
        <f>IF(FJ239="","",FJ239/(FA239*100))</f>
        <v/>
      </c>
      <c r="FL239" s="29"/>
      <c r="FN239" s="40"/>
      <c r="FO239" s="5"/>
      <c r="FP239" s="5"/>
      <c r="FQ239" s="5"/>
      <c r="FR239" s="5"/>
      <c r="FS239" s="5"/>
      <c r="FT239" s="5"/>
      <c r="FU239" s="5"/>
      <c r="FV239" s="4"/>
      <c r="FW239" s="4"/>
      <c r="FX239" s="5"/>
      <c r="FY239" s="36" t="str">
        <f>IF(FX239="","",FX239/(FO239*100))</f>
        <v/>
      </c>
      <c r="FZ239" s="29"/>
      <c r="GB239" s="40"/>
      <c r="GC239" s="5"/>
      <c r="GD239" s="5"/>
      <c r="GE239" s="5"/>
      <c r="GF239" s="5"/>
      <c r="GG239" s="5"/>
      <c r="GH239" s="5"/>
      <c r="GI239" s="5"/>
      <c r="GJ239" s="4"/>
      <c r="GK239" s="4"/>
      <c r="GL239" s="5"/>
      <c r="GM239" s="36" t="str">
        <f>IF(GL239="","",GL239/(GC239*100))</f>
        <v/>
      </c>
      <c r="GN239" s="29"/>
      <c r="GP239" s="40"/>
      <c r="GQ239" s="5"/>
      <c r="GR239" s="5"/>
      <c r="GS239" s="5"/>
      <c r="GT239" s="5"/>
      <c r="GU239" s="5"/>
      <c r="GV239" s="5"/>
      <c r="GW239" s="5"/>
      <c r="GX239" s="5"/>
      <c r="GY239" s="5"/>
      <c r="GZ239" s="4"/>
      <c r="HA239" s="4"/>
      <c r="HB239" s="5"/>
      <c r="HC239" s="36" t="str">
        <f>IF(HB239="","",HB239/(GQ239*100))</f>
        <v/>
      </c>
      <c r="HD239" s="29"/>
      <c r="HF239" s="40"/>
      <c r="HG239" s="5"/>
      <c r="HH239" s="5"/>
      <c r="HI239" s="5"/>
      <c r="HJ239" s="29"/>
      <c r="HL239" s="40"/>
      <c r="HM239" s="5"/>
      <c r="HN239" s="5"/>
      <c r="HO239" s="5"/>
      <c r="HP239" s="29"/>
      <c r="HR239" s="40"/>
      <c r="HS239" s="5"/>
      <c r="HT239" s="5"/>
      <c r="HU239" s="5"/>
      <c r="HV239" s="29"/>
    </row>
    <row r="240" spans="1:230" ht="15" customHeight="1" thickBot="1" x14ac:dyDescent="0.25">
      <c r="A240" s="60"/>
      <c r="B240" s="73"/>
      <c r="C240" s="44">
        <v>22144</v>
      </c>
      <c r="D240" s="61">
        <f t="shared" si="731"/>
        <v>89</v>
      </c>
      <c r="E240" s="44">
        <v>1145</v>
      </c>
      <c r="F240" s="44">
        <f t="shared" si="732"/>
        <v>1</v>
      </c>
      <c r="G240" s="44">
        <v>11</v>
      </c>
      <c r="H240" s="44">
        <f t="shared" si="733"/>
        <v>1</v>
      </c>
      <c r="I240" s="62">
        <v>0</v>
      </c>
      <c r="J240" s="45" t="str">
        <f t="shared" si="759"/>
        <v>パステルケーキ</v>
      </c>
      <c r="K240" s="61">
        <f t="shared" si="759"/>
        <v>187</v>
      </c>
      <c r="L240" s="44">
        <f t="shared" si="734"/>
        <v>187</v>
      </c>
      <c r="M240" s="46">
        <f t="shared" si="735"/>
        <v>2.101123595505618E-2</v>
      </c>
      <c r="N240" s="29"/>
      <c r="P240" s="60"/>
      <c r="Q240" s="44">
        <v>8742</v>
      </c>
      <c r="R240" s="74">
        <f t="shared" si="736"/>
        <v>6</v>
      </c>
      <c r="S240" s="44">
        <v>205</v>
      </c>
      <c r="T240" s="44">
        <f t="shared" si="737"/>
        <v>0</v>
      </c>
      <c r="U240" s="44">
        <v>22</v>
      </c>
      <c r="V240" s="44">
        <f t="shared" si="767"/>
        <v>0</v>
      </c>
      <c r="W240" s="62">
        <v>0</v>
      </c>
      <c r="X240" s="47" t="s">
        <v>114</v>
      </c>
      <c r="Y240" s="61">
        <f t="shared" si="771"/>
        <v>350</v>
      </c>
      <c r="Z240" s="44">
        <f t="shared" si="740"/>
        <v>0</v>
      </c>
      <c r="AA240" s="46">
        <f t="shared" si="741"/>
        <v>0</v>
      </c>
      <c r="AB240" s="29"/>
      <c r="AD240" s="60"/>
      <c r="AE240" s="44">
        <v>355</v>
      </c>
      <c r="AF240" s="61">
        <f t="shared" si="742"/>
        <v>128</v>
      </c>
      <c r="AG240" s="44">
        <v>8</v>
      </c>
      <c r="AH240" s="44">
        <f t="shared" si="743"/>
        <v>8</v>
      </c>
      <c r="AI240" s="44">
        <v>88</v>
      </c>
      <c r="AJ240" s="44">
        <f t="shared" si="768"/>
        <v>8</v>
      </c>
      <c r="AK240" s="62">
        <v>0</v>
      </c>
      <c r="AL240" s="45" t="str">
        <f t="shared" si="755"/>
        <v>キティボールペン</v>
      </c>
      <c r="AM240" s="61">
        <f t="shared" si="744"/>
        <v>283</v>
      </c>
      <c r="AN240" s="44">
        <f t="shared" si="745"/>
        <v>2264</v>
      </c>
      <c r="AO240" s="46">
        <f t="shared" si="746"/>
        <v>0.176875</v>
      </c>
      <c r="AP240" s="29"/>
      <c r="AR240" s="60"/>
      <c r="AS240" s="44">
        <v>322</v>
      </c>
      <c r="AT240" s="61">
        <f t="shared" si="747"/>
        <v>96</v>
      </c>
      <c r="AU240" s="44">
        <v>3</v>
      </c>
      <c r="AV240" s="44">
        <f>IF(AU240="","",AU240-AU236)+1000</f>
        <v>4</v>
      </c>
      <c r="AW240" s="44">
        <v>17</v>
      </c>
      <c r="AX240" s="44">
        <f t="shared" si="769"/>
        <v>4</v>
      </c>
      <c r="AY240" s="62">
        <v>0</v>
      </c>
      <c r="AZ240" s="45" t="str">
        <f t="shared" si="749"/>
        <v>しばこ</v>
      </c>
      <c r="BA240" s="61">
        <f t="shared" si="750"/>
        <v>110</v>
      </c>
      <c r="BB240" s="44">
        <f t="shared" si="751"/>
        <v>440</v>
      </c>
      <c r="BC240" s="46">
        <f t="shared" si="752"/>
        <v>4.583333333333333E-2</v>
      </c>
      <c r="BD240" s="29"/>
      <c r="BE240" s="32"/>
      <c r="BF240" s="41"/>
      <c r="BG240" s="44">
        <v>2575</v>
      </c>
      <c r="BH240" s="44">
        <f t="shared" si="765"/>
        <v>126</v>
      </c>
      <c r="BI240" s="44">
        <v>25</v>
      </c>
      <c r="BJ240" s="44">
        <f t="shared" si="766"/>
        <v>5</v>
      </c>
      <c r="BK240" s="44">
        <v>1</v>
      </c>
      <c r="BL240" s="44">
        <f t="shared" si="756"/>
        <v>2</v>
      </c>
      <c r="BM240" s="44">
        <v>2</v>
      </c>
      <c r="BN240" s="45" t="str">
        <f>IF(BG238="","",BN236)</f>
        <v>ボンボンドロップシール</v>
      </c>
      <c r="BO240" s="61">
        <f>IF(BG237="","",BO236)</f>
        <v>1500</v>
      </c>
      <c r="BP240" s="44">
        <f t="shared" si="762"/>
        <v>3000</v>
      </c>
      <c r="BQ240" s="46">
        <f>IF(BL240="","",BP240/(BH238*100))</f>
        <v>5.6285178236397747E-2</v>
      </c>
      <c r="BR240" s="29"/>
      <c r="BT240" s="41"/>
      <c r="BU240" s="44"/>
      <c r="BV240" s="44" t="str">
        <f t="shared" si="757"/>
        <v/>
      </c>
      <c r="BW240" s="44"/>
      <c r="BX240" s="44" t="str">
        <f t="shared" si="758"/>
        <v/>
      </c>
      <c r="BY240" s="44"/>
      <c r="BZ240" s="44"/>
      <c r="CA240" s="44"/>
      <c r="CB240" s="45"/>
      <c r="CC240" s="61"/>
      <c r="CD240" s="44"/>
      <c r="CE240" s="46"/>
      <c r="CF240" s="29"/>
      <c r="CH240" s="40"/>
      <c r="CI240" s="5"/>
      <c r="CJ240" s="5" t="str">
        <f>IF(CI240="","",CI240-CI241)</f>
        <v/>
      </c>
      <c r="CK240" s="5"/>
      <c r="CL240" s="5" t="str">
        <f>IF(CK240="","",CK240-CK241)</f>
        <v/>
      </c>
      <c r="CM240" s="5"/>
      <c r="CN240" s="5" t="str">
        <f>IF(CM240="","",CM241+CO241-CM240)</f>
        <v/>
      </c>
      <c r="CO240" s="5"/>
      <c r="CP240" s="4"/>
      <c r="CQ240" s="4" t="str">
        <f>IF(CI240="","",CQ241)</f>
        <v/>
      </c>
      <c r="CR240" s="5" t="str">
        <f t="shared" ref="CR240:CR272" si="772">IF(CQ240="","",CN240*CQ240)</f>
        <v/>
      </c>
      <c r="CS240" s="36" t="str">
        <f t="shared" ref="CS240:CS272" si="773">IF(CR240="","",CR240/(CJ240*100))</f>
        <v/>
      </c>
      <c r="CT240" s="29"/>
      <c r="CV240" s="40"/>
      <c r="CW240" s="5"/>
      <c r="CX240" s="5" t="str">
        <f>IF(CW240="","",CW240-CW241)</f>
        <v/>
      </c>
      <c r="CY240" s="5"/>
      <c r="CZ240" s="5" t="str">
        <f>IF(CY240="","",CY240-CY241)</f>
        <v/>
      </c>
      <c r="DA240" s="5"/>
      <c r="DB240" s="5" t="str">
        <f>IF(DA240="","",DA241+DC241-DA240)</f>
        <v/>
      </c>
      <c r="DC240" s="5"/>
      <c r="DD240" s="4"/>
      <c r="DE240" s="4" t="str">
        <f>IF(CW240="","",DE241)</f>
        <v/>
      </c>
      <c r="DF240" s="5" t="str">
        <f t="shared" ref="DF240:DF272" si="774">IF(DE240="","",DB240*DE240)</f>
        <v/>
      </c>
      <c r="DG240" s="36" t="str">
        <f t="shared" ref="DG240:DG272" si="775">IF(DF240="","",DF240/(CX240*100))</f>
        <v/>
      </c>
      <c r="DH240" s="29"/>
      <c r="DJ240" s="40"/>
      <c r="DK240" s="5"/>
      <c r="DL240" s="5" t="str">
        <f>IF(DK240="","",DK240-DK241)</f>
        <v/>
      </c>
      <c r="DM240" s="5"/>
      <c r="DN240" s="5" t="str">
        <f>IF(DM240="","",DM240-DM241)</f>
        <v/>
      </c>
      <c r="DO240" s="5"/>
      <c r="DP240" s="5" t="str">
        <f>IF(DO240="","",DO241+DQ241-DO240)</f>
        <v/>
      </c>
      <c r="DQ240" s="5"/>
      <c r="DR240" s="4"/>
      <c r="DS240" s="4" t="str">
        <f>IF(DK240="","",DS241)</f>
        <v/>
      </c>
      <c r="DT240" s="5" t="str">
        <f t="shared" ref="DT240:DT272" si="776">IF(DS240="","",DP240*DS240)</f>
        <v/>
      </c>
      <c r="DU240" s="36" t="str">
        <f t="shared" ref="DU240:DU272" si="777">IF(DT240="","",DT240/(DL240*100))</f>
        <v/>
      </c>
      <c r="DV240" s="29"/>
      <c r="DX240" s="40"/>
      <c r="DY240" s="5"/>
      <c r="DZ240" s="5" t="str">
        <f>IF(DY240="","",DY240-DY241)</f>
        <v/>
      </c>
      <c r="EA240" s="5"/>
      <c r="EB240" s="5" t="str">
        <f>IF(EA240="","",EA240-EA241)</f>
        <v/>
      </c>
      <c r="EC240" s="5"/>
      <c r="ED240" s="5" t="str">
        <f>IF(EC240="","",EC241+EE241-EC240)</f>
        <v/>
      </c>
      <c r="EE240" s="5"/>
      <c r="EF240" s="4"/>
      <c r="EG240" s="4" t="str">
        <f>IF(DY240="","",EG241)</f>
        <v/>
      </c>
      <c r="EH240" s="5" t="str">
        <f t="shared" ref="EH240:EH272" si="778">IF(EG240="","",ED240*EG240)</f>
        <v/>
      </c>
      <c r="EI240" s="36" t="str">
        <f t="shared" ref="EI240:EI272" si="779">IF(EH240="","",EH240/(DZ240*100))</f>
        <v/>
      </c>
      <c r="EJ240" s="29"/>
      <c r="EL240" s="40"/>
      <c r="EM240" s="5"/>
      <c r="EN240" s="5" t="str">
        <f>IF(EM240="","",EM240-EM241)</f>
        <v/>
      </c>
      <c r="EO240" s="5"/>
      <c r="EP240" s="5" t="str">
        <f>IF(EO240="","",EO240-EO241)</f>
        <v/>
      </c>
      <c r="EQ240" s="5"/>
      <c r="ER240" s="5" t="str">
        <f>IF(EQ240="","",EQ241+ES241-EQ240)</f>
        <v/>
      </c>
      <c r="ES240" s="5"/>
      <c r="ET240" s="4"/>
      <c r="EU240" s="4" t="str">
        <f>IF(EM240="","",EU241)</f>
        <v/>
      </c>
      <c r="EV240" s="5" t="str">
        <f t="shared" ref="EV240:EV272" si="780">IF(EU240="","",ER240*EU240)</f>
        <v/>
      </c>
      <c r="EW240" s="36" t="str">
        <f t="shared" ref="EW240:EW272" si="781">IF(EV240="","",EV240/(EN240*100))</f>
        <v/>
      </c>
      <c r="EX240" s="29"/>
      <c r="EZ240" s="40"/>
      <c r="FA240" s="5"/>
      <c r="FB240" s="5" t="str">
        <f>IF(FA240="","",FA240-FA241)</f>
        <v/>
      </c>
      <c r="FC240" s="5"/>
      <c r="FD240" s="5" t="str">
        <f>IF(FC240="","",FC240-FC241)</f>
        <v/>
      </c>
      <c r="FE240" s="5"/>
      <c r="FF240" s="5" t="str">
        <f>IF(FE240="","",FE241+FG241-FE240)</f>
        <v/>
      </c>
      <c r="FG240" s="5"/>
      <c r="FH240" s="4"/>
      <c r="FI240" s="4" t="str">
        <f>IF(FA240="","",FI241)</f>
        <v/>
      </c>
      <c r="FJ240" s="5" t="str">
        <f t="shared" ref="FJ240:FJ272" si="782">IF(FI240="","",FF240*FI240)</f>
        <v/>
      </c>
      <c r="FK240" s="36" t="str">
        <f t="shared" ref="FK240:FK272" si="783">IF(FJ240="","",FJ240/(FB240*100))</f>
        <v/>
      </c>
      <c r="FL240" s="29"/>
      <c r="FN240" s="40"/>
      <c r="FO240" s="5"/>
      <c r="FP240" s="5" t="str">
        <f>IF(FO240="","",FO240-FO241)</f>
        <v/>
      </c>
      <c r="FQ240" s="5"/>
      <c r="FR240" s="5" t="str">
        <f>IF(FQ240="","",FQ240-FQ241)</f>
        <v/>
      </c>
      <c r="FS240" s="5"/>
      <c r="FT240" s="5" t="str">
        <f>IF(FS240="","",FS241+FU241-FS240)</f>
        <v/>
      </c>
      <c r="FU240" s="5"/>
      <c r="FV240" s="4"/>
      <c r="FW240" s="4" t="str">
        <f>IF(FO240="","",FW241)</f>
        <v/>
      </c>
      <c r="FX240" s="5" t="str">
        <f t="shared" ref="FX240:FX272" si="784">IF(FW240="","",FT240*FW240)</f>
        <v/>
      </c>
      <c r="FY240" s="36" t="str">
        <f t="shared" ref="FY240:FY272" si="785">IF(FX240="","",FX240/(FP240*100))</f>
        <v/>
      </c>
      <c r="FZ240" s="29"/>
      <c r="GB240" s="40"/>
      <c r="GC240" s="5"/>
      <c r="GD240" s="5" t="str">
        <f>IF(GC240="","",GC240-GC241)</f>
        <v/>
      </c>
      <c r="GE240" s="5"/>
      <c r="GF240" s="5" t="str">
        <f>IF(GE240="","",GE240-GE241)</f>
        <v/>
      </c>
      <c r="GG240" s="5"/>
      <c r="GH240" s="5" t="str">
        <f>IF(GG240="","",GG241+GI241-GG240)</f>
        <v/>
      </c>
      <c r="GI240" s="5"/>
      <c r="GJ240" s="4"/>
      <c r="GK240" s="4" t="str">
        <f>IF(GC240="","",GK241)</f>
        <v/>
      </c>
      <c r="GL240" s="5" t="str">
        <f t="shared" ref="GL240:GL272" si="786">IF(GK240="","",GH240*GK240)</f>
        <v/>
      </c>
      <c r="GM240" s="36" t="str">
        <f t="shared" ref="GM240:GM272" si="787">IF(GL240="","",GL240/(GD240*100))</f>
        <v/>
      </c>
      <c r="GN240" s="29"/>
      <c r="GP240" s="40"/>
      <c r="GQ240" s="5"/>
      <c r="GR240" s="5" t="str">
        <f>IF(GQ240="","",GQ240-GQ241)</f>
        <v/>
      </c>
      <c r="GS240" s="5"/>
      <c r="GT240" s="5" t="str">
        <f>IF(GS240="","",GS240-GS241)</f>
        <v/>
      </c>
      <c r="GU240" s="5"/>
      <c r="GV240" s="5" t="str">
        <f>IF(GU240="","",GU240-GU241)</f>
        <v/>
      </c>
      <c r="GW240" s="5"/>
      <c r="GX240" s="5" t="str">
        <f>IF(GW240="","",GW241+GY241-GW240)</f>
        <v/>
      </c>
      <c r="GY240" s="5"/>
      <c r="GZ240" s="4"/>
      <c r="HA240" s="4" t="str">
        <f>IF(GQ240="","",HA241)</f>
        <v/>
      </c>
      <c r="HB240" s="5" t="str">
        <f t="shared" ref="HB240:HB272" si="788">IF(HA240="","",GX240*HA240)</f>
        <v/>
      </c>
      <c r="HC240" s="36" t="str">
        <f t="shared" ref="HC240:HC272" si="789">IF(HB240="","",HB240/(GR240*100))</f>
        <v/>
      </c>
      <c r="HD240" s="29"/>
      <c r="HF240" s="40"/>
      <c r="HG240" s="5"/>
      <c r="HH240" s="5" t="str">
        <f>IF(HG240="","",HG240-HG241)</f>
        <v/>
      </c>
      <c r="HI240" s="5"/>
      <c r="HJ240" s="29"/>
      <c r="HL240" s="40"/>
      <c r="HM240" s="5"/>
      <c r="HN240" s="5" t="str">
        <f>IF(HM240="","",HM240-HM241)</f>
        <v/>
      </c>
      <c r="HO240" s="5"/>
      <c r="HP240" s="29"/>
      <c r="HR240" s="40"/>
      <c r="HS240" s="5"/>
      <c r="HT240" s="5" t="str">
        <f>IF(HS240="","",HS240-HS241)</f>
        <v/>
      </c>
      <c r="HU240" s="5"/>
      <c r="HV240" s="29"/>
    </row>
    <row r="241" spans="1:230" ht="15" customHeight="1" thickTop="1" x14ac:dyDescent="0.2">
      <c r="A241" s="49">
        <v>46091</v>
      </c>
      <c r="B241" s="26">
        <f>SUM(D241:D244)+SUM(R241:R244)+SUM(AF241:AF244)+SUM(AT241:AT244)+SUM(CJ229,CX229,DL229,DZ229,EN229,FB229,FP229,GD229,GR229,HH229,HN229,HT229)+SUM(BH241:BH244)+SUM(BV241:BV242)</f>
        <v>1755</v>
      </c>
      <c r="C241" s="4">
        <v>13096</v>
      </c>
      <c r="D241" s="4">
        <f>IF(C241="","",C241-C237)</f>
        <v>74</v>
      </c>
      <c r="E241" s="4">
        <v>337</v>
      </c>
      <c r="F241" s="50">
        <f>IF(E241="","",E241-E237)</f>
        <v>0</v>
      </c>
      <c r="G241" s="4">
        <v>13</v>
      </c>
      <c r="H241" s="4">
        <f>IF(G241="","",G237+I237-G241)</f>
        <v>-1</v>
      </c>
      <c r="I241" s="51">
        <v>0</v>
      </c>
      <c r="J241" s="3" t="str">
        <f t="shared" ref="J241:K244" si="790">IF(C241="","",J237)</f>
        <v>ジャグラーボタン</v>
      </c>
      <c r="K241" s="39">
        <f t="shared" si="790"/>
        <v>748</v>
      </c>
      <c r="L241" s="50">
        <f>IF(G241="","",H241*K241)</f>
        <v>-748</v>
      </c>
      <c r="M241" s="52">
        <f>IF(H241="","",L241/(D241*100))</f>
        <v>-0.10108108108108108</v>
      </c>
      <c r="N241" s="29"/>
      <c r="P241" s="53"/>
      <c r="Q241" s="4">
        <v>3185</v>
      </c>
      <c r="R241" s="4">
        <f>IF(Q241="","",Q241-Q237)</f>
        <v>52</v>
      </c>
      <c r="S241" s="4">
        <v>177</v>
      </c>
      <c r="T241" s="50">
        <f>IF(S241="","",S241-S237)</f>
        <v>1</v>
      </c>
      <c r="U241" s="4">
        <v>6</v>
      </c>
      <c r="V241" s="4">
        <f>IF(U241="","",U237+W237-U241)</f>
        <v>1</v>
      </c>
      <c r="W241" s="51">
        <v>3</v>
      </c>
      <c r="X241" s="3" t="str">
        <f t="shared" ref="X241:Y244" si="791">IF(Q241="","",X237)</f>
        <v>サンリオボアバンスクリップ</v>
      </c>
      <c r="Y241" s="39">
        <f t="shared" si="791"/>
        <v>660</v>
      </c>
      <c r="Z241" s="50">
        <f>IF(U241="","",V241*Y241)</f>
        <v>660</v>
      </c>
      <c r="AA241" s="52">
        <f>IF(V241="","",Z241/(R241*100))</f>
        <v>0.12692307692307692</v>
      </c>
      <c r="AB241" s="29"/>
      <c r="AD241" s="53">
        <f>IF($A241="","",$A241)</f>
        <v>46091</v>
      </c>
      <c r="AE241" s="4">
        <v>1329</v>
      </c>
      <c r="AF241" s="4">
        <f>IF(AE241="","",AE241-AE237)</f>
        <v>35</v>
      </c>
      <c r="AG241" s="4">
        <v>3</v>
      </c>
      <c r="AH241" s="50">
        <f>IF(AG241="","",AG241-AG237)</f>
        <v>0</v>
      </c>
      <c r="AI241" s="4">
        <v>19</v>
      </c>
      <c r="AJ241" s="4">
        <f>IF(AI241="","",AI237+AK237-AI241)</f>
        <v>0</v>
      </c>
      <c r="AK241" s="51">
        <v>0</v>
      </c>
      <c r="AL241" s="31" t="str">
        <f>IF(AE241="","",AL237)</f>
        <v>モンチッチがま口</v>
      </c>
      <c r="AM241" s="39">
        <f>IF(AF241="","",AM237)</f>
        <v>462</v>
      </c>
      <c r="AN241" s="50">
        <f>IF(AI241="","",AJ241*AM241)</f>
        <v>0</v>
      </c>
      <c r="AO241" s="52">
        <f>IF(AJ241="","",AN241/(AF241*100))</f>
        <v>0</v>
      </c>
      <c r="AP241" s="29"/>
      <c r="AR241" s="53">
        <f>IF($A241="","",$A241)</f>
        <v>46091</v>
      </c>
      <c r="AS241" s="4">
        <v>713</v>
      </c>
      <c r="AT241" s="4">
        <f>IF(AS241="","",AS241-AS237)</f>
        <v>12</v>
      </c>
      <c r="AU241" s="4">
        <v>16</v>
      </c>
      <c r="AV241" s="50">
        <f>IF(AU241="","",AU241-AU237)</f>
        <v>0</v>
      </c>
      <c r="AW241" s="4">
        <v>10</v>
      </c>
      <c r="AX241" s="4">
        <f>IF(AW241="","",AW237+AY237-AW241)</f>
        <v>0</v>
      </c>
      <c r="AY241" s="51">
        <v>0</v>
      </c>
      <c r="AZ241" s="31" t="str">
        <f t="shared" ref="AZ241:BA244" si="792">IF(AS241="","",AZ237)</f>
        <v>デジタルミニカメラ</v>
      </c>
      <c r="BA241" s="39">
        <f t="shared" si="792"/>
        <v>1075</v>
      </c>
      <c r="BB241" s="50">
        <f>IF(AW241="","",AX241*BA241)</f>
        <v>0</v>
      </c>
      <c r="BC241" s="52">
        <f>IF(AX241="","",BB241/(AT241*100))</f>
        <v>0</v>
      </c>
      <c r="BD241" s="29"/>
      <c r="BE241" s="32"/>
      <c r="BF241" s="33">
        <f>IF($A241="","",$A241)</f>
        <v>46091</v>
      </c>
      <c r="BG241" s="4">
        <v>1970</v>
      </c>
      <c r="BH241" s="4">
        <f t="shared" si="765"/>
        <v>30</v>
      </c>
      <c r="BI241" s="4">
        <v>12</v>
      </c>
      <c r="BJ241" s="50">
        <f t="shared" si="766"/>
        <v>0</v>
      </c>
      <c r="BK241" s="4">
        <v>3</v>
      </c>
      <c r="BL241" s="4">
        <f t="shared" si="756"/>
        <v>0</v>
      </c>
      <c r="BM241" s="4">
        <v>0</v>
      </c>
      <c r="BN241" s="2" t="str">
        <f>IF(BG241="","",BN237)</f>
        <v>ボンボンドロップシール</v>
      </c>
      <c r="BO241" s="27">
        <f>IF(BG241="","",BO237)</f>
        <v>1500</v>
      </c>
      <c r="BP241" s="5">
        <f t="shared" si="762"/>
        <v>0</v>
      </c>
      <c r="BQ241" s="52">
        <f>IF(BL241="","",BP241/(BH241*100))</f>
        <v>0</v>
      </c>
      <c r="BR241" s="29"/>
      <c r="BT241" s="33">
        <f>IF($A241="","",$A241)</f>
        <v>46091</v>
      </c>
      <c r="BU241" s="4">
        <v>35028</v>
      </c>
      <c r="BV241" s="4">
        <f t="shared" si="757"/>
        <v>14</v>
      </c>
      <c r="BW241" s="4">
        <v>3812</v>
      </c>
      <c r="BX241" s="50">
        <f t="shared" si="758"/>
        <v>1</v>
      </c>
      <c r="BY241" s="4">
        <v>40</v>
      </c>
      <c r="BZ241" s="4">
        <f t="shared" si="763"/>
        <v>1</v>
      </c>
      <c r="CA241" s="4">
        <v>0</v>
      </c>
      <c r="CB241" s="2" t="str">
        <f>IF(BU241="","",CB237)</f>
        <v>ベイビースリーフェイス</v>
      </c>
      <c r="CC241" s="27">
        <f>IF(BU241="","",CC237)</f>
        <v>1050</v>
      </c>
      <c r="CD241" s="5">
        <f t="shared" ref="CD241:CD242" si="793">IF(BY241="","",BZ241*CC241)</f>
        <v>1050</v>
      </c>
      <c r="CE241" s="52">
        <f>IF(BZ241="","",CD241/(BV241*100))</f>
        <v>0.75</v>
      </c>
      <c r="CF241" s="29"/>
      <c r="CH241" s="40"/>
      <c r="CI241" s="5"/>
      <c r="CJ241" s="5" t="str">
        <f>IF(CI241="","",CI241-CI238)</f>
        <v/>
      </c>
      <c r="CK241" s="5"/>
      <c r="CL241" s="5" t="str">
        <f>IF(CK241="","",CK241-CK238)</f>
        <v/>
      </c>
      <c r="CM241" s="5"/>
      <c r="CN241" s="5" t="str">
        <f>IF(CM241="","",CM238+CO238-CM241)</f>
        <v/>
      </c>
      <c r="CO241" s="5"/>
      <c r="CP241" s="4"/>
      <c r="CQ241" s="4" t="str">
        <f>IF(CI241="","",CQ238)</f>
        <v/>
      </c>
      <c r="CR241" s="5" t="str">
        <f t="shared" si="772"/>
        <v/>
      </c>
      <c r="CS241" s="36" t="str">
        <f t="shared" si="773"/>
        <v/>
      </c>
      <c r="CT241" s="29"/>
      <c r="CV241" s="40"/>
      <c r="CW241" s="5"/>
      <c r="CX241" s="5" t="str">
        <f>IF(CW241="","",CW241-CW238)</f>
        <v/>
      </c>
      <c r="CY241" s="5"/>
      <c r="CZ241" s="5" t="str">
        <f>IF(CY241="","",CY241-CY238)</f>
        <v/>
      </c>
      <c r="DA241" s="5"/>
      <c r="DB241" s="5" t="str">
        <f>IF(DA241="","",DA238+DC238-DA241)</f>
        <v/>
      </c>
      <c r="DC241" s="5"/>
      <c r="DD241" s="4"/>
      <c r="DE241" s="4" t="str">
        <f>IF(CW241="","",DE238)</f>
        <v/>
      </c>
      <c r="DF241" s="5" t="str">
        <f t="shared" si="774"/>
        <v/>
      </c>
      <c r="DG241" s="36" t="str">
        <f t="shared" si="775"/>
        <v/>
      </c>
      <c r="DH241" s="29"/>
      <c r="DJ241" s="40"/>
      <c r="DK241" s="5"/>
      <c r="DL241" s="5" t="str">
        <f>IF(DK241="","",DK241-DK238)</f>
        <v/>
      </c>
      <c r="DM241" s="5"/>
      <c r="DN241" s="5" t="str">
        <f>IF(DM241="","",DM241-DM238)</f>
        <v/>
      </c>
      <c r="DO241" s="5"/>
      <c r="DP241" s="5" t="str">
        <f>IF(DO241="","",DO238+DQ238-DO241)</f>
        <v/>
      </c>
      <c r="DQ241" s="5"/>
      <c r="DR241" s="4"/>
      <c r="DS241" s="4" t="str">
        <f>IF(DK241="","",DS238)</f>
        <v/>
      </c>
      <c r="DT241" s="5" t="str">
        <f t="shared" si="776"/>
        <v/>
      </c>
      <c r="DU241" s="36" t="str">
        <f t="shared" si="777"/>
        <v/>
      </c>
      <c r="DV241" s="29"/>
      <c r="DX241" s="40"/>
      <c r="DY241" s="5"/>
      <c r="DZ241" s="5" t="str">
        <f>IF(DY241="","",DY241-DY238)</f>
        <v/>
      </c>
      <c r="EA241" s="5"/>
      <c r="EB241" s="5" t="str">
        <f>IF(EA241="","",EA241-EA238)</f>
        <v/>
      </c>
      <c r="EC241" s="5"/>
      <c r="ED241" s="5" t="str">
        <f>IF(EC241="","",EC238+EE238-EC241)</f>
        <v/>
      </c>
      <c r="EE241" s="5"/>
      <c r="EF241" s="4"/>
      <c r="EG241" s="4" t="str">
        <f>IF(DY241="","",EG238)</f>
        <v/>
      </c>
      <c r="EH241" s="5" t="str">
        <f t="shared" si="778"/>
        <v/>
      </c>
      <c r="EI241" s="36" t="str">
        <f t="shared" si="779"/>
        <v/>
      </c>
      <c r="EJ241" s="29"/>
      <c r="EL241" s="40"/>
      <c r="EM241" s="5"/>
      <c r="EN241" s="5" t="str">
        <f>IF(EM241="","",EM241-EM238)</f>
        <v/>
      </c>
      <c r="EO241" s="5"/>
      <c r="EP241" s="5" t="str">
        <f>IF(EO241="","",EO241-EO238)</f>
        <v/>
      </c>
      <c r="EQ241" s="5"/>
      <c r="ER241" s="5" t="str">
        <f>IF(EQ241="","",EQ238+ES238-EQ241)</f>
        <v/>
      </c>
      <c r="ES241" s="5"/>
      <c r="ET241" s="4"/>
      <c r="EU241" s="4" t="str">
        <f>IF(EM241="","",EU238)</f>
        <v/>
      </c>
      <c r="EV241" s="5" t="str">
        <f t="shared" si="780"/>
        <v/>
      </c>
      <c r="EW241" s="36" t="str">
        <f t="shared" si="781"/>
        <v/>
      </c>
      <c r="EX241" s="29"/>
      <c r="EZ241" s="40"/>
      <c r="FA241" s="5"/>
      <c r="FB241" s="5" t="str">
        <f>IF(FA241="","",FA241-FA238)</f>
        <v/>
      </c>
      <c r="FC241" s="5"/>
      <c r="FD241" s="5" t="str">
        <f>IF(FC241="","",FC241-FC238)</f>
        <v/>
      </c>
      <c r="FE241" s="5"/>
      <c r="FF241" s="5" t="str">
        <f>IF(FE241="","",FE238+FG238-FE241)</f>
        <v/>
      </c>
      <c r="FG241" s="5"/>
      <c r="FH241" s="4"/>
      <c r="FI241" s="4" t="str">
        <f>IF(FA241="","",FI238)</f>
        <v/>
      </c>
      <c r="FJ241" s="5" t="str">
        <f t="shared" si="782"/>
        <v/>
      </c>
      <c r="FK241" s="36" t="str">
        <f t="shared" si="783"/>
        <v/>
      </c>
      <c r="FL241" s="29"/>
      <c r="FN241" s="40"/>
      <c r="FO241" s="5"/>
      <c r="FP241" s="5" t="str">
        <f>IF(FO241="","",FO241-FO238)</f>
        <v/>
      </c>
      <c r="FQ241" s="5"/>
      <c r="FR241" s="5" t="str">
        <f>IF(FQ241="","",FQ241-FQ238)</f>
        <v/>
      </c>
      <c r="FS241" s="5"/>
      <c r="FT241" s="5" t="str">
        <f>IF(FS241="","",FS238+FU238-FS241)</f>
        <v/>
      </c>
      <c r="FU241" s="5"/>
      <c r="FV241" s="4"/>
      <c r="FW241" s="4" t="str">
        <f>IF(FO241="","",FW238)</f>
        <v/>
      </c>
      <c r="FX241" s="5" t="str">
        <f t="shared" si="784"/>
        <v/>
      </c>
      <c r="FY241" s="36" t="str">
        <f t="shared" si="785"/>
        <v/>
      </c>
      <c r="FZ241" s="29"/>
      <c r="GB241" s="40"/>
      <c r="GC241" s="5"/>
      <c r="GD241" s="5" t="str">
        <f>IF(GC241="","",GC241-GC238)</f>
        <v/>
      </c>
      <c r="GE241" s="5"/>
      <c r="GF241" s="5" t="str">
        <f>IF(GE241="","",GE241-GE238)</f>
        <v/>
      </c>
      <c r="GG241" s="5"/>
      <c r="GH241" s="5" t="str">
        <f>IF(GG241="","",GG238+GI238-GG241)</f>
        <v/>
      </c>
      <c r="GI241" s="5"/>
      <c r="GJ241" s="4"/>
      <c r="GK241" s="4" t="str">
        <f>IF(GC241="","",GK238)</f>
        <v/>
      </c>
      <c r="GL241" s="5" t="str">
        <f t="shared" si="786"/>
        <v/>
      </c>
      <c r="GM241" s="36" t="str">
        <f t="shared" si="787"/>
        <v/>
      </c>
      <c r="GN241" s="29"/>
      <c r="GP241" s="40"/>
      <c r="GQ241" s="5"/>
      <c r="GR241" s="5" t="str">
        <f>IF(GQ241="","",GQ241-GQ238)</f>
        <v/>
      </c>
      <c r="GS241" s="5"/>
      <c r="GT241" s="5" t="str">
        <f>IF(GS241="","",GS241-GS238)</f>
        <v/>
      </c>
      <c r="GU241" s="5"/>
      <c r="GV241" s="5" t="str">
        <f>IF(GU241="","",GU241-GU238)</f>
        <v/>
      </c>
      <c r="GW241" s="5"/>
      <c r="GX241" s="5" t="str">
        <f>IF(GW241="","",GW238+GY238-GW241)</f>
        <v/>
      </c>
      <c r="GY241" s="5"/>
      <c r="GZ241" s="4"/>
      <c r="HA241" s="4" t="str">
        <f>IF(GQ241="","",HA238)</f>
        <v/>
      </c>
      <c r="HB241" s="5" t="str">
        <f t="shared" si="788"/>
        <v/>
      </c>
      <c r="HC241" s="36" t="str">
        <f t="shared" si="789"/>
        <v/>
      </c>
      <c r="HD241" s="29"/>
      <c r="HF241" s="40"/>
      <c r="HG241" s="5"/>
      <c r="HH241" s="5" t="str">
        <f>IF(HG241="","",HG241-HG238)</f>
        <v/>
      </c>
      <c r="HI241" s="5"/>
      <c r="HJ241" s="29"/>
      <c r="HL241" s="40"/>
      <c r="HM241" s="5"/>
      <c r="HN241" s="5" t="str">
        <f>IF(HM241="","",HM241-HM238)</f>
        <v/>
      </c>
      <c r="HO241" s="5"/>
      <c r="HP241" s="29"/>
      <c r="HR241" s="40"/>
      <c r="HS241" s="5"/>
      <c r="HT241" s="5" t="str">
        <f>IF(HS241="","",HS241-HS238)</f>
        <v/>
      </c>
      <c r="HU241" s="5"/>
      <c r="HV241" s="29"/>
    </row>
    <row r="242" spans="1:230" x14ac:dyDescent="0.2">
      <c r="A242" s="49"/>
      <c r="B242" s="26"/>
      <c r="C242" s="4">
        <v>16578</v>
      </c>
      <c r="D242" s="5">
        <f>IF(C242="","",C242-C238)</f>
        <v>54</v>
      </c>
      <c r="E242" s="5">
        <v>514</v>
      </c>
      <c r="F242" s="5">
        <f>IF(E242="","",E242-E238)</f>
        <v>0</v>
      </c>
      <c r="G242" s="5">
        <v>35</v>
      </c>
      <c r="H242" s="5">
        <f>IF(G242="","",G238+I238-G242)</f>
        <v>0</v>
      </c>
      <c r="I242" s="35">
        <v>0</v>
      </c>
      <c r="J242" s="3" t="str">
        <f t="shared" si="790"/>
        <v>番長ボタン</v>
      </c>
      <c r="K242" s="39">
        <f t="shared" si="790"/>
        <v>358</v>
      </c>
      <c r="L242" s="5">
        <f>IF(G242="","",H242*K242)</f>
        <v>0</v>
      </c>
      <c r="M242" s="36">
        <f>IF(H242="","",L242/(D242*100))</f>
        <v>0</v>
      </c>
      <c r="N242" s="29"/>
      <c r="P242" s="49"/>
      <c r="Q242" s="4">
        <v>10091</v>
      </c>
      <c r="R242" s="5">
        <f>IF(Q242="","",Q242-Q238)</f>
        <v>14</v>
      </c>
      <c r="S242" s="5">
        <v>169</v>
      </c>
      <c r="T242" s="5">
        <f>IF(S242="","",S242-S238)</f>
        <v>0</v>
      </c>
      <c r="U242" s="5">
        <v>4</v>
      </c>
      <c r="V242" s="5">
        <f>IF(U242="","",U238+W238-U242)</f>
        <v>0</v>
      </c>
      <c r="W242" s="35">
        <v>4</v>
      </c>
      <c r="X242" s="3" t="str">
        <f t="shared" si="791"/>
        <v>サンリオフェイスポーチ</v>
      </c>
      <c r="Y242" s="39">
        <f t="shared" si="791"/>
        <v>825</v>
      </c>
      <c r="Z242" s="5">
        <f>IF(U242="","",V242*Y242)</f>
        <v>0</v>
      </c>
      <c r="AA242" s="36">
        <f>IF(V242="","",Z242/(R242*100))</f>
        <v>0</v>
      </c>
      <c r="AB242" s="29"/>
      <c r="AD242" s="54"/>
      <c r="AE242" s="5">
        <v>687</v>
      </c>
      <c r="AF242" s="5">
        <f>IF(AE242="","",AE242-AE238)</f>
        <v>57</v>
      </c>
      <c r="AG242" s="5">
        <v>3</v>
      </c>
      <c r="AH242" s="5">
        <f>IF(AG242="","",AG242-AG238)</f>
        <v>0</v>
      </c>
      <c r="AI242" s="5">
        <v>1</v>
      </c>
      <c r="AJ242" s="5">
        <f>IF(AI242="","",AI238+AK238-AI242)</f>
        <v>0</v>
      </c>
      <c r="AK242" s="35">
        <v>8</v>
      </c>
      <c r="AL242" s="3" t="s">
        <v>121</v>
      </c>
      <c r="AM242" s="39">
        <v>1100</v>
      </c>
      <c r="AN242" s="5">
        <f>IF(AI242="","",AJ242*AM242)</f>
        <v>0</v>
      </c>
      <c r="AO242" s="36">
        <f>IF(AJ242="","",AN242/(AF242*100))</f>
        <v>0</v>
      </c>
      <c r="AP242" s="29"/>
      <c r="AR242" s="54"/>
      <c r="AS242" s="5">
        <v>660</v>
      </c>
      <c r="AT242" s="5">
        <f>IF(AS242="","",AS242-AS238)</f>
        <v>64</v>
      </c>
      <c r="AU242" s="5">
        <v>996</v>
      </c>
      <c r="AV242" s="5">
        <f>IF(AU242="","",AU242-AU238)</f>
        <v>0</v>
      </c>
      <c r="AW242" s="5">
        <v>17</v>
      </c>
      <c r="AX242" s="5">
        <f>IF(AW242="","",AW238+AY238-AW242)</f>
        <v>0</v>
      </c>
      <c r="AY242" s="35">
        <v>0</v>
      </c>
      <c r="AZ242" s="3" t="str">
        <f t="shared" si="792"/>
        <v>ゲーム機イヤホン</v>
      </c>
      <c r="BA242" s="39">
        <f t="shared" si="792"/>
        <v>770</v>
      </c>
      <c r="BB242" s="5">
        <f>IF(AW242="","",AX242*BA242)</f>
        <v>0</v>
      </c>
      <c r="BC242" s="36">
        <f>IF(AX242="","",BB242/(AT242*100))</f>
        <v>0</v>
      </c>
      <c r="BD242" s="29"/>
      <c r="BE242" s="32"/>
      <c r="BF242" s="25"/>
      <c r="BG242" s="4">
        <v>3128</v>
      </c>
      <c r="BH242" s="5">
        <f t="shared" si="765"/>
        <v>221</v>
      </c>
      <c r="BI242" s="4">
        <v>20</v>
      </c>
      <c r="BJ242" s="5">
        <f t="shared" si="766"/>
        <v>1</v>
      </c>
      <c r="BK242" s="4">
        <v>2</v>
      </c>
      <c r="BL242" s="5">
        <f t="shared" si="756"/>
        <v>1</v>
      </c>
      <c r="BM242" s="4">
        <v>1</v>
      </c>
      <c r="BN242" s="3" t="str">
        <f>IF(BG242="","",BN238)</f>
        <v>ボンボンドロップシール</v>
      </c>
      <c r="BO242" s="39">
        <f>IF(BG241="","",BO238)</f>
        <v>1500</v>
      </c>
      <c r="BP242" s="4">
        <f t="shared" si="762"/>
        <v>1500</v>
      </c>
      <c r="BQ242" s="36">
        <f>IF(BL242="","",BP242/(BH242*100))</f>
        <v>6.7873303167420809E-2</v>
      </c>
      <c r="BR242" s="29"/>
      <c r="BT242" s="25"/>
      <c r="BU242" s="4">
        <v>31109</v>
      </c>
      <c r="BV242" s="5">
        <f t="shared" si="757"/>
        <v>25</v>
      </c>
      <c r="BW242" s="4">
        <v>1665</v>
      </c>
      <c r="BX242" s="5">
        <f t="shared" si="758"/>
        <v>0</v>
      </c>
      <c r="BY242" s="5">
        <v>45</v>
      </c>
      <c r="BZ242" s="5">
        <f t="shared" si="763"/>
        <v>0</v>
      </c>
      <c r="CA242" s="4">
        <v>0</v>
      </c>
      <c r="CB242" s="3" t="str">
        <f>IF(BU242="","",CB238)</f>
        <v>サンリオボアポーチ</v>
      </c>
      <c r="CC242" s="39">
        <f>IF(BU241="","",CC238)</f>
        <v>950</v>
      </c>
      <c r="CD242" s="4">
        <f t="shared" si="793"/>
        <v>0</v>
      </c>
      <c r="CE242" s="36">
        <f>IF(BZ242="","",CD242/(BV242*100))</f>
        <v>0</v>
      </c>
      <c r="CF242" s="29"/>
      <c r="CH242" s="75"/>
      <c r="CI242" s="5"/>
      <c r="CJ242" s="5" t="str">
        <f>IF(CI242="","",CI242-CI240)</f>
        <v/>
      </c>
      <c r="CK242" s="5"/>
      <c r="CL242" s="5" t="str">
        <f>IF(CK242="","",CK242-CK240)</f>
        <v/>
      </c>
      <c r="CM242" s="5"/>
      <c r="CN242" s="5" t="str">
        <f>IF(CM242="","",CM240+CO240-CM242)</f>
        <v/>
      </c>
      <c r="CO242" s="5"/>
      <c r="CP242" s="4"/>
      <c r="CQ242" s="4" t="str">
        <f>IF(CI242="","",CQ240)</f>
        <v/>
      </c>
      <c r="CR242" s="5" t="str">
        <f t="shared" si="772"/>
        <v/>
      </c>
      <c r="CS242" s="36" t="str">
        <f t="shared" si="773"/>
        <v/>
      </c>
      <c r="CT242" s="29"/>
      <c r="CV242" s="75"/>
      <c r="CW242" s="5"/>
      <c r="CX242" s="5" t="str">
        <f>IF(CW242="","",CW242-CW240)</f>
        <v/>
      </c>
      <c r="CY242" s="5"/>
      <c r="CZ242" s="5" t="str">
        <f>IF(CY242="","",CY242-CY240)</f>
        <v/>
      </c>
      <c r="DA242" s="5"/>
      <c r="DB242" s="5" t="str">
        <f>IF(DA242="","",DA240+DC240-DA242)</f>
        <v/>
      </c>
      <c r="DC242" s="5"/>
      <c r="DD242" s="4"/>
      <c r="DE242" s="4" t="str">
        <f>IF(CW242="","",DE240)</f>
        <v/>
      </c>
      <c r="DF242" s="5" t="str">
        <f t="shared" si="774"/>
        <v/>
      </c>
      <c r="DG242" s="36" t="str">
        <f t="shared" si="775"/>
        <v/>
      </c>
      <c r="DH242" s="29"/>
      <c r="DJ242" s="75"/>
      <c r="DK242" s="5"/>
      <c r="DL242" s="5" t="str">
        <f>IF(DK242="","",DK242-DK240)</f>
        <v/>
      </c>
      <c r="DM242" s="5"/>
      <c r="DN242" s="5" t="str">
        <f>IF(DM242="","",DM242-DM240)</f>
        <v/>
      </c>
      <c r="DO242" s="5"/>
      <c r="DP242" s="5" t="str">
        <f>IF(DO242="","",DO240+DQ240-DO242)</f>
        <v/>
      </c>
      <c r="DQ242" s="5"/>
      <c r="DR242" s="4"/>
      <c r="DS242" s="4" t="str">
        <f>IF(DK242="","",DS240)</f>
        <v/>
      </c>
      <c r="DT242" s="5" t="str">
        <f t="shared" si="776"/>
        <v/>
      </c>
      <c r="DU242" s="36" t="str">
        <f t="shared" si="777"/>
        <v/>
      </c>
      <c r="DV242" s="29"/>
      <c r="DX242" s="75"/>
      <c r="DY242" s="5"/>
      <c r="DZ242" s="5" t="str">
        <f>IF(DY242="","",DY242-DY240)</f>
        <v/>
      </c>
      <c r="EA242" s="5"/>
      <c r="EB242" s="5" t="str">
        <f>IF(EA242="","",EA242-EA240)</f>
        <v/>
      </c>
      <c r="EC242" s="5"/>
      <c r="ED242" s="5" t="str">
        <f>IF(EC242="","",EC240+EE240-EC242)</f>
        <v/>
      </c>
      <c r="EE242" s="5"/>
      <c r="EF242" s="4"/>
      <c r="EG242" s="4" t="str">
        <f>IF(DY242="","",EG240)</f>
        <v/>
      </c>
      <c r="EH242" s="5" t="str">
        <f t="shared" si="778"/>
        <v/>
      </c>
      <c r="EI242" s="36" t="str">
        <f t="shared" si="779"/>
        <v/>
      </c>
      <c r="EJ242" s="29"/>
      <c r="EL242" s="75"/>
      <c r="EM242" s="5"/>
      <c r="EN242" s="5" t="str">
        <f>IF(EM242="","",EM242-EM240)</f>
        <v/>
      </c>
      <c r="EO242" s="5"/>
      <c r="EP242" s="5" t="str">
        <f>IF(EO242="","",EO242-EO240)</f>
        <v/>
      </c>
      <c r="EQ242" s="5"/>
      <c r="ER242" s="5" t="str">
        <f>IF(EQ242="","",EQ240+ES240-EQ242)</f>
        <v/>
      </c>
      <c r="ES242" s="5"/>
      <c r="ET242" s="4"/>
      <c r="EU242" s="4" t="str">
        <f>IF(EM242="","",EU240)</f>
        <v/>
      </c>
      <c r="EV242" s="5" t="str">
        <f t="shared" si="780"/>
        <v/>
      </c>
      <c r="EW242" s="36" t="str">
        <f t="shared" si="781"/>
        <v/>
      </c>
      <c r="EX242" s="29"/>
      <c r="EZ242" s="75"/>
      <c r="FA242" s="5"/>
      <c r="FB242" s="5" t="str">
        <f>IF(FA242="","",FA242-FA240)</f>
        <v/>
      </c>
      <c r="FC242" s="5"/>
      <c r="FD242" s="5" t="str">
        <f>IF(FC242="","",FC242-FC240)</f>
        <v/>
      </c>
      <c r="FE242" s="5"/>
      <c r="FF242" s="5" t="str">
        <f>IF(FE242="","",FE240+FG240-FE242)</f>
        <v/>
      </c>
      <c r="FG242" s="5"/>
      <c r="FH242" s="4"/>
      <c r="FI242" s="4" t="str">
        <f>IF(FA242="","",FI240)</f>
        <v/>
      </c>
      <c r="FJ242" s="5" t="str">
        <f t="shared" si="782"/>
        <v/>
      </c>
      <c r="FK242" s="36" t="str">
        <f t="shared" si="783"/>
        <v/>
      </c>
      <c r="FL242" s="29"/>
      <c r="FN242" s="75"/>
      <c r="FO242" s="5"/>
      <c r="FP242" s="5" t="str">
        <f>IF(FO242="","",FO242-FO240)</f>
        <v/>
      </c>
      <c r="FQ242" s="5"/>
      <c r="FR242" s="5" t="str">
        <f>IF(FQ242="","",FQ242-FQ240)</f>
        <v/>
      </c>
      <c r="FS242" s="5"/>
      <c r="FT242" s="5" t="str">
        <f>IF(FS242="","",FS240+FU240-FS242)</f>
        <v/>
      </c>
      <c r="FU242" s="5"/>
      <c r="FV242" s="4"/>
      <c r="FW242" s="4" t="str">
        <f>IF(FO242="","",FW240)</f>
        <v/>
      </c>
      <c r="FX242" s="5" t="str">
        <f t="shared" si="784"/>
        <v/>
      </c>
      <c r="FY242" s="36" t="str">
        <f t="shared" si="785"/>
        <v/>
      </c>
      <c r="FZ242" s="29"/>
      <c r="GB242" s="75"/>
      <c r="GC242" s="5"/>
      <c r="GD242" s="5" t="str">
        <f>IF(GC242="","",GC242-GC240)</f>
        <v/>
      </c>
      <c r="GE242" s="5"/>
      <c r="GF242" s="5" t="str">
        <f>IF(GE242="","",GE242-GE240)</f>
        <v/>
      </c>
      <c r="GG242" s="5"/>
      <c r="GH242" s="5" t="str">
        <f>IF(GG242="","",GG240+GI240-GG242)</f>
        <v/>
      </c>
      <c r="GI242" s="5"/>
      <c r="GJ242" s="4"/>
      <c r="GK242" s="4" t="str">
        <f>IF(GC242="","",GK240)</f>
        <v/>
      </c>
      <c r="GL242" s="5" t="str">
        <f t="shared" si="786"/>
        <v/>
      </c>
      <c r="GM242" s="36" t="str">
        <f t="shared" si="787"/>
        <v/>
      </c>
      <c r="GN242" s="29"/>
      <c r="GP242" s="75"/>
      <c r="GQ242" s="5"/>
      <c r="GR242" s="5" t="str">
        <f>IF(GQ242="","",GQ242-GQ240)</f>
        <v/>
      </c>
      <c r="GS242" s="5"/>
      <c r="GT242" s="5" t="str">
        <f>IF(GS242="","",GS242-GS240)</f>
        <v/>
      </c>
      <c r="GU242" s="5"/>
      <c r="GV242" s="5" t="str">
        <f>IF(GU242="","",GU242-GU240)</f>
        <v/>
      </c>
      <c r="GW242" s="5"/>
      <c r="GX242" s="5" t="str">
        <f>IF(GW242="","",GW240+GY240-GW242)</f>
        <v/>
      </c>
      <c r="GY242" s="5"/>
      <c r="GZ242" s="4"/>
      <c r="HA242" s="4" t="str">
        <f>IF(GQ242="","",HA240)</f>
        <v/>
      </c>
      <c r="HB242" s="5" t="str">
        <f t="shared" si="788"/>
        <v/>
      </c>
      <c r="HC242" s="36" t="str">
        <f t="shared" si="789"/>
        <v/>
      </c>
      <c r="HD242" s="29"/>
      <c r="HF242" s="75"/>
      <c r="HG242" s="5"/>
      <c r="HH242" s="5" t="str">
        <f>IF(HG242="","",HG242-HG240)</f>
        <v/>
      </c>
      <c r="HI242" s="5"/>
      <c r="HJ242" s="29"/>
      <c r="HL242" s="75"/>
      <c r="HM242" s="5"/>
      <c r="HN242" s="5" t="str">
        <f>IF(HM242="","",HM242-HM240)</f>
        <v/>
      </c>
      <c r="HO242" s="5"/>
      <c r="HP242" s="29"/>
      <c r="HR242" s="75"/>
      <c r="HS242" s="5"/>
      <c r="HT242" s="5" t="str">
        <f>IF(HS242="","",HS242-HS240)</f>
        <v/>
      </c>
      <c r="HU242" s="5"/>
      <c r="HV242" s="29"/>
    </row>
    <row r="243" spans="1:230" ht="15" customHeight="1" x14ac:dyDescent="0.2">
      <c r="A243" s="49"/>
      <c r="B243" s="64"/>
      <c r="C243" s="57">
        <v>18120</v>
      </c>
      <c r="D243" s="5">
        <f>IF(C243="","",C243-C239)</f>
        <v>2</v>
      </c>
      <c r="E243" s="5">
        <v>635</v>
      </c>
      <c r="F243" s="5">
        <f>IF(E243="","",E243-E239)</f>
        <v>0</v>
      </c>
      <c r="G243" s="5">
        <v>49</v>
      </c>
      <c r="H243" s="5">
        <f>IF(G243="","",G239+I239-G243)</f>
        <v>0</v>
      </c>
      <c r="I243" s="35">
        <v>0</v>
      </c>
      <c r="J243" s="3" t="str">
        <f t="shared" si="790"/>
        <v>アングリーキーホルダー</v>
      </c>
      <c r="K243" s="39">
        <f t="shared" si="790"/>
        <v>100</v>
      </c>
      <c r="L243" s="5">
        <f>IF(G243="","",H243*K243)</f>
        <v>0</v>
      </c>
      <c r="M243" s="36">
        <f>IF(H243="","",L243/(D243*100))</f>
        <v>0</v>
      </c>
      <c r="N243" s="29"/>
      <c r="P243" s="49"/>
      <c r="Q243" s="57">
        <v>10102</v>
      </c>
      <c r="R243" s="5">
        <f>IF(Q243="","",Q243-Q239)</f>
        <v>23</v>
      </c>
      <c r="S243" s="5">
        <v>268</v>
      </c>
      <c r="T243" s="5">
        <f>IF(S243="","",S243-S239)</f>
        <v>0</v>
      </c>
      <c r="U243" s="58">
        <v>14</v>
      </c>
      <c r="V243" s="5">
        <f>IF(U243="","",U239+W239-U243)</f>
        <v>0</v>
      </c>
      <c r="W243" s="59">
        <v>0</v>
      </c>
      <c r="X243" s="3" t="str">
        <f t="shared" si="791"/>
        <v>ギャルキティマスコット</v>
      </c>
      <c r="Y243" s="39">
        <f t="shared" si="791"/>
        <v>638</v>
      </c>
      <c r="Z243" s="5">
        <f>IF(U243="","",V243*Y243)</f>
        <v>0</v>
      </c>
      <c r="AA243" s="36">
        <f>IF(V243="","",Z243/(R243*100))</f>
        <v>0</v>
      </c>
      <c r="AB243" s="29"/>
      <c r="AD243" s="54"/>
      <c r="AE243" s="58">
        <v>746</v>
      </c>
      <c r="AF243" s="5">
        <f>IF(AE243="","",AE243-AE239)</f>
        <v>64</v>
      </c>
      <c r="AG243" s="5">
        <v>19</v>
      </c>
      <c r="AH243" s="5">
        <f>IF(AG243="","",AG243-AG239)</f>
        <v>3</v>
      </c>
      <c r="AI243" s="58">
        <v>9</v>
      </c>
      <c r="AJ243" s="5">
        <f>IF(AI243="","",AI239+AK239-AI243)</f>
        <v>1</v>
      </c>
      <c r="AK243" s="59">
        <v>0</v>
      </c>
      <c r="AL243" s="3" t="s">
        <v>120</v>
      </c>
      <c r="AM243" s="39">
        <v>1500</v>
      </c>
      <c r="AN243" s="5">
        <f>IF(AI243="","",AJ243*AM243)</f>
        <v>1500</v>
      </c>
      <c r="AO243" s="36">
        <f>IF(AJ243="","",AN243/(AF243*100))</f>
        <v>0.234375</v>
      </c>
      <c r="AP243" s="29"/>
      <c r="AR243" s="54"/>
      <c r="AS243" s="58">
        <v>566</v>
      </c>
      <c r="AT243" s="5">
        <f>IF(AS243="","",AS243-AS239)</f>
        <v>14</v>
      </c>
      <c r="AU243" s="5">
        <v>997</v>
      </c>
      <c r="AV243" s="5">
        <f>IF(AU243="","",AU243-AU239)</f>
        <v>1</v>
      </c>
      <c r="AW243" s="58">
        <v>10</v>
      </c>
      <c r="AX243" s="5">
        <f>IF(AW243="","",AW239+AY239-AW243)</f>
        <v>1</v>
      </c>
      <c r="AY243" s="59">
        <v>0</v>
      </c>
      <c r="AZ243" s="3" t="str">
        <f t="shared" si="792"/>
        <v>ゲームアーク</v>
      </c>
      <c r="BA243" s="39">
        <f t="shared" si="792"/>
        <v>682</v>
      </c>
      <c r="BB243" s="5">
        <f>IF(AW243="","",AX243*BA243)</f>
        <v>682</v>
      </c>
      <c r="BC243" s="36">
        <f>IF(AX243="","",BB243/(AT243*100))</f>
        <v>0.48714285714285716</v>
      </c>
      <c r="BD243" s="29"/>
      <c r="BE243" s="32"/>
      <c r="BF243" s="25"/>
      <c r="BG243" s="57">
        <v>677</v>
      </c>
      <c r="BH243" s="5">
        <f t="shared" si="765"/>
        <v>3</v>
      </c>
      <c r="BI243" s="57">
        <v>3</v>
      </c>
      <c r="BJ243" s="5">
        <f t="shared" si="766"/>
        <v>0</v>
      </c>
      <c r="BK243" s="57">
        <v>3</v>
      </c>
      <c r="BL243" s="5">
        <f t="shared" si="756"/>
        <v>0</v>
      </c>
      <c r="BM243" s="57">
        <v>0</v>
      </c>
      <c r="BN243" s="3" t="str">
        <f>IF(BG241="","",BN239)</f>
        <v>プチドロップシール</v>
      </c>
      <c r="BO243" s="39">
        <f>IF(BG241="","",BO239)</f>
        <v>800</v>
      </c>
      <c r="BP243" s="5">
        <f t="shared" si="762"/>
        <v>0</v>
      </c>
      <c r="BQ243" s="36">
        <f>IF(BL243="","",BP243/(BH242*100))</f>
        <v>0</v>
      </c>
      <c r="BR243" s="29"/>
      <c r="BT243" s="25"/>
      <c r="BU243" s="57"/>
      <c r="BV243" s="5" t="str">
        <f t="shared" si="757"/>
        <v/>
      </c>
      <c r="BW243" s="57"/>
      <c r="BX243" s="5" t="str">
        <f t="shared" si="758"/>
        <v/>
      </c>
      <c r="BY243" s="5"/>
      <c r="BZ243" s="5"/>
      <c r="CA243" s="57"/>
      <c r="CB243" s="3"/>
      <c r="CC243" s="39"/>
      <c r="CD243" s="5"/>
      <c r="CE243" s="36"/>
      <c r="CF243" s="29"/>
      <c r="CH243" s="75" t="str">
        <f>IF($A243="","",$A243)</f>
        <v/>
      </c>
      <c r="CI243" s="5"/>
      <c r="CJ243" s="5" t="str">
        <f>IF(CI243="","",CI243-#REF!)</f>
        <v/>
      </c>
      <c r="CK243" s="5"/>
      <c r="CL243" s="5" t="str">
        <f>IF(CK243="","",CK243-#REF!)</f>
        <v/>
      </c>
      <c r="CM243" s="5"/>
      <c r="CN243" s="5" t="str">
        <f>IF(CM243="","",#REF!+#REF!-CM243)</f>
        <v/>
      </c>
      <c r="CO243" s="5"/>
      <c r="CP243" s="4"/>
      <c r="CQ243" s="4" t="str">
        <f>IF(CI243="","",#REF!)</f>
        <v/>
      </c>
      <c r="CR243" s="5" t="str">
        <f t="shared" si="772"/>
        <v/>
      </c>
      <c r="CS243" s="36" t="str">
        <f t="shared" si="773"/>
        <v/>
      </c>
      <c r="CT243" s="29"/>
      <c r="CV243" s="75" t="str">
        <f>IF($A243="","",$A243)</f>
        <v/>
      </c>
      <c r="CW243" s="5"/>
      <c r="CX243" s="5" t="str">
        <f>IF(CW243="","",CW243-#REF!)</f>
        <v/>
      </c>
      <c r="CY243" s="5"/>
      <c r="CZ243" s="5" t="str">
        <f>IF(CY243="","",CY243-#REF!)</f>
        <v/>
      </c>
      <c r="DA243" s="5"/>
      <c r="DB243" s="5" t="str">
        <f>IF(DA243="","",#REF!+#REF!-DA243)</f>
        <v/>
      </c>
      <c r="DC243" s="5"/>
      <c r="DD243" s="4"/>
      <c r="DE243" s="4" t="str">
        <f>IF(CW243="","",#REF!)</f>
        <v/>
      </c>
      <c r="DF243" s="5" t="str">
        <f t="shared" si="774"/>
        <v/>
      </c>
      <c r="DG243" s="36" t="str">
        <f t="shared" si="775"/>
        <v/>
      </c>
      <c r="DH243" s="29"/>
      <c r="DJ243" s="75" t="str">
        <f>IF($A243="","",$A243)</f>
        <v/>
      </c>
      <c r="DK243" s="5"/>
      <c r="DL243" s="5" t="str">
        <f>IF(DK243="","",DK243-#REF!)</f>
        <v/>
      </c>
      <c r="DM243" s="5"/>
      <c r="DN243" s="5" t="str">
        <f>IF(DM243="","",DM243-#REF!)</f>
        <v/>
      </c>
      <c r="DO243" s="5"/>
      <c r="DP243" s="5" t="str">
        <f>IF(DO243="","",#REF!+#REF!-DO243)</f>
        <v/>
      </c>
      <c r="DQ243" s="5"/>
      <c r="DR243" s="4"/>
      <c r="DS243" s="4" t="str">
        <f>IF(DK243="","",#REF!)</f>
        <v/>
      </c>
      <c r="DT243" s="5" t="str">
        <f t="shared" si="776"/>
        <v/>
      </c>
      <c r="DU243" s="36" t="str">
        <f t="shared" si="777"/>
        <v/>
      </c>
      <c r="DV243" s="29"/>
      <c r="DX243" s="75" t="str">
        <f>IF($A243="","",$A243)</f>
        <v/>
      </c>
      <c r="DY243" s="5"/>
      <c r="DZ243" s="5" t="str">
        <f>IF(DY243="","",DY243-#REF!)</f>
        <v/>
      </c>
      <c r="EA243" s="5"/>
      <c r="EB243" s="5" t="str">
        <f>IF(EA243="","",EA243-#REF!)</f>
        <v/>
      </c>
      <c r="EC243" s="5"/>
      <c r="ED243" s="5" t="str">
        <f>IF(EC243="","",#REF!+#REF!-EC243)</f>
        <v/>
      </c>
      <c r="EE243" s="5"/>
      <c r="EF243" s="4"/>
      <c r="EG243" s="4" t="str">
        <f>IF(DY243="","",#REF!)</f>
        <v/>
      </c>
      <c r="EH243" s="5" t="str">
        <f t="shared" si="778"/>
        <v/>
      </c>
      <c r="EI243" s="36" t="str">
        <f t="shared" si="779"/>
        <v/>
      </c>
      <c r="EJ243" s="29"/>
      <c r="EL243" s="75" t="str">
        <f>IF($A243="","",$A243)</f>
        <v/>
      </c>
      <c r="EM243" s="5"/>
      <c r="EN243" s="5" t="str">
        <f>IF(EM243="","",EM243-#REF!)</f>
        <v/>
      </c>
      <c r="EO243" s="5"/>
      <c r="EP243" s="5" t="str">
        <f>IF(EO243="","",EO243-#REF!)</f>
        <v/>
      </c>
      <c r="EQ243" s="5"/>
      <c r="ER243" s="5" t="str">
        <f>IF(EQ243="","",#REF!+#REF!-EQ243)</f>
        <v/>
      </c>
      <c r="ES243" s="5"/>
      <c r="ET243" s="4"/>
      <c r="EU243" s="4" t="str">
        <f>IF(EM243="","",#REF!)</f>
        <v/>
      </c>
      <c r="EV243" s="5" t="str">
        <f t="shared" si="780"/>
        <v/>
      </c>
      <c r="EW243" s="36" t="str">
        <f t="shared" si="781"/>
        <v/>
      </c>
      <c r="EX243" s="29"/>
      <c r="EZ243" s="75" t="str">
        <f>IF($A243="","",$A243)</f>
        <v/>
      </c>
      <c r="FA243" s="5"/>
      <c r="FB243" s="5" t="str">
        <f>IF(FA243="","",FA243-#REF!)</f>
        <v/>
      </c>
      <c r="FC243" s="5"/>
      <c r="FD243" s="5" t="str">
        <f>IF(FC243="","",FC243-#REF!)</f>
        <v/>
      </c>
      <c r="FE243" s="5"/>
      <c r="FF243" s="5" t="str">
        <f>IF(FE243="","",#REF!+#REF!-FE243)</f>
        <v/>
      </c>
      <c r="FG243" s="5"/>
      <c r="FH243" s="4"/>
      <c r="FI243" s="4" t="str">
        <f>IF(FA243="","",#REF!)</f>
        <v/>
      </c>
      <c r="FJ243" s="5" t="str">
        <f t="shared" si="782"/>
        <v/>
      </c>
      <c r="FK243" s="36" t="str">
        <f t="shared" si="783"/>
        <v/>
      </c>
      <c r="FL243" s="29"/>
      <c r="FN243" s="75" t="str">
        <f>IF($A243="","",$A243)</f>
        <v/>
      </c>
      <c r="FO243" s="5"/>
      <c r="FP243" s="5" t="str">
        <f>IF(FO243="","",FO243-#REF!)</f>
        <v/>
      </c>
      <c r="FQ243" s="5"/>
      <c r="FR243" s="5" t="str">
        <f>IF(FQ243="","",FQ243-#REF!)</f>
        <v/>
      </c>
      <c r="FS243" s="5"/>
      <c r="FT243" s="5" t="str">
        <f>IF(FS243="","",#REF!+#REF!-FS243)</f>
        <v/>
      </c>
      <c r="FU243" s="5"/>
      <c r="FV243" s="4"/>
      <c r="FW243" s="4" t="str">
        <f>IF(FO243="","",#REF!)</f>
        <v/>
      </c>
      <c r="FX243" s="5" t="str">
        <f t="shared" si="784"/>
        <v/>
      </c>
      <c r="FY243" s="36" t="str">
        <f t="shared" si="785"/>
        <v/>
      </c>
      <c r="FZ243" s="29"/>
      <c r="GB243" s="75" t="str">
        <f>IF($A243="","",$A243)</f>
        <v/>
      </c>
      <c r="GC243" s="5"/>
      <c r="GD243" s="5" t="str">
        <f>IF(GC243="","",GC243-#REF!)</f>
        <v/>
      </c>
      <c r="GE243" s="5"/>
      <c r="GF243" s="5" t="str">
        <f>IF(GE243="","",GE243-#REF!)</f>
        <v/>
      </c>
      <c r="GG243" s="5"/>
      <c r="GH243" s="5" t="str">
        <f>IF(GG243="","",#REF!+#REF!-GG243)</f>
        <v/>
      </c>
      <c r="GI243" s="5"/>
      <c r="GJ243" s="4"/>
      <c r="GK243" s="4" t="str">
        <f>IF(GC243="","",#REF!)</f>
        <v/>
      </c>
      <c r="GL243" s="5" t="str">
        <f t="shared" si="786"/>
        <v/>
      </c>
      <c r="GM243" s="36" t="str">
        <f t="shared" si="787"/>
        <v/>
      </c>
      <c r="GN243" s="29"/>
      <c r="GP243" s="75" t="str">
        <f>IF($A243="","",$A243)</f>
        <v/>
      </c>
      <c r="GQ243" s="5"/>
      <c r="GR243" s="5" t="str">
        <f>IF(GQ243="","",GQ243-#REF!)</f>
        <v/>
      </c>
      <c r="GS243" s="5"/>
      <c r="GT243" s="5" t="str">
        <f>IF(GS243="","",GS243-#REF!)</f>
        <v/>
      </c>
      <c r="GU243" s="5"/>
      <c r="GV243" s="5" t="str">
        <f>IF(GU243="","",GU243-#REF!)</f>
        <v/>
      </c>
      <c r="GW243" s="5"/>
      <c r="GX243" s="5" t="str">
        <f>IF(GW243="","",#REF!+#REF!-GW243)</f>
        <v/>
      </c>
      <c r="GY243" s="5"/>
      <c r="GZ243" s="4"/>
      <c r="HA243" s="4" t="str">
        <f>IF(GQ243="","",#REF!)</f>
        <v/>
      </c>
      <c r="HB243" s="5" t="str">
        <f t="shared" si="788"/>
        <v/>
      </c>
      <c r="HC243" s="36" t="str">
        <f t="shared" si="789"/>
        <v/>
      </c>
      <c r="HD243" s="29"/>
      <c r="HF243" s="75" t="str">
        <f>IF($A243="","",$A243)</f>
        <v/>
      </c>
      <c r="HG243" s="5"/>
      <c r="HH243" s="5" t="str">
        <f>IF(HG243="","",HG243-#REF!)</f>
        <v/>
      </c>
      <c r="HI243" s="5"/>
      <c r="HJ243" s="29"/>
      <c r="HL243" s="75" t="str">
        <f>IF($A243="","",$A243)</f>
        <v/>
      </c>
      <c r="HM243" s="5"/>
      <c r="HN243" s="5" t="str">
        <f>IF(HM243="","",HM243-#REF!)</f>
        <v/>
      </c>
      <c r="HO243" s="5"/>
      <c r="HP243" s="29"/>
      <c r="HR243" s="75" t="str">
        <f>IF($A243="","",$A243)</f>
        <v/>
      </c>
      <c r="HS243" s="5"/>
      <c r="HT243" s="5" t="str">
        <f>IF(HS243="","",HS243-#REF!)</f>
        <v/>
      </c>
      <c r="HU243" s="5"/>
      <c r="HV243" s="29"/>
    </row>
    <row r="244" spans="1:230" ht="15" customHeight="1" thickBot="1" x14ac:dyDescent="0.25">
      <c r="A244" s="60"/>
      <c r="B244" s="73"/>
      <c r="C244" s="43">
        <v>22158</v>
      </c>
      <c r="D244" s="61">
        <f>IF(C244="","",C244-C240)</f>
        <v>14</v>
      </c>
      <c r="E244" s="44">
        <v>1145</v>
      </c>
      <c r="F244" s="44">
        <f>IF(E244="","",E244-E240)</f>
        <v>0</v>
      </c>
      <c r="G244" s="44">
        <v>11</v>
      </c>
      <c r="H244" s="44">
        <f>IF(G244="","",G240+I240-G244)</f>
        <v>0</v>
      </c>
      <c r="I244" s="62">
        <v>0</v>
      </c>
      <c r="J244" s="45" t="str">
        <f t="shared" si="790"/>
        <v>パステルケーキ</v>
      </c>
      <c r="K244" s="61">
        <f t="shared" si="790"/>
        <v>187</v>
      </c>
      <c r="L244" s="44">
        <f>IF(G244="","",H244*K244)</f>
        <v>0</v>
      </c>
      <c r="M244" s="46">
        <f>IF(H244="","",L244/(D244*100))</f>
        <v>0</v>
      </c>
      <c r="N244" s="29"/>
      <c r="P244" s="60"/>
      <c r="Q244" s="43">
        <v>8742</v>
      </c>
      <c r="R244" s="61">
        <f>IF(Q244="","",Q244-Q240)</f>
        <v>0</v>
      </c>
      <c r="S244" s="44">
        <v>205</v>
      </c>
      <c r="T244" s="44">
        <f>IF(S244="","",S244-S240)</f>
        <v>0</v>
      </c>
      <c r="U244" s="44">
        <v>22</v>
      </c>
      <c r="V244" s="44">
        <f>IF(U244="","",U240+W240-U244)</f>
        <v>0</v>
      </c>
      <c r="W244" s="62"/>
      <c r="X244" s="45" t="str">
        <f t="shared" si="791"/>
        <v>ラフブキーホルダー</v>
      </c>
      <c r="Y244" s="61">
        <f t="shared" si="791"/>
        <v>350</v>
      </c>
      <c r="Z244" s="44">
        <f>IF(U244="","",V244*Y244)</f>
        <v>0</v>
      </c>
      <c r="AA244" s="46" t="e">
        <f>IF(V244="","",Z244/(R244*100))</f>
        <v>#DIV/0!</v>
      </c>
      <c r="AB244" s="29"/>
      <c r="AD244" s="60"/>
      <c r="AE244" s="44">
        <v>382</v>
      </c>
      <c r="AF244" s="61">
        <f>IF(AE244="","",AE244-AE240)</f>
        <v>27</v>
      </c>
      <c r="AG244" s="44">
        <v>10</v>
      </c>
      <c r="AH244" s="44">
        <f>IF(AG244="","",AG244-AG240)</f>
        <v>2</v>
      </c>
      <c r="AI244" s="44">
        <v>86</v>
      </c>
      <c r="AJ244" s="44">
        <f>IF(AI244="","",AI240+AK240-AI244)</f>
        <v>2</v>
      </c>
      <c r="AK244" s="62">
        <v>0</v>
      </c>
      <c r="AL244" s="45" t="str">
        <f>IF(AE244="","",AL240)</f>
        <v>キティボールペン</v>
      </c>
      <c r="AM244" s="61">
        <f>IF(AF244="","",AM240)</f>
        <v>283</v>
      </c>
      <c r="AN244" s="44">
        <f>IF(AI244="","",AJ244*AM244)</f>
        <v>566</v>
      </c>
      <c r="AO244" s="46">
        <f>IF(AJ244="","",AN244/(AF244*100))</f>
        <v>0.20962962962962964</v>
      </c>
      <c r="AP244" s="29"/>
      <c r="AR244" s="60"/>
      <c r="AS244" s="44">
        <v>340</v>
      </c>
      <c r="AT244" s="61">
        <f>IF(AS244="","",AS244-AS240)</f>
        <v>18</v>
      </c>
      <c r="AU244" s="44">
        <v>5</v>
      </c>
      <c r="AV244" s="44">
        <f>IF(AU244="","",AU244-AU240)</f>
        <v>2</v>
      </c>
      <c r="AW244" s="44">
        <v>14</v>
      </c>
      <c r="AX244" s="44">
        <f>IF(AW244="","",AW240+AY240-AW244)</f>
        <v>3</v>
      </c>
      <c r="AY244" s="62">
        <v>5</v>
      </c>
      <c r="AZ244" s="45" t="str">
        <f t="shared" si="792"/>
        <v>しばこ</v>
      </c>
      <c r="BA244" s="61">
        <f t="shared" si="792"/>
        <v>110</v>
      </c>
      <c r="BB244" s="44">
        <f>IF(AW244="","",AX244*BA244)</f>
        <v>330</v>
      </c>
      <c r="BC244" s="46">
        <f>IF(AX244="","",BB244/(AT244*100))</f>
        <v>0.18333333333333332</v>
      </c>
      <c r="BD244" s="29"/>
      <c r="BE244" s="32"/>
      <c r="BF244" s="41"/>
      <c r="BG244" s="44">
        <v>2685</v>
      </c>
      <c r="BH244" s="44">
        <f t="shared" si="765"/>
        <v>110</v>
      </c>
      <c r="BI244" s="44">
        <v>25</v>
      </c>
      <c r="BJ244" s="44">
        <f t="shared" si="766"/>
        <v>0</v>
      </c>
      <c r="BK244" s="44">
        <v>3</v>
      </c>
      <c r="BL244" s="44">
        <f t="shared" si="756"/>
        <v>0</v>
      </c>
      <c r="BM244" s="44">
        <v>0</v>
      </c>
      <c r="BN244" s="45" t="str">
        <f>IF(BG242="","",BN240)</f>
        <v>ボンボンドロップシール</v>
      </c>
      <c r="BO244" s="61">
        <f>IF(BG241="","",BO240)</f>
        <v>1500</v>
      </c>
      <c r="BP244" s="44">
        <f t="shared" si="762"/>
        <v>0</v>
      </c>
      <c r="BQ244" s="46">
        <f>IF(BL244="","",BP244/(BH242*100))</f>
        <v>0</v>
      </c>
      <c r="BR244" s="29"/>
      <c r="BT244" s="41"/>
      <c r="BU244" s="44"/>
      <c r="BV244" s="44" t="str">
        <f t="shared" si="757"/>
        <v/>
      </c>
      <c r="BW244" s="44"/>
      <c r="BX244" s="44" t="str">
        <f t="shared" si="758"/>
        <v/>
      </c>
      <c r="BY244" s="44"/>
      <c r="BZ244" s="44"/>
      <c r="CA244" s="44"/>
      <c r="CB244" s="45"/>
      <c r="CC244" s="61"/>
      <c r="CD244" s="44"/>
      <c r="CE244" s="46"/>
      <c r="CF244" s="29"/>
      <c r="CH244" s="75" t="str">
        <f>IF($A244="","",$A244)</f>
        <v/>
      </c>
      <c r="CI244" s="5"/>
      <c r="CJ244" s="5" t="str">
        <f>IF(CI244="","",CI244-CI243)</f>
        <v/>
      </c>
      <c r="CK244" s="5"/>
      <c r="CL244" s="5" t="str">
        <f>IF(CK244="","",CK244-CK243)</f>
        <v/>
      </c>
      <c r="CM244" s="5"/>
      <c r="CN244" s="5" t="str">
        <f>IF(CM244="","",CM243+CO243-CM244)</f>
        <v/>
      </c>
      <c r="CO244" s="5"/>
      <c r="CP244" s="4"/>
      <c r="CQ244" s="4" t="str">
        <f>IF(CI244="","",CQ243)</f>
        <v/>
      </c>
      <c r="CR244" s="5" t="str">
        <f t="shared" si="772"/>
        <v/>
      </c>
      <c r="CS244" s="36" t="str">
        <f t="shared" si="773"/>
        <v/>
      </c>
      <c r="CT244" s="29"/>
      <c r="CV244" s="75" t="str">
        <f>IF($A244="","",$A244)</f>
        <v/>
      </c>
      <c r="CW244" s="5"/>
      <c r="CX244" s="5" t="str">
        <f>IF(CW244="","",CW244-CW243)</f>
        <v/>
      </c>
      <c r="CY244" s="5"/>
      <c r="CZ244" s="5" t="str">
        <f>IF(CY244="","",CY244-CY243)</f>
        <v/>
      </c>
      <c r="DA244" s="5"/>
      <c r="DB244" s="5" t="str">
        <f>IF(DA244="","",DA243+DC243-DA244)</f>
        <v/>
      </c>
      <c r="DC244" s="5"/>
      <c r="DD244" s="4"/>
      <c r="DE244" s="4" t="str">
        <f>IF(CW244="","",DE243)</f>
        <v/>
      </c>
      <c r="DF244" s="5" t="str">
        <f t="shared" si="774"/>
        <v/>
      </c>
      <c r="DG244" s="36" t="str">
        <f t="shared" si="775"/>
        <v/>
      </c>
      <c r="DH244" s="29"/>
      <c r="DJ244" s="75" t="str">
        <f>IF($A244="","",$A244)</f>
        <v/>
      </c>
      <c r="DK244" s="5"/>
      <c r="DL244" s="5" t="str">
        <f>IF(DK244="","",DK244-DK243)</f>
        <v/>
      </c>
      <c r="DM244" s="5"/>
      <c r="DN244" s="5" t="str">
        <f>IF(DM244="","",DM244-DM243)</f>
        <v/>
      </c>
      <c r="DO244" s="5"/>
      <c r="DP244" s="5" t="str">
        <f>IF(DO244="","",DO243+DQ243-DO244)</f>
        <v/>
      </c>
      <c r="DQ244" s="5"/>
      <c r="DR244" s="4"/>
      <c r="DS244" s="4" t="str">
        <f>IF(DK244="","",DS243)</f>
        <v/>
      </c>
      <c r="DT244" s="5" t="str">
        <f t="shared" si="776"/>
        <v/>
      </c>
      <c r="DU244" s="36" t="str">
        <f t="shared" si="777"/>
        <v/>
      </c>
      <c r="DV244" s="29"/>
      <c r="DX244" s="75" t="str">
        <f>IF($A244="","",$A244)</f>
        <v/>
      </c>
      <c r="DY244" s="5"/>
      <c r="DZ244" s="5" t="str">
        <f>IF(DY244="","",DY244-DY243)</f>
        <v/>
      </c>
      <c r="EA244" s="5"/>
      <c r="EB244" s="5" t="str">
        <f>IF(EA244="","",EA244-EA243)</f>
        <v/>
      </c>
      <c r="EC244" s="5"/>
      <c r="ED244" s="5" t="str">
        <f>IF(EC244="","",EC243+EE243-EC244)</f>
        <v/>
      </c>
      <c r="EE244" s="5"/>
      <c r="EF244" s="4"/>
      <c r="EG244" s="4" t="str">
        <f>IF(DY244="","",EG243)</f>
        <v/>
      </c>
      <c r="EH244" s="5" t="str">
        <f t="shared" si="778"/>
        <v/>
      </c>
      <c r="EI244" s="36" t="str">
        <f t="shared" si="779"/>
        <v/>
      </c>
      <c r="EJ244" s="29"/>
      <c r="EL244" s="75" t="str">
        <f>IF($A244="","",$A244)</f>
        <v/>
      </c>
      <c r="EM244" s="5"/>
      <c r="EN244" s="5" t="str">
        <f>IF(EM244="","",EM244-EM243)</f>
        <v/>
      </c>
      <c r="EO244" s="5"/>
      <c r="EP244" s="5" t="str">
        <f>IF(EO244="","",EO244-EO243)</f>
        <v/>
      </c>
      <c r="EQ244" s="5"/>
      <c r="ER244" s="5" t="str">
        <f>IF(EQ244="","",EQ243+ES243-EQ244)</f>
        <v/>
      </c>
      <c r="ES244" s="5"/>
      <c r="ET244" s="4"/>
      <c r="EU244" s="4" t="str">
        <f>IF(EM244="","",EU243)</f>
        <v/>
      </c>
      <c r="EV244" s="5" t="str">
        <f t="shared" si="780"/>
        <v/>
      </c>
      <c r="EW244" s="36" t="str">
        <f t="shared" si="781"/>
        <v/>
      </c>
      <c r="EX244" s="29"/>
      <c r="EZ244" s="75" t="str">
        <f>IF($A244="","",$A244)</f>
        <v/>
      </c>
      <c r="FA244" s="5"/>
      <c r="FB244" s="5" t="str">
        <f>IF(FA244="","",FA244-FA243)</f>
        <v/>
      </c>
      <c r="FC244" s="5"/>
      <c r="FD244" s="5" t="str">
        <f>IF(FC244="","",FC244-FC243)</f>
        <v/>
      </c>
      <c r="FE244" s="5"/>
      <c r="FF244" s="5" t="str">
        <f>IF(FE244="","",FE243+FG243-FE244)</f>
        <v/>
      </c>
      <c r="FG244" s="5"/>
      <c r="FH244" s="4"/>
      <c r="FI244" s="4" t="str">
        <f>IF(FA244="","",FI243)</f>
        <v/>
      </c>
      <c r="FJ244" s="5" t="str">
        <f t="shared" si="782"/>
        <v/>
      </c>
      <c r="FK244" s="36" t="str">
        <f t="shared" si="783"/>
        <v/>
      </c>
      <c r="FL244" s="29"/>
      <c r="FN244" s="75" t="str">
        <f>IF($A244="","",$A244)</f>
        <v/>
      </c>
      <c r="FO244" s="5"/>
      <c r="FP244" s="5" t="str">
        <f>IF(FO244="","",FO244-FO243)</f>
        <v/>
      </c>
      <c r="FQ244" s="5"/>
      <c r="FR244" s="5" t="str">
        <f>IF(FQ244="","",FQ244-FQ243)</f>
        <v/>
      </c>
      <c r="FS244" s="5"/>
      <c r="FT244" s="5" t="str">
        <f>IF(FS244="","",FS243+FU243-FS244)</f>
        <v/>
      </c>
      <c r="FU244" s="5"/>
      <c r="FV244" s="4"/>
      <c r="FW244" s="4" t="str">
        <f>IF(FO244="","",FW243)</f>
        <v/>
      </c>
      <c r="FX244" s="5" t="str">
        <f t="shared" si="784"/>
        <v/>
      </c>
      <c r="FY244" s="36" t="str">
        <f t="shared" si="785"/>
        <v/>
      </c>
      <c r="FZ244" s="29"/>
      <c r="GB244" s="75" t="str">
        <f>IF($A244="","",$A244)</f>
        <v/>
      </c>
      <c r="GC244" s="5"/>
      <c r="GD244" s="5" t="str">
        <f>IF(GC244="","",GC244-GC243)</f>
        <v/>
      </c>
      <c r="GE244" s="5"/>
      <c r="GF244" s="5" t="str">
        <f>IF(GE244="","",GE244-GE243)</f>
        <v/>
      </c>
      <c r="GG244" s="5"/>
      <c r="GH244" s="5" t="str">
        <f>IF(GG244="","",GG243+GI243-GG244)</f>
        <v/>
      </c>
      <c r="GI244" s="5"/>
      <c r="GJ244" s="4"/>
      <c r="GK244" s="4" t="str">
        <f>IF(GC244="","",GK243)</f>
        <v/>
      </c>
      <c r="GL244" s="5" t="str">
        <f t="shared" si="786"/>
        <v/>
      </c>
      <c r="GM244" s="36" t="str">
        <f t="shared" si="787"/>
        <v/>
      </c>
      <c r="GN244" s="29"/>
      <c r="GP244" s="75" t="str">
        <f>IF($A244="","",$A244)</f>
        <v/>
      </c>
      <c r="GQ244" s="5"/>
      <c r="GR244" s="5" t="str">
        <f>IF(GQ244="","",GQ244-GQ243)</f>
        <v/>
      </c>
      <c r="GS244" s="5"/>
      <c r="GT244" s="5" t="str">
        <f>IF(GS244="","",GS244-GS243)</f>
        <v/>
      </c>
      <c r="GU244" s="5"/>
      <c r="GV244" s="5" t="str">
        <f>IF(GU244="","",GU244-GU243)</f>
        <v/>
      </c>
      <c r="GW244" s="5"/>
      <c r="GX244" s="5" t="str">
        <f>IF(GW244="","",GW243+GY243-GW244)</f>
        <v/>
      </c>
      <c r="GY244" s="5"/>
      <c r="GZ244" s="4"/>
      <c r="HA244" s="4" t="str">
        <f>IF(GQ244="","",HA243)</f>
        <v/>
      </c>
      <c r="HB244" s="5" t="str">
        <f t="shared" si="788"/>
        <v/>
      </c>
      <c r="HC244" s="36" t="str">
        <f t="shared" si="789"/>
        <v/>
      </c>
      <c r="HD244" s="29"/>
      <c r="HF244" s="75" t="str">
        <f>IF($A244="","",$A244)</f>
        <v/>
      </c>
      <c r="HG244" s="5"/>
      <c r="HH244" s="5" t="str">
        <f>IF(HG244="","",HG244-HG243)</f>
        <v/>
      </c>
      <c r="HI244" s="5"/>
      <c r="HJ244" s="29"/>
      <c r="HL244" s="75" t="str">
        <f>IF($A244="","",$A244)</f>
        <v/>
      </c>
      <c r="HM244" s="5"/>
      <c r="HN244" s="5" t="str">
        <f>IF(HM244="","",HM244-HM243)</f>
        <v/>
      </c>
      <c r="HO244" s="5"/>
      <c r="HP244" s="29"/>
      <c r="HR244" s="75" t="str">
        <f>IF($A244="","",$A244)</f>
        <v/>
      </c>
      <c r="HS244" s="5"/>
      <c r="HT244" s="5" t="str">
        <f>IF(HS244="","",HS244-HS243)</f>
        <v/>
      </c>
      <c r="HU244" s="5"/>
      <c r="HV244" s="29"/>
    </row>
    <row r="245" spans="1:230" ht="15" customHeight="1" thickTop="1" x14ac:dyDescent="0.2">
      <c r="A245" s="49">
        <v>46094</v>
      </c>
      <c r="B245" s="26">
        <f>SUM(D245:D248)+SUM(R245:R248)+SUM(AF245:AF248)+SUM(AT245:AT248)+SUM(CJ230,CX230,DL230,DZ230,EN230,FB230,FP230,GD230,GR230,HH230,HN230,HT230)+SUM(BH245:BH248)+SUM(BV245:BV246)</f>
        <v>1171</v>
      </c>
      <c r="C245" s="4">
        <v>13110</v>
      </c>
      <c r="D245" s="4">
        <f t="shared" si="731"/>
        <v>14</v>
      </c>
      <c r="E245" s="4">
        <v>337</v>
      </c>
      <c r="F245" s="50">
        <f t="shared" si="732"/>
        <v>0</v>
      </c>
      <c r="G245" s="4">
        <v>13</v>
      </c>
      <c r="H245" s="4">
        <f t="shared" si="733"/>
        <v>0</v>
      </c>
      <c r="I245" s="51"/>
      <c r="J245" s="31" t="str">
        <f t="shared" ref="J245:K256" si="794">IF(C245="","",J241)</f>
        <v>ジャグラーボタン</v>
      </c>
      <c r="K245" s="39">
        <f t="shared" si="794"/>
        <v>748</v>
      </c>
      <c r="L245" s="50">
        <f t="shared" si="734"/>
        <v>0</v>
      </c>
      <c r="M245" s="52">
        <f t="shared" si="735"/>
        <v>0</v>
      </c>
      <c r="N245" s="29"/>
      <c r="P245" s="53">
        <f>IF($A245="","",$A245)</f>
        <v>46094</v>
      </c>
      <c r="Q245" s="4">
        <v>3266</v>
      </c>
      <c r="R245" s="4">
        <f t="shared" si="736"/>
        <v>81</v>
      </c>
      <c r="S245" s="4">
        <v>177</v>
      </c>
      <c r="T245" s="50">
        <f t="shared" si="737"/>
        <v>0</v>
      </c>
      <c r="U245" s="4">
        <v>5</v>
      </c>
      <c r="V245" s="4">
        <f t="shared" si="767"/>
        <v>4</v>
      </c>
      <c r="W245" s="51"/>
      <c r="X245" s="31" t="str">
        <f t="shared" si="739"/>
        <v>サンリオボアバンスクリップ</v>
      </c>
      <c r="Y245" s="39">
        <f t="shared" si="771"/>
        <v>660</v>
      </c>
      <c r="Z245" s="50">
        <f t="shared" si="740"/>
        <v>2640</v>
      </c>
      <c r="AA245" s="52">
        <f t="shared" si="741"/>
        <v>0.32592592592592595</v>
      </c>
      <c r="AB245" s="29"/>
      <c r="AD245" s="53">
        <f>IF($A245="","",$A245)</f>
        <v>46094</v>
      </c>
      <c r="AE245" s="4">
        <v>1352</v>
      </c>
      <c r="AF245" s="4">
        <f t="shared" si="742"/>
        <v>23</v>
      </c>
      <c r="AG245" s="4">
        <v>3</v>
      </c>
      <c r="AH245" s="50">
        <f t="shared" si="743"/>
        <v>0</v>
      </c>
      <c r="AI245" s="4">
        <v>19</v>
      </c>
      <c r="AJ245" s="4">
        <f t="shared" si="768"/>
        <v>0</v>
      </c>
      <c r="AK245" s="51">
        <v>0</v>
      </c>
      <c r="AL245" s="31" t="str">
        <f t="shared" si="755"/>
        <v>モンチッチがま口</v>
      </c>
      <c r="AM245" s="39">
        <f t="shared" si="744"/>
        <v>462</v>
      </c>
      <c r="AN245" s="50">
        <f t="shared" si="745"/>
        <v>0</v>
      </c>
      <c r="AO245" s="52">
        <f t="shared" si="746"/>
        <v>0</v>
      </c>
      <c r="AP245" s="29"/>
      <c r="AR245" s="53">
        <f>IF($A245="","",$A245)</f>
        <v>46094</v>
      </c>
      <c r="AS245" s="4">
        <v>724</v>
      </c>
      <c r="AT245" s="4">
        <f t="shared" si="747"/>
        <v>11</v>
      </c>
      <c r="AU245" s="4">
        <v>16</v>
      </c>
      <c r="AV245" s="50">
        <f t="shared" si="748"/>
        <v>0</v>
      </c>
      <c r="AW245" s="4">
        <v>10</v>
      </c>
      <c r="AX245" s="4">
        <f t="shared" si="769"/>
        <v>0</v>
      </c>
      <c r="AY245" s="51">
        <v>0</v>
      </c>
      <c r="AZ245" s="31" t="str">
        <f t="shared" si="749"/>
        <v>デジタルミニカメラ</v>
      </c>
      <c r="BA245" s="39">
        <f t="shared" si="750"/>
        <v>1075</v>
      </c>
      <c r="BB245" s="50">
        <f t="shared" si="751"/>
        <v>0</v>
      </c>
      <c r="BC245" s="52">
        <f t="shared" si="752"/>
        <v>0</v>
      </c>
      <c r="BD245" s="29"/>
      <c r="BE245" s="32"/>
      <c r="BF245" s="33">
        <f>IF($A245="","",$A245)</f>
        <v>46094</v>
      </c>
      <c r="BG245" s="4">
        <v>1971</v>
      </c>
      <c r="BH245" s="68">
        <f t="shared" si="765"/>
        <v>1</v>
      </c>
      <c r="BI245" s="4">
        <v>12</v>
      </c>
      <c r="BJ245" s="50">
        <f t="shared" si="766"/>
        <v>0</v>
      </c>
      <c r="BK245" s="4">
        <v>2</v>
      </c>
      <c r="BL245" s="4">
        <f t="shared" si="756"/>
        <v>1</v>
      </c>
      <c r="BM245" s="4">
        <v>1</v>
      </c>
      <c r="BN245" s="2" t="str">
        <f>IF(BG245="","",BN241)</f>
        <v>ボンボンドロップシール</v>
      </c>
      <c r="BO245" s="27">
        <f>IF(BG245="","",BO241)</f>
        <v>1500</v>
      </c>
      <c r="BP245" s="5">
        <f t="shared" si="762"/>
        <v>1500</v>
      </c>
      <c r="BQ245" s="52">
        <f>IF(BL245="","",BP245/(BH245*100))</f>
        <v>15</v>
      </c>
      <c r="BR245" s="29"/>
      <c r="BT245" s="33">
        <f>IF($A245="","",$A245)</f>
        <v>46094</v>
      </c>
      <c r="BU245" s="4">
        <v>35051</v>
      </c>
      <c r="BV245" s="4">
        <f t="shared" si="757"/>
        <v>23</v>
      </c>
      <c r="BW245" s="4">
        <v>3813</v>
      </c>
      <c r="BX245" s="50">
        <f t="shared" si="758"/>
        <v>1</v>
      </c>
      <c r="BY245" s="4">
        <v>39</v>
      </c>
      <c r="BZ245" s="4">
        <f t="shared" si="763"/>
        <v>1</v>
      </c>
      <c r="CA245" s="4"/>
      <c r="CB245" s="2" t="str">
        <f>IF(BU245="","",CB241)</f>
        <v>ベイビースリーフェイス</v>
      </c>
      <c r="CC245" s="27">
        <f>IF(BU245="","",CC241)</f>
        <v>1050</v>
      </c>
      <c r="CD245" s="5">
        <f t="shared" ref="CD245:CD246" si="795">IF(BY245="","",BZ245*CC245)</f>
        <v>1050</v>
      </c>
      <c r="CE245" s="52">
        <f>IF(BZ245="","",CD245/(BV245*100))</f>
        <v>0.45652173913043476</v>
      </c>
      <c r="CF245" s="29"/>
      <c r="CH245" s="75"/>
      <c r="CI245" s="5"/>
      <c r="CJ245" s="5" t="str">
        <f>IF(CI245="","",CI245-CI244)</f>
        <v/>
      </c>
      <c r="CK245" s="5"/>
      <c r="CL245" s="5" t="str">
        <f>IF(CK245="","",CK245-CK244)</f>
        <v/>
      </c>
      <c r="CM245" s="5"/>
      <c r="CN245" s="5" t="str">
        <f>IF(CM245="","",CM244+CO244-CM245)</f>
        <v/>
      </c>
      <c r="CO245" s="5"/>
      <c r="CP245" s="4"/>
      <c r="CQ245" s="4" t="str">
        <f>IF(CI245="","",CQ244)</f>
        <v/>
      </c>
      <c r="CR245" s="5" t="str">
        <f t="shared" si="772"/>
        <v/>
      </c>
      <c r="CS245" s="36" t="str">
        <f t="shared" si="773"/>
        <v/>
      </c>
      <c r="CT245" s="29"/>
      <c r="CV245" s="75"/>
      <c r="CW245" s="5"/>
      <c r="CX245" s="5" t="str">
        <f>IF(CW245="","",CW245-CW244)</f>
        <v/>
      </c>
      <c r="CY245" s="5"/>
      <c r="CZ245" s="5" t="str">
        <f>IF(CY245="","",CY245-CY244)</f>
        <v/>
      </c>
      <c r="DA245" s="5"/>
      <c r="DB245" s="5" t="str">
        <f>IF(DA245="","",DA244+DC244-DA245)</f>
        <v/>
      </c>
      <c r="DC245" s="5"/>
      <c r="DD245" s="4"/>
      <c r="DE245" s="4" t="str">
        <f>IF(CW245="","",DE244)</f>
        <v/>
      </c>
      <c r="DF245" s="5" t="str">
        <f t="shared" si="774"/>
        <v/>
      </c>
      <c r="DG245" s="36" t="str">
        <f t="shared" si="775"/>
        <v/>
      </c>
      <c r="DH245" s="29"/>
      <c r="DJ245" s="75"/>
      <c r="DK245" s="5"/>
      <c r="DL245" s="5" t="str">
        <f>IF(DK245="","",DK245-DK244)</f>
        <v/>
      </c>
      <c r="DM245" s="5"/>
      <c r="DN245" s="5" t="str">
        <f>IF(DM245="","",DM245-DM244)</f>
        <v/>
      </c>
      <c r="DO245" s="5"/>
      <c r="DP245" s="5" t="str">
        <f>IF(DO245="","",DO244+DQ244-DO245)</f>
        <v/>
      </c>
      <c r="DQ245" s="5"/>
      <c r="DR245" s="4"/>
      <c r="DS245" s="4" t="str">
        <f>IF(DK245="","",DS244)</f>
        <v/>
      </c>
      <c r="DT245" s="5" t="str">
        <f t="shared" si="776"/>
        <v/>
      </c>
      <c r="DU245" s="36" t="str">
        <f t="shared" si="777"/>
        <v/>
      </c>
      <c r="DV245" s="29"/>
      <c r="DX245" s="75"/>
      <c r="DY245" s="5"/>
      <c r="DZ245" s="5" t="str">
        <f>IF(DY245="","",DY245-DY244)</f>
        <v/>
      </c>
      <c r="EA245" s="5"/>
      <c r="EB245" s="5" t="str">
        <f>IF(EA245="","",EA245-EA244)</f>
        <v/>
      </c>
      <c r="EC245" s="5"/>
      <c r="ED245" s="5" t="str">
        <f>IF(EC245="","",EC244+EE244-EC245)</f>
        <v/>
      </c>
      <c r="EE245" s="5"/>
      <c r="EF245" s="4"/>
      <c r="EG245" s="4" t="str">
        <f>IF(DY245="","",EG244)</f>
        <v/>
      </c>
      <c r="EH245" s="5" t="str">
        <f t="shared" si="778"/>
        <v/>
      </c>
      <c r="EI245" s="36" t="str">
        <f t="shared" si="779"/>
        <v/>
      </c>
      <c r="EJ245" s="29"/>
      <c r="EL245" s="75"/>
      <c r="EM245" s="5"/>
      <c r="EN245" s="5" t="str">
        <f>IF(EM245="","",EM245-EM244)</f>
        <v/>
      </c>
      <c r="EO245" s="5"/>
      <c r="EP245" s="5" t="str">
        <f>IF(EO245="","",EO245-EO244)</f>
        <v/>
      </c>
      <c r="EQ245" s="5"/>
      <c r="ER245" s="5" t="str">
        <f>IF(EQ245="","",EQ244+ES244-EQ245)</f>
        <v/>
      </c>
      <c r="ES245" s="5"/>
      <c r="ET245" s="4"/>
      <c r="EU245" s="4" t="str">
        <f>IF(EM245="","",EU244)</f>
        <v/>
      </c>
      <c r="EV245" s="5" t="str">
        <f t="shared" si="780"/>
        <v/>
      </c>
      <c r="EW245" s="36" t="str">
        <f t="shared" si="781"/>
        <v/>
      </c>
      <c r="EX245" s="29"/>
      <c r="EZ245" s="75"/>
      <c r="FA245" s="5"/>
      <c r="FB245" s="5" t="str">
        <f>IF(FA245="","",FA245-FA244)</f>
        <v/>
      </c>
      <c r="FC245" s="5"/>
      <c r="FD245" s="5" t="str">
        <f>IF(FC245="","",FC245-FC244)</f>
        <v/>
      </c>
      <c r="FE245" s="5"/>
      <c r="FF245" s="5" t="str">
        <f>IF(FE245="","",FE244+FG244-FE245)</f>
        <v/>
      </c>
      <c r="FG245" s="5"/>
      <c r="FH245" s="4"/>
      <c r="FI245" s="4" t="str">
        <f>IF(FA245="","",FI244)</f>
        <v/>
      </c>
      <c r="FJ245" s="5" t="str">
        <f t="shared" si="782"/>
        <v/>
      </c>
      <c r="FK245" s="36" t="str">
        <f t="shared" si="783"/>
        <v/>
      </c>
      <c r="FL245" s="29"/>
      <c r="FN245" s="75"/>
      <c r="FO245" s="5"/>
      <c r="FP245" s="5" t="str">
        <f>IF(FO245="","",FO245-FO244)</f>
        <v/>
      </c>
      <c r="FQ245" s="5"/>
      <c r="FR245" s="5" t="str">
        <f>IF(FQ245="","",FQ245-FQ244)</f>
        <v/>
      </c>
      <c r="FS245" s="5"/>
      <c r="FT245" s="5" t="str">
        <f>IF(FS245="","",FS244+FU244-FS245)</f>
        <v/>
      </c>
      <c r="FU245" s="5"/>
      <c r="FV245" s="4"/>
      <c r="FW245" s="4" t="str">
        <f>IF(FO245="","",FW244)</f>
        <v/>
      </c>
      <c r="FX245" s="5" t="str">
        <f t="shared" si="784"/>
        <v/>
      </c>
      <c r="FY245" s="36" t="str">
        <f t="shared" si="785"/>
        <v/>
      </c>
      <c r="FZ245" s="29"/>
      <c r="GB245" s="75"/>
      <c r="GC245" s="5"/>
      <c r="GD245" s="5" t="str">
        <f>IF(GC245="","",GC245-GC244)</f>
        <v/>
      </c>
      <c r="GE245" s="5"/>
      <c r="GF245" s="5" t="str">
        <f>IF(GE245="","",GE245-GE244)</f>
        <v/>
      </c>
      <c r="GG245" s="5"/>
      <c r="GH245" s="5" t="str">
        <f>IF(GG245="","",GG244+GI244-GG245)</f>
        <v/>
      </c>
      <c r="GI245" s="5"/>
      <c r="GJ245" s="4"/>
      <c r="GK245" s="4" t="str">
        <f>IF(GC245="","",GK244)</f>
        <v/>
      </c>
      <c r="GL245" s="5" t="str">
        <f t="shared" si="786"/>
        <v/>
      </c>
      <c r="GM245" s="36" t="str">
        <f t="shared" si="787"/>
        <v/>
      </c>
      <c r="GN245" s="29"/>
      <c r="GP245" s="75"/>
      <c r="GQ245" s="5"/>
      <c r="GR245" s="5" t="str">
        <f>IF(GQ245="","",GQ245-GQ244)</f>
        <v/>
      </c>
      <c r="GS245" s="5"/>
      <c r="GT245" s="5" t="str">
        <f>IF(GS245="","",GS245-GS244)</f>
        <v/>
      </c>
      <c r="GU245" s="5"/>
      <c r="GV245" s="5" t="str">
        <f>IF(GU245="","",GU245-GU244)</f>
        <v/>
      </c>
      <c r="GW245" s="5"/>
      <c r="GX245" s="5" t="str">
        <f>IF(GW245="","",GW244+GY244-GW245)</f>
        <v/>
      </c>
      <c r="GY245" s="5"/>
      <c r="GZ245" s="4"/>
      <c r="HA245" s="4" t="str">
        <f>IF(GQ245="","",HA244)</f>
        <v/>
      </c>
      <c r="HB245" s="5" t="str">
        <f t="shared" si="788"/>
        <v/>
      </c>
      <c r="HC245" s="36" t="str">
        <f t="shared" si="789"/>
        <v/>
      </c>
      <c r="HD245" s="29"/>
      <c r="HF245" s="75"/>
      <c r="HG245" s="5"/>
      <c r="HH245" s="5" t="str">
        <f>IF(HG245="","",HG245-HG244)</f>
        <v/>
      </c>
      <c r="HI245" s="5"/>
      <c r="HJ245" s="29"/>
      <c r="HL245" s="75"/>
      <c r="HM245" s="5"/>
      <c r="HN245" s="5" t="str">
        <f>IF(HM245="","",HM245-HM244)</f>
        <v/>
      </c>
      <c r="HO245" s="5"/>
      <c r="HP245" s="29"/>
      <c r="HR245" s="75"/>
      <c r="HS245" s="5"/>
      <c r="HT245" s="5" t="str">
        <f>IF(HS245="","",HS245-HS244)</f>
        <v/>
      </c>
      <c r="HU245" s="5"/>
      <c r="HV245" s="29"/>
    </row>
    <row r="246" spans="1:230" ht="15" customHeight="1" x14ac:dyDescent="0.2">
      <c r="A246" s="54"/>
      <c r="B246" s="37"/>
      <c r="C246" s="5">
        <v>16579</v>
      </c>
      <c r="D246" s="48">
        <f t="shared" si="731"/>
        <v>1</v>
      </c>
      <c r="E246" s="5">
        <v>514</v>
      </c>
      <c r="F246" s="5">
        <f t="shared" si="732"/>
        <v>0</v>
      </c>
      <c r="G246" s="5">
        <v>35</v>
      </c>
      <c r="H246" s="5">
        <f t="shared" si="733"/>
        <v>0</v>
      </c>
      <c r="I246" s="35">
        <v>-15</v>
      </c>
      <c r="J246" s="3" t="str">
        <f t="shared" si="794"/>
        <v>番長ボタン</v>
      </c>
      <c r="K246" s="39">
        <f t="shared" si="794"/>
        <v>358</v>
      </c>
      <c r="L246" s="5">
        <f t="shared" si="734"/>
        <v>0</v>
      </c>
      <c r="M246" s="36">
        <f t="shared" si="735"/>
        <v>0</v>
      </c>
      <c r="N246" s="29" t="s">
        <v>134</v>
      </c>
      <c r="P246" s="54"/>
      <c r="Q246" s="5">
        <v>10109</v>
      </c>
      <c r="R246" s="5">
        <f t="shared" si="736"/>
        <v>18</v>
      </c>
      <c r="S246" s="5">
        <v>170</v>
      </c>
      <c r="T246" s="5">
        <f t="shared" si="737"/>
        <v>1</v>
      </c>
      <c r="U246" s="5">
        <v>3</v>
      </c>
      <c r="V246" s="5">
        <f t="shared" si="767"/>
        <v>5</v>
      </c>
      <c r="W246" s="35">
        <v>8</v>
      </c>
      <c r="X246" s="3" t="str">
        <f t="shared" si="739"/>
        <v>サンリオフェイスポーチ</v>
      </c>
      <c r="Y246" s="39">
        <f t="shared" si="771"/>
        <v>825</v>
      </c>
      <c r="Z246" s="5">
        <f t="shared" si="740"/>
        <v>4125</v>
      </c>
      <c r="AA246" s="36">
        <f t="shared" si="741"/>
        <v>2.2916666666666665</v>
      </c>
      <c r="AB246" s="29" t="s">
        <v>136</v>
      </c>
      <c r="AD246" s="54"/>
      <c r="AE246" s="5">
        <v>739</v>
      </c>
      <c r="AF246" s="5">
        <f t="shared" si="742"/>
        <v>52</v>
      </c>
      <c r="AG246" s="5">
        <v>4</v>
      </c>
      <c r="AH246" s="5">
        <f t="shared" si="743"/>
        <v>1</v>
      </c>
      <c r="AI246" s="5">
        <v>7</v>
      </c>
      <c r="AJ246" s="5">
        <f t="shared" si="768"/>
        <v>2</v>
      </c>
      <c r="AK246" s="35">
        <v>2</v>
      </c>
      <c r="AL246" s="3" t="str">
        <f t="shared" si="755"/>
        <v>バタースクイーズ</v>
      </c>
      <c r="AM246" s="39">
        <f t="shared" si="744"/>
        <v>1100</v>
      </c>
      <c r="AN246" s="5">
        <f t="shared" si="745"/>
        <v>2200</v>
      </c>
      <c r="AO246" s="36">
        <f t="shared" si="746"/>
        <v>0.42307692307692307</v>
      </c>
      <c r="AP246" s="29"/>
      <c r="AR246" s="54"/>
      <c r="AS246" s="5">
        <v>746</v>
      </c>
      <c r="AT246" s="5">
        <f t="shared" si="747"/>
        <v>86</v>
      </c>
      <c r="AU246" s="5">
        <v>996</v>
      </c>
      <c r="AV246" s="5">
        <f t="shared" si="748"/>
        <v>0</v>
      </c>
      <c r="AW246" s="5">
        <v>17</v>
      </c>
      <c r="AX246" s="5">
        <f t="shared" si="769"/>
        <v>0</v>
      </c>
      <c r="AY246" s="35">
        <v>0</v>
      </c>
      <c r="AZ246" s="3" t="str">
        <f t="shared" si="749"/>
        <v>ゲーム機イヤホン</v>
      </c>
      <c r="BA246" s="39">
        <f t="shared" si="750"/>
        <v>770</v>
      </c>
      <c r="BB246" s="5">
        <f t="shared" si="751"/>
        <v>0</v>
      </c>
      <c r="BC246" s="36">
        <f t="shared" si="752"/>
        <v>0</v>
      </c>
      <c r="BD246" s="29"/>
      <c r="BE246" s="32"/>
      <c r="BF246" s="25"/>
      <c r="BG246" s="5">
        <v>3220</v>
      </c>
      <c r="BH246" s="5">
        <f t="shared" si="765"/>
        <v>92</v>
      </c>
      <c r="BI246" s="5">
        <v>20</v>
      </c>
      <c r="BJ246" s="5">
        <f t="shared" si="766"/>
        <v>0</v>
      </c>
      <c r="BK246" s="5">
        <v>2</v>
      </c>
      <c r="BL246" s="5">
        <f t="shared" si="756"/>
        <v>1</v>
      </c>
      <c r="BM246" s="4">
        <v>1</v>
      </c>
      <c r="BN246" s="3" t="str">
        <f>IF(BG246="","",BN242)</f>
        <v>ボンボンドロップシール</v>
      </c>
      <c r="BO246" s="39">
        <f>IF(BG245="","",BO242)</f>
        <v>1500</v>
      </c>
      <c r="BP246" s="4">
        <f t="shared" si="762"/>
        <v>1500</v>
      </c>
      <c r="BQ246" s="36">
        <f>IF(BL246="","",BP246/(BH246*100))</f>
        <v>0.16304347826086957</v>
      </c>
      <c r="BR246" s="29"/>
      <c r="BT246" s="25"/>
      <c r="BU246" s="5">
        <v>31120</v>
      </c>
      <c r="BV246" s="5">
        <f t="shared" si="757"/>
        <v>11</v>
      </c>
      <c r="BW246" s="5">
        <v>1665</v>
      </c>
      <c r="BX246" s="5">
        <f t="shared" si="758"/>
        <v>0</v>
      </c>
      <c r="BY246" s="5">
        <v>45</v>
      </c>
      <c r="BZ246" s="5">
        <f t="shared" si="763"/>
        <v>0</v>
      </c>
      <c r="CA246" s="4"/>
      <c r="CB246" s="3" t="str">
        <f>IF(BU246="","",CB242)</f>
        <v>サンリオボアポーチ</v>
      </c>
      <c r="CC246" s="39">
        <f>IF(BU245="","",CC242)</f>
        <v>950</v>
      </c>
      <c r="CD246" s="4">
        <f t="shared" si="795"/>
        <v>0</v>
      </c>
      <c r="CE246" s="36">
        <f>IF(BZ246="","",CD246/(BV246*100))</f>
        <v>0</v>
      </c>
      <c r="CF246" s="29"/>
      <c r="CH246" s="14"/>
      <c r="CI246" s="39"/>
      <c r="CJ246" s="5" t="str">
        <f>IF(CI246="","",CI246-CI245)</f>
        <v/>
      </c>
      <c r="CK246" s="5"/>
      <c r="CL246" s="5" t="str">
        <f>IF(CK246="","",CK246-CK245)</f>
        <v/>
      </c>
      <c r="CM246" s="5"/>
      <c r="CN246" s="5" t="str">
        <f>IF(CM246="","",CM245+CO245-CM246)</f>
        <v/>
      </c>
      <c r="CO246" s="5"/>
      <c r="CP246" s="5"/>
      <c r="CQ246" s="5"/>
      <c r="CR246" s="5" t="str">
        <f t="shared" si="772"/>
        <v/>
      </c>
      <c r="CS246" s="36" t="str">
        <f t="shared" si="773"/>
        <v/>
      </c>
      <c r="CT246" s="29"/>
      <c r="CV246" s="14"/>
      <c r="CW246" s="39"/>
      <c r="CX246" s="5" t="str">
        <f>IF(CW246="","",CW246-CW245)</f>
        <v/>
      </c>
      <c r="CY246" s="5"/>
      <c r="CZ246" s="5" t="str">
        <f>IF(CY246="","",CY246-CY245)</f>
        <v/>
      </c>
      <c r="DA246" s="5"/>
      <c r="DB246" s="5" t="str">
        <f>IF(DA246="","",DA245+DC245-DA246)</f>
        <v/>
      </c>
      <c r="DC246" s="5"/>
      <c r="DD246" s="5"/>
      <c r="DE246" s="5"/>
      <c r="DF246" s="5" t="str">
        <f t="shared" si="774"/>
        <v/>
      </c>
      <c r="DG246" s="36" t="str">
        <f t="shared" si="775"/>
        <v/>
      </c>
      <c r="DH246" s="29"/>
      <c r="DJ246" s="14"/>
      <c r="DK246" s="39"/>
      <c r="DL246" s="5" t="str">
        <f>IF(DK246="","",DK246-DK245)</f>
        <v/>
      </c>
      <c r="DM246" s="5"/>
      <c r="DN246" s="5" t="str">
        <f>IF(DM246="","",DM246-DM245)</f>
        <v/>
      </c>
      <c r="DO246" s="5"/>
      <c r="DP246" s="5" t="str">
        <f>IF(DO246="","",DO245+DQ245-DO246)</f>
        <v/>
      </c>
      <c r="DQ246" s="5"/>
      <c r="DR246" s="5"/>
      <c r="DS246" s="5"/>
      <c r="DT246" s="5" t="str">
        <f t="shared" si="776"/>
        <v/>
      </c>
      <c r="DU246" s="36" t="str">
        <f t="shared" si="777"/>
        <v/>
      </c>
      <c r="DV246" s="29"/>
      <c r="DX246" s="14"/>
      <c r="DY246" s="39"/>
      <c r="DZ246" s="5" t="str">
        <f>IF(DY246="","",DY246-DY245)</f>
        <v/>
      </c>
      <c r="EA246" s="5"/>
      <c r="EB246" s="5" t="str">
        <f>IF(EA246="","",EA246-EA245)</f>
        <v/>
      </c>
      <c r="EC246" s="5"/>
      <c r="ED246" s="5" t="str">
        <f>IF(EC246="","",EC245+EE245-EC246)</f>
        <v/>
      </c>
      <c r="EE246" s="5"/>
      <c r="EF246" s="5"/>
      <c r="EG246" s="5"/>
      <c r="EH246" s="5" t="str">
        <f t="shared" si="778"/>
        <v/>
      </c>
      <c r="EI246" s="36" t="str">
        <f t="shared" si="779"/>
        <v/>
      </c>
      <c r="EJ246" s="29"/>
      <c r="EL246" s="14"/>
      <c r="EM246" s="39"/>
      <c r="EN246" s="5" t="str">
        <f>IF(EM246="","",EM246-EM245)</f>
        <v/>
      </c>
      <c r="EO246" s="5"/>
      <c r="EP246" s="5" t="str">
        <f>IF(EO246="","",EO246-EO245)</f>
        <v/>
      </c>
      <c r="EQ246" s="5"/>
      <c r="ER246" s="5" t="str">
        <f>IF(EQ246="","",EQ245+ES245-EQ246)</f>
        <v/>
      </c>
      <c r="ES246" s="5"/>
      <c r="ET246" s="5"/>
      <c r="EU246" s="5"/>
      <c r="EV246" s="5" t="str">
        <f t="shared" si="780"/>
        <v/>
      </c>
      <c r="EW246" s="36" t="str">
        <f t="shared" si="781"/>
        <v/>
      </c>
      <c r="EX246" s="29"/>
      <c r="EZ246" s="14"/>
      <c r="FA246" s="39"/>
      <c r="FB246" s="5" t="str">
        <f>IF(FA246="","",FA246-FA245)</f>
        <v/>
      </c>
      <c r="FC246" s="5"/>
      <c r="FD246" s="5" t="str">
        <f>IF(FC246="","",FC246-FC245)</f>
        <v/>
      </c>
      <c r="FE246" s="5"/>
      <c r="FF246" s="5" t="str">
        <f>IF(FE246="","",FE245+FG245-FE246)</f>
        <v/>
      </c>
      <c r="FG246" s="5"/>
      <c r="FH246" s="5"/>
      <c r="FI246" s="5"/>
      <c r="FJ246" s="5" t="str">
        <f t="shared" si="782"/>
        <v/>
      </c>
      <c r="FK246" s="36" t="str">
        <f t="shared" si="783"/>
        <v/>
      </c>
      <c r="FL246" s="29"/>
      <c r="FN246" s="14"/>
      <c r="FO246" s="39"/>
      <c r="FP246" s="5" t="str">
        <f>IF(FO246="","",FO246-FO245)</f>
        <v/>
      </c>
      <c r="FQ246" s="5"/>
      <c r="FR246" s="5" t="str">
        <f>IF(FQ246="","",FQ246-FQ245)</f>
        <v/>
      </c>
      <c r="FS246" s="5"/>
      <c r="FT246" s="5" t="str">
        <f>IF(FS246="","",FS245+FU245-FS246)</f>
        <v/>
      </c>
      <c r="FU246" s="5"/>
      <c r="FV246" s="5"/>
      <c r="FW246" s="5"/>
      <c r="FX246" s="5" t="str">
        <f t="shared" si="784"/>
        <v/>
      </c>
      <c r="FY246" s="36" t="str">
        <f t="shared" si="785"/>
        <v/>
      </c>
      <c r="FZ246" s="29"/>
      <c r="GB246" s="14"/>
      <c r="GC246" s="39"/>
      <c r="GD246" s="5" t="str">
        <f>IF(GC246="","",GC246-GC245)</f>
        <v/>
      </c>
      <c r="GE246" s="5"/>
      <c r="GF246" s="5" t="str">
        <f>IF(GE246="","",GE246-GE245)</f>
        <v/>
      </c>
      <c r="GG246" s="5"/>
      <c r="GH246" s="5" t="str">
        <f>IF(GG246="","",GG245+GI245-GG246)</f>
        <v/>
      </c>
      <c r="GI246" s="5"/>
      <c r="GJ246" s="5"/>
      <c r="GK246" s="5"/>
      <c r="GL246" s="5" t="str">
        <f t="shared" si="786"/>
        <v/>
      </c>
      <c r="GM246" s="36" t="str">
        <f t="shared" si="787"/>
        <v/>
      </c>
      <c r="GN246" s="29"/>
      <c r="GP246" s="14"/>
      <c r="GQ246" s="39"/>
      <c r="GR246" s="5" t="str">
        <f>IF(GQ246="","",GQ246-GQ245)</f>
        <v/>
      </c>
      <c r="GS246" s="5"/>
      <c r="GT246" s="5" t="str">
        <f>IF(GS246="","",GS246-GS245)</f>
        <v/>
      </c>
      <c r="GU246" s="5"/>
      <c r="GV246" s="5" t="str">
        <f>IF(GU246="","",GU246-GU245)</f>
        <v/>
      </c>
      <c r="GW246" s="5"/>
      <c r="GX246" s="5" t="str">
        <f>IF(GW246="","",GW245+GY245-GW246)</f>
        <v/>
      </c>
      <c r="GY246" s="5"/>
      <c r="GZ246" s="5"/>
      <c r="HA246" s="5"/>
      <c r="HB246" s="5" t="str">
        <f t="shared" si="788"/>
        <v/>
      </c>
      <c r="HC246" s="36" t="str">
        <f t="shared" si="789"/>
        <v/>
      </c>
      <c r="HD246" s="29"/>
      <c r="HF246" s="14"/>
      <c r="HG246" s="39"/>
      <c r="HH246" s="5" t="str">
        <f>IF(HG246="","",HG246-HG245)</f>
        <v/>
      </c>
      <c r="HI246" s="5"/>
      <c r="HJ246" s="29"/>
      <c r="HL246" s="14"/>
      <c r="HM246" s="39"/>
      <c r="HN246" s="5" t="str">
        <f>IF(HM246="","",HM246-HM245)</f>
        <v/>
      </c>
      <c r="HO246" s="5"/>
      <c r="HP246" s="29"/>
      <c r="HR246" s="14"/>
      <c r="HS246" s="39"/>
      <c r="HT246" s="5" t="str">
        <f>IF(HS246="","",HS246-HS245)</f>
        <v/>
      </c>
      <c r="HU246" s="5"/>
      <c r="HV246" s="29"/>
    </row>
    <row r="247" spans="1:230" ht="15" customHeight="1" x14ac:dyDescent="0.2">
      <c r="A247" s="54"/>
      <c r="B247" s="71"/>
      <c r="C247" s="58">
        <v>18124</v>
      </c>
      <c r="D247" s="48">
        <f t="shared" si="731"/>
        <v>4</v>
      </c>
      <c r="E247" s="5">
        <v>635</v>
      </c>
      <c r="F247" s="5">
        <f t="shared" si="732"/>
        <v>0</v>
      </c>
      <c r="G247" s="58">
        <v>49</v>
      </c>
      <c r="H247" s="5">
        <f t="shared" si="733"/>
        <v>0</v>
      </c>
      <c r="I247" s="59"/>
      <c r="J247" s="3" t="str">
        <f t="shared" si="794"/>
        <v>アングリーキーホルダー</v>
      </c>
      <c r="K247" s="39">
        <f t="shared" si="794"/>
        <v>100</v>
      </c>
      <c r="L247" s="5">
        <f t="shared" si="734"/>
        <v>0</v>
      </c>
      <c r="M247" s="36">
        <f t="shared" si="735"/>
        <v>0</v>
      </c>
      <c r="N247" s="29"/>
      <c r="P247" s="54"/>
      <c r="Q247" s="58">
        <v>10126</v>
      </c>
      <c r="R247" s="5">
        <f t="shared" si="736"/>
        <v>24</v>
      </c>
      <c r="S247" s="5">
        <v>271</v>
      </c>
      <c r="T247" s="5">
        <f t="shared" si="737"/>
        <v>3</v>
      </c>
      <c r="U247" s="58">
        <v>11</v>
      </c>
      <c r="V247" s="5">
        <f t="shared" si="767"/>
        <v>3</v>
      </c>
      <c r="W247" s="59"/>
      <c r="X247" s="3" t="str">
        <f t="shared" si="739"/>
        <v>ギャルキティマスコット</v>
      </c>
      <c r="Y247" s="39">
        <f t="shared" si="771"/>
        <v>638</v>
      </c>
      <c r="Z247" s="5">
        <f t="shared" si="740"/>
        <v>1914</v>
      </c>
      <c r="AA247" s="36">
        <f t="shared" si="741"/>
        <v>0.79749999999999999</v>
      </c>
      <c r="AB247" s="29"/>
      <c r="AD247" s="54"/>
      <c r="AE247" s="58">
        <v>769</v>
      </c>
      <c r="AF247" s="5">
        <f t="shared" si="742"/>
        <v>23</v>
      </c>
      <c r="AG247" s="5">
        <v>19</v>
      </c>
      <c r="AH247" s="5">
        <f t="shared" si="743"/>
        <v>0</v>
      </c>
      <c r="AI247" s="58">
        <v>9</v>
      </c>
      <c r="AJ247" s="5">
        <f t="shared" si="768"/>
        <v>0</v>
      </c>
      <c r="AK247" s="59">
        <v>0</v>
      </c>
      <c r="AL247" s="3" t="str">
        <f t="shared" si="755"/>
        <v>たまごっちマスコット</v>
      </c>
      <c r="AM247" s="39">
        <f t="shared" si="744"/>
        <v>1500</v>
      </c>
      <c r="AN247" s="5">
        <f t="shared" si="745"/>
        <v>0</v>
      </c>
      <c r="AO247" s="36">
        <f t="shared" si="746"/>
        <v>0</v>
      </c>
      <c r="AP247" s="29"/>
      <c r="AR247" s="54"/>
      <c r="AS247" s="58">
        <v>581</v>
      </c>
      <c r="AT247" s="5">
        <f t="shared" si="747"/>
        <v>15</v>
      </c>
      <c r="AU247" s="5">
        <v>997</v>
      </c>
      <c r="AV247" s="5">
        <f t="shared" si="748"/>
        <v>0</v>
      </c>
      <c r="AW247" s="58">
        <v>10</v>
      </c>
      <c r="AX247" s="5">
        <f t="shared" si="769"/>
        <v>0</v>
      </c>
      <c r="AY247" s="59">
        <v>0</v>
      </c>
      <c r="AZ247" s="3" t="str">
        <f t="shared" si="749"/>
        <v>ゲームアーク</v>
      </c>
      <c r="BA247" s="39">
        <f t="shared" si="750"/>
        <v>682</v>
      </c>
      <c r="BB247" s="5">
        <f t="shared" si="751"/>
        <v>0</v>
      </c>
      <c r="BC247" s="36">
        <f t="shared" si="752"/>
        <v>0</v>
      </c>
      <c r="BD247" s="29"/>
      <c r="BE247" s="32"/>
      <c r="BF247" s="25"/>
      <c r="BG247" s="5">
        <v>710</v>
      </c>
      <c r="BH247" s="5">
        <f t="shared" si="765"/>
        <v>33</v>
      </c>
      <c r="BI247" s="5">
        <v>3</v>
      </c>
      <c r="BJ247" s="5">
        <f t="shared" si="766"/>
        <v>0</v>
      </c>
      <c r="BK247" s="5">
        <v>3</v>
      </c>
      <c r="BL247" s="5">
        <f t="shared" si="756"/>
        <v>0</v>
      </c>
      <c r="BM247" s="57">
        <v>0</v>
      </c>
      <c r="BN247" s="3" t="str">
        <f>IF(BG245="","",BN243)</f>
        <v>プチドロップシール</v>
      </c>
      <c r="BO247" s="39">
        <f>IF(BG245="","",BO243)</f>
        <v>800</v>
      </c>
      <c r="BP247" s="5">
        <f t="shared" si="762"/>
        <v>0</v>
      </c>
      <c r="BQ247" s="36">
        <f>IF(BL247="","",BP247/(BH246*100))</f>
        <v>0</v>
      </c>
      <c r="BR247" s="29"/>
      <c r="BT247" s="25"/>
      <c r="BU247" s="5"/>
      <c r="BV247" s="5" t="str">
        <f t="shared" si="757"/>
        <v/>
      </c>
      <c r="BW247" s="5"/>
      <c r="BX247" s="5" t="str">
        <f t="shared" si="758"/>
        <v/>
      </c>
      <c r="BY247" s="5"/>
      <c r="BZ247" s="5"/>
      <c r="CA247" s="57"/>
      <c r="CB247" s="3"/>
      <c r="CC247" s="39"/>
      <c r="CD247" s="5"/>
      <c r="CE247" s="36"/>
      <c r="CF247" s="29"/>
      <c r="CH247" s="14"/>
      <c r="CI247" s="39"/>
      <c r="CJ247" s="5" t="str">
        <f>IF(CI247="","",CI247-CI246)</f>
        <v/>
      </c>
      <c r="CK247" s="5"/>
      <c r="CL247" s="5" t="str">
        <f>IF(CK247="","",CK247-CK246)</f>
        <v/>
      </c>
      <c r="CM247" s="5"/>
      <c r="CN247" s="5" t="str">
        <f>IF(CM247="","",CM246+CO246-CM247)</f>
        <v/>
      </c>
      <c r="CO247" s="5"/>
      <c r="CP247" s="5"/>
      <c r="CQ247" s="5"/>
      <c r="CR247" s="5" t="str">
        <f t="shared" si="772"/>
        <v/>
      </c>
      <c r="CS247" s="36" t="str">
        <f t="shared" si="773"/>
        <v/>
      </c>
      <c r="CT247" s="29"/>
      <c r="CV247" s="14"/>
      <c r="CW247" s="39"/>
      <c r="CX247" s="5" t="str">
        <f>IF(CW247="","",CW247-CW246)</f>
        <v/>
      </c>
      <c r="CY247" s="5"/>
      <c r="CZ247" s="5" t="str">
        <f>IF(CY247="","",CY247-CY246)</f>
        <v/>
      </c>
      <c r="DA247" s="5"/>
      <c r="DB247" s="5" t="str">
        <f>IF(DA247="","",DA246+DC246-DA247)</f>
        <v/>
      </c>
      <c r="DC247" s="5"/>
      <c r="DD247" s="5"/>
      <c r="DE247" s="5"/>
      <c r="DF247" s="5" t="str">
        <f t="shared" si="774"/>
        <v/>
      </c>
      <c r="DG247" s="36" t="str">
        <f t="shared" si="775"/>
        <v/>
      </c>
      <c r="DH247" s="29"/>
      <c r="DJ247" s="14"/>
      <c r="DK247" s="39"/>
      <c r="DL247" s="5" t="str">
        <f>IF(DK247="","",DK247-DK246)</f>
        <v/>
      </c>
      <c r="DM247" s="5"/>
      <c r="DN247" s="5" t="str">
        <f>IF(DM247="","",DM247-DM246)</f>
        <v/>
      </c>
      <c r="DO247" s="5"/>
      <c r="DP247" s="5" t="str">
        <f>IF(DO247="","",DO246+DQ246-DO247)</f>
        <v/>
      </c>
      <c r="DQ247" s="5"/>
      <c r="DR247" s="5"/>
      <c r="DS247" s="5"/>
      <c r="DT247" s="5" t="str">
        <f t="shared" si="776"/>
        <v/>
      </c>
      <c r="DU247" s="36" t="str">
        <f t="shared" si="777"/>
        <v/>
      </c>
      <c r="DV247" s="29"/>
      <c r="DX247" s="14"/>
      <c r="DY247" s="39"/>
      <c r="DZ247" s="5" t="str">
        <f>IF(DY247="","",DY247-DY246)</f>
        <v/>
      </c>
      <c r="EA247" s="5"/>
      <c r="EB247" s="5" t="str">
        <f>IF(EA247="","",EA247-EA246)</f>
        <v/>
      </c>
      <c r="EC247" s="5"/>
      <c r="ED247" s="5" t="str">
        <f>IF(EC247="","",EC246+EE246-EC247)</f>
        <v/>
      </c>
      <c r="EE247" s="5"/>
      <c r="EF247" s="5"/>
      <c r="EG247" s="5"/>
      <c r="EH247" s="5" t="str">
        <f t="shared" si="778"/>
        <v/>
      </c>
      <c r="EI247" s="36" t="str">
        <f t="shared" si="779"/>
        <v/>
      </c>
      <c r="EJ247" s="29"/>
      <c r="EL247" s="14"/>
      <c r="EM247" s="39"/>
      <c r="EN247" s="5" t="str">
        <f>IF(EM247="","",EM247-EM246)</f>
        <v/>
      </c>
      <c r="EO247" s="5"/>
      <c r="EP247" s="5" t="str">
        <f>IF(EO247="","",EO247-EO246)</f>
        <v/>
      </c>
      <c r="EQ247" s="5"/>
      <c r="ER247" s="5" t="str">
        <f>IF(EQ247="","",EQ246+ES246-EQ247)</f>
        <v/>
      </c>
      <c r="ES247" s="5"/>
      <c r="ET247" s="5"/>
      <c r="EU247" s="5"/>
      <c r="EV247" s="5" t="str">
        <f t="shared" si="780"/>
        <v/>
      </c>
      <c r="EW247" s="36" t="str">
        <f t="shared" si="781"/>
        <v/>
      </c>
      <c r="EX247" s="29"/>
      <c r="EZ247" s="14"/>
      <c r="FA247" s="39"/>
      <c r="FB247" s="5" t="str">
        <f>IF(FA247="","",FA247-FA246)</f>
        <v/>
      </c>
      <c r="FC247" s="5"/>
      <c r="FD247" s="5" t="str">
        <f>IF(FC247="","",FC247-FC246)</f>
        <v/>
      </c>
      <c r="FE247" s="5"/>
      <c r="FF247" s="5" t="str">
        <f>IF(FE247="","",FE246+FG246-FE247)</f>
        <v/>
      </c>
      <c r="FG247" s="5"/>
      <c r="FH247" s="5"/>
      <c r="FI247" s="5"/>
      <c r="FJ247" s="5" t="str">
        <f t="shared" si="782"/>
        <v/>
      </c>
      <c r="FK247" s="36" t="str">
        <f t="shared" si="783"/>
        <v/>
      </c>
      <c r="FL247" s="29"/>
      <c r="FN247" s="14"/>
      <c r="FO247" s="39"/>
      <c r="FP247" s="5" t="str">
        <f>IF(FO247="","",FO247-FO246)</f>
        <v/>
      </c>
      <c r="FQ247" s="5"/>
      <c r="FR247" s="5" t="str">
        <f>IF(FQ247="","",FQ247-FQ246)</f>
        <v/>
      </c>
      <c r="FS247" s="5"/>
      <c r="FT247" s="5" t="str">
        <f>IF(FS247="","",FS246+FU246-FS247)</f>
        <v/>
      </c>
      <c r="FU247" s="5"/>
      <c r="FV247" s="5"/>
      <c r="FW247" s="5"/>
      <c r="FX247" s="5" t="str">
        <f t="shared" si="784"/>
        <v/>
      </c>
      <c r="FY247" s="36" t="str">
        <f t="shared" si="785"/>
        <v/>
      </c>
      <c r="FZ247" s="29"/>
      <c r="GB247" s="14"/>
      <c r="GC247" s="39"/>
      <c r="GD247" s="5" t="str">
        <f>IF(GC247="","",GC247-GC246)</f>
        <v/>
      </c>
      <c r="GE247" s="5"/>
      <c r="GF247" s="5" t="str">
        <f>IF(GE247="","",GE247-GE246)</f>
        <v/>
      </c>
      <c r="GG247" s="5"/>
      <c r="GH247" s="5" t="str">
        <f>IF(GG247="","",GG246+GI246-GG247)</f>
        <v/>
      </c>
      <c r="GI247" s="5"/>
      <c r="GJ247" s="5"/>
      <c r="GK247" s="5"/>
      <c r="GL247" s="5" t="str">
        <f t="shared" si="786"/>
        <v/>
      </c>
      <c r="GM247" s="36" t="str">
        <f t="shared" si="787"/>
        <v/>
      </c>
      <c r="GN247" s="29"/>
      <c r="GP247" s="14"/>
      <c r="GQ247" s="39"/>
      <c r="GR247" s="5" t="str">
        <f>IF(GQ247="","",GQ247-GQ246)</f>
        <v/>
      </c>
      <c r="GS247" s="5"/>
      <c r="GT247" s="5" t="str">
        <f>IF(GS247="","",GS247-GS246)</f>
        <v/>
      </c>
      <c r="GU247" s="5"/>
      <c r="GV247" s="5" t="str">
        <f>IF(GU247="","",GU247-GU246)</f>
        <v/>
      </c>
      <c r="GW247" s="5"/>
      <c r="GX247" s="5" t="str">
        <f>IF(GW247="","",GW246+GY246-GW247)</f>
        <v/>
      </c>
      <c r="GY247" s="5"/>
      <c r="GZ247" s="5"/>
      <c r="HA247" s="5"/>
      <c r="HB247" s="5" t="str">
        <f t="shared" si="788"/>
        <v/>
      </c>
      <c r="HC247" s="36" t="str">
        <f t="shared" si="789"/>
        <v/>
      </c>
      <c r="HD247" s="29"/>
      <c r="HF247" s="14"/>
      <c r="HG247" s="39"/>
      <c r="HH247" s="5" t="str">
        <f>IF(HG247="","",HG247-HG246)</f>
        <v/>
      </c>
      <c r="HI247" s="5"/>
      <c r="HJ247" s="29"/>
      <c r="HL247" s="14"/>
      <c r="HM247" s="39"/>
      <c r="HN247" s="5" t="str">
        <f>IF(HM247="","",HM247-HM246)</f>
        <v/>
      </c>
      <c r="HO247" s="5"/>
      <c r="HP247" s="29"/>
      <c r="HR247" s="14"/>
      <c r="HS247" s="39"/>
      <c r="HT247" s="5" t="str">
        <f>IF(HS247="","",HS247-HS246)</f>
        <v/>
      </c>
      <c r="HU247" s="5"/>
      <c r="HV247" s="29"/>
    </row>
    <row r="248" spans="1:230" ht="15" customHeight="1" thickBot="1" x14ac:dyDescent="0.25">
      <c r="A248" s="60"/>
      <c r="B248" s="73"/>
      <c r="C248" s="44">
        <v>22169</v>
      </c>
      <c r="D248" s="61">
        <f t="shared" si="731"/>
        <v>11</v>
      </c>
      <c r="E248" s="44">
        <v>1147</v>
      </c>
      <c r="F248" s="44">
        <f t="shared" si="732"/>
        <v>2</v>
      </c>
      <c r="G248" s="44">
        <v>9</v>
      </c>
      <c r="H248" s="44">
        <f t="shared" si="733"/>
        <v>2</v>
      </c>
      <c r="I248" s="62"/>
      <c r="J248" s="45" t="str">
        <f t="shared" si="794"/>
        <v>パステルケーキ</v>
      </c>
      <c r="K248" s="61">
        <f t="shared" si="794"/>
        <v>187</v>
      </c>
      <c r="L248" s="44">
        <f t="shared" si="734"/>
        <v>374</v>
      </c>
      <c r="M248" s="46">
        <f t="shared" si="735"/>
        <v>0.34</v>
      </c>
      <c r="N248" s="29"/>
      <c r="P248" s="60"/>
      <c r="Q248" s="44">
        <v>8747</v>
      </c>
      <c r="R248" s="74">
        <f t="shared" si="736"/>
        <v>5</v>
      </c>
      <c r="S248" s="44">
        <v>205</v>
      </c>
      <c r="T248" s="44">
        <f t="shared" si="737"/>
        <v>0</v>
      </c>
      <c r="U248" s="44">
        <v>22</v>
      </c>
      <c r="V248" s="44">
        <f t="shared" si="767"/>
        <v>0</v>
      </c>
      <c r="W248" s="62">
        <v>302</v>
      </c>
      <c r="X248" s="45" t="str">
        <f t="shared" si="739"/>
        <v>ラフブキーホルダー</v>
      </c>
      <c r="Y248" s="61">
        <f>IF(R248="","",Y244)</f>
        <v>350</v>
      </c>
      <c r="Z248" s="44">
        <f t="shared" si="740"/>
        <v>0</v>
      </c>
      <c r="AA248" s="46">
        <f t="shared" si="741"/>
        <v>0</v>
      </c>
      <c r="AB248" s="29" t="s">
        <v>135</v>
      </c>
      <c r="AD248" s="60"/>
      <c r="AE248" s="44">
        <v>396</v>
      </c>
      <c r="AF248" s="61">
        <f t="shared" si="742"/>
        <v>14</v>
      </c>
      <c r="AG248" s="44">
        <v>11</v>
      </c>
      <c r="AH248" s="44">
        <f t="shared" si="743"/>
        <v>1</v>
      </c>
      <c r="AI248" s="44">
        <v>85</v>
      </c>
      <c r="AJ248" s="44">
        <f t="shared" si="768"/>
        <v>1</v>
      </c>
      <c r="AK248" s="62">
        <v>0</v>
      </c>
      <c r="AL248" s="45" t="str">
        <f t="shared" si="755"/>
        <v>キティボールペン</v>
      </c>
      <c r="AM248" s="61">
        <f t="shared" si="744"/>
        <v>283</v>
      </c>
      <c r="AN248" s="44">
        <f t="shared" si="745"/>
        <v>283</v>
      </c>
      <c r="AO248" s="46">
        <f t="shared" si="746"/>
        <v>0.20214285714285715</v>
      </c>
      <c r="AP248" s="29"/>
      <c r="AR248" s="60"/>
      <c r="AS248" s="44">
        <v>367</v>
      </c>
      <c r="AT248" s="61">
        <f t="shared" si="747"/>
        <v>27</v>
      </c>
      <c r="AU248" s="44">
        <v>8</v>
      </c>
      <c r="AV248" s="44">
        <f t="shared" si="748"/>
        <v>3</v>
      </c>
      <c r="AW248" s="44">
        <v>10</v>
      </c>
      <c r="AX248" s="44">
        <f t="shared" si="769"/>
        <v>9</v>
      </c>
      <c r="AY248" s="62">
        <v>6</v>
      </c>
      <c r="AZ248" s="45" t="str">
        <f t="shared" si="749"/>
        <v>しばこ</v>
      </c>
      <c r="BA248" s="61">
        <f t="shared" si="750"/>
        <v>110</v>
      </c>
      <c r="BB248" s="44">
        <f t="shared" si="751"/>
        <v>990</v>
      </c>
      <c r="BC248" s="46">
        <f t="shared" si="752"/>
        <v>0.36666666666666664</v>
      </c>
      <c r="BD248" s="29" t="s">
        <v>137</v>
      </c>
      <c r="BE248" s="32"/>
      <c r="BF248" s="41"/>
      <c r="BG248" s="44">
        <v>2733</v>
      </c>
      <c r="BH248" s="44">
        <f t="shared" si="765"/>
        <v>48</v>
      </c>
      <c r="BI248" s="44">
        <v>25</v>
      </c>
      <c r="BJ248" s="44">
        <f t="shared" si="766"/>
        <v>0</v>
      </c>
      <c r="BK248" s="44">
        <v>3</v>
      </c>
      <c r="BL248" s="44">
        <f t="shared" si="756"/>
        <v>0</v>
      </c>
      <c r="BM248" s="44">
        <v>0</v>
      </c>
      <c r="BN248" s="45" t="str">
        <f>IF(BG246="","",BN244)</f>
        <v>ボンボンドロップシール</v>
      </c>
      <c r="BO248" s="61">
        <f>IF(BG245="","",BO244)</f>
        <v>1500</v>
      </c>
      <c r="BP248" s="44">
        <f t="shared" si="762"/>
        <v>0</v>
      </c>
      <c r="BQ248" s="46">
        <f>IF(BL248="","",BP248/(BH246*100))</f>
        <v>0</v>
      </c>
      <c r="BR248" s="29"/>
      <c r="BT248" s="41"/>
      <c r="BU248" s="44"/>
      <c r="BV248" s="44" t="str">
        <f t="shared" si="757"/>
        <v/>
      </c>
      <c r="BW248" s="44"/>
      <c r="BX248" s="44" t="str">
        <f t="shared" si="758"/>
        <v/>
      </c>
      <c r="BY248" s="44"/>
      <c r="BZ248" s="44"/>
      <c r="CA248" s="44"/>
      <c r="CB248" s="45"/>
      <c r="CC248" s="61"/>
      <c r="CD248" s="44"/>
      <c r="CE248" s="46"/>
      <c r="CF248" s="29"/>
      <c r="CH248" s="14"/>
      <c r="CI248" s="39"/>
      <c r="CJ248" s="5" t="str">
        <f>IF(CI248="","",CI248-CI247)</f>
        <v/>
      </c>
      <c r="CK248" s="5"/>
      <c r="CL248" s="5"/>
      <c r="CM248" s="5"/>
      <c r="CN248" s="5" t="str">
        <f>IF(CM248="","",CM247+CO247-CM248)</f>
        <v/>
      </c>
      <c r="CO248" s="5"/>
      <c r="CP248" s="5"/>
      <c r="CQ248" s="5"/>
      <c r="CR248" s="5" t="str">
        <f t="shared" si="772"/>
        <v/>
      </c>
      <c r="CS248" s="36" t="str">
        <f t="shared" si="773"/>
        <v/>
      </c>
      <c r="CT248" s="29"/>
      <c r="CV248" s="14"/>
      <c r="CW248" s="39"/>
      <c r="CX248" s="5" t="str">
        <f>IF(CW248="","",CW248-CW247)</f>
        <v/>
      </c>
      <c r="CY248" s="5"/>
      <c r="CZ248" s="5"/>
      <c r="DA248" s="5"/>
      <c r="DB248" s="5" t="str">
        <f>IF(DA248="","",DA247+DC247-DA248)</f>
        <v/>
      </c>
      <c r="DC248" s="5"/>
      <c r="DD248" s="5"/>
      <c r="DE248" s="5"/>
      <c r="DF248" s="5" t="str">
        <f t="shared" si="774"/>
        <v/>
      </c>
      <c r="DG248" s="36" t="str">
        <f t="shared" si="775"/>
        <v/>
      </c>
      <c r="DH248" s="29"/>
      <c r="DJ248" s="14"/>
      <c r="DK248" s="39"/>
      <c r="DL248" s="5" t="str">
        <f>IF(DK248="","",DK248-DK247)</f>
        <v/>
      </c>
      <c r="DM248" s="5"/>
      <c r="DN248" s="5"/>
      <c r="DO248" s="5"/>
      <c r="DP248" s="5" t="str">
        <f>IF(DO248="","",DO247+DQ247-DO248)</f>
        <v/>
      </c>
      <c r="DQ248" s="5"/>
      <c r="DR248" s="5"/>
      <c r="DS248" s="5"/>
      <c r="DT248" s="5" t="str">
        <f t="shared" si="776"/>
        <v/>
      </c>
      <c r="DU248" s="36" t="str">
        <f t="shared" si="777"/>
        <v/>
      </c>
      <c r="DV248" s="29"/>
      <c r="DX248" s="14"/>
      <c r="DY248" s="39"/>
      <c r="DZ248" s="5" t="str">
        <f>IF(DY248="","",DY248-DY247)</f>
        <v/>
      </c>
      <c r="EA248" s="5"/>
      <c r="EB248" s="5"/>
      <c r="EC248" s="5"/>
      <c r="ED248" s="5" t="str">
        <f>IF(EC248="","",EC247+EE247-EC248)</f>
        <v/>
      </c>
      <c r="EE248" s="5"/>
      <c r="EF248" s="5"/>
      <c r="EG248" s="5"/>
      <c r="EH248" s="5" t="str">
        <f t="shared" si="778"/>
        <v/>
      </c>
      <c r="EI248" s="36" t="str">
        <f t="shared" si="779"/>
        <v/>
      </c>
      <c r="EJ248" s="29"/>
      <c r="EL248" s="14"/>
      <c r="EM248" s="39"/>
      <c r="EN248" s="5" t="str">
        <f>IF(EM248="","",EM248-EM247)</f>
        <v/>
      </c>
      <c r="EO248" s="5"/>
      <c r="EP248" s="5"/>
      <c r="EQ248" s="5"/>
      <c r="ER248" s="5" t="str">
        <f>IF(EQ248="","",EQ247+ES247-EQ248)</f>
        <v/>
      </c>
      <c r="ES248" s="5"/>
      <c r="ET248" s="5"/>
      <c r="EU248" s="5"/>
      <c r="EV248" s="5" t="str">
        <f t="shared" si="780"/>
        <v/>
      </c>
      <c r="EW248" s="36" t="str">
        <f t="shared" si="781"/>
        <v/>
      </c>
      <c r="EX248" s="29"/>
      <c r="EZ248" s="14"/>
      <c r="FA248" s="39"/>
      <c r="FB248" s="5" t="str">
        <f>IF(FA248="","",FA248-FA247)</f>
        <v/>
      </c>
      <c r="FC248" s="5"/>
      <c r="FD248" s="5"/>
      <c r="FE248" s="5"/>
      <c r="FF248" s="5" t="str">
        <f>IF(FE248="","",FE247+FG247-FE248)</f>
        <v/>
      </c>
      <c r="FG248" s="5"/>
      <c r="FH248" s="5"/>
      <c r="FI248" s="5"/>
      <c r="FJ248" s="5" t="str">
        <f t="shared" si="782"/>
        <v/>
      </c>
      <c r="FK248" s="36" t="str">
        <f t="shared" si="783"/>
        <v/>
      </c>
      <c r="FL248" s="29"/>
      <c r="FN248" s="14"/>
      <c r="FO248" s="39"/>
      <c r="FP248" s="5" t="str">
        <f>IF(FO248="","",FO248-FO247)</f>
        <v/>
      </c>
      <c r="FQ248" s="5"/>
      <c r="FR248" s="5"/>
      <c r="FS248" s="5"/>
      <c r="FT248" s="5" t="str">
        <f>IF(FS248="","",FS247+FU247-FS248)</f>
        <v/>
      </c>
      <c r="FU248" s="5"/>
      <c r="FV248" s="5"/>
      <c r="FW248" s="5"/>
      <c r="FX248" s="5" t="str">
        <f t="shared" si="784"/>
        <v/>
      </c>
      <c r="FY248" s="36" t="str">
        <f t="shared" si="785"/>
        <v/>
      </c>
      <c r="FZ248" s="29"/>
      <c r="GB248" s="14"/>
      <c r="GC248" s="39"/>
      <c r="GD248" s="5" t="str">
        <f>IF(GC248="","",GC248-GC247)</f>
        <v/>
      </c>
      <c r="GE248" s="5"/>
      <c r="GF248" s="5"/>
      <c r="GG248" s="5"/>
      <c r="GH248" s="5" t="str">
        <f>IF(GG248="","",GG247+GI247-GG248)</f>
        <v/>
      </c>
      <c r="GI248" s="5"/>
      <c r="GJ248" s="5"/>
      <c r="GK248" s="5"/>
      <c r="GL248" s="5" t="str">
        <f t="shared" si="786"/>
        <v/>
      </c>
      <c r="GM248" s="36" t="str">
        <f t="shared" si="787"/>
        <v/>
      </c>
      <c r="GN248" s="29"/>
      <c r="GP248" s="14"/>
      <c r="GQ248" s="39"/>
      <c r="GR248" s="5" t="str">
        <f>IF(GQ248="","",GQ248-GQ247)</f>
        <v/>
      </c>
      <c r="GS248" s="5"/>
      <c r="GT248" s="5" t="str">
        <f>IF(GS248="","",GS248-GS247)</f>
        <v/>
      </c>
      <c r="GU248" s="5"/>
      <c r="GV248" s="5"/>
      <c r="GW248" s="5"/>
      <c r="GX248" s="5" t="str">
        <f>IF(GW248="","",GW247+GY247-GW248)</f>
        <v/>
      </c>
      <c r="GY248" s="5"/>
      <c r="GZ248" s="5"/>
      <c r="HA248" s="5"/>
      <c r="HB248" s="5" t="str">
        <f t="shared" si="788"/>
        <v/>
      </c>
      <c r="HC248" s="36" t="str">
        <f t="shared" si="789"/>
        <v/>
      </c>
      <c r="HD248" s="29"/>
      <c r="HF248" s="14"/>
      <c r="HG248" s="39"/>
      <c r="HH248" s="5" t="str">
        <f>IF(HG248="","",HG248-HG247)</f>
        <v/>
      </c>
      <c r="HI248" s="5"/>
      <c r="HJ248" s="29"/>
      <c r="HL248" s="14"/>
      <c r="HM248" s="39"/>
      <c r="HN248" s="5" t="str">
        <f>IF(HM248="","",HM248-HM247)</f>
        <v/>
      </c>
      <c r="HO248" s="5"/>
      <c r="HP248" s="29"/>
      <c r="HR248" s="14"/>
      <c r="HS248" s="39"/>
      <c r="HT248" s="5" t="str">
        <f>IF(HS248="","",HS248-HS247)</f>
        <v/>
      </c>
      <c r="HU248" s="5"/>
      <c r="HV248" s="29"/>
    </row>
    <row r="249" spans="1:230" ht="15" customHeight="1" thickTop="1" x14ac:dyDescent="0.2">
      <c r="A249" s="49" t="s">
        <v>139</v>
      </c>
      <c r="B249" s="26">
        <f>SUM(D249:D252)+SUM(R249:R252)+SUM(AF249:AF252)+SUM(AT249:AT252)+SUM(CJ231,CX231,DL231,DZ231,EN231,FB231,FP231,GD231,GR231,HH231,HN231,HT231)+SUM(BH249:BH252)+SUM(BV249:BV250)</f>
        <v>3162</v>
      </c>
      <c r="C249" s="4">
        <v>13142</v>
      </c>
      <c r="D249" s="4">
        <f t="shared" si="731"/>
        <v>32</v>
      </c>
      <c r="E249" s="4">
        <v>338</v>
      </c>
      <c r="F249" s="50">
        <f t="shared" si="732"/>
        <v>1</v>
      </c>
      <c r="G249" s="4">
        <v>12</v>
      </c>
      <c r="H249" s="4">
        <f t="shared" si="733"/>
        <v>1</v>
      </c>
      <c r="I249" s="51"/>
      <c r="J249" s="31" t="str">
        <f t="shared" si="794"/>
        <v>ジャグラーボタン</v>
      </c>
      <c r="K249" s="27">
        <f t="shared" si="794"/>
        <v>748</v>
      </c>
      <c r="L249" s="50">
        <f t="shared" si="734"/>
        <v>748</v>
      </c>
      <c r="M249" s="52">
        <f t="shared" si="735"/>
        <v>0.23375000000000001</v>
      </c>
      <c r="N249" s="29"/>
      <c r="P249" s="53" t="str">
        <f>IF($A249="","",$A249)</f>
        <v>3/16/月</v>
      </c>
      <c r="Q249" s="4">
        <v>3426</v>
      </c>
      <c r="R249" s="4">
        <f t="shared" si="736"/>
        <v>160</v>
      </c>
      <c r="S249" s="4">
        <v>180</v>
      </c>
      <c r="T249" s="50">
        <f t="shared" si="737"/>
        <v>3</v>
      </c>
      <c r="U249" s="4">
        <v>2</v>
      </c>
      <c r="V249" s="4">
        <f t="shared" si="767"/>
        <v>3</v>
      </c>
      <c r="W249" s="51"/>
      <c r="X249" s="31" t="str">
        <f t="shared" si="739"/>
        <v>サンリオボアバンスクリップ</v>
      </c>
      <c r="Y249" s="27">
        <f t="shared" si="771"/>
        <v>660</v>
      </c>
      <c r="Z249" s="50">
        <f t="shared" si="740"/>
        <v>1980</v>
      </c>
      <c r="AA249" s="52">
        <f t="shared" si="741"/>
        <v>0.12375</v>
      </c>
      <c r="AB249" s="29"/>
      <c r="AD249" s="53" t="str">
        <f>IF($A249="","",$A249)</f>
        <v>3/16/月</v>
      </c>
      <c r="AE249" s="4">
        <v>1401</v>
      </c>
      <c r="AF249" s="4">
        <f t="shared" si="742"/>
        <v>49</v>
      </c>
      <c r="AG249" s="4">
        <v>3</v>
      </c>
      <c r="AH249" s="50">
        <f t="shared" si="743"/>
        <v>0</v>
      </c>
      <c r="AI249" s="4">
        <v>19</v>
      </c>
      <c r="AJ249" s="4">
        <f t="shared" si="768"/>
        <v>0</v>
      </c>
      <c r="AK249" s="51">
        <v>0</v>
      </c>
      <c r="AL249" s="31" t="str">
        <f t="shared" si="755"/>
        <v>モンチッチがま口</v>
      </c>
      <c r="AM249" s="27">
        <f t="shared" si="744"/>
        <v>462</v>
      </c>
      <c r="AN249" s="50">
        <f t="shared" si="745"/>
        <v>0</v>
      </c>
      <c r="AO249" s="52">
        <f t="shared" si="746"/>
        <v>0</v>
      </c>
      <c r="AP249" s="29"/>
      <c r="AR249" s="53" t="str">
        <f>IF($A249="","",$A249)</f>
        <v>3/16/月</v>
      </c>
      <c r="AS249" s="4">
        <v>817</v>
      </c>
      <c r="AT249" s="4">
        <f t="shared" si="747"/>
        <v>93</v>
      </c>
      <c r="AU249" s="4">
        <v>18</v>
      </c>
      <c r="AV249" s="50">
        <f t="shared" si="748"/>
        <v>2</v>
      </c>
      <c r="AW249" s="4">
        <v>8</v>
      </c>
      <c r="AX249" s="4">
        <f t="shared" si="769"/>
        <v>2</v>
      </c>
      <c r="AY249" s="51">
        <v>0</v>
      </c>
      <c r="AZ249" s="31" t="str">
        <f t="shared" si="749"/>
        <v>デジタルミニカメラ</v>
      </c>
      <c r="BA249" s="27">
        <f t="shared" si="750"/>
        <v>1075</v>
      </c>
      <c r="BB249" s="50">
        <f t="shared" si="751"/>
        <v>2150</v>
      </c>
      <c r="BC249" s="52">
        <f t="shared" si="752"/>
        <v>0.23118279569892472</v>
      </c>
      <c r="BD249" s="29"/>
      <c r="BE249" s="32"/>
      <c r="BF249" s="33" t="str">
        <f>IF($A249="","",$A249)</f>
        <v>3/16/月</v>
      </c>
      <c r="BG249" s="5">
        <v>2065</v>
      </c>
      <c r="BH249" s="4">
        <f t="shared" si="765"/>
        <v>94</v>
      </c>
      <c r="BI249" s="5">
        <v>13</v>
      </c>
      <c r="BJ249" s="50">
        <f t="shared" si="766"/>
        <v>1</v>
      </c>
      <c r="BK249" s="5">
        <v>2</v>
      </c>
      <c r="BL249" s="4">
        <f t="shared" si="756"/>
        <v>1</v>
      </c>
      <c r="BM249" s="4">
        <v>1</v>
      </c>
      <c r="BN249" s="2" t="str">
        <f>IF(BG249="","",BN245)</f>
        <v>ボンボンドロップシール</v>
      </c>
      <c r="BO249" s="27">
        <f>IF(BG249="","",BO245)</f>
        <v>1500</v>
      </c>
      <c r="BP249" s="5">
        <f t="shared" si="753"/>
        <v>1500</v>
      </c>
      <c r="BQ249" s="52">
        <f>IF(BL249="","",BP249/(BH249*100))</f>
        <v>0.15957446808510639</v>
      </c>
      <c r="BR249" s="29"/>
      <c r="BT249" s="33" t="str">
        <f>IF($A249="","",$A249)</f>
        <v>3/16/月</v>
      </c>
      <c r="BU249" s="5">
        <v>35102</v>
      </c>
      <c r="BV249" s="4">
        <f t="shared" si="757"/>
        <v>51</v>
      </c>
      <c r="BW249" s="5">
        <v>3817</v>
      </c>
      <c r="BX249" s="50">
        <f t="shared" si="758"/>
        <v>4</v>
      </c>
      <c r="BY249" s="4">
        <v>35</v>
      </c>
      <c r="BZ249" s="4">
        <f t="shared" si="763"/>
        <v>4</v>
      </c>
      <c r="CA249" s="4">
        <v>6</v>
      </c>
      <c r="CB249" s="2" t="str">
        <f>IF(BU249="","",CB245)</f>
        <v>ベイビースリーフェイス</v>
      </c>
      <c r="CC249" s="27">
        <f>IF(BU249="","",CC245)</f>
        <v>1050</v>
      </c>
      <c r="CD249" s="5">
        <f t="shared" ref="CD249:CD250" si="796">IF(BY249="","",BZ249*CC249)</f>
        <v>4200</v>
      </c>
      <c r="CE249" s="52">
        <f>IF(BZ249="","",CD249/(BV249*100))</f>
        <v>0.82352941176470584</v>
      </c>
      <c r="CF249" s="29"/>
      <c r="CH249" s="14"/>
      <c r="CI249" s="5"/>
      <c r="CJ249" s="5" t="str">
        <f>IF(CI249="","",CI249-CI250)</f>
        <v/>
      </c>
      <c r="CK249" s="5"/>
      <c r="CL249" s="5" t="str">
        <f>IF(CK249="","",CK249-CK250)</f>
        <v/>
      </c>
      <c r="CM249" s="5"/>
      <c r="CN249" s="5" t="str">
        <f>IF(CM249="","",CM250+CO250-CM249)</f>
        <v/>
      </c>
      <c r="CO249" s="5"/>
      <c r="CP249" s="5"/>
      <c r="CQ249" s="5"/>
      <c r="CR249" s="5" t="str">
        <f t="shared" si="772"/>
        <v/>
      </c>
      <c r="CS249" s="36" t="str">
        <f t="shared" si="773"/>
        <v/>
      </c>
      <c r="CT249" s="29"/>
      <c r="CV249" s="14"/>
      <c r="CW249" s="5"/>
      <c r="CX249" s="5" t="str">
        <f>IF(CW249="","",CW249-CW250)</f>
        <v/>
      </c>
      <c r="CY249" s="5"/>
      <c r="CZ249" s="5" t="str">
        <f>IF(CY249="","",CY249-CY250)</f>
        <v/>
      </c>
      <c r="DA249" s="5"/>
      <c r="DB249" s="5" t="str">
        <f>IF(DA249="","",DA250+DC250-DA249)</f>
        <v/>
      </c>
      <c r="DC249" s="5"/>
      <c r="DD249" s="5"/>
      <c r="DE249" s="5"/>
      <c r="DF249" s="5" t="str">
        <f t="shared" si="774"/>
        <v/>
      </c>
      <c r="DG249" s="36" t="str">
        <f t="shared" si="775"/>
        <v/>
      </c>
      <c r="DH249" s="29"/>
      <c r="DJ249" s="14"/>
      <c r="DK249" s="5"/>
      <c r="DL249" s="5" t="str">
        <f>IF(DK249="","",DK249-DK250)</f>
        <v/>
      </c>
      <c r="DM249" s="5"/>
      <c r="DN249" s="5" t="str">
        <f>IF(DM249="","",DM249-DM250)</f>
        <v/>
      </c>
      <c r="DO249" s="5"/>
      <c r="DP249" s="5" t="str">
        <f>IF(DO249="","",DO250+DQ250-DO249)</f>
        <v/>
      </c>
      <c r="DQ249" s="5"/>
      <c r="DR249" s="5"/>
      <c r="DS249" s="5"/>
      <c r="DT249" s="5" t="str">
        <f t="shared" si="776"/>
        <v/>
      </c>
      <c r="DU249" s="36" t="str">
        <f t="shared" si="777"/>
        <v/>
      </c>
      <c r="DV249" s="29"/>
      <c r="DX249" s="14"/>
      <c r="DY249" s="5"/>
      <c r="DZ249" s="5" t="str">
        <f>IF(DY249="","",DY249-DY250)</f>
        <v/>
      </c>
      <c r="EA249" s="5"/>
      <c r="EB249" s="5" t="str">
        <f>IF(EA249="","",EA249-EA250)</f>
        <v/>
      </c>
      <c r="EC249" s="5"/>
      <c r="ED249" s="5" t="str">
        <f>IF(EC249="","",EC250+EE250-EC249)</f>
        <v/>
      </c>
      <c r="EE249" s="5"/>
      <c r="EF249" s="5"/>
      <c r="EG249" s="5"/>
      <c r="EH249" s="5" t="str">
        <f t="shared" si="778"/>
        <v/>
      </c>
      <c r="EI249" s="36" t="str">
        <f t="shared" si="779"/>
        <v/>
      </c>
      <c r="EJ249" s="29"/>
      <c r="EL249" s="14"/>
      <c r="EM249" s="5"/>
      <c r="EN249" s="5" t="str">
        <f>IF(EM249="","",EM249-EM250)</f>
        <v/>
      </c>
      <c r="EO249" s="5"/>
      <c r="EP249" s="5" t="str">
        <f>IF(EO249="","",EO249-EO250)</f>
        <v/>
      </c>
      <c r="EQ249" s="5"/>
      <c r="ER249" s="5" t="str">
        <f>IF(EQ249="","",EQ250+ES250-EQ249)</f>
        <v/>
      </c>
      <c r="ES249" s="5"/>
      <c r="ET249" s="5"/>
      <c r="EU249" s="5"/>
      <c r="EV249" s="5" t="str">
        <f t="shared" si="780"/>
        <v/>
      </c>
      <c r="EW249" s="36" t="str">
        <f t="shared" si="781"/>
        <v/>
      </c>
      <c r="EX249" s="29"/>
      <c r="EZ249" s="14"/>
      <c r="FA249" s="5"/>
      <c r="FB249" s="5" t="str">
        <f>IF(FA249="","",FA249-FA250)</f>
        <v/>
      </c>
      <c r="FC249" s="5"/>
      <c r="FD249" s="5" t="str">
        <f>IF(FC249="","",FC249-FC250)</f>
        <v/>
      </c>
      <c r="FE249" s="5"/>
      <c r="FF249" s="5" t="str">
        <f>IF(FE249="","",FE250+FG250-FE249)</f>
        <v/>
      </c>
      <c r="FG249" s="5"/>
      <c r="FH249" s="5"/>
      <c r="FI249" s="5"/>
      <c r="FJ249" s="5" t="str">
        <f t="shared" si="782"/>
        <v/>
      </c>
      <c r="FK249" s="36" t="str">
        <f t="shared" si="783"/>
        <v/>
      </c>
      <c r="FL249" s="29"/>
      <c r="FN249" s="14"/>
      <c r="FO249" s="5"/>
      <c r="FP249" s="5" t="str">
        <f>IF(FO249="","",FO249-FO250)</f>
        <v/>
      </c>
      <c r="FQ249" s="5"/>
      <c r="FR249" s="5" t="str">
        <f>IF(FQ249="","",FQ249-FQ250)</f>
        <v/>
      </c>
      <c r="FS249" s="5"/>
      <c r="FT249" s="5" t="str">
        <f>IF(FS249="","",FS250+FU250-FS249)</f>
        <v/>
      </c>
      <c r="FU249" s="5"/>
      <c r="FV249" s="5"/>
      <c r="FW249" s="5"/>
      <c r="FX249" s="5" t="str">
        <f t="shared" si="784"/>
        <v/>
      </c>
      <c r="FY249" s="36" t="str">
        <f t="shared" si="785"/>
        <v/>
      </c>
      <c r="FZ249" s="29"/>
      <c r="GB249" s="14"/>
      <c r="GC249" s="5"/>
      <c r="GD249" s="5" t="str">
        <f>IF(GC249="","",GC249-GC250)</f>
        <v/>
      </c>
      <c r="GE249" s="5"/>
      <c r="GF249" s="5" t="str">
        <f>IF(GE249="","",GE249-GE250)</f>
        <v/>
      </c>
      <c r="GG249" s="5"/>
      <c r="GH249" s="5" t="str">
        <f>IF(GG249="","",GG250+GI250-GG249)</f>
        <v/>
      </c>
      <c r="GI249" s="5"/>
      <c r="GJ249" s="5"/>
      <c r="GK249" s="5"/>
      <c r="GL249" s="5" t="str">
        <f t="shared" si="786"/>
        <v/>
      </c>
      <c r="GM249" s="36" t="str">
        <f t="shared" si="787"/>
        <v/>
      </c>
      <c r="GN249" s="29"/>
      <c r="GP249" s="14"/>
      <c r="GQ249" s="5"/>
      <c r="GR249" s="5" t="str">
        <f>IF(GQ249="","",GQ249-GQ250)</f>
        <v/>
      </c>
      <c r="GS249" s="5"/>
      <c r="GT249" s="5" t="str">
        <f>IF(GS249="","",GS249-GS250)</f>
        <v/>
      </c>
      <c r="GU249" s="5"/>
      <c r="GV249" s="5" t="str">
        <f>IF(GU249="","",GU249-GU250)</f>
        <v/>
      </c>
      <c r="GW249" s="5"/>
      <c r="GX249" s="5" t="str">
        <f>IF(GW249="","",GW250+GY250-GW249)</f>
        <v/>
      </c>
      <c r="GY249" s="5"/>
      <c r="GZ249" s="5"/>
      <c r="HA249" s="5"/>
      <c r="HB249" s="5" t="str">
        <f t="shared" si="788"/>
        <v/>
      </c>
      <c r="HC249" s="36" t="str">
        <f t="shared" si="789"/>
        <v/>
      </c>
      <c r="HD249" s="29"/>
      <c r="HF249" s="14"/>
      <c r="HG249" s="5"/>
      <c r="HH249" s="5" t="str">
        <f>IF(HG249="","",HG249-HG250)</f>
        <v/>
      </c>
      <c r="HI249" s="5"/>
      <c r="HJ249" s="29"/>
      <c r="HL249" s="14"/>
      <c r="HM249" s="5"/>
      <c r="HN249" s="5" t="str">
        <f>IF(HM249="","",HM249-HM250)</f>
        <v/>
      </c>
      <c r="HO249" s="5"/>
      <c r="HP249" s="29"/>
      <c r="HR249" s="14"/>
      <c r="HS249" s="5"/>
      <c r="HT249" s="5" t="str">
        <f>IF(HS249="","",HS249-HS250)</f>
        <v/>
      </c>
      <c r="HU249" s="5"/>
      <c r="HV249" s="29"/>
    </row>
    <row r="250" spans="1:230" ht="15" customHeight="1" x14ac:dyDescent="0.2">
      <c r="A250" s="49"/>
      <c r="B250" s="26"/>
      <c r="C250" s="4">
        <v>16610</v>
      </c>
      <c r="D250" s="5">
        <f t="shared" si="731"/>
        <v>31</v>
      </c>
      <c r="E250" s="5">
        <v>514</v>
      </c>
      <c r="F250" s="5">
        <f t="shared" si="732"/>
        <v>0</v>
      </c>
      <c r="G250" s="5">
        <v>20</v>
      </c>
      <c r="H250" s="5">
        <f t="shared" si="733"/>
        <v>0</v>
      </c>
      <c r="I250" s="35"/>
      <c r="J250" s="38" t="s">
        <v>140</v>
      </c>
      <c r="K250" s="39">
        <f t="shared" si="794"/>
        <v>358</v>
      </c>
      <c r="L250" s="5">
        <f t="shared" si="734"/>
        <v>0</v>
      </c>
      <c r="M250" s="36">
        <f t="shared" si="735"/>
        <v>0</v>
      </c>
      <c r="N250" s="29"/>
      <c r="P250" s="49"/>
      <c r="Q250" s="4">
        <v>10222</v>
      </c>
      <c r="R250" s="5">
        <f t="shared" si="736"/>
        <v>113</v>
      </c>
      <c r="S250" s="5">
        <v>172</v>
      </c>
      <c r="T250" s="5">
        <f t="shared" si="737"/>
        <v>2</v>
      </c>
      <c r="U250" s="5">
        <v>9</v>
      </c>
      <c r="V250" s="5">
        <f t="shared" si="767"/>
        <v>2</v>
      </c>
      <c r="W250" s="35"/>
      <c r="X250" s="38" t="s">
        <v>144</v>
      </c>
      <c r="Y250" s="39">
        <f t="shared" si="771"/>
        <v>825</v>
      </c>
      <c r="Z250" s="5">
        <f t="shared" si="740"/>
        <v>1650</v>
      </c>
      <c r="AA250" s="36">
        <f t="shared" si="741"/>
        <v>0.14601769911504425</v>
      </c>
      <c r="AB250" s="29"/>
      <c r="AD250" s="49"/>
      <c r="AE250" s="4">
        <v>873</v>
      </c>
      <c r="AF250" s="5">
        <f t="shared" si="742"/>
        <v>134</v>
      </c>
      <c r="AG250" s="5">
        <v>8</v>
      </c>
      <c r="AH250" s="5">
        <f t="shared" si="743"/>
        <v>4</v>
      </c>
      <c r="AI250" s="5">
        <v>5</v>
      </c>
      <c r="AJ250" s="5">
        <f t="shared" si="768"/>
        <v>4</v>
      </c>
      <c r="AK250" s="35">
        <v>4</v>
      </c>
      <c r="AL250" s="38" t="str">
        <f t="shared" si="755"/>
        <v>バタースクイーズ</v>
      </c>
      <c r="AM250" s="39">
        <f t="shared" si="744"/>
        <v>1100</v>
      </c>
      <c r="AN250" s="5">
        <f t="shared" si="745"/>
        <v>4400</v>
      </c>
      <c r="AO250" s="36">
        <f t="shared" si="746"/>
        <v>0.32835820895522388</v>
      </c>
      <c r="AP250" s="29"/>
      <c r="AR250" s="49"/>
      <c r="AS250" s="4">
        <v>816</v>
      </c>
      <c r="AT250" s="5">
        <f t="shared" si="747"/>
        <v>70</v>
      </c>
      <c r="AU250" s="5">
        <v>997</v>
      </c>
      <c r="AV250" s="5">
        <f t="shared" si="748"/>
        <v>1</v>
      </c>
      <c r="AW250" s="5">
        <v>16</v>
      </c>
      <c r="AX250" s="5">
        <f t="shared" si="769"/>
        <v>1</v>
      </c>
      <c r="AY250" s="35">
        <v>0</v>
      </c>
      <c r="AZ250" s="38" t="str">
        <f t="shared" si="749"/>
        <v>ゲーム機イヤホン</v>
      </c>
      <c r="BA250" s="39">
        <f t="shared" si="750"/>
        <v>770</v>
      </c>
      <c r="BB250" s="5">
        <f t="shared" si="751"/>
        <v>770</v>
      </c>
      <c r="BC250" s="36">
        <f t="shared" si="752"/>
        <v>0.11</v>
      </c>
      <c r="BD250" s="29"/>
      <c r="BE250" s="32"/>
      <c r="BF250" s="33"/>
      <c r="BG250" s="4">
        <v>3433</v>
      </c>
      <c r="BH250" s="4">
        <f t="shared" si="765"/>
        <v>213</v>
      </c>
      <c r="BI250" s="4">
        <v>21</v>
      </c>
      <c r="BJ250" s="5">
        <f t="shared" si="766"/>
        <v>1</v>
      </c>
      <c r="BK250" s="4">
        <v>3</v>
      </c>
      <c r="BL250" s="5">
        <f t="shared" si="756"/>
        <v>0</v>
      </c>
      <c r="BM250" s="4">
        <v>0</v>
      </c>
      <c r="BN250" s="3" t="str">
        <f>IF(BG250="","",BN246)</f>
        <v>ボンボンドロップシール</v>
      </c>
      <c r="BO250" s="39">
        <f>IF(BG249="","",BO246)</f>
        <v>1500</v>
      </c>
      <c r="BP250" s="4">
        <f t="shared" si="753"/>
        <v>0</v>
      </c>
      <c r="BQ250" s="36">
        <f>IF(BL250="","",BP250/(BH250*100))</f>
        <v>0</v>
      </c>
      <c r="BR250" s="29"/>
      <c r="BT250" s="33"/>
      <c r="BU250" s="4">
        <v>31207</v>
      </c>
      <c r="BV250" s="4">
        <f t="shared" si="757"/>
        <v>87</v>
      </c>
      <c r="BW250" s="4">
        <v>1671</v>
      </c>
      <c r="BX250" s="5">
        <f t="shared" si="758"/>
        <v>6</v>
      </c>
      <c r="BY250" s="5">
        <v>39</v>
      </c>
      <c r="BZ250" s="5">
        <f t="shared" si="763"/>
        <v>6</v>
      </c>
      <c r="CA250" s="4">
        <v>8</v>
      </c>
      <c r="CB250" s="3" t="str">
        <f>IF(BU250="","",CB246)</f>
        <v>サンリオボアポーチ</v>
      </c>
      <c r="CC250" s="39">
        <f>IF(BU249="","",CC246)</f>
        <v>950</v>
      </c>
      <c r="CD250" s="4">
        <f t="shared" si="796"/>
        <v>5700</v>
      </c>
      <c r="CE250" s="36">
        <f>IF(BZ250="","",CD250/(BV250*100))</f>
        <v>0.65517241379310343</v>
      </c>
      <c r="CF250" s="29"/>
      <c r="CH250" s="14"/>
      <c r="CI250" s="5"/>
      <c r="CJ250" s="5" t="str">
        <f>IF(CI250="","",CI250-CI248)</f>
        <v/>
      </c>
      <c r="CK250" s="5"/>
      <c r="CL250" s="5" t="str">
        <f>IF(CK250="","",CK250-CK248)</f>
        <v/>
      </c>
      <c r="CM250" s="5"/>
      <c r="CN250" s="5" t="str">
        <f>IF(CM250="","",CM248+CO248-CM250)</f>
        <v/>
      </c>
      <c r="CO250" s="5"/>
      <c r="CP250" s="5"/>
      <c r="CQ250" s="5"/>
      <c r="CR250" s="5" t="str">
        <f t="shared" si="772"/>
        <v/>
      </c>
      <c r="CS250" s="36" t="str">
        <f t="shared" si="773"/>
        <v/>
      </c>
      <c r="CT250" s="29"/>
      <c r="CV250" s="14"/>
      <c r="CW250" s="5"/>
      <c r="CX250" s="5" t="str">
        <f>IF(CW250="","",CW250-CW248)</f>
        <v/>
      </c>
      <c r="CY250" s="5"/>
      <c r="CZ250" s="5" t="str">
        <f>IF(CY250="","",CY250-CY248)</f>
        <v/>
      </c>
      <c r="DA250" s="5"/>
      <c r="DB250" s="5" t="str">
        <f>IF(DA250="","",DA248+DC248-DA250)</f>
        <v/>
      </c>
      <c r="DC250" s="5"/>
      <c r="DD250" s="5"/>
      <c r="DE250" s="5"/>
      <c r="DF250" s="5" t="str">
        <f t="shared" si="774"/>
        <v/>
      </c>
      <c r="DG250" s="36" t="str">
        <f t="shared" si="775"/>
        <v/>
      </c>
      <c r="DH250" s="29"/>
      <c r="DJ250" s="14"/>
      <c r="DK250" s="5"/>
      <c r="DL250" s="5" t="str">
        <f>IF(DK250="","",DK250-DK248)</f>
        <v/>
      </c>
      <c r="DM250" s="5"/>
      <c r="DN250" s="5" t="str">
        <f>IF(DM250="","",DM250-DM248)</f>
        <v/>
      </c>
      <c r="DO250" s="5"/>
      <c r="DP250" s="5" t="str">
        <f>IF(DO250="","",DO248+DQ248-DO250)</f>
        <v/>
      </c>
      <c r="DQ250" s="5"/>
      <c r="DR250" s="5"/>
      <c r="DS250" s="5"/>
      <c r="DT250" s="5" t="str">
        <f t="shared" si="776"/>
        <v/>
      </c>
      <c r="DU250" s="36" t="str">
        <f t="shared" si="777"/>
        <v/>
      </c>
      <c r="DV250" s="29"/>
      <c r="DX250" s="14"/>
      <c r="DY250" s="5"/>
      <c r="DZ250" s="5" t="str">
        <f>IF(DY250="","",DY250-DY248)</f>
        <v/>
      </c>
      <c r="EA250" s="5"/>
      <c r="EB250" s="5" t="str">
        <f>IF(EA250="","",EA250-EA248)</f>
        <v/>
      </c>
      <c r="EC250" s="5"/>
      <c r="ED250" s="5" t="str">
        <f>IF(EC250="","",EC248+EE248-EC250)</f>
        <v/>
      </c>
      <c r="EE250" s="5"/>
      <c r="EF250" s="5"/>
      <c r="EG250" s="5"/>
      <c r="EH250" s="5" t="str">
        <f t="shared" si="778"/>
        <v/>
      </c>
      <c r="EI250" s="36" t="str">
        <f t="shared" si="779"/>
        <v/>
      </c>
      <c r="EJ250" s="29"/>
      <c r="EL250" s="14"/>
      <c r="EM250" s="5"/>
      <c r="EN250" s="5" t="str">
        <f>IF(EM250="","",EM250-EM248)</f>
        <v/>
      </c>
      <c r="EO250" s="5"/>
      <c r="EP250" s="5" t="str">
        <f>IF(EO250="","",EO250-EO248)</f>
        <v/>
      </c>
      <c r="EQ250" s="5"/>
      <c r="ER250" s="5" t="str">
        <f>IF(EQ250="","",EQ248+ES248-EQ250)</f>
        <v/>
      </c>
      <c r="ES250" s="5"/>
      <c r="ET250" s="5"/>
      <c r="EU250" s="5"/>
      <c r="EV250" s="5" t="str">
        <f t="shared" si="780"/>
        <v/>
      </c>
      <c r="EW250" s="36" t="str">
        <f t="shared" si="781"/>
        <v/>
      </c>
      <c r="EX250" s="29"/>
      <c r="EZ250" s="14"/>
      <c r="FA250" s="5"/>
      <c r="FB250" s="5" t="str">
        <f>IF(FA250="","",FA250-FA248)</f>
        <v/>
      </c>
      <c r="FC250" s="5"/>
      <c r="FD250" s="5" t="str">
        <f>IF(FC250="","",FC250-FC248)</f>
        <v/>
      </c>
      <c r="FE250" s="5"/>
      <c r="FF250" s="5" t="str">
        <f>IF(FE250="","",FE248+FG248-FE250)</f>
        <v/>
      </c>
      <c r="FG250" s="5"/>
      <c r="FH250" s="5"/>
      <c r="FI250" s="5"/>
      <c r="FJ250" s="5" t="str">
        <f t="shared" si="782"/>
        <v/>
      </c>
      <c r="FK250" s="36" t="str">
        <f t="shared" si="783"/>
        <v/>
      </c>
      <c r="FL250" s="29"/>
      <c r="FN250" s="14"/>
      <c r="FO250" s="5"/>
      <c r="FP250" s="5" t="str">
        <f>IF(FO250="","",FO250-FO248)</f>
        <v/>
      </c>
      <c r="FQ250" s="5"/>
      <c r="FR250" s="5" t="str">
        <f>IF(FQ250="","",FQ250-FQ248)</f>
        <v/>
      </c>
      <c r="FS250" s="5"/>
      <c r="FT250" s="5" t="str">
        <f>IF(FS250="","",FS248+FU248-FS250)</f>
        <v/>
      </c>
      <c r="FU250" s="5"/>
      <c r="FV250" s="5"/>
      <c r="FW250" s="5"/>
      <c r="FX250" s="5" t="str">
        <f t="shared" si="784"/>
        <v/>
      </c>
      <c r="FY250" s="36" t="str">
        <f t="shared" si="785"/>
        <v/>
      </c>
      <c r="FZ250" s="29"/>
      <c r="GB250" s="14"/>
      <c r="GC250" s="5"/>
      <c r="GD250" s="5" t="str">
        <f>IF(GC250="","",GC250-GC248)</f>
        <v/>
      </c>
      <c r="GE250" s="5"/>
      <c r="GF250" s="5" t="str">
        <f>IF(GE250="","",GE250-GE248)</f>
        <v/>
      </c>
      <c r="GG250" s="5"/>
      <c r="GH250" s="5" t="str">
        <f>IF(GG250="","",GG248+GI248-GG250)</f>
        <v/>
      </c>
      <c r="GI250" s="5"/>
      <c r="GJ250" s="5"/>
      <c r="GK250" s="5"/>
      <c r="GL250" s="5" t="str">
        <f t="shared" si="786"/>
        <v/>
      </c>
      <c r="GM250" s="36" t="str">
        <f t="shared" si="787"/>
        <v/>
      </c>
      <c r="GN250" s="29"/>
      <c r="GP250" s="14"/>
      <c r="GQ250" s="5"/>
      <c r="GR250" s="5" t="str">
        <f>IF(GQ250="","",GQ250-GQ248)</f>
        <v/>
      </c>
      <c r="GS250" s="5"/>
      <c r="GT250" s="5" t="str">
        <f>IF(GS250="","",GS250-GS248)</f>
        <v/>
      </c>
      <c r="GU250" s="5"/>
      <c r="GV250" s="5" t="str">
        <f>IF(GU250="","",GU250-GU248)</f>
        <v/>
      </c>
      <c r="GW250" s="5"/>
      <c r="GX250" s="5" t="str">
        <f>IF(GW250="","",GW248+GY248-GW250)</f>
        <v/>
      </c>
      <c r="GY250" s="5"/>
      <c r="GZ250" s="5"/>
      <c r="HA250" s="5"/>
      <c r="HB250" s="5" t="str">
        <f t="shared" si="788"/>
        <v/>
      </c>
      <c r="HC250" s="36" t="str">
        <f t="shared" si="789"/>
        <v/>
      </c>
      <c r="HD250" s="29"/>
      <c r="HF250" s="14"/>
      <c r="HG250" s="5"/>
      <c r="HH250" s="5" t="str">
        <f>IF(HG250="","",HG250-HG248)</f>
        <v/>
      </c>
      <c r="HI250" s="5"/>
      <c r="HJ250" s="29"/>
      <c r="HL250" s="14"/>
      <c r="HM250" s="5"/>
      <c r="HN250" s="5" t="str">
        <f>IF(HM250="","",HM250-HM248)</f>
        <v/>
      </c>
      <c r="HO250" s="5"/>
      <c r="HP250" s="29"/>
      <c r="HR250" s="14"/>
      <c r="HS250" s="5"/>
      <c r="HT250" s="5" t="str">
        <f>IF(HS250="","",HS250-HS248)</f>
        <v/>
      </c>
      <c r="HU250" s="5"/>
      <c r="HV250" s="29"/>
    </row>
    <row r="251" spans="1:230" ht="15" customHeight="1" x14ac:dyDescent="0.2">
      <c r="A251" s="54"/>
      <c r="B251" s="37"/>
      <c r="C251" s="57">
        <v>18152</v>
      </c>
      <c r="D251" s="5">
        <f t="shared" si="731"/>
        <v>28</v>
      </c>
      <c r="E251" s="5">
        <v>635</v>
      </c>
      <c r="F251" s="5">
        <f t="shared" si="732"/>
        <v>0</v>
      </c>
      <c r="G251" s="5">
        <v>49</v>
      </c>
      <c r="H251" s="5">
        <f t="shared" si="733"/>
        <v>0</v>
      </c>
      <c r="I251" s="35"/>
      <c r="J251" s="38" t="str">
        <f t="shared" si="794"/>
        <v>アングリーキーホルダー</v>
      </c>
      <c r="K251" s="5">
        <f t="shared" si="794"/>
        <v>100</v>
      </c>
      <c r="L251" s="5">
        <f t="shared" si="734"/>
        <v>0</v>
      </c>
      <c r="M251" s="36">
        <f t="shared" si="735"/>
        <v>0</v>
      </c>
      <c r="N251" s="29"/>
      <c r="P251" s="54"/>
      <c r="Q251" s="57">
        <v>10148</v>
      </c>
      <c r="R251" s="5">
        <f t="shared" si="736"/>
        <v>22</v>
      </c>
      <c r="S251" s="5">
        <v>271</v>
      </c>
      <c r="T251" s="5">
        <f t="shared" si="737"/>
        <v>0</v>
      </c>
      <c r="U251" s="5">
        <v>11</v>
      </c>
      <c r="V251" s="5">
        <f t="shared" si="767"/>
        <v>0</v>
      </c>
      <c r="W251" s="35"/>
      <c r="X251" s="38" t="str">
        <f t="shared" si="739"/>
        <v>ギャルキティマスコット</v>
      </c>
      <c r="Y251" s="5">
        <f t="shared" si="771"/>
        <v>638</v>
      </c>
      <c r="Z251" s="5">
        <f t="shared" si="740"/>
        <v>0</v>
      </c>
      <c r="AA251" s="36">
        <f t="shared" si="741"/>
        <v>0</v>
      </c>
      <c r="AB251" s="29"/>
      <c r="AD251" s="54"/>
      <c r="AE251" s="57">
        <v>825</v>
      </c>
      <c r="AF251" s="5">
        <f t="shared" si="742"/>
        <v>56</v>
      </c>
      <c r="AG251" s="5">
        <v>21</v>
      </c>
      <c r="AH251" s="5">
        <f t="shared" si="743"/>
        <v>2</v>
      </c>
      <c r="AI251" s="5">
        <v>7</v>
      </c>
      <c r="AJ251" s="5">
        <f t="shared" si="768"/>
        <v>2</v>
      </c>
      <c r="AK251" s="35">
        <v>0</v>
      </c>
      <c r="AL251" s="38" t="str">
        <f t="shared" si="755"/>
        <v>たまごっちマスコット</v>
      </c>
      <c r="AM251" s="5">
        <f t="shared" si="744"/>
        <v>1500</v>
      </c>
      <c r="AN251" s="5">
        <f t="shared" si="745"/>
        <v>3000</v>
      </c>
      <c r="AO251" s="36">
        <f t="shared" si="746"/>
        <v>0.5357142857142857</v>
      </c>
      <c r="AP251" s="29" t="s">
        <v>142</v>
      </c>
      <c r="AR251" s="54"/>
      <c r="AS251" s="57">
        <v>629</v>
      </c>
      <c r="AT251" s="5">
        <f t="shared" si="747"/>
        <v>48</v>
      </c>
      <c r="AU251" s="5">
        <v>998</v>
      </c>
      <c r="AV251" s="5">
        <f t="shared" si="748"/>
        <v>1</v>
      </c>
      <c r="AW251" s="5">
        <v>9</v>
      </c>
      <c r="AX251" s="5">
        <f t="shared" si="769"/>
        <v>1</v>
      </c>
      <c r="AY251" s="35">
        <v>0</v>
      </c>
      <c r="AZ251" s="38" t="str">
        <f t="shared" si="749"/>
        <v>ゲームアーク</v>
      </c>
      <c r="BA251" s="5">
        <f t="shared" si="750"/>
        <v>682</v>
      </c>
      <c r="BB251" s="5">
        <f t="shared" si="751"/>
        <v>682</v>
      </c>
      <c r="BC251" s="36">
        <f t="shared" si="752"/>
        <v>0.14208333333333334</v>
      </c>
      <c r="BD251" s="29"/>
      <c r="BE251" s="32"/>
      <c r="BF251" s="25"/>
      <c r="BG251" s="5">
        <v>978</v>
      </c>
      <c r="BH251" s="57">
        <f t="shared" si="765"/>
        <v>268</v>
      </c>
      <c r="BI251" s="5">
        <v>5</v>
      </c>
      <c r="BJ251" s="5">
        <f t="shared" si="766"/>
        <v>2</v>
      </c>
      <c r="BK251" s="5">
        <v>2</v>
      </c>
      <c r="BL251" s="5">
        <f t="shared" si="756"/>
        <v>1</v>
      </c>
      <c r="BM251" s="57">
        <v>1</v>
      </c>
      <c r="BN251" s="3" t="str">
        <f>IF(BG249="","",BN247)</f>
        <v>プチドロップシール</v>
      </c>
      <c r="BO251" s="39">
        <f>IF(BG249="","",BO247)</f>
        <v>800</v>
      </c>
      <c r="BP251" s="5">
        <f t="shared" si="753"/>
        <v>800</v>
      </c>
      <c r="BQ251" s="36">
        <f>IF(BL251="","",BP251/(BH250*100))</f>
        <v>3.7558685446009391E-2</v>
      </c>
      <c r="BR251" s="29"/>
      <c r="BT251" s="25"/>
      <c r="BU251" s="5"/>
      <c r="BV251" s="57" t="str">
        <f t="shared" si="757"/>
        <v/>
      </c>
      <c r="BW251" s="5"/>
      <c r="BX251" s="5" t="str">
        <f t="shared" si="758"/>
        <v/>
      </c>
      <c r="BY251" s="5"/>
      <c r="BZ251" s="5"/>
      <c r="CA251" s="57"/>
      <c r="CB251" s="3"/>
      <c r="CC251" s="39"/>
      <c r="CD251" s="5"/>
      <c r="CE251" s="36"/>
      <c r="CF251" s="29"/>
      <c r="CH251" s="14"/>
      <c r="CI251" s="39"/>
      <c r="CJ251" s="5" t="str">
        <f>IF(CI251="","",CI251-CI249)</f>
        <v/>
      </c>
      <c r="CK251" s="5"/>
      <c r="CL251" s="5"/>
      <c r="CM251" s="5"/>
      <c r="CN251" s="5" t="str">
        <f>IF(CM251="","",CM249+CO249-CM251)</f>
        <v/>
      </c>
      <c r="CO251" s="5"/>
      <c r="CP251" s="5"/>
      <c r="CQ251" s="5"/>
      <c r="CR251" s="5" t="str">
        <f t="shared" si="772"/>
        <v/>
      </c>
      <c r="CS251" s="36" t="str">
        <f t="shared" si="773"/>
        <v/>
      </c>
      <c r="CT251" s="29"/>
      <c r="CV251" s="14"/>
      <c r="CW251" s="39"/>
      <c r="CX251" s="5" t="str">
        <f>IF(CW251="","",CW251-CW249)</f>
        <v/>
      </c>
      <c r="CY251" s="5"/>
      <c r="CZ251" s="5"/>
      <c r="DA251" s="5"/>
      <c r="DB251" s="5" t="str">
        <f>IF(DA251="","",DA249+DC249-DA251)</f>
        <v/>
      </c>
      <c r="DC251" s="5"/>
      <c r="DD251" s="5"/>
      <c r="DE251" s="5"/>
      <c r="DF251" s="5" t="str">
        <f t="shared" si="774"/>
        <v/>
      </c>
      <c r="DG251" s="36" t="str">
        <f t="shared" si="775"/>
        <v/>
      </c>
      <c r="DH251" s="29"/>
      <c r="DJ251" s="14"/>
      <c r="DK251" s="39"/>
      <c r="DL251" s="5" t="str">
        <f>IF(DK251="","",DK251-DK249)</f>
        <v/>
      </c>
      <c r="DM251" s="5"/>
      <c r="DN251" s="5"/>
      <c r="DO251" s="5"/>
      <c r="DP251" s="5" t="str">
        <f>IF(DO251="","",DO249+DQ249-DO251)</f>
        <v/>
      </c>
      <c r="DQ251" s="5"/>
      <c r="DR251" s="5"/>
      <c r="DS251" s="5"/>
      <c r="DT251" s="5" t="str">
        <f t="shared" si="776"/>
        <v/>
      </c>
      <c r="DU251" s="36" t="str">
        <f t="shared" si="777"/>
        <v/>
      </c>
      <c r="DV251" s="29"/>
      <c r="DX251" s="14"/>
      <c r="DY251" s="39"/>
      <c r="DZ251" s="5" t="str">
        <f>IF(DY251="","",DY251-DY249)</f>
        <v/>
      </c>
      <c r="EA251" s="5"/>
      <c r="EB251" s="5"/>
      <c r="EC251" s="5"/>
      <c r="ED251" s="5" t="str">
        <f>IF(EC251="","",EC249+EE249-EC251)</f>
        <v/>
      </c>
      <c r="EE251" s="5"/>
      <c r="EF251" s="5"/>
      <c r="EG251" s="5"/>
      <c r="EH251" s="5" t="str">
        <f t="shared" si="778"/>
        <v/>
      </c>
      <c r="EI251" s="36" t="str">
        <f t="shared" si="779"/>
        <v/>
      </c>
      <c r="EJ251" s="29"/>
      <c r="EL251" s="14"/>
      <c r="EM251" s="39"/>
      <c r="EN251" s="5" t="str">
        <f>IF(EM251="","",EM251-EM249)</f>
        <v/>
      </c>
      <c r="EO251" s="5"/>
      <c r="EP251" s="5"/>
      <c r="EQ251" s="5"/>
      <c r="ER251" s="5" t="str">
        <f>IF(EQ251="","",EQ249+ES249-EQ251)</f>
        <v/>
      </c>
      <c r="ES251" s="5"/>
      <c r="ET251" s="5"/>
      <c r="EU251" s="5"/>
      <c r="EV251" s="5" t="str">
        <f t="shared" si="780"/>
        <v/>
      </c>
      <c r="EW251" s="36" t="str">
        <f t="shared" si="781"/>
        <v/>
      </c>
      <c r="EX251" s="29"/>
      <c r="EZ251" s="14"/>
      <c r="FA251" s="39"/>
      <c r="FB251" s="5" t="str">
        <f>IF(FA251="","",FA251-FA249)</f>
        <v/>
      </c>
      <c r="FC251" s="5"/>
      <c r="FD251" s="5"/>
      <c r="FE251" s="5"/>
      <c r="FF251" s="5" t="str">
        <f>IF(FE251="","",FE249+FG249-FE251)</f>
        <v/>
      </c>
      <c r="FG251" s="5"/>
      <c r="FH251" s="5"/>
      <c r="FI251" s="5"/>
      <c r="FJ251" s="5" t="str">
        <f t="shared" si="782"/>
        <v/>
      </c>
      <c r="FK251" s="36" t="str">
        <f t="shared" si="783"/>
        <v/>
      </c>
      <c r="FL251" s="29"/>
      <c r="FN251" s="14"/>
      <c r="FO251" s="39"/>
      <c r="FP251" s="5" t="str">
        <f>IF(FO251="","",FO251-FO249)</f>
        <v/>
      </c>
      <c r="FQ251" s="5"/>
      <c r="FR251" s="5"/>
      <c r="FS251" s="5"/>
      <c r="FT251" s="5" t="str">
        <f>IF(FS251="","",FS249+FU249-FS251)</f>
        <v/>
      </c>
      <c r="FU251" s="5"/>
      <c r="FV251" s="5"/>
      <c r="FW251" s="5"/>
      <c r="FX251" s="5" t="str">
        <f t="shared" si="784"/>
        <v/>
      </c>
      <c r="FY251" s="36" t="str">
        <f t="shared" si="785"/>
        <v/>
      </c>
      <c r="FZ251" s="29"/>
      <c r="GB251" s="14"/>
      <c r="GC251" s="39"/>
      <c r="GD251" s="5" t="str">
        <f>IF(GC251="","",GC251-GC249)</f>
        <v/>
      </c>
      <c r="GE251" s="5"/>
      <c r="GF251" s="5"/>
      <c r="GG251" s="5"/>
      <c r="GH251" s="5" t="str">
        <f>IF(GG251="","",GG249+GI249-GG251)</f>
        <v/>
      </c>
      <c r="GI251" s="5"/>
      <c r="GJ251" s="5"/>
      <c r="GK251" s="5"/>
      <c r="GL251" s="5" t="str">
        <f t="shared" si="786"/>
        <v/>
      </c>
      <c r="GM251" s="36" t="str">
        <f t="shared" si="787"/>
        <v/>
      </c>
      <c r="GN251" s="29"/>
      <c r="GP251" s="14"/>
      <c r="GQ251" s="39"/>
      <c r="GR251" s="5" t="str">
        <f>IF(GQ251="","",GQ251-GQ249)</f>
        <v/>
      </c>
      <c r="GS251" s="5"/>
      <c r="GT251" s="5" t="str">
        <f>IF(GS251="","",GS251-GS249)</f>
        <v/>
      </c>
      <c r="GU251" s="5"/>
      <c r="GV251" s="5"/>
      <c r="GW251" s="5"/>
      <c r="GX251" s="5" t="str">
        <f>IF(GW251="","",GW249+GY249-GW251)</f>
        <v/>
      </c>
      <c r="GY251" s="5"/>
      <c r="GZ251" s="5"/>
      <c r="HA251" s="5"/>
      <c r="HB251" s="5" t="str">
        <f t="shared" si="788"/>
        <v/>
      </c>
      <c r="HC251" s="36" t="str">
        <f t="shared" si="789"/>
        <v/>
      </c>
      <c r="HD251" s="29"/>
      <c r="HF251" s="14"/>
      <c r="HG251" s="39"/>
      <c r="HH251" s="5" t="str">
        <f>IF(HG251="","",HG251-HG249)</f>
        <v/>
      </c>
      <c r="HI251" s="5"/>
      <c r="HJ251" s="29"/>
      <c r="HL251" s="14"/>
      <c r="HM251" s="39"/>
      <c r="HN251" s="5" t="str">
        <f>IF(HM251="","",HM251-HM249)</f>
        <v/>
      </c>
      <c r="HO251" s="5"/>
      <c r="HP251" s="29"/>
      <c r="HR251" s="14"/>
      <c r="HS251" s="39"/>
      <c r="HT251" s="5" t="str">
        <f>IF(HS251="","",HS251-HS249)</f>
        <v/>
      </c>
      <c r="HU251" s="5"/>
      <c r="HV251" s="29"/>
    </row>
    <row r="252" spans="1:230" ht="15" customHeight="1" thickBot="1" x14ac:dyDescent="0.25">
      <c r="A252" s="60"/>
      <c r="B252" s="73"/>
      <c r="C252" s="43">
        <v>22262</v>
      </c>
      <c r="D252" s="61">
        <f t="shared" si="731"/>
        <v>93</v>
      </c>
      <c r="E252" s="44">
        <v>1149</v>
      </c>
      <c r="F252" s="44">
        <f t="shared" si="732"/>
        <v>2</v>
      </c>
      <c r="G252" s="44">
        <v>7</v>
      </c>
      <c r="H252" s="44">
        <f t="shared" si="733"/>
        <v>2</v>
      </c>
      <c r="I252" s="62">
        <v>1</v>
      </c>
      <c r="J252" s="47" t="str">
        <f t="shared" si="794"/>
        <v>パステルケーキ</v>
      </c>
      <c r="K252" s="61">
        <f t="shared" si="794"/>
        <v>187</v>
      </c>
      <c r="L252" s="44">
        <f t="shared" si="734"/>
        <v>374</v>
      </c>
      <c r="M252" s="46">
        <f t="shared" si="735"/>
        <v>4.021505376344086E-2</v>
      </c>
      <c r="N252" s="29"/>
      <c r="P252" s="60"/>
      <c r="Q252" s="43">
        <v>8777</v>
      </c>
      <c r="R252" s="61">
        <f t="shared" si="736"/>
        <v>30</v>
      </c>
      <c r="S252" s="44">
        <v>211</v>
      </c>
      <c r="T252" s="44">
        <f t="shared" si="737"/>
        <v>6</v>
      </c>
      <c r="U252" s="44">
        <v>318</v>
      </c>
      <c r="V252" s="44">
        <f t="shared" si="767"/>
        <v>6</v>
      </c>
      <c r="W252" s="62"/>
      <c r="X252" s="47" t="s">
        <v>141</v>
      </c>
      <c r="Y252" s="61">
        <f t="shared" si="771"/>
        <v>350</v>
      </c>
      <c r="Z252" s="44">
        <f t="shared" si="740"/>
        <v>2100</v>
      </c>
      <c r="AA252" s="46">
        <f t="shared" si="741"/>
        <v>0.7</v>
      </c>
      <c r="AB252" s="29"/>
      <c r="AD252" s="60"/>
      <c r="AE252" s="43">
        <v>434</v>
      </c>
      <c r="AF252" s="61">
        <f t="shared" si="742"/>
        <v>38</v>
      </c>
      <c r="AG252" s="44">
        <v>13</v>
      </c>
      <c r="AH252" s="44">
        <f t="shared" si="743"/>
        <v>2</v>
      </c>
      <c r="AI252" s="44">
        <v>83</v>
      </c>
      <c r="AJ252" s="44">
        <f t="shared" si="768"/>
        <v>2</v>
      </c>
      <c r="AK252" s="62">
        <v>15</v>
      </c>
      <c r="AL252" s="47" t="str">
        <f t="shared" si="755"/>
        <v>キティボールペン</v>
      </c>
      <c r="AM252" s="61">
        <f t="shared" si="744"/>
        <v>283</v>
      </c>
      <c r="AN252" s="44">
        <f t="shared" si="745"/>
        <v>566</v>
      </c>
      <c r="AO252" s="46">
        <f t="shared" si="746"/>
        <v>0.14894736842105263</v>
      </c>
      <c r="AP252" s="29"/>
      <c r="AR252" s="60"/>
      <c r="AS252" s="43">
        <v>446</v>
      </c>
      <c r="AT252" s="61">
        <f t="shared" si="747"/>
        <v>79</v>
      </c>
      <c r="AU252" s="44">
        <v>10</v>
      </c>
      <c r="AV252" s="44">
        <f t="shared" si="748"/>
        <v>2</v>
      </c>
      <c r="AW252" s="44">
        <v>13</v>
      </c>
      <c r="AX252" s="44">
        <f t="shared" si="769"/>
        <v>3</v>
      </c>
      <c r="AY252" s="62">
        <v>5</v>
      </c>
      <c r="AZ252" s="47" t="str">
        <f t="shared" si="749"/>
        <v>しばこ</v>
      </c>
      <c r="BA252" s="61">
        <f t="shared" si="750"/>
        <v>110</v>
      </c>
      <c r="BB252" s="44">
        <f t="shared" si="751"/>
        <v>330</v>
      </c>
      <c r="BC252" s="46">
        <f t="shared" si="752"/>
        <v>4.1772151898734178E-2</v>
      </c>
      <c r="BD252" s="29"/>
      <c r="BE252" s="32"/>
      <c r="BF252" s="41"/>
      <c r="BG252" s="77">
        <v>2810</v>
      </c>
      <c r="BH252" s="43">
        <f t="shared" si="765"/>
        <v>77</v>
      </c>
      <c r="BI252" s="61">
        <v>25</v>
      </c>
      <c r="BJ252" s="44">
        <f t="shared" si="766"/>
        <v>0</v>
      </c>
      <c r="BK252" s="44">
        <v>3</v>
      </c>
      <c r="BL252" s="44">
        <f t="shared" si="756"/>
        <v>0</v>
      </c>
      <c r="BM252" s="44">
        <v>0</v>
      </c>
      <c r="BN252" s="45" t="str">
        <f>IF(BG250="","",BN248)</f>
        <v>ボンボンドロップシール</v>
      </c>
      <c r="BO252" s="61">
        <f>IF(BG249="","",BO248)</f>
        <v>1500</v>
      </c>
      <c r="BP252" s="44">
        <f t="shared" si="753"/>
        <v>0</v>
      </c>
      <c r="BQ252" s="46">
        <f>IF(BL252="","",BP252/(BH250*100))</f>
        <v>0</v>
      </c>
      <c r="BR252" s="29"/>
      <c r="BT252" s="41"/>
      <c r="BU252" s="77"/>
      <c r="BV252" s="43" t="str">
        <f t="shared" si="757"/>
        <v/>
      </c>
      <c r="BW252" s="61"/>
      <c r="BX252" s="44" t="str">
        <f t="shared" si="758"/>
        <v/>
      </c>
      <c r="BY252" s="44"/>
      <c r="BZ252" s="44"/>
      <c r="CA252" s="44"/>
      <c r="CB252" s="45"/>
      <c r="CC252" s="61"/>
      <c r="CD252" s="44"/>
      <c r="CE252" s="46"/>
      <c r="CF252" s="29"/>
      <c r="CH252" s="14"/>
      <c r="CI252" s="39"/>
      <c r="CJ252" s="5" t="str">
        <f t="shared" ref="CJ252:CJ272" si="797">IF(CI252="","",CI252-CI251)</f>
        <v/>
      </c>
      <c r="CK252" s="5"/>
      <c r="CL252" s="5"/>
      <c r="CM252" s="5"/>
      <c r="CN252" s="5" t="str">
        <f t="shared" ref="CN252:CN272" si="798">IF(CM252="","",CM251+CO251-CM252)</f>
        <v/>
      </c>
      <c r="CO252" s="5"/>
      <c r="CP252" s="5"/>
      <c r="CQ252" s="5"/>
      <c r="CR252" s="5" t="str">
        <f t="shared" si="772"/>
        <v/>
      </c>
      <c r="CS252" s="36" t="str">
        <f t="shared" si="773"/>
        <v/>
      </c>
      <c r="CT252" s="29"/>
      <c r="CV252" s="14"/>
      <c r="CW252" s="39"/>
      <c r="CX252" s="5" t="str">
        <f t="shared" ref="CX252:CX272" si="799">IF(CW252="","",CW252-CW251)</f>
        <v/>
      </c>
      <c r="CY252" s="5"/>
      <c r="CZ252" s="5"/>
      <c r="DA252" s="5"/>
      <c r="DB252" s="5" t="str">
        <f t="shared" ref="DB252:DB272" si="800">IF(DA252="","",DA251+DC251-DA252)</f>
        <v/>
      </c>
      <c r="DC252" s="5"/>
      <c r="DD252" s="5"/>
      <c r="DE252" s="5"/>
      <c r="DF252" s="5" t="str">
        <f t="shared" si="774"/>
        <v/>
      </c>
      <c r="DG252" s="36" t="str">
        <f t="shared" si="775"/>
        <v/>
      </c>
      <c r="DH252" s="29"/>
      <c r="DJ252" s="14"/>
      <c r="DK252" s="39"/>
      <c r="DL252" s="5" t="str">
        <f t="shared" ref="DL252:DL272" si="801">IF(DK252="","",DK252-DK251)</f>
        <v/>
      </c>
      <c r="DM252" s="5"/>
      <c r="DN252" s="5"/>
      <c r="DO252" s="5"/>
      <c r="DP252" s="5" t="str">
        <f t="shared" ref="DP252:DP272" si="802">IF(DO252="","",DO251+DQ251-DO252)</f>
        <v/>
      </c>
      <c r="DQ252" s="5"/>
      <c r="DR252" s="5"/>
      <c r="DS252" s="5"/>
      <c r="DT252" s="5" t="str">
        <f t="shared" si="776"/>
        <v/>
      </c>
      <c r="DU252" s="36" t="str">
        <f t="shared" si="777"/>
        <v/>
      </c>
      <c r="DV252" s="29"/>
      <c r="DX252" s="14"/>
      <c r="DY252" s="39"/>
      <c r="DZ252" s="5" t="str">
        <f t="shared" ref="DZ252:DZ272" si="803">IF(DY252="","",DY252-DY251)</f>
        <v/>
      </c>
      <c r="EA252" s="5"/>
      <c r="EB252" s="5"/>
      <c r="EC252" s="5"/>
      <c r="ED252" s="5" t="str">
        <f t="shared" ref="ED252:ED272" si="804">IF(EC252="","",EC251+EE251-EC252)</f>
        <v/>
      </c>
      <c r="EE252" s="5"/>
      <c r="EF252" s="5"/>
      <c r="EG252" s="5"/>
      <c r="EH252" s="5" t="str">
        <f t="shared" si="778"/>
        <v/>
      </c>
      <c r="EI252" s="36" t="str">
        <f t="shared" si="779"/>
        <v/>
      </c>
      <c r="EJ252" s="29"/>
      <c r="EL252" s="14"/>
      <c r="EM252" s="39"/>
      <c r="EN252" s="5" t="str">
        <f t="shared" ref="EN252:EN272" si="805">IF(EM252="","",EM252-EM251)</f>
        <v/>
      </c>
      <c r="EO252" s="5"/>
      <c r="EP252" s="5"/>
      <c r="EQ252" s="5"/>
      <c r="ER252" s="5" t="str">
        <f t="shared" ref="ER252:ER272" si="806">IF(EQ252="","",EQ251+ES251-EQ252)</f>
        <v/>
      </c>
      <c r="ES252" s="5"/>
      <c r="ET252" s="5"/>
      <c r="EU252" s="5"/>
      <c r="EV252" s="5" t="str">
        <f t="shared" si="780"/>
        <v/>
      </c>
      <c r="EW252" s="36" t="str">
        <f t="shared" si="781"/>
        <v/>
      </c>
      <c r="EX252" s="29"/>
      <c r="EZ252" s="14"/>
      <c r="FA252" s="39"/>
      <c r="FB252" s="5" t="str">
        <f t="shared" ref="FB252:FB272" si="807">IF(FA252="","",FA252-FA251)</f>
        <v/>
      </c>
      <c r="FC252" s="5"/>
      <c r="FD252" s="5"/>
      <c r="FE252" s="5"/>
      <c r="FF252" s="5" t="str">
        <f t="shared" ref="FF252:FF272" si="808">IF(FE252="","",FE251+FG251-FE252)</f>
        <v/>
      </c>
      <c r="FG252" s="5"/>
      <c r="FH252" s="5"/>
      <c r="FI252" s="5"/>
      <c r="FJ252" s="5" t="str">
        <f t="shared" si="782"/>
        <v/>
      </c>
      <c r="FK252" s="36" t="str">
        <f t="shared" si="783"/>
        <v/>
      </c>
      <c r="FL252" s="29"/>
      <c r="FN252" s="14"/>
      <c r="FO252" s="39"/>
      <c r="FP252" s="5" t="str">
        <f t="shared" ref="FP252:FP272" si="809">IF(FO252="","",FO252-FO251)</f>
        <v/>
      </c>
      <c r="FQ252" s="5"/>
      <c r="FR252" s="5"/>
      <c r="FS252" s="5"/>
      <c r="FT252" s="5" t="str">
        <f t="shared" ref="FT252:FT272" si="810">IF(FS252="","",FS251+FU251-FS252)</f>
        <v/>
      </c>
      <c r="FU252" s="5"/>
      <c r="FV252" s="5"/>
      <c r="FW252" s="5"/>
      <c r="FX252" s="5" t="str">
        <f t="shared" si="784"/>
        <v/>
      </c>
      <c r="FY252" s="36" t="str">
        <f t="shared" si="785"/>
        <v/>
      </c>
      <c r="FZ252" s="29"/>
      <c r="GB252" s="14"/>
      <c r="GC252" s="39"/>
      <c r="GD252" s="5" t="str">
        <f t="shared" ref="GD252:GD272" si="811">IF(GC252="","",GC252-GC251)</f>
        <v/>
      </c>
      <c r="GE252" s="5"/>
      <c r="GF252" s="5"/>
      <c r="GG252" s="5"/>
      <c r="GH252" s="5" t="str">
        <f t="shared" ref="GH252:GH272" si="812">IF(GG252="","",GG251+GI251-GG252)</f>
        <v/>
      </c>
      <c r="GI252" s="5"/>
      <c r="GJ252" s="5"/>
      <c r="GK252" s="5"/>
      <c r="GL252" s="5" t="str">
        <f t="shared" si="786"/>
        <v/>
      </c>
      <c r="GM252" s="36" t="str">
        <f t="shared" si="787"/>
        <v/>
      </c>
      <c r="GN252" s="29"/>
      <c r="GP252" s="14"/>
      <c r="GQ252" s="39"/>
      <c r="GR252" s="5" t="str">
        <f t="shared" ref="GR252:GR272" si="813">IF(GQ252="","",GQ252-GQ251)</f>
        <v/>
      </c>
      <c r="GS252" s="5"/>
      <c r="GT252" s="5" t="str">
        <f>IF(GS252="","",GS252-GS251)</f>
        <v/>
      </c>
      <c r="GU252" s="5"/>
      <c r="GV252" s="5"/>
      <c r="GW252" s="5"/>
      <c r="GX252" s="5" t="str">
        <f t="shared" ref="GX252:GX272" si="814">IF(GW252="","",GW251+GY251-GW252)</f>
        <v/>
      </c>
      <c r="GY252" s="5"/>
      <c r="GZ252" s="5"/>
      <c r="HA252" s="5"/>
      <c r="HB252" s="5" t="str">
        <f t="shared" si="788"/>
        <v/>
      </c>
      <c r="HC252" s="36" t="str">
        <f t="shared" si="789"/>
        <v/>
      </c>
      <c r="HD252" s="29"/>
      <c r="HF252" s="14"/>
      <c r="HG252" s="39"/>
      <c r="HH252" s="5" t="str">
        <f t="shared" ref="HH252:HH272" si="815">IF(HG252="","",HG252-HG251)</f>
        <v/>
      </c>
      <c r="HI252" s="5"/>
      <c r="HJ252" s="29"/>
      <c r="HL252" s="14"/>
      <c r="HM252" s="39"/>
      <c r="HN252" s="5" t="str">
        <f t="shared" ref="HN252:HN272" si="816">IF(HM252="","",HM252-HM251)</f>
        <v/>
      </c>
      <c r="HO252" s="5"/>
      <c r="HP252" s="29"/>
      <c r="HR252" s="14"/>
      <c r="HS252" s="39"/>
      <c r="HT252" s="5" t="str">
        <f t="shared" ref="HT252:HT272" si="817">IF(HS252="","",HS252-HS251)</f>
        <v/>
      </c>
      <c r="HU252" s="5"/>
      <c r="HV252" s="29"/>
    </row>
    <row r="253" spans="1:230" ht="15" customHeight="1" thickTop="1" x14ac:dyDescent="0.2">
      <c r="A253" s="49">
        <v>46098</v>
      </c>
      <c r="B253" s="26">
        <f>SUM(D253:D256)+SUM(R253:R256)+SUM(AF253:AF256)+SUM(AT253:AT256)+SUM(CJ247,DL247,DZ247,EN247,FB247,FP247,GD247,GR247,HH247,HN247,HT247)+SUM(BH253:BH254)+SUM(BV253:BV254)</f>
        <v>186</v>
      </c>
      <c r="C253" s="4">
        <v>13148</v>
      </c>
      <c r="D253" s="4">
        <f t="shared" si="731"/>
        <v>6</v>
      </c>
      <c r="E253" s="4">
        <v>338</v>
      </c>
      <c r="F253" s="50">
        <f t="shared" si="732"/>
        <v>0</v>
      </c>
      <c r="G253" s="4">
        <v>12</v>
      </c>
      <c r="H253" s="4">
        <f t="shared" si="733"/>
        <v>0</v>
      </c>
      <c r="I253" s="51"/>
      <c r="J253" s="31" t="str">
        <f t="shared" si="794"/>
        <v>ジャグラーボタン</v>
      </c>
      <c r="K253" s="27">
        <f t="shared" si="794"/>
        <v>748</v>
      </c>
      <c r="L253" s="50">
        <f t="shared" si="734"/>
        <v>0</v>
      </c>
      <c r="M253" s="52">
        <f t="shared" si="735"/>
        <v>0</v>
      </c>
      <c r="N253" s="29"/>
      <c r="P253" s="53">
        <f>IF($A253="","",$A253)</f>
        <v>46098</v>
      </c>
      <c r="Q253" s="4">
        <v>3432</v>
      </c>
      <c r="R253" s="4">
        <f t="shared" si="736"/>
        <v>6</v>
      </c>
      <c r="S253" s="4">
        <v>180</v>
      </c>
      <c r="T253" s="50">
        <f t="shared" si="737"/>
        <v>0</v>
      </c>
      <c r="U253" s="4">
        <v>2</v>
      </c>
      <c r="V253" s="4">
        <f t="shared" si="767"/>
        <v>0</v>
      </c>
      <c r="W253" s="51"/>
      <c r="X253" s="31" t="str">
        <f t="shared" si="739"/>
        <v>サンリオボアバンスクリップ</v>
      </c>
      <c r="Y253" s="27">
        <f t="shared" si="771"/>
        <v>660</v>
      </c>
      <c r="Z253" s="50">
        <f t="shared" si="740"/>
        <v>0</v>
      </c>
      <c r="AA253" s="52">
        <f t="shared" si="741"/>
        <v>0</v>
      </c>
      <c r="AB253" s="29"/>
      <c r="AD253" s="53">
        <f>IF($A253="","",$A253)</f>
        <v>46098</v>
      </c>
      <c r="AE253" s="4">
        <v>1415</v>
      </c>
      <c r="AF253" s="4">
        <f t="shared" si="742"/>
        <v>14</v>
      </c>
      <c r="AG253" s="4">
        <v>3</v>
      </c>
      <c r="AH253" s="50">
        <f t="shared" si="743"/>
        <v>0</v>
      </c>
      <c r="AI253" s="4">
        <v>19</v>
      </c>
      <c r="AJ253" s="4">
        <f t="shared" si="768"/>
        <v>0</v>
      </c>
      <c r="AK253" s="51"/>
      <c r="AL253" s="31" t="str">
        <f t="shared" si="755"/>
        <v>モンチッチがま口</v>
      </c>
      <c r="AM253" s="27">
        <f t="shared" si="744"/>
        <v>462</v>
      </c>
      <c r="AN253" s="50">
        <f t="shared" si="745"/>
        <v>0</v>
      </c>
      <c r="AO253" s="52">
        <f t="shared" si="746"/>
        <v>0</v>
      </c>
      <c r="AP253" s="29"/>
      <c r="AR253" s="53">
        <f>IF($A253="","",$A253)</f>
        <v>46098</v>
      </c>
      <c r="AS253" s="4">
        <v>824</v>
      </c>
      <c r="AT253" s="4">
        <f t="shared" si="747"/>
        <v>7</v>
      </c>
      <c r="AU253" s="4">
        <v>18</v>
      </c>
      <c r="AV253" s="50">
        <f t="shared" si="748"/>
        <v>0</v>
      </c>
      <c r="AW253" s="4">
        <v>8</v>
      </c>
      <c r="AX253" s="4">
        <f t="shared" si="769"/>
        <v>0</v>
      </c>
      <c r="AY253" s="51"/>
      <c r="AZ253" s="31" t="str">
        <f t="shared" si="749"/>
        <v>デジタルミニカメラ</v>
      </c>
      <c r="BA253" s="27">
        <f t="shared" si="750"/>
        <v>1075</v>
      </c>
      <c r="BB253" s="50">
        <f t="shared" si="751"/>
        <v>0</v>
      </c>
      <c r="BC253" s="52">
        <f t="shared" si="752"/>
        <v>0</v>
      </c>
      <c r="BD253" s="29"/>
      <c r="BE253" s="32"/>
      <c r="BF253" s="33">
        <f>IF($A253="","",$A253)</f>
        <v>46098</v>
      </c>
      <c r="BG253" s="5">
        <v>2066</v>
      </c>
      <c r="BH253" s="4">
        <f t="shared" si="765"/>
        <v>1</v>
      </c>
      <c r="BI253" s="5">
        <v>13</v>
      </c>
      <c r="BJ253" s="50">
        <f t="shared" si="766"/>
        <v>0</v>
      </c>
      <c r="BK253" s="5">
        <v>2</v>
      </c>
      <c r="BL253" s="4">
        <f t="shared" si="756"/>
        <v>1</v>
      </c>
      <c r="BM253" s="4">
        <v>1</v>
      </c>
      <c r="BN253" s="2" t="str">
        <f>IF(BG253="","",BN249)</f>
        <v>ボンボンドロップシール</v>
      </c>
      <c r="BO253" s="27">
        <f>IF(BG253="","",BO249)</f>
        <v>1500</v>
      </c>
      <c r="BP253" s="5">
        <f t="shared" si="753"/>
        <v>1500</v>
      </c>
      <c r="BQ253" s="52">
        <f>IF(BL253="","",BP253/(BH253*100))</f>
        <v>15</v>
      </c>
      <c r="BR253" s="29"/>
      <c r="BT253" s="33">
        <f>IF($A253="","",$A253)</f>
        <v>46098</v>
      </c>
      <c r="BU253" s="5">
        <v>35104</v>
      </c>
      <c r="BV253" s="4">
        <f t="shared" si="757"/>
        <v>2</v>
      </c>
      <c r="BW253" s="5">
        <v>3817</v>
      </c>
      <c r="BX253" s="50">
        <f t="shared" si="758"/>
        <v>0</v>
      </c>
      <c r="BY253" s="4">
        <v>41</v>
      </c>
      <c r="BZ253" s="4">
        <f t="shared" si="763"/>
        <v>0</v>
      </c>
      <c r="CA253" s="4"/>
      <c r="CB253" s="2" t="str">
        <f>IF(BU253="","",CB249)</f>
        <v>ベイビースリーフェイス</v>
      </c>
      <c r="CC253" s="27">
        <f>IF(BU253="","",CC249)</f>
        <v>1050</v>
      </c>
      <c r="CD253" s="5">
        <f t="shared" ref="CD253:CD254" si="818">IF(BY253="","",BZ253*CC253)</f>
        <v>0</v>
      </c>
      <c r="CE253" s="52">
        <f>IF(BZ253="","",CD253/(BV253*100))</f>
        <v>0</v>
      </c>
      <c r="CF253" s="29"/>
      <c r="CH253" s="14"/>
      <c r="CI253" s="39"/>
      <c r="CJ253" s="5" t="str">
        <f t="shared" si="797"/>
        <v/>
      </c>
      <c r="CK253" s="5"/>
      <c r="CL253" s="5"/>
      <c r="CM253" s="5"/>
      <c r="CN253" s="5" t="str">
        <f t="shared" si="798"/>
        <v/>
      </c>
      <c r="CO253" s="5"/>
      <c r="CP253" s="5"/>
      <c r="CQ253" s="5"/>
      <c r="CR253" s="5" t="str">
        <f t="shared" si="772"/>
        <v/>
      </c>
      <c r="CS253" s="36" t="str">
        <f t="shared" si="773"/>
        <v/>
      </c>
      <c r="CT253" s="29"/>
      <c r="CV253" s="14"/>
      <c r="CW253" s="39"/>
      <c r="CX253" s="5" t="str">
        <f t="shared" si="799"/>
        <v/>
      </c>
      <c r="CY253" s="5"/>
      <c r="CZ253" s="5"/>
      <c r="DA253" s="5"/>
      <c r="DB253" s="5" t="str">
        <f t="shared" si="800"/>
        <v/>
      </c>
      <c r="DC253" s="5"/>
      <c r="DD253" s="5"/>
      <c r="DE253" s="5"/>
      <c r="DF253" s="5" t="str">
        <f t="shared" si="774"/>
        <v/>
      </c>
      <c r="DG253" s="36" t="str">
        <f t="shared" si="775"/>
        <v/>
      </c>
      <c r="DH253" s="29"/>
      <c r="DJ253" s="14"/>
      <c r="DK253" s="39"/>
      <c r="DL253" s="5" t="str">
        <f t="shared" si="801"/>
        <v/>
      </c>
      <c r="DM253" s="5"/>
      <c r="DN253" s="5"/>
      <c r="DO253" s="5"/>
      <c r="DP253" s="5" t="str">
        <f t="shared" si="802"/>
        <v/>
      </c>
      <c r="DQ253" s="5"/>
      <c r="DR253" s="5"/>
      <c r="DS253" s="5"/>
      <c r="DT253" s="5" t="str">
        <f t="shared" si="776"/>
        <v/>
      </c>
      <c r="DU253" s="36" t="str">
        <f t="shared" si="777"/>
        <v/>
      </c>
      <c r="DV253" s="29"/>
      <c r="DX253" s="14"/>
      <c r="DY253" s="39"/>
      <c r="DZ253" s="5" t="str">
        <f t="shared" si="803"/>
        <v/>
      </c>
      <c r="EA253" s="5"/>
      <c r="EB253" s="5"/>
      <c r="EC253" s="5"/>
      <c r="ED253" s="5" t="str">
        <f t="shared" si="804"/>
        <v/>
      </c>
      <c r="EE253" s="5"/>
      <c r="EF253" s="5"/>
      <c r="EG253" s="5"/>
      <c r="EH253" s="5" t="str">
        <f t="shared" si="778"/>
        <v/>
      </c>
      <c r="EI253" s="36" t="str">
        <f t="shared" si="779"/>
        <v/>
      </c>
      <c r="EJ253" s="29"/>
      <c r="EL253" s="14"/>
      <c r="EM253" s="39"/>
      <c r="EN253" s="5" t="str">
        <f t="shared" si="805"/>
        <v/>
      </c>
      <c r="EO253" s="5"/>
      <c r="EP253" s="5"/>
      <c r="EQ253" s="5"/>
      <c r="ER253" s="5" t="str">
        <f t="shared" si="806"/>
        <v/>
      </c>
      <c r="ES253" s="5"/>
      <c r="ET253" s="5"/>
      <c r="EU253" s="5"/>
      <c r="EV253" s="5" t="str">
        <f t="shared" si="780"/>
        <v/>
      </c>
      <c r="EW253" s="36" t="str">
        <f t="shared" si="781"/>
        <v/>
      </c>
      <c r="EX253" s="29"/>
      <c r="EZ253" s="14"/>
      <c r="FA253" s="39"/>
      <c r="FB253" s="5" t="str">
        <f t="shared" si="807"/>
        <v/>
      </c>
      <c r="FC253" s="5"/>
      <c r="FD253" s="5"/>
      <c r="FE253" s="5"/>
      <c r="FF253" s="5" t="str">
        <f t="shared" si="808"/>
        <v/>
      </c>
      <c r="FG253" s="5"/>
      <c r="FH253" s="5"/>
      <c r="FI253" s="5"/>
      <c r="FJ253" s="5" t="str">
        <f t="shared" si="782"/>
        <v/>
      </c>
      <c r="FK253" s="36" t="str">
        <f t="shared" si="783"/>
        <v/>
      </c>
      <c r="FL253" s="29"/>
      <c r="FN253" s="14"/>
      <c r="FO253" s="39"/>
      <c r="FP253" s="5" t="str">
        <f t="shared" si="809"/>
        <v/>
      </c>
      <c r="FQ253" s="5"/>
      <c r="FR253" s="5"/>
      <c r="FS253" s="5"/>
      <c r="FT253" s="5" t="str">
        <f t="shared" si="810"/>
        <v/>
      </c>
      <c r="FU253" s="5"/>
      <c r="FV253" s="5"/>
      <c r="FW253" s="5"/>
      <c r="FX253" s="5" t="str">
        <f t="shared" si="784"/>
        <v/>
      </c>
      <c r="FY253" s="36" t="str">
        <f t="shared" si="785"/>
        <v/>
      </c>
      <c r="FZ253" s="29"/>
      <c r="GB253" s="14"/>
      <c r="GC253" s="39"/>
      <c r="GD253" s="5" t="str">
        <f t="shared" si="811"/>
        <v/>
      </c>
      <c r="GE253" s="5"/>
      <c r="GF253" s="5"/>
      <c r="GG253" s="5"/>
      <c r="GH253" s="5" t="str">
        <f t="shared" si="812"/>
        <v/>
      </c>
      <c r="GI253" s="5"/>
      <c r="GJ253" s="5"/>
      <c r="GK253" s="5"/>
      <c r="GL253" s="5" t="str">
        <f t="shared" si="786"/>
        <v/>
      </c>
      <c r="GM253" s="36" t="str">
        <f t="shared" si="787"/>
        <v/>
      </c>
      <c r="GN253" s="29"/>
      <c r="GP253" s="14"/>
      <c r="GQ253" s="39"/>
      <c r="GR253" s="5" t="str">
        <f t="shared" si="813"/>
        <v/>
      </c>
      <c r="GS253" s="5"/>
      <c r="GT253" s="5" t="str">
        <f>IF(GS253="","",GS253-GS252)</f>
        <v/>
      </c>
      <c r="GU253" s="5"/>
      <c r="GV253" s="5"/>
      <c r="GW253" s="5"/>
      <c r="GX253" s="5" t="str">
        <f t="shared" si="814"/>
        <v/>
      </c>
      <c r="GY253" s="5"/>
      <c r="GZ253" s="5"/>
      <c r="HA253" s="5"/>
      <c r="HB253" s="5" t="str">
        <f t="shared" si="788"/>
        <v/>
      </c>
      <c r="HC253" s="36" t="str">
        <f t="shared" si="789"/>
        <v/>
      </c>
      <c r="HD253" s="29"/>
      <c r="HF253" s="14"/>
      <c r="HG253" s="39"/>
      <c r="HH253" s="5" t="str">
        <f t="shared" si="815"/>
        <v/>
      </c>
      <c r="HI253" s="5"/>
      <c r="HJ253" s="29"/>
      <c r="HL253" s="14"/>
      <c r="HM253" s="39"/>
      <c r="HN253" s="5" t="str">
        <f t="shared" si="816"/>
        <v/>
      </c>
      <c r="HO253" s="5"/>
      <c r="HP253" s="29"/>
      <c r="HR253" s="14"/>
      <c r="HS253" s="39"/>
      <c r="HT253" s="5" t="str">
        <f t="shared" si="817"/>
        <v/>
      </c>
      <c r="HU253" s="5"/>
      <c r="HV253" s="29"/>
    </row>
    <row r="254" spans="1:230" ht="15" customHeight="1" x14ac:dyDescent="0.2">
      <c r="A254" s="54"/>
      <c r="B254" s="26"/>
      <c r="C254" s="5">
        <v>16611</v>
      </c>
      <c r="D254" s="5">
        <f t="shared" si="731"/>
        <v>1</v>
      </c>
      <c r="E254" s="5">
        <v>514</v>
      </c>
      <c r="F254" s="5">
        <f t="shared" si="732"/>
        <v>0</v>
      </c>
      <c r="G254" s="5">
        <v>20</v>
      </c>
      <c r="H254" s="5">
        <f t="shared" si="733"/>
        <v>0</v>
      </c>
      <c r="I254" s="35"/>
      <c r="J254" s="38" t="str">
        <f t="shared" si="794"/>
        <v>チェキフィルム</v>
      </c>
      <c r="K254" s="39">
        <f t="shared" si="794"/>
        <v>358</v>
      </c>
      <c r="L254" s="5">
        <f t="shared" si="734"/>
        <v>0</v>
      </c>
      <c r="M254" s="36">
        <f t="shared" si="735"/>
        <v>0</v>
      </c>
      <c r="N254" s="29"/>
      <c r="P254" s="54"/>
      <c r="Q254" s="5">
        <v>10225</v>
      </c>
      <c r="R254" s="5">
        <f t="shared" si="736"/>
        <v>3</v>
      </c>
      <c r="S254" s="5">
        <v>172</v>
      </c>
      <c r="T254" s="5">
        <f t="shared" si="737"/>
        <v>0</v>
      </c>
      <c r="U254" s="5">
        <v>9</v>
      </c>
      <c r="V254" s="5">
        <f t="shared" si="767"/>
        <v>0</v>
      </c>
      <c r="W254" s="35"/>
      <c r="X254" s="38" t="str">
        <f t="shared" si="739"/>
        <v>サンリオヘアバンド</v>
      </c>
      <c r="Y254" s="39">
        <f t="shared" si="771"/>
        <v>825</v>
      </c>
      <c r="Z254" s="5">
        <f t="shared" si="740"/>
        <v>0</v>
      </c>
      <c r="AA254" s="36">
        <f t="shared" si="741"/>
        <v>0</v>
      </c>
      <c r="AB254" s="29"/>
      <c r="AD254" s="54"/>
      <c r="AE254" s="5">
        <v>888</v>
      </c>
      <c r="AF254" s="5">
        <f t="shared" si="742"/>
        <v>15</v>
      </c>
      <c r="AG254" s="5">
        <v>8</v>
      </c>
      <c r="AH254" s="5">
        <f t="shared" si="743"/>
        <v>0</v>
      </c>
      <c r="AI254" s="5">
        <v>5</v>
      </c>
      <c r="AJ254" s="5">
        <f t="shared" si="768"/>
        <v>4</v>
      </c>
      <c r="AK254" s="35"/>
      <c r="AL254" s="38" t="str">
        <f t="shared" si="755"/>
        <v>バタースクイーズ</v>
      </c>
      <c r="AM254" s="39">
        <f t="shared" si="744"/>
        <v>1100</v>
      </c>
      <c r="AN254" s="5">
        <f t="shared" si="745"/>
        <v>4400</v>
      </c>
      <c r="AO254" s="36">
        <f t="shared" si="746"/>
        <v>2.9333333333333331</v>
      </c>
      <c r="AP254" s="29"/>
      <c r="AR254" s="54"/>
      <c r="AS254" s="5">
        <v>854</v>
      </c>
      <c r="AT254" s="5">
        <f t="shared" si="747"/>
        <v>38</v>
      </c>
      <c r="AU254" s="5">
        <v>997</v>
      </c>
      <c r="AV254" s="5">
        <f t="shared" si="748"/>
        <v>0</v>
      </c>
      <c r="AW254" s="5">
        <v>16</v>
      </c>
      <c r="AX254" s="5">
        <f t="shared" si="769"/>
        <v>0</v>
      </c>
      <c r="AY254" s="35"/>
      <c r="AZ254" s="38" t="str">
        <f t="shared" si="749"/>
        <v>ゲーム機イヤホン</v>
      </c>
      <c r="BA254" s="39">
        <f t="shared" si="750"/>
        <v>770</v>
      </c>
      <c r="BB254" s="5">
        <f t="shared" si="751"/>
        <v>0</v>
      </c>
      <c r="BC254" s="36">
        <f t="shared" si="752"/>
        <v>0</v>
      </c>
      <c r="BD254" s="29"/>
      <c r="BE254" s="32"/>
      <c r="BF254" s="25"/>
      <c r="BG254" s="4">
        <v>3457</v>
      </c>
      <c r="BH254" s="5">
        <f t="shared" si="765"/>
        <v>24</v>
      </c>
      <c r="BI254" s="4">
        <v>21</v>
      </c>
      <c r="BJ254" s="5">
        <f t="shared" si="766"/>
        <v>0</v>
      </c>
      <c r="BK254" s="4">
        <v>2</v>
      </c>
      <c r="BL254" s="5">
        <f t="shared" si="756"/>
        <v>1</v>
      </c>
      <c r="BM254" s="4">
        <v>1</v>
      </c>
      <c r="BN254" s="3" t="str">
        <f>IF(BG254="","",BN250)</f>
        <v>ボンボンドロップシール</v>
      </c>
      <c r="BO254" s="39">
        <f>IF(BG253="","",BO250)</f>
        <v>1500</v>
      </c>
      <c r="BP254" s="4">
        <f t="shared" si="753"/>
        <v>1500</v>
      </c>
      <c r="BQ254" s="36">
        <f>IF(BL254="","",BP254/(BH254*100))</f>
        <v>0.625</v>
      </c>
      <c r="BR254" s="29"/>
      <c r="BT254" s="25"/>
      <c r="BU254" s="4">
        <v>31224</v>
      </c>
      <c r="BV254" s="5">
        <f t="shared" si="757"/>
        <v>17</v>
      </c>
      <c r="BW254" s="4">
        <v>1671</v>
      </c>
      <c r="BX254" s="5">
        <f t="shared" si="758"/>
        <v>0</v>
      </c>
      <c r="BY254" s="5">
        <v>39</v>
      </c>
      <c r="BZ254" s="5">
        <f t="shared" si="763"/>
        <v>8</v>
      </c>
      <c r="CA254" s="4"/>
      <c r="CB254" s="3" t="str">
        <f>IF(BU254="","",CB250)</f>
        <v>サンリオボアポーチ</v>
      </c>
      <c r="CC254" s="39">
        <f>IF(BU253="","",CC250)</f>
        <v>950</v>
      </c>
      <c r="CD254" s="4">
        <f t="shared" si="818"/>
        <v>7600</v>
      </c>
      <c r="CE254" s="36">
        <f>IF(BZ254="","",CD254/(BV254*100))</f>
        <v>4.4705882352941178</v>
      </c>
      <c r="CF254" s="29"/>
      <c r="CH254" s="14"/>
      <c r="CI254" s="39"/>
      <c r="CJ254" s="5" t="str">
        <f t="shared" si="797"/>
        <v/>
      </c>
      <c r="CK254" s="5"/>
      <c r="CL254" s="5"/>
      <c r="CM254" s="5"/>
      <c r="CN254" s="5" t="str">
        <f t="shared" si="798"/>
        <v/>
      </c>
      <c r="CO254" s="5"/>
      <c r="CP254" s="5"/>
      <c r="CQ254" s="5"/>
      <c r="CR254" s="5" t="str">
        <f t="shared" si="772"/>
        <v/>
      </c>
      <c r="CS254" s="36" t="str">
        <f t="shared" si="773"/>
        <v/>
      </c>
      <c r="CT254" s="29"/>
      <c r="CV254" s="14"/>
      <c r="CW254" s="39"/>
      <c r="CX254" s="5" t="str">
        <f t="shared" si="799"/>
        <v/>
      </c>
      <c r="CY254" s="5"/>
      <c r="CZ254" s="5"/>
      <c r="DA254" s="5"/>
      <c r="DB254" s="5" t="str">
        <f t="shared" si="800"/>
        <v/>
      </c>
      <c r="DC254" s="5"/>
      <c r="DD254" s="5"/>
      <c r="DE254" s="5"/>
      <c r="DF254" s="5" t="str">
        <f t="shared" si="774"/>
        <v/>
      </c>
      <c r="DG254" s="36" t="str">
        <f t="shared" si="775"/>
        <v/>
      </c>
      <c r="DH254" s="29"/>
      <c r="DJ254" s="14"/>
      <c r="DK254" s="39"/>
      <c r="DL254" s="5" t="str">
        <f t="shared" si="801"/>
        <v/>
      </c>
      <c r="DM254" s="5"/>
      <c r="DN254" s="5"/>
      <c r="DO254" s="5"/>
      <c r="DP254" s="5" t="str">
        <f t="shared" si="802"/>
        <v/>
      </c>
      <c r="DQ254" s="5"/>
      <c r="DR254" s="5"/>
      <c r="DS254" s="5"/>
      <c r="DT254" s="5" t="str">
        <f t="shared" si="776"/>
        <v/>
      </c>
      <c r="DU254" s="36" t="str">
        <f t="shared" si="777"/>
        <v/>
      </c>
      <c r="DV254" s="29"/>
      <c r="DX254" s="14"/>
      <c r="DY254" s="39"/>
      <c r="DZ254" s="5" t="str">
        <f t="shared" si="803"/>
        <v/>
      </c>
      <c r="EA254" s="5"/>
      <c r="EB254" s="5"/>
      <c r="EC254" s="5"/>
      <c r="ED254" s="5" t="str">
        <f t="shared" si="804"/>
        <v/>
      </c>
      <c r="EE254" s="5"/>
      <c r="EF254" s="5"/>
      <c r="EG254" s="5"/>
      <c r="EH254" s="5" t="str">
        <f t="shared" si="778"/>
        <v/>
      </c>
      <c r="EI254" s="36" t="str">
        <f t="shared" si="779"/>
        <v/>
      </c>
      <c r="EJ254" s="29"/>
      <c r="EL254" s="14"/>
      <c r="EM254" s="39"/>
      <c r="EN254" s="5" t="str">
        <f t="shared" si="805"/>
        <v/>
      </c>
      <c r="EO254" s="5"/>
      <c r="EP254" s="5"/>
      <c r="EQ254" s="5"/>
      <c r="ER254" s="5" t="str">
        <f t="shared" si="806"/>
        <v/>
      </c>
      <c r="ES254" s="5"/>
      <c r="ET254" s="5"/>
      <c r="EU254" s="5"/>
      <c r="EV254" s="5" t="str">
        <f t="shared" si="780"/>
        <v/>
      </c>
      <c r="EW254" s="36" t="str">
        <f t="shared" si="781"/>
        <v/>
      </c>
      <c r="EX254" s="29"/>
      <c r="EZ254" s="14"/>
      <c r="FA254" s="39"/>
      <c r="FB254" s="5" t="str">
        <f t="shared" si="807"/>
        <v/>
      </c>
      <c r="FC254" s="5"/>
      <c r="FD254" s="5"/>
      <c r="FE254" s="5"/>
      <c r="FF254" s="5" t="str">
        <f t="shared" si="808"/>
        <v/>
      </c>
      <c r="FG254" s="5"/>
      <c r="FH254" s="5"/>
      <c r="FI254" s="5"/>
      <c r="FJ254" s="5" t="str">
        <f t="shared" si="782"/>
        <v/>
      </c>
      <c r="FK254" s="36" t="str">
        <f t="shared" si="783"/>
        <v/>
      </c>
      <c r="FL254" s="29"/>
      <c r="FN254" s="14"/>
      <c r="FO254" s="39"/>
      <c r="FP254" s="5" t="str">
        <f t="shared" si="809"/>
        <v/>
      </c>
      <c r="FQ254" s="5"/>
      <c r="FR254" s="5"/>
      <c r="FS254" s="5"/>
      <c r="FT254" s="5" t="str">
        <f t="shared" si="810"/>
        <v/>
      </c>
      <c r="FU254" s="5"/>
      <c r="FV254" s="5"/>
      <c r="FW254" s="5"/>
      <c r="FX254" s="5" t="str">
        <f t="shared" si="784"/>
        <v/>
      </c>
      <c r="FY254" s="36" t="str">
        <f t="shared" si="785"/>
        <v/>
      </c>
      <c r="FZ254" s="29"/>
      <c r="GB254" s="14"/>
      <c r="GC254" s="39"/>
      <c r="GD254" s="5" t="str">
        <f t="shared" si="811"/>
        <v/>
      </c>
      <c r="GE254" s="5"/>
      <c r="GF254" s="5"/>
      <c r="GG254" s="5"/>
      <c r="GH254" s="5" t="str">
        <f t="shared" si="812"/>
        <v/>
      </c>
      <c r="GI254" s="5"/>
      <c r="GJ254" s="5"/>
      <c r="GK254" s="5"/>
      <c r="GL254" s="5" t="str">
        <f t="shared" si="786"/>
        <v/>
      </c>
      <c r="GM254" s="36" t="str">
        <f t="shared" si="787"/>
        <v/>
      </c>
      <c r="GN254" s="29"/>
      <c r="GP254" s="14"/>
      <c r="GQ254" s="39"/>
      <c r="GR254" s="5" t="str">
        <f t="shared" si="813"/>
        <v/>
      </c>
      <c r="GS254" s="5"/>
      <c r="GT254" s="5"/>
      <c r="GU254" s="5"/>
      <c r="GV254" s="5"/>
      <c r="GW254" s="5"/>
      <c r="GX254" s="5" t="str">
        <f t="shared" si="814"/>
        <v/>
      </c>
      <c r="GY254" s="5"/>
      <c r="GZ254" s="5"/>
      <c r="HA254" s="5"/>
      <c r="HB254" s="5" t="str">
        <f t="shared" si="788"/>
        <v/>
      </c>
      <c r="HC254" s="36" t="str">
        <f t="shared" si="789"/>
        <v/>
      </c>
      <c r="HD254" s="29"/>
      <c r="HF254" s="14"/>
      <c r="HG254" s="39"/>
      <c r="HH254" s="5" t="str">
        <f t="shared" si="815"/>
        <v/>
      </c>
      <c r="HI254" s="5"/>
      <c r="HJ254" s="29"/>
      <c r="HL254" s="14"/>
      <c r="HM254" s="39"/>
      <c r="HN254" s="5" t="str">
        <f t="shared" si="816"/>
        <v/>
      </c>
      <c r="HO254" s="5"/>
      <c r="HP254" s="29"/>
      <c r="HR254" s="14"/>
      <c r="HS254" s="39"/>
      <c r="HT254" s="5" t="str">
        <f t="shared" si="817"/>
        <v/>
      </c>
      <c r="HU254" s="5"/>
      <c r="HV254" s="29"/>
    </row>
    <row r="255" spans="1:230" ht="15" customHeight="1" x14ac:dyDescent="0.2">
      <c r="A255" s="54"/>
      <c r="B255" s="37"/>
      <c r="C255" s="58">
        <v>18155</v>
      </c>
      <c r="D255" s="5">
        <f t="shared" si="731"/>
        <v>3</v>
      </c>
      <c r="E255" s="5">
        <v>635</v>
      </c>
      <c r="F255" s="5">
        <f t="shared" si="732"/>
        <v>0</v>
      </c>
      <c r="G255" s="58">
        <v>49</v>
      </c>
      <c r="H255" s="5">
        <f t="shared" si="733"/>
        <v>0</v>
      </c>
      <c r="I255" s="59"/>
      <c r="J255" s="38" t="str">
        <f t="shared" si="794"/>
        <v>アングリーキーホルダー</v>
      </c>
      <c r="K255" s="5">
        <f t="shared" si="794"/>
        <v>100</v>
      </c>
      <c r="L255" s="5">
        <f t="shared" si="734"/>
        <v>0</v>
      </c>
      <c r="M255" s="36">
        <f t="shared" si="735"/>
        <v>0</v>
      </c>
      <c r="N255" s="29"/>
      <c r="P255" s="54"/>
      <c r="Q255" s="58">
        <v>10150</v>
      </c>
      <c r="R255" s="5">
        <f t="shared" si="736"/>
        <v>2</v>
      </c>
      <c r="S255" s="5">
        <v>271</v>
      </c>
      <c r="T255" s="5">
        <f t="shared" si="737"/>
        <v>0</v>
      </c>
      <c r="U255" s="5">
        <v>11</v>
      </c>
      <c r="V255" s="5">
        <f t="shared" si="767"/>
        <v>0</v>
      </c>
      <c r="W255" s="59"/>
      <c r="X255" s="38" t="str">
        <f t="shared" si="739"/>
        <v>ギャルキティマスコット</v>
      </c>
      <c r="Y255" s="5">
        <f t="shared" si="771"/>
        <v>638</v>
      </c>
      <c r="Z255" s="5">
        <f t="shared" si="740"/>
        <v>0</v>
      </c>
      <c r="AA255" s="36">
        <f t="shared" si="741"/>
        <v>0</v>
      </c>
      <c r="AB255" s="29"/>
      <c r="AD255" s="54"/>
      <c r="AE255" s="58">
        <v>830</v>
      </c>
      <c r="AF255" s="5">
        <f t="shared" si="742"/>
        <v>5</v>
      </c>
      <c r="AG255" s="5">
        <v>21</v>
      </c>
      <c r="AH255" s="5">
        <f t="shared" si="743"/>
        <v>0</v>
      </c>
      <c r="AI255" s="5">
        <v>7</v>
      </c>
      <c r="AJ255" s="5">
        <f t="shared" si="768"/>
        <v>0</v>
      </c>
      <c r="AK255" s="59"/>
      <c r="AL255" s="38" t="str">
        <f t="shared" si="755"/>
        <v>たまごっちマスコット</v>
      </c>
      <c r="AM255" s="5">
        <f t="shared" si="744"/>
        <v>1500</v>
      </c>
      <c r="AN255" s="5">
        <f t="shared" si="745"/>
        <v>0</v>
      </c>
      <c r="AO255" s="36">
        <f t="shared" si="746"/>
        <v>0</v>
      </c>
      <c r="AP255" s="29"/>
      <c r="AR255" s="54"/>
      <c r="AS255" s="58">
        <v>632</v>
      </c>
      <c r="AT255" s="5">
        <f t="shared" si="747"/>
        <v>3</v>
      </c>
      <c r="AU255" s="5">
        <v>998</v>
      </c>
      <c r="AV255" s="5">
        <f t="shared" si="748"/>
        <v>0</v>
      </c>
      <c r="AW255" s="5">
        <v>9</v>
      </c>
      <c r="AX255" s="5">
        <f t="shared" si="769"/>
        <v>0</v>
      </c>
      <c r="AY255" s="59"/>
      <c r="AZ255" s="38" t="str">
        <f t="shared" si="749"/>
        <v>ゲームアーク</v>
      </c>
      <c r="BA255" s="5">
        <f t="shared" si="750"/>
        <v>682</v>
      </c>
      <c r="BB255" s="5">
        <f t="shared" si="751"/>
        <v>0</v>
      </c>
      <c r="BC255" s="36">
        <f t="shared" si="752"/>
        <v>0</v>
      </c>
      <c r="BD255" s="29"/>
      <c r="BE255" s="32"/>
      <c r="BF255" s="25"/>
      <c r="BG255" s="5">
        <v>1030</v>
      </c>
      <c r="BH255" s="5">
        <f t="shared" si="765"/>
        <v>52</v>
      </c>
      <c r="BI255" s="5">
        <v>5</v>
      </c>
      <c r="BJ255" s="5">
        <f t="shared" si="766"/>
        <v>0</v>
      </c>
      <c r="BK255" s="5">
        <v>3</v>
      </c>
      <c r="BL255" s="5">
        <f t="shared" si="756"/>
        <v>0</v>
      </c>
      <c r="BM255" s="57">
        <v>0</v>
      </c>
      <c r="BN255" s="3" t="str">
        <f>IF(BG253="","",BN251)</f>
        <v>プチドロップシール</v>
      </c>
      <c r="BO255" s="39">
        <f>IF(BG253="","",BO251)</f>
        <v>800</v>
      </c>
      <c r="BP255" s="5">
        <f t="shared" si="753"/>
        <v>0</v>
      </c>
      <c r="BQ255" s="36">
        <f>IF(BL255="","",BP255/(BH254*100))</f>
        <v>0</v>
      </c>
      <c r="BR255" s="29"/>
      <c r="BT255" s="25"/>
      <c r="BU255" s="5"/>
      <c r="BV255" s="5" t="str">
        <f t="shared" si="757"/>
        <v/>
      </c>
      <c r="BW255" s="5"/>
      <c r="BX255" s="5" t="str">
        <f t="shared" si="758"/>
        <v/>
      </c>
      <c r="BY255" s="5"/>
      <c r="BZ255" s="5"/>
      <c r="CA255" s="57"/>
      <c r="CB255" s="3"/>
      <c r="CC255" s="39"/>
      <c r="CD255" s="5"/>
      <c r="CE255" s="36"/>
      <c r="CF255" s="29"/>
      <c r="CH255" s="14"/>
      <c r="CI255" s="39"/>
      <c r="CJ255" s="5" t="str">
        <f t="shared" si="797"/>
        <v/>
      </c>
      <c r="CK255" s="5"/>
      <c r="CL255" s="5"/>
      <c r="CM255" s="5"/>
      <c r="CN255" s="5" t="str">
        <f t="shared" si="798"/>
        <v/>
      </c>
      <c r="CO255" s="5"/>
      <c r="CP255" s="5"/>
      <c r="CQ255" s="5"/>
      <c r="CR255" s="5" t="str">
        <f t="shared" si="772"/>
        <v/>
      </c>
      <c r="CS255" s="36" t="str">
        <f t="shared" si="773"/>
        <v/>
      </c>
      <c r="CT255" s="29"/>
      <c r="CV255" s="14"/>
      <c r="CW255" s="39"/>
      <c r="CX255" s="5" t="str">
        <f t="shared" si="799"/>
        <v/>
      </c>
      <c r="CY255" s="5"/>
      <c r="CZ255" s="5"/>
      <c r="DA255" s="5"/>
      <c r="DB255" s="5" t="str">
        <f t="shared" si="800"/>
        <v/>
      </c>
      <c r="DC255" s="5"/>
      <c r="DD255" s="5"/>
      <c r="DE255" s="5"/>
      <c r="DF255" s="5" t="str">
        <f t="shared" si="774"/>
        <v/>
      </c>
      <c r="DG255" s="36" t="str">
        <f t="shared" si="775"/>
        <v/>
      </c>
      <c r="DH255" s="29"/>
      <c r="DJ255" s="14"/>
      <c r="DK255" s="39"/>
      <c r="DL255" s="5" t="str">
        <f t="shared" si="801"/>
        <v/>
      </c>
      <c r="DM255" s="5"/>
      <c r="DN255" s="5"/>
      <c r="DO255" s="5"/>
      <c r="DP255" s="5" t="str">
        <f t="shared" si="802"/>
        <v/>
      </c>
      <c r="DQ255" s="5"/>
      <c r="DR255" s="5"/>
      <c r="DS255" s="5"/>
      <c r="DT255" s="5" t="str">
        <f t="shared" si="776"/>
        <v/>
      </c>
      <c r="DU255" s="36" t="str">
        <f t="shared" si="777"/>
        <v/>
      </c>
      <c r="DV255" s="29"/>
      <c r="DX255" s="14"/>
      <c r="DY255" s="39"/>
      <c r="DZ255" s="5" t="str">
        <f t="shared" si="803"/>
        <v/>
      </c>
      <c r="EA255" s="5"/>
      <c r="EB255" s="5"/>
      <c r="EC255" s="5"/>
      <c r="ED255" s="5" t="str">
        <f t="shared" si="804"/>
        <v/>
      </c>
      <c r="EE255" s="5"/>
      <c r="EF255" s="5"/>
      <c r="EG255" s="5"/>
      <c r="EH255" s="5" t="str">
        <f t="shared" si="778"/>
        <v/>
      </c>
      <c r="EI255" s="36" t="str">
        <f t="shared" si="779"/>
        <v/>
      </c>
      <c r="EJ255" s="29"/>
      <c r="EL255" s="14"/>
      <c r="EM255" s="39"/>
      <c r="EN255" s="5" t="str">
        <f t="shared" si="805"/>
        <v/>
      </c>
      <c r="EO255" s="5"/>
      <c r="EP255" s="5"/>
      <c r="EQ255" s="5"/>
      <c r="ER255" s="5" t="str">
        <f t="shared" si="806"/>
        <v/>
      </c>
      <c r="ES255" s="5"/>
      <c r="ET255" s="5"/>
      <c r="EU255" s="5"/>
      <c r="EV255" s="5" t="str">
        <f t="shared" si="780"/>
        <v/>
      </c>
      <c r="EW255" s="36" t="str">
        <f t="shared" si="781"/>
        <v/>
      </c>
      <c r="EX255" s="29"/>
      <c r="EZ255" s="14"/>
      <c r="FA255" s="39"/>
      <c r="FB255" s="5" t="str">
        <f t="shared" si="807"/>
        <v/>
      </c>
      <c r="FC255" s="5"/>
      <c r="FD255" s="5"/>
      <c r="FE255" s="5"/>
      <c r="FF255" s="5" t="str">
        <f t="shared" si="808"/>
        <v/>
      </c>
      <c r="FG255" s="5"/>
      <c r="FH255" s="5"/>
      <c r="FI255" s="5"/>
      <c r="FJ255" s="5" t="str">
        <f t="shared" si="782"/>
        <v/>
      </c>
      <c r="FK255" s="36" t="str">
        <f t="shared" si="783"/>
        <v/>
      </c>
      <c r="FL255" s="29"/>
      <c r="FN255" s="14"/>
      <c r="FO255" s="39"/>
      <c r="FP255" s="5" t="str">
        <f t="shared" si="809"/>
        <v/>
      </c>
      <c r="FQ255" s="5"/>
      <c r="FR255" s="5"/>
      <c r="FS255" s="5"/>
      <c r="FT255" s="5" t="str">
        <f t="shared" si="810"/>
        <v/>
      </c>
      <c r="FU255" s="5"/>
      <c r="FV255" s="5"/>
      <c r="FW255" s="5"/>
      <c r="FX255" s="5" t="str">
        <f t="shared" si="784"/>
        <v/>
      </c>
      <c r="FY255" s="36" t="str">
        <f t="shared" si="785"/>
        <v/>
      </c>
      <c r="FZ255" s="29"/>
      <c r="GB255" s="14"/>
      <c r="GC255" s="39"/>
      <c r="GD255" s="5" t="str">
        <f t="shared" si="811"/>
        <v/>
      </c>
      <c r="GE255" s="5"/>
      <c r="GF255" s="5"/>
      <c r="GG255" s="5"/>
      <c r="GH255" s="5" t="str">
        <f t="shared" si="812"/>
        <v/>
      </c>
      <c r="GI255" s="5"/>
      <c r="GJ255" s="5"/>
      <c r="GK255" s="5"/>
      <c r="GL255" s="5" t="str">
        <f t="shared" si="786"/>
        <v/>
      </c>
      <c r="GM255" s="36" t="str">
        <f t="shared" si="787"/>
        <v/>
      </c>
      <c r="GN255" s="29"/>
      <c r="GP255" s="14"/>
      <c r="GQ255" s="39"/>
      <c r="GR255" s="5" t="str">
        <f t="shared" si="813"/>
        <v/>
      </c>
      <c r="GS255" s="5"/>
      <c r="GT255" s="5"/>
      <c r="GU255" s="5"/>
      <c r="GV255" s="5"/>
      <c r="GW255" s="5"/>
      <c r="GX255" s="5" t="str">
        <f t="shared" si="814"/>
        <v/>
      </c>
      <c r="GY255" s="5"/>
      <c r="GZ255" s="5"/>
      <c r="HA255" s="5"/>
      <c r="HB255" s="5" t="str">
        <f t="shared" si="788"/>
        <v/>
      </c>
      <c r="HC255" s="36" t="str">
        <f t="shared" si="789"/>
        <v/>
      </c>
      <c r="HD255" s="29"/>
      <c r="HF255" s="14"/>
      <c r="HG255" s="39"/>
      <c r="HH255" s="5" t="str">
        <f t="shared" si="815"/>
        <v/>
      </c>
      <c r="HI255" s="5"/>
      <c r="HJ255" s="29"/>
      <c r="HL255" s="14"/>
      <c r="HM255" s="39"/>
      <c r="HN255" s="5" t="str">
        <f t="shared" si="816"/>
        <v/>
      </c>
      <c r="HO255" s="5"/>
      <c r="HP255" s="29"/>
      <c r="HR255" s="14"/>
      <c r="HS255" s="39"/>
      <c r="HT255" s="5" t="str">
        <f t="shared" si="817"/>
        <v/>
      </c>
      <c r="HU255" s="5"/>
      <c r="HV255" s="29"/>
    </row>
    <row r="256" spans="1:230" ht="15" customHeight="1" thickBot="1" x14ac:dyDescent="0.25">
      <c r="A256" s="60"/>
      <c r="B256" s="73"/>
      <c r="C256" s="44">
        <v>22288</v>
      </c>
      <c r="D256" s="61">
        <f t="shared" si="731"/>
        <v>26</v>
      </c>
      <c r="E256" s="44">
        <v>1149</v>
      </c>
      <c r="F256" s="44">
        <f t="shared" si="732"/>
        <v>0</v>
      </c>
      <c r="G256" s="44">
        <v>7</v>
      </c>
      <c r="H256" s="44">
        <f t="shared" si="733"/>
        <v>1</v>
      </c>
      <c r="I256" s="62"/>
      <c r="J256" s="47" t="str">
        <f t="shared" si="794"/>
        <v>パステルケーキ</v>
      </c>
      <c r="K256" s="61">
        <f t="shared" si="794"/>
        <v>187</v>
      </c>
      <c r="L256" s="44">
        <f t="shared" si="734"/>
        <v>187</v>
      </c>
      <c r="M256" s="46">
        <f t="shared" si="735"/>
        <v>7.1923076923076923E-2</v>
      </c>
      <c r="N256" s="29"/>
      <c r="P256" s="60"/>
      <c r="Q256" s="44">
        <v>8777</v>
      </c>
      <c r="R256" s="61">
        <f t="shared" si="736"/>
        <v>0</v>
      </c>
      <c r="S256" s="44">
        <v>211</v>
      </c>
      <c r="T256" s="44">
        <f t="shared" si="737"/>
        <v>0</v>
      </c>
      <c r="U256" s="44">
        <v>318</v>
      </c>
      <c r="V256" s="44">
        <f t="shared" si="767"/>
        <v>0</v>
      </c>
      <c r="W256" s="62"/>
      <c r="X256" s="47" t="str">
        <f t="shared" si="739"/>
        <v>オーロラブレスレット</v>
      </c>
      <c r="Y256" s="61">
        <f t="shared" si="771"/>
        <v>350</v>
      </c>
      <c r="Z256" s="44">
        <f t="shared" si="740"/>
        <v>0</v>
      </c>
      <c r="AA256" s="46" t="e">
        <f t="shared" si="741"/>
        <v>#DIV/0!</v>
      </c>
      <c r="AB256" s="29"/>
      <c r="AD256" s="60"/>
      <c r="AE256" s="44">
        <v>446</v>
      </c>
      <c r="AF256" s="61">
        <f t="shared" si="742"/>
        <v>12</v>
      </c>
      <c r="AG256" s="44">
        <v>13</v>
      </c>
      <c r="AH256" s="44">
        <f t="shared" si="743"/>
        <v>0</v>
      </c>
      <c r="AI256" s="44">
        <v>83</v>
      </c>
      <c r="AJ256" s="44">
        <f t="shared" si="768"/>
        <v>15</v>
      </c>
      <c r="AK256" s="62"/>
      <c r="AL256" s="47" t="str">
        <f t="shared" si="755"/>
        <v>キティボールペン</v>
      </c>
      <c r="AM256" s="61">
        <f t="shared" si="744"/>
        <v>283</v>
      </c>
      <c r="AN256" s="44">
        <f t="shared" si="745"/>
        <v>4245</v>
      </c>
      <c r="AO256" s="46">
        <f t="shared" si="746"/>
        <v>3.5375000000000001</v>
      </c>
      <c r="AP256" s="29"/>
      <c r="AR256" s="60"/>
      <c r="AS256" s="44">
        <v>447</v>
      </c>
      <c r="AT256" s="61">
        <f t="shared" si="747"/>
        <v>1</v>
      </c>
      <c r="AU256" s="44">
        <v>10</v>
      </c>
      <c r="AV256" s="44">
        <f t="shared" si="748"/>
        <v>0</v>
      </c>
      <c r="AW256" s="44">
        <v>13</v>
      </c>
      <c r="AX256" s="44">
        <f t="shared" si="769"/>
        <v>5</v>
      </c>
      <c r="AY256" s="62">
        <v>5</v>
      </c>
      <c r="AZ256" s="47" t="str">
        <f t="shared" si="749"/>
        <v>しばこ</v>
      </c>
      <c r="BA256" s="61">
        <f t="shared" si="750"/>
        <v>110</v>
      </c>
      <c r="BB256" s="44">
        <f t="shared" si="751"/>
        <v>550</v>
      </c>
      <c r="BC256" s="46">
        <f t="shared" si="752"/>
        <v>5.5</v>
      </c>
      <c r="BD256" s="29"/>
      <c r="BE256" s="32"/>
      <c r="BF256" s="41"/>
      <c r="BG256" s="44">
        <v>2810</v>
      </c>
      <c r="BH256" s="44">
        <f t="shared" si="765"/>
        <v>0</v>
      </c>
      <c r="BI256" s="44">
        <v>25</v>
      </c>
      <c r="BJ256" s="44">
        <f t="shared" si="766"/>
        <v>0</v>
      </c>
      <c r="BK256" s="44">
        <v>3</v>
      </c>
      <c r="BL256" s="44">
        <f t="shared" si="756"/>
        <v>0</v>
      </c>
      <c r="BM256" s="44">
        <v>0</v>
      </c>
      <c r="BN256" s="45" t="str">
        <f>IF(BG254="","",BN252)</f>
        <v>ボンボンドロップシール</v>
      </c>
      <c r="BO256" s="61">
        <f>IF(BG253="","",BO252)</f>
        <v>1500</v>
      </c>
      <c r="BP256" s="44">
        <f t="shared" si="753"/>
        <v>0</v>
      </c>
      <c r="BQ256" s="46">
        <f>IF(BL256="","",BP256/(BH254*100))</f>
        <v>0</v>
      </c>
      <c r="BR256" s="29"/>
      <c r="BT256" s="41"/>
      <c r="BU256" s="44"/>
      <c r="BV256" s="44" t="str">
        <f t="shared" si="757"/>
        <v/>
      </c>
      <c r="BW256" s="44"/>
      <c r="BX256" s="44" t="str">
        <f t="shared" si="758"/>
        <v/>
      </c>
      <c r="BY256" s="44"/>
      <c r="BZ256" s="44"/>
      <c r="CA256" s="44"/>
      <c r="CB256" s="45"/>
      <c r="CC256" s="61"/>
      <c r="CD256" s="44"/>
      <c r="CE256" s="46"/>
      <c r="CF256" s="29"/>
      <c r="CH256" s="14"/>
      <c r="CI256" s="39"/>
      <c r="CJ256" s="5" t="str">
        <f t="shared" si="797"/>
        <v/>
      </c>
      <c r="CK256" s="5"/>
      <c r="CL256" s="5"/>
      <c r="CM256" s="5"/>
      <c r="CN256" s="5" t="str">
        <f t="shared" si="798"/>
        <v/>
      </c>
      <c r="CO256" s="5"/>
      <c r="CP256" s="5"/>
      <c r="CQ256" s="5"/>
      <c r="CR256" s="5" t="str">
        <f t="shared" si="772"/>
        <v/>
      </c>
      <c r="CS256" s="36" t="str">
        <f t="shared" si="773"/>
        <v/>
      </c>
      <c r="CT256" s="29"/>
      <c r="CV256" s="14"/>
      <c r="CW256" s="39"/>
      <c r="CX256" s="5" t="str">
        <f t="shared" si="799"/>
        <v/>
      </c>
      <c r="CY256" s="5"/>
      <c r="CZ256" s="5"/>
      <c r="DA256" s="5"/>
      <c r="DB256" s="5" t="str">
        <f t="shared" si="800"/>
        <v/>
      </c>
      <c r="DC256" s="5"/>
      <c r="DD256" s="5"/>
      <c r="DE256" s="5"/>
      <c r="DF256" s="5" t="str">
        <f t="shared" si="774"/>
        <v/>
      </c>
      <c r="DG256" s="36" t="str">
        <f t="shared" si="775"/>
        <v/>
      </c>
      <c r="DH256" s="29"/>
      <c r="DJ256" s="14"/>
      <c r="DK256" s="39"/>
      <c r="DL256" s="5" t="str">
        <f t="shared" si="801"/>
        <v/>
      </c>
      <c r="DM256" s="5"/>
      <c r="DN256" s="5"/>
      <c r="DO256" s="5"/>
      <c r="DP256" s="5" t="str">
        <f t="shared" si="802"/>
        <v/>
      </c>
      <c r="DQ256" s="5"/>
      <c r="DR256" s="5"/>
      <c r="DS256" s="5"/>
      <c r="DT256" s="5" t="str">
        <f t="shared" si="776"/>
        <v/>
      </c>
      <c r="DU256" s="36" t="str">
        <f t="shared" si="777"/>
        <v/>
      </c>
      <c r="DV256" s="29"/>
      <c r="DX256" s="14"/>
      <c r="DY256" s="39"/>
      <c r="DZ256" s="5" t="str">
        <f t="shared" si="803"/>
        <v/>
      </c>
      <c r="EA256" s="5"/>
      <c r="EB256" s="5"/>
      <c r="EC256" s="5"/>
      <c r="ED256" s="5" t="str">
        <f t="shared" si="804"/>
        <v/>
      </c>
      <c r="EE256" s="5"/>
      <c r="EF256" s="5"/>
      <c r="EG256" s="5"/>
      <c r="EH256" s="5" t="str">
        <f t="shared" si="778"/>
        <v/>
      </c>
      <c r="EI256" s="36" t="str">
        <f t="shared" si="779"/>
        <v/>
      </c>
      <c r="EJ256" s="29"/>
      <c r="EL256" s="14"/>
      <c r="EM256" s="39"/>
      <c r="EN256" s="5" t="str">
        <f t="shared" si="805"/>
        <v/>
      </c>
      <c r="EO256" s="5"/>
      <c r="EP256" s="5"/>
      <c r="EQ256" s="5"/>
      <c r="ER256" s="5" t="str">
        <f t="shared" si="806"/>
        <v/>
      </c>
      <c r="ES256" s="5"/>
      <c r="ET256" s="5"/>
      <c r="EU256" s="5"/>
      <c r="EV256" s="5" t="str">
        <f t="shared" si="780"/>
        <v/>
      </c>
      <c r="EW256" s="36" t="str">
        <f t="shared" si="781"/>
        <v/>
      </c>
      <c r="EX256" s="29"/>
      <c r="EZ256" s="14"/>
      <c r="FA256" s="39"/>
      <c r="FB256" s="5" t="str">
        <f t="shared" si="807"/>
        <v/>
      </c>
      <c r="FC256" s="5"/>
      <c r="FD256" s="5"/>
      <c r="FE256" s="5"/>
      <c r="FF256" s="5" t="str">
        <f t="shared" si="808"/>
        <v/>
      </c>
      <c r="FG256" s="5"/>
      <c r="FH256" s="5"/>
      <c r="FI256" s="5"/>
      <c r="FJ256" s="5" t="str">
        <f t="shared" si="782"/>
        <v/>
      </c>
      <c r="FK256" s="36" t="str">
        <f t="shared" si="783"/>
        <v/>
      </c>
      <c r="FL256" s="29"/>
      <c r="FN256" s="14"/>
      <c r="FO256" s="39"/>
      <c r="FP256" s="5" t="str">
        <f t="shared" si="809"/>
        <v/>
      </c>
      <c r="FQ256" s="5"/>
      <c r="FR256" s="5"/>
      <c r="FS256" s="5"/>
      <c r="FT256" s="5" t="str">
        <f t="shared" si="810"/>
        <v/>
      </c>
      <c r="FU256" s="5"/>
      <c r="FV256" s="5"/>
      <c r="FW256" s="5"/>
      <c r="FX256" s="5" t="str">
        <f t="shared" si="784"/>
        <v/>
      </c>
      <c r="FY256" s="36" t="str">
        <f t="shared" si="785"/>
        <v/>
      </c>
      <c r="FZ256" s="29"/>
      <c r="GB256" s="14"/>
      <c r="GC256" s="39"/>
      <c r="GD256" s="5" t="str">
        <f t="shared" si="811"/>
        <v/>
      </c>
      <c r="GE256" s="5"/>
      <c r="GF256" s="5"/>
      <c r="GG256" s="5"/>
      <c r="GH256" s="5" t="str">
        <f t="shared" si="812"/>
        <v/>
      </c>
      <c r="GI256" s="5"/>
      <c r="GJ256" s="5"/>
      <c r="GK256" s="5"/>
      <c r="GL256" s="5" t="str">
        <f t="shared" si="786"/>
        <v/>
      </c>
      <c r="GM256" s="36" t="str">
        <f t="shared" si="787"/>
        <v/>
      </c>
      <c r="GN256" s="29"/>
      <c r="GP256" s="14"/>
      <c r="GQ256" s="39"/>
      <c r="GR256" s="5" t="str">
        <f t="shared" si="813"/>
        <v/>
      </c>
      <c r="GS256" s="5"/>
      <c r="GT256" s="5"/>
      <c r="GU256" s="5"/>
      <c r="GV256" s="5"/>
      <c r="GW256" s="5"/>
      <c r="GX256" s="5" t="str">
        <f t="shared" si="814"/>
        <v/>
      </c>
      <c r="GY256" s="5"/>
      <c r="GZ256" s="5"/>
      <c r="HA256" s="5"/>
      <c r="HB256" s="5" t="str">
        <f t="shared" si="788"/>
        <v/>
      </c>
      <c r="HC256" s="36" t="str">
        <f t="shared" si="789"/>
        <v/>
      </c>
      <c r="HD256" s="29"/>
      <c r="HF256" s="14"/>
      <c r="HG256" s="39"/>
      <c r="HH256" s="5" t="str">
        <f t="shared" si="815"/>
        <v/>
      </c>
      <c r="HI256" s="5"/>
      <c r="HJ256" s="29"/>
      <c r="HL256" s="14"/>
      <c r="HM256" s="39"/>
      <c r="HN256" s="5" t="str">
        <f t="shared" si="816"/>
        <v/>
      </c>
      <c r="HO256" s="5"/>
      <c r="HP256" s="29"/>
      <c r="HR256" s="14"/>
      <c r="HS256" s="39"/>
      <c r="HT256" s="5" t="str">
        <f t="shared" si="817"/>
        <v/>
      </c>
      <c r="HU256" s="5"/>
      <c r="HV256" s="29"/>
    </row>
    <row r="257" spans="1:230" ht="15" customHeight="1" thickTop="1" x14ac:dyDescent="0.2">
      <c r="A257" s="49"/>
      <c r="B257" s="26"/>
      <c r="C257" s="4"/>
      <c r="D257" s="4"/>
      <c r="E257" s="4"/>
      <c r="F257" s="50"/>
      <c r="G257" s="4"/>
      <c r="H257" s="4"/>
      <c r="I257" s="51"/>
      <c r="J257" s="31"/>
      <c r="K257" s="27"/>
      <c r="L257" s="50"/>
      <c r="M257" s="52"/>
      <c r="N257" s="29"/>
      <c r="P257" s="53"/>
      <c r="Q257" s="4"/>
      <c r="R257" s="4"/>
      <c r="S257" s="4"/>
      <c r="T257" s="50"/>
      <c r="U257" s="4"/>
      <c r="V257" s="4"/>
      <c r="W257" s="51"/>
      <c r="X257" s="31"/>
      <c r="Y257" s="27"/>
      <c r="Z257" s="50"/>
      <c r="AA257" s="52"/>
      <c r="AB257" s="29"/>
      <c r="AD257" s="53"/>
      <c r="AE257" s="4"/>
      <c r="AF257" s="4"/>
      <c r="AG257" s="4"/>
      <c r="AH257" s="50"/>
      <c r="AI257" s="4"/>
      <c r="AJ257" s="4"/>
      <c r="AK257" s="51"/>
      <c r="AL257" s="31"/>
      <c r="AM257" s="27"/>
      <c r="AN257" s="50"/>
      <c r="AO257" s="52"/>
      <c r="AP257" s="29"/>
      <c r="AR257" s="53"/>
      <c r="AS257" s="4"/>
      <c r="AT257" s="4"/>
      <c r="AU257" s="4"/>
      <c r="AV257" s="50"/>
      <c r="AW257" s="4"/>
      <c r="AX257" s="4"/>
      <c r="AY257" s="51"/>
      <c r="AZ257" s="31"/>
      <c r="BA257" s="27"/>
      <c r="BB257" s="50"/>
      <c r="BC257" s="52"/>
      <c r="BD257" s="29"/>
      <c r="BE257" s="32"/>
      <c r="BF257" s="33"/>
      <c r="BG257" s="5"/>
      <c r="BH257" s="4"/>
      <c r="BI257" s="5"/>
      <c r="BJ257" s="50"/>
      <c r="BK257" s="58"/>
      <c r="BL257" s="4"/>
      <c r="BM257" s="4"/>
      <c r="BN257" s="2"/>
      <c r="BO257" s="27"/>
      <c r="BP257" s="5"/>
      <c r="BQ257" s="52"/>
      <c r="BR257" s="29"/>
      <c r="BT257" s="33"/>
      <c r="BU257" s="5"/>
      <c r="BV257" s="4"/>
      <c r="BW257" s="5"/>
      <c r="BX257" s="50"/>
      <c r="BY257" s="4"/>
      <c r="BZ257" s="4"/>
      <c r="CA257" s="4"/>
      <c r="CB257" s="2"/>
      <c r="CC257" s="27"/>
      <c r="CD257" s="5"/>
      <c r="CE257" s="52"/>
      <c r="CF257" s="29"/>
      <c r="CH257" s="14"/>
      <c r="CI257" s="39"/>
      <c r="CJ257" s="5"/>
      <c r="CK257" s="5"/>
      <c r="CL257" s="5"/>
      <c r="CM257" s="5"/>
      <c r="CN257" s="5"/>
      <c r="CO257" s="5"/>
      <c r="CP257" s="5"/>
      <c r="CQ257" s="5"/>
      <c r="CR257" s="5"/>
      <c r="CS257" s="36"/>
      <c r="CT257" s="29"/>
      <c r="CV257" s="14"/>
      <c r="CW257" s="39"/>
      <c r="CX257" s="5"/>
      <c r="CY257" s="5"/>
      <c r="CZ257" s="5"/>
      <c r="DA257" s="5"/>
      <c r="DB257" s="5"/>
      <c r="DC257" s="5"/>
      <c r="DD257" s="5"/>
      <c r="DE257" s="5"/>
      <c r="DF257" s="5"/>
      <c r="DG257" s="36"/>
      <c r="DH257" s="29"/>
      <c r="DJ257" s="14"/>
      <c r="DK257" s="39"/>
      <c r="DL257" s="5"/>
      <c r="DM257" s="5"/>
      <c r="DN257" s="5"/>
      <c r="DO257" s="5"/>
      <c r="DP257" s="5"/>
      <c r="DQ257" s="5"/>
      <c r="DR257" s="5"/>
      <c r="DS257" s="5"/>
      <c r="DT257" s="5"/>
      <c r="DU257" s="36"/>
      <c r="DV257" s="29"/>
      <c r="DX257" s="14"/>
      <c r="DY257" s="39"/>
      <c r="DZ257" s="5"/>
      <c r="EA257" s="5"/>
      <c r="EB257" s="5"/>
      <c r="EC257" s="5"/>
      <c r="ED257" s="5"/>
      <c r="EE257" s="5"/>
      <c r="EF257" s="5"/>
      <c r="EG257" s="5"/>
      <c r="EH257" s="5"/>
      <c r="EI257" s="36"/>
      <c r="EJ257" s="29"/>
      <c r="EL257" s="14"/>
      <c r="EM257" s="39"/>
      <c r="EN257" s="5"/>
      <c r="EO257" s="5"/>
      <c r="EP257" s="5"/>
      <c r="EQ257" s="5"/>
      <c r="ER257" s="5"/>
      <c r="ES257" s="5"/>
      <c r="ET257" s="5"/>
      <c r="EU257" s="5"/>
      <c r="EV257" s="5"/>
      <c r="EW257" s="36"/>
      <c r="EX257" s="29"/>
      <c r="EZ257" s="14"/>
      <c r="FA257" s="39"/>
      <c r="FB257" s="5"/>
      <c r="FC257" s="5"/>
      <c r="FD257" s="5"/>
      <c r="FE257" s="5"/>
      <c r="FF257" s="5"/>
      <c r="FG257" s="5"/>
      <c r="FH257" s="5"/>
      <c r="FI257" s="5"/>
      <c r="FJ257" s="5"/>
      <c r="FK257" s="36"/>
      <c r="FL257" s="29"/>
      <c r="FN257" s="14"/>
      <c r="FO257" s="39"/>
      <c r="FP257" s="5"/>
      <c r="FQ257" s="5"/>
      <c r="FR257" s="5"/>
      <c r="FS257" s="5"/>
      <c r="FT257" s="5"/>
      <c r="FU257" s="5"/>
      <c r="FV257" s="5"/>
      <c r="FW257" s="5"/>
      <c r="FX257" s="5"/>
      <c r="FY257" s="36"/>
      <c r="FZ257" s="29"/>
      <c r="GB257" s="14"/>
      <c r="GC257" s="39"/>
      <c r="GD257" s="5"/>
      <c r="GE257" s="5"/>
      <c r="GF257" s="5"/>
      <c r="GG257" s="5"/>
      <c r="GH257" s="5"/>
      <c r="GI257" s="5"/>
      <c r="GJ257" s="5"/>
      <c r="GK257" s="5"/>
      <c r="GL257" s="5"/>
      <c r="GM257" s="36"/>
      <c r="GN257" s="29"/>
      <c r="GP257" s="14"/>
      <c r="GQ257" s="39"/>
      <c r="GR257" s="5" t="str">
        <f t="shared" si="813"/>
        <v/>
      </c>
      <c r="GS257" s="5"/>
      <c r="GT257" s="5"/>
      <c r="GU257" s="5"/>
      <c r="GV257" s="5"/>
      <c r="GW257" s="5"/>
      <c r="GX257" s="5" t="str">
        <f t="shared" si="814"/>
        <v/>
      </c>
      <c r="GY257" s="5"/>
      <c r="GZ257" s="5"/>
      <c r="HA257" s="5"/>
      <c r="HB257" s="5" t="str">
        <f t="shared" si="788"/>
        <v/>
      </c>
      <c r="HC257" s="36" t="str">
        <f t="shared" si="789"/>
        <v/>
      </c>
      <c r="HD257" s="29"/>
      <c r="HF257" s="14"/>
      <c r="HG257" s="39"/>
      <c r="HH257" s="5" t="str">
        <f t="shared" si="815"/>
        <v/>
      </c>
      <c r="HI257" s="5"/>
      <c r="HJ257" s="29"/>
      <c r="HL257" s="14"/>
      <c r="HM257" s="39"/>
      <c r="HN257" s="5" t="str">
        <f t="shared" si="816"/>
        <v/>
      </c>
      <c r="HO257" s="5"/>
      <c r="HP257" s="29"/>
      <c r="HR257" s="14"/>
      <c r="HS257" s="39"/>
      <c r="HT257" s="5" t="str">
        <f t="shared" si="817"/>
        <v/>
      </c>
      <c r="HU257" s="5"/>
      <c r="HV257" s="29"/>
    </row>
    <row r="258" spans="1:230" ht="15" customHeight="1" x14ac:dyDescent="0.2">
      <c r="A258" s="54"/>
      <c r="B258" s="26"/>
      <c r="C258" s="4"/>
      <c r="D258" s="5"/>
      <c r="E258" s="5"/>
      <c r="F258" s="5"/>
      <c r="G258" s="5"/>
      <c r="H258" s="5"/>
      <c r="I258" s="35"/>
      <c r="J258" s="38"/>
      <c r="K258" s="39"/>
      <c r="L258" s="5"/>
      <c r="M258" s="36"/>
      <c r="N258" s="29"/>
      <c r="P258" s="54"/>
      <c r="Q258" s="4"/>
      <c r="R258" s="5"/>
      <c r="S258" s="5"/>
      <c r="T258" s="5"/>
      <c r="U258" s="5"/>
      <c r="V258" s="5"/>
      <c r="W258" s="35"/>
      <c r="X258" s="38"/>
      <c r="Y258" s="39"/>
      <c r="Z258" s="5"/>
      <c r="AA258" s="36"/>
      <c r="AB258" s="29"/>
      <c r="AD258" s="54"/>
      <c r="AE258" s="4"/>
      <c r="AF258" s="5"/>
      <c r="AG258" s="5"/>
      <c r="AH258" s="5"/>
      <c r="AI258" s="5"/>
      <c r="AJ258" s="5"/>
      <c r="AK258" s="35"/>
      <c r="AL258" s="38"/>
      <c r="AM258" s="39"/>
      <c r="AN258" s="5"/>
      <c r="AO258" s="36"/>
      <c r="AP258" s="29"/>
      <c r="AR258" s="54"/>
      <c r="AS258" s="4"/>
      <c r="AT258" s="5"/>
      <c r="AU258" s="5"/>
      <c r="AV258" s="5"/>
      <c r="AW258" s="5"/>
      <c r="AX258" s="5"/>
      <c r="AY258" s="35"/>
      <c r="AZ258" s="38"/>
      <c r="BA258" s="39"/>
      <c r="BB258" s="5"/>
      <c r="BC258" s="36"/>
      <c r="BD258" s="29"/>
      <c r="BE258" s="32"/>
      <c r="BF258" s="25"/>
      <c r="BG258" s="4"/>
      <c r="BH258" s="5"/>
      <c r="BI258" s="4"/>
      <c r="BJ258" s="95"/>
      <c r="BK258" s="115"/>
      <c r="BL258" s="39"/>
      <c r="BM258" s="4"/>
      <c r="BN258" s="3"/>
      <c r="BO258" s="39"/>
      <c r="BP258" s="4"/>
      <c r="BQ258" s="36"/>
      <c r="BR258" s="29"/>
      <c r="BT258" s="25"/>
      <c r="BU258" s="4"/>
      <c r="BV258" s="5"/>
      <c r="BW258" s="4"/>
      <c r="BX258" s="95"/>
      <c r="BY258" s="5"/>
      <c r="BZ258" s="5"/>
      <c r="CA258" s="4"/>
      <c r="CB258" s="3"/>
      <c r="CC258" s="39"/>
      <c r="CD258" s="4"/>
      <c r="CE258" s="36"/>
      <c r="CF258" s="29"/>
      <c r="CH258" s="14"/>
      <c r="CI258" s="39"/>
      <c r="CJ258" s="5"/>
      <c r="CK258" s="5"/>
      <c r="CL258" s="5"/>
      <c r="CM258" s="5"/>
      <c r="CN258" s="5"/>
      <c r="CO258" s="5"/>
      <c r="CP258" s="5"/>
      <c r="CQ258" s="5"/>
      <c r="CR258" s="5"/>
      <c r="CS258" s="36"/>
      <c r="CT258" s="29"/>
      <c r="CV258" s="14"/>
      <c r="CW258" s="39"/>
      <c r="CX258" s="5"/>
      <c r="CY258" s="5"/>
      <c r="CZ258" s="5"/>
      <c r="DA258" s="5"/>
      <c r="DB258" s="5"/>
      <c r="DC258" s="5"/>
      <c r="DD258" s="5"/>
      <c r="DE258" s="5"/>
      <c r="DF258" s="5"/>
      <c r="DG258" s="36"/>
      <c r="DH258" s="29"/>
      <c r="DJ258" s="14"/>
      <c r="DK258" s="39"/>
      <c r="DL258" s="5"/>
      <c r="DM258" s="5"/>
      <c r="DN258" s="5"/>
      <c r="DO258" s="5"/>
      <c r="DP258" s="5"/>
      <c r="DQ258" s="5"/>
      <c r="DR258" s="5"/>
      <c r="DS258" s="5"/>
      <c r="DT258" s="5"/>
      <c r="DU258" s="36"/>
      <c r="DV258" s="29"/>
      <c r="DX258" s="14"/>
      <c r="DY258" s="39"/>
      <c r="DZ258" s="5"/>
      <c r="EA258" s="5"/>
      <c r="EB258" s="5"/>
      <c r="EC258" s="5"/>
      <c r="ED258" s="5"/>
      <c r="EE258" s="5"/>
      <c r="EF258" s="5"/>
      <c r="EG258" s="5"/>
      <c r="EH258" s="5"/>
      <c r="EI258" s="36"/>
      <c r="EJ258" s="29"/>
      <c r="EL258" s="14"/>
      <c r="EM258" s="39"/>
      <c r="EN258" s="5"/>
      <c r="EO258" s="5"/>
      <c r="EP258" s="5"/>
      <c r="EQ258" s="5"/>
      <c r="ER258" s="5"/>
      <c r="ES258" s="5"/>
      <c r="ET258" s="5"/>
      <c r="EU258" s="5"/>
      <c r="EV258" s="5"/>
      <c r="EW258" s="36"/>
      <c r="EX258" s="29"/>
      <c r="EZ258" s="14"/>
      <c r="FA258" s="39"/>
      <c r="FB258" s="5"/>
      <c r="FC258" s="5"/>
      <c r="FD258" s="5"/>
      <c r="FE258" s="5"/>
      <c r="FF258" s="5"/>
      <c r="FG258" s="5"/>
      <c r="FH258" s="5"/>
      <c r="FI258" s="5"/>
      <c r="FJ258" s="5"/>
      <c r="FK258" s="36"/>
      <c r="FL258" s="29"/>
      <c r="FN258" s="14"/>
      <c r="FO258" s="39"/>
      <c r="FP258" s="5"/>
      <c r="FQ258" s="5"/>
      <c r="FR258" s="5"/>
      <c r="FS258" s="5"/>
      <c r="FT258" s="5"/>
      <c r="FU258" s="5"/>
      <c r="FV258" s="5"/>
      <c r="FW258" s="5"/>
      <c r="FX258" s="5"/>
      <c r="FY258" s="36"/>
      <c r="FZ258" s="29"/>
      <c r="GB258" s="14"/>
      <c r="GC258" s="39"/>
      <c r="GD258" s="5"/>
      <c r="GE258" s="5"/>
      <c r="GF258" s="5"/>
      <c r="GG258" s="5"/>
      <c r="GH258" s="5"/>
      <c r="GI258" s="5"/>
      <c r="GJ258" s="5"/>
      <c r="GK258" s="5"/>
      <c r="GL258" s="5"/>
      <c r="GM258" s="36"/>
      <c r="GN258" s="29"/>
      <c r="GP258" s="14"/>
      <c r="GQ258" s="39"/>
      <c r="GR258" s="5" t="str">
        <f t="shared" si="813"/>
        <v/>
      </c>
      <c r="GS258" s="5"/>
      <c r="GT258" s="5"/>
      <c r="GU258" s="5"/>
      <c r="GV258" s="5"/>
      <c r="GW258" s="5"/>
      <c r="GX258" s="5" t="str">
        <f t="shared" si="814"/>
        <v/>
      </c>
      <c r="GY258" s="5"/>
      <c r="GZ258" s="5"/>
      <c r="HA258" s="5"/>
      <c r="HB258" s="5" t="str">
        <f t="shared" si="788"/>
        <v/>
      </c>
      <c r="HC258" s="36" t="str">
        <f t="shared" si="789"/>
        <v/>
      </c>
      <c r="HD258" s="29"/>
      <c r="HF258" s="14"/>
      <c r="HG258" s="39"/>
      <c r="HH258" s="5" t="str">
        <f t="shared" si="815"/>
        <v/>
      </c>
      <c r="HI258" s="5"/>
      <c r="HJ258" s="29"/>
      <c r="HL258" s="14"/>
      <c r="HM258" s="39"/>
      <c r="HN258" s="5" t="str">
        <f t="shared" si="816"/>
        <v/>
      </c>
      <c r="HO258" s="5"/>
      <c r="HP258" s="29"/>
      <c r="HR258" s="14"/>
      <c r="HS258" s="39"/>
      <c r="HT258" s="5" t="str">
        <f t="shared" si="817"/>
        <v/>
      </c>
      <c r="HU258" s="5"/>
      <c r="HV258" s="29"/>
    </row>
    <row r="259" spans="1:230" ht="15" customHeight="1" x14ac:dyDescent="0.2">
      <c r="A259" s="54"/>
      <c r="B259" s="37"/>
      <c r="C259" s="57"/>
      <c r="D259" s="5"/>
      <c r="E259" s="5"/>
      <c r="F259" s="5"/>
      <c r="G259" s="5"/>
      <c r="H259" s="5"/>
      <c r="I259" s="35"/>
      <c r="J259" s="38"/>
      <c r="K259" s="5"/>
      <c r="L259" s="5"/>
      <c r="M259" s="36"/>
      <c r="N259" s="29"/>
      <c r="P259" s="54"/>
      <c r="Q259" s="57"/>
      <c r="R259" s="5"/>
      <c r="S259" s="5"/>
      <c r="T259" s="5"/>
      <c r="U259" s="5"/>
      <c r="V259" s="5"/>
      <c r="W259" s="35"/>
      <c r="X259" s="38"/>
      <c r="Y259" s="5"/>
      <c r="Z259" s="5"/>
      <c r="AA259" s="36"/>
      <c r="AB259" s="29"/>
      <c r="AD259" s="54"/>
      <c r="AE259" s="57"/>
      <c r="AF259" s="5"/>
      <c r="AG259" s="5"/>
      <c r="AH259" s="5"/>
      <c r="AI259" s="5"/>
      <c r="AJ259" s="5"/>
      <c r="AK259" s="35"/>
      <c r="AL259" s="38"/>
      <c r="AM259" s="5"/>
      <c r="AN259" s="5"/>
      <c r="AO259" s="36"/>
      <c r="AP259" s="29"/>
      <c r="AR259" s="54"/>
      <c r="AS259" s="57"/>
      <c r="AT259" s="5"/>
      <c r="AU259" s="5"/>
      <c r="AV259" s="5"/>
      <c r="AW259" s="5"/>
      <c r="AX259" s="5"/>
      <c r="AY259" s="35"/>
      <c r="AZ259" s="38"/>
      <c r="BA259" s="5"/>
      <c r="BB259" s="5"/>
      <c r="BC259" s="36"/>
      <c r="BD259" s="29"/>
      <c r="BE259" s="32"/>
      <c r="BF259" s="25"/>
      <c r="BG259" s="5"/>
      <c r="BH259" s="5"/>
      <c r="BI259" s="5"/>
      <c r="BJ259" s="5"/>
      <c r="BK259" s="4"/>
      <c r="BL259" s="5"/>
      <c r="BM259" s="57"/>
      <c r="BN259" s="3"/>
      <c r="BO259" s="39"/>
      <c r="BP259" s="5"/>
      <c r="BQ259" s="36"/>
      <c r="BR259" s="29"/>
      <c r="BT259" s="25"/>
      <c r="BU259" s="5"/>
      <c r="BV259" s="5"/>
      <c r="BW259" s="5"/>
      <c r="BX259" s="5"/>
      <c r="BY259" s="5"/>
      <c r="BZ259" s="5"/>
      <c r="CA259" s="57"/>
      <c r="CB259" s="3"/>
      <c r="CC259" s="39"/>
      <c r="CD259" s="5"/>
      <c r="CE259" s="36"/>
      <c r="CF259" s="29"/>
      <c r="CH259" s="14"/>
      <c r="CI259" s="39"/>
      <c r="CJ259" s="5"/>
      <c r="CK259" s="5"/>
      <c r="CL259" s="5"/>
      <c r="CM259" s="5"/>
      <c r="CN259" s="5"/>
      <c r="CO259" s="5"/>
      <c r="CP259" s="5"/>
      <c r="CQ259" s="5"/>
      <c r="CR259" s="5"/>
      <c r="CS259" s="36"/>
      <c r="CT259" s="29"/>
      <c r="CV259" s="14"/>
      <c r="CW259" s="39"/>
      <c r="CX259" s="5"/>
      <c r="CY259" s="5"/>
      <c r="CZ259" s="5"/>
      <c r="DA259" s="5"/>
      <c r="DB259" s="5"/>
      <c r="DC259" s="5"/>
      <c r="DD259" s="5"/>
      <c r="DE259" s="5"/>
      <c r="DF259" s="5"/>
      <c r="DG259" s="36"/>
      <c r="DH259" s="29"/>
      <c r="DJ259" s="14"/>
      <c r="DK259" s="39"/>
      <c r="DL259" s="5"/>
      <c r="DM259" s="5"/>
      <c r="DN259" s="5"/>
      <c r="DO259" s="5"/>
      <c r="DP259" s="5"/>
      <c r="DQ259" s="5"/>
      <c r="DR259" s="5"/>
      <c r="DS259" s="5"/>
      <c r="DT259" s="5"/>
      <c r="DU259" s="36"/>
      <c r="DV259" s="29"/>
      <c r="DX259" s="14"/>
      <c r="DY259" s="39"/>
      <c r="DZ259" s="5"/>
      <c r="EA259" s="5"/>
      <c r="EB259" s="5"/>
      <c r="EC259" s="5"/>
      <c r="ED259" s="5"/>
      <c r="EE259" s="5"/>
      <c r="EF259" s="5"/>
      <c r="EG259" s="5"/>
      <c r="EH259" s="5"/>
      <c r="EI259" s="36"/>
      <c r="EJ259" s="29"/>
      <c r="EL259" s="14"/>
      <c r="EM259" s="39"/>
      <c r="EN259" s="5"/>
      <c r="EO259" s="5"/>
      <c r="EP259" s="5"/>
      <c r="EQ259" s="5"/>
      <c r="ER259" s="5"/>
      <c r="ES259" s="5"/>
      <c r="ET259" s="5"/>
      <c r="EU259" s="5"/>
      <c r="EV259" s="5"/>
      <c r="EW259" s="36"/>
      <c r="EX259" s="29"/>
      <c r="EZ259" s="14"/>
      <c r="FA259" s="39"/>
      <c r="FB259" s="5"/>
      <c r="FC259" s="5"/>
      <c r="FD259" s="5"/>
      <c r="FE259" s="5"/>
      <c r="FF259" s="5"/>
      <c r="FG259" s="5"/>
      <c r="FH259" s="5"/>
      <c r="FI259" s="5"/>
      <c r="FJ259" s="5"/>
      <c r="FK259" s="36"/>
      <c r="FL259" s="29"/>
      <c r="FN259" s="14"/>
      <c r="FO259" s="39"/>
      <c r="FP259" s="5"/>
      <c r="FQ259" s="5"/>
      <c r="FR259" s="5"/>
      <c r="FS259" s="5"/>
      <c r="FT259" s="5"/>
      <c r="FU259" s="5"/>
      <c r="FV259" s="5"/>
      <c r="FW259" s="5"/>
      <c r="FX259" s="5"/>
      <c r="FY259" s="36"/>
      <c r="FZ259" s="29"/>
      <c r="GB259" s="14"/>
      <c r="GC259" s="39"/>
      <c r="GD259" s="5"/>
      <c r="GE259" s="5"/>
      <c r="GF259" s="5"/>
      <c r="GG259" s="5"/>
      <c r="GH259" s="5"/>
      <c r="GI259" s="5"/>
      <c r="GJ259" s="5"/>
      <c r="GK259" s="5"/>
      <c r="GL259" s="5"/>
      <c r="GM259" s="36"/>
      <c r="GN259" s="29"/>
      <c r="GP259" s="14"/>
      <c r="GQ259" s="39"/>
      <c r="GR259" s="5" t="str">
        <f t="shared" si="813"/>
        <v/>
      </c>
      <c r="GS259" s="5"/>
      <c r="GT259" s="5"/>
      <c r="GU259" s="5"/>
      <c r="GV259" s="5"/>
      <c r="GW259" s="5"/>
      <c r="GX259" s="5" t="str">
        <f t="shared" si="814"/>
        <v/>
      </c>
      <c r="GY259" s="5"/>
      <c r="GZ259" s="5"/>
      <c r="HA259" s="5"/>
      <c r="HB259" s="5" t="str">
        <f t="shared" si="788"/>
        <v/>
      </c>
      <c r="HC259" s="36" t="str">
        <f t="shared" si="789"/>
        <v/>
      </c>
      <c r="HD259" s="29"/>
      <c r="HF259" s="14"/>
      <c r="HG259" s="39"/>
      <c r="HH259" s="5" t="str">
        <f t="shared" si="815"/>
        <v/>
      </c>
      <c r="HI259" s="5"/>
      <c r="HJ259" s="29"/>
      <c r="HL259" s="14"/>
      <c r="HM259" s="39"/>
      <c r="HN259" s="5" t="str">
        <f t="shared" si="816"/>
        <v/>
      </c>
      <c r="HO259" s="5"/>
      <c r="HP259" s="29"/>
      <c r="HR259" s="14"/>
      <c r="HS259" s="39"/>
      <c r="HT259" s="5" t="str">
        <f t="shared" si="817"/>
        <v/>
      </c>
      <c r="HU259" s="5"/>
      <c r="HV259" s="29"/>
    </row>
    <row r="260" spans="1:230" ht="15" customHeight="1" thickBot="1" x14ac:dyDescent="0.25">
      <c r="A260" s="60"/>
      <c r="B260" s="73"/>
      <c r="C260" s="43"/>
      <c r="D260" s="61"/>
      <c r="E260" s="44"/>
      <c r="F260" s="44"/>
      <c r="G260" s="44"/>
      <c r="H260" s="44"/>
      <c r="I260" s="62"/>
      <c r="J260" s="47"/>
      <c r="K260" s="61"/>
      <c r="L260" s="44"/>
      <c r="M260" s="46"/>
      <c r="N260" s="29"/>
      <c r="P260" s="60"/>
      <c r="Q260" s="43"/>
      <c r="R260" s="61"/>
      <c r="S260" s="44"/>
      <c r="T260" s="44"/>
      <c r="U260" s="44"/>
      <c r="V260" s="44"/>
      <c r="W260" s="62"/>
      <c r="X260" s="47"/>
      <c r="Y260" s="61"/>
      <c r="Z260" s="44"/>
      <c r="AA260" s="46"/>
      <c r="AB260" s="29"/>
      <c r="AD260" s="60"/>
      <c r="AE260" s="43"/>
      <c r="AF260" s="61"/>
      <c r="AG260" s="44"/>
      <c r="AH260" s="44"/>
      <c r="AI260" s="44"/>
      <c r="AJ260" s="44"/>
      <c r="AK260" s="62"/>
      <c r="AL260" s="47"/>
      <c r="AM260" s="61"/>
      <c r="AN260" s="44"/>
      <c r="AO260" s="46"/>
      <c r="AP260" s="29"/>
      <c r="AR260" s="60"/>
      <c r="AS260" s="43"/>
      <c r="AT260" s="61"/>
      <c r="AU260" s="44"/>
      <c r="AV260" s="44"/>
      <c r="AW260" s="44"/>
      <c r="AX260" s="44"/>
      <c r="AY260" s="62"/>
      <c r="AZ260" s="47"/>
      <c r="BA260" s="61"/>
      <c r="BB260" s="44"/>
      <c r="BC260" s="46"/>
      <c r="BD260" s="29"/>
      <c r="BE260" s="32"/>
      <c r="BF260" s="41"/>
      <c r="BG260" s="44"/>
      <c r="BH260" s="44"/>
      <c r="BI260" s="44"/>
      <c r="BJ260" s="44"/>
      <c r="BK260" s="44"/>
      <c r="BL260" s="44"/>
      <c r="BM260" s="44"/>
      <c r="BN260" s="45"/>
      <c r="BO260" s="61"/>
      <c r="BP260" s="44"/>
      <c r="BQ260" s="46"/>
      <c r="BR260" s="29"/>
      <c r="BT260" s="41"/>
      <c r="BU260" s="44"/>
      <c r="BV260" s="44"/>
      <c r="BW260" s="44"/>
      <c r="BX260" s="44"/>
      <c r="BY260" s="44"/>
      <c r="BZ260" s="44"/>
      <c r="CA260" s="44"/>
      <c r="CB260" s="45"/>
      <c r="CC260" s="61"/>
      <c r="CD260" s="44"/>
      <c r="CE260" s="46"/>
      <c r="CF260" s="29"/>
      <c r="CH260" s="14"/>
      <c r="CI260" s="39"/>
      <c r="CJ260" s="5"/>
      <c r="CK260" s="5"/>
      <c r="CL260" s="5"/>
      <c r="CM260" s="5"/>
      <c r="CN260" s="5"/>
      <c r="CO260" s="5"/>
      <c r="CP260" s="5"/>
      <c r="CQ260" s="5"/>
      <c r="CR260" s="5"/>
      <c r="CS260" s="36"/>
      <c r="CT260" s="29"/>
      <c r="CV260" s="14"/>
      <c r="CW260" s="39"/>
      <c r="CX260" s="5"/>
      <c r="CY260" s="5"/>
      <c r="CZ260" s="5"/>
      <c r="DA260" s="5"/>
      <c r="DB260" s="5"/>
      <c r="DC260" s="5"/>
      <c r="DD260" s="5"/>
      <c r="DE260" s="5"/>
      <c r="DF260" s="5"/>
      <c r="DG260" s="36"/>
      <c r="DH260" s="29"/>
      <c r="DJ260" s="14"/>
      <c r="DK260" s="39"/>
      <c r="DL260" s="5"/>
      <c r="DM260" s="5"/>
      <c r="DN260" s="5"/>
      <c r="DO260" s="5"/>
      <c r="DP260" s="5"/>
      <c r="DQ260" s="5"/>
      <c r="DR260" s="5"/>
      <c r="DS260" s="5"/>
      <c r="DT260" s="5"/>
      <c r="DU260" s="36"/>
      <c r="DV260" s="29"/>
      <c r="DX260" s="14"/>
      <c r="DY260" s="39"/>
      <c r="DZ260" s="5"/>
      <c r="EA260" s="5"/>
      <c r="EB260" s="5"/>
      <c r="EC260" s="5"/>
      <c r="ED260" s="5"/>
      <c r="EE260" s="5"/>
      <c r="EF260" s="5"/>
      <c r="EG260" s="5"/>
      <c r="EH260" s="5"/>
      <c r="EI260" s="36"/>
      <c r="EJ260" s="29"/>
      <c r="EL260" s="14"/>
      <c r="EM260" s="39"/>
      <c r="EN260" s="5"/>
      <c r="EO260" s="5"/>
      <c r="EP260" s="5"/>
      <c r="EQ260" s="5"/>
      <c r="ER260" s="5"/>
      <c r="ES260" s="5"/>
      <c r="ET260" s="5"/>
      <c r="EU260" s="5"/>
      <c r="EV260" s="5"/>
      <c r="EW260" s="36"/>
      <c r="EX260" s="29"/>
      <c r="EZ260" s="14"/>
      <c r="FA260" s="39"/>
      <c r="FB260" s="5"/>
      <c r="FC260" s="5"/>
      <c r="FD260" s="5"/>
      <c r="FE260" s="5"/>
      <c r="FF260" s="5"/>
      <c r="FG260" s="5"/>
      <c r="FH260" s="5"/>
      <c r="FI260" s="5"/>
      <c r="FJ260" s="5"/>
      <c r="FK260" s="36"/>
      <c r="FL260" s="29"/>
      <c r="FN260" s="14"/>
      <c r="FO260" s="39"/>
      <c r="FP260" s="5"/>
      <c r="FQ260" s="5"/>
      <c r="FR260" s="5"/>
      <c r="FS260" s="5"/>
      <c r="FT260" s="5"/>
      <c r="FU260" s="5"/>
      <c r="FV260" s="5"/>
      <c r="FW260" s="5"/>
      <c r="FX260" s="5"/>
      <c r="FY260" s="36"/>
      <c r="FZ260" s="29"/>
      <c r="GB260" s="14"/>
      <c r="GC260" s="39"/>
      <c r="GD260" s="5"/>
      <c r="GE260" s="5"/>
      <c r="GF260" s="5"/>
      <c r="GG260" s="5"/>
      <c r="GH260" s="5"/>
      <c r="GI260" s="5"/>
      <c r="GJ260" s="5"/>
      <c r="GK260" s="5"/>
      <c r="GL260" s="5"/>
      <c r="GM260" s="36"/>
      <c r="GN260" s="29"/>
      <c r="GP260" s="14"/>
      <c r="GQ260" s="39"/>
      <c r="GR260" s="5" t="str">
        <f t="shared" si="813"/>
        <v/>
      </c>
      <c r="GS260" s="5"/>
      <c r="GT260" s="5"/>
      <c r="GU260" s="5"/>
      <c r="GV260" s="5"/>
      <c r="GW260" s="5"/>
      <c r="GX260" s="5" t="str">
        <f t="shared" si="814"/>
        <v/>
      </c>
      <c r="GY260" s="5"/>
      <c r="GZ260" s="5"/>
      <c r="HA260" s="5"/>
      <c r="HB260" s="5" t="str">
        <f t="shared" si="788"/>
        <v/>
      </c>
      <c r="HC260" s="36" t="str">
        <f t="shared" si="789"/>
        <v/>
      </c>
      <c r="HD260" s="29"/>
      <c r="HF260" s="14"/>
      <c r="HG260" s="39"/>
      <c r="HH260" s="5" t="str">
        <f t="shared" si="815"/>
        <v/>
      </c>
      <c r="HI260" s="5"/>
      <c r="HJ260" s="29"/>
      <c r="HL260" s="14"/>
      <c r="HM260" s="39"/>
      <c r="HN260" s="5" t="str">
        <f t="shared" si="816"/>
        <v/>
      </c>
      <c r="HO260" s="5"/>
      <c r="HP260" s="29"/>
      <c r="HR260" s="14"/>
      <c r="HS260" s="39"/>
      <c r="HT260" s="5" t="str">
        <f t="shared" si="817"/>
        <v/>
      </c>
      <c r="HU260" s="5"/>
      <c r="HV260" s="29"/>
    </row>
    <row r="261" spans="1:230" ht="15" customHeight="1" thickTop="1" x14ac:dyDescent="0.2">
      <c r="A261" s="49"/>
      <c r="B261" s="26">
        <f>SUM(D261:D264)+SUM(R261:R264)+SUM(AF261:AF264)+SUM(AT261:AT264)+SUM(CJ255,DL255,DZ255,EN255,FB255,FP255,GD255,GR255,HH255,HN255,HT255)+SUM(BH261:BH262)+SUM(BV261:BV262)</f>
        <v>0</v>
      </c>
      <c r="C261" s="4"/>
      <c r="D261" s="4" t="str">
        <f t="shared" si="731"/>
        <v/>
      </c>
      <c r="E261" s="4"/>
      <c r="F261" s="50" t="str">
        <f t="shared" si="732"/>
        <v/>
      </c>
      <c r="G261" s="4"/>
      <c r="H261" s="4" t="str">
        <f t="shared" si="733"/>
        <v/>
      </c>
      <c r="I261" s="51"/>
      <c r="J261" s="31" t="str">
        <f t="shared" ref="J261:K276" si="819">IF(C261="","",J257)</f>
        <v/>
      </c>
      <c r="K261" s="27" t="str">
        <f t="shared" si="819"/>
        <v/>
      </c>
      <c r="L261" s="50" t="str">
        <f t="shared" si="734"/>
        <v/>
      </c>
      <c r="M261" s="52" t="str">
        <f t="shared" si="735"/>
        <v/>
      </c>
      <c r="N261" s="29"/>
      <c r="P261" s="53" t="str">
        <f>IF($A261="","",$A261)</f>
        <v/>
      </c>
      <c r="Q261" s="4"/>
      <c r="R261" s="4" t="str">
        <f t="shared" ref="R261:R280" si="820">IF(Q261="","",Q261-Q257)</f>
        <v/>
      </c>
      <c r="S261" s="4"/>
      <c r="T261" s="50" t="str">
        <f t="shared" ref="T261:T280" si="821">IF(S261="","",S261-S257)</f>
        <v/>
      </c>
      <c r="U261" s="4"/>
      <c r="V261" s="4" t="str">
        <f t="shared" ref="V261:V280" si="822">IF(U261="","",U257+W257-U261)</f>
        <v/>
      </c>
      <c r="W261" s="51"/>
      <c r="X261" s="31" t="str">
        <f t="shared" ref="X261:Y276" si="823">IF(Q261="","",X257)</f>
        <v/>
      </c>
      <c r="Y261" s="27" t="str">
        <f t="shared" si="823"/>
        <v/>
      </c>
      <c r="Z261" s="50" t="str">
        <f t="shared" ref="Z261:Z280" si="824">IF(U261="","",V261*Y261)</f>
        <v/>
      </c>
      <c r="AA261" s="52" t="str">
        <f t="shared" ref="AA261:AA280" si="825">IF(V261="","",Z261/(R261*100))</f>
        <v/>
      </c>
      <c r="AB261" s="29"/>
      <c r="AD261" s="53" t="str">
        <f>IF($A261="","",$A261)</f>
        <v/>
      </c>
      <c r="AE261" s="4"/>
      <c r="AF261" s="4" t="str">
        <f t="shared" ref="AF261:AF280" si="826">IF(AE261="","",AE261-AE257)</f>
        <v/>
      </c>
      <c r="AG261" s="4"/>
      <c r="AH261" s="50" t="str">
        <f t="shared" ref="AH261:AH280" si="827">IF(AG261="","",AG261-AG257)</f>
        <v/>
      </c>
      <c r="AI261" s="4"/>
      <c r="AJ261" s="4" t="str">
        <f t="shared" ref="AJ261:AJ280" si="828">IF(AI261="","",AI257+AK257-AI261)</f>
        <v/>
      </c>
      <c r="AK261" s="51"/>
      <c r="AL261" s="31" t="str">
        <f t="shared" ref="AL261:AM276" si="829">IF(AE261="","",AL257)</f>
        <v/>
      </c>
      <c r="AM261" s="27" t="str">
        <f t="shared" si="829"/>
        <v/>
      </c>
      <c r="AN261" s="50" t="str">
        <f t="shared" ref="AN261:AN280" si="830">IF(AI261="","",AJ261*AM261)</f>
        <v/>
      </c>
      <c r="AO261" s="52" t="str">
        <f t="shared" ref="AO261:AO280" si="831">IF(AJ261="","",AN261/(AF261*100))</f>
        <v/>
      </c>
      <c r="AP261" s="29"/>
      <c r="AR261" s="53" t="str">
        <f>IF($A261="","",$A261)</f>
        <v/>
      </c>
      <c r="AS261" s="4"/>
      <c r="AT261" s="4" t="str">
        <f t="shared" ref="AT261:AT280" si="832">IF(AS261="","",AS261-AS257)</f>
        <v/>
      </c>
      <c r="AU261" s="4"/>
      <c r="AV261" s="50" t="str">
        <f t="shared" ref="AV261:AV280" si="833">IF(AU261="","",AU261-AU257)</f>
        <v/>
      </c>
      <c r="AW261" s="4"/>
      <c r="AX261" s="4" t="str">
        <f t="shared" ref="AX261:AX280" si="834">IF(AW261="","",AW257+AY257-AW261)</f>
        <v/>
      </c>
      <c r="AY261" s="51"/>
      <c r="AZ261" s="31" t="str">
        <f t="shared" ref="AZ261:BA276" si="835">IF(AS261="","",AZ257)</f>
        <v/>
      </c>
      <c r="BA261" s="27" t="str">
        <f t="shared" si="835"/>
        <v/>
      </c>
      <c r="BB261" s="50" t="str">
        <f t="shared" ref="BB261:BB280" si="836">IF(AW261="","",AX261*BA261)</f>
        <v/>
      </c>
      <c r="BC261" s="52" t="str">
        <f t="shared" ref="BC261:BC280" si="837">IF(AX261="","",BB261/(AT261*100))</f>
        <v/>
      </c>
      <c r="BD261" s="29"/>
      <c r="BE261" s="32"/>
      <c r="BF261" s="33" t="str">
        <f>IF($A234="","",$A234)</f>
        <v/>
      </c>
      <c r="BG261" s="5"/>
      <c r="BH261" s="4" t="str">
        <f t="shared" si="765"/>
        <v/>
      </c>
      <c r="BI261" s="5"/>
      <c r="BJ261" s="50" t="str">
        <f t="shared" si="766"/>
        <v/>
      </c>
      <c r="BK261" s="4"/>
      <c r="BL261" s="4" t="str">
        <f t="shared" si="756"/>
        <v/>
      </c>
      <c r="BM261" s="4"/>
      <c r="BN261" s="2" t="str">
        <f>IF(BG261="","",BN257)</f>
        <v/>
      </c>
      <c r="BO261" s="27" t="str">
        <f>IF(BG261="","",BO257)</f>
        <v/>
      </c>
      <c r="BP261" s="5" t="str">
        <f t="shared" si="753"/>
        <v/>
      </c>
      <c r="BQ261" s="52" t="str">
        <f>IF(BL261="","",BP261/(BH261*100))</f>
        <v/>
      </c>
      <c r="BR261" s="29"/>
      <c r="BT261" s="33" t="str">
        <f>IF($A234="","",$A234)</f>
        <v/>
      </c>
      <c r="BU261" s="5"/>
      <c r="BV261" s="4" t="str">
        <f t="shared" si="757"/>
        <v/>
      </c>
      <c r="BW261" s="5"/>
      <c r="BX261" s="50" t="str">
        <f t="shared" si="758"/>
        <v/>
      </c>
      <c r="BY261" s="4"/>
      <c r="BZ261" s="4" t="str">
        <f t="shared" si="763"/>
        <v/>
      </c>
      <c r="CA261" s="4"/>
      <c r="CB261" s="2" t="str">
        <f>IF(BU261="","",CB257)</f>
        <v/>
      </c>
      <c r="CC261" s="27" t="str">
        <f>IF(BU261="","",CC257)</f>
        <v/>
      </c>
      <c r="CD261" s="5" t="str">
        <f t="shared" ref="CD261:CD262" si="838">IF(BY261="","",BZ261*CC261)</f>
        <v/>
      </c>
      <c r="CE261" s="52" t="str">
        <f>IF(BZ261="","",CD261/(BV261*100))</f>
        <v/>
      </c>
      <c r="CF261" s="29"/>
      <c r="CH261" s="14"/>
      <c r="CI261" s="39"/>
      <c r="CJ261" s="5" t="str">
        <f t="shared" si="797"/>
        <v/>
      </c>
      <c r="CK261" s="5"/>
      <c r="CL261" s="5"/>
      <c r="CM261" s="5"/>
      <c r="CN261" s="5" t="str">
        <f t="shared" si="798"/>
        <v/>
      </c>
      <c r="CO261" s="5"/>
      <c r="CP261" s="5"/>
      <c r="CQ261" s="5"/>
      <c r="CR261" s="5" t="str">
        <f t="shared" si="772"/>
        <v/>
      </c>
      <c r="CS261" s="36" t="str">
        <f t="shared" si="773"/>
        <v/>
      </c>
      <c r="CT261" s="29"/>
      <c r="CV261" s="14"/>
      <c r="CW261" s="39"/>
      <c r="CX261" s="5" t="str">
        <f t="shared" si="799"/>
        <v/>
      </c>
      <c r="CY261" s="5"/>
      <c r="CZ261" s="5"/>
      <c r="DA261" s="5"/>
      <c r="DB261" s="5" t="str">
        <f t="shared" si="800"/>
        <v/>
      </c>
      <c r="DC261" s="5"/>
      <c r="DD261" s="5"/>
      <c r="DE261" s="5"/>
      <c r="DF261" s="5" t="str">
        <f t="shared" si="774"/>
        <v/>
      </c>
      <c r="DG261" s="36" t="str">
        <f t="shared" si="775"/>
        <v/>
      </c>
      <c r="DH261" s="29"/>
      <c r="DJ261" s="14"/>
      <c r="DK261" s="39"/>
      <c r="DL261" s="5" t="str">
        <f t="shared" si="801"/>
        <v/>
      </c>
      <c r="DM261" s="5"/>
      <c r="DN261" s="5"/>
      <c r="DO261" s="5"/>
      <c r="DP261" s="5" t="str">
        <f t="shared" si="802"/>
        <v/>
      </c>
      <c r="DQ261" s="5"/>
      <c r="DR261" s="5"/>
      <c r="DS261" s="5"/>
      <c r="DT261" s="5" t="str">
        <f t="shared" si="776"/>
        <v/>
      </c>
      <c r="DU261" s="36" t="str">
        <f t="shared" si="777"/>
        <v/>
      </c>
      <c r="DV261" s="29"/>
      <c r="DX261" s="14"/>
      <c r="DY261" s="39"/>
      <c r="DZ261" s="5" t="str">
        <f t="shared" si="803"/>
        <v/>
      </c>
      <c r="EA261" s="5"/>
      <c r="EB261" s="5"/>
      <c r="EC261" s="5"/>
      <c r="ED261" s="5" t="str">
        <f t="shared" si="804"/>
        <v/>
      </c>
      <c r="EE261" s="5"/>
      <c r="EF261" s="5"/>
      <c r="EG261" s="5"/>
      <c r="EH261" s="5" t="str">
        <f t="shared" si="778"/>
        <v/>
      </c>
      <c r="EI261" s="36" t="str">
        <f t="shared" si="779"/>
        <v/>
      </c>
      <c r="EJ261" s="29"/>
      <c r="EL261" s="14"/>
      <c r="EM261" s="39"/>
      <c r="EN261" s="5" t="str">
        <f t="shared" si="805"/>
        <v/>
      </c>
      <c r="EO261" s="5"/>
      <c r="EP261" s="5"/>
      <c r="EQ261" s="5"/>
      <c r="ER261" s="5" t="str">
        <f t="shared" si="806"/>
        <v/>
      </c>
      <c r="ES261" s="5"/>
      <c r="ET261" s="5"/>
      <c r="EU261" s="5"/>
      <c r="EV261" s="5" t="str">
        <f t="shared" si="780"/>
        <v/>
      </c>
      <c r="EW261" s="36" t="str">
        <f t="shared" si="781"/>
        <v/>
      </c>
      <c r="EX261" s="29"/>
      <c r="EZ261" s="14"/>
      <c r="FA261" s="39"/>
      <c r="FB261" s="5" t="str">
        <f t="shared" si="807"/>
        <v/>
      </c>
      <c r="FC261" s="5"/>
      <c r="FD261" s="5"/>
      <c r="FE261" s="5"/>
      <c r="FF261" s="5" t="str">
        <f t="shared" si="808"/>
        <v/>
      </c>
      <c r="FG261" s="5"/>
      <c r="FH261" s="5"/>
      <c r="FI261" s="5"/>
      <c r="FJ261" s="5" t="str">
        <f t="shared" si="782"/>
        <v/>
      </c>
      <c r="FK261" s="36" t="str">
        <f t="shared" si="783"/>
        <v/>
      </c>
      <c r="FL261" s="29"/>
      <c r="FN261" s="14"/>
      <c r="FO261" s="39"/>
      <c r="FP261" s="5" t="str">
        <f t="shared" si="809"/>
        <v/>
      </c>
      <c r="FQ261" s="5"/>
      <c r="FR261" s="5"/>
      <c r="FS261" s="5"/>
      <c r="FT261" s="5" t="str">
        <f t="shared" si="810"/>
        <v/>
      </c>
      <c r="FU261" s="5"/>
      <c r="FV261" s="5"/>
      <c r="FW261" s="5"/>
      <c r="FX261" s="5" t="str">
        <f t="shared" si="784"/>
        <v/>
      </c>
      <c r="FY261" s="36" t="str">
        <f t="shared" si="785"/>
        <v/>
      </c>
      <c r="FZ261" s="29"/>
      <c r="GB261" s="14"/>
      <c r="GC261" s="39"/>
      <c r="GD261" s="5" t="str">
        <f t="shared" si="811"/>
        <v/>
      </c>
      <c r="GE261" s="5"/>
      <c r="GF261" s="5"/>
      <c r="GG261" s="5"/>
      <c r="GH261" s="5" t="str">
        <f t="shared" si="812"/>
        <v/>
      </c>
      <c r="GI261" s="5"/>
      <c r="GJ261" s="5"/>
      <c r="GK261" s="5"/>
      <c r="GL261" s="5" t="str">
        <f t="shared" si="786"/>
        <v/>
      </c>
      <c r="GM261" s="36" t="str">
        <f t="shared" si="787"/>
        <v/>
      </c>
      <c r="GN261" s="29"/>
      <c r="GP261" s="14"/>
      <c r="GQ261" s="39"/>
      <c r="GR261" s="5" t="str">
        <f t="shared" si="813"/>
        <v/>
      </c>
      <c r="GS261" s="5"/>
      <c r="GT261" s="5"/>
      <c r="GU261" s="5"/>
      <c r="GV261" s="5"/>
      <c r="GW261" s="5"/>
      <c r="GX261" s="5" t="str">
        <f t="shared" si="814"/>
        <v/>
      </c>
      <c r="GY261" s="5"/>
      <c r="GZ261" s="5"/>
      <c r="HA261" s="5"/>
      <c r="HB261" s="5" t="str">
        <f t="shared" si="788"/>
        <v/>
      </c>
      <c r="HC261" s="36" t="str">
        <f t="shared" si="789"/>
        <v/>
      </c>
      <c r="HD261" s="29"/>
      <c r="HF261" s="14"/>
      <c r="HG261" s="39"/>
      <c r="HH261" s="5" t="str">
        <f t="shared" si="815"/>
        <v/>
      </c>
      <c r="HI261" s="5"/>
      <c r="HJ261" s="29"/>
      <c r="HL261" s="14"/>
      <c r="HM261" s="39"/>
      <c r="HN261" s="5" t="str">
        <f t="shared" si="816"/>
        <v/>
      </c>
      <c r="HO261" s="5"/>
      <c r="HP261" s="29"/>
      <c r="HR261" s="14"/>
      <c r="HS261" s="39"/>
      <c r="HT261" s="5" t="str">
        <f t="shared" si="817"/>
        <v/>
      </c>
      <c r="HU261" s="5"/>
      <c r="HV261" s="29"/>
    </row>
    <row r="262" spans="1:230" ht="15" customHeight="1" x14ac:dyDescent="0.2">
      <c r="A262" s="54"/>
      <c r="B262" s="37"/>
      <c r="C262" s="5"/>
      <c r="D262" s="5" t="str">
        <f t="shared" si="731"/>
        <v/>
      </c>
      <c r="E262" s="5"/>
      <c r="F262" s="5" t="str">
        <f t="shared" si="732"/>
        <v/>
      </c>
      <c r="G262" s="5"/>
      <c r="H262" s="5" t="str">
        <f t="shared" si="733"/>
        <v/>
      </c>
      <c r="I262" s="35"/>
      <c r="J262" s="38" t="str">
        <f t="shared" si="819"/>
        <v/>
      </c>
      <c r="K262" s="39" t="str">
        <f t="shared" si="819"/>
        <v/>
      </c>
      <c r="L262" s="5" t="str">
        <f t="shared" si="734"/>
        <v/>
      </c>
      <c r="M262" s="36" t="str">
        <f t="shared" si="735"/>
        <v/>
      </c>
      <c r="N262" s="29"/>
      <c r="P262" s="54"/>
      <c r="Q262" s="5"/>
      <c r="R262" s="5" t="str">
        <f t="shared" si="820"/>
        <v/>
      </c>
      <c r="S262" s="5"/>
      <c r="T262" s="5" t="str">
        <f t="shared" si="821"/>
        <v/>
      </c>
      <c r="U262" s="5"/>
      <c r="V262" s="5" t="str">
        <f t="shared" si="822"/>
        <v/>
      </c>
      <c r="W262" s="35"/>
      <c r="X262" s="38" t="str">
        <f t="shared" si="823"/>
        <v/>
      </c>
      <c r="Y262" s="39" t="str">
        <f t="shared" si="823"/>
        <v/>
      </c>
      <c r="Z262" s="5" t="str">
        <f t="shared" si="824"/>
        <v/>
      </c>
      <c r="AA262" s="36" t="str">
        <f t="shared" si="825"/>
        <v/>
      </c>
      <c r="AB262" s="29"/>
      <c r="AD262" s="54"/>
      <c r="AE262" s="5"/>
      <c r="AF262" s="5" t="str">
        <f t="shared" si="826"/>
        <v/>
      </c>
      <c r="AG262" s="5"/>
      <c r="AH262" s="5" t="str">
        <f t="shared" si="827"/>
        <v/>
      </c>
      <c r="AI262" s="5"/>
      <c r="AJ262" s="5" t="str">
        <f t="shared" si="828"/>
        <v/>
      </c>
      <c r="AK262" s="35"/>
      <c r="AL262" s="38" t="str">
        <f t="shared" si="829"/>
        <v/>
      </c>
      <c r="AM262" s="39" t="str">
        <f t="shared" si="829"/>
        <v/>
      </c>
      <c r="AN262" s="5" t="str">
        <f t="shared" si="830"/>
        <v/>
      </c>
      <c r="AO262" s="36" t="str">
        <f t="shared" si="831"/>
        <v/>
      </c>
      <c r="AP262" s="29"/>
      <c r="AR262" s="54"/>
      <c r="AS262" s="5"/>
      <c r="AT262" s="5" t="str">
        <f t="shared" si="832"/>
        <v/>
      </c>
      <c r="AU262" s="5"/>
      <c r="AV262" s="5" t="str">
        <f t="shared" si="833"/>
        <v/>
      </c>
      <c r="AW262" s="5"/>
      <c r="AX262" s="5" t="str">
        <f t="shared" si="834"/>
        <v/>
      </c>
      <c r="AY262" s="35"/>
      <c r="AZ262" s="38" t="str">
        <f t="shared" si="835"/>
        <v/>
      </c>
      <c r="BA262" s="39" t="str">
        <f t="shared" si="835"/>
        <v/>
      </c>
      <c r="BB262" s="5" t="str">
        <f t="shared" si="836"/>
        <v/>
      </c>
      <c r="BC262" s="36" t="str">
        <f t="shared" si="837"/>
        <v/>
      </c>
      <c r="BD262" s="29"/>
      <c r="BE262" s="32"/>
      <c r="BF262" s="25"/>
      <c r="BG262" s="4"/>
      <c r="BH262" s="5" t="str">
        <f t="shared" si="765"/>
        <v/>
      </c>
      <c r="BI262" s="4"/>
      <c r="BJ262" s="5" t="str">
        <f t="shared" si="766"/>
        <v/>
      </c>
      <c r="BK262" s="5"/>
      <c r="BL262" s="5" t="str">
        <f t="shared" si="756"/>
        <v/>
      </c>
      <c r="BM262" s="4"/>
      <c r="BN262" s="3" t="str">
        <f>IF(BG262="","",BN258)</f>
        <v/>
      </c>
      <c r="BO262" s="39" t="str">
        <f>IF(BG261="","",BO258)</f>
        <v/>
      </c>
      <c r="BP262" s="4" t="str">
        <f t="shared" si="753"/>
        <v/>
      </c>
      <c r="BQ262" s="36" t="str">
        <f>IF(BL262="","",BP262/(BH262*100))</f>
        <v/>
      </c>
      <c r="BR262" s="29"/>
      <c r="BT262" s="25"/>
      <c r="BU262" s="4"/>
      <c r="BV262" s="5" t="str">
        <f t="shared" si="757"/>
        <v/>
      </c>
      <c r="BW262" s="4"/>
      <c r="BX262" s="5" t="str">
        <f t="shared" si="758"/>
        <v/>
      </c>
      <c r="BY262" s="5"/>
      <c r="BZ262" s="5" t="str">
        <f t="shared" si="763"/>
        <v/>
      </c>
      <c r="CA262" s="4"/>
      <c r="CB262" s="3" t="str">
        <f>IF(BU262="","",CB258)</f>
        <v/>
      </c>
      <c r="CC262" s="39" t="str">
        <f>IF(BU261="","",CC258)</f>
        <v/>
      </c>
      <c r="CD262" s="4" t="str">
        <f t="shared" si="838"/>
        <v/>
      </c>
      <c r="CE262" s="36" t="str">
        <f>IF(BZ262="","",CD262/(BV262*100))</f>
        <v/>
      </c>
      <c r="CF262" s="29"/>
      <c r="CH262" s="14"/>
      <c r="CI262" s="39"/>
      <c r="CJ262" s="5" t="str">
        <f t="shared" si="797"/>
        <v/>
      </c>
      <c r="CK262" s="5"/>
      <c r="CL262" s="5"/>
      <c r="CM262" s="5"/>
      <c r="CN262" s="5" t="str">
        <f t="shared" si="798"/>
        <v/>
      </c>
      <c r="CO262" s="5"/>
      <c r="CP262" s="5"/>
      <c r="CQ262" s="5"/>
      <c r="CR262" s="5" t="str">
        <f t="shared" si="772"/>
        <v/>
      </c>
      <c r="CS262" s="36" t="str">
        <f t="shared" si="773"/>
        <v/>
      </c>
      <c r="CT262" s="29"/>
      <c r="CV262" s="14"/>
      <c r="CW262" s="39"/>
      <c r="CX262" s="5" t="str">
        <f t="shared" si="799"/>
        <v/>
      </c>
      <c r="CY262" s="5"/>
      <c r="CZ262" s="5"/>
      <c r="DA262" s="5"/>
      <c r="DB262" s="5" t="str">
        <f t="shared" si="800"/>
        <v/>
      </c>
      <c r="DC262" s="5"/>
      <c r="DD262" s="5"/>
      <c r="DE262" s="5"/>
      <c r="DF262" s="5" t="str">
        <f t="shared" si="774"/>
        <v/>
      </c>
      <c r="DG262" s="36" t="str">
        <f t="shared" si="775"/>
        <v/>
      </c>
      <c r="DH262" s="29"/>
      <c r="DJ262" s="14"/>
      <c r="DK262" s="39"/>
      <c r="DL262" s="5" t="str">
        <f t="shared" si="801"/>
        <v/>
      </c>
      <c r="DM262" s="5"/>
      <c r="DN262" s="5"/>
      <c r="DO262" s="5"/>
      <c r="DP262" s="5" t="str">
        <f t="shared" si="802"/>
        <v/>
      </c>
      <c r="DQ262" s="5"/>
      <c r="DR262" s="5"/>
      <c r="DS262" s="5"/>
      <c r="DT262" s="5" t="str">
        <f t="shared" si="776"/>
        <v/>
      </c>
      <c r="DU262" s="36" t="str">
        <f t="shared" si="777"/>
        <v/>
      </c>
      <c r="DV262" s="29"/>
      <c r="DX262" s="14"/>
      <c r="DY262" s="39"/>
      <c r="DZ262" s="5" t="str">
        <f t="shared" si="803"/>
        <v/>
      </c>
      <c r="EA262" s="5"/>
      <c r="EB262" s="5"/>
      <c r="EC262" s="5"/>
      <c r="ED262" s="5" t="str">
        <f t="shared" si="804"/>
        <v/>
      </c>
      <c r="EE262" s="5"/>
      <c r="EF262" s="5"/>
      <c r="EG262" s="5"/>
      <c r="EH262" s="5" t="str">
        <f t="shared" si="778"/>
        <v/>
      </c>
      <c r="EI262" s="36" t="str">
        <f t="shared" si="779"/>
        <v/>
      </c>
      <c r="EJ262" s="29"/>
      <c r="EL262" s="14"/>
      <c r="EM262" s="39"/>
      <c r="EN262" s="5" t="str">
        <f t="shared" si="805"/>
        <v/>
      </c>
      <c r="EO262" s="5"/>
      <c r="EP262" s="5"/>
      <c r="EQ262" s="5"/>
      <c r="ER262" s="5" t="str">
        <f t="shared" si="806"/>
        <v/>
      </c>
      <c r="ES262" s="5"/>
      <c r="ET262" s="5"/>
      <c r="EU262" s="5"/>
      <c r="EV262" s="5" t="str">
        <f t="shared" si="780"/>
        <v/>
      </c>
      <c r="EW262" s="36" t="str">
        <f t="shared" si="781"/>
        <v/>
      </c>
      <c r="EX262" s="29"/>
      <c r="EZ262" s="14"/>
      <c r="FA262" s="39"/>
      <c r="FB262" s="5" t="str">
        <f t="shared" si="807"/>
        <v/>
      </c>
      <c r="FC262" s="5"/>
      <c r="FD262" s="5"/>
      <c r="FE262" s="5"/>
      <c r="FF262" s="5" t="str">
        <f t="shared" si="808"/>
        <v/>
      </c>
      <c r="FG262" s="5"/>
      <c r="FH262" s="5"/>
      <c r="FI262" s="5"/>
      <c r="FJ262" s="5" t="str">
        <f t="shared" si="782"/>
        <v/>
      </c>
      <c r="FK262" s="36" t="str">
        <f t="shared" si="783"/>
        <v/>
      </c>
      <c r="FL262" s="29"/>
      <c r="FN262" s="14"/>
      <c r="FO262" s="39"/>
      <c r="FP262" s="5" t="str">
        <f t="shared" si="809"/>
        <v/>
      </c>
      <c r="FQ262" s="5"/>
      <c r="FR262" s="5"/>
      <c r="FS262" s="5"/>
      <c r="FT262" s="5" t="str">
        <f t="shared" si="810"/>
        <v/>
      </c>
      <c r="FU262" s="5"/>
      <c r="FV262" s="5"/>
      <c r="FW262" s="5"/>
      <c r="FX262" s="5" t="str">
        <f t="shared" si="784"/>
        <v/>
      </c>
      <c r="FY262" s="36" t="str">
        <f t="shared" si="785"/>
        <v/>
      </c>
      <c r="FZ262" s="29"/>
      <c r="GB262" s="14"/>
      <c r="GC262" s="39"/>
      <c r="GD262" s="5" t="str">
        <f t="shared" si="811"/>
        <v/>
      </c>
      <c r="GE262" s="5"/>
      <c r="GF262" s="5"/>
      <c r="GG262" s="5"/>
      <c r="GH262" s="5" t="str">
        <f t="shared" si="812"/>
        <v/>
      </c>
      <c r="GI262" s="5"/>
      <c r="GJ262" s="5"/>
      <c r="GK262" s="5"/>
      <c r="GL262" s="5" t="str">
        <f t="shared" si="786"/>
        <v/>
      </c>
      <c r="GM262" s="36" t="str">
        <f t="shared" si="787"/>
        <v/>
      </c>
      <c r="GN262" s="29"/>
      <c r="GP262" s="14"/>
      <c r="GQ262" s="39"/>
      <c r="GR262" s="5" t="str">
        <f t="shared" si="813"/>
        <v/>
      </c>
      <c r="GS262" s="5"/>
      <c r="GT262" s="5"/>
      <c r="GU262" s="5"/>
      <c r="GV262" s="5"/>
      <c r="GW262" s="5"/>
      <c r="GX262" s="5" t="str">
        <f t="shared" si="814"/>
        <v/>
      </c>
      <c r="GY262" s="5"/>
      <c r="GZ262" s="5"/>
      <c r="HA262" s="5"/>
      <c r="HB262" s="5" t="str">
        <f t="shared" si="788"/>
        <v/>
      </c>
      <c r="HC262" s="36" t="str">
        <f t="shared" si="789"/>
        <v/>
      </c>
      <c r="HD262" s="29"/>
      <c r="HF262" s="14"/>
      <c r="HG262" s="39"/>
      <c r="HH262" s="5" t="str">
        <f t="shared" si="815"/>
        <v/>
      </c>
      <c r="HI262" s="5"/>
      <c r="HJ262" s="29"/>
      <c r="HL262" s="14"/>
      <c r="HM262" s="39"/>
      <c r="HN262" s="5" t="str">
        <f t="shared" si="816"/>
        <v/>
      </c>
      <c r="HO262" s="5"/>
      <c r="HP262" s="29"/>
      <c r="HR262" s="14"/>
      <c r="HS262" s="39"/>
      <c r="HT262" s="5" t="str">
        <f t="shared" si="817"/>
        <v/>
      </c>
      <c r="HU262" s="5"/>
      <c r="HV262" s="29"/>
    </row>
    <row r="263" spans="1:230" ht="15" customHeight="1" x14ac:dyDescent="0.2">
      <c r="A263" s="54"/>
      <c r="B263" s="37"/>
      <c r="C263" s="58"/>
      <c r="D263" s="5" t="str">
        <f t="shared" si="731"/>
        <v/>
      </c>
      <c r="E263" s="5"/>
      <c r="F263" s="5" t="str">
        <f t="shared" si="732"/>
        <v/>
      </c>
      <c r="G263" s="58"/>
      <c r="H263" s="5" t="str">
        <f t="shared" si="733"/>
        <v/>
      </c>
      <c r="I263" s="59"/>
      <c r="J263" s="38" t="str">
        <f t="shared" si="819"/>
        <v/>
      </c>
      <c r="K263" s="5" t="str">
        <f t="shared" si="819"/>
        <v/>
      </c>
      <c r="L263" s="5" t="str">
        <f t="shared" si="734"/>
        <v/>
      </c>
      <c r="M263" s="36" t="str">
        <f t="shared" si="735"/>
        <v/>
      </c>
      <c r="N263" s="29"/>
      <c r="P263" s="54"/>
      <c r="Q263" s="58"/>
      <c r="R263" s="5" t="str">
        <f t="shared" si="820"/>
        <v/>
      </c>
      <c r="S263" s="5"/>
      <c r="T263" s="5" t="str">
        <f t="shared" si="821"/>
        <v/>
      </c>
      <c r="U263" s="58"/>
      <c r="V263" s="5" t="str">
        <f t="shared" si="822"/>
        <v/>
      </c>
      <c r="W263" s="59"/>
      <c r="X263" s="38" t="str">
        <f t="shared" si="823"/>
        <v/>
      </c>
      <c r="Y263" s="5" t="str">
        <f t="shared" si="823"/>
        <v/>
      </c>
      <c r="Z263" s="5" t="str">
        <f t="shared" si="824"/>
        <v/>
      </c>
      <c r="AA263" s="36" t="str">
        <f t="shared" si="825"/>
        <v/>
      </c>
      <c r="AB263" s="29"/>
      <c r="AD263" s="54"/>
      <c r="AE263" s="58"/>
      <c r="AF263" s="5" t="str">
        <f t="shared" si="826"/>
        <v/>
      </c>
      <c r="AG263" s="5"/>
      <c r="AH263" s="5" t="str">
        <f t="shared" si="827"/>
        <v/>
      </c>
      <c r="AI263" s="58"/>
      <c r="AJ263" s="5" t="str">
        <f t="shared" si="828"/>
        <v/>
      </c>
      <c r="AK263" s="59"/>
      <c r="AL263" s="38" t="str">
        <f t="shared" si="829"/>
        <v/>
      </c>
      <c r="AM263" s="5" t="str">
        <f t="shared" si="829"/>
        <v/>
      </c>
      <c r="AN263" s="5" t="str">
        <f t="shared" si="830"/>
        <v/>
      </c>
      <c r="AO263" s="36" t="str">
        <f t="shared" si="831"/>
        <v/>
      </c>
      <c r="AP263" s="29"/>
      <c r="AR263" s="54"/>
      <c r="AS263" s="58"/>
      <c r="AT263" s="5" t="str">
        <f t="shared" si="832"/>
        <v/>
      </c>
      <c r="AU263" s="5"/>
      <c r="AV263" s="5" t="str">
        <f t="shared" si="833"/>
        <v/>
      </c>
      <c r="AW263" s="58"/>
      <c r="AX263" s="5" t="str">
        <f t="shared" si="834"/>
        <v/>
      </c>
      <c r="AY263" s="59"/>
      <c r="AZ263" s="38" t="str">
        <f t="shared" si="835"/>
        <v/>
      </c>
      <c r="BA263" s="5" t="str">
        <f t="shared" si="835"/>
        <v/>
      </c>
      <c r="BB263" s="5" t="str">
        <f t="shared" si="836"/>
        <v/>
      </c>
      <c r="BC263" s="36" t="str">
        <f t="shared" si="837"/>
        <v/>
      </c>
      <c r="BD263" s="29"/>
      <c r="BE263" s="32"/>
      <c r="BF263" s="25"/>
      <c r="BG263" s="5"/>
      <c r="BH263" s="5" t="str">
        <f t="shared" si="765"/>
        <v/>
      </c>
      <c r="BI263" s="5"/>
      <c r="BJ263" s="5" t="str">
        <f t="shared" si="766"/>
        <v/>
      </c>
      <c r="BK263" s="5"/>
      <c r="BL263" s="5" t="str">
        <f t="shared" si="756"/>
        <v/>
      </c>
      <c r="BM263" s="57"/>
      <c r="BN263" s="3" t="str">
        <f>IF(BG261="","",BN259)</f>
        <v/>
      </c>
      <c r="BO263" s="39" t="str">
        <f>IF(BG261="","",BO259)</f>
        <v/>
      </c>
      <c r="BP263" s="5" t="str">
        <f t="shared" si="753"/>
        <v/>
      </c>
      <c r="BQ263" s="36" t="str">
        <f>IF(BL263="","",BP263/(BH262*100))</f>
        <v/>
      </c>
      <c r="BR263" s="29"/>
      <c r="BT263" s="25"/>
      <c r="BU263" s="5"/>
      <c r="BV263" s="5" t="str">
        <f t="shared" si="757"/>
        <v/>
      </c>
      <c r="BW263" s="5"/>
      <c r="BX263" s="5" t="str">
        <f t="shared" si="758"/>
        <v/>
      </c>
      <c r="BY263" s="5"/>
      <c r="BZ263" s="5"/>
      <c r="CA263" s="57"/>
      <c r="CB263" s="3"/>
      <c r="CC263" s="39"/>
      <c r="CD263" s="5"/>
      <c r="CE263" s="36"/>
      <c r="CF263" s="29"/>
      <c r="CH263" s="14"/>
      <c r="CI263" s="39"/>
      <c r="CJ263" s="5" t="str">
        <f t="shared" si="797"/>
        <v/>
      </c>
      <c r="CK263" s="5"/>
      <c r="CL263" s="5"/>
      <c r="CM263" s="5"/>
      <c r="CN263" s="5" t="str">
        <f t="shared" si="798"/>
        <v/>
      </c>
      <c r="CO263" s="5"/>
      <c r="CP263" s="5"/>
      <c r="CQ263" s="5"/>
      <c r="CR263" s="5" t="str">
        <f t="shared" si="772"/>
        <v/>
      </c>
      <c r="CS263" s="36" t="str">
        <f t="shared" si="773"/>
        <v/>
      </c>
      <c r="CT263" s="29"/>
      <c r="CV263" s="14"/>
      <c r="CW263" s="39"/>
      <c r="CX263" s="5" t="str">
        <f t="shared" si="799"/>
        <v/>
      </c>
      <c r="CY263" s="5"/>
      <c r="CZ263" s="5"/>
      <c r="DA263" s="5"/>
      <c r="DB263" s="5" t="str">
        <f t="shared" si="800"/>
        <v/>
      </c>
      <c r="DC263" s="5"/>
      <c r="DD263" s="5"/>
      <c r="DE263" s="5"/>
      <c r="DF263" s="5" t="str">
        <f t="shared" si="774"/>
        <v/>
      </c>
      <c r="DG263" s="36" t="str">
        <f t="shared" si="775"/>
        <v/>
      </c>
      <c r="DH263" s="29"/>
      <c r="DJ263" s="14"/>
      <c r="DK263" s="39"/>
      <c r="DL263" s="5" t="str">
        <f t="shared" si="801"/>
        <v/>
      </c>
      <c r="DM263" s="5"/>
      <c r="DN263" s="5"/>
      <c r="DO263" s="5"/>
      <c r="DP263" s="5" t="str">
        <f t="shared" si="802"/>
        <v/>
      </c>
      <c r="DQ263" s="5"/>
      <c r="DR263" s="5"/>
      <c r="DS263" s="5"/>
      <c r="DT263" s="5" t="str">
        <f t="shared" si="776"/>
        <v/>
      </c>
      <c r="DU263" s="36" t="str">
        <f t="shared" si="777"/>
        <v/>
      </c>
      <c r="DV263" s="29"/>
      <c r="DX263" s="14"/>
      <c r="DY263" s="39"/>
      <c r="DZ263" s="5" t="str">
        <f t="shared" si="803"/>
        <v/>
      </c>
      <c r="EA263" s="5"/>
      <c r="EB263" s="5"/>
      <c r="EC263" s="5"/>
      <c r="ED263" s="5" t="str">
        <f t="shared" si="804"/>
        <v/>
      </c>
      <c r="EE263" s="5"/>
      <c r="EF263" s="5"/>
      <c r="EG263" s="5"/>
      <c r="EH263" s="5" t="str">
        <f t="shared" si="778"/>
        <v/>
      </c>
      <c r="EI263" s="36" t="str">
        <f t="shared" si="779"/>
        <v/>
      </c>
      <c r="EJ263" s="29"/>
      <c r="EL263" s="14"/>
      <c r="EM263" s="39"/>
      <c r="EN263" s="5" t="str">
        <f t="shared" si="805"/>
        <v/>
      </c>
      <c r="EO263" s="5"/>
      <c r="EP263" s="5"/>
      <c r="EQ263" s="5"/>
      <c r="ER263" s="5" t="str">
        <f t="shared" si="806"/>
        <v/>
      </c>
      <c r="ES263" s="5"/>
      <c r="ET263" s="5"/>
      <c r="EU263" s="5"/>
      <c r="EV263" s="5" t="str">
        <f t="shared" si="780"/>
        <v/>
      </c>
      <c r="EW263" s="36" t="str">
        <f t="shared" si="781"/>
        <v/>
      </c>
      <c r="EX263" s="29"/>
      <c r="EZ263" s="14"/>
      <c r="FA263" s="39"/>
      <c r="FB263" s="5" t="str">
        <f t="shared" si="807"/>
        <v/>
      </c>
      <c r="FC263" s="5"/>
      <c r="FD263" s="5"/>
      <c r="FE263" s="5"/>
      <c r="FF263" s="5" t="str">
        <f t="shared" si="808"/>
        <v/>
      </c>
      <c r="FG263" s="5"/>
      <c r="FH263" s="5"/>
      <c r="FI263" s="5"/>
      <c r="FJ263" s="5" t="str">
        <f t="shared" si="782"/>
        <v/>
      </c>
      <c r="FK263" s="36" t="str">
        <f t="shared" si="783"/>
        <v/>
      </c>
      <c r="FL263" s="29"/>
      <c r="FN263" s="14"/>
      <c r="FO263" s="39"/>
      <c r="FP263" s="5" t="str">
        <f t="shared" si="809"/>
        <v/>
      </c>
      <c r="FQ263" s="5"/>
      <c r="FR263" s="5"/>
      <c r="FS263" s="5"/>
      <c r="FT263" s="5" t="str">
        <f t="shared" si="810"/>
        <v/>
      </c>
      <c r="FU263" s="5"/>
      <c r="FV263" s="5"/>
      <c r="FW263" s="5"/>
      <c r="FX263" s="5" t="str">
        <f t="shared" si="784"/>
        <v/>
      </c>
      <c r="FY263" s="36" t="str">
        <f t="shared" si="785"/>
        <v/>
      </c>
      <c r="FZ263" s="29"/>
      <c r="GB263" s="14"/>
      <c r="GC263" s="39"/>
      <c r="GD263" s="5" t="str">
        <f t="shared" si="811"/>
        <v/>
      </c>
      <c r="GE263" s="5"/>
      <c r="GF263" s="5"/>
      <c r="GG263" s="5"/>
      <c r="GH263" s="5" t="str">
        <f t="shared" si="812"/>
        <v/>
      </c>
      <c r="GI263" s="5"/>
      <c r="GJ263" s="5"/>
      <c r="GK263" s="5"/>
      <c r="GL263" s="5" t="str">
        <f t="shared" si="786"/>
        <v/>
      </c>
      <c r="GM263" s="36" t="str">
        <f t="shared" si="787"/>
        <v/>
      </c>
      <c r="GN263" s="29"/>
      <c r="GP263" s="14"/>
      <c r="GQ263" s="39"/>
      <c r="GR263" s="5" t="str">
        <f t="shared" si="813"/>
        <v/>
      </c>
      <c r="GS263" s="5"/>
      <c r="GT263" s="5"/>
      <c r="GU263" s="5"/>
      <c r="GV263" s="5"/>
      <c r="GW263" s="5"/>
      <c r="GX263" s="5" t="str">
        <f t="shared" si="814"/>
        <v/>
      </c>
      <c r="GY263" s="5"/>
      <c r="GZ263" s="5"/>
      <c r="HA263" s="5"/>
      <c r="HB263" s="5" t="str">
        <f t="shared" si="788"/>
        <v/>
      </c>
      <c r="HC263" s="36" t="str">
        <f t="shared" si="789"/>
        <v/>
      </c>
      <c r="HD263" s="29"/>
      <c r="HF263" s="14"/>
      <c r="HG263" s="39"/>
      <c r="HH263" s="5" t="str">
        <f t="shared" si="815"/>
        <v/>
      </c>
      <c r="HI263" s="5"/>
      <c r="HJ263" s="29"/>
      <c r="HL263" s="14"/>
      <c r="HM263" s="39"/>
      <c r="HN263" s="5" t="str">
        <f t="shared" si="816"/>
        <v/>
      </c>
      <c r="HO263" s="5"/>
      <c r="HP263" s="29"/>
      <c r="HR263" s="14"/>
      <c r="HS263" s="39"/>
      <c r="HT263" s="5" t="str">
        <f t="shared" si="817"/>
        <v/>
      </c>
      <c r="HU263" s="5"/>
      <c r="HV263" s="29"/>
    </row>
    <row r="264" spans="1:230" ht="15" customHeight="1" thickBot="1" x14ac:dyDescent="0.25">
      <c r="A264" s="60"/>
      <c r="B264" s="42"/>
      <c r="C264" s="44"/>
      <c r="D264" s="61" t="str">
        <f t="shared" si="731"/>
        <v/>
      </c>
      <c r="E264" s="44"/>
      <c r="F264" s="44" t="str">
        <f t="shared" si="732"/>
        <v/>
      </c>
      <c r="G264" s="44"/>
      <c r="H264" s="44" t="str">
        <f t="shared" si="733"/>
        <v/>
      </c>
      <c r="I264" s="62"/>
      <c r="J264" s="47" t="str">
        <f t="shared" si="819"/>
        <v/>
      </c>
      <c r="K264" s="61" t="str">
        <f t="shared" si="819"/>
        <v/>
      </c>
      <c r="L264" s="44" t="str">
        <f t="shared" si="734"/>
        <v/>
      </c>
      <c r="M264" s="46" t="str">
        <f t="shared" si="735"/>
        <v/>
      </c>
      <c r="N264" s="29"/>
      <c r="P264" s="60"/>
      <c r="Q264" s="44"/>
      <c r="R264" s="61" t="str">
        <f t="shared" si="820"/>
        <v/>
      </c>
      <c r="S264" s="44"/>
      <c r="T264" s="44" t="str">
        <f t="shared" si="821"/>
        <v/>
      </c>
      <c r="U264" s="44"/>
      <c r="V264" s="44" t="str">
        <f t="shared" si="822"/>
        <v/>
      </c>
      <c r="W264" s="62"/>
      <c r="X264" s="47" t="str">
        <f t="shared" si="823"/>
        <v/>
      </c>
      <c r="Y264" s="61" t="str">
        <f t="shared" si="823"/>
        <v/>
      </c>
      <c r="Z264" s="44" t="str">
        <f t="shared" si="824"/>
        <v/>
      </c>
      <c r="AA264" s="46" t="str">
        <f t="shared" si="825"/>
        <v/>
      </c>
      <c r="AB264" s="29"/>
      <c r="AD264" s="60"/>
      <c r="AE264" s="44"/>
      <c r="AF264" s="61" t="str">
        <f t="shared" si="826"/>
        <v/>
      </c>
      <c r="AG264" s="44"/>
      <c r="AH264" s="44" t="str">
        <f t="shared" si="827"/>
        <v/>
      </c>
      <c r="AI264" s="44"/>
      <c r="AJ264" s="44" t="str">
        <f t="shared" si="828"/>
        <v/>
      </c>
      <c r="AK264" s="62"/>
      <c r="AL264" s="47" t="str">
        <f t="shared" si="829"/>
        <v/>
      </c>
      <c r="AM264" s="61" t="str">
        <f t="shared" si="829"/>
        <v/>
      </c>
      <c r="AN264" s="44" t="str">
        <f t="shared" si="830"/>
        <v/>
      </c>
      <c r="AO264" s="46" t="str">
        <f t="shared" si="831"/>
        <v/>
      </c>
      <c r="AP264" s="29"/>
      <c r="AR264" s="60"/>
      <c r="AS264" s="44"/>
      <c r="AT264" s="61" t="str">
        <f t="shared" si="832"/>
        <v/>
      </c>
      <c r="AU264" s="44"/>
      <c r="AV264" s="44" t="str">
        <f t="shared" si="833"/>
        <v/>
      </c>
      <c r="AW264" s="44"/>
      <c r="AX264" s="44" t="str">
        <f t="shared" si="834"/>
        <v/>
      </c>
      <c r="AY264" s="62"/>
      <c r="AZ264" s="47" t="str">
        <f t="shared" si="835"/>
        <v/>
      </c>
      <c r="BA264" s="61" t="str">
        <f t="shared" si="835"/>
        <v/>
      </c>
      <c r="BB264" s="44" t="str">
        <f t="shared" si="836"/>
        <v/>
      </c>
      <c r="BC264" s="46" t="str">
        <f t="shared" si="837"/>
        <v/>
      </c>
      <c r="BD264" s="29"/>
      <c r="BE264" s="32"/>
      <c r="BF264" s="41"/>
      <c r="BG264" s="44"/>
      <c r="BH264" s="44" t="str">
        <f t="shared" si="765"/>
        <v/>
      </c>
      <c r="BI264" s="44"/>
      <c r="BJ264" s="44" t="str">
        <f t="shared" si="766"/>
        <v/>
      </c>
      <c r="BK264" s="44"/>
      <c r="BL264" s="44" t="str">
        <f t="shared" si="756"/>
        <v/>
      </c>
      <c r="BM264" s="44"/>
      <c r="BN264" s="45" t="str">
        <f>IF(BG262="","",BN260)</f>
        <v/>
      </c>
      <c r="BO264" s="61" t="str">
        <f>IF(BG261="","",BO260)</f>
        <v/>
      </c>
      <c r="BP264" s="44" t="str">
        <f t="shared" si="753"/>
        <v/>
      </c>
      <c r="BQ264" s="46" t="str">
        <f>IF(BL264="","",BP264/(BH262*100))</f>
        <v/>
      </c>
      <c r="BR264" s="29"/>
      <c r="BT264" s="41"/>
      <c r="BU264" s="44"/>
      <c r="BV264" s="44" t="str">
        <f t="shared" si="757"/>
        <v/>
      </c>
      <c r="BW264" s="44"/>
      <c r="BX264" s="44" t="str">
        <f t="shared" si="758"/>
        <v/>
      </c>
      <c r="BY264" s="44"/>
      <c r="BZ264" s="44"/>
      <c r="CA264" s="44"/>
      <c r="CB264" s="45"/>
      <c r="CC264" s="61"/>
      <c r="CD264" s="44"/>
      <c r="CE264" s="46"/>
      <c r="CF264" s="29"/>
      <c r="CH264" s="14"/>
      <c r="CI264" s="39"/>
      <c r="CJ264" s="5" t="str">
        <f t="shared" si="797"/>
        <v/>
      </c>
      <c r="CK264" s="5"/>
      <c r="CL264" s="5"/>
      <c r="CM264" s="5"/>
      <c r="CN264" s="5" t="str">
        <f t="shared" si="798"/>
        <v/>
      </c>
      <c r="CO264" s="5"/>
      <c r="CP264" s="5"/>
      <c r="CQ264" s="5"/>
      <c r="CR264" s="5" t="str">
        <f t="shared" si="772"/>
        <v/>
      </c>
      <c r="CS264" s="36" t="str">
        <f t="shared" si="773"/>
        <v/>
      </c>
      <c r="CT264" s="29"/>
      <c r="CV264" s="14"/>
      <c r="CW264" s="39"/>
      <c r="CX264" s="5" t="str">
        <f t="shared" si="799"/>
        <v/>
      </c>
      <c r="CY264" s="5"/>
      <c r="CZ264" s="5"/>
      <c r="DA264" s="5"/>
      <c r="DB264" s="5" t="str">
        <f t="shared" si="800"/>
        <v/>
      </c>
      <c r="DC264" s="5"/>
      <c r="DD264" s="5"/>
      <c r="DE264" s="5"/>
      <c r="DF264" s="5" t="str">
        <f t="shared" si="774"/>
        <v/>
      </c>
      <c r="DG264" s="36" t="str">
        <f t="shared" si="775"/>
        <v/>
      </c>
      <c r="DH264" s="29"/>
      <c r="DJ264" s="14"/>
      <c r="DK264" s="39"/>
      <c r="DL264" s="5" t="str">
        <f t="shared" si="801"/>
        <v/>
      </c>
      <c r="DM264" s="5"/>
      <c r="DN264" s="5"/>
      <c r="DO264" s="5"/>
      <c r="DP264" s="5" t="str">
        <f t="shared" si="802"/>
        <v/>
      </c>
      <c r="DQ264" s="5"/>
      <c r="DR264" s="5"/>
      <c r="DS264" s="5"/>
      <c r="DT264" s="5" t="str">
        <f t="shared" si="776"/>
        <v/>
      </c>
      <c r="DU264" s="36" t="str">
        <f t="shared" si="777"/>
        <v/>
      </c>
      <c r="DV264" s="29"/>
      <c r="DX264" s="14"/>
      <c r="DY264" s="39"/>
      <c r="DZ264" s="5" t="str">
        <f t="shared" si="803"/>
        <v/>
      </c>
      <c r="EA264" s="5"/>
      <c r="EB264" s="5"/>
      <c r="EC264" s="5"/>
      <c r="ED264" s="5" t="str">
        <f t="shared" si="804"/>
        <v/>
      </c>
      <c r="EE264" s="5"/>
      <c r="EF264" s="5"/>
      <c r="EG264" s="5"/>
      <c r="EH264" s="5" t="str">
        <f t="shared" si="778"/>
        <v/>
      </c>
      <c r="EI264" s="36" t="str">
        <f t="shared" si="779"/>
        <v/>
      </c>
      <c r="EJ264" s="29"/>
      <c r="EL264" s="14"/>
      <c r="EM264" s="39"/>
      <c r="EN264" s="5" t="str">
        <f t="shared" si="805"/>
        <v/>
      </c>
      <c r="EO264" s="5"/>
      <c r="EP264" s="5"/>
      <c r="EQ264" s="5"/>
      <c r="ER264" s="5" t="str">
        <f t="shared" si="806"/>
        <v/>
      </c>
      <c r="ES264" s="5"/>
      <c r="ET264" s="5"/>
      <c r="EU264" s="5"/>
      <c r="EV264" s="5" t="str">
        <f t="shared" si="780"/>
        <v/>
      </c>
      <c r="EW264" s="36" t="str">
        <f t="shared" si="781"/>
        <v/>
      </c>
      <c r="EX264" s="29"/>
      <c r="EZ264" s="14"/>
      <c r="FA264" s="39"/>
      <c r="FB264" s="5" t="str">
        <f t="shared" si="807"/>
        <v/>
      </c>
      <c r="FC264" s="5"/>
      <c r="FD264" s="5"/>
      <c r="FE264" s="5"/>
      <c r="FF264" s="5" t="str">
        <f t="shared" si="808"/>
        <v/>
      </c>
      <c r="FG264" s="5"/>
      <c r="FH264" s="5"/>
      <c r="FI264" s="5"/>
      <c r="FJ264" s="5" t="str">
        <f t="shared" si="782"/>
        <v/>
      </c>
      <c r="FK264" s="36" t="str">
        <f t="shared" si="783"/>
        <v/>
      </c>
      <c r="FL264" s="29"/>
      <c r="FN264" s="14"/>
      <c r="FO264" s="39"/>
      <c r="FP264" s="5" t="str">
        <f t="shared" si="809"/>
        <v/>
      </c>
      <c r="FQ264" s="5"/>
      <c r="FR264" s="5"/>
      <c r="FS264" s="5"/>
      <c r="FT264" s="5" t="str">
        <f t="shared" si="810"/>
        <v/>
      </c>
      <c r="FU264" s="5"/>
      <c r="FV264" s="5"/>
      <c r="FW264" s="5"/>
      <c r="FX264" s="5" t="str">
        <f t="shared" si="784"/>
        <v/>
      </c>
      <c r="FY264" s="36" t="str">
        <f t="shared" si="785"/>
        <v/>
      </c>
      <c r="FZ264" s="29"/>
      <c r="GB264" s="14"/>
      <c r="GC264" s="39"/>
      <c r="GD264" s="5" t="str">
        <f t="shared" si="811"/>
        <v/>
      </c>
      <c r="GE264" s="5"/>
      <c r="GF264" s="5"/>
      <c r="GG264" s="5"/>
      <c r="GH264" s="5" t="str">
        <f t="shared" si="812"/>
        <v/>
      </c>
      <c r="GI264" s="5"/>
      <c r="GJ264" s="5"/>
      <c r="GK264" s="5"/>
      <c r="GL264" s="5" t="str">
        <f t="shared" si="786"/>
        <v/>
      </c>
      <c r="GM264" s="36" t="str">
        <f t="shared" si="787"/>
        <v/>
      </c>
      <c r="GN264" s="29"/>
      <c r="GP264" s="14"/>
      <c r="GQ264" s="39"/>
      <c r="GR264" s="5" t="str">
        <f t="shared" si="813"/>
        <v/>
      </c>
      <c r="GS264" s="5"/>
      <c r="GT264" s="5"/>
      <c r="GU264" s="5"/>
      <c r="GV264" s="5"/>
      <c r="GW264" s="5"/>
      <c r="GX264" s="5" t="str">
        <f t="shared" si="814"/>
        <v/>
      </c>
      <c r="GY264" s="5"/>
      <c r="GZ264" s="5"/>
      <c r="HA264" s="5"/>
      <c r="HB264" s="5" t="str">
        <f t="shared" si="788"/>
        <v/>
      </c>
      <c r="HC264" s="36" t="str">
        <f t="shared" si="789"/>
        <v/>
      </c>
      <c r="HD264" s="29"/>
      <c r="HF264" s="14"/>
      <c r="HG264" s="39"/>
      <c r="HH264" s="5" t="str">
        <f t="shared" si="815"/>
        <v/>
      </c>
      <c r="HI264" s="5"/>
      <c r="HJ264" s="29"/>
      <c r="HL264" s="14"/>
      <c r="HM264" s="39"/>
      <c r="HN264" s="5" t="str">
        <f t="shared" si="816"/>
        <v/>
      </c>
      <c r="HO264" s="5"/>
      <c r="HP264" s="29"/>
      <c r="HR264" s="14"/>
      <c r="HS264" s="39"/>
      <c r="HT264" s="5" t="str">
        <f t="shared" si="817"/>
        <v/>
      </c>
      <c r="HU264" s="5"/>
      <c r="HV264" s="29"/>
    </row>
    <row r="265" spans="1:230" ht="15" customHeight="1" thickTop="1" x14ac:dyDescent="0.2">
      <c r="A265" s="49"/>
      <c r="B265" s="26">
        <f>SUM(D265:D268)+SUM(R265:R268)+SUM(AF265:AF268)+SUM(AT265:AT268)+SUM(CJ259,DL259,DZ259,EN259,FB259,FP259,GD259,GR259,HH259,HN259,HT259)+SUM(BH265:BH266)+SUM(BV265:BV266)</f>
        <v>0</v>
      </c>
      <c r="C265" s="4"/>
      <c r="D265" s="4" t="str">
        <f t="shared" si="731"/>
        <v/>
      </c>
      <c r="E265" s="4"/>
      <c r="F265" s="50" t="str">
        <f t="shared" si="732"/>
        <v/>
      </c>
      <c r="G265" s="4"/>
      <c r="H265" s="4" t="str">
        <f t="shared" si="733"/>
        <v/>
      </c>
      <c r="I265" s="51"/>
      <c r="J265" s="31" t="str">
        <f t="shared" si="819"/>
        <v/>
      </c>
      <c r="K265" s="27" t="str">
        <f t="shared" si="819"/>
        <v/>
      </c>
      <c r="L265" s="50" t="str">
        <f t="shared" si="734"/>
        <v/>
      </c>
      <c r="M265" s="52" t="str">
        <f t="shared" si="735"/>
        <v/>
      </c>
      <c r="N265" s="29"/>
      <c r="P265" s="53" t="str">
        <f>IF($A265="","",$A265)</f>
        <v/>
      </c>
      <c r="Q265" s="4"/>
      <c r="R265" s="4" t="str">
        <f t="shared" si="820"/>
        <v/>
      </c>
      <c r="S265" s="4"/>
      <c r="T265" s="50" t="str">
        <f t="shared" si="821"/>
        <v/>
      </c>
      <c r="U265" s="4"/>
      <c r="V265" s="4" t="str">
        <f t="shared" si="822"/>
        <v/>
      </c>
      <c r="W265" s="51"/>
      <c r="X265" s="31" t="str">
        <f t="shared" si="823"/>
        <v/>
      </c>
      <c r="Y265" s="27" t="str">
        <f t="shared" si="823"/>
        <v/>
      </c>
      <c r="Z265" s="50" t="str">
        <f t="shared" si="824"/>
        <v/>
      </c>
      <c r="AA265" s="52" t="str">
        <f t="shared" si="825"/>
        <v/>
      </c>
      <c r="AB265" s="29"/>
      <c r="AD265" s="53" t="str">
        <f>IF($A265="","",$A265)</f>
        <v/>
      </c>
      <c r="AE265" s="4"/>
      <c r="AF265" s="4" t="str">
        <f t="shared" si="826"/>
        <v/>
      </c>
      <c r="AG265" s="4"/>
      <c r="AH265" s="50" t="str">
        <f t="shared" si="827"/>
        <v/>
      </c>
      <c r="AI265" s="4"/>
      <c r="AJ265" s="4" t="str">
        <f t="shared" si="828"/>
        <v/>
      </c>
      <c r="AK265" s="51"/>
      <c r="AL265" s="31" t="str">
        <f t="shared" si="829"/>
        <v/>
      </c>
      <c r="AM265" s="27" t="str">
        <f t="shared" si="829"/>
        <v/>
      </c>
      <c r="AN265" s="50" t="str">
        <f t="shared" si="830"/>
        <v/>
      </c>
      <c r="AO265" s="52" t="str">
        <f t="shared" si="831"/>
        <v/>
      </c>
      <c r="AP265" s="29"/>
      <c r="AR265" s="53" t="str">
        <f>IF($A265="","",$A265)</f>
        <v/>
      </c>
      <c r="AS265" s="4"/>
      <c r="AT265" s="4" t="str">
        <f t="shared" si="832"/>
        <v/>
      </c>
      <c r="AU265" s="4"/>
      <c r="AV265" s="50" t="str">
        <f t="shared" si="833"/>
        <v/>
      </c>
      <c r="AW265" s="4"/>
      <c r="AX265" s="4" t="str">
        <f t="shared" si="834"/>
        <v/>
      </c>
      <c r="AY265" s="51"/>
      <c r="AZ265" s="31" t="str">
        <f t="shared" si="835"/>
        <v/>
      </c>
      <c r="BA265" s="27" t="str">
        <f t="shared" si="835"/>
        <v/>
      </c>
      <c r="BB265" s="50" t="str">
        <f t="shared" si="836"/>
        <v/>
      </c>
      <c r="BC265" s="52" t="str">
        <f t="shared" si="837"/>
        <v/>
      </c>
      <c r="BD265" s="29"/>
      <c r="BE265" s="32"/>
      <c r="BF265" s="33" t="str">
        <f>IF($A235="","",$A235)</f>
        <v/>
      </c>
      <c r="BG265" s="4"/>
      <c r="BH265" s="4" t="str">
        <f t="shared" si="765"/>
        <v/>
      </c>
      <c r="BI265" s="4"/>
      <c r="BJ265" s="50" t="str">
        <f t="shared" si="766"/>
        <v/>
      </c>
      <c r="BK265" s="4"/>
      <c r="BL265" s="4" t="str">
        <f t="shared" si="756"/>
        <v/>
      </c>
      <c r="BM265" s="4"/>
      <c r="BN265" s="2" t="str">
        <f>IF(BG265="","",BN261)</f>
        <v/>
      </c>
      <c r="BO265" s="27" t="str">
        <f>IF(BG265="","",BO261)</f>
        <v/>
      </c>
      <c r="BP265" s="5" t="str">
        <f t="shared" si="753"/>
        <v/>
      </c>
      <c r="BQ265" s="52" t="str">
        <f>IF(BL265="","",BP265/(BH265*100))</f>
        <v/>
      </c>
      <c r="BR265" s="29"/>
      <c r="BT265" s="33" t="str">
        <f>IF($A235="","",$A235)</f>
        <v/>
      </c>
      <c r="BU265" s="4"/>
      <c r="BV265" s="4" t="str">
        <f t="shared" si="757"/>
        <v/>
      </c>
      <c r="BW265" s="4"/>
      <c r="BX265" s="50" t="str">
        <f t="shared" si="758"/>
        <v/>
      </c>
      <c r="BY265" s="4"/>
      <c r="BZ265" s="4" t="str">
        <f t="shared" si="763"/>
        <v/>
      </c>
      <c r="CA265" s="4"/>
      <c r="CB265" s="2" t="str">
        <f>IF(BU265="","",CB261)</f>
        <v/>
      </c>
      <c r="CC265" s="27" t="str">
        <f>IF(BU265="","",CC261)</f>
        <v/>
      </c>
      <c r="CD265" s="5" t="str">
        <f t="shared" ref="CD265:CD266" si="839">IF(BY265="","",BZ265*CC265)</f>
        <v/>
      </c>
      <c r="CE265" s="52" t="str">
        <f>IF(BZ265="","",CD265/(BV265*100))</f>
        <v/>
      </c>
      <c r="CF265" s="29"/>
      <c r="CH265" s="14"/>
      <c r="CI265" s="39"/>
      <c r="CJ265" s="5" t="str">
        <f t="shared" si="797"/>
        <v/>
      </c>
      <c r="CK265" s="5"/>
      <c r="CL265" s="5"/>
      <c r="CM265" s="5"/>
      <c r="CN265" s="5" t="str">
        <f t="shared" si="798"/>
        <v/>
      </c>
      <c r="CO265" s="5"/>
      <c r="CP265" s="5"/>
      <c r="CQ265" s="5"/>
      <c r="CR265" s="5" t="str">
        <f t="shared" si="772"/>
        <v/>
      </c>
      <c r="CS265" s="36" t="str">
        <f t="shared" si="773"/>
        <v/>
      </c>
      <c r="CT265" s="29"/>
      <c r="CV265" s="14"/>
      <c r="CW265" s="39"/>
      <c r="CX265" s="5" t="str">
        <f t="shared" si="799"/>
        <v/>
      </c>
      <c r="CY265" s="5"/>
      <c r="CZ265" s="5"/>
      <c r="DA265" s="5"/>
      <c r="DB265" s="5" t="str">
        <f t="shared" si="800"/>
        <v/>
      </c>
      <c r="DC265" s="5"/>
      <c r="DD265" s="5"/>
      <c r="DE265" s="5"/>
      <c r="DF265" s="5" t="str">
        <f t="shared" si="774"/>
        <v/>
      </c>
      <c r="DG265" s="36" t="str">
        <f t="shared" si="775"/>
        <v/>
      </c>
      <c r="DH265" s="29"/>
      <c r="DJ265" s="14"/>
      <c r="DK265" s="39"/>
      <c r="DL265" s="5" t="str">
        <f t="shared" si="801"/>
        <v/>
      </c>
      <c r="DM265" s="5"/>
      <c r="DN265" s="5"/>
      <c r="DO265" s="5"/>
      <c r="DP265" s="5" t="str">
        <f t="shared" si="802"/>
        <v/>
      </c>
      <c r="DQ265" s="5"/>
      <c r="DR265" s="5"/>
      <c r="DS265" s="5"/>
      <c r="DT265" s="5" t="str">
        <f t="shared" si="776"/>
        <v/>
      </c>
      <c r="DU265" s="36" t="str">
        <f t="shared" si="777"/>
        <v/>
      </c>
      <c r="DV265" s="29"/>
      <c r="DX265" s="14"/>
      <c r="DY265" s="39"/>
      <c r="DZ265" s="5" t="str">
        <f t="shared" si="803"/>
        <v/>
      </c>
      <c r="EA265" s="5"/>
      <c r="EB265" s="5"/>
      <c r="EC265" s="5"/>
      <c r="ED265" s="5" t="str">
        <f t="shared" si="804"/>
        <v/>
      </c>
      <c r="EE265" s="5"/>
      <c r="EF265" s="5"/>
      <c r="EG265" s="5"/>
      <c r="EH265" s="5" t="str">
        <f t="shared" si="778"/>
        <v/>
      </c>
      <c r="EI265" s="36" t="str">
        <f t="shared" si="779"/>
        <v/>
      </c>
      <c r="EJ265" s="29"/>
      <c r="EL265" s="14"/>
      <c r="EM265" s="39"/>
      <c r="EN265" s="5" t="str">
        <f t="shared" si="805"/>
        <v/>
      </c>
      <c r="EO265" s="5"/>
      <c r="EP265" s="5"/>
      <c r="EQ265" s="5"/>
      <c r="ER265" s="5" t="str">
        <f t="shared" si="806"/>
        <v/>
      </c>
      <c r="ES265" s="5"/>
      <c r="ET265" s="5"/>
      <c r="EU265" s="5"/>
      <c r="EV265" s="5" t="str">
        <f t="shared" si="780"/>
        <v/>
      </c>
      <c r="EW265" s="36" t="str">
        <f t="shared" si="781"/>
        <v/>
      </c>
      <c r="EX265" s="29"/>
      <c r="EZ265" s="14"/>
      <c r="FA265" s="39"/>
      <c r="FB265" s="5" t="str">
        <f t="shared" si="807"/>
        <v/>
      </c>
      <c r="FC265" s="5"/>
      <c r="FD265" s="5"/>
      <c r="FE265" s="5"/>
      <c r="FF265" s="5" t="str">
        <f t="shared" si="808"/>
        <v/>
      </c>
      <c r="FG265" s="5"/>
      <c r="FH265" s="5"/>
      <c r="FI265" s="5"/>
      <c r="FJ265" s="5" t="str">
        <f t="shared" si="782"/>
        <v/>
      </c>
      <c r="FK265" s="36" t="str">
        <f t="shared" si="783"/>
        <v/>
      </c>
      <c r="FL265" s="29"/>
      <c r="FN265" s="14"/>
      <c r="FO265" s="39"/>
      <c r="FP265" s="5" t="str">
        <f t="shared" si="809"/>
        <v/>
      </c>
      <c r="FQ265" s="5"/>
      <c r="FR265" s="5"/>
      <c r="FS265" s="5"/>
      <c r="FT265" s="5" t="str">
        <f t="shared" si="810"/>
        <v/>
      </c>
      <c r="FU265" s="5"/>
      <c r="FV265" s="5"/>
      <c r="FW265" s="5"/>
      <c r="FX265" s="5" t="str">
        <f t="shared" si="784"/>
        <v/>
      </c>
      <c r="FY265" s="36" t="str">
        <f t="shared" si="785"/>
        <v/>
      </c>
      <c r="FZ265" s="29"/>
      <c r="GB265" s="14"/>
      <c r="GC265" s="39"/>
      <c r="GD265" s="5" t="str">
        <f t="shared" si="811"/>
        <v/>
      </c>
      <c r="GE265" s="5"/>
      <c r="GF265" s="5"/>
      <c r="GG265" s="5"/>
      <c r="GH265" s="5" t="str">
        <f t="shared" si="812"/>
        <v/>
      </c>
      <c r="GI265" s="5"/>
      <c r="GJ265" s="5"/>
      <c r="GK265" s="5"/>
      <c r="GL265" s="5" t="str">
        <f t="shared" si="786"/>
        <v/>
      </c>
      <c r="GM265" s="36" t="str">
        <f t="shared" si="787"/>
        <v/>
      </c>
      <c r="GN265" s="29"/>
      <c r="GP265" s="14"/>
      <c r="GQ265" s="39"/>
      <c r="GR265" s="5" t="str">
        <f t="shared" si="813"/>
        <v/>
      </c>
      <c r="GS265" s="5"/>
      <c r="GT265" s="5"/>
      <c r="GU265" s="5"/>
      <c r="GV265" s="5"/>
      <c r="GW265" s="5"/>
      <c r="GX265" s="5" t="str">
        <f t="shared" si="814"/>
        <v/>
      </c>
      <c r="GY265" s="5"/>
      <c r="GZ265" s="5"/>
      <c r="HA265" s="5"/>
      <c r="HB265" s="5" t="str">
        <f t="shared" si="788"/>
        <v/>
      </c>
      <c r="HC265" s="36" t="str">
        <f t="shared" si="789"/>
        <v/>
      </c>
      <c r="HD265" s="29"/>
      <c r="HF265" s="14"/>
      <c r="HG265" s="39"/>
      <c r="HH265" s="5" t="str">
        <f t="shared" si="815"/>
        <v/>
      </c>
      <c r="HI265" s="5"/>
      <c r="HJ265" s="29"/>
      <c r="HL265" s="14"/>
      <c r="HM265" s="39"/>
      <c r="HN265" s="5" t="str">
        <f t="shared" si="816"/>
        <v/>
      </c>
      <c r="HO265" s="5"/>
      <c r="HP265" s="29"/>
      <c r="HR265" s="14"/>
      <c r="HS265" s="39"/>
      <c r="HT265" s="5" t="str">
        <f t="shared" si="817"/>
        <v/>
      </c>
      <c r="HU265" s="5"/>
      <c r="HV265" s="29"/>
    </row>
    <row r="266" spans="1:230" ht="15" customHeight="1" x14ac:dyDescent="0.2">
      <c r="A266" s="54"/>
      <c r="B266" s="37"/>
      <c r="C266" s="4"/>
      <c r="D266" s="5" t="str">
        <f t="shared" si="731"/>
        <v/>
      </c>
      <c r="E266" s="5"/>
      <c r="F266" s="5" t="str">
        <f t="shared" si="732"/>
        <v/>
      </c>
      <c r="G266" s="5"/>
      <c r="H266" s="5" t="str">
        <f t="shared" si="733"/>
        <v/>
      </c>
      <c r="I266" s="35"/>
      <c r="J266" s="38" t="str">
        <f t="shared" si="819"/>
        <v/>
      </c>
      <c r="K266" s="39" t="str">
        <f t="shared" si="819"/>
        <v/>
      </c>
      <c r="L266" s="5" t="str">
        <f t="shared" si="734"/>
        <v/>
      </c>
      <c r="M266" s="36" t="str">
        <f t="shared" si="735"/>
        <v/>
      </c>
      <c r="N266" s="29"/>
      <c r="P266" s="54"/>
      <c r="Q266" s="4"/>
      <c r="R266" s="5" t="str">
        <f t="shared" si="820"/>
        <v/>
      </c>
      <c r="S266" s="5"/>
      <c r="T266" s="5" t="str">
        <f t="shared" si="821"/>
        <v/>
      </c>
      <c r="U266" s="5"/>
      <c r="V266" s="5" t="str">
        <f t="shared" si="822"/>
        <v/>
      </c>
      <c r="W266" s="35"/>
      <c r="X266" s="38" t="str">
        <f t="shared" si="823"/>
        <v/>
      </c>
      <c r="Y266" s="39" t="str">
        <f t="shared" si="823"/>
        <v/>
      </c>
      <c r="Z266" s="5" t="str">
        <f t="shared" si="824"/>
        <v/>
      </c>
      <c r="AA266" s="36" t="str">
        <f t="shared" si="825"/>
        <v/>
      </c>
      <c r="AB266" s="29"/>
      <c r="AD266" s="54"/>
      <c r="AE266" s="4"/>
      <c r="AF266" s="5" t="str">
        <f t="shared" si="826"/>
        <v/>
      </c>
      <c r="AG266" s="5"/>
      <c r="AH266" s="5" t="str">
        <f t="shared" si="827"/>
        <v/>
      </c>
      <c r="AI266" s="5"/>
      <c r="AJ266" s="5" t="str">
        <f t="shared" si="828"/>
        <v/>
      </c>
      <c r="AK266" s="35"/>
      <c r="AL266" s="38" t="str">
        <f t="shared" si="829"/>
        <v/>
      </c>
      <c r="AM266" s="39" t="str">
        <f t="shared" si="829"/>
        <v/>
      </c>
      <c r="AN266" s="5" t="str">
        <f t="shared" si="830"/>
        <v/>
      </c>
      <c r="AO266" s="36" t="str">
        <f t="shared" si="831"/>
        <v/>
      </c>
      <c r="AP266" s="29"/>
      <c r="AR266" s="54"/>
      <c r="AS266" s="4"/>
      <c r="AT266" s="5" t="str">
        <f t="shared" si="832"/>
        <v/>
      </c>
      <c r="AU266" s="5"/>
      <c r="AV266" s="5" t="str">
        <f t="shared" si="833"/>
        <v/>
      </c>
      <c r="AW266" s="5"/>
      <c r="AX266" s="5" t="str">
        <f t="shared" si="834"/>
        <v/>
      </c>
      <c r="AY266" s="35"/>
      <c r="AZ266" s="38" t="str">
        <f t="shared" si="835"/>
        <v/>
      </c>
      <c r="BA266" s="39" t="str">
        <f t="shared" si="835"/>
        <v/>
      </c>
      <c r="BB266" s="5" t="str">
        <f t="shared" si="836"/>
        <v/>
      </c>
      <c r="BC266" s="36" t="str">
        <f t="shared" si="837"/>
        <v/>
      </c>
      <c r="BD266" s="29"/>
      <c r="BE266" s="32"/>
      <c r="BF266" s="25"/>
      <c r="BG266" s="5"/>
      <c r="BH266" s="5" t="str">
        <f t="shared" si="765"/>
        <v/>
      </c>
      <c r="BI266" s="5"/>
      <c r="BJ266" s="5" t="str">
        <f t="shared" si="766"/>
        <v/>
      </c>
      <c r="BK266" s="5"/>
      <c r="BL266" s="5" t="str">
        <f t="shared" si="756"/>
        <v/>
      </c>
      <c r="BM266" s="4"/>
      <c r="BN266" s="3" t="str">
        <f>IF(BG266="","",BN262)</f>
        <v/>
      </c>
      <c r="BO266" s="39" t="str">
        <f>IF(BG265="","",BO262)</f>
        <v/>
      </c>
      <c r="BP266" s="4" t="str">
        <f t="shared" si="753"/>
        <v/>
      </c>
      <c r="BQ266" s="36" t="str">
        <f>IF(BL266="","",BP266/(BH266*100))</f>
        <v/>
      </c>
      <c r="BR266" s="29"/>
      <c r="BT266" s="25"/>
      <c r="BU266" s="5"/>
      <c r="BV266" s="5" t="str">
        <f t="shared" si="757"/>
        <v/>
      </c>
      <c r="BW266" s="5"/>
      <c r="BX266" s="5" t="str">
        <f t="shared" si="758"/>
        <v/>
      </c>
      <c r="BY266" s="5"/>
      <c r="BZ266" s="5" t="str">
        <f t="shared" si="763"/>
        <v/>
      </c>
      <c r="CA266" s="4"/>
      <c r="CB266" s="3" t="str">
        <f>IF(BU266="","",CB262)</f>
        <v/>
      </c>
      <c r="CC266" s="39" t="str">
        <f>IF(BU265="","",CC262)</f>
        <v/>
      </c>
      <c r="CD266" s="4" t="str">
        <f t="shared" si="839"/>
        <v/>
      </c>
      <c r="CE266" s="36" t="str">
        <f>IF(BZ266="","",CD266/(BV266*100))</f>
        <v/>
      </c>
      <c r="CF266" s="29"/>
      <c r="CH266" s="14"/>
      <c r="CI266" s="39"/>
      <c r="CJ266" s="5" t="str">
        <f t="shared" si="797"/>
        <v/>
      </c>
      <c r="CK266" s="5"/>
      <c r="CL266" s="5"/>
      <c r="CM266" s="5"/>
      <c r="CN266" s="5" t="str">
        <f t="shared" si="798"/>
        <v/>
      </c>
      <c r="CO266" s="5"/>
      <c r="CP266" s="5"/>
      <c r="CQ266" s="5"/>
      <c r="CR266" s="5" t="str">
        <f t="shared" si="772"/>
        <v/>
      </c>
      <c r="CS266" s="36" t="str">
        <f t="shared" si="773"/>
        <v/>
      </c>
      <c r="CT266" s="29"/>
      <c r="CV266" s="14"/>
      <c r="CW266" s="39"/>
      <c r="CX266" s="5" t="str">
        <f t="shared" si="799"/>
        <v/>
      </c>
      <c r="CY266" s="5"/>
      <c r="CZ266" s="5"/>
      <c r="DA266" s="5"/>
      <c r="DB266" s="5" t="str">
        <f t="shared" si="800"/>
        <v/>
      </c>
      <c r="DC266" s="5"/>
      <c r="DD266" s="5"/>
      <c r="DE266" s="5"/>
      <c r="DF266" s="5" t="str">
        <f t="shared" si="774"/>
        <v/>
      </c>
      <c r="DG266" s="36" t="str">
        <f t="shared" si="775"/>
        <v/>
      </c>
      <c r="DH266" s="29"/>
      <c r="DJ266" s="14"/>
      <c r="DK266" s="39"/>
      <c r="DL266" s="5" t="str">
        <f t="shared" si="801"/>
        <v/>
      </c>
      <c r="DM266" s="5"/>
      <c r="DN266" s="5"/>
      <c r="DO266" s="5"/>
      <c r="DP266" s="5" t="str">
        <f t="shared" si="802"/>
        <v/>
      </c>
      <c r="DQ266" s="5"/>
      <c r="DR266" s="5"/>
      <c r="DS266" s="5"/>
      <c r="DT266" s="5" t="str">
        <f t="shared" si="776"/>
        <v/>
      </c>
      <c r="DU266" s="36" t="str">
        <f t="shared" si="777"/>
        <v/>
      </c>
      <c r="DV266" s="29"/>
      <c r="DX266" s="14"/>
      <c r="DY266" s="39"/>
      <c r="DZ266" s="5" t="str">
        <f t="shared" si="803"/>
        <v/>
      </c>
      <c r="EA266" s="5"/>
      <c r="EB266" s="5"/>
      <c r="EC266" s="5"/>
      <c r="ED266" s="5" t="str">
        <f t="shared" si="804"/>
        <v/>
      </c>
      <c r="EE266" s="5"/>
      <c r="EF266" s="5"/>
      <c r="EG266" s="5"/>
      <c r="EH266" s="5" t="str">
        <f t="shared" si="778"/>
        <v/>
      </c>
      <c r="EI266" s="36" t="str">
        <f t="shared" si="779"/>
        <v/>
      </c>
      <c r="EJ266" s="29"/>
      <c r="EL266" s="14"/>
      <c r="EM266" s="39"/>
      <c r="EN266" s="5" t="str">
        <f t="shared" si="805"/>
        <v/>
      </c>
      <c r="EO266" s="5"/>
      <c r="EP266" s="5"/>
      <c r="EQ266" s="5"/>
      <c r="ER266" s="5" t="str">
        <f t="shared" si="806"/>
        <v/>
      </c>
      <c r="ES266" s="5"/>
      <c r="ET266" s="5"/>
      <c r="EU266" s="5"/>
      <c r="EV266" s="5" t="str">
        <f t="shared" si="780"/>
        <v/>
      </c>
      <c r="EW266" s="36" t="str">
        <f t="shared" si="781"/>
        <v/>
      </c>
      <c r="EX266" s="29"/>
      <c r="EZ266" s="14"/>
      <c r="FA266" s="39"/>
      <c r="FB266" s="5" t="str">
        <f t="shared" si="807"/>
        <v/>
      </c>
      <c r="FC266" s="5"/>
      <c r="FD266" s="5"/>
      <c r="FE266" s="5"/>
      <c r="FF266" s="5" t="str">
        <f t="shared" si="808"/>
        <v/>
      </c>
      <c r="FG266" s="5"/>
      <c r="FH266" s="5"/>
      <c r="FI266" s="5"/>
      <c r="FJ266" s="5" t="str">
        <f t="shared" si="782"/>
        <v/>
      </c>
      <c r="FK266" s="36" t="str">
        <f t="shared" si="783"/>
        <v/>
      </c>
      <c r="FL266" s="29"/>
      <c r="FN266" s="14"/>
      <c r="FO266" s="39"/>
      <c r="FP266" s="5" t="str">
        <f t="shared" si="809"/>
        <v/>
      </c>
      <c r="FQ266" s="5"/>
      <c r="FR266" s="5"/>
      <c r="FS266" s="5"/>
      <c r="FT266" s="5" t="str">
        <f t="shared" si="810"/>
        <v/>
      </c>
      <c r="FU266" s="5"/>
      <c r="FV266" s="5"/>
      <c r="FW266" s="5"/>
      <c r="FX266" s="5" t="str">
        <f t="shared" si="784"/>
        <v/>
      </c>
      <c r="FY266" s="36" t="str">
        <f t="shared" si="785"/>
        <v/>
      </c>
      <c r="FZ266" s="29"/>
      <c r="GB266" s="14"/>
      <c r="GC266" s="39"/>
      <c r="GD266" s="5" t="str">
        <f t="shared" si="811"/>
        <v/>
      </c>
      <c r="GE266" s="5"/>
      <c r="GF266" s="5"/>
      <c r="GG266" s="5"/>
      <c r="GH266" s="5" t="str">
        <f t="shared" si="812"/>
        <v/>
      </c>
      <c r="GI266" s="5"/>
      <c r="GJ266" s="5"/>
      <c r="GK266" s="5"/>
      <c r="GL266" s="5" t="str">
        <f t="shared" si="786"/>
        <v/>
      </c>
      <c r="GM266" s="36" t="str">
        <f t="shared" si="787"/>
        <v/>
      </c>
      <c r="GN266" s="29"/>
      <c r="GP266" s="14"/>
      <c r="GQ266" s="39"/>
      <c r="GR266" s="5" t="str">
        <f t="shared" si="813"/>
        <v/>
      </c>
      <c r="GS266" s="5"/>
      <c r="GT266" s="5"/>
      <c r="GU266" s="5"/>
      <c r="GV266" s="5"/>
      <c r="GW266" s="5"/>
      <c r="GX266" s="5" t="str">
        <f t="shared" si="814"/>
        <v/>
      </c>
      <c r="GY266" s="5"/>
      <c r="GZ266" s="5"/>
      <c r="HA266" s="5"/>
      <c r="HB266" s="5" t="str">
        <f t="shared" si="788"/>
        <v/>
      </c>
      <c r="HC266" s="36" t="str">
        <f t="shared" si="789"/>
        <v/>
      </c>
      <c r="HD266" s="29"/>
      <c r="HF266" s="14"/>
      <c r="HG266" s="39"/>
      <c r="HH266" s="5" t="str">
        <f t="shared" si="815"/>
        <v/>
      </c>
      <c r="HI266" s="5"/>
      <c r="HJ266" s="29"/>
      <c r="HL266" s="14"/>
      <c r="HM266" s="39"/>
      <c r="HN266" s="5" t="str">
        <f t="shared" si="816"/>
        <v/>
      </c>
      <c r="HO266" s="5"/>
      <c r="HP266" s="29"/>
      <c r="HR266" s="14"/>
      <c r="HS266" s="39"/>
      <c r="HT266" s="5" t="str">
        <f t="shared" si="817"/>
        <v/>
      </c>
      <c r="HU266" s="5"/>
      <c r="HV266" s="29"/>
    </row>
    <row r="267" spans="1:230" ht="15" customHeight="1" x14ac:dyDescent="0.2">
      <c r="A267" s="54"/>
      <c r="B267" s="37"/>
      <c r="C267" s="57"/>
      <c r="D267" s="5" t="str">
        <f t="shared" si="731"/>
        <v/>
      </c>
      <c r="E267" s="5"/>
      <c r="F267" s="5" t="str">
        <f t="shared" si="732"/>
        <v/>
      </c>
      <c r="G267" s="5"/>
      <c r="H267" s="5" t="str">
        <f t="shared" si="733"/>
        <v/>
      </c>
      <c r="I267" s="35"/>
      <c r="J267" s="38" t="str">
        <f t="shared" si="819"/>
        <v/>
      </c>
      <c r="K267" s="5" t="str">
        <f t="shared" si="819"/>
        <v/>
      </c>
      <c r="L267" s="5" t="str">
        <f t="shared" si="734"/>
        <v/>
      </c>
      <c r="M267" s="36" t="str">
        <f t="shared" si="735"/>
        <v/>
      </c>
      <c r="N267" s="29"/>
      <c r="P267" s="54"/>
      <c r="Q267" s="57"/>
      <c r="R267" s="5" t="str">
        <f t="shared" si="820"/>
        <v/>
      </c>
      <c r="S267" s="5"/>
      <c r="T267" s="5" t="str">
        <f t="shared" si="821"/>
        <v/>
      </c>
      <c r="U267" s="5"/>
      <c r="V267" s="5" t="str">
        <f t="shared" si="822"/>
        <v/>
      </c>
      <c r="W267" s="35"/>
      <c r="X267" s="38" t="str">
        <f t="shared" si="823"/>
        <v/>
      </c>
      <c r="Y267" s="5" t="str">
        <f t="shared" si="823"/>
        <v/>
      </c>
      <c r="Z267" s="5" t="str">
        <f t="shared" si="824"/>
        <v/>
      </c>
      <c r="AA267" s="36" t="str">
        <f t="shared" si="825"/>
        <v/>
      </c>
      <c r="AB267" s="29"/>
      <c r="AD267" s="54"/>
      <c r="AE267" s="57"/>
      <c r="AF267" s="5" t="str">
        <f t="shared" si="826"/>
        <v/>
      </c>
      <c r="AG267" s="5"/>
      <c r="AH267" s="5" t="str">
        <f t="shared" si="827"/>
        <v/>
      </c>
      <c r="AI267" s="5"/>
      <c r="AJ267" s="5" t="str">
        <f t="shared" si="828"/>
        <v/>
      </c>
      <c r="AK267" s="35"/>
      <c r="AL267" s="38" t="str">
        <f t="shared" si="829"/>
        <v/>
      </c>
      <c r="AM267" s="5" t="str">
        <f t="shared" si="829"/>
        <v/>
      </c>
      <c r="AN267" s="5" t="str">
        <f t="shared" si="830"/>
        <v/>
      </c>
      <c r="AO267" s="36" t="str">
        <f t="shared" si="831"/>
        <v/>
      </c>
      <c r="AP267" s="29"/>
      <c r="AR267" s="54"/>
      <c r="AS267" s="57"/>
      <c r="AT267" s="5" t="str">
        <f t="shared" si="832"/>
        <v/>
      </c>
      <c r="AU267" s="5"/>
      <c r="AV267" s="5" t="str">
        <f t="shared" si="833"/>
        <v/>
      </c>
      <c r="AW267" s="5"/>
      <c r="AX267" s="5" t="str">
        <f t="shared" si="834"/>
        <v/>
      </c>
      <c r="AY267" s="35"/>
      <c r="AZ267" s="38" t="str">
        <f t="shared" si="835"/>
        <v/>
      </c>
      <c r="BA267" s="5" t="str">
        <f t="shared" si="835"/>
        <v/>
      </c>
      <c r="BB267" s="5" t="str">
        <f t="shared" si="836"/>
        <v/>
      </c>
      <c r="BC267" s="36" t="str">
        <f t="shared" si="837"/>
        <v/>
      </c>
      <c r="BD267" s="29"/>
      <c r="BE267" s="32"/>
      <c r="BF267" s="25"/>
      <c r="BG267" s="5"/>
      <c r="BH267" s="5" t="str">
        <f t="shared" si="765"/>
        <v/>
      </c>
      <c r="BI267" s="5"/>
      <c r="BJ267" s="5" t="str">
        <f t="shared" si="766"/>
        <v/>
      </c>
      <c r="BK267" s="5"/>
      <c r="BL267" s="5" t="str">
        <f t="shared" si="756"/>
        <v/>
      </c>
      <c r="BM267" s="57"/>
      <c r="BN267" s="3" t="str">
        <f>IF(BG265="","",BN263)</f>
        <v/>
      </c>
      <c r="BO267" s="39" t="str">
        <f>IF(BG265="","",BO263)</f>
        <v/>
      </c>
      <c r="BP267" s="5" t="str">
        <f t="shared" si="753"/>
        <v/>
      </c>
      <c r="BQ267" s="36" t="str">
        <f>IF(BL267="","",BP267/(BH266*100))</f>
        <v/>
      </c>
      <c r="BR267" s="29"/>
      <c r="BT267" s="25"/>
      <c r="BU267" s="5"/>
      <c r="BV267" s="5" t="str">
        <f t="shared" si="757"/>
        <v/>
      </c>
      <c r="BW267" s="5"/>
      <c r="BX267" s="5" t="str">
        <f t="shared" si="758"/>
        <v/>
      </c>
      <c r="BY267" s="5"/>
      <c r="BZ267" s="5"/>
      <c r="CA267" s="57"/>
      <c r="CB267" s="3"/>
      <c r="CC267" s="39"/>
      <c r="CD267" s="5"/>
      <c r="CE267" s="36"/>
      <c r="CF267" s="29"/>
      <c r="CH267" s="14"/>
      <c r="CI267" s="39"/>
      <c r="CJ267" s="5" t="str">
        <f t="shared" si="797"/>
        <v/>
      </c>
      <c r="CK267" s="5"/>
      <c r="CL267" s="5"/>
      <c r="CM267" s="5"/>
      <c r="CN267" s="5" t="str">
        <f t="shared" si="798"/>
        <v/>
      </c>
      <c r="CO267" s="5"/>
      <c r="CP267" s="5"/>
      <c r="CQ267" s="5"/>
      <c r="CR267" s="5" t="str">
        <f t="shared" si="772"/>
        <v/>
      </c>
      <c r="CS267" s="36" t="str">
        <f t="shared" si="773"/>
        <v/>
      </c>
      <c r="CT267" s="29"/>
      <c r="CV267" s="14"/>
      <c r="CW267" s="39"/>
      <c r="CX267" s="5" t="str">
        <f t="shared" si="799"/>
        <v/>
      </c>
      <c r="CY267" s="5"/>
      <c r="CZ267" s="5"/>
      <c r="DA267" s="5"/>
      <c r="DB267" s="5" t="str">
        <f t="shared" si="800"/>
        <v/>
      </c>
      <c r="DC267" s="5"/>
      <c r="DD267" s="5"/>
      <c r="DE267" s="5"/>
      <c r="DF267" s="5" t="str">
        <f t="shared" si="774"/>
        <v/>
      </c>
      <c r="DG267" s="36" t="str">
        <f t="shared" si="775"/>
        <v/>
      </c>
      <c r="DH267" s="29"/>
      <c r="DJ267" s="14"/>
      <c r="DK267" s="39"/>
      <c r="DL267" s="5" t="str">
        <f t="shared" si="801"/>
        <v/>
      </c>
      <c r="DM267" s="5"/>
      <c r="DN267" s="5"/>
      <c r="DO267" s="5"/>
      <c r="DP267" s="5" t="str">
        <f t="shared" si="802"/>
        <v/>
      </c>
      <c r="DQ267" s="5"/>
      <c r="DR267" s="5"/>
      <c r="DS267" s="5"/>
      <c r="DT267" s="5" t="str">
        <f t="shared" si="776"/>
        <v/>
      </c>
      <c r="DU267" s="36" t="str">
        <f t="shared" si="777"/>
        <v/>
      </c>
      <c r="DV267" s="29"/>
      <c r="DX267" s="14"/>
      <c r="DY267" s="39"/>
      <c r="DZ267" s="5" t="str">
        <f t="shared" si="803"/>
        <v/>
      </c>
      <c r="EA267" s="5"/>
      <c r="EB267" s="5"/>
      <c r="EC267" s="5"/>
      <c r="ED267" s="5" t="str">
        <f t="shared" si="804"/>
        <v/>
      </c>
      <c r="EE267" s="5"/>
      <c r="EF267" s="5"/>
      <c r="EG267" s="5"/>
      <c r="EH267" s="5" t="str">
        <f t="shared" si="778"/>
        <v/>
      </c>
      <c r="EI267" s="36" t="str">
        <f t="shared" si="779"/>
        <v/>
      </c>
      <c r="EJ267" s="29"/>
      <c r="EL267" s="14"/>
      <c r="EM267" s="39"/>
      <c r="EN267" s="5" t="str">
        <f t="shared" si="805"/>
        <v/>
      </c>
      <c r="EO267" s="5"/>
      <c r="EP267" s="5"/>
      <c r="EQ267" s="5"/>
      <c r="ER267" s="5" t="str">
        <f t="shared" si="806"/>
        <v/>
      </c>
      <c r="ES267" s="5"/>
      <c r="ET267" s="5"/>
      <c r="EU267" s="5"/>
      <c r="EV267" s="5" t="str">
        <f t="shared" si="780"/>
        <v/>
      </c>
      <c r="EW267" s="36" t="str">
        <f t="shared" si="781"/>
        <v/>
      </c>
      <c r="EX267" s="29"/>
      <c r="EZ267" s="14"/>
      <c r="FA267" s="39"/>
      <c r="FB267" s="5" t="str">
        <f t="shared" si="807"/>
        <v/>
      </c>
      <c r="FC267" s="5"/>
      <c r="FD267" s="5"/>
      <c r="FE267" s="5"/>
      <c r="FF267" s="5" t="str">
        <f t="shared" si="808"/>
        <v/>
      </c>
      <c r="FG267" s="5"/>
      <c r="FH267" s="5"/>
      <c r="FI267" s="5"/>
      <c r="FJ267" s="5" t="str">
        <f t="shared" si="782"/>
        <v/>
      </c>
      <c r="FK267" s="36" t="str">
        <f t="shared" si="783"/>
        <v/>
      </c>
      <c r="FL267" s="29"/>
      <c r="FN267" s="14"/>
      <c r="FO267" s="39"/>
      <c r="FP267" s="5" t="str">
        <f t="shared" si="809"/>
        <v/>
      </c>
      <c r="FQ267" s="5"/>
      <c r="FR267" s="5"/>
      <c r="FS267" s="5"/>
      <c r="FT267" s="5" t="str">
        <f t="shared" si="810"/>
        <v/>
      </c>
      <c r="FU267" s="5"/>
      <c r="FV267" s="5"/>
      <c r="FW267" s="5"/>
      <c r="FX267" s="5" t="str">
        <f t="shared" si="784"/>
        <v/>
      </c>
      <c r="FY267" s="36" t="str">
        <f t="shared" si="785"/>
        <v/>
      </c>
      <c r="FZ267" s="29"/>
      <c r="GB267" s="14"/>
      <c r="GC267" s="39"/>
      <c r="GD267" s="5" t="str">
        <f t="shared" si="811"/>
        <v/>
      </c>
      <c r="GE267" s="5"/>
      <c r="GF267" s="5"/>
      <c r="GG267" s="5"/>
      <c r="GH267" s="5" t="str">
        <f t="shared" si="812"/>
        <v/>
      </c>
      <c r="GI267" s="5"/>
      <c r="GJ267" s="5"/>
      <c r="GK267" s="5"/>
      <c r="GL267" s="5" t="str">
        <f t="shared" si="786"/>
        <v/>
      </c>
      <c r="GM267" s="36" t="str">
        <f t="shared" si="787"/>
        <v/>
      </c>
      <c r="GN267" s="29"/>
      <c r="GP267" s="14"/>
      <c r="GQ267" s="39"/>
      <c r="GR267" s="5" t="str">
        <f t="shared" si="813"/>
        <v/>
      </c>
      <c r="GS267" s="5"/>
      <c r="GT267" s="5"/>
      <c r="GU267" s="5"/>
      <c r="GV267" s="5"/>
      <c r="GW267" s="5"/>
      <c r="GX267" s="5" t="str">
        <f t="shared" si="814"/>
        <v/>
      </c>
      <c r="GY267" s="5"/>
      <c r="GZ267" s="5"/>
      <c r="HA267" s="5"/>
      <c r="HB267" s="5" t="str">
        <f t="shared" si="788"/>
        <v/>
      </c>
      <c r="HC267" s="36" t="str">
        <f t="shared" si="789"/>
        <v/>
      </c>
      <c r="HD267" s="29"/>
      <c r="HF267" s="14"/>
      <c r="HG267" s="39"/>
      <c r="HH267" s="5" t="str">
        <f t="shared" si="815"/>
        <v/>
      </c>
      <c r="HI267" s="5"/>
      <c r="HJ267" s="29"/>
      <c r="HL267" s="14"/>
      <c r="HM267" s="39"/>
      <c r="HN267" s="5" t="str">
        <f t="shared" si="816"/>
        <v/>
      </c>
      <c r="HO267" s="5"/>
      <c r="HP267" s="29"/>
      <c r="HR267" s="14"/>
      <c r="HS267" s="39"/>
      <c r="HT267" s="5" t="str">
        <f t="shared" si="817"/>
        <v/>
      </c>
      <c r="HU267" s="5"/>
      <c r="HV267" s="29"/>
    </row>
    <row r="268" spans="1:230" ht="15" customHeight="1" thickBot="1" x14ac:dyDescent="0.25">
      <c r="A268" s="60"/>
      <c r="B268" s="42"/>
      <c r="C268" s="43"/>
      <c r="D268" s="61" t="str">
        <f t="shared" si="731"/>
        <v/>
      </c>
      <c r="E268" s="44"/>
      <c r="F268" s="44" t="str">
        <f t="shared" si="732"/>
        <v/>
      </c>
      <c r="G268" s="44"/>
      <c r="H268" s="44" t="str">
        <f t="shared" si="733"/>
        <v/>
      </c>
      <c r="I268" s="62"/>
      <c r="J268" s="47" t="str">
        <f t="shared" si="819"/>
        <v/>
      </c>
      <c r="K268" s="61" t="str">
        <f t="shared" si="819"/>
        <v/>
      </c>
      <c r="L268" s="44" t="str">
        <f t="shared" si="734"/>
        <v/>
      </c>
      <c r="M268" s="46" t="str">
        <f t="shared" si="735"/>
        <v/>
      </c>
      <c r="N268" s="29"/>
      <c r="P268" s="60"/>
      <c r="Q268" s="43"/>
      <c r="R268" s="61" t="str">
        <f t="shared" si="820"/>
        <v/>
      </c>
      <c r="S268" s="44"/>
      <c r="T268" s="44" t="str">
        <f t="shared" si="821"/>
        <v/>
      </c>
      <c r="U268" s="44"/>
      <c r="V268" s="44" t="str">
        <f t="shared" si="822"/>
        <v/>
      </c>
      <c r="W268" s="62"/>
      <c r="X268" s="47" t="str">
        <f t="shared" si="823"/>
        <v/>
      </c>
      <c r="Y268" s="61" t="str">
        <f t="shared" si="823"/>
        <v/>
      </c>
      <c r="Z268" s="44" t="str">
        <f t="shared" si="824"/>
        <v/>
      </c>
      <c r="AA268" s="46" t="str">
        <f t="shared" si="825"/>
        <v/>
      </c>
      <c r="AB268" s="29"/>
      <c r="AD268" s="60"/>
      <c r="AE268" s="43"/>
      <c r="AF268" s="61" t="str">
        <f t="shared" si="826"/>
        <v/>
      </c>
      <c r="AG268" s="44"/>
      <c r="AH268" s="44" t="str">
        <f t="shared" si="827"/>
        <v/>
      </c>
      <c r="AI268" s="44"/>
      <c r="AJ268" s="44" t="str">
        <f t="shared" si="828"/>
        <v/>
      </c>
      <c r="AK268" s="62"/>
      <c r="AL268" s="47" t="str">
        <f t="shared" si="829"/>
        <v/>
      </c>
      <c r="AM268" s="61" t="str">
        <f t="shared" si="829"/>
        <v/>
      </c>
      <c r="AN268" s="44" t="str">
        <f t="shared" si="830"/>
        <v/>
      </c>
      <c r="AO268" s="46" t="str">
        <f t="shared" si="831"/>
        <v/>
      </c>
      <c r="AP268" s="29"/>
      <c r="AR268" s="60"/>
      <c r="AS268" s="43"/>
      <c r="AT268" s="61" t="str">
        <f t="shared" si="832"/>
        <v/>
      </c>
      <c r="AU268" s="44"/>
      <c r="AV268" s="44" t="str">
        <f t="shared" si="833"/>
        <v/>
      </c>
      <c r="AW268" s="44"/>
      <c r="AX268" s="44" t="str">
        <f t="shared" si="834"/>
        <v/>
      </c>
      <c r="AY268" s="62"/>
      <c r="AZ268" s="47" t="str">
        <f t="shared" si="835"/>
        <v/>
      </c>
      <c r="BA268" s="61" t="str">
        <f t="shared" si="835"/>
        <v/>
      </c>
      <c r="BB268" s="44" t="str">
        <f t="shared" si="836"/>
        <v/>
      </c>
      <c r="BC268" s="46" t="str">
        <f t="shared" si="837"/>
        <v/>
      </c>
      <c r="BD268" s="29"/>
      <c r="BE268" s="32"/>
      <c r="BF268" s="41"/>
      <c r="BG268" s="44"/>
      <c r="BH268" s="44" t="str">
        <f t="shared" si="765"/>
        <v/>
      </c>
      <c r="BI268" s="44"/>
      <c r="BJ268" s="44" t="str">
        <f t="shared" si="766"/>
        <v/>
      </c>
      <c r="BK268" s="44"/>
      <c r="BL268" s="44" t="str">
        <f t="shared" si="756"/>
        <v/>
      </c>
      <c r="BM268" s="44"/>
      <c r="BN268" s="45" t="str">
        <f>IF(BG266="","",BN264)</f>
        <v/>
      </c>
      <c r="BO268" s="61" t="str">
        <f>IF(BG265="","",BO264)</f>
        <v/>
      </c>
      <c r="BP268" s="44" t="str">
        <f t="shared" si="753"/>
        <v/>
      </c>
      <c r="BQ268" s="46" t="str">
        <f>IF(BL268="","",BP268/(BH266*100))</f>
        <v/>
      </c>
      <c r="BR268" s="29"/>
      <c r="BT268" s="41"/>
      <c r="BU268" s="44"/>
      <c r="BV268" s="44" t="str">
        <f t="shared" si="757"/>
        <v/>
      </c>
      <c r="BW268" s="44"/>
      <c r="BX268" s="44" t="str">
        <f t="shared" si="758"/>
        <v/>
      </c>
      <c r="BY268" s="44"/>
      <c r="BZ268" s="44"/>
      <c r="CA268" s="44"/>
      <c r="CB268" s="45"/>
      <c r="CC268" s="61"/>
      <c r="CD268" s="44"/>
      <c r="CE268" s="46"/>
      <c r="CF268" s="29"/>
      <c r="CH268" s="14"/>
      <c r="CI268" s="39"/>
      <c r="CJ268" s="5" t="str">
        <f t="shared" si="797"/>
        <v/>
      </c>
      <c r="CK268" s="5"/>
      <c r="CL268" s="5"/>
      <c r="CM268" s="5"/>
      <c r="CN268" s="5" t="str">
        <f t="shared" si="798"/>
        <v/>
      </c>
      <c r="CO268" s="5"/>
      <c r="CP268" s="5"/>
      <c r="CQ268" s="5"/>
      <c r="CR268" s="5" t="str">
        <f t="shared" si="772"/>
        <v/>
      </c>
      <c r="CS268" s="36" t="str">
        <f t="shared" si="773"/>
        <v/>
      </c>
      <c r="CT268" s="29"/>
      <c r="CV268" s="14"/>
      <c r="CW268" s="39"/>
      <c r="CX268" s="5" t="str">
        <f t="shared" si="799"/>
        <v/>
      </c>
      <c r="CY268" s="5"/>
      <c r="CZ268" s="5"/>
      <c r="DA268" s="5"/>
      <c r="DB268" s="5" t="str">
        <f t="shared" si="800"/>
        <v/>
      </c>
      <c r="DC268" s="5"/>
      <c r="DD268" s="5"/>
      <c r="DE268" s="5"/>
      <c r="DF268" s="5" t="str">
        <f t="shared" si="774"/>
        <v/>
      </c>
      <c r="DG268" s="36" t="str">
        <f t="shared" si="775"/>
        <v/>
      </c>
      <c r="DH268" s="29"/>
      <c r="DJ268" s="14"/>
      <c r="DK268" s="39"/>
      <c r="DL268" s="5" t="str">
        <f t="shared" si="801"/>
        <v/>
      </c>
      <c r="DM268" s="5"/>
      <c r="DN268" s="5"/>
      <c r="DO268" s="5"/>
      <c r="DP268" s="5" t="str">
        <f t="shared" si="802"/>
        <v/>
      </c>
      <c r="DQ268" s="5"/>
      <c r="DR268" s="5"/>
      <c r="DS268" s="5"/>
      <c r="DT268" s="5" t="str">
        <f t="shared" si="776"/>
        <v/>
      </c>
      <c r="DU268" s="36" t="str">
        <f t="shared" si="777"/>
        <v/>
      </c>
      <c r="DV268" s="29"/>
      <c r="DX268" s="14"/>
      <c r="DY268" s="39"/>
      <c r="DZ268" s="5" t="str">
        <f t="shared" si="803"/>
        <v/>
      </c>
      <c r="EA268" s="5"/>
      <c r="EB268" s="5"/>
      <c r="EC268" s="5"/>
      <c r="ED268" s="5" t="str">
        <f t="shared" si="804"/>
        <v/>
      </c>
      <c r="EE268" s="5"/>
      <c r="EF268" s="5"/>
      <c r="EG268" s="5"/>
      <c r="EH268" s="5" t="str">
        <f t="shared" si="778"/>
        <v/>
      </c>
      <c r="EI268" s="36" t="str">
        <f t="shared" si="779"/>
        <v/>
      </c>
      <c r="EJ268" s="29"/>
      <c r="EL268" s="14"/>
      <c r="EM268" s="39"/>
      <c r="EN268" s="5" t="str">
        <f t="shared" si="805"/>
        <v/>
      </c>
      <c r="EO268" s="5"/>
      <c r="EP268" s="5"/>
      <c r="EQ268" s="5"/>
      <c r="ER268" s="5" t="str">
        <f t="shared" si="806"/>
        <v/>
      </c>
      <c r="ES268" s="5"/>
      <c r="ET268" s="5"/>
      <c r="EU268" s="5"/>
      <c r="EV268" s="5" t="str">
        <f t="shared" si="780"/>
        <v/>
      </c>
      <c r="EW268" s="36" t="str">
        <f t="shared" si="781"/>
        <v/>
      </c>
      <c r="EX268" s="29"/>
      <c r="EZ268" s="14"/>
      <c r="FA268" s="39"/>
      <c r="FB268" s="5" t="str">
        <f t="shared" si="807"/>
        <v/>
      </c>
      <c r="FC268" s="5"/>
      <c r="FD268" s="5"/>
      <c r="FE268" s="5"/>
      <c r="FF268" s="5" t="str">
        <f t="shared" si="808"/>
        <v/>
      </c>
      <c r="FG268" s="5"/>
      <c r="FH268" s="5"/>
      <c r="FI268" s="5"/>
      <c r="FJ268" s="5" t="str">
        <f t="shared" si="782"/>
        <v/>
      </c>
      <c r="FK268" s="36" t="str">
        <f t="shared" si="783"/>
        <v/>
      </c>
      <c r="FL268" s="29"/>
      <c r="FN268" s="14"/>
      <c r="FO268" s="39"/>
      <c r="FP268" s="5" t="str">
        <f t="shared" si="809"/>
        <v/>
      </c>
      <c r="FQ268" s="5"/>
      <c r="FR268" s="5"/>
      <c r="FS268" s="5"/>
      <c r="FT268" s="5" t="str">
        <f t="shared" si="810"/>
        <v/>
      </c>
      <c r="FU268" s="5"/>
      <c r="FV268" s="5"/>
      <c r="FW268" s="5"/>
      <c r="FX268" s="5" t="str">
        <f t="shared" si="784"/>
        <v/>
      </c>
      <c r="FY268" s="36" t="str">
        <f t="shared" si="785"/>
        <v/>
      </c>
      <c r="FZ268" s="29"/>
      <c r="GB268" s="14"/>
      <c r="GC268" s="39"/>
      <c r="GD268" s="5" t="str">
        <f t="shared" si="811"/>
        <v/>
      </c>
      <c r="GE268" s="5"/>
      <c r="GF268" s="5"/>
      <c r="GG268" s="5"/>
      <c r="GH268" s="5" t="str">
        <f t="shared" si="812"/>
        <v/>
      </c>
      <c r="GI268" s="5"/>
      <c r="GJ268" s="5"/>
      <c r="GK268" s="5"/>
      <c r="GL268" s="5" t="str">
        <f t="shared" si="786"/>
        <v/>
      </c>
      <c r="GM268" s="36" t="str">
        <f t="shared" si="787"/>
        <v/>
      </c>
      <c r="GN268" s="29"/>
      <c r="GP268" s="14"/>
      <c r="GQ268" s="39"/>
      <c r="GR268" s="5" t="str">
        <f t="shared" si="813"/>
        <v/>
      </c>
      <c r="GS268" s="5"/>
      <c r="GT268" s="5"/>
      <c r="GU268" s="5"/>
      <c r="GV268" s="5"/>
      <c r="GW268" s="5"/>
      <c r="GX268" s="5" t="str">
        <f t="shared" si="814"/>
        <v/>
      </c>
      <c r="GY268" s="5"/>
      <c r="GZ268" s="5"/>
      <c r="HA268" s="5"/>
      <c r="HB268" s="5" t="str">
        <f t="shared" si="788"/>
        <v/>
      </c>
      <c r="HC268" s="36" t="str">
        <f t="shared" si="789"/>
        <v/>
      </c>
      <c r="HD268" s="29"/>
      <c r="HF268" s="14"/>
      <c r="HG268" s="39"/>
      <c r="HH268" s="5" t="str">
        <f t="shared" si="815"/>
        <v/>
      </c>
      <c r="HI268" s="5"/>
      <c r="HJ268" s="29"/>
      <c r="HL268" s="14"/>
      <c r="HM268" s="39"/>
      <c r="HN268" s="5" t="str">
        <f t="shared" si="816"/>
        <v/>
      </c>
      <c r="HO268" s="5"/>
      <c r="HP268" s="29"/>
      <c r="HR268" s="14"/>
      <c r="HS268" s="39"/>
      <c r="HT268" s="5" t="str">
        <f t="shared" si="817"/>
        <v/>
      </c>
      <c r="HU268" s="5"/>
      <c r="HV268" s="29"/>
    </row>
    <row r="269" spans="1:230" ht="15" customHeight="1" thickTop="1" x14ac:dyDescent="0.2">
      <c r="A269" s="49"/>
      <c r="B269" s="26">
        <f>SUM(D269:D272)+SUM(R269:R272)+SUM(AF269:AF272)+SUM(AT269:AT272)+SUM(CJ263,DL263,DZ263,EN263,FB263,FP263,GD263,GR263,HH263,HN263,HT263)+SUM(BH269:BH270)+SUM(BV269:BV270)</f>
        <v>0</v>
      </c>
      <c r="C269" s="4"/>
      <c r="D269" s="4" t="str">
        <f t="shared" si="731"/>
        <v/>
      </c>
      <c r="E269" s="4"/>
      <c r="F269" s="50" t="str">
        <f t="shared" si="732"/>
        <v/>
      </c>
      <c r="G269" s="4"/>
      <c r="H269" s="4" t="str">
        <f t="shared" si="733"/>
        <v/>
      </c>
      <c r="I269" s="35"/>
      <c r="J269" s="31" t="str">
        <f t="shared" si="819"/>
        <v/>
      </c>
      <c r="K269" s="27" t="str">
        <f t="shared" si="819"/>
        <v/>
      </c>
      <c r="L269" s="50" t="str">
        <f t="shared" si="734"/>
        <v/>
      </c>
      <c r="M269" s="52" t="str">
        <f t="shared" si="735"/>
        <v/>
      </c>
      <c r="N269" s="29"/>
      <c r="P269" s="53" t="str">
        <f>IF($A$417="","",$A$417)</f>
        <v/>
      </c>
      <c r="Q269" s="4"/>
      <c r="R269" s="4" t="str">
        <f t="shared" si="820"/>
        <v/>
      </c>
      <c r="S269" s="4"/>
      <c r="T269" s="50" t="str">
        <f t="shared" si="821"/>
        <v/>
      </c>
      <c r="U269" s="4"/>
      <c r="V269" s="4" t="str">
        <f t="shared" si="822"/>
        <v/>
      </c>
      <c r="W269" s="35"/>
      <c r="X269" s="31" t="str">
        <f t="shared" si="823"/>
        <v/>
      </c>
      <c r="Y269" s="27" t="str">
        <f t="shared" si="823"/>
        <v/>
      </c>
      <c r="Z269" s="50" t="str">
        <f t="shared" si="824"/>
        <v/>
      </c>
      <c r="AA269" s="52" t="str">
        <f t="shared" si="825"/>
        <v/>
      </c>
      <c r="AB269" s="29"/>
      <c r="AD269" s="53" t="str">
        <f>IF($A$417="","",$A$417)</f>
        <v/>
      </c>
      <c r="AE269" s="4"/>
      <c r="AF269" s="4" t="str">
        <f t="shared" si="826"/>
        <v/>
      </c>
      <c r="AG269" s="4"/>
      <c r="AH269" s="50" t="str">
        <f t="shared" si="827"/>
        <v/>
      </c>
      <c r="AI269" s="4"/>
      <c r="AJ269" s="4" t="str">
        <f t="shared" si="828"/>
        <v/>
      </c>
      <c r="AK269" s="35"/>
      <c r="AL269" s="31" t="str">
        <f t="shared" si="829"/>
        <v/>
      </c>
      <c r="AM269" s="27" t="str">
        <f t="shared" si="829"/>
        <v/>
      </c>
      <c r="AN269" s="50" t="str">
        <f t="shared" si="830"/>
        <v/>
      </c>
      <c r="AO269" s="52" t="str">
        <f t="shared" si="831"/>
        <v/>
      </c>
      <c r="AP269" s="29"/>
      <c r="AR269" s="53" t="str">
        <f>IF($A$417="","",$A$417)</f>
        <v/>
      </c>
      <c r="AS269" s="4"/>
      <c r="AT269" s="4" t="str">
        <f t="shared" si="832"/>
        <v/>
      </c>
      <c r="AU269" s="4"/>
      <c r="AV269" s="50" t="str">
        <f t="shared" si="833"/>
        <v/>
      </c>
      <c r="AW269" s="4"/>
      <c r="AX269" s="4" t="str">
        <f t="shared" si="834"/>
        <v/>
      </c>
      <c r="AY269" s="35"/>
      <c r="AZ269" s="31" t="str">
        <f t="shared" si="835"/>
        <v/>
      </c>
      <c r="BA269" s="27" t="str">
        <f t="shared" si="835"/>
        <v/>
      </c>
      <c r="BB269" s="50" t="str">
        <f t="shared" si="836"/>
        <v/>
      </c>
      <c r="BC269" s="52" t="str">
        <f t="shared" si="837"/>
        <v/>
      </c>
      <c r="BD269" s="29"/>
      <c r="BE269" s="32"/>
      <c r="BF269" s="33" t="str">
        <f>IF($A236="","",$A236)</f>
        <v/>
      </c>
      <c r="BG269" s="4"/>
      <c r="BH269" s="4" t="str">
        <f t="shared" si="765"/>
        <v/>
      </c>
      <c r="BI269" s="4"/>
      <c r="BJ269" s="50" t="str">
        <f t="shared" si="766"/>
        <v/>
      </c>
      <c r="BK269" s="4"/>
      <c r="BL269" s="4" t="str">
        <f t="shared" si="756"/>
        <v/>
      </c>
      <c r="BM269" s="4"/>
      <c r="BN269" s="2" t="str">
        <f>IF(BG269="","",BN265)</f>
        <v/>
      </c>
      <c r="BO269" s="27" t="str">
        <f>IF(BG269="","",BO265)</f>
        <v/>
      </c>
      <c r="BP269" s="5" t="str">
        <f t="shared" si="753"/>
        <v/>
      </c>
      <c r="BQ269" s="52" t="str">
        <f>IF(BL269="","",BP269/(BH269*100))</f>
        <v/>
      </c>
      <c r="BR269" s="29"/>
      <c r="BT269" s="33" t="str">
        <f>IF($A236="","",$A236)</f>
        <v/>
      </c>
      <c r="BU269" s="4"/>
      <c r="BV269" s="4" t="str">
        <f t="shared" si="757"/>
        <v/>
      </c>
      <c r="BW269" s="4"/>
      <c r="BX269" s="50" t="str">
        <f t="shared" si="758"/>
        <v/>
      </c>
      <c r="BY269" s="4"/>
      <c r="BZ269" s="4" t="str">
        <f t="shared" si="763"/>
        <v/>
      </c>
      <c r="CA269" s="4"/>
      <c r="CB269" s="2" t="str">
        <f>IF(BU269="","",CB265)</f>
        <v/>
      </c>
      <c r="CC269" s="27" t="str">
        <f>IF(BU269="","",CC265)</f>
        <v/>
      </c>
      <c r="CD269" s="5" t="str">
        <f t="shared" ref="CD269:CD270" si="840">IF(BY269="","",BZ269*CC269)</f>
        <v/>
      </c>
      <c r="CE269" s="52" t="str">
        <f>IF(BZ269="","",CD269/(BV269*100))</f>
        <v/>
      </c>
      <c r="CF269" s="29"/>
      <c r="CH269" s="14"/>
      <c r="CI269" s="39"/>
      <c r="CJ269" s="5" t="str">
        <f t="shared" si="797"/>
        <v/>
      </c>
      <c r="CK269" s="5"/>
      <c r="CL269" s="5"/>
      <c r="CM269" s="5"/>
      <c r="CN269" s="5" t="str">
        <f t="shared" si="798"/>
        <v/>
      </c>
      <c r="CO269" s="5"/>
      <c r="CP269" s="5"/>
      <c r="CQ269" s="5"/>
      <c r="CR269" s="5" t="str">
        <f t="shared" si="772"/>
        <v/>
      </c>
      <c r="CS269" s="36" t="str">
        <f t="shared" si="773"/>
        <v/>
      </c>
      <c r="CT269" s="29"/>
      <c r="CV269" s="14"/>
      <c r="CW269" s="39"/>
      <c r="CX269" s="5" t="str">
        <f t="shared" si="799"/>
        <v/>
      </c>
      <c r="CY269" s="5"/>
      <c r="CZ269" s="5"/>
      <c r="DA269" s="5"/>
      <c r="DB269" s="5" t="str">
        <f t="shared" si="800"/>
        <v/>
      </c>
      <c r="DC269" s="5"/>
      <c r="DD269" s="5"/>
      <c r="DE269" s="5"/>
      <c r="DF269" s="5" t="str">
        <f t="shared" si="774"/>
        <v/>
      </c>
      <c r="DG269" s="36" t="str">
        <f t="shared" si="775"/>
        <v/>
      </c>
      <c r="DH269" s="29"/>
      <c r="DJ269" s="14"/>
      <c r="DK269" s="39"/>
      <c r="DL269" s="5" t="str">
        <f t="shared" si="801"/>
        <v/>
      </c>
      <c r="DM269" s="5"/>
      <c r="DN269" s="5"/>
      <c r="DO269" s="5"/>
      <c r="DP269" s="5" t="str">
        <f t="shared" si="802"/>
        <v/>
      </c>
      <c r="DQ269" s="5"/>
      <c r="DR269" s="5"/>
      <c r="DS269" s="5"/>
      <c r="DT269" s="5" t="str">
        <f t="shared" si="776"/>
        <v/>
      </c>
      <c r="DU269" s="36" t="str">
        <f t="shared" si="777"/>
        <v/>
      </c>
      <c r="DV269" s="29"/>
      <c r="DX269" s="14"/>
      <c r="DY269" s="39"/>
      <c r="DZ269" s="5" t="str">
        <f t="shared" si="803"/>
        <v/>
      </c>
      <c r="EA269" s="5"/>
      <c r="EB269" s="5"/>
      <c r="EC269" s="5"/>
      <c r="ED269" s="5" t="str">
        <f t="shared" si="804"/>
        <v/>
      </c>
      <c r="EE269" s="5"/>
      <c r="EF269" s="5"/>
      <c r="EG269" s="5"/>
      <c r="EH269" s="5" t="str">
        <f t="shared" si="778"/>
        <v/>
      </c>
      <c r="EI269" s="36" t="str">
        <f t="shared" si="779"/>
        <v/>
      </c>
      <c r="EJ269" s="29"/>
      <c r="EL269" s="14"/>
      <c r="EM269" s="39"/>
      <c r="EN269" s="5" t="str">
        <f t="shared" si="805"/>
        <v/>
      </c>
      <c r="EO269" s="5"/>
      <c r="EP269" s="5"/>
      <c r="EQ269" s="5"/>
      <c r="ER269" s="5" t="str">
        <f t="shared" si="806"/>
        <v/>
      </c>
      <c r="ES269" s="5"/>
      <c r="ET269" s="5"/>
      <c r="EU269" s="5"/>
      <c r="EV269" s="5" t="str">
        <f t="shared" si="780"/>
        <v/>
      </c>
      <c r="EW269" s="36" t="str">
        <f t="shared" si="781"/>
        <v/>
      </c>
      <c r="EX269" s="29"/>
      <c r="EZ269" s="14"/>
      <c r="FA269" s="39"/>
      <c r="FB269" s="5" t="str">
        <f t="shared" si="807"/>
        <v/>
      </c>
      <c r="FC269" s="5"/>
      <c r="FD269" s="5"/>
      <c r="FE269" s="5"/>
      <c r="FF269" s="5" t="str">
        <f t="shared" si="808"/>
        <v/>
      </c>
      <c r="FG269" s="5"/>
      <c r="FH269" s="5"/>
      <c r="FI269" s="5"/>
      <c r="FJ269" s="5" t="str">
        <f t="shared" si="782"/>
        <v/>
      </c>
      <c r="FK269" s="36" t="str">
        <f t="shared" si="783"/>
        <v/>
      </c>
      <c r="FL269" s="29"/>
      <c r="FN269" s="14"/>
      <c r="FO269" s="39"/>
      <c r="FP269" s="5" t="str">
        <f t="shared" si="809"/>
        <v/>
      </c>
      <c r="FQ269" s="5"/>
      <c r="FR269" s="5"/>
      <c r="FS269" s="5"/>
      <c r="FT269" s="5" t="str">
        <f t="shared" si="810"/>
        <v/>
      </c>
      <c r="FU269" s="5"/>
      <c r="FV269" s="5"/>
      <c r="FW269" s="5"/>
      <c r="FX269" s="5" t="str">
        <f t="shared" si="784"/>
        <v/>
      </c>
      <c r="FY269" s="36" t="str">
        <f t="shared" si="785"/>
        <v/>
      </c>
      <c r="FZ269" s="29"/>
      <c r="GB269" s="14"/>
      <c r="GC269" s="39"/>
      <c r="GD269" s="5" t="str">
        <f t="shared" si="811"/>
        <v/>
      </c>
      <c r="GE269" s="5"/>
      <c r="GF269" s="5"/>
      <c r="GG269" s="5"/>
      <c r="GH269" s="5" t="str">
        <f t="shared" si="812"/>
        <v/>
      </c>
      <c r="GI269" s="5"/>
      <c r="GJ269" s="5"/>
      <c r="GK269" s="5"/>
      <c r="GL269" s="5" t="str">
        <f t="shared" si="786"/>
        <v/>
      </c>
      <c r="GM269" s="36" t="str">
        <f t="shared" si="787"/>
        <v/>
      </c>
      <c r="GN269" s="29"/>
      <c r="GP269" s="14"/>
      <c r="GQ269" s="39"/>
      <c r="GR269" s="5" t="str">
        <f t="shared" si="813"/>
        <v/>
      </c>
      <c r="GS269" s="5"/>
      <c r="GT269" s="5"/>
      <c r="GU269" s="5"/>
      <c r="GV269" s="5"/>
      <c r="GW269" s="5"/>
      <c r="GX269" s="5" t="str">
        <f t="shared" si="814"/>
        <v/>
      </c>
      <c r="GY269" s="5"/>
      <c r="GZ269" s="5"/>
      <c r="HA269" s="5"/>
      <c r="HB269" s="5" t="str">
        <f t="shared" si="788"/>
        <v/>
      </c>
      <c r="HC269" s="36" t="str">
        <f t="shared" si="789"/>
        <v/>
      </c>
      <c r="HD269" s="29"/>
      <c r="HF269" s="14"/>
      <c r="HG269" s="39"/>
      <c r="HH269" s="5" t="str">
        <f t="shared" si="815"/>
        <v/>
      </c>
      <c r="HI269" s="5"/>
      <c r="HJ269" s="29"/>
      <c r="HL269" s="14"/>
      <c r="HM269" s="39"/>
      <c r="HN269" s="5" t="str">
        <f t="shared" si="816"/>
        <v/>
      </c>
      <c r="HO269" s="5"/>
      <c r="HP269" s="29"/>
      <c r="HR269" s="14"/>
      <c r="HS269" s="39"/>
      <c r="HT269" s="5" t="str">
        <f t="shared" si="817"/>
        <v/>
      </c>
      <c r="HU269" s="5"/>
      <c r="HV269" s="29"/>
    </row>
    <row r="270" spans="1:230" ht="15" customHeight="1" x14ac:dyDescent="0.2">
      <c r="A270" s="54"/>
      <c r="B270" s="37"/>
      <c r="C270" s="5"/>
      <c r="D270" s="5" t="str">
        <f t="shared" si="731"/>
        <v/>
      </c>
      <c r="E270" s="5"/>
      <c r="F270" s="5" t="str">
        <f t="shared" si="732"/>
        <v/>
      </c>
      <c r="G270" s="5"/>
      <c r="H270" s="5" t="str">
        <f t="shared" si="733"/>
        <v/>
      </c>
      <c r="I270" s="35"/>
      <c r="J270" s="38" t="str">
        <f t="shared" si="819"/>
        <v/>
      </c>
      <c r="K270" s="39" t="str">
        <f t="shared" si="819"/>
        <v/>
      </c>
      <c r="L270" s="5" t="str">
        <f t="shared" si="734"/>
        <v/>
      </c>
      <c r="M270" s="36" t="str">
        <f t="shared" si="735"/>
        <v/>
      </c>
      <c r="N270" s="29"/>
      <c r="P270" s="54"/>
      <c r="Q270" s="5"/>
      <c r="R270" s="5" t="str">
        <f t="shared" si="820"/>
        <v/>
      </c>
      <c r="S270" s="5"/>
      <c r="T270" s="5" t="str">
        <f t="shared" si="821"/>
        <v/>
      </c>
      <c r="U270" s="5"/>
      <c r="V270" s="5" t="str">
        <f t="shared" si="822"/>
        <v/>
      </c>
      <c r="W270" s="35"/>
      <c r="X270" s="38" t="str">
        <f t="shared" si="823"/>
        <v/>
      </c>
      <c r="Y270" s="39" t="str">
        <f t="shared" si="823"/>
        <v/>
      </c>
      <c r="Z270" s="5" t="str">
        <f t="shared" si="824"/>
        <v/>
      </c>
      <c r="AA270" s="36" t="str">
        <f t="shared" si="825"/>
        <v/>
      </c>
      <c r="AB270" s="29"/>
      <c r="AD270" s="54"/>
      <c r="AE270" s="5"/>
      <c r="AF270" s="5" t="str">
        <f t="shared" si="826"/>
        <v/>
      </c>
      <c r="AG270" s="5"/>
      <c r="AH270" s="5" t="str">
        <f t="shared" si="827"/>
        <v/>
      </c>
      <c r="AI270" s="5"/>
      <c r="AJ270" s="5" t="str">
        <f t="shared" si="828"/>
        <v/>
      </c>
      <c r="AK270" s="35"/>
      <c r="AL270" s="38" t="str">
        <f t="shared" si="829"/>
        <v/>
      </c>
      <c r="AM270" s="39" t="str">
        <f t="shared" si="829"/>
        <v/>
      </c>
      <c r="AN270" s="5" t="str">
        <f t="shared" si="830"/>
        <v/>
      </c>
      <c r="AO270" s="36" t="str">
        <f t="shared" si="831"/>
        <v/>
      </c>
      <c r="AP270" s="29"/>
      <c r="AR270" s="54"/>
      <c r="AS270" s="5"/>
      <c r="AT270" s="5" t="str">
        <f t="shared" si="832"/>
        <v/>
      </c>
      <c r="AU270" s="5"/>
      <c r="AV270" s="5" t="str">
        <f t="shared" si="833"/>
        <v/>
      </c>
      <c r="AW270" s="5"/>
      <c r="AX270" s="5" t="str">
        <f t="shared" si="834"/>
        <v/>
      </c>
      <c r="AY270" s="35"/>
      <c r="AZ270" s="38" t="str">
        <f t="shared" si="835"/>
        <v/>
      </c>
      <c r="BA270" s="39" t="str">
        <f t="shared" si="835"/>
        <v/>
      </c>
      <c r="BB270" s="5" t="str">
        <f t="shared" si="836"/>
        <v/>
      </c>
      <c r="BC270" s="36" t="str">
        <f t="shared" si="837"/>
        <v/>
      </c>
      <c r="BD270" s="29"/>
      <c r="BE270" s="32"/>
      <c r="BF270" s="25"/>
      <c r="BG270" s="5"/>
      <c r="BH270" s="5" t="str">
        <f t="shared" si="765"/>
        <v/>
      </c>
      <c r="BI270" s="5"/>
      <c r="BJ270" s="5" t="str">
        <f t="shared" si="766"/>
        <v/>
      </c>
      <c r="BK270" s="5"/>
      <c r="BL270" s="5" t="str">
        <f t="shared" si="756"/>
        <v/>
      </c>
      <c r="BM270" s="5"/>
      <c r="BN270" s="3" t="str">
        <f>IF(BG269="","",BN266)</f>
        <v/>
      </c>
      <c r="BO270" s="39" t="str">
        <f>IF(BG269="","",BO266)</f>
        <v/>
      </c>
      <c r="BP270" s="4" t="str">
        <f t="shared" si="753"/>
        <v/>
      </c>
      <c r="BQ270" s="36" t="str">
        <f>IF(BL270="","",BP270/(BH270*100))</f>
        <v/>
      </c>
      <c r="BR270" s="29"/>
      <c r="BT270" s="25"/>
      <c r="BU270" s="5"/>
      <c r="BV270" s="5" t="str">
        <f t="shared" si="757"/>
        <v/>
      </c>
      <c r="BW270" s="5"/>
      <c r="BX270" s="5" t="str">
        <f t="shared" si="758"/>
        <v/>
      </c>
      <c r="BY270" s="5"/>
      <c r="BZ270" s="5" t="str">
        <f t="shared" si="763"/>
        <v/>
      </c>
      <c r="CA270" s="4"/>
      <c r="CB270" s="3" t="str">
        <f>IF(BU270="","",CB266)</f>
        <v/>
      </c>
      <c r="CC270" s="39" t="str">
        <f>IF(BU269="","",CC266)</f>
        <v/>
      </c>
      <c r="CD270" s="4" t="str">
        <f t="shared" si="840"/>
        <v/>
      </c>
      <c r="CE270" s="36" t="str">
        <f>IF(BZ270="","",CD270/(BV270*100))</f>
        <v/>
      </c>
      <c r="CF270" s="29"/>
      <c r="CH270" s="14"/>
      <c r="CI270" s="39"/>
      <c r="CJ270" s="5" t="str">
        <f t="shared" si="797"/>
        <v/>
      </c>
      <c r="CK270" s="5"/>
      <c r="CL270" s="5"/>
      <c r="CM270" s="5"/>
      <c r="CN270" s="5" t="str">
        <f t="shared" si="798"/>
        <v/>
      </c>
      <c r="CO270" s="5"/>
      <c r="CP270" s="5"/>
      <c r="CQ270" s="5"/>
      <c r="CR270" s="5" t="str">
        <f t="shared" si="772"/>
        <v/>
      </c>
      <c r="CS270" s="36" t="str">
        <f t="shared" si="773"/>
        <v/>
      </c>
      <c r="CT270" s="29"/>
      <c r="CV270" s="14"/>
      <c r="CW270" s="39"/>
      <c r="CX270" s="5" t="str">
        <f t="shared" si="799"/>
        <v/>
      </c>
      <c r="CY270" s="5"/>
      <c r="CZ270" s="5"/>
      <c r="DA270" s="5"/>
      <c r="DB270" s="5" t="str">
        <f t="shared" si="800"/>
        <v/>
      </c>
      <c r="DC270" s="5"/>
      <c r="DD270" s="5"/>
      <c r="DE270" s="5"/>
      <c r="DF270" s="5" t="str">
        <f t="shared" si="774"/>
        <v/>
      </c>
      <c r="DG270" s="36" t="str">
        <f t="shared" si="775"/>
        <v/>
      </c>
      <c r="DH270" s="29"/>
      <c r="DJ270" s="14"/>
      <c r="DK270" s="39"/>
      <c r="DL270" s="5" t="str">
        <f t="shared" si="801"/>
        <v/>
      </c>
      <c r="DM270" s="5"/>
      <c r="DN270" s="5"/>
      <c r="DO270" s="5"/>
      <c r="DP270" s="5" t="str">
        <f t="shared" si="802"/>
        <v/>
      </c>
      <c r="DQ270" s="5"/>
      <c r="DR270" s="5"/>
      <c r="DS270" s="5"/>
      <c r="DT270" s="5" t="str">
        <f t="shared" si="776"/>
        <v/>
      </c>
      <c r="DU270" s="36" t="str">
        <f t="shared" si="777"/>
        <v/>
      </c>
      <c r="DV270" s="29"/>
      <c r="DX270" s="14"/>
      <c r="DY270" s="39"/>
      <c r="DZ270" s="5" t="str">
        <f t="shared" si="803"/>
        <v/>
      </c>
      <c r="EA270" s="5"/>
      <c r="EB270" s="5"/>
      <c r="EC270" s="5"/>
      <c r="ED270" s="5" t="str">
        <f t="shared" si="804"/>
        <v/>
      </c>
      <c r="EE270" s="5"/>
      <c r="EF270" s="5"/>
      <c r="EG270" s="5"/>
      <c r="EH270" s="5" t="str">
        <f t="shared" si="778"/>
        <v/>
      </c>
      <c r="EI270" s="36" t="str">
        <f t="shared" si="779"/>
        <v/>
      </c>
      <c r="EJ270" s="29"/>
      <c r="EL270" s="14"/>
      <c r="EM270" s="39"/>
      <c r="EN270" s="5" t="str">
        <f t="shared" si="805"/>
        <v/>
      </c>
      <c r="EO270" s="5"/>
      <c r="EP270" s="5"/>
      <c r="EQ270" s="5"/>
      <c r="ER270" s="5" t="str">
        <f t="shared" si="806"/>
        <v/>
      </c>
      <c r="ES270" s="5"/>
      <c r="ET270" s="5"/>
      <c r="EU270" s="5"/>
      <c r="EV270" s="5" t="str">
        <f t="shared" si="780"/>
        <v/>
      </c>
      <c r="EW270" s="36" t="str">
        <f t="shared" si="781"/>
        <v/>
      </c>
      <c r="EX270" s="29"/>
      <c r="EZ270" s="14"/>
      <c r="FA270" s="39"/>
      <c r="FB270" s="5" t="str">
        <f t="shared" si="807"/>
        <v/>
      </c>
      <c r="FC270" s="5"/>
      <c r="FD270" s="5"/>
      <c r="FE270" s="5"/>
      <c r="FF270" s="5" t="str">
        <f t="shared" si="808"/>
        <v/>
      </c>
      <c r="FG270" s="5"/>
      <c r="FH270" s="5"/>
      <c r="FI270" s="5"/>
      <c r="FJ270" s="5" t="str">
        <f t="shared" si="782"/>
        <v/>
      </c>
      <c r="FK270" s="36" t="str">
        <f t="shared" si="783"/>
        <v/>
      </c>
      <c r="FL270" s="29"/>
      <c r="FN270" s="14"/>
      <c r="FO270" s="39"/>
      <c r="FP270" s="5" t="str">
        <f t="shared" si="809"/>
        <v/>
      </c>
      <c r="FQ270" s="5"/>
      <c r="FR270" s="5"/>
      <c r="FS270" s="5"/>
      <c r="FT270" s="5" t="str">
        <f t="shared" si="810"/>
        <v/>
      </c>
      <c r="FU270" s="5"/>
      <c r="FV270" s="5"/>
      <c r="FW270" s="5"/>
      <c r="FX270" s="5" t="str">
        <f t="shared" si="784"/>
        <v/>
      </c>
      <c r="FY270" s="36" t="str">
        <f t="shared" si="785"/>
        <v/>
      </c>
      <c r="FZ270" s="29"/>
      <c r="GB270" s="14"/>
      <c r="GC270" s="39"/>
      <c r="GD270" s="5" t="str">
        <f t="shared" si="811"/>
        <v/>
      </c>
      <c r="GE270" s="5"/>
      <c r="GF270" s="5"/>
      <c r="GG270" s="5"/>
      <c r="GH270" s="5" t="str">
        <f t="shared" si="812"/>
        <v/>
      </c>
      <c r="GI270" s="5"/>
      <c r="GJ270" s="5"/>
      <c r="GK270" s="5"/>
      <c r="GL270" s="5" t="str">
        <f t="shared" si="786"/>
        <v/>
      </c>
      <c r="GM270" s="36" t="str">
        <f t="shared" si="787"/>
        <v/>
      </c>
      <c r="GN270" s="29"/>
      <c r="GP270" s="14"/>
      <c r="GQ270" s="39"/>
      <c r="GR270" s="5" t="str">
        <f t="shared" si="813"/>
        <v/>
      </c>
      <c r="GS270" s="5"/>
      <c r="GT270" s="5"/>
      <c r="GU270" s="5"/>
      <c r="GV270" s="5"/>
      <c r="GW270" s="5"/>
      <c r="GX270" s="5" t="str">
        <f t="shared" si="814"/>
        <v/>
      </c>
      <c r="GY270" s="5"/>
      <c r="GZ270" s="5"/>
      <c r="HA270" s="5"/>
      <c r="HB270" s="5" t="str">
        <f t="shared" si="788"/>
        <v/>
      </c>
      <c r="HC270" s="36" t="str">
        <f t="shared" si="789"/>
        <v/>
      </c>
      <c r="HD270" s="29"/>
      <c r="HF270" s="14"/>
      <c r="HG270" s="39"/>
      <c r="HH270" s="5" t="str">
        <f t="shared" si="815"/>
        <v/>
      </c>
      <c r="HI270" s="5"/>
      <c r="HJ270" s="29"/>
      <c r="HL270" s="14"/>
      <c r="HM270" s="39"/>
      <c r="HN270" s="5" t="str">
        <f t="shared" si="816"/>
        <v/>
      </c>
      <c r="HO270" s="5"/>
      <c r="HP270" s="29"/>
      <c r="HR270" s="14"/>
      <c r="HS270" s="39"/>
      <c r="HT270" s="5" t="str">
        <f t="shared" si="817"/>
        <v/>
      </c>
      <c r="HU270" s="5"/>
      <c r="HV270" s="29"/>
    </row>
    <row r="271" spans="1:230" ht="15" customHeight="1" x14ac:dyDescent="0.2">
      <c r="A271" s="54"/>
      <c r="B271" s="37"/>
      <c r="C271" s="58"/>
      <c r="D271" s="5" t="str">
        <f t="shared" si="731"/>
        <v/>
      </c>
      <c r="E271" s="5"/>
      <c r="F271" s="5" t="str">
        <f t="shared" si="732"/>
        <v/>
      </c>
      <c r="G271" s="58"/>
      <c r="H271" s="5" t="str">
        <f t="shared" si="733"/>
        <v/>
      </c>
      <c r="I271" s="59"/>
      <c r="J271" s="38" t="str">
        <f t="shared" si="819"/>
        <v/>
      </c>
      <c r="K271" s="5" t="str">
        <f t="shared" si="819"/>
        <v/>
      </c>
      <c r="L271" s="5" t="str">
        <f t="shared" si="734"/>
        <v/>
      </c>
      <c r="M271" s="36" t="str">
        <f t="shared" si="735"/>
        <v/>
      </c>
      <c r="N271" s="29"/>
      <c r="P271" s="25"/>
      <c r="Q271" s="58"/>
      <c r="R271" s="5" t="str">
        <f t="shared" si="820"/>
        <v/>
      </c>
      <c r="S271" s="5"/>
      <c r="T271" s="5" t="str">
        <f t="shared" si="821"/>
        <v/>
      </c>
      <c r="U271" s="58"/>
      <c r="V271" s="5" t="str">
        <f t="shared" si="822"/>
        <v/>
      </c>
      <c r="W271" s="35"/>
      <c r="X271" s="38" t="str">
        <f t="shared" si="823"/>
        <v/>
      </c>
      <c r="Y271" s="5" t="str">
        <f t="shared" si="823"/>
        <v/>
      </c>
      <c r="Z271" s="5" t="str">
        <f t="shared" si="824"/>
        <v/>
      </c>
      <c r="AA271" s="36" t="str">
        <f t="shared" si="825"/>
        <v/>
      </c>
      <c r="AB271" s="29"/>
      <c r="AD271" s="25"/>
      <c r="AE271" s="58"/>
      <c r="AF271" s="5" t="str">
        <f t="shared" si="826"/>
        <v/>
      </c>
      <c r="AG271" s="5"/>
      <c r="AH271" s="5" t="str">
        <f t="shared" si="827"/>
        <v/>
      </c>
      <c r="AI271" s="58"/>
      <c r="AJ271" s="5" t="str">
        <f t="shared" si="828"/>
        <v/>
      </c>
      <c r="AK271" s="35"/>
      <c r="AL271" s="38" t="str">
        <f t="shared" si="829"/>
        <v/>
      </c>
      <c r="AM271" s="5" t="str">
        <f t="shared" si="829"/>
        <v/>
      </c>
      <c r="AN271" s="5" t="str">
        <f t="shared" si="830"/>
        <v/>
      </c>
      <c r="AO271" s="36" t="str">
        <f t="shared" si="831"/>
        <v/>
      </c>
      <c r="AP271" s="29"/>
      <c r="AR271" s="25"/>
      <c r="AS271" s="58"/>
      <c r="AT271" s="5" t="str">
        <f t="shared" si="832"/>
        <v/>
      </c>
      <c r="AU271" s="5"/>
      <c r="AV271" s="5" t="str">
        <f t="shared" si="833"/>
        <v/>
      </c>
      <c r="AW271" s="58"/>
      <c r="AX271" s="5" t="str">
        <f t="shared" si="834"/>
        <v/>
      </c>
      <c r="AY271" s="35"/>
      <c r="AZ271" s="38" t="str">
        <f t="shared" si="835"/>
        <v/>
      </c>
      <c r="BA271" s="5" t="str">
        <f t="shared" si="835"/>
        <v/>
      </c>
      <c r="BB271" s="5" t="str">
        <f t="shared" si="836"/>
        <v/>
      </c>
      <c r="BC271" s="36" t="str">
        <f t="shared" si="837"/>
        <v/>
      </c>
      <c r="BD271" s="29"/>
      <c r="BE271" s="32"/>
      <c r="BF271" s="25"/>
      <c r="BG271" s="5"/>
      <c r="BH271" s="5" t="str">
        <f t="shared" si="765"/>
        <v/>
      </c>
      <c r="BI271" s="5"/>
      <c r="BJ271" s="5" t="str">
        <f t="shared" si="766"/>
        <v/>
      </c>
      <c r="BK271" s="5"/>
      <c r="BL271" s="5" t="str">
        <f t="shared" si="756"/>
        <v/>
      </c>
      <c r="BM271" s="5"/>
      <c r="BN271" s="3" t="str">
        <f>IF(BG269="","",BN267)</f>
        <v/>
      </c>
      <c r="BO271" s="39" t="str">
        <f>IF(BG269="","",BO267)</f>
        <v/>
      </c>
      <c r="BP271" s="5" t="str">
        <f t="shared" si="753"/>
        <v/>
      </c>
      <c r="BQ271" s="36" t="str">
        <f>IF(BL271="","",BP271/(BH270*100))</f>
        <v/>
      </c>
      <c r="BR271" s="29"/>
      <c r="BT271" s="25"/>
      <c r="BU271" s="5"/>
      <c r="BV271" s="5" t="str">
        <f t="shared" si="757"/>
        <v/>
      </c>
      <c r="BW271" s="5"/>
      <c r="BX271" s="5" t="str">
        <f t="shared" si="758"/>
        <v/>
      </c>
      <c r="BY271" s="5"/>
      <c r="BZ271" s="5"/>
      <c r="CA271" s="57"/>
      <c r="CB271" s="3"/>
      <c r="CC271" s="39"/>
      <c r="CD271" s="5"/>
      <c r="CE271" s="36"/>
      <c r="CF271" s="29"/>
      <c r="CH271" s="14"/>
      <c r="CI271" s="39"/>
      <c r="CJ271" s="5" t="str">
        <f t="shared" si="797"/>
        <v/>
      </c>
      <c r="CK271" s="5"/>
      <c r="CL271" s="5"/>
      <c r="CM271" s="5"/>
      <c r="CN271" s="5" t="str">
        <f t="shared" si="798"/>
        <v/>
      </c>
      <c r="CO271" s="5"/>
      <c r="CP271" s="5"/>
      <c r="CQ271" s="5"/>
      <c r="CR271" s="5" t="str">
        <f t="shared" si="772"/>
        <v/>
      </c>
      <c r="CS271" s="36" t="str">
        <f t="shared" si="773"/>
        <v/>
      </c>
      <c r="CT271" s="29"/>
      <c r="CV271" s="14"/>
      <c r="CW271" s="39"/>
      <c r="CX271" s="5" t="str">
        <f t="shared" si="799"/>
        <v/>
      </c>
      <c r="CY271" s="5"/>
      <c r="CZ271" s="5"/>
      <c r="DA271" s="5"/>
      <c r="DB271" s="5" t="str">
        <f t="shared" si="800"/>
        <v/>
      </c>
      <c r="DC271" s="5"/>
      <c r="DD271" s="5"/>
      <c r="DE271" s="5"/>
      <c r="DF271" s="5" t="str">
        <f t="shared" si="774"/>
        <v/>
      </c>
      <c r="DG271" s="36" t="str">
        <f t="shared" si="775"/>
        <v/>
      </c>
      <c r="DH271" s="29"/>
      <c r="DJ271" s="14"/>
      <c r="DK271" s="39"/>
      <c r="DL271" s="5" t="str">
        <f t="shared" si="801"/>
        <v/>
      </c>
      <c r="DM271" s="5"/>
      <c r="DN271" s="5"/>
      <c r="DO271" s="5"/>
      <c r="DP271" s="5" t="str">
        <f t="shared" si="802"/>
        <v/>
      </c>
      <c r="DQ271" s="5"/>
      <c r="DR271" s="5"/>
      <c r="DS271" s="5"/>
      <c r="DT271" s="5" t="str">
        <f t="shared" si="776"/>
        <v/>
      </c>
      <c r="DU271" s="36" t="str">
        <f t="shared" si="777"/>
        <v/>
      </c>
      <c r="DV271" s="29"/>
      <c r="DX271" s="14"/>
      <c r="DY271" s="39"/>
      <c r="DZ271" s="5" t="str">
        <f t="shared" si="803"/>
        <v/>
      </c>
      <c r="EA271" s="5"/>
      <c r="EB271" s="5"/>
      <c r="EC271" s="5"/>
      <c r="ED271" s="5" t="str">
        <f t="shared" si="804"/>
        <v/>
      </c>
      <c r="EE271" s="5"/>
      <c r="EF271" s="5"/>
      <c r="EG271" s="5"/>
      <c r="EH271" s="5" t="str">
        <f t="shared" si="778"/>
        <v/>
      </c>
      <c r="EI271" s="36" t="str">
        <f t="shared" si="779"/>
        <v/>
      </c>
      <c r="EJ271" s="29"/>
      <c r="EL271" s="14"/>
      <c r="EM271" s="39"/>
      <c r="EN271" s="5" t="str">
        <f t="shared" si="805"/>
        <v/>
      </c>
      <c r="EO271" s="5"/>
      <c r="EP271" s="5"/>
      <c r="EQ271" s="5"/>
      <c r="ER271" s="5" t="str">
        <f t="shared" si="806"/>
        <v/>
      </c>
      <c r="ES271" s="5"/>
      <c r="ET271" s="5"/>
      <c r="EU271" s="5"/>
      <c r="EV271" s="5" t="str">
        <f t="shared" si="780"/>
        <v/>
      </c>
      <c r="EW271" s="36" t="str">
        <f t="shared" si="781"/>
        <v/>
      </c>
      <c r="EX271" s="29"/>
      <c r="EZ271" s="14"/>
      <c r="FA271" s="39"/>
      <c r="FB271" s="5" t="str">
        <f t="shared" si="807"/>
        <v/>
      </c>
      <c r="FC271" s="5"/>
      <c r="FD271" s="5"/>
      <c r="FE271" s="5"/>
      <c r="FF271" s="5" t="str">
        <f t="shared" si="808"/>
        <v/>
      </c>
      <c r="FG271" s="5"/>
      <c r="FH271" s="5"/>
      <c r="FI271" s="5"/>
      <c r="FJ271" s="5" t="str">
        <f t="shared" si="782"/>
        <v/>
      </c>
      <c r="FK271" s="36" t="str">
        <f t="shared" si="783"/>
        <v/>
      </c>
      <c r="FL271" s="29"/>
      <c r="FN271" s="14"/>
      <c r="FO271" s="39"/>
      <c r="FP271" s="5" t="str">
        <f t="shared" si="809"/>
        <v/>
      </c>
      <c r="FQ271" s="5"/>
      <c r="FR271" s="5"/>
      <c r="FS271" s="5"/>
      <c r="FT271" s="5" t="str">
        <f t="shared" si="810"/>
        <v/>
      </c>
      <c r="FU271" s="5"/>
      <c r="FV271" s="5"/>
      <c r="FW271" s="5"/>
      <c r="FX271" s="5" t="str">
        <f t="shared" si="784"/>
        <v/>
      </c>
      <c r="FY271" s="36" t="str">
        <f t="shared" si="785"/>
        <v/>
      </c>
      <c r="FZ271" s="29"/>
      <c r="GB271" s="14"/>
      <c r="GC271" s="39"/>
      <c r="GD271" s="5" t="str">
        <f t="shared" si="811"/>
        <v/>
      </c>
      <c r="GE271" s="5"/>
      <c r="GF271" s="5"/>
      <c r="GG271" s="5"/>
      <c r="GH271" s="5" t="str">
        <f t="shared" si="812"/>
        <v/>
      </c>
      <c r="GI271" s="5"/>
      <c r="GJ271" s="5"/>
      <c r="GK271" s="5"/>
      <c r="GL271" s="5" t="str">
        <f t="shared" si="786"/>
        <v/>
      </c>
      <c r="GM271" s="36" t="str">
        <f t="shared" si="787"/>
        <v/>
      </c>
      <c r="GN271" s="29"/>
      <c r="GP271" s="14"/>
      <c r="GQ271" s="39"/>
      <c r="GR271" s="5" t="str">
        <f t="shared" si="813"/>
        <v/>
      </c>
      <c r="GS271" s="5"/>
      <c r="GT271" s="5"/>
      <c r="GU271" s="5"/>
      <c r="GV271" s="5"/>
      <c r="GW271" s="5"/>
      <c r="GX271" s="5" t="str">
        <f t="shared" si="814"/>
        <v/>
      </c>
      <c r="GY271" s="5"/>
      <c r="GZ271" s="5"/>
      <c r="HA271" s="5"/>
      <c r="HB271" s="5" t="str">
        <f t="shared" si="788"/>
        <v/>
      </c>
      <c r="HC271" s="36" t="str">
        <f t="shared" si="789"/>
        <v/>
      </c>
      <c r="HD271" s="29"/>
      <c r="HF271" s="14"/>
      <c r="HG271" s="39"/>
      <c r="HH271" s="5" t="str">
        <f t="shared" si="815"/>
        <v/>
      </c>
      <c r="HI271" s="5"/>
      <c r="HJ271" s="29"/>
      <c r="HL271" s="14"/>
      <c r="HM271" s="39"/>
      <c r="HN271" s="5" t="str">
        <f t="shared" si="816"/>
        <v/>
      </c>
      <c r="HO271" s="5"/>
      <c r="HP271" s="29"/>
      <c r="HR271" s="14"/>
      <c r="HS271" s="39"/>
      <c r="HT271" s="5" t="str">
        <f t="shared" si="817"/>
        <v/>
      </c>
      <c r="HU271" s="5"/>
      <c r="HV271" s="29"/>
    </row>
    <row r="272" spans="1:230" ht="15" customHeight="1" thickBot="1" x14ac:dyDescent="0.25">
      <c r="A272" s="60"/>
      <c r="B272" s="73"/>
      <c r="C272" s="44"/>
      <c r="D272" s="61" t="str">
        <f t="shared" si="731"/>
        <v/>
      </c>
      <c r="E272" s="44"/>
      <c r="F272" s="44" t="str">
        <f t="shared" si="732"/>
        <v/>
      </c>
      <c r="G272" s="76"/>
      <c r="H272" s="77" t="str">
        <f t="shared" si="733"/>
        <v/>
      </c>
      <c r="I272" s="78"/>
      <c r="J272" s="79" t="str">
        <f t="shared" si="819"/>
        <v/>
      </c>
      <c r="K272" s="61" t="str">
        <f t="shared" si="819"/>
        <v/>
      </c>
      <c r="L272" s="44" t="str">
        <f t="shared" si="734"/>
        <v/>
      </c>
      <c r="M272" s="46" t="str">
        <f t="shared" si="735"/>
        <v/>
      </c>
      <c r="N272" s="29"/>
      <c r="P272" s="41"/>
      <c r="Q272" s="44"/>
      <c r="R272" s="61" t="str">
        <f t="shared" si="820"/>
        <v/>
      </c>
      <c r="S272" s="44"/>
      <c r="T272" s="44" t="str">
        <f t="shared" si="821"/>
        <v/>
      </c>
      <c r="U272" s="76"/>
      <c r="V272" s="44" t="str">
        <f t="shared" si="822"/>
        <v/>
      </c>
      <c r="W272" s="78"/>
      <c r="X272" s="47" t="str">
        <f t="shared" si="823"/>
        <v/>
      </c>
      <c r="Y272" s="61" t="str">
        <f t="shared" si="823"/>
        <v/>
      </c>
      <c r="Z272" s="44" t="str">
        <f t="shared" si="824"/>
        <v/>
      </c>
      <c r="AA272" s="46" t="str">
        <f t="shared" si="825"/>
        <v/>
      </c>
      <c r="AB272" s="29"/>
      <c r="AD272" s="41"/>
      <c r="AE272" s="44"/>
      <c r="AF272" s="61" t="str">
        <f t="shared" si="826"/>
        <v/>
      </c>
      <c r="AG272" s="44"/>
      <c r="AH272" s="44" t="str">
        <f t="shared" si="827"/>
        <v/>
      </c>
      <c r="AI272" s="76"/>
      <c r="AJ272" s="44" t="str">
        <f t="shared" si="828"/>
        <v/>
      </c>
      <c r="AK272" s="78"/>
      <c r="AL272" s="47" t="str">
        <f t="shared" si="829"/>
        <v/>
      </c>
      <c r="AM272" s="61" t="str">
        <f t="shared" si="829"/>
        <v/>
      </c>
      <c r="AN272" s="44" t="str">
        <f t="shared" si="830"/>
        <v/>
      </c>
      <c r="AO272" s="46" t="str">
        <f t="shared" si="831"/>
        <v/>
      </c>
      <c r="AP272" s="29"/>
      <c r="AR272" s="41"/>
      <c r="AS272" s="44"/>
      <c r="AT272" s="61" t="str">
        <f t="shared" si="832"/>
        <v/>
      </c>
      <c r="AU272" s="44"/>
      <c r="AV272" s="44" t="str">
        <f t="shared" si="833"/>
        <v/>
      </c>
      <c r="AW272" s="76"/>
      <c r="AX272" s="44" t="str">
        <f t="shared" si="834"/>
        <v/>
      </c>
      <c r="AY272" s="78"/>
      <c r="AZ272" s="47" t="str">
        <f t="shared" si="835"/>
        <v/>
      </c>
      <c r="BA272" s="61" t="str">
        <f t="shared" si="835"/>
        <v/>
      </c>
      <c r="BB272" s="44" t="str">
        <f t="shared" si="836"/>
        <v/>
      </c>
      <c r="BC272" s="46" t="str">
        <f t="shared" si="837"/>
        <v/>
      </c>
      <c r="BD272" s="29"/>
      <c r="BE272" s="32"/>
      <c r="BF272" s="41"/>
      <c r="BG272" s="44"/>
      <c r="BH272" s="44" t="str">
        <f t="shared" si="765"/>
        <v/>
      </c>
      <c r="BI272" s="44"/>
      <c r="BJ272" s="44" t="str">
        <f t="shared" si="766"/>
        <v/>
      </c>
      <c r="BK272" s="44"/>
      <c r="BL272" s="44" t="str">
        <f t="shared" si="756"/>
        <v/>
      </c>
      <c r="BM272" s="44"/>
      <c r="BN272" s="45" t="str">
        <f>IF(BG269="","",BN268)</f>
        <v/>
      </c>
      <c r="BO272" s="61" t="str">
        <f>IF(BG269="","",BO268)</f>
        <v/>
      </c>
      <c r="BP272" s="44" t="str">
        <f t="shared" si="753"/>
        <v/>
      </c>
      <c r="BQ272" s="46" t="str">
        <f>IF(BL272="","",BP272/(BH270*100))</f>
        <v/>
      </c>
      <c r="BR272" s="29"/>
      <c r="BT272" s="41"/>
      <c r="BU272" s="44"/>
      <c r="BV272" s="44" t="str">
        <f t="shared" si="757"/>
        <v/>
      </c>
      <c r="BW272" s="44"/>
      <c r="BX272" s="44" t="str">
        <f t="shared" si="758"/>
        <v/>
      </c>
      <c r="BY272" s="44"/>
      <c r="BZ272" s="44"/>
      <c r="CA272" s="44"/>
      <c r="CB272" s="45"/>
      <c r="CC272" s="61"/>
      <c r="CD272" s="44"/>
      <c r="CE272" s="46"/>
      <c r="CF272" s="29"/>
      <c r="CH272" s="14"/>
      <c r="CI272" s="39"/>
      <c r="CJ272" s="5" t="str">
        <f t="shared" si="797"/>
        <v/>
      </c>
      <c r="CK272" s="5"/>
      <c r="CL272" s="5"/>
      <c r="CM272" s="5"/>
      <c r="CN272" s="5" t="str">
        <f t="shared" si="798"/>
        <v/>
      </c>
      <c r="CO272" s="5"/>
      <c r="CP272" s="5"/>
      <c r="CQ272" s="5"/>
      <c r="CR272" s="5" t="str">
        <f t="shared" si="772"/>
        <v/>
      </c>
      <c r="CS272" s="36" t="str">
        <f t="shared" si="773"/>
        <v/>
      </c>
      <c r="CT272" s="29"/>
      <c r="CV272" s="14"/>
      <c r="CW272" s="39"/>
      <c r="CX272" s="5" t="str">
        <f t="shared" si="799"/>
        <v/>
      </c>
      <c r="CY272" s="5"/>
      <c r="CZ272" s="5"/>
      <c r="DA272" s="5"/>
      <c r="DB272" s="5" t="str">
        <f t="shared" si="800"/>
        <v/>
      </c>
      <c r="DC272" s="5"/>
      <c r="DD272" s="5"/>
      <c r="DE272" s="5"/>
      <c r="DF272" s="5" t="str">
        <f t="shared" si="774"/>
        <v/>
      </c>
      <c r="DG272" s="36" t="str">
        <f t="shared" si="775"/>
        <v/>
      </c>
      <c r="DH272" s="29"/>
      <c r="DJ272" s="14"/>
      <c r="DK272" s="39"/>
      <c r="DL272" s="5" t="str">
        <f t="shared" si="801"/>
        <v/>
      </c>
      <c r="DM272" s="5"/>
      <c r="DN272" s="5"/>
      <c r="DO272" s="5"/>
      <c r="DP272" s="5" t="str">
        <f t="shared" si="802"/>
        <v/>
      </c>
      <c r="DQ272" s="5"/>
      <c r="DR272" s="5"/>
      <c r="DS272" s="5"/>
      <c r="DT272" s="5" t="str">
        <f t="shared" si="776"/>
        <v/>
      </c>
      <c r="DU272" s="36" t="str">
        <f t="shared" si="777"/>
        <v/>
      </c>
      <c r="DV272" s="29"/>
      <c r="DX272" s="14"/>
      <c r="DY272" s="39"/>
      <c r="DZ272" s="5" t="str">
        <f t="shared" si="803"/>
        <v/>
      </c>
      <c r="EA272" s="5"/>
      <c r="EB272" s="5"/>
      <c r="EC272" s="5"/>
      <c r="ED272" s="5" t="str">
        <f t="shared" si="804"/>
        <v/>
      </c>
      <c r="EE272" s="5"/>
      <c r="EF272" s="5"/>
      <c r="EG272" s="5"/>
      <c r="EH272" s="5" t="str">
        <f t="shared" si="778"/>
        <v/>
      </c>
      <c r="EI272" s="36" t="str">
        <f t="shared" si="779"/>
        <v/>
      </c>
      <c r="EJ272" s="29"/>
      <c r="EL272" s="14"/>
      <c r="EM272" s="39"/>
      <c r="EN272" s="5" t="str">
        <f t="shared" si="805"/>
        <v/>
      </c>
      <c r="EO272" s="5"/>
      <c r="EP272" s="5"/>
      <c r="EQ272" s="5"/>
      <c r="ER272" s="5" t="str">
        <f t="shared" si="806"/>
        <v/>
      </c>
      <c r="ES272" s="5"/>
      <c r="ET272" s="5"/>
      <c r="EU272" s="5"/>
      <c r="EV272" s="5" t="str">
        <f t="shared" si="780"/>
        <v/>
      </c>
      <c r="EW272" s="36" t="str">
        <f t="shared" si="781"/>
        <v/>
      </c>
      <c r="EX272" s="29"/>
      <c r="EZ272" s="14"/>
      <c r="FA272" s="39"/>
      <c r="FB272" s="5" t="str">
        <f t="shared" si="807"/>
        <v/>
      </c>
      <c r="FC272" s="5"/>
      <c r="FD272" s="5"/>
      <c r="FE272" s="5"/>
      <c r="FF272" s="5" t="str">
        <f t="shared" si="808"/>
        <v/>
      </c>
      <c r="FG272" s="5"/>
      <c r="FH272" s="5"/>
      <c r="FI272" s="5"/>
      <c r="FJ272" s="5" t="str">
        <f t="shared" si="782"/>
        <v/>
      </c>
      <c r="FK272" s="36" t="str">
        <f t="shared" si="783"/>
        <v/>
      </c>
      <c r="FL272" s="29"/>
      <c r="FN272" s="14"/>
      <c r="FO272" s="39"/>
      <c r="FP272" s="5" t="str">
        <f t="shared" si="809"/>
        <v/>
      </c>
      <c r="FQ272" s="5"/>
      <c r="FR272" s="5"/>
      <c r="FS272" s="5"/>
      <c r="FT272" s="5" t="str">
        <f t="shared" si="810"/>
        <v/>
      </c>
      <c r="FU272" s="5"/>
      <c r="FV272" s="5"/>
      <c r="FW272" s="5"/>
      <c r="FX272" s="5" t="str">
        <f t="shared" si="784"/>
        <v/>
      </c>
      <c r="FY272" s="36" t="str">
        <f t="shared" si="785"/>
        <v/>
      </c>
      <c r="FZ272" s="29"/>
      <c r="GB272" s="14"/>
      <c r="GC272" s="39"/>
      <c r="GD272" s="5" t="str">
        <f t="shared" si="811"/>
        <v/>
      </c>
      <c r="GE272" s="5"/>
      <c r="GF272" s="5"/>
      <c r="GG272" s="5"/>
      <c r="GH272" s="5" t="str">
        <f t="shared" si="812"/>
        <v/>
      </c>
      <c r="GI272" s="5"/>
      <c r="GJ272" s="5"/>
      <c r="GK272" s="5"/>
      <c r="GL272" s="5" t="str">
        <f t="shared" si="786"/>
        <v/>
      </c>
      <c r="GM272" s="36" t="str">
        <f t="shared" si="787"/>
        <v/>
      </c>
      <c r="GN272" s="29"/>
      <c r="GP272" s="14"/>
      <c r="GQ272" s="39"/>
      <c r="GR272" s="5" t="str">
        <f t="shared" si="813"/>
        <v/>
      </c>
      <c r="GS272" s="5"/>
      <c r="GT272" s="5"/>
      <c r="GU272" s="5"/>
      <c r="GV272" s="5"/>
      <c r="GW272" s="5"/>
      <c r="GX272" s="5" t="str">
        <f t="shared" si="814"/>
        <v/>
      </c>
      <c r="GY272" s="5"/>
      <c r="GZ272" s="5"/>
      <c r="HA272" s="5"/>
      <c r="HB272" s="5" t="str">
        <f t="shared" si="788"/>
        <v/>
      </c>
      <c r="HC272" s="36" t="str">
        <f t="shared" si="789"/>
        <v/>
      </c>
      <c r="HD272" s="29"/>
      <c r="HF272" s="14"/>
      <c r="HG272" s="39"/>
      <c r="HH272" s="5" t="str">
        <f t="shared" si="815"/>
        <v/>
      </c>
      <c r="HI272" s="5"/>
      <c r="HJ272" s="29"/>
      <c r="HL272" s="14"/>
      <c r="HM272" s="39"/>
      <c r="HN272" s="5" t="str">
        <f t="shared" si="816"/>
        <v/>
      </c>
      <c r="HO272" s="5"/>
      <c r="HP272" s="29"/>
      <c r="HR272" s="14"/>
      <c r="HS272" s="39"/>
      <c r="HT272" s="5" t="str">
        <f t="shared" si="817"/>
        <v/>
      </c>
      <c r="HU272" s="5"/>
      <c r="HV272" s="29"/>
    </row>
    <row r="273" spans="1:230" ht="15" customHeight="1" thickTop="1" x14ac:dyDescent="0.2">
      <c r="A273" s="49"/>
      <c r="B273" s="26">
        <f>SUM(D273:D276)+SUM(R273:R276)+SUM(AF273:AF276)+SUM(AT273:AT276)+SUM(CJ267,DL267,DZ267,EN267,FB267,FP267,GD267,GR267,HH267,HN267,HT267)+SUM(BH273:BH274)+SUM(BV273:BV274)</f>
        <v>0</v>
      </c>
      <c r="C273" s="4"/>
      <c r="D273" s="4" t="str">
        <f t="shared" si="731"/>
        <v/>
      </c>
      <c r="E273" s="4"/>
      <c r="F273" s="50" t="str">
        <f t="shared" si="732"/>
        <v/>
      </c>
      <c r="G273" s="4"/>
      <c r="H273" s="4" t="str">
        <f t="shared" si="733"/>
        <v/>
      </c>
      <c r="I273" s="4"/>
      <c r="J273" s="2" t="str">
        <f t="shared" si="819"/>
        <v/>
      </c>
      <c r="K273" s="27" t="str">
        <f t="shared" si="819"/>
        <v/>
      </c>
      <c r="L273" s="50" t="str">
        <f t="shared" si="734"/>
        <v/>
      </c>
      <c r="M273" s="52" t="str">
        <f t="shared" si="735"/>
        <v/>
      </c>
      <c r="N273" s="29"/>
      <c r="P273" s="80" t="str">
        <f>IF($A$421="","",$A$421)</f>
        <v/>
      </c>
      <c r="Q273" s="4"/>
      <c r="R273" s="4" t="str">
        <f t="shared" si="820"/>
        <v/>
      </c>
      <c r="S273" s="4"/>
      <c r="T273" s="50" t="str">
        <f t="shared" si="821"/>
        <v/>
      </c>
      <c r="U273" s="4"/>
      <c r="V273" s="4" t="str">
        <f t="shared" si="822"/>
        <v/>
      </c>
      <c r="W273" s="4"/>
      <c r="X273" s="31" t="str">
        <f t="shared" si="823"/>
        <v/>
      </c>
      <c r="Y273" s="27" t="str">
        <f t="shared" si="823"/>
        <v/>
      </c>
      <c r="Z273" s="50" t="str">
        <f t="shared" si="824"/>
        <v/>
      </c>
      <c r="AA273" s="52" t="str">
        <f t="shared" si="825"/>
        <v/>
      </c>
      <c r="AB273" s="29"/>
      <c r="AD273" s="80" t="str">
        <f>IF($A$421="","",$A$421)</f>
        <v/>
      </c>
      <c r="AE273" s="4"/>
      <c r="AF273" s="4" t="str">
        <f t="shared" si="826"/>
        <v/>
      </c>
      <c r="AG273" s="4"/>
      <c r="AH273" s="50" t="str">
        <f t="shared" si="827"/>
        <v/>
      </c>
      <c r="AI273" s="4"/>
      <c r="AJ273" s="4" t="str">
        <f t="shared" si="828"/>
        <v/>
      </c>
      <c r="AK273" s="4"/>
      <c r="AL273" s="31" t="str">
        <f t="shared" si="829"/>
        <v/>
      </c>
      <c r="AM273" s="27" t="str">
        <f t="shared" si="829"/>
        <v/>
      </c>
      <c r="AN273" s="50" t="str">
        <f t="shared" si="830"/>
        <v/>
      </c>
      <c r="AO273" s="52" t="str">
        <f t="shared" si="831"/>
        <v/>
      </c>
      <c r="AP273" s="29"/>
      <c r="AR273" s="80" t="str">
        <f>IF($A$421="","",$A$421)</f>
        <v/>
      </c>
      <c r="AS273" s="4"/>
      <c r="AT273" s="4" t="str">
        <f t="shared" si="832"/>
        <v/>
      </c>
      <c r="AU273" s="4"/>
      <c r="AV273" s="50" t="str">
        <f t="shared" si="833"/>
        <v/>
      </c>
      <c r="AW273" s="4"/>
      <c r="AX273" s="4" t="str">
        <f t="shared" si="834"/>
        <v/>
      </c>
      <c r="AY273" s="4"/>
      <c r="AZ273" s="31" t="str">
        <f t="shared" si="835"/>
        <v/>
      </c>
      <c r="BA273" s="27" t="str">
        <f t="shared" si="835"/>
        <v/>
      </c>
      <c r="BB273" s="50" t="str">
        <f t="shared" si="836"/>
        <v/>
      </c>
      <c r="BC273" s="52" t="str">
        <f t="shared" si="837"/>
        <v/>
      </c>
      <c r="BD273" s="29"/>
      <c r="BE273" s="32"/>
      <c r="BF273" s="33"/>
      <c r="BG273" s="4"/>
      <c r="BH273" s="4" t="str">
        <f t="shared" si="765"/>
        <v/>
      </c>
      <c r="BI273" s="4"/>
      <c r="BJ273" s="50" t="str">
        <f t="shared" si="766"/>
        <v/>
      </c>
      <c r="BK273" s="4"/>
      <c r="BL273" s="4" t="str">
        <f t="shared" si="756"/>
        <v/>
      </c>
      <c r="BM273" s="4"/>
      <c r="BN273" s="2" t="str">
        <f>IF(BG273="","",BN269)</f>
        <v/>
      </c>
      <c r="BO273" s="27" t="str">
        <f>IF(BG273="","",BO269)</f>
        <v/>
      </c>
      <c r="BP273" s="5" t="str">
        <f t="shared" si="753"/>
        <v/>
      </c>
      <c r="BQ273" s="52" t="str">
        <f t="shared" ref="BQ273:BQ280" si="841">IF(BL273="","",BP273/(BH273*100))</f>
        <v/>
      </c>
      <c r="BR273" s="29"/>
      <c r="BT273" s="33"/>
      <c r="BU273" s="4"/>
      <c r="BV273" s="4" t="str">
        <f t="shared" si="757"/>
        <v/>
      </c>
      <c r="BW273" s="4"/>
      <c r="BX273" s="50" t="str">
        <f t="shared" si="758"/>
        <v/>
      </c>
      <c r="BY273" s="4"/>
      <c r="BZ273" s="4" t="str">
        <f t="shared" si="763"/>
        <v/>
      </c>
      <c r="CA273" s="4"/>
      <c r="CB273" s="2" t="str">
        <f>IF(BU273="","",CB269)</f>
        <v/>
      </c>
      <c r="CC273" s="27" t="str">
        <f>IF(BU273="","",CC269)</f>
        <v/>
      </c>
      <c r="CD273" s="5" t="str">
        <f t="shared" ref="CD273:CD274" si="842">IF(BY273="","",BZ273*CC273)</f>
        <v/>
      </c>
      <c r="CE273" s="52" t="str">
        <f>IF(BZ273="","",CD273/(BV273*100))</f>
        <v/>
      </c>
      <c r="CF273" s="29"/>
      <c r="CH273" s="14"/>
      <c r="CI273" s="39"/>
      <c r="CJ273" s="5"/>
      <c r="CK273" s="5"/>
      <c r="CL273" s="5"/>
      <c r="CM273" s="5"/>
      <c r="CN273" s="5"/>
      <c r="CO273" s="5"/>
      <c r="CP273" s="5"/>
      <c r="CQ273" s="5"/>
      <c r="CR273" s="5"/>
      <c r="CS273" s="36"/>
      <c r="CT273" s="29"/>
      <c r="CV273" s="14"/>
      <c r="CW273" s="39"/>
      <c r="CX273" s="5"/>
      <c r="CY273" s="5"/>
      <c r="CZ273" s="5"/>
      <c r="DA273" s="5"/>
      <c r="DB273" s="5"/>
      <c r="DC273" s="5"/>
      <c r="DD273" s="5"/>
      <c r="DE273" s="5"/>
      <c r="DF273" s="5"/>
      <c r="DG273" s="36"/>
      <c r="DH273" s="29"/>
      <c r="DJ273" s="14"/>
      <c r="DK273" s="39"/>
      <c r="DL273" s="5"/>
      <c r="DM273" s="5"/>
      <c r="DN273" s="5"/>
      <c r="DO273" s="5"/>
      <c r="DP273" s="5"/>
      <c r="DQ273" s="5"/>
      <c r="DR273" s="5"/>
      <c r="DS273" s="5"/>
      <c r="DT273" s="5"/>
      <c r="DU273" s="36"/>
      <c r="DV273" s="29"/>
      <c r="DX273" s="14"/>
      <c r="DY273" s="39"/>
      <c r="DZ273" s="5"/>
      <c r="EA273" s="5"/>
      <c r="EB273" s="5"/>
      <c r="EC273" s="5"/>
      <c r="ED273" s="5"/>
      <c r="EE273" s="5"/>
      <c r="EF273" s="5"/>
      <c r="EG273" s="5"/>
      <c r="EH273" s="5"/>
      <c r="EI273" s="36"/>
      <c r="EJ273" s="29"/>
      <c r="EL273" s="14"/>
      <c r="EM273" s="39"/>
      <c r="EN273" s="5"/>
      <c r="EO273" s="5"/>
      <c r="EP273" s="5"/>
      <c r="EQ273" s="5"/>
      <c r="ER273" s="5"/>
      <c r="ES273" s="5"/>
      <c r="ET273" s="5"/>
      <c r="EU273" s="5"/>
      <c r="EV273" s="5"/>
      <c r="EW273" s="36"/>
      <c r="EX273" s="29"/>
      <c r="EZ273" s="14"/>
      <c r="FA273" s="39"/>
      <c r="FB273" s="5"/>
      <c r="FC273" s="5"/>
      <c r="FD273" s="5"/>
      <c r="FE273" s="5"/>
      <c r="FF273" s="5"/>
      <c r="FG273" s="5"/>
      <c r="FH273" s="5"/>
      <c r="FI273" s="5"/>
      <c r="FJ273" s="5"/>
      <c r="FK273" s="36"/>
      <c r="FL273" s="29"/>
      <c r="FN273" s="14"/>
      <c r="FO273" s="39"/>
      <c r="FP273" s="5"/>
      <c r="FQ273" s="5"/>
      <c r="FR273" s="5"/>
      <c r="FS273" s="5"/>
      <c r="FT273" s="5"/>
      <c r="FU273" s="5"/>
      <c r="FV273" s="5"/>
      <c r="FW273" s="5"/>
      <c r="FX273" s="5"/>
      <c r="FY273" s="36"/>
      <c r="FZ273" s="29"/>
      <c r="GB273" s="14"/>
      <c r="GC273" s="39"/>
      <c r="GD273" s="5"/>
      <c r="GE273" s="5"/>
      <c r="GF273" s="5"/>
      <c r="GG273" s="5"/>
      <c r="GH273" s="5"/>
      <c r="GI273" s="5"/>
      <c r="GJ273" s="5"/>
      <c r="GK273" s="5"/>
      <c r="GL273" s="5"/>
      <c r="GM273" s="36"/>
      <c r="GN273" s="29"/>
      <c r="GP273" s="14"/>
      <c r="GQ273" s="39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36"/>
      <c r="HD273" s="29"/>
      <c r="HF273" s="14"/>
      <c r="HG273" s="39"/>
      <c r="HH273" s="5"/>
      <c r="HI273" s="5"/>
      <c r="HJ273" s="29"/>
      <c r="HL273" s="14"/>
      <c r="HM273" s="39"/>
      <c r="HN273" s="5"/>
      <c r="HO273" s="5"/>
      <c r="HP273" s="29"/>
      <c r="HR273" s="14"/>
      <c r="HS273" s="39"/>
      <c r="HT273" s="5"/>
      <c r="HU273" s="5"/>
      <c r="HV273" s="29"/>
    </row>
    <row r="274" spans="1:230" ht="15" customHeight="1" x14ac:dyDescent="0.2">
      <c r="A274" s="54"/>
      <c r="B274" s="37"/>
      <c r="C274" s="5"/>
      <c r="D274" s="5" t="str">
        <f t="shared" si="731"/>
        <v/>
      </c>
      <c r="E274" s="5"/>
      <c r="F274" s="5" t="str">
        <f t="shared" si="732"/>
        <v/>
      </c>
      <c r="G274" s="5"/>
      <c r="H274" s="5" t="str">
        <f t="shared" si="733"/>
        <v/>
      </c>
      <c r="I274" s="5"/>
      <c r="J274" s="3" t="str">
        <f t="shared" si="819"/>
        <v/>
      </c>
      <c r="K274" s="39" t="str">
        <f t="shared" si="819"/>
        <v/>
      </c>
      <c r="L274" s="5" t="str">
        <f t="shared" si="734"/>
        <v/>
      </c>
      <c r="M274" s="36" t="str">
        <f t="shared" si="735"/>
        <v/>
      </c>
      <c r="N274" s="29"/>
      <c r="P274" s="25"/>
      <c r="Q274" s="5"/>
      <c r="R274" s="5" t="str">
        <f t="shared" si="820"/>
        <v/>
      </c>
      <c r="S274" s="5"/>
      <c r="T274" s="5" t="str">
        <f t="shared" si="821"/>
        <v/>
      </c>
      <c r="U274" s="5"/>
      <c r="V274" s="5" t="str">
        <f t="shared" si="822"/>
        <v/>
      </c>
      <c r="W274" s="5"/>
      <c r="X274" s="38" t="str">
        <f t="shared" si="823"/>
        <v/>
      </c>
      <c r="Y274" s="39" t="str">
        <f t="shared" si="823"/>
        <v/>
      </c>
      <c r="Z274" s="5" t="str">
        <f t="shared" si="824"/>
        <v/>
      </c>
      <c r="AA274" s="36" t="str">
        <f t="shared" si="825"/>
        <v/>
      </c>
      <c r="AB274" s="29"/>
      <c r="AD274" s="25"/>
      <c r="AE274" s="5"/>
      <c r="AF274" s="5" t="str">
        <f t="shared" si="826"/>
        <v/>
      </c>
      <c r="AG274" s="5"/>
      <c r="AH274" s="5" t="str">
        <f t="shared" si="827"/>
        <v/>
      </c>
      <c r="AI274" s="5"/>
      <c r="AJ274" s="5" t="str">
        <f t="shared" si="828"/>
        <v/>
      </c>
      <c r="AK274" s="5"/>
      <c r="AL274" s="38" t="str">
        <f t="shared" si="829"/>
        <v/>
      </c>
      <c r="AM274" s="39" t="str">
        <f t="shared" si="829"/>
        <v/>
      </c>
      <c r="AN274" s="5" t="str">
        <f t="shared" si="830"/>
        <v/>
      </c>
      <c r="AO274" s="36" t="str">
        <f t="shared" si="831"/>
        <v/>
      </c>
      <c r="AP274" s="29"/>
      <c r="AR274" s="25"/>
      <c r="AS274" s="5"/>
      <c r="AT274" s="5" t="str">
        <f t="shared" si="832"/>
        <v/>
      </c>
      <c r="AU274" s="5"/>
      <c r="AV274" s="5" t="str">
        <f t="shared" si="833"/>
        <v/>
      </c>
      <c r="AW274" s="5"/>
      <c r="AX274" s="5" t="str">
        <f t="shared" si="834"/>
        <v/>
      </c>
      <c r="AY274" s="5"/>
      <c r="AZ274" s="38" t="str">
        <f t="shared" si="835"/>
        <v/>
      </c>
      <c r="BA274" s="39" t="str">
        <f t="shared" si="835"/>
        <v/>
      </c>
      <c r="BB274" s="5" t="str">
        <f t="shared" si="836"/>
        <v/>
      </c>
      <c r="BC274" s="36" t="str">
        <f t="shared" si="837"/>
        <v/>
      </c>
      <c r="BD274" s="29"/>
      <c r="BE274" s="32"/>
      <c r="BF274" s="25"/>
      <c r="BG274" s="5"/>
      <c r="BH274" s="5" t="str">
        <f t="shared" si="765"/>
        <v/>
      </c>
      <c r="BI274" s="5"/>
      <c r="BJ274" s="5" t="str">
        <f t="shared" si="766"/>
        <v/>
      </c>
      <c r="BK274" s="5"/>
      <c r="BL274" s="5" t="str">
        <f t="shared" si="756"/>
        <v/>
      </c>
      <c r="BM274" s="5"/>
      <c r="BN274" s="3" t="str">
        <f>IF(BG273="","",BN270)</f>
        <v/>
      </c>
      <c r="BO274" s="39" t="str">
        <f>IF(BG273="","",BO270)</f>
        <v/>
      </c>
      <c r="BP274" s="4" t="str">
        <f t="shared" si="753"/>
        <v/>
      </c>
      <c r="BQ274" s="36" t="str">
        <f t="shared" si="841"/>
        <v/>
      </c>
      <c r="BR274" s="29"/>
      <c r="BT274" s="25"/>
      <c r="BU274" s="5"/>
      <c r="BV274" s="5" t="str">
        <f t="shared" si="757"/>
        <v/>
      </c>
      <c r="BW274" s="5"/>
      <c r="BX274" s="5" t="str">
        <f t="shared" si="758"/>
        <v/>
      </c>
      <c r="BY274" s="5"/>
      <c r="BZ274" s="5" t="str">
        <f t="shared" si="763"/>
        <v/>
      </c>
      <c r="CA274" s="4"/>
      <c r="CB274" s="3" t="str">
        <f>IF(BU274="","",CB270)</f>
        <v/>
      </c>
      <c r="CC274" s="39" t="str">
        <f>IF(BU273="","",CC270)</f>
        <v/>
      </c>
      <c r="CD274" s="4" t="str">
        <f t="shared" si="842"/>
        <v/>
      </c>
      <c r="CE274" s="36" t="str">
        <f>IF(BZ274="","",CD274/(BV274*100))</f>
        <v/>
      </c>
      <c r="CF274" s="29"/>
      <c r="CH274" s="14"/>
      <c r="CI274" s="39"/>
      <c r="CJ274" s="5" t="str">
        <f>IF(CI274="","",CI274-#REF!)</f>
        <v/>
      </c>
      <c r="CK274" s="5"/>
      <c r="CL274" s="5"/>
      <c r="CM274" s="5"/>
      <c r="CN274" s="5" t="str">
        <f>IF(CM274="","",#REF!+#REF!-CM274)</f>
        <v/>
      </c>
      <c r="CO274" s="5"/>
      <c r="CP274" s="5"/>
      <c r="CQ274" s="5"/>
      <c r="CR274" s="5" t="str">
        <f>IF(CQ274="","",CN274*CQ274)</f>
        <v/>
      </c>
      <c r="CS274" s="36" t="str">
        <f>IF(CR274="","",CR274/(CJ274*100))</f>
        <v/>
      </c>
      <c r="CT274" s="29"/>
      <c r="CV274" s="14"/>
      <c r="CW274" s="39"/>
      <c r="CX274" s="5" t="str">
        <f>IF(CW274="","",CW274-#REF!)</f>
        <v/>
      </c>
      <c r="CY274" s="5"/>
      <c r="CZ274" s="5"/>
      <c r="DA274" s="5"/>
      <c r="DB274" s="5" t="str">
        <f>IF(DA274="","",#REF!+#REF!-DA274)</f>
        <v/>
      </c>
      <c r="DC274" s="5"/>
      <c r="DD274" s="5"/>
      <c r="DE274" s="5"/>
      <c r="DF274" s="5" t="str">
        <f>IF(DE274="","",DB274*DE274)</f>
        <v/>
      </c>
      <c r="DG274" s="36" t="str">
        <f>IF(DF274="","",DF274/(CX274*100))</f>
        <v/>
      </c>
      <c r="DH274" s="29"/>
      <c r="DJ274" s="14"/>
      <c r="DK274" s="39"/>
      <c r="DL274" s="5" t="str">
        <f>IF(DK274="","",DK274-#REF!)</f>
        <v/>
      </c>
      <c r="DM274" s="5"/>
      <c r="DN274" s="5"/>
      <c r="DO274" s="5"/>
      <c r="DP274" s="5" t="str">
        <f>IF(DO274="","",#REF!+#REF!-DO274)</f>
        <v/>
      </c>
      <c r="DQ274" s="5"/>
      <c r="DR274" s="5"/>
      <c r="DS274" s="5"/>
      <c r="DT274" s="5" t="str">
        <f>IF(DS274="","",DP274*DS274)</f>
        <v/>
      </c>
      <c r="DU274" s="36" t="str">
        <f>IF(DT274="","",DT274/(DL274*100))</f>
        <v/>
      </c>
      <c r="DV274" s="29"/>
      <c r="DX274" s="14"/>
      <c r="DY274" s="39"/>
      <c r="DZ274" s="5" t="str">
        <f>IF(DY274="","",DY274-#REF!)</f>
        <v/>
      </c>
      <c r="EA274" s="5"/>
      <c r="EB274" s="5"/>
      <c r="EC274" s="5"/>
      <c r="ED274" s="5" t="str">
        <f>IF(EC274="","",#REF!+#REF!-EC274)</f>
        <v/>
      </c>
      <c r="EE274" s="5"/>
      <c r="EF274" s="5"/>
      <c r="EG274" s="5"/>
      <c r="EH274" s="5" t="str">
        <f>IF(EG274="","",ED274*EG274)</f>
        <v/>
      </c>
      <c r="EI274" s="36" t="str">
        <f>IF(EH274="","",EH274/(DZ274*100))</f>
        <v/>
      </c>
      <c r="EJ274" s="29"/>
      <c r="EL274" s="14"/>
      <c r="EM274" s="39"/>
      <c r="EN274" s="5" t="str">
        <f>IF(EM274="","",EM274-#REF!)</f>
        <v/>
      </c>
      <c r="EO274" s="5"/>
      <c r="EP274" s="5"/>
      <c r="EQ274" s="5"/>
      <c r="ER274" s="5" t="str">
        <f>IF(EQ274="","",#REF!+#REF!-EQ274)</f>
        <v/>
      </c>
      <c r="ES274" s="5"/>
      <c r="ET274" s="5"/>
      <c r="EU274" s="5"/>
      <c r="EV274" s="5" t="str">
        <f>IF(EU274="","",ER274*EU274)</f>
        <v/>
      </c>
      <c r="EW274" s="36" t="str">
        <f>IF(EV274="","",EV274/(EN274*100))</f>
        <v/>
      </c>
      <c r="EX274" s="29"/>
      <c r="EZ274" s="14"/>
      <c r="FA274" s="39"/>
      <c r="FB274" s="5" t="str">
        <f>IF(FA274="","",FA274-#REF!)</f>
        <v/>
      </c>
      <c r="FC274" s="5"/>
      <c r="FD274" s="5"/>
      <c r="FE274" s="5"/>
      <c r="FF274" s="5" t="str">
        <f>IF(FE274="","",#REF!+#REF!-FE274)</f>
        <v/>
      </c>
      <c r="FG274" s="5"/>
      <c r="FH274" s="5"/>
      <c r="FI274" s="5"/>
      <c r="FJ274" s="5" t="str">
        <f>IF(FI274="","",FF274*FI274)</f>
        <v/>
      </c>
      <c r="FK274" s="36" t="str">
        <f>IF(FJ274="","",FJ274/(FB274*100))</f>
        <v/>
      </c>
      <c r="FL274" s="29"/>
      <c r="FN274" s="14"/>
      <c r="FO274" s="39"/>
      <c r="FP274" s="5" t="str">
        <f>IF(FO274="","",FO274-#REF!)</f>
        <v/>
      </c>
      <c r="FQ274" s="5"/>
      <c r="FR274" s="5"/>
      <c r="FS274" s="5"/>
      <c r="FT274" s="5" t="str">
        <f>IF(FS274="","",#REF!+#REF!-FS274)</f>
        <v/>
      </c>
      <c r="FU274" s="5"/>
      <c r="FV274" s="5"/>
      <c r="FW274" s="5"/>
      <c r="FX274" s="5" t="str">
        <f>IF(FW274="","",FT274*FW274)</f>
        <v/>
      </c>
      <c r="FY274" s="36" t="str">
        <f>IF(FX274="","",FX274/(FP274*100))</f>
        <v/>
      </c>
      <c r="FZ274" s="29"/>
      <c r="GB274" s="14"/>
      <c r="GC274" s="39"/>
      <c r="GD274" s="5" t="str">
        <f>IF(GC274="","",GC274-#REF!)</f>
        <v/>
      </c>
      <c r="GE274" s="5"/>
      <c r="GF274" s="5"/>
      <c r="GG274" s="5"/>
      <c r="GH274" s="5" t="str">
        <f>IF(GG274="","",#REF!+#REF!-GG274)</f>
        <v/>
      </c>
      <c r="GI274" s="5"/>
      <c r="GJ274" s="5"/>
      <c r="GK274" s="5"/>
      <c r="GL274" s="5" t="str">
        <f>IF(GK274="","",GH274*GK274)</f>
        <v/>
      </c>
      <c r="GM274" s="36" t="str">
        <f>IF(GL274="","",GL274/(GD274*100))</f>
        <v/>
      </c>
      <c r="GN274" s="29"/>
      <c r="GP274" s="14"/>
      <c r="GQ274" s="39"/>
      <c r="GR274" s="5" t="str">
        <f>IF(GQ274="","",GQ274-#REF!)</f>
        <v/>
      </c>
      <c r="GS274" s="5"/>
      <c r="GT274" s="5"/>
      <c r="GU274" s="5"/>
      <c r="GV274" s="5"/>
      <c r="GW274" s="5"/>
      <c r="GX274" s="5" t="str">
        <f>IF(GW274="","",#REF!+#REF!-GW274)</f>
        <v/>
      </c>
      <c r="GY274" s="5"/>
      <c r="GZ274" s="5"/>
      <c r="HA274" s="5"/>
      <c r="HB274" s="5" t="str">
        <f>IF(HA274="","",GX274*HA274)</f>
        <v/>
      </c>
      <c r="HC274" s="36" t="str">
        <f>IF(HB274="","",HB274/(GR274*100))</f>
        <v/>
      </c>
      <c r="HD274" s="29"/>
      <c r="HF274" s="14"/>
      <c r="HG274" s="39"/>
      <c r="HH274" s="5" t="str">
        <f>IF(HG274="","",HG274-#REF!)</f>
        <v/>
      </c>
      <c r="HI274" s="5"/>
      <c r="HJ274" s="29"/>
      <c r="HL274" s="14"/>
      <c r="HM274" s="39"/>
      <c r="HN274" s="5" t="str">
        <f>IF(HM274="","",HM274-#REF!)</f>
        <v/>
      </c>
      <c r="HO274" s="5"/>
      <c r="HP274" s="29"/>
      <c r="HR274" s="14"/>
      <c r="HS274" s="39"/>
      <c r="HT274" s="5" t="str">
        <f>IF(HS274="","",HS274-#REF!)</f>
        <v/>
      </c>
      <c r="HU274" s="5"/>
      <c r="HV274" s="29"/>
    </row>
    <row r="275" spans="1:230" ht="15" customHeight="1" x14ac:dyDescent="0.2">
      <c r="A275" s="54"/>
      <c r="B275" s="37"/>
      <c r="C275" s="5"/>
      <c r="D275" s="5" t="str">
        <f t="shared" si="731"/>
        <v/>
      </c>
      <c r="E275" s="5"/>
      <c r="F275" s="5" t="str">
        <f t="shared" si="732"/>
        <v/>
      </c>
      <c r="G275" s="5"/>
      <c r="H275" s="5" t="str">
        <f t="shared" si="733"/>
        <v/>
      </c>
      <c r="I275" s="5"/>
      <c r="J275" s="3" t="str">
        <f t="shared" si="819"/>
        <v/>
      </c>
      <c r="K275" s="5" t="str">
        <f t="shared" si="819"/>
        <v/>
      </c>
      <c r="L275" s="5" t="str">
        <f t="shared" si="734"/>
        <v/>
      </c>
      <c r="M275" s="36" t="str">
        <f t="shared" si="735"/>
        <v/>
      </c>
      <c r="N275" s="29"/>
      <c r="P275" s="25"/>
      <c r="Q275" s="5"/>
      <c r="R275" s="5" t="str">
        <f t="shared" si="820"/>
        <v/>
      </c>
      <c r="S275" s="5"/>
      <c r="T275" s="5" t="str">
        <f t="shared" si="821"/>
        <v/>
      </c>
      <c r="U275" s="5"/>
      <c r="V275" s="5" t="str">
        <f t="shared" si="822"/>
        <v/>
      </c>
      <c r="W275" s="5"/>
      <c r="X275" s="38" t="str">
        <f t="shared" si="823"/>
        <v/>
      </c>
      <c r="Y275" s="5" t="str">
        <f t="shared" si="823"/>
        <v/>
      </c>
      <c r="Z275" s="5" t="str">
        <f t="shared" si="824"/>
        <v/>
      </c>
      <c r="AA275" s="36" t="str">
        <f t="shared" si="825"/>
        <v/>
      </c>
      <c r="AB275" s="29"/>
      <c r="AD275" s="25"/>
      <c r="AE275" s="5"/>
      <c r="AF275" s="5" t="str">
        <f t="shared" si="826"/>
        <v/>
      </c>
      <c r="AG275" s="5"/>
      <c r="AH275" s="5" t="str">
        <f t="shared" si="827"/>
        <v/>
      </c>
      <c r="AI275" s="5"/>
      <c r="AJ275" s="5" t="str">
        <f t="shared" si="828"/>
        <v/>
      </c>
      <c r="AK275" s="5"/>
      <c r="AL275" s="38" t="str">
        <f t="shared" si="829"/>
        <v/>
      </c>
      <c r="AM275" s="5" t="str">
        <f t="shared" si="829"/>
        <v/>
      </c>
      <c r="AN275" s="5" t="str">
        <f t="shared" si="830"/>
        <v/>
      </c>
      <c r="AO275" s="36" t="str">
        <f t="shared" si="831"/>
        <v/>
      </c>
      <c r="AP275" s="29"/>
      <c r="AR275" s="25"/>
      <c r="AS275" s="5"/>
      <c r="AT275" s="5" t="str">
        <f t="shared" si="832"/>
        <v/>
      </c>
      <c r="AU275" s="5"/>
      <c r="AV275" s="5" t="str">
        <f t="shared" si="833"/>
        <v/>
      </c>
      <c r="AW275" s="5"/>
      <c r="AX275" s="5" t="str">
        <f t="shared" si="834"/>
        <v/>
      </c>
      <c r="AY275" s="5"/>
      <c r="AZ275" s="38" t="str">
        <f t="shared" si="835"/>
        <v/>
      </c>
      <c r="BA275" s="5" t="str">
        <f t="shared" si="835"/>
        <v/>
      </c>
      <c r="BB275" s="5" t="str">
        <f t="shared" si="836"/>
        <v/>
      </c>
      <c r="BC275" s="36" t="str">
        <f t="shared" si="837"/>
        <v/>
      </c>
      <c r="BD275" s="29"/>
      <c r="BE275" s="32"/>
      <c r="BF275" s="25"/>
      <c r="BG275" s="5"/>
      <c r="BH275" s="5" t="str">
        <f t="shared" si="765"/>
        <v/>
      </c>
      <c r="BI275" s="5"/>
      <c r="BJ275" s="5" t="str">
        <f t="shared" si="766"/>
        <v/>
      </c>
      <c r="BK275" s="5"/>
      <c r="BL275" s="5" t="str">
        <f t="shared" si="756"/>
        <v/>
      </c>
      <c r="BM275" s="5"/>
      <c r="BN275" s="3" t="str">
        <f>IF(BG273="","",BN271)</f>
        <v/>
      </c>
      <c r="BO275" s="39" t="str">
        <f>IF(BG273="","",BO271)</f>
        <v/>
      </c>
      <c r="BP275" s="5" t="str">
        <f t="shared" si="753"/>
        <v/>
      </c>
      <c r="BQ275" s="36" t="str">
        <f t="shared" si="841"/>
        <v/>
      </c>
      <c r="BR275" s="29"/>
      <c r="BT275" s="25"/>
      <c r="BU275" s="5"/>
      <c r="BV275" s="5" t="str">
        <f t="shared" si="757"/>
        <v/>
      </c>
      <c r="BW275" s="5"/>
      <c r="BX275" s="5" t="str">
        <f t="shared" si="758"/>
        <v/>
      </c>
      <c r="BY275" s="5"/>
      <c r="BZ275" s="5"/>
      <c r="CA275" s="57"/>
      <c r="CB275" s="3"/>
      <c r="CC275" s="39"/>
      <c r="CD275" s="5"/>
      <c r="CE275" s="36"/>
      <c r="CF275" s="29"/>
      <c r="CH275" s="14"/>
      <c r="CI275" s="39"/>
      <c r="CJ275" s="5" t="str">
        <f>IF(CI275="","",CI275-CI274)</f>
        <v/>
      </c>
      <c r="CK275" s="5"/>
      <c r="CL275" s="5"/>
      <c r="CM275" s="5"/>
      <c r="CN275" s="5" t="str">
        <f>IF(CM275="","",CM274+CO274-CM275)</f>
        <v/>
      </c>
      <c r="CO275" s="5"/>
      <c r="CP275" s="5"/>
      <c r="CQ275" s="5"/>
      <c r="CR275" s="5" t="str">
        <f>IF(CQ275="","",CN275*CQ275)</f>
        <v/>
      </c>
      <c r="CS275" s="36" t="str">
        <f>IF(CR275="","",CR275/(CJ275*100))</f>
        <v/>
      </c>
      <c r="CT275" s="29"/>
      <c r="CV275" s="14"/>
      <c r="CW275" s="39"/>
      <c r="CX275" s="5" t="str">
        <f>IF(CW275="","",CW275-CW274)</f>
        <v/>
      </c>
      <c r="CY275" s="5"/>
      <c r="CZ275" s="5"/>
      <c r="DA275" s="5"/>
      <c r="DB275" s="5" t="str">
        <f>IF(DA275="","",DA274+DC274-DA275)</f>
        <v/>
      </c>
      <c r="DC275" s="5"/>
      <c r="DD275" s="5"/>
      <c r="DE275" s="5"/>
      <c r="DF275" s="5" t="str">
        <f>IF(DE275="","",DB275*DE275)</f>
        <v/>
      </c>
      <c r="DG275" s="36" t="str">
        <f>IF(DF275="","",DF275/(CX275*100))</f>
        <v/>
      </c>
      <c r="DH275" s="29"/>
      <c r="DJ275" s="14"/>
      <c r="DK275" s="39"/>
      <c r="DL275" s="5" t="str">
        <f>IF(DK275="","",DK275-DK274)</f>
        <v/>
      </c>
      <c r="DM275" s="5"/>
      <c r="DN275" s="5"/>
      <c r="DO275" s="5"/>
      <c r="DP275" s="5" t="str">
        <f>IF(DO275="","",DO274+DQ274-DO275)</f>
        <v/>
      </c>
      <c r="DQ275" s="5"/>
      <c r="DR275" s="5"/>
      <c r="DS275" s="5"/>
      <c r="DT275" s="5" t="str">
        <f>IF(DS275="","",DP275*DS275)</f>
        <v/>
      </c>
      <c r="DU275" s="36" t="str">
        <f>IF(DT275="","",DT275/(DL275*100))</f>
        <v/>
      </c>
      <c r="DV275" s="29"/>
      <c r="DX275" s="14"/>
      <c r="DY275" s="39"/>
      <c r="DZ275" s="5" t="str">
        <f>IF(DY275="","",DY275-DY274)</f>
        <v/>
      </c>
      <c r="EA275" s="5"/>
      <c r="EB275" s="5"/>
      <c r="EC275" s="5"/>
      <c r="ED275" s="5" t="str">
        <f>IF(EC275="","",EC274+EE274-EC275)</f>
        <v/>
      </c>
      <c r="EE275" s="5"/>
      <c r="EF275" s="5"/>
      <c r="EG275" s="5"/>
      <c r="EH275" s="5" t="str">
        <f>IF(EG275="","",ED275*EG275)</f>
        <v/>
      </c>
      <c r="EI275" s="36" t="str">
        <f>IF(EH275="","",EH275/(DZ275*100))</f>
        <v/>
      </c>
      <c r="EJ275" s="29"/>
      <c r="EL275" s="14"/>
      <c r="EM275" s="39"/>
      <c r="EN275" s="5" t="str">
        <f>IF(EM275="","",EM275-EM274)</f>
        <v/>
      </c>
      <c r="EO275" s="5"/>
      <c r="EP275" s="5"/>
      <c r="EQ275" s="5"/>
      <c r="ER275" s="5" t="str">
        <f>IF(EQ275="","",EQ274+ES274-EQ275)</f>
        <v/>
      </c>
      <c r="ES275" s="5"/>
      <c r="ET275" s="5"/>
      <c r="EU275" s="5"/>
      <c r="EV275" s="5" t="str">
        <f>IF(EU275="","",ER275*EU275)</f>
        <v/>
      </c>
      <c r="EW275" s="36" t="str">
        <f>IF(EV275="","",EV275/(EN275*100))</f>
        <v/>
      </c>
      <c r="EX275" s="29"/>
      <c r="EZ275" s="14"/>
      <c r="FA275" s="39"/>
      <c r="FB275" s="5" t="str">
        <f>IF(FA275="","",FA275-FA274)</f>
        <v/>
      </c>
      <c r="FC275" s="5"/>
      <c r="FD275" s="5"/>
      <c r="FE275" s="5"/>
      <c r="FF275" s="5" t="str">
        <f>IF(FE275="","",FE274+FG274-FE275)</f>
        <v/>
      </c>
      <c r="FG275" s="5"/>
      <c r="FH275" s="5"/>
      <c r="FI275" s="5"/>
      <c r="FJ275" s="5" t="str">
        <f>IF(FI275="","",FF275*FI275)</f>
        <v/>
      </c>
      <c r="FK275" s="36" t="str">
        <f>IF(FJ275="","",FJ275/(FB275*100))</f>
        <v/>
      </c>
      <c r="FL275" s="29"/>
      <c r="FN275" s="14"/>
      <c r="FO275" s="39"/>
      <c r="FP275" s="5" t="str">
        <f>IF(FO275="","",FO275-FO274)</f>
        <v/>
      </c>
      <c r="FQ275" s="5"/>
      <c r="FR275" s="5"/>
      <c r="FS275" s="5"/>
      <c r="FT275" s="5" t="str">
        <f>IF(FS275="","",FS274+FU274-FS275)</f>
        <v/>
      </c>
      <c r="FU275" s="5"/>
      <c r="FV275" s="5"/>
      <c r="FW275" s="5"/>
      <c r="FX275" s="5" t="str">
        <f>IF(FW275="","",FT275*FW275)</f>
        <v/>
      </c>
      <c r="FY275" s="36" t="str">
        <f>IF(FX275="","",FX275/(FP275*100))</f>
        <v/>
      </c>
      <c r="FZ275" s="29"/>
      <c r="GB275" s="14"/>
      <c r="GC275" s="39"/>
      <c r="GD275" s="5" t="str">
        <f>IF(GC275="","",GC275-GC274)</f>
        <v/>
      </c>
      <c r="GE275" s="5"/>
      <c r="GF275" s="5"/>
      <c r="GG275" s="5"/>
      <c r="GH275" s="5" t="str">
        <f>IF(GG275="","",GG274+GI274-GG275)</f>
        <v/>
      </c>
      <c r="GI275" s="5"/>
      <c r="GJ275" s="5"/>
      <c r="GK275" s="5"/>
      <c r="GL275" s="5" t="str">
        <f>IF(GK275="","",GH275*GK275)</f>
        <v/>
      </c>
      <c r="GM275" s="36" t="str">
        <f>IF(GL275="","",GL275/(GD275*100))</f>
        <v/>
      </c>
      <c r="GN275" s="29"/>
      <c r="GP275" s="14"/>
      <c r="GQ275" s="39"/>
      <c r="GR275" s="5" t="str">
        <f>IF(GQ275="","",GQ275-GQ274)</f>
        <v/>
      </c>
      <c r="GS275" s="5"/>
      <c r="GT275" s="5"/>
      <c r="GU275" s="5"/>
      <c r="GV275" s="5"/>
      <c r="GW275" s="5"/>
      <c r="GX275" s="5" t="str">
        <f>IF(GW275="","",GW274+GY274-GW275)</f>
        <v/>
      </c>
      <c r="GY275" s="5"/>
      <c r="GZ275" s="5"/>
      <c r="HA275" s="5"/>
      <c r="HB275" s="5" t="str">
        <f>IF(HA275="","",GX275*HA275)</f>
        <v/>
      </c>
      <c r="HC275" s="36" t="str">
        <f>IF(HB275="","",HB275/(GR275*100))</f>
        <v/>
      </c>
      <c r="HD275" s="29"/>
      <c r="HF275" s="14"/>
      <c r="HG275" s="39"/>
      <c r="HH275" s="5" t="str">
        <f>IF(HG275="","",HG275-HG274)</f>
        <v/>
      </c>
      <c r="HI275" s="5"/>
      <c r="HJ275" s="29"/>
      <c r="HL275" s="14"/>
      <c r="HM275" s="39"/>
      <c r="HN275" s="5" t="str">
        <f>IF(HM275="","",HM275-HM274)</f>
        <v/>
      </c>
      <c r="HO275" s="5"/>
      <c r="HP275" s="29"/>
      <c r="HR275" s="14"/>
      <c r="HS275" s="39"/>
      <c r="HT275" s="5" t="str">
        <f>IF(HS275="","",HS275-HS274)</f>
        <v/>
      </c>
      <c r="HU275" s="5"/>
      <c r="HV275" s="29"/>
    </row>
    <row r="276" spans="1:230" ht="15" customHeight="1" thickBot="1" x14ac:dyDescent="0.25">
      <c r="A276" s="60"/>
      <c r="B276" s="73"/>
      <c r="C276" s="44"/>
      <c r="D276" s="44" t="str">
        <f t="shared" si="731"/>
        <v/>
      </c>
      <c r="E276" s="44"/>
      <c r="F276" s="44" t="str">
        <f t="shared" si="732"/>
        <v/>
      </c>
      <c r="G276" s="44"/>
      <c r="H276" s="44"/>
      <c r="I276" s="44"/>
      <c r="J276" s="45" t="str">
        <f t="shared" si="819"/>
        <v/>
      </c>
      <c r="K276" s="61" t="str">
        <f t="shared" si="819"/>
        <v/>
      </c>
      <c r="L276" s="44" t="str">
        <f t="shared" si="734"/>
        <v/>
      </c>
      <c r="M276" s="46" t="str">
        <f t="shared" si="735"/>
        <v/>
      </c>
      <c r="N276" s="29"/>
      <c r="P276" s="41"/>
      <c r="Q276" s="44"/>
      <c r="R276" s="44" t="str">
        <f t="shared" si="820"/>
        <v/>
      </c>
      <c r="S276" s="44"/>
      <c r="T276" s="44" t="str">
        <f t="shared" si="821"/>
        <v/>
      </c>
      <c r="U276" s="44"/>
      <c r="V276" s="44" t="str">
        <f t="shared" si="822"/>
        <v/>
      </c>
      <c r="W276" s="44"/>
      <c r="X276" s="47" t="str">
        <f t="shared" si="823"/>
        <v/>
      </c>
      <c r="Y276" s="61" t="str">
        <f t="shared" si="823"/>
        <v/>
      </c>
      <c r="Z276" s="44" t="str">
        <f t="shared" si="824"/>
        <v/>
      </c>
      <c r="AA276" s="46" t="str">
        <f t="shared" si="825"/>
        <v/>
      </c>
      <c r="AB276" s="29"/>
      <c r="AD276" s="41"/>
      <c r="AE276" s="44"/>
      <c r="AF276" s="44" t="str">
        <f t="shared" si="826"/>
        <v/>
      </c>
      <c r="AG276" s="44"/>
      <c r="AH276" s="44" t="str">
        <f t="shared" si="827"/>
        <v/>
      </c>
      <c r="AI276" s="44"/>
      <c r="AJ276" s="44" t="str">
        <f t="shared" si="828"/>
        <v/>
      </c>
      <c r="AK276" s="44"/>
      <c r="AL276" s="47" t="str">
        <f t="shared" si="829"/>
        <v/>
      </c>
      <c r="AM276" s="61" t="str">
        <f t="shared" si="829"/>
        <v/>
      </c>
      <c r="AN276" s="44" t="str">
        <f t="shared" si="830"/>
        <v/>
      </c>
      <c r="AO276" s="46" t="str">
        <f t="shared" si="831"/>
        <v/>
      </c>
      <c r="AP276" s="29"/>
      <c r="AR276" s="41"/>
      <c r="AS276" s="44"/>
      <c r="AT276" s="44" t="str">
        <f t="shared" si="832"/>
        <v/>
      </c>
      <c r="AU276" s="44"/>
      <c r="AV276" s="44" t="str">
        <f t="shared" si="833"/>
        <v/>
      </c>
      <c r="AW276" s="44"/>
      <c r="AX276" s="44" t="str">
        <f t="shared" si="834"/>
        <v/>
      </c>
      <c r="AY276" s="44"/>
      <c r="AZ276" s="47" t="str">
        <f t="shared" si="835"/>
        <v/>
      </c>
      <c r="BA276" s="61" t="str">
        <f t="shared" si="835"/>
        <v/>
      </c>
      <c r="BB276" s="44" t="str">
        <f t="shared" si="836"/>
        <v/>
      </c>
      <c r="BC276" s="46" t="str">
        <f t="shared" si="837"/>
        <v/>
      </c>
      <c r="BD276" s="29"/>
      <c r="BE276" s="32"/>
      <c r="BF276" s="41"/>
      <c r="BG276" s="44"/>
      <c r="BH276" s="44" t="str">
        <f t="shared" si="765"/>
        <v/>
      </c>
      <c r="BI276" s="44"/>
      <c r="BJ276" s="44" t="str">
        <f t="shared" si="766"/>
        <v/>
      </c>
      <c r="BK276" s="44"/>
      <c r="BL276" s="44" t="str">
        <f t="shared" si="756"/>
        <v/>
      </c>
      <c r="BM276" s="44"/>
      <c r="BN276" s="45" t="str">
        <f>IF(BG273="","",BN272)</f>
        <v/>
      </c>
      <c r="BO276" s="61" t="str">
        <f>IF(BG273="","",BO272)</f>
        <v/>
      </c>
      <c r="BP276" s="44" t="str">
        <f t="shared" si="753"/>
        <v/>
      </c>
      <c r="BQ276" s="46" t="str">
        <f t="shared" si="841"/>
        <v/>
      </c>
      <c r="BR276" s="29"/>
      <c r="BT276" s="41"/>
      <c r="BU276" s="44"/>
      <c r="BV276" s="44" t="str">
        <f t="shared" si="757"/>
        <v/>
      </c>
      <c r="BW276" s="44"/>
      <c r="BX276" s="44" t="str">
        <f t="shared" si="758"/>
        <v/>
      </c>
      <c r="BY276" s="44"/>
      <c r="BZ276" s="44"/>
      <c r="CA276" s="44"/>
      <c r="CB276" s="45"/>
      <c r="CC276" s="61"/>
      <c r="CD276" s="44"/>
      <c r="CE276" s="46"/>
      <c r="CF276" s="29"/>
      <c r="CH276" s="14"/>
      <c r="CI276" s="39"/>
      <c r="CJ276" s="5" t="str">
        <f>IF(CI276="","",CI276-CI275)</f>
        <v/>
      </c>
      <c r="CK276" s="5"/>
      <c r="CL276" s="5"/>
      <c r="CM276" s="5"/>
      <c r="CN276" s="5" t="str">
        <f>IF(CM276="","",CM275+CO275-CM276)</f>
        <v/>
      </c>
      <c r="CO276" s="5"/>
      <c r="CP276" s="5"/>
      <c r="CQ276" s="5"/>
      <c r="CR276" s="5" t="str">
        <f>IF(CQ276="","",CN276*CQ276)</f>
        <v/>
      </c>
      <c r="CS276" s="36" t="str">
        <f>IF(CR276="","",CR276/(CJ276*100))</f>
        <v/>
      </c>
      <c r="CT276" s="29"/>
      <c r="CV276" s="14"/>
      <c r="CW276" s="39"/>
      <c r="CX276" s="5" t="str">
        <f>IF(CW276="","",CW276-CW275)</f>
        <v/>
      </c>
      <c r="CY276" s="5"/>
      <c r="CZ276" s="5"/>
      <c r="DA276" s="5"/>
      <c r="DB276" s="5" t="str">
        <f>IF(DA276="","",DA275+DC275-DA276)</f>
        <v/>
      </c>
      <c r="DC276" s="5"/>
      <c r="DD276" s="5"/>
      <c r="DE276" s="5"/>
      <c r="DF276" s="5" t="str">
        <f>IF(DE276="","",DB276*DE276)</f>
        <v/>
      </c>
      <c r="DG276" s="36" t="str">
        <f>IF(DF276="","",DF276/(CX276*100))</f>
        <v/>
      </c>
      <c r="DH276" s="29"/>
      <c r="DJ276" s="14"/>
      <c r="DK276" s="39"/>
      <c r="DL276" s="5" t="str">
        <f>IF(DK276="","",DK276-DK275)</f>
        <v/>
      </c>
      <c r="DM276" s="5"/>
      <c r="DN276" s="5"/>
      <c r="DO276" s="5"/>
      <c r="DP276" s="5" t="str">
        <f>IF(DO276="","",DO275+DQ275-DO276)</f>
        <v/>
      </c>
      <c r="DQ276" s="5"/>
      <c r="DR276" s="5"/>
      <c r="DS276" s="5"/>
      <c r="DT276" s="5" t="str">
        <f>IF(DS276="","",DP276*DS276)</f>
        <v/>
      </c>
      <c r="DU276" s="36" t="str">
        <f>IF(DT276="","",DT276/(DL276*100))</f>
        <v/>
      </c>
      <c r="DV276" s="29"/>
      <c r="DX276" s="14"/>
      <c r="DY276" s="39"/>
      <c r="DZ276" s="5" t="str">
        <f>IF(DY276="","",DY276-DY275)</f>
        <v/>
      </c>
      <c r="EA276" s="5"/>
      <c r="EB276" s="5"/>
      <c r="EC276" s="5"/>
      <c r="ED276" s="5" t="str">
        <f>IF(EC276="","",EC275+EE275-EC276)</f>
        <v/>
      </c>
      <c r="EE276" s="5"/>
      <c r="EF276" s="5"/>
      <c r="EG276" s="5"/>
      <c r="EH276" s="5" t="str">
        <f>IF(EG276="","",ED276*EG276)</f>
        <v/>
      </c>
      <c r="EI276" s="36" t="str">
        <f>IF(EH276="","",EH276/(DZ276*100))</f>
        <v/>
      </c>
      <c r="EJ276" s="29"/>
      <c r="EL276" s="14"/>
      <c r="EM276" s="39"/>
      <c r="EN276" s="5" t="str">
        <f>IF(EM276="","",EM276-EM275)</f>
        <v/>
      </c>
      <c r="EO276" s="5"/>
      <c r="EP276" s="5"/>
      <c r="EQ276" s="5"/>
      <c r="ER276" s="5" t="str">
        <f>IF(EQ276="","",EQ275+ES275-EQ276)</f>
        <v/>
      </c>
      <c r="ES276" s="5"/>
      <c r="ET276" s="5"/>
      <c r="EU276" s="5"/>
      <c r="EV276" s="5" t="str">
        <f>IF(EU276="","",ER276*EU276)</f>
        <v/>
      </c>
      <c r="EW276" s="36" t="str">
        <f>IF(EV276="","",EV276/(EN276*100))</f>
        <v/>
      </c>
      <c r="EX276" s="29"/>
      <c r="EZ276" s="14"/>
      <c r="FA276" s="39"/>
      <c r="FB276" s="5" t="str">
        <f>IF(FA276="","",FA276-FA275)</f>
        <v/>
      </c>
      <c r="FC276" s="5"/>
      <c r="FD276" s="5"/>
      <c r="FE276" s="5"/>
      <c r="FF276" s="5" t="str">
        <f>IF(FE276="","",FE275+FG275-FE276)</f>
        <v/>
      </c>
      <c r="FG276" s="5"/>
      <c r="FH276" s="5"/>
      <c r="FI276" s="5"/>
      <c r="FJ276" s="5" t="str">
        <f>IF(FI276="","",FF276*FI276)</f>
        <v/>
      </c>
      <c r="FK276" s="36" t="str">
        <f>IF(FJ276="","",FJ276/(FB276*100))</f>
        <v/>
      </c>
      <c r="FL276" s="29"/>
      <c r="FN276" s="14"/>
      <c r="FO276" s="39"/>
      <c r="FP276" s="5" t="str">
        <f>IF(FO276="","",FO276-FO275)</f>
        <v/>
      </c>
      <c r="FQ276" s="5"/>
      <c r="FR276" s="5"/>
      <c r="FS276" s="5"/>
      <c r="FT276" s="5" t="str">
        <f>IF(FS276="","",FS275+FU275-FS276)</f>
        <v/>
      </c>
      <c r="FU276" s="5"/>
      <c r="FV276" s="5"/>
      <c r="FW276" s="5"/>
      <c r="FX276" s="5" t="str">
        <f>IF(FW276="","",FT276*FW276)</f>
        <v/>
      </c>
      <c r="FY276" s="36" t="str">
        <f>IF(FX276="","",FX276/(FP276*100))</f>
        <v/>
      </c>
      <c r="FZ276" s="29"/>
      <c r="GB276" s="14"/>
      <c r="GC276" s="39"/>
      <c r="GD276" s="5" t="str">
        <f>IF(GC276="","",GC276-GC275)</f>
        <v/>
      </c>
      <c r="GE276" s="5"/>
      <c r="GF276" s="5"/>
      <c r="GG276" s="5"/>
      <c r="GH276" s="5" t="str">
        <f>IF(GG276="","",GG275+GI275-GG276)</f>
        <v/>
      </c>
      <c r="GI276" s="5"/>
      <c r="GJ276" s="5"/>
      <c r="GK276" s="5"/>
      <c r="GL276" s="5" t="str">
        <f>IF(GK276="","",GH276*GK276)</f>
        <v/>
      </c>
      <c r="GM276" s="36" t="str">
        <f>IF(GL276="","",GL276/(GD276*100))</f>
        <v/>
      </c>
      <c r="GN276" s="29"/>
      <c r="GP276" s="14"/>
      <c r="GQ276" s="39"/>
      <c r="GR276" s="5" t="str">
        <f>IF(GQ276="","",GQ276-GQ275)</f>
        <v/>
      </c>
      <c r="GS276" s="5"/>
      <c r="GT276" s="5"/>
      <c r="GU276" s="5"/>
      <c r="GV276" s="5"/>
      <c r="GW276" s="5"/>
      <c r="GX276" s="5" t="str">
        <f>IF(GW276="","",GW275+GY275-GW276)</f>
        <v/>
      </c>
      <c r="GY276" s="5"/>
      <c r="GZ276" s="5"/>
      <c r="HA276" s="5"/>
      <c r="HB276" s="5" t="str">
        <f>IF(HA276="","",GX276*HA276)</f>
        <v/>
      </c>
      <c r="HC276" s="36" t="str">
        <f>IF(HB276="","",HB276/(GR276*100))</f>
        <v/>
      </c>
      <c r="HD276" s="29"/>
      <c r="HF276" s="14"/>
      <c r="HG276" s="39"/>
      <c r="HH276" s="5" t="str">
        <f>IF(HG276="","",HG276-HG275)</f>
        <v/>
      </c>
      <c r="HI276" s="5"/>
      <c r="HJ276" s="29"/>
      <c r="HL276" s="14"/>
      <c r="HM276" s="39"/>
      <c r="HN276" s="5" t="str">
        <f>IF(HM276="","",HM276-HM275)</f>
        <v/>
      </c>
      <c r="HO276" s="5"/>
      <c r="HP276" s="29"/>
      <c r="HR276" s="14"/>
      <c r="HS276" s="39"/>
      <c r="HT276" s="5" t="str">
        <f>IF(HS276="","",HS276-HS275)</f>
        <v/>
      </c>
      <c r="HU276" s="5"/>
      <c r="HV276" s="29"/>
    </row>
    <row r="277" spans="1:230" ht="15" customHeight="1" thickTop="1" x14ac:dyDescent="0.2">
      <c r="A277" s="49"/>
      <c r="B277" s="26">
        <f>SUM(D277:D280)+SUM(R277:R280)+SUM(AF277:AF280)+SUM(AT277:AT280)+SUM(CJ271,DL271,DZ271,EN271,FB271,FP271,GD271,GR271,HH271,HN271,HT271)+SUM(BH277:BH278)+SUM(BV277:BV278)</f>
        <v>0</v>
      </c>
      <c r="C277" s="4"/>
      <c r="D277" s="4" t="str">
        <f t="shared" si="731"/>
        <v/>
      </c>
      <c r="E277" s="4"/>
      <c r="F277" s="4" t="str">
        <f t="shared" si="732"/>
        <v/>
      </c>
      <c r="G277" s="4"/>
      <c r="H277" s="4" t="str">
        <f>IF(G277="","",G273+I273-G277)</f>
        <v/>
      </c>
      <c r="I277" s="4"/>
      <c r="J277" s="2" t="str">
        <f t="shared" ref="J277:K280" si="843">IF(C277="","",J273)</f>
        <v/>
      </c>
      <c r="K277" s="4" t="str">
        <f t="shared" si="843"/>
        <v/>
      </c>
      <c r="L277" s="4" t="str">
        <f t="shared" si="734"/>
        <v/>
      </c>
      <c r="M277" s="4" t="str">
        <f t="shared" si="735"/>
        <v/>
      </c>
      <c r="N277" s="29"/>
      <c r="P277" s="80" t="str">
        <f>IF($A$425="","",$A$425)</f>
        <v/>
      </c>
      <c r="Q277" s="4"/>
      <c r="R277" s="4" t="str">
        <f t="shared" si="820"/>
        <v/>
      </c>
      <c r="S277" s="4"/>
      <c r="T277" s="4" t="str">
        <f t="shared" si="821"/>
        <v/>
      </c>
      <c r="U277" s="4"/>
      <c r="V277" s="4" t="str">
        <f t="shared" si="822"/>
        <v/>
      </c>
      <c r="W277" s="4"/>
      <c r="X277" s="31" t="str">
        <f t="shared" ref="X277:Y280" si="844">IF(Q277="","",X273)</f>
        <v/>
      </c>
      <c r="Y277" s="4" t="str">
        <f t="shared" si="844"/>
        <v/>
      </c>
      <c r="Z277" s="4" t="str">
        <f t="shared" si="824"/>
        <v/>
      </c>
      <c r="AA277" s="4" t="str">
        <f t="shared" si="825"/>
        <v/>
      </c>
      <c r="AB277" s="29"/>
      <c r="AD277" s="80" t="str">
        <f>IF($A$425="","",$A$425)</f>
        <v/>
      </c>
      <c r="AE277" s="4"/>
      <c r="AF277" s="4" t="str">
        <f t="shared" si="826"/>
        <v/>
      </c>
      <c r="AG277" s="4"/>
      <c r="AH277" s="4" t="str">
        <f t="shared" si="827"/>
        <v/>
      </c>
      <c r="AI277" s="4"/>
      <c r="AJ277" s="4" t="str">
        <f t="shared" si="828"/>
        <v/>
      </c>
      <c r="AK277" s="4"/>
      <c r="AL277" s="31" t="str">
        <f t="shared" ref="AL277:AM280" si="845">IF(AE277="","",AL273)</f>
        <v/>
      </c>
      <c r="AM277" s="4" t="str">
        <f t="shared" si="845"/>
        <v/>
      </c>
      <c r="AN277" s="4" t="str">
        <f t="shared" si="830"/>
        <v/>
      </c>
      <c r="AO277" s="4" t="str">
        <f t="shared" si="831"/>
        <v/>
      </c>
      <c r="AP277" s="29"/>
      <c r="AR277" s="80" t="str">
        <f>IF($A$425="","",$A$425)</f>
        <v/>
      </c>
      <c r="AS277" s="4"/>
      <c r="AT277" s="4" t="str">
        <f t="shared" si="832"/>
        <v/>
      </c>
      <c r="AU277" s="4"/>
      <c r="AV277" s="4" t="str">
        <f t="shared" si="833"/>
        <v/>
      </c>
      <c r="AW277" s="4"/>
      <c r="AX277" s="4" t="str">
        <f t="shared" si="834"/>
        <v/>
      </c>
      <c r="AY277" s="4"/>
      <c r="AZ277" s="31" t="str">
        <f t="shared" ref="AZ277:BA280" si="846">IF(AS277="","",AZ273)</f>
        <v/>
      </c>
      <c r="BA277" s="4" t="str">
        <f t="shared" si="846"/>
        <v/>
      </c>
      <c r="BB277" s="4" t="str">
        <f t="shared" si="836"/>
        <v/>
      </c>
      <c r="BC277" s="4" t="str">
        <f t="shared" si="837"/>
        <v/>
      </c>
      <c r="BD277" s="29"/>
      <c r="BE277" s="32"/>
      <c r="BF277" s="33" t="str">
        <f>IF($A238="","",$A238)</f>
        <v/>
      </c>
      <c r="BG277" s="4"/>
      <c r="BH277" s="4" t="str">
        <f t="shared" si="765"/>
        <v/>
      </c>
      <c r="BI277" s="4"/>
      <c r="BJ277" s="50" t="str">
        <f t="shared" si="766"/>
        <v/>
      </c>
      <c r="BK277" s="4"/>
      <c r="BL277" s="4" t="str">
        <f t="shared" si="756"/>
        <v/>
      </c>
      <c r="BM277" s="4"/>
      <c r="BN277" s="2" t="str">
        <f t="shared" ref="BN277:BO280" si="847">IF(BG277="","",BN273)</f>
        <v/>
      </c>
      <c r="BO277" s="27" t="str">
        <f t="shared" si="847"/>
        <v/>
      </c>
      <c r="BP277" s="50" t="str">
        <f t="shared" si="753"/>
        <v/>
      </c>
      <c r="BQ277" s="52" t="str">
        <f t="shared" si="841"/>
        <v/>
      </c>
      <c r="BR277" s="29"/>
      <c r="BT277" s="33" t="str">
        <f>IF($A238="","",$A238)</f>
        <v/>
      </c>
      <c r="BU277" s="4"/>
      <c r="BV277" s="4" t="str">
        <f t="shared" si="757"/>
        <v/>
      </c>
      <c r="BW277" s="4"/>
      <c r="BX277" s="50" t="str">
        <f t="shared" si="758"/>
        <v/>
      </c>
      <c r="BY277" s="4"/>
      <c r="BZ277" s="4" t="str">
        <f t="shared" si="763"/>
        <v/>
      </c>
      <c r="CA277" s="4"/>
      <c r="CB277" s="2" t="str">
        <f>IF(BU277="","",CB273)</f>
        <v/>
      </c>
      <c r="CC277" s="27" t="str">
        <f>IF(BU277="","",CC273)</f>
        <v/>
      </c>
      <c r="CD277" s="5" t="str">
        <f t="shared" ref="CD277:CD278" si="848">IF(BY277="","",BZ277*CC277)</f>
        <v/>
      </c>
      <c r="CE277" s="52" t="str">
        <f>IF(BZ277="","",CD277/(BV277*100))</f>
        <v/>
      </c>
      <c r="CF277" s="29"/>
      <c r="CH277" s="14"/>
      <c r="CI277" s="39"/>
      <c r="CJ277" s="5"/>
      <c r="CK277" s="5"/>
      <c r="CL277" s="5"/>
      <c r="CM277" s="5"/>
      <c r="CN277" s="5" t="str">
        <f>IF(CM277="","",CM276+CO276-CM277)</f>
        <v/>
      </c>
      <c r="CO277" s="5"/>
      <c r="CP277" s="5"/>
      <c r="CQ277" s="5"/>
      <c r="CR277" s="5" t="str">
        <f>IF(CQ277="","",CN277*CQ277)</f>
        <v/>
      </c>
      <c r="CS277" s="36" t="str">
        <f>IF(CR277="","",CR277/(CJ277*100))</f>
        <v/>
      </c>
      <c r="CT277" s="29"/>
      <c r="CV277" s="14"/>
      <c r="CW277" s="39"/>
      <c r="CX277" s="5"/>
      <c r="CY277" s="5"/>
      <c r="CZ277" s="5"/>
      <c r="DA277" s="5"/>
      <c r="DB277" s="5" t="str">
        <f>IF(DA277="","",DA276+DC276-DA277)</f>
        <v/>
      </c>
      <c r="DC277" s="5"/>
      <c r="DD277" s="5"/>
      <c r="DE277" s="5"/>
      <c r="DF277" s="5" t="str">
        <f>IF(DE277="","",DB277*DE277)</f>
        <v/>
      </c>
      <c r="DG277" s="36" t="str">
        <f>IF(DF277="","",DF277/(CX277*100))</f>
        <v/>
      </c>
      <c r="DH277" s="29"/>
      <c r="DJ277" s="14"/>
      <c r="DK277" s="39"/>
      <c r="DL277" s="5"/>
      <c r="DM277" s="5"/>
      <c r="DN277" s="5"/>
      <c r="DO277" s="5"/>
      <c r="DP277" s="5" t="str">
        <f>IF(DO277="","",DO276+DQ276-DO277)</f>
        <v/>
      </c>
      <c r="DQ277" s="5"/>
      <c r="DR277" s="5"/>
      <c r="DS277" s="5"/>
      <c r="DT277" s="5" t="str">
        <f>IF(DS277="","",DP277*DS277)</f>
        <v/>
      </c>
      <c r="DU277" s="36" t="str">
        <f>IF(DT277="","",DT277/(DL277*100))</f>
        <v/>
      </c>
      <c r="DV277" s="29"/>
      <c r="DX277" s="14"/>
      <c r="DY277" s="39"/>
      <c r="DZ277" s="5"/>
      <c r="EA277" s="5"/>
      <c r="EB277" s="5"/>
      <c r="EC277" s="5"/>
      <c r="ED277" s="5" t="str">
        <f>IF(EC277="","",EC276+EE276-EC277)</f>
        <v/>
      </c>
      <c r="EE277" s="5"/>
      <c r="EF277" s="5"/>
      <c r="EG277" s="5"/>
      <c r="EH277" s="5" t="str">
        <f>IF(EG277="","",ED277*EG277)</f>
        <v/>
      </c>
      <c r="EI277" s="36" t="str">
        <f>IF(EH277="","",EH277/(DZ277*100))</f>
        <v/>
      </c>
      <c r="EJ277" s="29"/>
      <c r="EL277" s="14"/>
      <c r="EM277" s="39"/>
      <c r="EN277" s="5"/>
      <c r="EO277" s="5"/>
      <c r="EP277" s="5"/>
      <c r="EQ277" s="5"/>
      <c r="ER277" s="5" t="str">
        <f>IF(EQ277="","",EQ276+ES276-EQ277)</f>
        <v/>
      </c>
      <c r="ES277" s="5"/>
      <c r="ET277" s="5"/>
      <c r="EU277" s="5"/>
      <c r="EV277" s="5" t="str">
        <f>IF(EU277="","",ER277*EU277)</f>
        <v/>
      </c>
      <c r="EW277" s="36" t="str">
        <f>IF(EV277="","",EV277/(EN277*100))</f>
        <v/>
      </c>
      <c r="EX277" s="29"/>
      <c r="EZ277" s="14"/>
      <c r="FA277" s="39"/>
      <c r="FB277" s="5"/>
      <c r="FC277" s="5"/>
      <c r="FD277" s="5"/>
      <c r="FE277" s="5"/>
      <c r="FF277" s="5" t="str">
        <f>IF(FE277="","",FE276+FG276-FE277)</f>
        <v/>
      </c>
      <c r="FG277" s="5"/>
      <c r="FH277" s="5"/>
      <c r="FI277" s="5"/>
      <c r="FJ277" s="5" t="str">
        <f>IF(FI277="","",FF277*FI277)</f>
        <v/>
      </c>
      <c r="FK277" s="36" t="str">
        <f>IF(FJ277="","",FJ277/(FB277*100))</f>
        <v/>
      </c>
      <c r="FL277" s="29"/>
      <c r="FN277" s="14"/>
      <c r="FO277" s="39"/>
      <c r="FP277" s="5"/>
      <c r="FQ277" s="5"/>
      <c r="FR277" s="5"/>
      <c r="FS277" s="5"/>
      <c r="FT277" s="5" t="str">
        <f>IF(FS277="","",FS276+FU276-FS277)</f>
        <v/>
      </c>
      <c r="FU277" s="5"/>
      <c r="FV277" s="5"/>
      <c r="FW277" s="5"/>
      <c r="FX277" s="5" t="str">
        <f>IF(FW277="","",FT277*FW277)</f>
        <v/>
      </c>
      <c r="FY277" s="36" t="str">
        <f>IF(FX277="","",FX277/(FP277*100))</f>
        <v/>
      </c>
      <c r="FZ277" s="29"/>
      <c r="GB277" s="14"/>
      <c r="GC277" s="39"/>
      <c r="GD277" s="5"/>
      <c r="GE277" s="5"/>
      <c r="GF277" s="5"/>
      <c r="GG277" s="5"/>
      <c r="GH277" s="5" t="str">
        <f>IF(GG277="","",GG276+GI276-GG277)</f>
        <v/>
      </c>
      <c r="GI277" s="5"/>
      <c r="GJ277" s="5"/>
      <c r="GK277" s="5"/>
      <c r="GL277" s="5" t="str">
        <f>IF(GK277="","",GH277*GK277)</f>
        <v/>
      </c>
      <c r="GM277" s="36" t="str">
        <f>IF(GL277="","",GL277/(GD277*100))</f>
        <v/>
      </c>
      <c r="GN277" s="29"/>
      <c r="GP277" s="14"/>
      <c r="GQ277" s="39"/>
      <c r="GR277" s="5"/>
      <c r="GS277" s="5"/>
      <c r="GT277" s="5"/>
      <c r="GU277" s="5"/>
      <c r="GV277" s="5"/>
      <c r="GW277" s="5"/>
      <c r="GX277" s="5" t="str">
        <f>IF(GW277="","",GW276+GY276-GW277)</f>
        <v/>
      </c>
      <c r="GY277" s="5"/>
      <c r="GZ277" s="5"/>
      <c r="HA277" s="5"/>
      <c r="HB277" s="5" t="str">
        <f>IF(HA277="","",GX277*HA277)</f>
        <v/>
      </c>
      <c r="HC277" s="36" t="str">
        <f>IF(HB277="","",HB277/(GR277*100))</f>
        <v/>
      </c>
      <c r="HD277" s="29"/>
      <c r="HF277" s="14"/>
      <c r="HG277" s="39"/>
      <c r="HH277" s="5"/>
      <c r="HI277" s="5"/>
      <c r="HJ277" s="29"/>
      <c r="HL277" s="14"/>
      <c r="HM277" s="39"/>
      <c r="HN277" s="5"/>
      <c r="HO277" s="5"/>
      <c r="HP277" s="29"/>
      <c r="HR277" s="14"/>
      <c r="HS277" s="39"/>
      <c r="HT277" s="5"/>
      <c r="HU277" s="5"/>
      <c r="HV277" s="29"/>
    </row>
    <row r="278" spans="1:230" ht="15" customHeight="1" x14ac:dyDescent="0.2">
      <c r="A278" s="49"/>
      <c r="B278" s="26"/>
      <c r="C278" s="4"/>
      <c r="D278" s="4" t="str">
        <f t="shared" si="731"/>
        <v/>
      </c>
      <c r="E278" s="4"/>
      <c r="F278" s="4" t="str">
        <f t="shared" si="732"/>
        <v/>
      </c>
      <c r="G278" s="4"/>
      <c r="H278" s="4" t="str">
        <f>IF(G278="","",G274+I274-G278)</f>
        <v/>
      </c>
      <c r="I278" s="4"/>
      <c r="J278" s="2" t="str">
        <f t="shared" si="843"/>
        <v/>
      </c>
      <c r="K278" s="4" t="str">
        <f t="shared" si="843"/>
        <v/>
      </c>
      <c r="L278" s="4" t="str">
        <f t="shared" si="734"/>
        <v/>
      </c>
      <c r="M278" s="4" t="str">
        <f t="shared" si="735"/>
        <v/>
      </c>
      <c r="N278" s="29"/>
      <c r="P278" s="33"/>
      <c r="Q278" s="4"/>
      <c r="R278" s="4" t="str">
        <f t="shared" si="820"/>
        <v/>
      </c>
      <c r="S278" s="4"/>
      <c r="T278" s="4" t="str">
        <f t="shared" si="821"/>
        <v/>
      </c>
      <c r="U278" s="4"/>
      <c r="V278" s="4" t="str">
        <f t="shared" si="822"/>
        <v/>
      </c>
      <c r="W278" s="4"/>
      <c r="X278" s="31" t="str">
        <f t="shared" si="844"/>
        <v/>
      </c>
      <c r="Y278" s="4" t="str">
        <f t="shared" si="844"/>
        <v/>
      </c>
      <c r="Z278" s="4" t="str">
        <f t="shared" si="824"/>
        <v/>
      </c>
      <c r="AA278" s="4" t="str">
        <f t="shared" si="825"/>
        <v/>
      </c>
      <c r="AB278" s="29"/>
      <c r="AD278" s="33"/>
      <c r="AE278" s="4"/>
      <c r="AF278" s="4" t="str">
        <f t="shared" si="826"/>
        <v/>
      </c>
      <c r="AG278" s="4"/>
      <c r="AH278" s="4" t="str">
        <f t="shared" si="827"/>
        <v/>
      </c>
      <c r="AI278" s="4"/>
      <c r="AJ278" s="4" t="str">
        <f t="shared" si="828"/>
        <v/>
      </c>
      <c r="AK278" s="4"/>
      <c r="AL278" s="31" t="str">
        <f t="shared" si="845"/>
        <v/>
      </c>
      <c r="AM278" s="4" t="str">
        <f t="shared" si="845"/>
        <v/>
      </c>
      <c r="AN278" s="4" t="str">
        <f t="shared" si="830"/>
        <v/>
      </c>
      <c r="AO278" s="4" t="str">
        <f t="shared" si="831"/>
        <v/>
      </c>
      <c r="AP278" s="29"/>
      <c r="AR278" s="33"/>
      <c r="AS278" s="4"/>
      <c r="AT278" s="4" t="str">
        <f t="shared" si="832"/>
        <v/>
      </c>
      <c r="AU278" s="4"/>
      <c r="AV278" s="4" t="str">
        <f t="shared" si="833"/>
        <v/>
      </c>
      <c r="AW278" s="4"/>
      <c r="AX278" s="4" t="str">
        <f t="shared" si="834"/>
        <v/>
      </c>
      <c r="AY278" s="4"/>
      <c r="AZ278" s="31" t="str">
        <f t="shared" si="846"/>
        <v/>
      </c>
      <c r="BA278" s="4" t="str">
        <f t="shared" si="846"/>
        <v/>
      </c>
      <c r="BB278" s="4" t="str">
        <f t="shared" si="836"/>
        <v/>
      </c>
      <c r="BC278" s="4" t="str">
        <f t="shared" si="837"/>
        <v/>
      </c>
      <c r="BD278" s="29"/>
      <c r="BE278" s="32"/>
      <c r="BF278" s="33"/>
      <c r="BG278" s="4"/>
      <c r="BH278" s="5" t="str">
        <f t="shared" si="765"/>
        <v/>
      </c>
      <c r="BI278" s="4"/>
      <c r="BJ278" s="5" t="str">
        <f t="shared" si="766"/>
        <v/>
      </c>
      <c r="BK278" s="4"/>
      <c r="BL278" s="5" t="str">
        <f t="shared" si="756"/>
        <v/>
      </c>
      <c r="BM278" s="4"/>
      <c r="BN278" s="3" t="str">
        <f t="shared" si="847"/>
        <v/>
      </c>
      <c r="BO278" s="39" t="str">
        <f t="shared" si="847"/>
        <v/>
      </c>
      <c r="BP278" s="5" t="str">
        <f t="shared" si="753"/>
        <v/>
      </c>
      <c r="BQ278" s="36" t="str">
        <f t="shared" si="841"/>
        <v/>
      </c>
      <c r="BR278" s="29"/>
      <c r="BT278" s="33"/>
      <c r="BU278" s="4"/>
      <c r="BV278" s="5" t="str">
        <f t="shared" si="757"/>
        <v/>
      </c>
      <c r="BW278" s="4"/>
      <c r="BX278" s="5" t="str">
        <f t="shared" si="758"/>
        <v/>
      </c>
      <c r="BY278" s="5"/>
      <c r="BZ278" s="5" t="str">
        <f t="shared" si="763"/>
        <v/>
      </c>
      <c r="CA278" s="4"/>
      <c r="CB278" s="3" t="str">
        <f>IF(BU278="","",CB274)</f>
        <v/>
      </c>
      <c r="CC278" s="39" t="str">
        <f>IF(BU277="","",CC274)</f>
        <v/>
      </c>
      <c r="CD278" s="4" t="str">
        <f t="shared" si="848"/>
        <v/>
      </c>
      <c r="CE278" s="36" t="str">
        <f>IF(BZ278="","",CD278/(BV278*100))</f>
        <v/>
      </c>
      <c r="CF278" s="29"/>
      <c r="CH278" s="14"/>
      <c r="CI278" s="39"/>
      <c r="CJ278" s="5"/>
      <c r="CK278" s="5"/>
      <c r="CL278" s="5"/>
      <c r="CM278" s="5"/>
      <c r="CN278" s="5"/>
      <c r="CO278" s="5"/>
      <c r="CP278" s="5"/>
      <c r="CQ278" s="5"/>
      <c r="CR278" s="5"/>
      <c r="CS278" s="36"/>
      <c r="CT278" s="29"/>
      <c r="CV278" s="14"/>
      <c r="CW278" s="39"/>
      <c r="CX278" s="5"/>
      <c r="CY278" s="5"/>
      <c r="CZ278" s="5"/>
      <c r="DA278" s="5"/>
      <c r="DB278" s="5"/>
      <c r="DC278" s="5"/>
      <c r="DD278" s="5"/>
      <c r="DE278" s="5"/>
      <c r="DF278" s="5"/>
      <c r="DG278" s="36"/>
      <c r="DH278" s="29"/>
      <c r="DJ278" s="14"/>
      <c r="DK278" s="39"/>
      <c r="DL278" s="5"/>
      <c r="DM278" s="5"/>
      <c r="DN278" s="5"/>
      <c r="DO278" s="5"/>
      <c r="DP278" s="5"/>
      <c r="DQ278" s="5"/>
      <c r="DR278" s="5"/>
      <c r="DS278" s="5"/>
      <c r="DT278" s="5"/>
      <c r="DU278" s="36"/>
      <c r="DV278" s="29"/>
      <c r="DX278" s="14"/>
      <c r="DY278" s="39"/>
      <c r="DZ278" s="5"/>
      <c r="EA278" s="5"/>
      <c r="EB278" s="5"/>
      <c r="EC278" s="5"/>
      <c r="ED278" s="5"/>
      <c r="EE278" s="5"/>
      <c r="EF278" s="5"/>
      <c r="EG278" s="5"/>
      <c r="EH278" s="5"/>
      <c r="EI278" s="36"/>
      <c r="EJ278" s="29"/>
      <c r="EL278" s="14"/>
      <c r="EM278" s="39"/>
      <c r="EN278" s="5"/>
      <c r="EO278" s="5"/>
      <c r="EP278" s="5"/>
      <c r="EQ278" s="5"/>
      <c r="ER278" s="5"/>
      <c r="ES278" s="5"/>
      <c r="ET278" s="5"/>
      <c r="EU278" s="5"/>
      <c r="EV278" s="5"/>
      <c r="EW278" s="36"/>
      <c r="EX278" s="29"/>
      <c r="EZ278" s="14"/>
      <c r="FA278" s="39"/>
      <c r="FB278" s="5"/>
      <c r="FC278" s="5"/>
      <c r="FD278" s="5"/>
      <c r="FE278" s="5"/>
      <c r="FF278" s="5"/>
      <c r="FG278" s="5"/>
      <c r="FH278" s="5"/>
      <c r="FI278" s="5"/>
      <c r="FJ278" s="5"/>
      <c r="FK278" s="36"/>
      <c r="FL278" s="29"/>
      <c r="FN278" s="14"/>
      <c r="FO278" s="39"/>
      <c r="FP278" s="5"/>
      <c r="FQ278" s="5"/>
      <c r="FR278" s="5"/>
      <c r="FS278" s="5"/>
      <c r="FT278" s="5"/>
      <c r="FU278" s="5"/>
      <c r="FV278" s="5"/>
      <c r="FW278" s="5"/>
      <c r="FX278" s="5"/>
      <c r="FY278" s="36"/>
      <c r="FZ278" s="29"/>
      <c r="GB278" s="14"/>
      <c r="GC278" s="39"/>
      <c r="GD278" s="5"/>
      <c r="GE278" s="5"/>
      <c r="GF278" s="5"/>
      <c r="GG278" s="5"/>
      <c r="GH278" s="5"/>
      <c r="GI278" s="5"/>
      <c r="GJ278" s="5"/>
      <c r="GK278" s="5"/>
      <c r="GL278" s="5"/>
      <c r="GM278" s="36"/>
      <c r="GN278" s="29"/>
      <c r="GP278" s="14"/>
      <c r="GQ278" s="39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36"/>
      <c r="HD278" s="29"/>
      <c r="HF278" s="14"/>
      <c r="HG278" s="39"/>
      <c r="HH278" s="5"/>
      <c r="HI278" s="5"/>
      <c r="HJ278" s="29"/>
      <c r="HL278" s="14"/>
      <c r="HM278" s="39"/>
      <c r="HN278" s="5"/>
      <c r="HO278" s="5"/>
      <c r="HP278" s="29"/>
      <c r="HR278" s="14"/>
      <c r="HS278" s="39"/>
      <c r="HT278" s="5"/>
      <c r="HU278" s="5"/>
      <c r="HV278" s="29"/>
    </row>
    <row r="279" spans="1:230" ht="15" customHeight="1" x14ac:dyDescent="0.2">
      <c r="A279" s="15"/>
      <c r="B279" s="64"/>
      <c r="C279" s="57"/>
      <c r="D279" s="57" t="str">
        <f t="shared" si="731"/>
        <v/>
      </c>
      <c r="E279" s="57"/>
      <c r="F279" s="57" t="str">
        <f t="shared" si="732"/>
        <v/>
      </c>
      <c r="G279" s="57"/>
      <c r="H279" s="57" t="str">
        <f>IF(G279="","",G275+I275-G279)</f>
        <v/>
      </c>
      <c r="I279" s="57"/>
      <c r="J279" s="81" t="str">
        <f t="shared" si="843"/>
        <v/>
      </c>
      <c r="K279" s="57" t="str">
        <f t="shared" si="843"/>
        <v/>
      </c>
      <c r="L279" s="57" t="str">
        <f t="shared" si="734"/>
        <v/>
      </c>
      <c r="M279" s="57" t="str">
        <f t="shared" si="735"/>
        <v/>
      </c>
      <c r="N279" s="82"/>
      <c r="P279" s="72"/>
      <c r="Q279" s="57"/>
      <c r="R279" s="57" t="str">
        <f t="shared" si="820"/>
        <v/>
      </c>
      <c r="S279" s="57"/>
      <c r="T279" s="57" t="str">
        <f t="shared" si="821"/>
        <v/>
      </c>
      <c r="U279" s="57"/>
      <c r="V279" s="57" t="str">
        <f t="shared" si="822"/>
        <v/>
      </c>
      <c r="W279" s="57"/>
      <c r="X279" s="83" t="str">
        <f t="shared" si="844"/>
        <v/>
      </c>
      <c r="Y279" s="57" t="str">
        <f t="shared" si="844"/>
        <v/>
      </c>
      <c r="Z279" s="57" t="str">
        <f t="shared" si="824"/>
        <v/>
      </c>
      <c r="AA279" s="57" t="str">
        <f t="shared" si="825"/>
        <v/>
      </c>
      <c r="AB279" s="82"/>
      <c r="AD279" s="72"/>
      <c r="AE279" s="57"/>
      <c r="AF279" s="57" t="str">
        <f t="shared" si="826"/>
        <v/>
      </c>
      <c r="AG279" s="57"/>
      <c r="AH279" s="57" t="str">
        <f t="shared" si="827"/>
        <v/>
      </c>
      <c r="AI279" s="57"/>
      <c r="AJ279" s="57" t="str">
        <f t="shared" si="828"/>
        <v/>
      </c>
      <c r="AK279" s="57"/>
      <c r="AL279" s="83" t="str">
        <f t="shared" si="845"/>
        <v/>
      </c>
      <c r="AM279" s="57" t="str">
        <f t="shared" si="845"/>
        <v/>
      </c>
      <c r="AN279" s="57" t="str">
        <f t="shared" si="830"/>
        <v/>
      </c>
      <c r="AO279" s="57" t="str">
        <f t="shared" si="831"/>
        <v/>
      </c>
      <c r="AP279" s="82"/>
      <c r="AR279" s="72"/>
      <c r="AS279" s="57"/>
      <c r="AT279" s="57" t="str">
        <f t="shared" si="832"/>
        <v/>
      </c>
      <c r="AU279" s="57"/>
      <c r="AV279" s="57" t="str">
        <f t="shared" si="833"/>
        <v/>
      </c>
      <c r="AW279" s="57"/>
      <c r="AX279" s="57" t="str">
        <f t="shared" si="834"/>
        <v/>
      </c>
      <c r="AY279" s="57"/>
      <c r="AZ279" s="83" t="str">
        <f t="shared" si="846"/>
        <v/>
      </c>
      <c r="BA279" s="57" t="str">
        <f t="shared" si="846"/>
        <v/>
      </c>
      <c r="BB279" s="57" t="str">
        <f t="shared" si="836"/>
        <v/>
      </c>
      <c r="BC279" s="57" t="str">
        <f t="shared" si="837"/>
        <v/>
      </c>
      <c r="BD279" s="82"/>
      <c r="BE279" s="32"/>
      <c r="BF279" s="33"/>
      <c r="BG279" s="4"/>
      <c r="BH279" s="5" t="str">
        <f t="shared" si="765"/>
        <v/>
      </c>
      <c r="BI279" s="4"/>
      <c r="BJ279" s="5" t="str">
        <f t="shared" si="766"/>
        <v/>
      </c>
      <c r="BK279" s="4"/>
      <c r="BL279" s="5" t="str">
        <f t="shared" si="756"/>
        <v/>
      </c>
      <c r="BM279" s="4"/>
      <c r="BN279" s="3" t="str">
        <f t="shared" si="847"/>
        <v/>
      </c>
      <c r="BO279" s="39" t="str">
        <f t="shared" si="847"/>
        <v/>
      </c>
      <c r="BP279" s="5" t="str">
        <f t="shared" si="753"/>
        <v/>
      </c>
      <c r="BQ279" s="36" t="str">
        <f t="shared" si="841"/>
        <v/>
      </c>
      <c r="BR279" s="29"/>
      <c r="BT279" s="33"/>
      <c r="BU279" s="4"/>
      <c r="BV279" s="5" t="str">
        <f t="shared" si="757"/>
        <v/>
      </c>
      <c r="BW279" s="4"/>
      <c r="BX279" s="5" t="str">
        <f t="shared" si="758"/>
        <v/>
      </c>
      <c r="BY279" s="5"/>
      <c r="BZ279" s="5"/>
      <c r="CA279" s="57"/>
      <c r="CB279" s="3"/>
      <c r="CC279" s="39"/>
      <c r="CD279" s="5"/>
      <c r="CE279" s="36"/>
      <c r="CF279" s="29"/>
      <c r="CH279" s="14"/>
      <c r="CI279" s="39"/>
      <c r="CJ279" s="5"/>
      <c r="CK279" s="5"/>
      <c r="CL279" s="5"/>
      <c r="CM279" s="5"/>
      <c r="CN279" s="5"/>
      <c r="CO279" s="5"/>
      <c r="CP279" s="5"/>
      <c r="CQ279" s="5"/>
      <c r="CR279" s="5"/>
      <c r="CS279" s="36"/>
      <c r="CT279" s="29"/>
      <c r="CV279" s="14"/>
      <c r="CW279" s="39"/>
      <c r="CX279" s="5"/>
      <c r="CY279" s="5"/>
      <c r="CZ279" s="5"/>
      <c r="DA279" s="5"/>
      <c r="DB279" s="5"/>
      <c r="DC279" s="5"/>
      <c r="DD279" s="5"/>
      <c r="DE279" s="5"/>
      <c r="DF279" s="5"/>
      <c r="DG279" s="36"/>
      <c r="DH279" s="29"/>
      <c r="DJ279" s="14"/>
      <c r="DK279" s="39"/>
      <c r="DL279" s="5"/>
      <c r="DM279" s="5"/>
      <c r="DN279" s="5"/>
      <c r="DO279" s="5"/>
      <c r="DP279" s="5"/>
      <c r="DQ279" s="5"/>
      <c r="DR279" s="5"/>
      <c r="DS279" s="5"/>
      <c r="DT279" s="5"/>
      <c r="DU279" s="36"/>
      <c r="DV279" s="29"/>
      <c r="DX279" s="14"/>
      <c r="DY279" s="39"/>
      <c r="DZ279" s="5"/>
      <c r="EA279" s="5"/>
      <c r="EB279" s="5"/>
      <c r="EC279" s="5"/>
      <c r="ED279" s="5"/>
      <c r="EE279" s="5"/>
      <c r="EF279" s="5"/>
      <c r="EG279" s="5"/>
      <c r="EH279" s="5"/>
      <c r="EI279" s="36"/>
      <c r="EJ279" s="29"/>
      <c r="EL279" s="14"/>
      <c r="EM279" s="39"/>
      <c r="EN279" s="5"/>
      <c r="EO279" s="5"/>
      <c r="EP279" s="5"/>
      <c r="EQ279" s="5"/>
      <c r="ER279" s="5"/>
      <c r="ES279" s="5"/>
      <c r="ET279" s="5"/>
      <c r="EU279" s="5"/>
      <c r="EV279" s="5"/>
      <c r="EW279" s="36"/>
      <c r="EX279" s="29"/>
      <c r="EZ279" s="14"/>
      <c r="FA279" s="39"/>
      <c r="FB279" s="5"/>
      <c r="FC279" s="5"/>
      <c r="FD279" s="5"/>
      <c r="FE279" s="5"/>
      <c r="FF279" s="5"/>
      <c r="FG279" s="5"/>
      <c r="FH279" s="5"/>
      <c r="FI279" s="5"/>
      <c r="FJ279" s="5"/>
      <c r="FK279" s="36"/>
      <c r="FL279" s="29"/>
      <c r="FN279" s="14"/>
      <c r="FO279" s="39"/>
      <c r="FP279" s="5"/>
      <c r="FQ279" s="5"/>
      <c r="FR279" s="5"/>
      <c r="FS279" s="5"/>
      <c r="FT279" s="5"/>
      <c r="FU279" s="5"/>
      <c r="FV279" s="5"/>
      <c r="FW279" s="5"/>
      <c r="FX279" s="5"/>
      <c r="FY279" s="36"/>
      <c r="FZ279" s="29"/>
      <c r="GB279" s="14"/>
      <c r="GC279" s="39"/>
      <c r="GD279" s="5"/>
      <c r="GE279" s="5"/>
      <c r="GF279" s="5"/>
      <c r="GG279" s="5"/>
      <c r="GH279" s="5"/>
      <c r="GI279" s="5"/>
      <c r="GJ279" s="5"/>
      <c r="GK279" s="5"/>
      <c r="GL279" s="5"/>
      <c r="GM279" s="36"/>
      <c r="GN279" s="29"/>
      <c r="GP279" s="14"/>
      <c r="GQ279" s="39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36"/>
      <c r="HD279" s="29"/>
      <c r="HF279" s="14"/>
      <c r="HG279" s="39"/>
      <c r="HH279" s="5"/>
      <c r="HI279" s="5"/>
      <c r="HJ279" s="29"/>
      <c r="HL279" s="14"/>
      <c r="HM279" s="39"/>
      <c r="HN279" s="5"/>
      <c r="HO279" s="5"/>
      <c r="HP279" s="29"/>
      <c r="HR279" s="14"/>
      <c r="HS279" s="39"/>
      <c r="HT279" s="5"/>
      <c r="HU279" s="5"/>
      <c r="HV279" s="29"/>
    </row>
    <row r="280" spans="1:230" ht="15" customHeight="1" thickBot="1" x14ac:dyDescent="0.25">
      <c r="A280" s="84"/>
      <c r="B280" s="66"/>
      <c r="C280" s="43"/>
      <c r="D280" s="43" t="str">
        <f t="shared" si="731"/>
        <v/>
      </c>
      <c r="E280" s="43"/>
      <c r="F280" s="43" t="str">
        <f t="shared" si="732"/>
        <v/>
      </c>
      <c r="G280" s="43"/>
      <c r="H280" s="43" t="str">
        <f>IF(G280="","",G276+I276-G280)</f>
        <v/>
      </c>
      <c r="I280" s="43"/>
      <c r="J280" s="85" t="str">
        <f t="shared" si="843"/>
        <v/>
      </c>
      <c r="K280" s="43" t="str">
        <f t="shared" si="843"/>
        <v/>
      </c>
      <c r="L280" s="43" t="str">
        <f t="shared" si="734"/>
        <v/>
      </c>
      <c r="M280" s="43" t="str">
        <f t="shared" si="735"/>
        <v/>
      </c>
      <c r="N280" s="86"/>
      <c r="P280" s="87"/>
      <c r="Q280" s="43"/>
      <c r="R280" s="43" t="str">
        <f t="shared" si="820"/>
        <v/>
      </c>
      <c r="S280" s="43"/>
      <c r="T280" s="43" t="str">
        <f t="shared" si="821"/>
        <v/>
      </c>
      <c r="U280" s="43"/>
      <c r="V280" s="43" t="str">
        <f t="shared" si="822"/>
        <v/>
      </c>
      <c r="W280" s="43"/>
      <c r="X280" s="88" t="str">
        <f t="shared" si="844"/>
        <v/>
      </c>
      <c r="Y280" s="43" t="str">
        <f t="shared" si="844"/>
        <v/>
      </c>
      <c r="Z280" s="43" t="str">
        <f t="shared" si="824"/>
        <v/>
      </c>
      <c r="AA280" s="43" t="str">
        <f t="shared" si="825"/>
        <v/>
      </c>
      <c r="AB280" s="86"/>
      <c r="AD280" s="87"/>
      <c r="AE280" s="43"/>
      <c r="AF280" s="43" t="str">
        <f t="shared" si="826"/>
        <v/>
      </c>
      <c r="AG280" s="43"/>
      <c r="AH280" s="43" t="str">
        <f t="shared" si="827"/>
        <v/>
      </c>
      <c r="AI280" s="43"/>
      <c r="AJ280" s="43" t="str">
        <f t="shared" si="828"/>
        <v/>
      </c>
      <c r="AK280" s="43"/>
      <c r="AL280" s="88" t="str">
        <f t="shared" si="845"/>
        <v/>
      </c>
      <c r="AM280" s="43" t="str">
        <f t="shared" si="845"/>
        <v/>
      </c>
      <c r="AN280" s="43" t="str">
        <f t="shared" si="830"/>
        <v/>
      </c>
      <c r="AO280" s="43" t="str">
        <f t="shared" si="831"/>
        <v/>
      </c>
      <c r="AP280" s="86"/>
      <c r="AR280" s="87"/>
      <c r="AS280" s="43"/>
      <c r="AT280" s="43" t="str">
        <f t="shared" si="832"/>
        <v/>
      </c>
      <c r="AU280" s="43"/>
      <c r="AV280" s="43" t="str">
        <f t="shared" si="833"/>
        <v/>
      </c>
      <c r="AW280" s="43"/>
      <c r="AX280" s="43" t="str">
        <f t="shared" si="834"/>
        <v/>
      </c>
      <c r="AY280" s="43"/>
      <c r="AZ280" s="88" t="str">
        <f t="shared" si="846"/>
        <v/>
      </c>
      <c r="BA280" s="43" t="str">
        <f t="shared" si="846"/>
        <v/>
      </c>
      <c r="BB280" s="43" t="str">
        <f t="shared" si="836"/>
        <v/>
      </c>
      <c r="BC280" s="43" t="str">
        <f t="shared" si="837"/>
        <v/>
      </c>
      <c r="BD280" s="86"/>
      <c r="BE280" s="32"/>
      <c r="BF280" s="33"/>
      <c r="BG280" s="4"/>
      <c r="BH280" s="5" t="str">
        <f t="shared" si="765"/>
        <v/>
      </c>
      <c r="BI280" s="5"/>
      <c r="BJ280" s="5"/>
      <c r="BK280" s="5"/>
      <c r="BL280" s="5"/>
      <c r="BM280" s="4"/>
      <c r="BN280" s="45" t="str">
        <f t="shared" si="847"/>
        <v/>
      </c>
      <c r="BO280" s="61" t="str">
        <f t="shared" si="847"/>
        <v/>
      </c>
      <c r="BP280" s="44" t="str">
        <f t="shared" si="753"/>
        <v/>
      </c>
      <c r="BQ280" s="46" t="str">
        <f t="shared" si="841"/>
        <v/>
      </c>
      <c r="BR280" s="29"/>
      <c r="BT280" s="87"/>
      <c r="BU280" s="43"/>
      <c r="BV280" s="43" t="str">
        <f t="shared" si="757"/>
        <v/>
      </c>
      <c r="BW280" s="43"/>
      <c r="BX280" s="43"/>
      <c r="BY280" s="44"/>
      <c r="BZ280" s="44"/>
      <c r="CA280" s="44"/>
      <c r="CB280" s="45"/>
      <c r="CC280" s="61"/>
      <c r="CD280" s="44"/>
      <c r="CE280" s="46"/>
      <c r="CF280" s="29"/>
      <c r="CH280" s="14"/>
      <c r="CI280" s="39"/>
      <c r="CJ280" s="5"/>
      <c r="CK280" s="5"/>
      <c r="CL280" s="5"/>
      <c r="CM280" s="5"/>
      <c r="CN280" s="5"/>
      <c r="CO280" s="5"/>
      <c r="CP280" s="5"/>
      <c r="CQ280" s="5"/>
      <c r="CR280" s="5"/>
      <c r="CS280" s="36"/>
      <c r="CT280" s="29"/>
      <c r="CV280" s="14"/>
      <c r="CW280" s="39"/>
      <c r="CX280" s="5"/>
      <c r="CY280" s="5"/>
      <c r="CZ280" s="5"/>
      <c r="DA280" s="5"/>
      <c r="DB280" s="5"/>
      <c r="DC280" s="5"/>
      <c r="DD280" s="5"/>
      <c r="DE280" s="5"/>
      <c r="DF280" s="5"/>
      <c r="DG280" s="36"/>
      <c r="DH280" s="29"/>
      <c r="DJ280" s="14"/>
      <c r="DK280" s="39"/>
      <c r="DL280" s="5"/>
      <c r="DM280" s="5"/>
      <c r="DN280" s="5"/>
      <c r="DO280" s="5"/>
      <c r="DP280" s="5"/>
      <c r="DQ280" s="5"/>
      <c r="DR280" s="5"/>
      <c r="DS280" s="5"/>
      <c r="DT280" s="5"/>
      <c r="DU280" s="36"/>
      <c r="DV280" s="29"/>
      <c r="DX280" s="14"/>
      <c r="DY280" s="39"/>
      <c r="DZ280" s="5"/>
      <c r="EA280" s="5"/>
      <c r="EB280" s="5"/>
      <c r="EC280" s="5"/>
      <c r="ED280" s="5"/>
      <c r="EE280" s="5"/>
      <c r="EF280" s="5"/>
      <c r="EG280" s="5"/>
      <c r="EH280" s="5"/>
      <c r="EI280" s="36"/>
      <c r="EJ280" s="29"/>
      <c r="EL280" s="14"/>
      <c r="EM280" s="39"/>
      <c r="EN280" s="5"/>
      <c r="EO280" s="5"/>
      <c r="EP280" s="5"/>
      <c r="EQ280" s="5"/>
      <c r="ER280" s="5"/>
      <c r="ES280" s="5"/>
      <c r="ET280" s="5"/>
      <c r="EU280" s="5"/>
      <c r="EV280" s="5"/>
      <c r="EW280" s="36"/>
      <c r="EX280" s="29"/>
      <c r="EZ280" s="14"/>
      <c r="FA280" s="39"/>
      <c r="FB280" s="5"/>
      <c r="FC280" s="5"/>
      <c r="FD280" s="5"/>
      <c r="FE280" s="5"/>
      <c r="FF280" s="5"/>
      <c r="FG280" s="5"/>
      <c r="FH280" s="5"/>
      <c r="FI280" s="5"/>
      <c r="FJ280" s="5"/>
      <c r="FK280" s="36"/>
      <c r="FL280" s="29"/>
      <c r="FN280" s="14"/>
      <c r="FO280" s="39"/>
      <c r="FP280" s="5"/>
      <c r="FQ280" s="5"/>
      <c r="FR280" s="5"/>
      <c r="FS280" s="5"/>
      <c r="FT280" s="5"/>
      <c r="FU280" s="5"/>
      <c r="FV280" s="5"/>
      <c r="FW280" s="5"/>
      <c r="FX280" s="5"/>
      <c r="FY280" s="36"/>
      <c r="FZ280" s="29"/>
      <c r="GB280" s="14"/>
      <c r="GC280" s="39"/>
      <c r="GD280" s="5"/>
      <c r="GE280" s="5"/>
      <c r="GF280" s="5"/>
      <c r="GG280" s="5"/>
      <c r="GH280" s="5"/>
      <c r="GI280" s="5"/>
      <c r="GJ280" s="5"/>
      <c r="GK280" s="5"/>
      <c r="GL280" s="5"/>
      <c r="GM280" s="36"/>
      <c r="GN280" s="29"/>
      <c r="GP280" s="14"/>
      <c r="GQ280" s="39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36"/>
      <c r="HD280" s="29"/>
      <c r="HF280" s="14"/>
      <c r="HG280" s="39"/>
      <c r="HH280" s="5"/>
      <c r="HI280" s="5"/>
      <c r="HJ280" s="29"/>
      <c r="HL280" s="14"/>
      <c r="HM280" s="39"/>
      <c r="HN280" s="5"/>
      <c r="HO280" s="5"/>
      <c r="HP280" s="29"/>
      <c r="HR280" s="14"/>
      <c r="HS280" s="39"/>
      <c r="HT280" s="5"/>
      <c r="HU280" s="5"/>
      <c r="HV280" s="29"/>
    </row>
    <row r="281" spans="1:230" ht="15.75" thickTop="1" x14ac:dyDescent="0.2">
      <c r="A281" s="33"/>
      <c r="B281" s="26"/>
      <c r="C281" s="89" t="s">
        <v>20</v>
      </c>
      <c r="D281" s="4">
        <f>SUM(D225:D277)*100</f>
        <v>82700</v>
      </c>
      <c r="E281" s="90" t="s">
        <v>284</v>
      </c>
      <c r="F281" s="4"/>
      <c r="G281" s="89"/>
      <c r="H281" s="4"/>
      <c r="I281" s="4"/>
      <c r="J281" s="164" t="s">
        <v>21</v>
      </c>
      <c r="K281" s="164"/>
      <c r="L281" s="4">
        <f>SUM(L225:L277)</f>
        <v>2618</v>
      </c>
      <c r="M281" s="4"/>
      <c r="N281" s="34"/>
      <c r="P281" s="33"/>
      <c r="Q281" s="89" t="s">
        <v>20</v>
      </c>
      <c r="R281" s="4">
        <f>SUM(R225:R277)*100</f>
        <v>107100</v>
      </c>
      <c r="S281" s="90" t="s">
        <v>284</v>
      </c>
      <c r="T281" s="4"/>
      <c r="U281" s="89"/>
      <c r="V281" s="4"/>
      <c r="W281" s="4"/>
      <c r="X281" s="164" t="s">
        <v>21</v>
      </c>
      <c r="Y281" s="164"/>
      <c r="Z281" s="4">
        <f>SUM(Z225:Z277)</f>
        <v>20349</v>
      </c>
      <c r="AA281" s="4"/>
      <c r="AB281" s="34"/>
      <c r="AD281" s="33"/>
      <c r="AE281" s="89" t="s">
        <v>20</v>
      </c>
      <c r="AF281" s="4">
        <f>SUM(AF225:AF277)*100</f>
        <v>244100</v>
      </c>
      <c r="AG281" s="90" t="s">
        <v>284</v>
      </c>
      <c r="AH281" s="4"/>
      <c r="AI281" s="89"/>
      <c r="AJ281" s="4"/>
      <c r="AK281" s="4"/>
      <c r="AL281" s="164" t="s">
        <v>21</v>
      </c>
      <c r="AM281" s="164"/>
      <c r="AN281" s="4">
        <f>SUM(AN225:AN277)</f>
        <v>46197</v>
      </c>
      <c r="AO281" s="4"/>
      <c r="AP281" s="34"/>
      <c r="AR281" s="33"/>
      <c r="AS281" s="89" t="s">
        <v>20</v>
      </c>
      <c r="AT281" s="4">
        <f>SUM(AT225:AT277)*100</f>
        <v>174000</v>
      </c>
      <c r="AU281" s="90" t="s">
        <v>284</v>
      </c>
      <c r="AV281" s="4"/>
      <c r="AW281" s="89"/>
      <c r="AX281" s="4"/>
      <c r="AY281" s="4"/>
      <c r="AZ281" s="164" t="s">
        <v>21</v>
      </c>
      <c r="BA281" s="164"/>
      <c r="BB281" s="4">
        <f>SUM(BB225:BB277)</f>
        <v>11994</v>
      </c>
      <c r="BC281" s="4"/>
      <c r="BD281" s="34"/>
      <c r="BE281" s="32"/>
      <c r="BF281" s="25"/>
      <c r="BG281" s="16" t="s">
        <v>20</v>
      </c>
      <c r="BH281" s="4">
        <f>SUM(BH225:BH277)*100</f>
        <v>678200</v>
      </c>
      <c r="BI281" s="4"/>
      <c r="BJ281" s="4"/>
      <c r="BK281" s="16"/>
      <c r="BL281" s="5"/>
      <c r="BM281" s="5"/>
      <c r="BN281" s="154" t="s">
        <v>21</v>
      </c>
      <c r="BO281" s="154"/>
      <c r="BP281" s="5">
        <f>SUM(BP225:BP277)</f>
        <v>87200</v>
      </c>
      <c r="BQ281" s="5"/>
      <c r="BR281" s="29"/>
      <c r="BT281" s="33"/>
      <c r="BU281" s="89" t="s">
        <v>20</v>
      </c>
      <c r="BV281" s="4">
        <f>SUM(BV225:BV277)*100</f>
        <v>101500</v>
      </c>
      <c r="BW281" s="4"/>
      <c r="BX281" s="4"/>
      <c r="BY281" s="16"/>
      <c r="BZ281" s="5"/>
      <c r="CA281" s="5"/>
      <c r="CB281" s="154" t="s">
        <v>21</v>
      </c>
      <c r="CC281" s="154"/>
      <c r="CD281" s="5">
        <f>SUM(CD225:CD277)</f>
        <v>41500</v>
      </c>
      <c r="CE281" s="5"/>
      <c r="CF281" s="29"/>
      <c r="CH281" s="14"/>
      <c r="CI281" s="23" t="s">
        <v>20</v>
      </c>
      <c r="CJ281" s="5">
        <f>SUM(CJ225:CJ277)*100</f>
        <v>64500</v>
      </c>
      <c r="CK281" s="5"/>
      <c r="CL281" s="5"/>
      <c r="CM281" s="16"/>
      <c r="CN281" s="5"/>
      <c r="CO281" s="5"/>
      <c r="CP281" s="5"/>
      <c r="CQ281" s="5"/>
      <c r="CR281" s="5"/>
      <c r="CS281" s="5"/>
      <c r="CT281" s="29"/>
      <c r="CV281" s="14"/>
      <c r="CW281" s="23" t="s">
        <v>20</v>
      </c>
      <c r="CX281" s="5">
        <f>SUM(CX225:CX277)*100</f>
        <v>22000</v>
      </c>
      <c r="CY281" s="5"/>
      <c r="CZ281" s="5"/>
      <c r="DA281" s="16"/>
      <c r="DB281" s="5"/>
      <c r="DC281" s="5"/>
      <c r="DD281" s="5"/>
      <c r="DE281" s="5"/>
      <c r="DF281" s="5"/>
      <c r="DG281" s="5"/>
      <c r="DH281" s="29"/>
      <c r="DJ281" s="14"/>
      <c r="DK281" s="23" t="s">
        <v>20</v>
      </c>
      <c r="DL281" s="5">
        <f>SUM(DL225:DL277)*100</f>
        <v>32000</v>
      </c>
      <c r="DM281" s="5"/>
      <c r="DN281" s="5"/>
      <c r="DO281" s="16"/>
      <c r="DP281" s="5"/>
      <c r="DQ281" s="5"/>
      <c r="DR281" s="5"/>
      <c r="DS281" s="5"/>
      <c r="DT281" s="5"/>
      <c r="DU281" s="5"/>
      <c r="DV281" s="29"/>
      <c r="DX281" s="14"/>
      <c r="DY281" s="23" t="s">
        <v>20</v>
      </c>
      <c r="DZ281" s="5">
        <f>SUM(DZ225:DZ277)*100</f>
        <v>606800</v>
      </c>
      <c r="EA281" s="5"/>
      <c r="EB281" s="5"/>
      <c r="EC281" s="16"/>
      <c r="ED281" s="5"/>
      <c r="EE281" s="5"/>
      <c r="EF281" s="5"/>
      <c r="EG281" s="5"/>
      <c r="EH281" s="5"/>
      <c r="EI281" s="5"/>
      <c r="EJ281" s="29"/>
      <c r="EL281" s="14"/>
      <c r="EM281" s="23" t="s">
        <v>20</v>
      </c>
      <c r="EN281" s="5">
        <f>SUM(EN225:EN277)*100</f>
        <v>46700</v>
      </c>
      <c r="EO281" s="5"/>
      <c r="EP281" s="5"/>
      <c r="EQ281" s="16"/>
      <c r="ER281" s="5"/>
      <c r="ES281" s="5"/>
      <c r="ET281" s="5"/>
      <c r="EU281" s="5"/>
      <c r="EV281" s="5"/>
      <c r="EW281" s="5"/>
      <c r="EX281" s="29"/>
      <c r="EZ281" s="14"/>
      <c r="FA281" s="23" t="s">
        <v>20</v>
      </c>
      <c r="FB281" s="5">
        <f>SUM(FB225:FB277)*100</f>
        <v>28500</v>
      </c>
      <c r="FC281" s="5"/>
      <c r="FD281" s="5"/>
      <c r="FE281" s="16"/>
      <c r="FF281" s="5"/>
      <c r="FG281" s="5"/>
      <c r="FH281" s="5"/>
      <c r="FI281" s="5"/>
      <c r="FJ281" s="5"/>
      <c r="FK281" s="5"/>
      <c r="FL281" s="29"/>
      <c r="FN281" s="14"/>
      <c r="FO281" s="23" t="s">
        <v>20</v>
      </c>
      <c r="FP281" s="5">
        <f>SUM(FP225:FP277)*100</f>
        <v>36500</v>
      </c>
      <c r="FQ281" s="5"/>
      <c r="FR281" s="5"/>
      <c r="FS281" s="16"/>
      <c r="FT281" s="5"/>
      <c r="FU281" s="5"/>
      <c r="FV281" s="5"/>
      <c r="FW281" s="5"/>
      <c r="FX281" s="5"/>
      <c r="FY281" s="5"/>
      <c r="FZ281" s="29"/>
      <c r="GB281" s="14"/>
      <c r="GC281" s="23" t="s">
        <v>20</v>
      </c>
      <c r="GD281" s="5">
        <f>SUM(GD225:GD277)*100</f>
        <v>27500</v>
      </c>
      <c r="GE281" s="5"/>
      <c r="GF281" s="5"/>
      <c r="GG281" s="16"/>
      <c r="GH281" s="5"/>
      <c r="GI281" s="5"/>
      <c r="GJ281" s="5"/>
      <c r="GK281" s="5"/>
      <c r="GL281" s="5"/>
      <c r="GM281" s="5"/>
      <c r="GN281" s="29"/>
      <c r="GP281" s="14"/>
      <c r="GQ281" s="23" t="s">
        <v>20</v>
      </c>
      <c r="GR281" s="5">
        <f>SUM(GR225:GR277)*100</f>
        <v>106200</v>
      </c>
      <c r="GS281" s="5"/>
      <c r="GT281" s="5"/>
      <c r="GU281" s="5"/>
      <c r="GV281" s="5"/>
      <c r="GW281" s="16"/>
      <c r="GX281" s="5"/>
      <c r="GY281" s="5"/>
      <c r="GZ281" s="5"/>
      <c r="HA281" s="5"/>
      <c r="HB281" s="5"/>
      <c r="HC281" s="5"/>
      <c r="HD281" s="29"/>
      <c r="HF281" s="14"/>
      <c r="HG281" s="23" t="s">
        <v>20</v>
      </c>
      <c r="HH281" s="5">
        <f>SUM(HH225:HH277)*100</f>
        <v>23000</v>
      </c>
      <c r="HI281" s="5"/>
      <c r="HJ281" s="29"/>
      <c r="HL281" s="14"/>
      <c r="HM281" s="23" t="s">
        <v>20</v>
      </c>
      <c r="HN281" s="5">
        <f>SUM(HN225:HN277)*100</f>
        <v>18200</v>
      </c>
      <c r="HO281" s="5"/>
      <c r="HP281" s="29"/>
      <c r="HR281" s="14"/>
      <c r="HS281" s="23" t="s">
        <v>20</v>
      </c>
      <c r="HT281" s="5">
        <f>SUM(HT225:HT277)*100</f>
        <v>27600</v>
      </c>
      <c r="HU281" s="5"/>
      <c r="HV281" s="29"/>
    </row>
    <row r="282" spans="1:230" x14ac:dyDescent="0.2">
      <c r="A282" s="91"/>
      <c r="B282" s="71"/>
      <c r="C282" s="16" t="s">
        <v>22</v>
      </c>
      <c r="D282" s="5">
        <f>D281/A286</f>
        <v>3062.962962962963</v>
      </c>
      <c r="E282" s="5">
        <f>D282*A285</f>
        <v>82700</v>
      </c>
      <c r="F282" s="5"/>
      <c r="G282" s="16"/>
      <c r="H282" s="5"/>
      <c r="I282" s="5"/>
      <c r="J282" s="161" t="s">
        <v>23</v>
      </c>
      <c r="K282" s="161"/>
      <c r="L282" s="5"/>
      <c r="M282" s="92">
        <f>L281/D281</f>
        <v>3.1656590084643291E-2</v>
      </c>
      <c r="N282" s="29"/>
      <c r="P282" s="93"/>
      <c r="Q282" s="16" t="s">
        <v>22</v>
      </c>
      <c r="R282" s="5">
        <f>R281/A286</f>
        <v>3966.6666666666665</v>
      </c>
      <c r="S282" s="5">
        <f>R282*A285</f>
        <v>107100</v>
      </c>
      <c r="T282" s="5"/>
      <c r="U282" s="16"/>
      <c r="V282" s="5"/>
      <c r="W282" s="5"/>
      <c r="X282" s="161" t="s">
        <v>23</v>
      </c>
      <c r="Y282" s="161"/>
      <c r="Z282" s="5"/>
      <c r="AA282" s="92">
        <f>Z281/R281</f>
        <v>0.19</v>
      </c>
      <c r="AB282" s="29"/>
      <c r="AD282" s="93"/>
      <c r="AE282" s="16" t="s">
        <v>22</v>
      </c>
      <c r="AF282" s="5">
        <f>AF281/A286</f>
        <v>9040.7407407407409</v>
      </c>
      <c r="AG282" s="5">
        <f>AF282*A285</f>
        <v>244100</v>
      </c>
      <c r="AH282" s="5"/>
      <c r="AI282" s="16"/>
      <c r="AJ282" s="5"/>
      <c r="AK282" s="5"/>
      <c r="AL282" s="161" t="s">
        <v>23</v>
      </c>
      <c r="AM282" s="161"/>
      <c r="AN282" s="5"/>
      <c r="AO282" s="92">
        <f>AN281/AF281</f>
        <v>0.18925440393281442</v>
      </c>
      <c r="AP282" s="29"/>
      <c r="AR282" s="93"/>
      <c r="AS282" s="16" t="s">
        <v>22</v>
      </c>
      <c r="AT282" s="5">
        <f>AT281/A286</f>
        <v>6444.4444444444443</v>
      </c>
      <c r="AU282" s="5">
        <f>AT282*A285</f>
        <v>174000</v>
      </c>
      <c r="AV282" s="5"/>
      <c r="AW282" s="16"/>
      <c r="AX282" s="5"/>
      <c r="AY282" s="5"/>
      <c r="AZ282" s="161" t="s">
        <v>23</v>
      </c>
      <c r="BA282" s="161"/>
      <c r="BB282" s="5"/>
      <c r="BC282" s="92">
        <f>BB281/AT281</f>
        <v>6.8931034482758627E-2</v>
      </c>
      <c r="BD282" s="29"/>
      <c r="BE282" s="32"/>
      <c r="BF282" s="25"/>
      <c r="BG282" s="16" t="s">
        <v>22</v>
      </c>
      <c r="BH282" s="5">
        <f>BH281/A286</f>
        <v>25118.518518518518</v>
      </c>
      <c r="BI282" s="5">
        <f>BH282*$A285</f>
        <v>678200</v>
      </c>
      <c r="BJ282" s="5"/>
      <c r="BK282" s="16"/>
      <c r="BL282" s="5"/>
      <c r="BM282" s="5"/>
      <c r="BN282" s="154" t="s">
        <v>23</v>
      </c>
      <c r="BO282" s="154"/>
      <c r="BP282" s="5"/>
      <c r="BQ282" s="92">
        <f>BP281/BH281</f>
        <v>0.12857564140371572</v>
      </c>
      <c r="BR282" s="29"/>
      <c r="BT282" s="25"/>
      <c r="BU282" s="16" t="s">
        <v>22</v>
      </c>
      <c r="BV282" s="5">
        <f>BV281/A286</f>
        <v>3759.2592592592591</v>
      </c>
      <c r="BW282" s="5">
        <f>BV282*$A285</f>
        <v>101500</v>
      </c>
      <c r="BX282" s="5"/>
      <c r="BY282" s="16"/>
      <c r="BZ282" s="5"/>
      <c r="CA282" s="5"/>
      <c r="CB282" s="154" t="s">
        <v>23</v>
      </c>
      <c r="CC282" s="154"/>
      <c r="CD282" s="5"/>
      <c r="CE282" s="92">
        <f>CD281/BV281</f>
        <v>0.40886699507389163</v>
      </c>
      <c r="CF282" s="29"/>
      <c r="CH282" s="14"/>
      <c r="CI282" s="23" t="s">
        <v>22</v>
      </c>
      <c r="CJ282" s="5">
        <f>CJ281/A286</f>
        <v>2388.8888888888887</v>
      </c>
      <c r="CK282" s="5">
        <f>CJ282*A285</f>
        <v>64499.999999999993</v>
      </c>
      <c r="CL282" s="5"/>
      <c r="CM282" s="16"/>
      <c r="CN282" s="5"/>
      <c r="CO282" s="5"/>
      <c r="CP282" s="5"/>
      <c r="CQ282" s="5"/>
      <c r="CR282" s="5"/>
      <c r="CS282" s="5"/>
      <c r="CT282" s="29"/>
      <c r="CV282" s="14"/>
      <c r="CW282" s="23" t="s">
        <v>22</v>
      </c>
      <c r="CX282" s="5">
        <f>CX281/A286</f>
        <v>814.81481481481478</v>
      </c>
      <c r="CY282" s="5">
        <f>CX282*A285</f>
        <v>22000</v>
      </c>
      <c r="CZ282" s="5"/>
      <c r="DA282" s="16"/>
      <c r="DB282" s="5"/>
      <c r="DC282" s="5"/>
      <c r="DD282" s="5"/>
      <c r="DE282" s="5"/>
      <c r="DF282" s="5"/>
      <c r="DG282" s="5"/>
      <c r="DH282" s="29"/>
      <c r="DJ282" s="14"/>
      <c r="DK282" s="23" t="s">
        <v>22</v>
      </c>
      <c r="DL282" s="5">
        <f>DL281/A286</f>
        <v>1185.1851851851852</v>
      </c>
      <c r="DM282" s="5">
        <f>DL282*A285</f>
        <v>32000</v>
      </c>
      <c r="DN282" s="5"/>
      <c r="DO282" s="16"/>
      <c r="DP282" s="5"/>
      <c r="DQ282" s="5"/>
      <c r="DR282" s="5"/>
      <c r="DS282" s="5"/>
      <c r="DT282" s="5"/>
      <c r="DU282" s="5"/>
      <c r="DV282" s="29"/>
      <c r="DX282" s="14"/>
      <c r="DY282" s="23" t="s">
        <v>22</v>
      </c>
      <c r="DZ282" s="5">
        <f>DZ281/A286</f>
        <v>22474.074074074073</v>
      </c>
      <c r="EA282" s="5">
        <f>DZ282*A285</f>
        <v>606800</v>
      </c>
      <c r="EB282" s="5"/>
      <c r="EC282" s="16"/>
      <c r="ED282" s="5"/>
      <c r="EE282" s="5"/>
      <c r="EF282" s="5"/>
      <c r="EG282" s="5"/>
      <c r="EH282" s="5"/>
      <c r="EI282" s="5"/>
      <c r="EJ282" s="29"/>
      <c r="EL282" s="14"/>
      <c r="EM282" s="23" t="s">
        <v>22</v>
      </c>
      <c r="EN282" s="5">
        <f>EN281/A286</f>
        <v>1729.6296296296296</v>
      </c>
      <c r="EO282" s="5">
        <f>EN282*A285</f>
        <v>46700</v>
      </c>
      <c r="EP282" s="5"/>
      <c r="EQ282" s="16"/>
      <c r="ER282" s="5"/>
      <c r="ES282" s="5"/>
      <c r="ET282" s="5"/>
      <c r="EU282" s="5"/>
      <c r="EV282" s="5"/>
      <c r="EW282" s="5"/>
      <c r="EX282" s="29"/>
      <c r="EZ282" s="14"/>
      <c r="FA282" s="23" t="s">
        <v>22</v>
      </c>
      <c r="FB282" s="5">
        <f>FB281/A286</f>
        <v>1055.5555555555557</v>
      </c>
      <c r="FC282" s="5">
        <f>FB282*A285</f>
        <v>28500.000000000004</v>
      </c>
      <c r="FD282" s="5"/>
      <c r="FE282" s="16"/>
      <c r="FF282" s="5"/>
      <c r="FG282" s="5"/>
      <c r="FH282" s="5"/>
      <c r="FI282" s="5"/>
      <c r="FJ282" s="5"/>
      <c r="FK282" s="5"/>
      <c r="FL282" s="29"/>
      <c r="FN282" s="14"/>
      <c r="FO282" s="23" t="s">
        <v>22</v>
      </c>
      <c r="FP282" s="5">
        <f>FP281/A286</f>
        <v>1351.851851851852</v>
      </c>
      <c r="FQ282" s="5">
        <f>FP282*A285</f>
        <v>36500</v>
      </c>
      <c r="FR282" s="5"/>
      <c r="FS282" s="16"/>
      <c r="FT282" s="5"/>
      <c r="FU282" s="5"/>
      <c r="FV282" s="5"/>
      <c r="FW282" s="5"/>
      <c r="FX282" s="5"/>
      <c r="FY282" s="5"/>
      <c r="FZ282" s="29"/>
      <c r="GB282" s="14"/>
      <c r="GC282" s="23" t="s">
        <v>22</v>
      </c>
      <c r="GD282" s="5">
        <f>GD281/A286</f>
        <v>1018.5185185185185</v>
      </c>
      <c r="GE282" s="5">
        <f>GD282*A285</f>
        <v>27500</v>
      </c>
      <c r="GF282" s="5"/>
      <c r="GG282" s="16"/>
      <c r="GH282" s="5"/>
      <c r="GI282" s="5"/>
      <c r="GJ282" s="5"/>
      <c r="GK282" s="5"/>
      <c r="GL282" s="5"/>
      <c r="GM282" s="5"/>
      <c r="GN282" s="29"/>
      <c r="GP282" s="14"/>
      <c r="GQ282" s="23" t="s">
        <v>22</v>
      </c>
      <c r="GR282" s="5">
        <f>GR281/A286</f>
        <v>3933.3333333333335</v>
      </c>
      <c r="GS282" s="5"/>
      <c r="GT282" s="5"/>
      <c r="GU282" s="5">
        <f>GR282*A285</f>
        <v>106200</v>
      </c>
      <c r="GV282" s="5"/>
      <c r="GW282" s="16"/>
      <c r="GX282" s="5"/>
      <c r="GY282" s="5"/>
      <c r="GZ282" s="5"/>
      <c r="HA282" s="5"/>
      <c r="HB282" s="5"/>
      <c r="HC282" s="5"/>
      <c r="HD282" s="29"/>
      <c r="HF282" s="14"/>
      <c r="HG282" s="23" t="s">
        <v>22</v>
      </c>
      <c r="HH282" s="5">
        <f>HH281/A286</f>
        <v>851.85185185185185</v>
      </c>
      <c r="HI282" s="5">
        <f>HH282*A285</f>
        <v>23000</v>
      </c>
      <c r="HJ282" s="29"/>
      <c r="HL282" s="14"/>
      <c r="HM282" s="23" t="s">
        <v>22</v>
      </c>
      <c r="HN282" s="5">
        <f>HN281/A286</f>
        <v>674.07407407407402</v>
      </c>
      <c r="HO282" s="5">
        <f>HN282*A285</f>
        <v>18200</v>
      </c>
      <c r="HP282" s="29"/>
      <c r="HR282" s="14"/>
      <c r="HS282" s="23" t="s">
        <v>22</v>
      </c>
      <c r="HT282" s="5">
        <f>HT281/A286</f>
        <v>1022.2222222222222</v>
      </c>
      <c r="HU282" s="5">
        <f>HT282*A285</f>
        <v>27600</v>
      </c>
      <c r="HV282" s="29"/>
    </row>
    <row r="283" spans="1:230" x14ac:dyDescent="0.2">
      <c r="A283" s="25"/>
      <c r="B283" s="94"/>
      <c r="C283" s="23" t="s">
        <v>24</v>
      </c>
      <c r="D283" s="5">
        <f>D281*0.6</f>
        <v>49620</v>
      </c>
      <c r="E283" s="5"/>
      <c r="F283" s="5"/>
      <c r="G283" s="16"/>
      <c r="H283" s="5"/>
      <c r="I283" s="5"/>
      <c r="J283" s="161" t="s">
        <v>25</v>
      </c>
      <c r="K283" s="161"/>
      <c r="L283" s="5">
        <f>D283-L281</f>
        <v>47002</v>
      </c>
      <c r="M283" s="92">
        <f>L283/D281</f>
        <v>0.5683434099153567</v>
      </c>
      <c r="N283" s="29"/>
      <c r="P283" s="25"/>
      <c r="Q283" s="23" t="s">
        <v>24</v>
      </c>
      <c r="R283" s="5">
        <f>R281*0.6</f>
        <v>64260</v>
      </c>
      <c r="S283" s="5"/>
      <c r="T283" s="5"/>
      <c r="U283" s="16"/>
      <c r="V283" s="5"/>
      <c r="W283" s="5"/>
      <c r="X283" s="161" t="s">
        <v>25</v>
      </c>
      <c r="Y283" s="161"/>
      <c r="Z283" s="5">
        <f>R283-Z281</f>
        <v>43911</v>
      </c>
      <c r="AA283" s="92">
        <f>Z283/R281</f>
        <v>0.41</v>
      </c>
      <c r="AB283" s="29"/>
      <c r="AD283" s="25"/>
      <c r="AE283" s="23" t="s">
        <v>24</v>
      </c>
      <c r="AF283" s="5">
        <f>AF281*0.6</f>
        <v>146460</v>
      </c>
      <c r="AG283" s="5"/>
      <c r="AH283" s="5"/>
      <c r="AI283" s="16"/>
      <c r="AJ283" s="5"/>
      <c r="AK283" s="5"/>
      <c r="AL283" s="161" t="s">
        <v>25</v>
      </c>
      <c r="AM283" s="161"/>
      <c r="AN283" s="5">
        <f>AF283-AN281</f>
        <v>100263</v>
      </c>
      <c r="AO283" s="92">
        <f>AN283/AF281</f>
        <v>0.41074559606718558</v>
      </c>
      <c r="AP283" s="29"/>
      <c r="AR283" s="25"/>
      <c r="AS283" s="23" t="s">
        <v>24</v>
      </c>
      <c r="AT283" s="5">
        <f>AT281*0.6</f>
        <v>104400</v>
      </c>
      <c r="AU283" s="5"/>
      <c r="AV283" s="5"/>
      <c r="AW283" s="16"/>
      <c r="AX283" s="5"/>
      <c r="AY283" s="5"/>
      <c r="AZ283" s="161" t="s">
        <v>25</v>
      </c>
      <c r="BA283" s="161"/>
      <c r="BB283" s="5">
        <f>AT283-BB281</f>
        <v>92406</v>
      </c>
      <c r="BC283" s="92">
        <f>BB283/AT281</f>
        <v>0.53106896551724136</v>
      </c>
      <c r="BD283" s="29"/>
      <c r="BE283" s="32"/>
      <c r="BF283" s="25"/>
      <c r="BG283" s="16" t="s">
        <v>24</v>
      </c>
      <c r="BH283" s="5">
        <f>BH281*$K291</f>
        <v>0</v>
      </c>
      <c r="BI283" s="5"/>
      <c r="BJ283" s="5"/>
      <c r="BK283" s="16"/>
      <c r="BL283" s="5"/>
      <c r="BM283" s="5"/>
      <c r="BN283" s="154" t="s">
        <v>25</v>
      </c>
      <c r="BO283" s="154"/>
      <c r="BP283" s="5">
        <f>BH283-BP281</f>
        <v>-87200</v>
      </c>
      <c r="BQ283" s="92">
        <f>BP283/BH281</f>
        <v>-0.12857564140371572</v>
      </c>
      <c r="BR283" s="29"/>
      <c r="BT283" s="25"/>
      <c r="BU283" s="16" t="s">
        <v>24</v>
      </c>
      <c r="BV283" s="5">
        <f>BV281*$K291</f>
        <v>0</v>
      </c>
      <c r="BW283" s="5"/>
      <c r="BX283" s="5"/>
      <c r="BY283" s="16"/>
      <c r="BZ283" s="5"/>
      <c r="CA283" s="5"/>
      <c r="CB283" s="154" t="s">
        <v>25</v>
      </c>
      <c r="CC283" s="154"/>
      <c r="CD283" s="5">
        <f>BV283-CD281</f>
        <v>-41500</v>
      </c>
      <c r="CE283" s="92">
        <f>CD283/BV281</f>
        <v>-0.40886699507389163</v>
      </c>
      <c r="CF283" s="29"/>
      <c r="CH283" s="14"/>
      <c r="CI283" s="23" t="s">
        <v>24</v>
      </c>
      <c r="CJ283" s="5">
        <f>CJ281*0.6</f>
        <v>38700</v>
      </c>
      <c r="CK283" s="5"/>
      <c r="CL283" s="5"/>
      <c r="CM283" s="16" t="s">
        <v>37</v>
      </c>
      <c r="CN283" s="5">
        <f>SUM(CR225:CR277)</f>
        <v>2640</v>
      </c>
      <c r="CO283" s="92">
        <f>CN283/CJ281</f>
        <v>4.0930232558139532E-2</v>
      </c>
      <c r="CP283" s="92"/>
      <c r="CQ283" s="5"/>
      <c r="CR283" s="5"/>
      <c r="CS283" s="5"/>
      <c r="CT283" s="29"/>
      <c r="CV283" s="14"/>
      <c r="CW283" s="23" t="s">
        <v>24</v>
      </c>
      <c r="CX283" s="5">
        <f>CX281*0.6</f>
        <v>13200</v>
      </c>
      <c r="CY283" s="5"/>
      <c r="CZ283" s="5"/>
      <c r="DA283" s="16" t="s">
        <v>37</v>
      </c>
      <c r="DB283" s="5">
        <f>SUM(DF225:DF277)</f>
        <v>0</v>
      </c>
      <c r="DC283" s="92">
        <f>DB283/CX281</f>
        <v>0</v>
      </c>
      <c r="DD283" s="92"/>
      <c r="DE283" s="5"/>
      <c r="DF283" s="5"/>
      <c r="DG283" s="5"/>
      <c r="DH283" s="29"/>
      <c r="DJ283" s="14"/>
      <c r="DK283" s="23" t="s">
        <v>24</v>
      </c>
      <c r="DL283" s="5">
        <f>DL281*0.6</f>
        <v>19200</v>
      </c>
      <c r="DM283" s="5"/>
      <c r="DN283" s="5"/>
      <c r="DO283" s="16" t="s">
        <v>37</v>
      </c>
      <c r="DP283" s="5">
        <f>SUM(DT225:DT277)</f>
        <v>1500</v>
      </c>
      <c r="DQ283" s="92">
        <f>DP283/DL281</f>
        <v>4.6875E-2</v>
      </c>
      <c r="DR283" s="92"/>
      <c r="DS283" s="5"/>
      <c r="DT283" s="5"/>
      <c r="DU283" s="5"/>
      <c r="DV283" s="29"/>
      <c r="DX283" s="14"/>
      <c r="DY283" s="23" t="s">
        <v>24</v>
      </c>
      <c r="DZ283" s="5">
        <f>DZ281*0.6</f>
        <v>364080</v>
      </c>
      <c r="EA283" s="5"/>
      <c r="EB283" s="5"/>
      <c r="EC283" s="16" t="s">
        <v>37</v>
      </c>
      <c r="ED283" s="5">
        <f>SUM(EH225:EH277)</f>
        <v>52500</v>
      </c>
      <c r="EE283" s="92">
        <f>ED283/DZ281</f>
        <v>8.6519446275543838E-2</v>
      </c>
      <c r="EF283" s="92"/>
      <c r="EG283" s="5"/>
      <c r="EH283" s="5"/>
      <c r="EI283" s="5"/>
      <c r="EJ283" s="29"/>
      <c r="EL283" s="14"/>
      <c r="EM283" s="23" t="s">
        <v>24</v>
      </c>
      <c r="EN283" s="5">
        <f>EN281*0.6</f>
        <v>28020</v>
      </c>
      <c r="EO283" s="5"/>
      <c r="EP283" s="5"/>
      <c r="EQ283" s="16" t="s">
        <v>37</v>
      </c>
      <c r="ER283" s="5">
        <f>SUM(EV225:EV277)</f>
        <v>5280</v>
      </c>
      <c r="ES283" s="92">
        <f>ER283/EN281</f>
        <v>0.11306209850107066</v>
      </c>
      <c r="ET283" s="92"/>
      <c r="EU283" s="5"/>
      <c r="EV283" s="5"/>
      <c r="EW283" s="5"/>
      <c r="EX283" s="29"/>
      <c r="EZ283" s="14"/>
      <c r="FA283" s="23" t="s">
        <v>24</v>
      </c>
      <c r="FB283" s="5">
        <f>FB281*0.6</f>
        <v>17100</v>
      </c>
      <c r="FC283" s="5"/>
      <c r="FD283" s="5"/>
      <c r="FE283" s="16" t="s">
        <v>37</v>
      </c>
      <c r="FF283" s="5">
        <f>SUM(FJ225:FJ277)</f>
        <v>21560</v>
      </c>
      <c r="FG283" s="92">
        <f>FF283/FB281</f>
        <v>0.75649122807017544</v>
      </c>
      <c r="FH283" s="92"/>
      <c r="FI283" s="5"/>
      <c r="FJ283" s="5"/>
      <c r="FK283" s="5"/>
      <c r="FL283" s="29"/>
      <c r="FN283" s="14"/>
      <c r="FO283" s="23" t="s">
        <v>24</v>
      </c>
      <c r="FP283" s="5">
        <f>FP281*0.6</f>
        <v>21900</v>
      </c>
      <c r="FQ283" s="5"/>
      <c r="FR283" s="5"/>
      <c r="FS283" s="16" t="s">
        <v>37</v>
      </c>
      <c r="FT283" s="5">
        <f>SUM(FX225:FX277)</f>
        <v>25740</v>
      </c>
      <c r="FU283" s="92">
        <f>FT283/FP281</f>
        <v>0.70520547945205481</v>
      </c>
      <c r="FV283" s="92"/>
      <c r="FW283" s="5"/>
      <c r="FX283" s="5"/>
      <c r="FY283" s="5"/>
      <c r="FZ283" s="29"/>
      <c r="GB283" s="14"/>
      <c r="GC283" s="23" t="s">
        <v>24</v>
      </c>
      <c r="GD283" s="5">
        <f>GD281*0.6</f>
        <v>16500</v>
      </c>
      <c r="GE283" s="5"/>
      <c r="GF283" s="5"/>
      <c r="GG283" s="16" t="s">
        <v>37</v>
      </c>
      <c r="GH283" s="5">
        <f>SUM(GL225:GL277)</f>
        <v>12600</v>
      </c>
      <c r="GI283" s="92">
        <f>GH283/GD281</f>
        <v>0.45818181818181819</v>
      </c>
      <c r="GJ283" s="92"/>
      <c r="GK283" s="5"/>
      <c r="GL283" s="5"/>
      <c r="GM283" s="5"/>
      <c r="GN283" s="29"/>
      <c r="GP283" s="14"/>
      <c r="GQ283" s="23" t="s">
        <v>24</v>
      </c>
      <c r="GR283" s="5">
        <f>GR281*0.6</f>
        <v>63720</v>
      </c>
      <c r="GS283" s="5"/>
      <c r="GT283" s="5"/>
      <c r="GU283" s="5"/>
      <c r="GV283" s="5"/>
      <c r="GW283" s="16" t="s">
        <v>37</v>
      </c>
      <c r="GX283" s="5">
        <f>SUM(HB225:HB277)</f>
        <v>17000</v>
      </c>
      <c r="GY283" s="92">
        <f>GX283/GR281</f>
        <v>0.160075329566855</v>
      </c>
      <c r="GZ283" s="92"/>
      <c r="HA283" s="5"/>
      <c r="HB283" s="5"/>
      <c r="HC283" s="5"/>
      <c r="HD283" s="29"/>
      <c r="HF283" s="14"/>
      <c r="HG283" s="23" t="s">
        <v>24</v>
      </c>
      <c r="HH283" s="5">
        <f>HH281*0.6</f>
        <v>13800</v>
      </c>
      <c r="HI283" s="5"/>
      <c r="HJ283" s="29"/>
      <c r="HL283" s="14"/>
      <c r="HM283" s="23" t="s">
        <v>24</v>
      </c>
      <c r="HN283" s="5">
        <f>HN281*0.6</f>
        <v>10920</v>
      </c>
      <c r="HO283" s="5"/>
      <c r="HP283" s="29"/>
      <c r="HR283" s="14"/>
      <c r="HS283" s="23" t="s">
        <v>24</v>
      </c>
      <c r="HT283" s="5">
        <f>HT281*0.6</f>
        <v>16560</v>
      </c>
      <c r="HU283" s="5"/>
      <c r="HV283" s="29"/>
    </row>
    <row r="284" spans="1:230" x14ac:dyDescent="0.2">
      <c r="A284" s="33"/>
      <c r="B284" s="26"/>
      <c r="C284" s="16" t="s">
        <v>26</v>
      </c>
      <c r="D284" s="5"/>
      <c r="E284" s="5"/>
      <c r="F284" s="5"/>
      <c r="G284" s="16"/>
      <c r="H284" s="5"/>
      <c r="I284" s="95"/>
      <c r="J284" s="159" t="s">
        <v>285</v>
      </c>
      <c r="K284" s="159"/>
      <c r="L284" s="4">
        <f>(G249+I249)*K249+(G250+I250)*K250+(G251+I251)*K251+(G252+I252)*K252</f>
        <v>22532</v>
      </c>
      <c r="M284" s="36"/>
      <c r="N284" s="29"/>
      <c r="P284" s="33"/>
      <c r="Q284" s="16" t="s">
        <v>26</v>
      </c>
      <c r="R284" s="5"/>
      <c r="S284" s="5"/>
      <c r="T284" s="5"/>
      <c r="U284" s="16"/>
      <c r="V284" s="5"/>
      <c r="W284" s="95"/>
      <c r="X284" s="159" t="s">
        <v>285</v>
      </c>
      <c r="Y284" s="159"/>
      <c r="Z284" s="4">
        <f>(U249+W249)*Y249+(U250+W250)*Y250+(U251+W251)*Y251+(U252+W252)*Y252</f>
        <v>127063</v>
      </c>
      <c r="AA284" s="36"/>
      <c r="AB284" s="29"/>
      <c r="AD284" s="33"/>
      <c r="AE284" s="16" t="s">
        <v>26</v>
      </c>
      <c r="AF284" s="5"/>
      <c r="AG284" s="5"/>
      <c r="AH284" s="5"/>
      <c r="AI284" s="16"/>
      <c r="AJ284" s="5"/>
      <c r="AK284" s="95"/>
      <c r="AL284" s="159" t="s">
        <v>285</v>
      </c>
      <c r="AM284" s="159"/>
      <c r="AN284" s="4">
        <f>(AI249+AK249)*AM249+(AI250+AK250)*AM250+(AI251+AK251)*AM251+(AI252+AK252)*AM252</f>
        <v>56912</v>
      </c>
      <c r="AO284" s="36"/>
      <c r="AP284" s="29"/>
      <c r="AR284" s="33"/>
      <c r="AS284" s="16" t="s">
        <v>26</v>
      </c>
      <c r="AT284" s="5"/>
      <c r="AU284" s="5"/>
      <c r="AV284" s="5"/>
      <c r="AW284" s="16"/>
      <c r="AX284" s="5"/>
      <c r="AY284" s="95"/>
      <c r="AZ284" s="159" t="s">
        <v>285</v>
      </c>
      <c r="BA284" s="159"/>
      <c r="BB284" s="4">
        <f>(AW249+AY249)*BA249+(AW250+AY250)*BA250+(AW251+AY251)*BA251+(AW252+AY252)*BA252</f>
        <v>29038</v>
      </c>
      <c r="BC284" s="36"/>
      <c r="BD284" s="29"/>
      <c r="BE284" s="32"/>
      <c r="BF284" s="25"/>
      <c r="BG284" s="16" t="s">
        <v>26</v>
      </c>
      <c r="BH284" s="5">
        <f>CH353</f>
        <v>0</v>
      </c>
      <c r="BI284" s="5"/>
      <c r="BJ284" s="5"/>
      <c r="BK284" s="16"/>
      <c r="BL284" s="5"/>
      <c r="BM284" s="5"/>
      <c r="BN284" s="159" t="s">
        <v>285</v>
      </c>
      <c r="BO284" s="160"/>
      <c r="BP284" s="4">
        <f>(BK257+BM257)*BO257+(BK258+BM258)*BO258+(BK259+BM259)*BO259+(BK260+BM260)*BO260</f>
        <v>0</v>
      </c>
      <c r="BQ284" s="36"/>
      <c r="BR284" s="29"/>
      <c r="BT284" s="25"/>
      <c r="BU284" s="16" t="s">
        <v>26</v>
      </c>
      <c r="BV284" s="5">
        <f>DK353</f>
        <v>0</v>
      </c>
      <c r="BW284" s="5"/>
      <c r="BX284" s="5"/>
      <c r="BY284" s="16"/>
      <c r="BZ284" s="5"/>
      <c r="CA284" s="5"/>
      <c r="CB284" s="159" t="s">
        <v>285</v>
      </c>
      <c r="CC284" s="160"/>
      <c r="CD284" s="4">
        <f>(BY257+CA257)*CC257+(BY258+CA258)*CC258+(BY259+CA259)*CC259+(BY260+CA260)*CC260</f>
        <v>0</v>
      </c>
      <c r="CE284" s="36"/>
      <c r="CF284" s="29"/>
      <c r="CH284" s="14"/>
      <c r="CI284" s="23" t="s">
        <v>26</v>
      </c>
      <c r="CJ284" s="5" t="e">
        <f>#REF!</f>
        <v>#REF!</v>
      </c>
      <c r="CK284" s="5"/>
      <c r="CL284" s="5"/>
      <c r="CM284" s="16" t="s">
        <v>25</v>
      </c>
      <c r="CN284" s="5">
        <f>CJ283-CN283</f>
        <v>36060</v>
      </c>
      <c r="CO284" s="92">
        <f>CN284/CJ281</f>
        <v>0.55906976744186043</v>
      </c>
      <c r="CP284" s="92"/>
      <c r="CQ284" s="36"/>
      <c r="CR284" s="36"/>
      <c r="CS284" s="36"/>
      <c r="CT284" s="29"/>
      <c r="CV284" s="14"/>
      <c r="CW284" s="23" t="s">
        <v>26</v>
      </c>
      <c r="CX284" s="5" t="e">
        <f>#REF!</f>
        <v>#REF!</v>
      </c>
      <c r="CY284" s="5"/>
      <c r="CZ284" s="5"/>
      <c r="DA284" s="16" t="s">
        <v>25</v>
      </c>
      <c r="DB284" s="5">
        <f>CX283-DB283</f>
        <v>13200</v>
      </c>
      <c r="DC284" s="92">
        <f>DB284/CX281</f>
        <v>0.6</v>
      </c>
      <c r="DD284" s="92"/>
      <c r="DE284" s="36"/>
      <c r="DF284" s="36"/>
      <c r="DG284" s="36"/>
      <c r="DH284" s="29"/>
      <c r="DJ284" s="14"/>
      <c r="DK284" s="23" t="s">
        <v>26</v>
      </c>
      <c r="DL284" s="5" t="e">
        <f>#REF!</f>
        <v>#REF!</v>
      </c>
      <c r="DM284" s="5"/>
      <c r="DN284" s="5"/>
      <c r="DO284" s="16" t="s">
        <v>25</v>
      </c>
      <c r="DP284" s="5">
        <f>DL283-DP283</f>
        <v>17700</v>
      </c>
      <c r="DQ284" s="92">
        <f>DP284/DL281</f>
        <v>0.55312499999999998</v>
      </c>
      <c r="DR284" s="92"/>
      <c r="DS284" s="36"/>
      <c r="DT284" s="36"/>
      <c r="DU284" s="36"/>
      <c r="DV284" s="29"/>
      <c r="DX284" s="14"/>
      <c r="DY284" s="23" t="s">
        <v>26</v>
      </c>
      <c r="DZ284" s="5" t="e">
        <f>#REF!</f>
        <v>#REF!</v>
      </c>
      <c r="EA284" s="5"/>
      <c r="EB284" s="5"/>
      <c r="EC284" s="16" t="s">
        <v>25</v>
      </c>
      <c r="ED284" s="5">
        <f>DZ283-ED283</f>
        <v>311580</v>
      </c>
      <c r="EE284" s="92">
        <f>ED284/DZ281</f>
        <v>0.51348055372445611</v>
      </c>
      <c r="EF284" s="92"/>
      <c r="EG284" s="36"/>
      <c r="EH284" s="36"/>
      <c r="EI284" s="36"/>
      <c r="EJ284" s="29"/>
      <c r="EL284" s="14"/>
      <c r="EM284" s="23" t="s">
        <v>26</v>
      </c>
      <c r="EN284" s="5" t="e">
        <f>#REF!</f>
        <v>#REF!</v>
      </c>
      <c r="EO284" s="5"/>
      <c r="EP284" s="5"/>
      <c r="EQ284" s="16" t="s">
        <v>25</v>
      </c>
      <c r="ER284" s="5">
        <f>EN283-ER283</f>
        <v>22740</v>
      </c>
      <c r="ES284" s="92">
        <f>ER284/EN281</f>
        <v>0.48693790149892935</v>
      </c>
      <c r="ET284" s="92"/>
      <c r="EU284" s="36"/>
      <c r="EV284" s="36"/>
      <c r="EW284" s="36"/>
      <c r="EX284" s="29"/>
      <c r="EZ284" s="14"/>
      <c r="FA284" s="23" t="s">
        <v>26</v>
      </c>
      <c r="FB284" s="5" t="e">
        <f>#REF!</f>
        <v>#REF!</v>
      </c>
      <c r="FC284" s="5"/>
      <c r="FD284" s="5"/>
      <c r="FE284" s="16" t="s">
        <v>25</v>
      </c>
      <c r="FF284" s="5">
        <f>FB283-FF283</f>
        <v>-4460</v>
      </c>
      <c r="FG284" s="92">
        <f>FF284/FB281</f>
        <v>-0.15649122807017543</v>
      </c>
      <c r="FH284" s="92"/>
      <c r="FI284" s="36"/>
      <c r="FJ284" s="36"/>
      <c r="FK284" s="36"/>
      <c r="FL284" s="29"/>
      <c r="FN284" s="14"/>
      <c r="FO284" s="23" t="s">
        <v>26</v>
      </c>
      <c r="FP284" s="5" t="e">
        <f>#REF!</f>
        <v>#REF!</v>
      </c>
      <c r="FQ284" s="5"/>
      <c r="FR284" s="5"/>
      <c r="FS284" s="16" t="s">
        <v>25</v>
      </c>
      <c r="FT284" s="5">
        <f>FP283-FT283</f>
        <v>-3840</v>
      </c>
      <c r="FU284" s="92">
        <f>FT284/FP281</f>
        <v>-0.1052054794520548</v>
      </c>
      <c r="FV284" s="92"/>
      <c r="FW284" s="36"/>
      <c r="FX284" s="36"/>
      <c r="FY284" s="36"/>
      <c r="FZ284" s="29"/>
      <c r="GB284" s="14"/>
      <c r="GC284" s="23" t="s">
        <v>26</v>
      </c>
      <c r="GD284" s="5" t="e">
        <f>#REF!</f>
        <v>#REF!</v>
      </c>
      <c r="GE284" s="5"/>
      <c r="GF284" s="5"/>
      <c r="GG284" s="16" t="s">
        <v>25</v>
      </c>
      <c r="GH284" s="5">
        <f>GD283-GH283</f>
        <v>3900</v>
      </c>
      <c r="GI284" s="92">
        <f>GH284/GD281</f>
        <v>0.14181818181818182</v>
      </c>
      <c r="GJ284" s="92"/>
      <c r="GK284" s="36"/>
      <c r="GL284" s="36"/>
      <c r="GM284" s="36"/>
      <c r="GN284" s="29"/>
      <c r="GP284" s="14"/>
      <c r="GQ284" s="23" t="s">
        <v>26</v>
      </c>
      <c r="GR284" s="5" t="e">
        <f>#REF!</f>
        <v>#REF!</v>
      </c>
      <c r="GS284" s="5"/>
      <c r="GT284" s="5"/>
      <c r="GU284" s="5"/>
      <c r="GV284" s="5"/>
      <c r="GW284" s="16" t="s">
        <v>25</v>
      </c>
      <c r="GX284" s="5">
        <f>GR283-GX283</f>
        <v>46720</v>
      </c>
      <c r="GY284" s="92">
        <f>GX284/GR281</f>
        <v>0.43992467043314498</v>
      </c>
      <c r="GZ284" s="92"/>
      <c r="HA284" s="36"/>
      <c r="HB284" s="36"/>
      <c r="HC284" s="36"/>
      <c r="HD284" s="29"/>
      <c r="HF284" s="14"/>
      <c r="HG284" s="23" t="s">
        <v>26</v>
      </c>
      <c r="HH284" s="5" t="e">
        <f>#REF!</f>
        <v>#REF!</v>
      </c>
      <c r="HI284" s="5"/>
      <c r="HJ284" s="29"/>
      <c r="HL284" s="14"/>
      <c r="HM284" s="23" t="s">
        <v>26</v>
      </c>
      <c r="HN284" s="5" t="e">
        <f>#REF!</f>
        <v>#REF!</v>
      </c>
      <c r="HO284" s="5"/>
      <c r="HP284" s="29"/>
      <c r="HR284" s="14"/>
      <c r="HS284" s="23" t="s">
        <v>26</v>
      </c>
      <c r="HT284" s="5" t="e">
        <f>#REF!</f>
        <v>#REF!</v>
      </c>
      <c r="HU284" s="5"/>
      <c r="HV284" s="29"/>
    </row>
    <row r="285" spans="1:230" x14ac:dyDescent="0.2">
      <c r="A285" s="15">
        <v>27</v>
      </c>
      <c r="B285" s="96">
        <f>SUM(B225:B277)*100</f>
        <v>2404800</v>
      </c>
      <c r="C285" s="16"/>
      <c r="D285" s="5"/>
      <c r="E285" s="5"/>
      <c r="F285" s="5"/>
      <c r="G285" s="16"/>
      <c r="H285" s="5"/>
      <c r="I285" s="95"/>
      <c r="J285" s="97"/>
      <c r="K285" s="98"/>
      <c r="L285" s="27"/>
      <c r="M285" s="36"/>
      <c r="N285" s="29"/>
      <c r="P285" s="33"/>
      <c r="Q285" s="16"/>
      <c r="R285" s="5"/>
      <c r="S285" s="5"/>
      <c r="T285" s="5"/>
      <c r="U285" s="16"/>
      <c r="V285" s="5"/>
      <c r="W285" s="95"/>
      <c r="X285" s="97"/>
      <c r="Y285" s="98"/>
      <c r="Z285" s="27"/>
      <c r="AA285" s="36"/>
      <c r="AB285" s="29"/>
      <c r="AD285" s="33"/>
      <c r="AE285" s="16"/>
      <c r="AF285" s="5"/>
      <c r="AG285" s="5"/>
      <c r="AH285" s="5"/>
      <c r="AI285" s="16"/>
      <c r="AJ285" s="5"/>
      <c r="AK285" s="95"/>
      <c r="AL285" s="97"/>
      <c r="AM285" s="98"/>
      <c r="AN285" s="27"/>
      <c r="AO285" s="36"/>
      <c r="AP285" s="29"/>
      <c r="AR285" s="33"/>
      <c r="AS285" s="16"/>
      <c r="AT285" s="5"/>
      <c r="AU285" s="5"/>
      <c r="AV285" s="5"/>
      <c r="AW285" s="16"/>
      <c r="AX285" s="5"/>
      <c r="AY285" s="95"/>
      <c r="AZ285" s="97"/>
      <c r="BA285" s="98"/>
      <c r="BB285" s="27"/>
      <c r="BC285" s="36"/>
      <c r="BD285" s="29"/>
      <c r="BE285" s="32"/>
      <c r="BF285" s="25"/>
      <c r="BG285" s="5"/>
      <c r="BH285" s="5"/>
      <c r="BI285" s="5"/>
      <c r="BJ285" s="5"/>
      <c r="BK285" s="16"/>
      <c r="BL285" s="5"/>
      <c r="BM285" s="5"/>
      <c r="BN285" s="95"/>
      <c r="BO285" s="99"/>
      <c r="BP285" s="39"/>
      <c r="BQ285" s="36"/>
      <c r="BR285" s="29"/>
      <c r="BT285" s="25"/>
      <c r="BU285" s="5"/>
      <c r="BV285" s="5"/>
      <c r="BW285" s="5"/>
      <c r="BX285" s="5"/>
      <c r="BY285" s="16"/>
      <c r="BZ285" s="5"/>
      <c r="CA285" s="5"/>
      <c r="CB285" s="95"/>
      <c r="CC285" s="99"/>
      <c r="CD285" s="39"/>
      <c r="CE285" s="36"/>
      <c r="CF285" s="29"/>
      <c r="CH285" s="14"/>
      <c r="CI285" s="39"/>
      <c r="CJ285" s="5"/>
      <c r="CK285" s="5"/>
      <c r="CL285" s="5"/>
      <c r="CM285" s="154" t="s">
        <v>286</v>
      </c>
      <c r="CN285" s="158"/>
      <c r="CO285" s="5">
        <f>(CM228+CO228)*CQ228</f>
        <v>28160</v>
      </c>
      <c r="CP285" s="5"/>
      <c r="CQ285" s="36"/>
      <c r="CR285" s="36"/>
      <c r="CS285" s="36"/>
      <c r="CT285" s="29"/>
      <c r="CV285" s="14"/>
      <c r="CW285" s="39"/>
      <c r="CX285" s="5"/>
      <c r="CY285" s="5"/>
      <c r="CZ285" s="5"/>
      <c r="DA285" s="154" t="s">
        <v>286</v>
      </c>
      <c r="DB285" s="158"/>
      <c r="DC285" s="5">
        <f>(DA228+DC228)*DE228</f>
        <v>0</v>
      </c>
      <c r="DD285" s="5"/>
      <c r="DE285" s="36"/>
      <c r="DF285" s="36"/>
      <c r="DG285" s="36"/>
      <c r="DH285" s="29"/>
      <c r="DJ285" s="14"/>
      <c r="DK285" s="39"/>
      <c r="DL285" s="5"/>
      <c r="DM285" s="5"/>
      <c r="DN285" s="5"/>
      <c r="DO285" s="154" t="s">
        <v>286</v>
      </c>
      <c r="DP285" s="158"/>
      <c r="DQ285" s="5">
        <f>(DO228+DQ228)*DS228</f>
        <v>3600</v>
      </c>
      <c r="DR285" s="5"/>
      <c r="DS285" s="36"/>
      <c r="DT285" s="36"/>
      <c r="DU285" s="36"/>
      <c r="DV285" s="29"/>
      <c r="DX285" s="14"/>
      <c r="DY285" s="39"/>
      <c r="DZ285" s="5"/>
      <c r="EA285" s="5"/>
      <c r="EB285" s="5"/>
      <c r="EC285" s="154" t="s">
        <v>286</v>
      </c>
      <c r="ED285" s="158"/>
      <c r="EE285" s="5">
        <f>(EC228+EE228)*EG228</f>
        <v>28500</v>
      </c>
      <c r="EF285" s="5"/>
      <c r="EG285" s="36"/>
      <c r="EH285" s="36"/>
      <c r="EI285" s="36"/>
      <c r="EJ285" s="29"/>
      <c r="EL285" s="14"/>
      <c r="EM285" s="39"/>
      <c r="EN285" s="5"/>
      <c r="EO285" s="5"/>
      <c r="EP285" s="5"/>
      <c r="EQ285" s="154" t="s">
        <v>286</v>
      </c>
      <c r="ER285" s="158"/>
      <c r="ES285" s="5">
        <f>(EQ228+ES228)*EU228</f>
        <v>6600</v>
      </c>
      <c r="ET285" s="5"/>
      <c r="EU285" s="36"/>
      <c r="EV285" s="36"/>
      <c r="EW285" s="36"/>
      <c r="EX285" s="29"/>
      <c r="EZ285" s="14"/>
      <c r="FA285" s="39"/>
      <c r="FB285" s="5"/>
      <c r="FC285" s="5"/>
      <c r="FD285" s="5"/>
      <c r="FE285" s="154" t="s">
        <v>286</v>
      </c>
      <c r="FF285" s="158"/>
      <c r="FG285" s="5">
        <f>(FE228+FG228)*FI228</f>
        <v>26460</v>
      </c>
      <c r="FH285" s="5"/>
      <c r="FI285" s="36"/>
      <c r="FJ285" s="36"/>
      <c r="FK285" s="36"/>
      <c r="FL285" s="29"/>
      <c r="FN285" s="14"/>
      <c r="FO285" s="39"/>
      <c r="FP285" s="5"/>
      <c r="FQ285" s="5"/>
      <c r="FR285" s="5"/>
      <c r="FS285" s="154" t="s">
        <v>286</v>
      </c>
      <c r="FT285" s="158"/>
      <c r="FU285" s="5">
        <f>(FS228+FU228)*FW228</f>
        <v>61776</v>
      </c>
      <c r="FV285" s="5"/>
      <c r="FW285" s="36"/>
      <c r="FX285" s="36"/>
      <c r="FY285" s="36"/>
      <c r="FZ285" s="29"/>
      <c r="GB285" s="14"/>
      <c r="GC285" s="39"/>
      <c r="GD285" s="5"/>
      <c r="GE285" s="5"/>
      <c r="GF285" s="5"/>
      <c r="GG285" s="154" t="s">
        <v>286</v>
      </c>
      <c r="GH285" s="158"/>
      <c r="GI285" s="5">
        <f>(GG228+GI228)*GK228</f>
        <v>60600</v>
      </c>
      <c r="GJ285" s="5"/>
      <c r="GK285" s="36"/>
      <c r="GL285" s="36"/>
      <c r="GM285" s="36"/>
      <c r="GN285" s="29"/>
      <c r="GP285" s="14"/>
      <c r="GQ285" s="39"/>
      <c r="GR285" s="5"/>
      <c r="GS285" s="5"/>
      <c r="GT285" s="5"/>
      <c r="GU285" s="5"/>
      <c r="GV285" s="5"/>
      <c r="GW285" s="154" t="s">
        <v>286</v>
      </c>
      <c r="GX285" s="158"/>
      <c r="GY285" s="5">
        <f>(GW228+GY228)*HA228</f>
        <v>26000</v>
      </c>
      <c r="GZ285" s="5"/>
      <c r="HA285" s="36"/>
      <c r="HB285" s="36"/>
      <c r="HC285" s="36"/>
      <c r="HD285" s="29"/>
      <c r="HF285" s="14"/>
      <c r="HG285" s="39"/>
      <c r="HH285" s="5"/>
      <c r="HI285" s="5"/>
      <c r="HJ285" s="29"/>
      <c r="HL285" s="14"/>
      <c r="HM285" s="39"/>
      <c r="HN285" s="5"/>
      <c r="HO285" s="5"/>
      <c r="HP285" s="29"/>
      <c r="HR285" s="14"/>
      <c r="HS285" s="39"/>
      <c r="HT285" s="5"/>
      <c r="HU285" s="5"/>
      <c r="HV285" s="29"/>
    </row>
    <row r="286" spans="1:230" x14ac:dyDescent="0.2">
      <c r="A286" s="100">
        <f>DATEDIF(A$225,A253,"d")</f>
        <v>27</v>
      </c>
      <c r="B286" s="26"/>
      <c r="C286" s="16"/>
      <c r="D286" s="5"/>
      <c r="E286" s="58"/>
      <c r="F286" s="5"/>
      <c r="G286" s="16"/>
      <c r="H286" s="5"/>
      <c r="I286" s="95"/>
      <c r="J286" s="97"/>
      <c r="K286" s="98"/>
      <c r="L286" s="27"/>
      <c r="M286" s="36"/>
      <c r="N286" s="29"/>
      <c r="P286" s="33"/>
      <c r="Q286" s="16"/>
      <c r="R286" s="5"/>
      <c r="S286" s="5"/>
      <c r="T286" s="5"/>
      <c r="U286" s="16"/>
      <c r="V286" s="5"/>
      <c r="W286" s="95"/>
      <c r="X286" s="97"/>
      <c r="Y286" s="98"/>
      <c r="Z286" s="27"/>
      <c r="AA286" s="36"/>
      <c r="AB286" s="29"/>
      <c r="AD286" s="33"/>
      <c r="AE286" s="16"/>
      <c r="AF286" s="5"/>
      <c r="AG286" s="5"/>
      <c r="AH286" s="5"/>
      <c r="AI286" s="16"/>
      <c r="AJ286" s="5"/>
      <c r="AK286" s="95"/>
      <c r="AL286" s="97"/>
      <c r="AM286" s="98"/>
      <c r="AN286" s="27"/>
      <c r="AO286" s="36"/>
      <c r="AP286" s="29"/>
      <c r="AR286" s="33"/>
      <c r="AS286" s="16"/>
      <c r="AT286" s="5"/>
      <c r="AU286" s="5"/>
      <c r="AV286" s="5"/>
      <c r="AW286" s="16"/>
      <c r="AX286" s="5"/>
      <c r="AY286" s="95"/>
      <c r="AZ286" s="97"/>
      <c r="BA286" s="98"/>
      <c r="BB286" s="27"/>
      <c r="BC286" s="36"/>
      <c r="BD286" s="29"/>
      <c r="BE286" s="32"/>
      <c r="BF286" s="25"/>
      <c r="BG286" s="5"/>
      <c r="BH286" s="5"/>
      <c r="BI286" s="5"/>
      <c r="BJ286" s="5"/>
      <c r="BK286" s="16"/>
      <c r="BL286" s="5"/>
      <c r="BM286" s="5"/>
      <c r="BN286" s="21"/>
      <c r="BO286" s="101"/>
      <c r="BP286" s="102"/>
      <c r="BQ286" s="36"/>
      <c r="BR286" s="29"/>
      <c r="BT286" s="25"/>
      <c r="BU286" s="5"/>
      <c r="BV286" s="5"/>
      <c r="BW286" s="5"/>
      <c r="BX286" s="5"/>
      <c r="BY286" s="16"/>
      <c r="BZ286" s="5"/>
      <c r="CA286" s="5"/>
      <c r="CB286" s="21"/>
      <c r="CC286" s="101"/>
      <c r="CD286" s="102"/>
      <c r="CE286" s="36"/>
      <c r="CF286" s="29"/>
      <c r="CH286" s="14"/>
      <c r="CI286" s="39"/>
      <c r="CJ286" s="5"/>
      <c r="CK286" s="5"/>
      <c r="CL286" s="5"/>
      <c r="CM286" s="16"/>
      <c r="CN286" s="5"/>
      <c r="CO286" s="5"/>
      <c r="CP286" s="5"/>
      <c r="CQ286" s="36"/>
      <c r="CR286" s="36"/>
      <c r="CS286" s="36"/>
      <c r="CT286" s="29"/>
      <c r="CV286" s="14"/>
      <c r="CW286" s="39"/>
      <c r="CX286" s="5"/>
      <c r="CY286" s="5"/>
      <c r="CZ286" s="5"/>
      <c r="DA286" s="16"/>
      <c r="DB286" s="5"/>
      <c r="DC286" s="5"/>
      <c r="DD286" s="5"/>
      <c r="DE286" s="36"/>
      <c r="DF286" s="36"/>
      <c r="DG286" s="36"/>
      <c r="DH286" s="29"/>
      <c r="DJ286" s="14"/>
      <c r="DK286" s="39"/>
      <c r="DL286" s="5"/>
      <c r="DM286" s="5"/>
      <c r="DN286" s="5"/>
      <c r="DO286" s="16"/>
      <c r="DP286" s="5"/>
      <c r="DQ286" s="5"/>
      <c r="DR286" s="5"/>
      <c r="DS286" s="36"/>
      <c r="DT286" s="36"/>
      <c r="DU286" s="36"/>
      <c r="DV286" s="29"/>
      <c r="DX286" s="14"/>
      <c r="DY286" s="39"/>
      <c r="DZ286" s="5"/>
      <c r="EA286" s="5"/>
      <c r="EB286" s="5"/>
      <c r="EC286" s="16"/>
      <c r="ED286" s="5"/>
      <c r="EE286" s="5"/>
      <c r="EF286" s="5"/>
      <c r="EG286" s="36"/>
      <c r="EH286" s="36"/>
      <c r="EI286" s="36"/>
      <c r="EJ286" s="29"/>
      <c r="EL286" s="14"/>
      <c r="EM286" s="39"/>
      <c r="EN286" s="5"/>
      <c r="EO286" s="5"/>
      <c r="EP286" s="5"/>
      <c r="EQ286" s="16"/>
      <c r="ER286" s="5"/>
      <c r="ES286" s="5"/>
      <c r="ET286" s="5"/>
      <c r="EU286" s="36"/>
      <c r="EV286" s="36"/>
      <c r="EW286" s="36"/>
      <c r="EX286" s="29"/>
      <c r="EZ286" s="14"/>
      <c r="FA286" s="39"/>
      <c r="FB286" s="5"/>
      <c r="FC286" s="5"/>
      <c r="FD286" s="5"/>
      <c r="FE286" s="16"/>
      <c r="FF286" s="5"/>
      <c r="FG286" s="5"/>
      <c r="FH286" s="5"/>
      <c r="FI286" s="36"/>
      <c r="FJ286" s="36"/>
      <c r="FK286" s="36"/>
      <c r="FL286" s="29"/>
      <c r="FN286" s="14"/>
      <c r="FO286" s="39"/>
      <c r="FP286" s="5"/>
      <c r="FQ286" s="5"/>
      <c r="FR286" s="5"/>
      <c r="FS286" s="16"/>
      <c r="FT286" s="5"/>
      <c r="FU286" s="5"/>
      <c r="FV286" s="5"/>
      <c r="FW286" s="36"/>
      <c r="FX286" s="36"/>
      <c r="FY286" s="36"/>
      <c r="FZ286" s="29"/>
      <c r="GB286" s="14"/>
      <c r="GC286" s="39"/>
      <c r="GD286" s="5"/>
      <c r="GE286" s="5"/>
      <c r="GF286" s="5"/>
      <c r="GG286" s="16"/>
      <c r="GH286" s="5"/>
      <c r="GI286" s="5"/>
      <c r="GJ286" s="5"/>
      <c r="GK286" s="36"/>
      <c r="GL286" s="36"/>
      <c r="GM286" s="36"/>
      <c r="GN286" s="29"/>
      <c r="GP286" s="14"/>
      <c r="GQ286" s="39"/>
      <c r="GR286" s="5"/>
      <c r="GS286" s="5"/>
      <c r="GT286" s="5"/>
      <c r="GU286" s="5"/>
      <c r="GV286" s="5"/>
      <c r="GW286" s="16"/>
      <c r="GX286" s="5"/>
      <c r="GY286" s="5"/>
      <c r="GZ286" s="5"/>
      <c r="HA286" s="36"/>
      <c r="HB286" s="36"/>
      <c r="HC286" s="36"/>
      <c r="HD286" s="29"/>
      <c r="HF286" s="14"/>
      <c r="HG286" s="39"/>
      <c r="HH286" s="5"/>
      <c r="HI286" s="5"/>
      <c r="HJ286" s="29"/>
      <c r="HL286" s="14"/>
      <c r="HM286" s="39"/>
      <c r="HN286" s="5"/>
      <c r="HO286" s="5"/>
      <c r="HP286" s="29"/>
      <c r="HR286" s="14"/>
      <c r="HS286" s="39"/>
      <c r="HT286" s="5"/>
      <c r="HU286" s="5"/>
      <c r="HV286" s="29"/>
    </row>
    <row r="287" spans="1:230" x14ac:dyDescent="0.2">
      <c r="A287" s="157" t="s">
        <v>27</v>
      </c>
      <c r="B287" s="157"/>
      <c r="C287" s="157"/>
      <c r="D287" s="103">
        <f>SUM(D225,D229,D233,D237,D241,D245,D249,D253,D257,D261,D265,D269,D273)*100</f>
        <v>26900</v>
      </c>
      <c r="E287" s="39"/>
      <c r="F287" s="5"/>
      <c r="G287" s="16">
        <f>D287/H287</f>
        <v>26900</v>
      </c>
      <c r="H287" s="103">
        <f>SUM(H225,H229,H233,H237,H241,H245,H250,H253,H257,H261,H265,H269,H273)</f>
        <v>1</v>
      </c>
      <c r="I287" s="5"/>
      <c r="J287" s="2">
        <f t="shared" ref="J287:K290" si="849">J225</f>
        <v>0</v>
      </c>
      <c r="K287" s="27">
        <f t="shared" si="849"/>
        <v>0</v>
      </c>
      <c r="L287" s="103">
        <f>SUM(L225,L229,L233,L237,L241,L245,L250,L253,L257,L261,L265,L269,L273)</f>
        <v>748</v>
      </c>
      <c r="M287" s="92">
        <f>L287/D287</f>
        <v>2.7806691449814125E-2</v>
      </c>
      <c r="N287" s="29"/>
      <c r="O287" s="104"/>
      <c r="P287" s="157" t="s">
        <v>27</v>
      </c>
      <c r="Q287" s="157"/>
      <c r="R287" s="103">
        <f>SUM(R225,R229,R233,R237,R241,R245,R249,R253,R257,R261,R265,R269,R273)*100</f>
        <v>49600</v>
      </c>
      <c r="S287" s="39"/>
      <c r="T287" s="5"/>
      <c r="U287" s="16">
        <f>R287/V287</f>
        <v>4960</v>
      </c>
      <c r="V287" s="103">
        <f>SUM(V225,V229,V233,V237,V241,V245,V250,V253,V257,V261,V265,V269,V273)</f>
        <v>10</v>
      </c>
      <c r="W287" s="5"/>
      <c r="X287" s="31">
        <f t="shared" ref="X287:Y290" si="850">X225</f>
        <v>0</v>
      </c>
      <c r="Y287" s="27">
        <f t="shared" si="850"/>
        <v>0</v>
      </c>
      <c r="Z287" s="103">
        <f>SUM(Z225,Z229,Z233,Z237,Z241,Z245,Z250,Z253,Z257,Z261,Z265,Z269,Z273)</f>
        <v>6930</v>
      </c>
      <c r="AA287" s="92">
        <f>Z287/R287</f>
        <v>0.13971774193548386</v>
      </c>
      <c r="AB287" s="29"/>
      <c r="AD287" s="157" t="s">
        <v>27</v>
      </c>
      <c r="AE287" s="157"/>
      <c r="AF287" s="103">
        <f>SUM(AF225,AF229,AF233,AF237,AF241,AF245,AF249,AF253,AF257,AF261,AF265,AF269,AF273)*100</f>
        <v>87100</v>
      </c>
      <c r="AG287" s="39"/>
      <c r="AH287" s="5"/>
      <c r="AI287" s="16">
        <f>AF287/AJ287</f>
        <v>14516.666666666666</v>
      </c>
      <c r="AJ287" s="103">
        <f>SUM(AJ225,AJ229,AJ233,AJ237,AJ241,AJ245,AJ250,AJ253,AJ257,AJ261,AJ265,AJ269,AJ273)</f>
        <v>6</v>
      </c>
      <c r="AK287" s="5"/>
      <c r="AL287" s="31" t="str">
        <f t="shared" ref="AL287:AM290" si="851">AL225</f>
        <v>モンチッチがま口</v>
      </c>
      <c r="AM287" s="27">
        <f t="shared" si="851"/>
        <v>462</v>
      </c>
      <c r="AN287" s="103">
        <f>SUM(AN225,AN229,AN233,AN237,AN241,AN245,AN250,AN253,AN257,AN261,AN265,AN269,AN273)</f>
        <v>5324</v>
      </c>
      <c r="AO287" s="92">
        <f>AN287/AF287</f>
        <v>6.1125143513203216E-2</v>
      </c>
      <c r="AP287" s="29"/>
      <c r="AR287" s="157" t="s">
        <v>27</v>
      </c>
      <c r="AS287" s="157"/>
      <c r="AT287" s="103">
        <f>SUM(AT225,AT229,AT233,AT237,AT241,AT245,AT249,AT253,AT257,AT261,AT265,AT269,AT273)*100</f>
        <v>50100</v>
      </c>
      <c r="AU287" s="39"/>
      <c r="AV287" s="5"/>
      <c r="AW287" s="16">
        <f>AT287/AX287</f>
        <v>10020</v>
      </c>
      <c r="AX287" s="103">
        <f>SUM(AX225,AX229,AX233,AX237,AX241,AX245,AX250,AX253,AX257,AX261,AX265,AX269,AX273)</f>
        <v>5</v>
      </c>
      <c r="AY287" s="5"/>
      <c r="AZ287" s="31" t="str">
        <f t="shared" ref="AZ287:BA290" si="852">AZ225</f>
        <v>デジタルミニカメラ</v>
      </c>
      <c r="BA287" s="27">
        <f t="shared" si="852"/>
        <v>1075</v>
      </c>
      <c r="BB287" s="103">
        <f>SUM(BB225,BB229,BB233,BB237,BB241,BB245,BB250,BB253,BB257,BB261,BB265,BB269,BB273)</f>
        <v>5070</v>
      </c>
      <c r="BC287" s="92">
        <f>BB287/AT287</f>
        <v>0.10119760479041916</v>
      </c>
      <c r="BD287" s="29"/>
      <c r="BE287" s="105"/>
      <c r="BF287" s="157" t="s">
        <v>27</v>
      </c>
      <c r="BG287" s="157"/>
      <c r="BH287" s="103">
        <f>SUM(BH225,BH229,BH233,BH237,BH241,BH245,BH249,BH253,BH257,BH261,BH265,BH269,BH273)*100</f>
        <v>330900</v>
      </c>
      <c r="BI287" s="39"/>
      <c r="BJ287" s="5"/>
      <c r="BK287" s="16">
        <f>BH287/BL287</f>
        <v>20681.25</v>
      </c>
      <c r="BL287" s="103">
        <f>SUM(BL225,BL229,BL233,BL237,BL242,BL245,BL250,BL253,BL257,BL261,BL265,BL269,BL273)</f>
        <v>16</v>
      </c>
      <c r="BM287" s="5"/>
      <c r="BN287" s="2" t="str">
        <f t="shared" ref="BN287:BO290" si="853">BN225</f>
        <v>ボンボンドロップシール</v>
      </c>
      <c r="BO287" s="4">
        <f t="shared" si="853"/>
        <v>1500</v>
      </c>
      <c r="BP287" s="103">
        <f>SUM(BP225,BP229,BP233,BP237,BP241,BP245,BP249,BP253,BP257,BP261,BP265,BP269,BP273)</f>
        <v>24000</v>
      </c>
      <c r="BQ287" s="92">
        <f>BP287/BH287</f>
        <v>7.2529465095194923E-2</v>
      </c>
      <c r="BR287" s="29"/>
      <c r="BT287" s="157" t="s">
        <v>27</v>
      </c>
      <c r="BU287" s="157"/>
      <c r="BV287" s="103">
        <f>SUM(BV225,BV229,BV233,BV237,BV241,BV245,BV249,BV253,BV257,BV261,BV265,BV269,BV273)*100</f>
        <v>34800</v>
      </c>
      <c r="BW287" s="39"/>
      <c r="BX287" s="5"/>
      <c r="BY287" s="16">
        <f>BV287/BZ287</f>
        <v>1933.3333333333333</v>
      </c>
      <c r="BZ287" s="103">
        <f>SUM(BZ225,BZ229,BZ233,BZ237,BZ242,BZ245,BZ250,BZ253,BZ257,BZ261,BZ265,BZ269,BZ273)</f>
        <v>18</v>
      </c>
      <c r="CA287" s="5"/>
      <c r="CB287" s="2" t="str">
        <f t="shared" ref="CB287:CC287" si="854">CB225</f>
        <v>ＡＩモンスター</v>
      </c>
      <c r="CC287" s="4">
        <f t="shared" si="854"/>
        <v>550</v>
      </c>
      <c r="CD287" s="103">
        <f>SUM(CD225,CD229,CD233,CD237,CD241,CD245,CD249,CD253,CD257,CD261,CD265,CD269,CD273)</f>
        <v>15850</v>
      </c>
      <c r="CE287" s="92">
        <f>CD287/BV287</f>
        <v>0.45545977011494254</v>
      </c>
      <c r="CF287" s="29"/>
      <c r="CH287" s="14"/>
      <c r="CI287" s="39"/>
      <c r="CJ287" s="5"/>
      <c r="CK287" s="5"/>
      <c r="CL287" s="5"/>
      <c r="CM287" s="16"/>
      <c r="CN287" s="5"/>
      <c r="CO287" s="92"/>
      <c r="CP287" s="92"/>
      <c r="CQ287" s="5"/>
      <c r="CR287" s="5"/>
      <c r="CS287" s="5"/>
      <c r="CT287" s="29"/>
      <c r="CV287" s="14"/>
      <c r="CW287" s="39"/>
      <c r="CX287" s="5"/>
      <c r="CY287" s="5"/>
      <c r="CZ287" s="5"/>
      <c r="DA287" s="16"/>
      <c r="DB287" s="5"/>
      <c r="DC287" s="92"/>
      <c r="DD287" s="92"/>
      <c r="DE287" s="5"/>
      <c r="DF287" s="5"/>
      <c r="DG287" s="5"/>
      <c r="DH287" s="29"/>
      <c r="DJ287" s="14"/>
      <c r="DK287" s="39"/>
      <c r="DL287" s="5"/>
      <c r="DM287" s="5"/>
      <c r="DN287" s="5"/>
      <c r="DO287" s="16"/>
      <c r="DP287" s="5"/>
      <c r="DQ287" s="92"/>
      <c r="DR287" s="92"/>
      <c r="DS287" s="5"/>
      <c r="DT287" s="5"/>
      <c r="DU287" s="5"/>
      <c r="DV287" s="29"/>
      <c r="DX287" s="14"/>
      <c r="DY287" s="39"/>
      <c r="DZ287" s="5"/>
      <c r="EA287" s="5"/>
      <c r="EB287" s="5"/>
      <c r="EC287" s="16"/>
      <c r="ED287" s="5"/>
      <c r="EE287" s="92"/>
      <c r="EF287" s="92"/>
      <c r="EG287" s="5"/>
      <c r="EH287" s="5"/>
      <c r="EI287" s="5"/>
      <c r="EJ287" s="29"/>
      <c r="EL287" s="14"/>
      <c r="EM287" s="39"/>
      <c r="EN287" s="5"/>
      <c r="EO287" s="5"/>
      <c r="EP287" s="5"/>
      <c r="EQ287" s="16"/>
      <c r="ER287" s="5"/>
      <c r="ES287" s="92"/>
      <c r="ET287" s="92"/>
      <c r="EU287" s="5"/>
      <c r="EV287" s="5"/>
      <c r="EW287" s="5"/>
      <c r="EX287" s="29"/>
      <c r="EZ287" s="14"/>
      <c r="FA287" s="39"/>
      <c r="FB287" s="5"/>
      <c r="FC287" s="5"/>
      <c r="FD287" s="5"/>
      <c r="FE287" s="16"/>
      <c r="FF287" s="5"/>
      <c r="FG287" s="92"/>
      <c r="FH287" s="92"/>
      <c r="FI287" s="5"/>
      <c r="FJ287" s="5"/>
      <c r="FK287" s="5"/>
      <c r="FL287" s="29"/>
      <c r="FN287" s="14"/>
      <c r="FO287" s="39"/>
      <c r="FP287" s="5"/>
      <c r="FQ287" s="5"/>
      <c r="FR287" s="5"/>
      <c r="FS287" s="16"/>
      <c r="FT287" s="5"/>
      <c r="FU287" s="92"/>
      <c r="FV287" s="92"/>
      <c r="FW287" s="5"/>
      <c r="FX287" s="5"/>
      <c r="FY287" s="5"/>
      <c r="FZ287" s="29"/>
      <c r="GB287" s="14"/>
      <c r="GC287" s="39"/>
      <c r="GD287" s="5"/>
      <c r="GE287" s="5"/>
      <c r="GF287" s="5"/>
      <c r="GG287" s="16"/>
      <c r="GH287" s="5"/>
      <c r="GI287" s="92"/>
      <c r="GJ287" s="92"/>
      <c r="GK287" s="5"/>
      <c r="GL287" s="5"/>
      <c r="GM287" s="5"/>
      <c r="GN287" s="29"/>
      <c r="GP287" s="14"/>
      <c r="GQ287" s="39"/>
      <c r="GR287" s="5"/>
      <c r="GS287" s="5"/>
      <c r="GT287" s="5"/>
      <c r="GU287" s="5"/>
      <c r="GV287" s="5"/>
      <c r="GW287" s="16"/>
      <c r="GX287" s="5"/>
      <c r="GY287" s="92"/>
      <c r="GZ287" s="92"/>
      <c r="HA287" s="5"/>
      <c r="HB287" s="5"/>
      <c r="HC287" s="5"/>
      <c r="HD287" s="29"/>
      <c r="HF287" s="14"/>
      <c r="HG287" s="39"/>
      <c r="HH287" s="5"/>
      <c r="HI287" s="5"/>
      <c r="HJ287" s="29"/>
      <c r="HL287" s="14"/>
      <c r="HM287" s="39"/>
      <c r="HN287" s="5"/>
      <c r="HO287" s="5"/>
      <c r="HP287" s="29"/>
      <c r="HR287" s="14"/>
      <c r="HS287" s="39"/>
      <c r="HT287" s="5"/>
      <c r="HU287" s="5"/>
      <c r="HV287" s="29"/>
    </row>
    <row r="288" spans="1:230" x14ac:dyDescent="0.2">
      <c r="A288" s="157" t="s">
        <v>27</v>
      </c>
      <c r="B288" s="157"/>
      <c r="C288" s="157"/>
      <c r="D288" s="103">
        <f>SUM(D226,D230,D234,D238,D242,D246,D250,D254,D258,D262,D266,D270,D274)*100</f>
        <v>14100</v>
      </c>
      <c r="E288" s="39"/>
      <c r="F288" s="5"/>
      <c r="G288" s="16">
        <f>D288/H288</f>
        <v>14100</v>
      </c>
      <c r="H288" s="103">
        <f>SUM(H226,H230,H234,H238,H242,H246,H249,H254,H258,H262,H266,H270,H274)</f>
        <v>1</v>
      </c>
      <c r="I288" s="5"/>
      <c r="J288" s="2">
        <f t="shared" si="849"/>
        <v>0</v>
      </c>
      <c r="K288" s="27">
        <f t="shared" si="849"/>
        <v>0</v>
      </c>
      <c r="L288" s="103">
        <f>SUM(L226,L230,L234,L238,L242,L246,L249,L254,L258,L262,L266,L270,L274)</f>
        <v>748</v>
      </c>
      <c r="M288" s="92">
        <f>L288/D288</f>
        <v>5.3049645390070919E-2</v>
      </c>
      <c r="N288" s="29"/>
      <c r="O288" s="30"/>
      <c r="P288" s="157" t="s">
        <v>27</v>
      </c>
      <c r="Q288" s="157"/>
      <c r="R288" s="103">
        <f>SUM(R226,R230,R234,R238,R242,R246,R250,R254,R258,R262,R266,R270,R274)*100</f>
        <v>29800</v>
      </c>
      <c r="S288" s="39"/>
      <c r="T288" s="5"/>
      <c r="U288" s="16">
        <f>R288/V288</f>
        <v>2483.3333333333335</v>
      </c>
      <c r="V288" s="103">
        <f>SUM(V226,V230,V234,V238,V242,V246,V249,V254,V258,V262,V266,V270,V274)</f>
        <v>12</v>
      </c>
      <c r="W288" s="5"/>
      <c r="X288" s="31">
        <f t="shared" si="850"/>
        <v>0</v>
      </c>
      <c r="Y288" s="27">
        <f t="shared" si="850"/>
        <v>0</v>
      </c>
      <c r="Z288" s="103">
        <f>SUM(Z226,Z230,Z234,Z238,Z242,Z246,Z249,Z254,Z258,Z262,Z266,Z270,Z274)</f>
        <v>9405</v>
      </c>
      <c r="AA288" s="92">
        <f>Z288/R288</f>
        <v>0.3156040268456376</v>
      </c>
      <c r="AB288" s="29"/>
      <c r="AD288" s="157" t="s">
        <v>27</v>
      </c>
      <c r="AE288" s="157"/>
      <c r="AF288" s="103">
        <f>SUM(AF226,AF230,AF234,AF238,AF242,AF246,AF250,AF254,AF258,AF262,AF266,AF270,AF274)*100</f>
        <v>71200</v>
      </c>
      <c r="AG288" s="39"/>
      <c r="AH288" s="5"/>
      <c r="AI288" s="16">
        <f>AF288/AJ288</f>
        <v>7911.1111111111113</v>
      </c>
      <c r="AJ288" s="103">
        <f>SUM(AJ226,AJ230,AJ234,AJ238,AJ242,AJ246,AJ249,AJ254,AJ258,AJ262,AJ266,AJ270,AJ274)</f>
        <v>9</v>
      </c>
      <c r="AK288" s="5"/>
      <c r="AL288" s="31" t="str">
        <f t="shared" si="851"/>
        <v>たまごっちマスコット</v>
      </c>
      <c r="AM288" s="27">
        <f t="shared" si="851"/>
        <v>1500</v>
      </c>
      <c r="AN288" s="103">
        <f>SUM(AN226,AN230,AN234,AN238,AN242,AN246,AN249,AN254,AN258,AN262,AN266,AN270,AN274)</f>
        <v>11100</v>
      </c>
      <c r="AO288" s="92">
        <f>AN288/AF288</f>
        <v>0.15589887640449437</v>
      </c>
      <c r="AP288" s="29"/>
      <c r="AR288" s="157" t="s">
        <v>27</v>
      </c>
      <c r="AS288" s="157"/>
      <c r="AT288" s="103">
        <f>SUM(AT226,AT230,AT234,AT238,AT242,AT246,AT250,AT254,AT258,AT262,AT266,AT270,AT274)*100</f>
        <v>58500</v>
      </c>
      <c r="AU288" s="39"/>
      <c r="AV288" s="5"/>
      <c r="AW288" s="16">
        <f>AT288/AX288</f>
        <v>19500</v>
      </c>
      <c r="AX288" s="103">
        <f>SUM(AX226,AX230,AX234,AX238,AX242,AX246,AX249,AX254,AX258,AX262,AX266,AX270,AX274)</f>
        <v>3</v>
      </c>
      <c r="AY288" s="5"/>
      <c r="AZ288" s="31" t="str">
        <f t="shared" si="852"/>
        <v>ゲーム機イヤホン</v>
      </c>
      <c r="BA288" s="27">
        <f t="shared" si="852"/>
        <v>770</v>
      </c>
      <c r="BB288" s="103">
        <f>SUM(BB226,BB230,BB234,BB238,BB242,BB246,BB249,BB254,BB258,BB262,BB266,BB270,BB274)</f>
        <v>2920</v>
      </c>
      <c r="BC288" s="92">
        <f>BB288/AT288</f>
        <v>4.9914529914529916E-2</v>
      </c>
      <c r="BD288" s="29"/>
      <c r="BE288" s="105"/>
      <c r="BF288" s="157" t="s">
        <v>27</v>
      </c>
      <c r="BG288" s="157"/>
      <c r="BH288" s="103">
        <f>SUM(BH226,BH230,BH234,BH238,BH242,BH246,BH250,BH254,BH258,BH262,BH266,BH270,BH274)*100</f>
        <v>247600</v>
      </c>
      <c r="BI288" s="39"/>
      <c r="BJ288" s="5"/>
      <c r="BK288" s="16">
        <f>BH288/BL288</f>
        <v>13031.578947368422</v>
      </c>
      <c r="BL288" s="103">
        <f>SUM(BL226,BL230,BL234,BL238,BL242,BL246,BL249,BL254,BL258,BL262,BL266,BL270,BL274)</f>
        <v>19</v>
      </c>
      <c r="BM288" s="5"/>
      <c r="BN288" s="2" t="str">
        <f t="shared" si="853"/>
        <v>ボンボンドロップシール</v>
      </c>
      <c r="BO288" s="4">
        <f t="shared" si="853"/>
        <v>1500</v>
      </c>
      <c r="BP288" s="103">
        <f>SUM(BP226,BP230,BP234,BP238,BP242,BP246,BP249,BP254,BP258,BP262,BP266,BP270,BP274)</f>
        <v>28500</v>
      </c>
      <c r="BQ288" s="92">
        <f>BP288/BH288</f>
        <v>0.11510500807754442</v>
      </c>
      <c r="BR288" s="29"/>
      <c r="BT288" s="157" t="s">
        <v>27</v>
      </c>
      <c r="BU288" s="157"/>
      <c r="BV288" s="103">
        <f>SUM(BV226,BV230,BV234,BV238,BV242,BV246,BV250,BV254,BV258,BV262,BV266,BV270,BV274)*100</f>
        <v>66700</v>
      </c>
      <c r="BW288" s="39"/>
      <c r="BX288" s="5"/>
      <c r="BY288" s="16">
        <f>BV288/BZ288</f>
        <v>2668</v>
      </c>
      <c r="BZ288" s="103">
        <f>SUM(BZ226,BZ230,BZ234,BZ238,BZ242,BZ246,BZ249,BZ254,BZ258,BZ262,BZ266,BZ270,BZ274)</f>
        <v>25</v>
      </c>
      <c r="CA288" s="5"/>
      <c r="CB288" s="2" t="str">
        <f t="shared" ref="CB288:CC288" si="855">CB226</f>
        <v>サンリオボアポーチ</v>
      </c>
      <c r="CC288" s="4">
        <f t="shared" si="855"/>
        <v>950</v>
      </c>
      <c r="CD288" s="103">
        <f>SUM(CD226,CD230,CD234,CD238,CD242,CD246,CD249,CD254,CD258,CD262,CD266,CD270,CD274)</f>
        <v>24150</v>
      </c>
      <c r="CE288" s="92">
        <f>CD288/BV288</f>
        <v>0.36206896551724138</v>
      </c>
      <c r="CF288" s="29"/>
      <c r="CH288" s="14"/>
      <c r="CI288" s="5"/>
      <c r="CJ288" s="5"/>
      <c r="CK288" s="5"/>
      <c r="CL288" s="5"/>
      <c r="CM288" s="16"/>
      <c r="CN288" s="5"/>
      <c r="CO288" s="92"/>
      <c r="CP288" s="92"/>
      <c r="CQ288" s="5"/>
      <c r="CR288" s="5"/>
      <c r="CS288" s="5"/>
      <c r="CT288" s="29"/>
      <c r="CV288" s="14"/>
      <c r="CW288" s="5"/>
      <c r="CX288" s="5"/>
      <c r="CY288" s="5"/>
      <c r="CZ288" s="5"/>
      <c r="DA288" s="16"/>
      <c r="DB288" s="5"/>
      <c r="DC288" s="92"/>
      <c r="DD288" s="92"/>
      <c r="DE288" s="5"/>
      <c r="DF288" s="5"/>
      <c r="DG288" s="5"/>
      <c r="DH288" s="29"/>
      <c r="DJ288" s="14"/>
      <c r="DK288" s="5"/>
      <c r="DL288" s="5"/>
      <c r="DM288" s="5"/>
      <c r="DN288" s="5"/>
      <c r="DO288" s="16"/>
      <c r="DP288" s="5"/>
      <c r="DQ288" s="92"/>
      <c r="DR288" s="92"/>
      <c r="DS288" s="5"/>
      <c r="DT288" s="5"/>
      <c r="DU288" s="5"/>
      <c r="DV288" s="29"/>
      <c r="DX288" s="14"/>
      <c r="DY288" s="5"/>
      <c r="DZ288" s="5"/>
      <c r="EA288" s="5"/>
      <c r="EB288" s="5"/>
      <c r="EC288" s="16"/>
      <c r="ED288" s="5"/>
      <c r="EE288" s="92"/>
      <c r="EF288" s="92"/>
      <c r="EG288" s="5"/>
      <c r="EH288" s="5"/>
      <c r="EI288" s="5"/>
      <c r="EJ288" s="29"/>
      <c r="EL288" s="14"/>
      <c r="EM288" s="5"/>
      <c r="EN288" s="5"/>
      <c r="EO288" s="5"/>
      <c r="EP288" s="5"/>
      <c r="EQ288" s="16"/>
      <c r="ER288" s="5"/>
      <c r="ES288" s="92"/>
      <c r="ET288" s="92"/>
      <c r="EU288" s="5"/>
      <c r="EV288" s="5"/>
      <c r="EW288" s="5"/>
      <c r="EX288" s="29"/>
      <c r="EZ288" s="14"/>
      <c r="FA288" s="5"/>
      <c r="FB288" s="5"/>
      <c r="FC288" s="5"/>
      <c r="FD288" s="5"/>
      <c r="FE288" s="16"/>
      <c r="FF288" s="5"/>
      <c r="FG288" s="92"/>
      <c r="FH288" s="92"/>
      <c r="FI288" s="5"/>
      <c r="FJ288" s="5"/>
      <c r="FK288" s="5"/>
      <c r="FL288" s="29"/>
      <c r="FN288" s="14"/>
      <c r="FO288" s="5"/>
      <c r="FP288" s="5"/>
      <c r="FQ288" s="5"/>
      <c r="FR288" s="5"/>
      <c r="FS288" s="16"/>
      <c r="FT288" s="5"/>
      <c r="FU288" s="92"/>
      <c r="FV288" s="92"/>
      <c r="FW288" s="5"/>
      <c r="FX288" s="5"/>
      <c r="FY288" s="5"/>
      <c r="FZ288" s="29"/>
      <c r="GB288" s="14"/>
      <c r="GC288" s="5"/>
      <c r="GD288" s="5"/>
      <c r="GE288" s="5"/>
      <c r="GF288" s="5"/>
      <c r="GG288" s="16"/>
      <c r="GH288" s="5"/>
      <c r="GI288" s="92"/>
      <c r="GJ288" s="92"/>
      <c r="GK288" s="5"/>
      <c r="GL288" s="5"/>
      <c r="GM288" s="5"/>
      <c r="GN288" s="29"/>
      <c r="GP288" s="14"/>
      <c r="GQ288" s="5"/>
      <c r="GR288" s="5"/>
      <c r="GS288" s="5"/>
      <c r="GT288" s="5"/>
      <c r="GU288" s="5"/>
      <c r="GV288" s="5"/>
      <c r="GW288" s="16"/>
      <c r="GX288" s="5"/>
      <c r="GY288" s="92"/>
      <c r="GZ288" s="92"/>
      <c r="HA288" s="5"/>
      <c r="HB288" s="5"/>
      <c r="HC288" s="5"/>
      <c r="HD288" s="29"/>
      <c r="HF288" s="14"/>
      <c r="HG288" s="5"/>
      <c r="HH288" s="5"/>
      <c r="HI288" s="5"/>
      <c r="HJ288" s="29"/>
      <c r="HL288" s="14"/>
      <c r="HM288" s="5"/>
      <c r="HN288" s="5"/>
      <c r="HO288" s="5"/>
      <c r="HP288" s="29"/>
      <c r="HR288" s="14"/>
      <c r="HS288" s="5"/>
      <c r="HT288" s="5"/>
      <c r="HU288" s="5"/>
      <c r="HV288" s="29"/>
    </row>
    <row r="289" spans="1:230" x14ac:dyDescent="0.2">
      <c r="A289" s="157" t="s">
        <v>27</v>
      </c>
      <c r="B289" s="157"/>
      <c r="C289" s="157"/>
      <c r="D289" s="103">
        <f>SUM(D227,D231,D235,D239,D243,D247,D251,D255,D259,D263,D267,D271,D275)*100</f>
        <v>8400</v>
      </c>
      <c r="E289" s="39"/>
      <c r="F289" s="5"/>
      <c r="G289" s="16">
        <f>D289/H289</f>
        <v>8400</v>
      </c>
      <c r="H289" s="103">
        <f>SUM(H227,H231,H235,H240,H243,H247,H251,H255,H259,H263,H267,H271,H275)</f>
        <v>1</v>
      </c>
      <c r="I289" s="5"/>
      <c r="J289" s="2">
        <f t="shared" si="849"/>
        <v>0</v>
      </c>
      <c r="K289" s="27">
        <f t="shared" si="849"/>
        <v>0</v>
      </c>
      <c r="L289" s="103">
        <f>SUM(L227,L231,L235,L240,L243,L247,L251,L255,L259,L263,L267,L271,L275)</f>
        <v>187</v>
      </c>
      <c r="M289" s="92">
        <f>L289/D289</f>
        <v>2.2261904761904761E-2</v>
      </c>
      <c r="N289" s="29"/>
      <c r="O289" s="30"/>
      <c r="P289" s="157" t="s">
        <v>27</v>
      </c>
      <c r="Q289" s="157"/>
      <c r="R289" s="103">
        <f>SUM(R227,R231,R235,R239,R243,R247,R251,R255,R259,R263,R267,R271,R275)*100</f>
        <v>17700</v>
      </c>
      <c r="S289" s="39"/>
      <c r="T289" s="5"/>
      <c r="U289" s="16">
        <f>R289/V289</f>
        <v>5900</v>
      </c>
      <c r="V289" s="103">
        <f>SUM(V227,V231,V235,V240,V243,V247,V251,V255,V259,V263,V267,V271,V275)</f>
        <v>3</v>
      </c>
      <c r="W289" s="5"/>
      <c r="X289" s="31">
        <f t="shared" si="850"/>
        <v>0</v>
      </c>
      <c r="Y289" s="27">
        <f t="shared" si="850"/>
        <v>0</v>
      </c>
      <c r="Z289" s="103">
        <f>SUM(Z227,Z231,Z235,Z240,Z243,Z247,Z251,Z255,Z259,Z263,Z267,Z271,Z275)</f>
        <v>1914</v>
      </c>
      <c r="AA289" s="92">
        <f>Z289/R289</f>
        <v>0.10813559322033899</v>
      </c>
      <c r="AB289" s="29"/>
      <c r="AD289" s="157" t="s">
        <v>27</v>
      </c>
      <c r="AE289" s="157"/>
      <c r="AF289" s="103">
        <f>SUM(AF227,AF231,AF235,AF239,AF243,AF247,AF251,AF255,AF259,AF263,AF267,AF271,AF275)*100</f>
        <v>56500</v>
      </c>
      <c r="AG289" s="39"/>
      <c r="AH289" s="5"/>
      <c r="AI289" s="16">
        <f>AF289/AJ289</f>
        <v>3138.8888888888887</v>
      </c>
      <c r="AJ289" s="103">
        <f>SUM(AJ227,AJ231,AJ235,AJ240,AJ243,AJ247,AJ251,AJ255,AJ259,AJ263,AJ267,AJ271,AJ275)</f>
        <v>18</v>
      </c>
      <c r="AK289" s="5"/>
      <c r="AL289" s="31" t="str">
        <f t="shared" si="851"/>
        <v>バタースクイーズ</v>
      </c>
      <c r="AM289" s="27">
        <f t="shared" si="851"/>
        <v>1100</v>
      </c>
      <c r="AN289" s="103">
        <f>SUM(AN227,AN231,AN235,AN240,AN243,AN247,AN251,AN255,AN259,AN263,AN267,AN271,AN275)</f>
        <v>14464</v>
      </c>
      <c r="AO289" s="92">
        <f>AN289/AF289</f>
        <v>0.25600000000000001</v>
      </c>
      <c r="AP289" s="29"/>
      <c r="AR289" s="157" t="s">
        <v>27</v>
      </c>
      <c r="AS289" s="157"/>
      <c r="AT289" s="103">
        <f>SUM(AT227,AT231,AT235,AT239,AT243,AT247,AT251,AT255,AT259,AT263,AT267,AT271,AT275)*100</f>
        <v>33200</v>
      </c>
      <c r="AU289" s="39"/>
      <c r="AV289" s="5"/>
      <c r="AW289" s="16">
        <f>AT289/AX289</f>
        <v>5533.333333333333</v>
      </c>
      <c r="AX289" s="103">
        <f>SUM(AX227,AX231,AX235,AX240,AX243,AX247,AX251,AX255,AX259,AX263,AX267,AX271,AX275)</f>
        <v>6</v>
      </c>
      <c r="AY289" s="5"/>
      <c r="AZ289" s="31" t="str">
        <f t="shared" si="852"/>
        <v>ゲームアーク</v>
      </c>
      <c r="BA289" s="27">
        <f t="shared" si="852"/>
        <v>682</v>
      </c>
      <c r="BB289" s="103">
        <f>SUM(BB227,BB231,BB235,BB240,BB243,BB247,BB251,BB255,BB259,BB263,BB267,BB271,BB275)</f>
        <v>1804</v>
      </c>
      <c r="BC289" s="92">
        <f>BB289/AT289</f>
        <v>5.4337349397590363E-2</v>
      </c>
      <c r="BD289" s="29"/>
      <c r="BE289" s="105"/>
      <c r="BF289" s="157" t="s">
        <v>27</v>
      </c>
      <c r="BG289" s="157"/>
      <c r="BH289" s="103">
        <f>SUM(BH227,BH231,BH235,BH239,BH243,BH247,BH251,BH255,BH259,BH263,BH267,BH271,BH275)*100</f>
        <v>44600</v>
      </c>
      <c r="BI289" s="39"/>
      <c r="BJ289" s="5"/>
      <c r="BK289" s="16">
        <f>BH289/BL289</f>
        <v>11150</v>
      </c>
      <c r="BL289" s="103">
        <f>SUM(BL227,BL231,BL235,BL239,BL243,BL247,BL251,BL255,BL259,BL263,BL267,BL271,BL275)</f>
        <v>4</v>
      </c>
      <c r="BM289" s="5"/>
      <c r="BN289" s="2" t="str">
        <f t="shared" si="853"/>
        <v>プチドロップシール</v>
      </c>
      <c r="BO289" s="4">
        <f t="shared" si="853"/>
        <v>800</v>
      </c>
      <c r="BP289" s="103">
        <f>SUM(BP227,BP231,BP235,BP239,BP243,BP247,BP251,BP255,BP259,BP263,BP267,BP271,BP275)</f>
        <v>3200</v>
      </c>
      <c r="BQ289" s="92">
        <f>BP289/BH289</f>
        <v>7.1748878923766815E-2</v>
      </c>
      <c r="BR289" s="29"/>
      <c r="BT289" s="157" t="s">
        <v>27</v>
      </c>
      <c r="BU289" s="157"/>
      <c r="BV289" s="103">
        <f>SUM(BV227,BV231,BV235,BV239,BV243,BV247,BV251,BV255,BV259,BV263,BV267,BV271,BV275)*100</f>
        <v>0</v>
      </c>
      <c r="BW289" s="39"/>
      <c r="BX289" s="5"/>
      <c r="BY289" s="16" t="e">
        <f>BV289/BZ289</f>
        <v>#DIV/0!</v>
      </c>
      <c r="BZ289" s="103">
        <f>SUM(BZ227,BZ231,BZ235,BZ239,BZ243,BZ247,BZ251,BZ255,BZ259,BZ263,BZ267,BZ271,BZ275)</f>
        <v>0</v>
      </c>
      <c r="CA289" s="5"/>
      <c r="CB289" s="2">
        <f t="shared" ref="CB289:CC289" si="856">CB227</f>
        <v>0</v>
      </c>
      <c r="CC289" s="4">
        <f t="shared" si="856"/>
        <v>0</v>
      </c>
      <c r="CD289" s="103">
        <f>SUM(CD227,CD231,CD235,CD239,CD243,CD247,CD251,CD255,CD259,CD263,CD267,CD271,CD275)</f>
        <v>0</v>
      </c>
      <c r="CE289" s="92" t="e">
        <f>CD289/BV289</f>
        <v>#DIV/0!</v>
      </c>
      <c r="CF289" s="29"/>
      <c r="CH289" s="14"/>
      <c r="CI289" s="154"/>
      <c r="CJ289" s="154"/>
      <c r="CK289" s="106"/>
      <c r="CL289" s="5"/>
      <c r="CM289" s="16"/>
      <c r="CN289" s="5"/>
      <c r="CO289" s="92"/>
      <c r="CP289" s="92"/>
      <c r="CQ289" s="5"/>
      <c r="CR289" s="5"/>
      <c r="CS289" s="5"/>
      <c r="CT289" s="29"/>
      <c r="CV289" s="14"/>
      <c r="CW289" s="154"/>
      <c r="CX289" s="154"/>
      <c r="CY289" s="106"/>
      <c r="CZ289" s="5"/>
      <c r="DA289" s="16"/>
      <c r="DB289" s="5"/>
      <c r="DC289" s="92"/>
      <c r="DD289" s="92"/>
      <c r="DE289" s="5"/>
      <c r="DF289" s="5"/>
      <c r="DG289" s="5"/>
      <c r="DH289" s="29"/>
      <c r="DJ289" s="14"/>
      <c r="DK289" s="154"/>
      <c r="DL289" s="154"/>
      <c r="DM289" s="106"/>
      <c r="DN289" s="5"/>
      <c r="DO289" s="16"/>
      <c r="DP289" s="5"/>
      <c r="DQ289" s="92"/>
      <c r="DR289" s="92"/>
      <c r="DS289" s="5"/>
      <c r="DT289" s="5"/>
      <c r="DU289" s="5"/>
      <c r="DV289" s="29"/>
      <c r="DX289" s="14"/>
      <c r="DY289" s="154"/>
      <c r="DZ289" s="154"/>
      <c r="EA289" s="106"/>
      <c r="EB289" s="5"/>
      <c r="EC289" s="16"/>
      <c r="ED289" s="5"/>
      <c r="EE289" s="92"/>
      <c r="EF289" s="92"/>
      <c r="EG289" s="5"/>
      <c r="EH289" s="5"/>
      <c r="EI289" s="5"/>
      <c r="EJ289" s="29"/>
      <c r="EL289" s="14"/>
      <c r="EM289" s="154"/>
      <c r="EN289" s="154"/>
      <c r="EO289" s="106"/>
      <c r="EP289" s="5"/>
      <c r="EQ289" s="16"/>
      <c r="ER289" s="5"/>
      <c r="ES289" s="92"/>
      <c r="ET289" s="92"/>
      <c r="EU289" s="5"/>
      <c r="EV289" s="5"/>
      <c r="EW289" s="5"/>
      <c r="EX289" s="29"/>
      <c r="EZ289" s="14"/>
      <c r="FA289" s="154"/>
      <c r="FB289" s="154"/>
      <c r="FC289" s="106"/>
      <c r="FD289" s="5"/>
      <c r="FE289" s="16"/>
      <c r="FF289" s="5"/>
      <c r="FG289" s="92"/>
      <c r="FH289" s="92"/>
      <c r="FI289" s="5"/>
      <c r="FJ289" s="5"/>
      <c r="FK289" s="5"/>
      <c r="FL289" s="29"/>
      <c r="FN289" s="14"/>
      <c r="FO289" s="154"/>
      <c r="FP289" s="154"/>
      <c r="FQ289" s="106"/>
      <c r="FR289" s="5"/>
      <c r="FS289" s="16"/>
      <c r="FT289" s="5"/>
      <c r="FU289" s="92"/>
      <c r="FV289" s="92"/>
      <c r="FW289" s="5"/>
      <c r="FX289" s="5"/>
      <c r="FY289" s="5"/>
      <c r="FZ289" s="29"/>
      <c r="GB289" s="14"/>
      <c r="GC289" s="154"/>
      <c r="GD289" s="154"/>
      <c r="GE289" s="106"/>
      <c r="GF289" s="5"/>
      <c r="GG289" s="16"/>
      <c r="GH289" s="5"/>
      <c r="GI289" s="92"/>
      <c r="GJ289" s="92"/>
      <c r="GK289" s="5"/>
      <c r="GL289" s="5"/>
      <c r="GM289" s="5"/>
      <c r="GN289" s="29"/>
      <c r="GP289" s="14"/>
      <c r="GQ289" s="154"/>
      <c r="GR289" s="154"/>
      <c r="GS289" s="21"/>
      <c r="GT289" s="21"/>
      <c r="GU289" s="106"/>
      <c r="GV289" s="5"/>
      <c r="GW289" s="16"/>
      <c r="GX289" s="5"/>
      <c r="GY289" s="92"/>
      <c r="GZ289" s="92"/>
      <c r="HA289" s="5"/>
      <c r="HB289" s="5"/>
      <c r="HC289" s="5"/>
      <c r="HD289" s="29"/>
      <c r="HF289" s="14"/>
      <c r="HG289" s="154"/>
      <c r="HH289" s="154"/>
      <c r="HI289" s="106"/>
      <c r="HJ289" s="29"/>
      <c r="HL289" s="14"/>
      <c r="HM289" s="154"/>
      <c r="HN289" s="154"/>
      <c r="HO289" s="106"/>
      <c r="HP289" s="29"/>
      <c r="HR289" s="14"/>
      <c r="HS289" s="154"/>
      <c r="HT289" s="154"/>
      <c r="HU289" s="106"/>
      <c r="HV289" s="29"/>
    </row>
    <row r="290" spans="1:230" ht="15.75" thickBot="1" x14ac:dyDescent="0.25">
      <c r="A290" s="157" t="s">
        <v>27</v>
      </c>
      <c r="B290" s="157"/>
      <c r="C290" s="157"/>
      <c r="D290" s="103">
        <f>SUM(D228,D232,D236,D240,D244,D248,D252,D256,D260,D264,D268,D272,D276)*100</f>
        <v>33300</v>
      </c>
      <c r="E290" s="39"/>
      <c r="F290" s="5"/>
      <c r="G290" s="16">
        <f>D290/H290</f>
        <v>6660</v>
      </c>
      <c r="H290" s="103">
        <f>SUM(H228,H232,H236,H239,H244,H248,H252,H256,H260,H264,H268,H272,H276)</f>
        <v>5</v>
      </c>
      <c r="I290" s="5"/>
      <c r="J290" s="2">
        <f t="shared" si="849"/>
        <v>0</v>
      </c>
      <c r="K290" s="27">
        <f t="shared" si="849"/>
        <v>0</v>
      </c>
      <c r="L290" s="103">
        <f>SUM(L228,L232,L236,L239,L244,L248,L252,L256,L260,L264,L268,L272,L276)</f>
        <v>935</v>
      </c>
      <c r="M290" s="92">
        <f>L290/D290</f>
        <v>2.8078078078078078E-2</v>
      </c>
      <c r="N290" s="29"/>
      <c r="O290" s="30"/>
      <c r="P290" s="157" t="s">
        <v>27</v>
      </c>
      <c r="Q290" s="157"/>
      <c r="R290" s="103">
        <f>SUM(R228,R232,R236,R240,R244,R248,R252,R256,R260,R264,R268,R272,R276)*100</f>
        <v>10000</v>
      </c>
      <c r="S290" s="39"/>
      <c r="T290" s="5"/>
      <c r="U290" s="16">
        <f>R290/V290</f>
        <v>1666.6666666666667</v>
      </c>
      <c r="V290" s="103">
        <f>SUM(V228,V232,V236,V239,V244,V248,V252,V256,V260,V264,V268,V272,V276)</f>
        <v>6</v>
      </c>
      <c r="W290" s="5"/>
      <c r="X290" s="31">
        <f t="shared" si="850"/>
        <v>0</v>
      </c>
      <c r="Y290" s="27">
        <f t="shared" si="850"/>
        <v>0</v>
      </c>
      <c r="Z290" s="103">
        <f>SUM(Z228,Z232,Z236,Z239,Z244,Z248,Z252,Z256,Z260,Z264,Z268,Z272,Z276)</f>
        <v>2100</v>
      </c>
      <c r="AA290" s="92">
        <f>Z290/R290</f>
        <v>0.21</v>
      </c>
      <c r="AB290" s="29"/>
      <c r="AD290" s="157" t="s">
        <v>27</v>
      </c>
      <c r="AE290" s="157"/>
      <c r="AF290" s="103">
        <f>SUM(AF228,AF232,AF236,AF240,AF244,AF248,AF252,AF256,AF260,AF264,AF268,AF272,AF276)*100</f>
        <v>29300</v>
      </c>
      <c r="AG290" s="39"/>
      <c r="AH290" s="5"/>
      <c r="AI290" s="16">
        <f>AF290/AJ290</f>
        <v>945.16129032258061</v>
      </c>
      <c r="AJ290" s="103">
        <f>SUM(AJ228,AJ232,AJ236,AJ239,AJ244,AJ248,AJ252,AJ256,AJ260,AJ264,AJ268,AJ272,AJ276)</f>
        <v>31</v>
      </c>
      <c r="AK290" s="5"/>
      <c r="AL290" s="31" t="str">
        <f t="shared" si="851"/>
        <v>キティボールペン</v>
      </c>
      <c r="AM290" s="27">
        <f t="shared" si="851"/>
        <v>283</v>
      </c>
      <c r="AN290" s="103">
        <f>SUM(AN228,AN232,AN236,AN239,AN244,AN248,AN252,AN256,AN260,AN264,AN268,AN272,AN276)</f>
        <v>15309</v>
      </c>
      <c r="AO290" s="92">
        <f>AN290/AF290</f>
        <v>0.52249146757679177</v>
      </c>
      <c r="AP290" s="29"/>
      <c r="AR290" s="157" t="s">
        <v>27</v>
      </c>
      <c r="AS290" s="157"/>
      <c r="AT290" s="103">
        <f>SUM(AT228,AT232,AT236,AT240,AT244,AT248,AT252,AT256,AT260,AT264,AT268,AT272,AT276)*100</f>
        <v>32200</v>
      </c>
      <c r="AU290" s="39"/>
      <c r="AV290" s="5"/>
      <c r="AW290" s="16">
        <f>AT290/AX290</f>
        <v>1610</v>
      </c>
      <c r="AX290" s="103">
        <f>SUM(AX228,AX232,AX236,AX239,AX244,AX248,AX252,AX256,AX260,AX264,AX268,AX272,AX276)</f>
        <v>20</v>
      </c>
      <c r="AY290" s="5"/>
      <c r="AZ290" s="31" t="str">
        <f t="shared" si="852"/>
        <v>しばこ</v>
      </c>
      <c r="BA290" s="27">
        <f t="shared" si="852"/>
        <v>110</v>
      </c>
      <c r="BB290" s="103">
        <f>SUM(BB228,BB232,BB236,BB239,BB244,BB248,BB252,BB256,BB260,BB264,BB268,BB272,BB276)</f>
        <v>2200</v>
      </c>
      <c r="BC290" s="92">
        <f>BB290/AT290</f>
        <v>6.8322981366459631E-2</v>
      </c>
      <c r="BD290" s="29"/>
      <c r="BE290" s="105"/>
      <c r="BF290" s="157" t="s">
        <v>27</v>
      </c>
      <c r="BG290" s="157"/>
      <c r="BH290" s="103">
        <f>SUM(BH228,BH232,BH236,BH240,BH244,BH248,BH252,BH256,BH260,BH264,BH268,BH272,BH276)*100</f>
        <v>55100</v>
      </c>
      <c r="BI290" s="39"/>
      <c r="BJ290" s="5"/>
      <c r="BK290" s="16">
        <f>BH290/BL290</f>
        <v>2504.5454545454545</v>
      </c>
      <c r="BL290" s="103">
        <f>SUM(BL228,BL232,BL236,BL240,BL244,BL248,BL252,BL256,BL260,BL264,BL268,BL272,BL276)</f>
        <v>22</v>
      </c>
      <c r="BM290" s="5"/>
      <c r="BN290" s="2" t="str">
        <f t="shared" si="853"/>
        <v>ボンボンドロップシール</v>
      </c>
      <c r="BO290" s="4">
        <f t="shared" si="853"/>
        <v>1500</v>
      </c>
      <c r="BP290" s="103">
        <f>SUM(BP228,BP232,BP236,BP240,BP244,BP248,BP252,BP256,BP260,BP264,BP268,BP272,BP276)</f>
        <v>33000</v>
      </c>
      <c r="BQ290" s="92">
        <f>BP290/BH290</f>
        <v>0.59891107078039929</v>
      </c>
      <c r="BR290" s="29"/>
      <c r="BT290" s="157" t="s">
        <v>27</v>
      </c>
      <c r="BU290" s="157"/>
      <c r="BV290" s="103">
        <f>SUM(BV228,BV232,BV236,BV240,BV244,BV248,BV252,BV256,BV260,BV264,BV268,BV272,BV276)*100</f>
        <v>0</v>
      </c>
      <c r="BW290" s="39"/>
      <c r="BX290" s="5"/>
      <c r="BY290" s="16" t="e">
        <f>BV290/BZ290</f>
        <v>#DIV/0!</v>
      </c>
      <c r="BZ290" s="103">
        <f>SUM(BZ228,BZ232,BZ236,BZ240,BZ244,BZ248,BZ252,BZ256,BZ260,BZ264,BZ268,BZ272,BZ276)</f>
        <v>0</v>
      </c>
      <c r="CA290" s="5"/>
      <c r="CB290" s="2">
        <f t="shared" ref="CB290:CC290" si="857">CB228</f>
        <v>0</v>
      </c>
      <c r="CC290" s="4">
        <f t="shared" si="857"/>
        <v>0</v>
      </c>
      <c r="CD290" s="103">
        <f>SUM(CD228,CD232,CD236,CD240,CD244,CD248,CD252,CD256,CD260,CD264,CD268,CD272,CD276)</f>
        <v>0</v>
      </c>
      <c r="CE290" s="92" t="e">
        <f>CD290/BV290</f>
        <v>#DIV/0!</v>
      </c>
      <c r="CF290" s="29"/>
      <c r="CH290" s="14"/>
      <c r="CI290" s="154"/>
      <c r="CJ290" s="154"/>
      <c r="CK290" s="5"/>
      <c r="CL290" s="5"/>
      <c r="CM290" s="16"/>
      <c r="CN290" s="5"/>
      <c r="CO290" s="92"/>
      <c r="CP290" s="92"/>
      <c r="CQ290" s="36"/>
      <c r="CR290" s="36"/>
      <c r="CS290" s="36"/>
      <c r="CT290" s="29"/>
      <c r="CV290" s="14"/>
      <c r="CW290" s="154"/>
      <c r="CX290" s="154"/>
      <c r="CY290" s="5"/>
      <c r="CZ290" s="5"/>
      <c r="DA290" s="16"/>
      <c r="DB290" s="5"/>
      <c r="DC290" s="92"/>
      <c r="DD290" s="92"/>
      <c r="DE290" s="36"/>
      <c r="DF290" s="36"/>
      <c r="DG290" s="36"/>
      <c r="DH290" s="29"/>
      <c r="DJ290" s="14"/>
      <c r="DK290" s="154"/>
      <c r="DL290" s="154"/>
      <c r="DM290" s="5"/>
      <c r="DN290" s="5"/>
      <c r="DO290" s="16"/>
      <c r="DP290" s="5"/>
      <c r="DQ290" s="92"/>
      <c r="DR290" s="92"/>
      <c r="DS290" s="36"/>
      <c r="DT290" s="36"/>
      <c r="DU290" s="36"/>
      <c r="DV290" s="29"/>
      <c r="DX290" s="14"/>
      <c r="DY290" s="154"/>
      <c r="DZ290" s="154"/>
      <c r="EA290" s="5"/>
      <c r="EB290" s="5"/>
      <c r="EC290" s="16"/>
      <c r="ED290" s="5"/>
      <c r="EE290" s="92"/>
      <c r="EF290" s="92"/>
      <c r="EG290" s="36"/>
      <c r="EH290" s="36"/>
      <c r="EI290" s="36"/>
      <c r="EJ290" s="29"/>
      <c r="EL290" s="14"/>
      <c r="EM290" s="154"/>
      <c r="EN290" s="154"/>
      <c r="EO290" s="5"/>
      <c r="EP290" s="5"/>
      <c r="EQ290" s="16"/>
      <c r="ER290" s="5"/>
      <c r="ES290" s="92"/>
      <c r="ET290" s="92"/>
      <c r="EU290" s="36"/>
      <c r="EV290" s="36"/>
      <c r="EW290" s="36"/>
      <c r="EX290" s="29"/>
      <c r="EZ290" s="14"/>
      <c r="FA290" s="154"/>
      <c r="FB290" s="154"/>
      <c r="FC290" s="5"/>
      <c r="FD290" s="5"/>
      <c r="FE290" s="16"/>
      <c r="FF290" s="5"/>
      <c r="FG290" s="92"/>
      <c r="FH290" s="92"/>
      <c r="FI290" s="36"/>
      <c r="FJ290" s="36"/>
      <c r="FK290" s="36"/>
      <c r="FL290" s="29"/>
      <c r="FN290" s="14"/>
      <c r="FO290" s="154"/>
      <c r="FP290" s="154"/>
      <c r="FQ290" s="5"/>
      <c r="FR290" s="5"/>
      <c r="FS290" s="16"/>
      <c r="FT290" s="5"/>
      <c r="FU290" s="92"/>
      <c r="FV290" s="92"/>
      <c r="FW290" s="36"/>
      <c r="FX290" s="36"/>
      <c r="FY290" s="36"/>
      <c r="FZ290" s="29"/>
      <c r="GB290" s="14"/>
      <c r="GC290" s="154"/>
      <c r="GD290" s="154"/>
      <c r="GE290" s="5"/>
      <c r="GF290" s="5"/>
      <c r="GG290" s="16"/>
      <c r="GH290" s="5"/>
      <c r="GI290" s="92"/>
      <c r="GJ290" s="92"/>
      <c r="GK290" s="36"/>
      <c r="GL290" s="36"/>
      <c r="GM290" s="36"/>
      <c r="GN290" s="29"/>
      <c r="GP290" s="14"/>
      <c r="GQ290" s="154"/>
      <c r="GR290" s="154"/>
      <c r="GS290" s="21"/>
      <c r="GT290" s="21"/>
      <c r="GU290" s="5"/>
      <c r="GV290" s="5"/>
      <c r="GW290" s="16"/>
      <c r="GX290" s="5"/>
      <c r="GY290" s="92"/>
      <c r="GZ290" s="92"/>
      <c r="HA290" s="36"/>
      <c r="HB290" s="36"/>
      <c r="HC290" s="36"/>
      <c r="HD290" s="29"/>
      <c r="HF290" s="14"/>
      <c r="HG290" s="154"/>
      <c r="HH290" s="154"/>
      <c r="HI290" s="5"/>
      <c r="HJ290" s="29"/>
      <c r="HL290" s="14"/>
      <c r="HM290" s="154"/>
      <c r="HN290" s="154"/>
      <c r="HO290" s="5"/>
      <c r="HP290" s="29"/>
      <c r="HR290" s="14"/>
      <c r="HS290" s="154"/>
      <c r="HT290" s="154"/>
      <c r="HU290" s="5"/>
      <c r="HV290" s="29"/>
    </row>
    <row r="291" spans="1:230" ht="15.75" thickTop="1" x14ac:dyDescent="0.2">
      <c r="A291" s="25"/>
      <c r="B291" s="37"/>
      <c r="C291" s="16" t="s">
        <v>20</v>
      </c>
      <c r="D291" s="5">
        <f>SUM(D287:D290)</f>
        <v>82700</v>
      </c>
      <c r="E291" s="39"/>
      <c r="F291" s="5"/>
      <c r="G291" s="5"/>
      <c r="H291" s="5">
        <f>SUM(H287:H290)</f>
        <v>8</v>
      </c>
      <c r="I291" s="5"/>
      <c r="J291" s="156" t="s">
        <v>28</v>
      </c>
      <c r="K291" s="156"/>
      <c r="L291" s="4">
        <f>SUM(L287:L290)</f>
        <v>2618</v>
      </c>
      <c r="M291" s="107">
        <f>L291/D291</f>
        <v>3.1656590084643291E-2</v>
      </c>
      <c r="N291" s="34"/>
      <c r="O291" s="30"/>
      <c r="P291" s="25"/>
      <c r="Q291" s="16" t="s">
        <v>20</v>
      </c>
      <c r="R291" s="5">
        <f>SUM(R287:R290)</f>
        <v>107100</v>
      </c>
      <c r="S291" s="39"/>
      <c r="T291" s="5"/>
      <c r="U291" s="5"/>
      <c r="V291" s="5">
        <f>SUM(V287:V290)</f>
        <v>31</v>
      </c>
      <c r="W291" s="5"/>
      <c r="X291" s="156" t="s">
        <v>28</v>
      </c>
      <c r="Y291" s="156"/>
      <c r="Z291" s="4">
        <f>SUM(Z287:Z290)</f>
        <v>20349</v>
      </c>
      <c r="AA291" s="107">
        <f>Z291/R291</f>
        <v>0.19</v>
      </c>
      <c r="AB291" s="29"/>
      <c r="AD291" s="25"/>
      <c r="AE291" s="16" t="s">
        <v>20</v>
      </c>
      <c r="AF291" s="5">
        <f>SUM(AF287:AF290)</f>
        <v>244100</v>
      </c>
      <c r="AG291" s="39"/>
      <c r="AH291" s="5"/>
      <c r="AI291" s="5"/>
      <c r="AJ291" s="5">
        <f>SUM(AJ287:AJ290)</f>
        <v>64</v>
      </c>
      <c r="AK291" s="5"/>
      <c r="AL291" s="156" t="s">
        <v>28</v>
      </c>
      <c r="AM291" s="156"/>
      <c r="AN291" s="4">
        <f>SUM(AN287:AN290)</f>
        <v>46197</v>
      </c>
      <c r="AO291" s="107">
        <f>AN291/AF291</f>
        <v>0.18925440393281442</v>
      </c>
      <c r="AP291" s="29"/>
      <c r="AR291" s="25"/>
      <c r="AS291" s="16" t="s">
        <v>20</v>
      </c>
      <c r="AT291" s="5">
        <f>SUM(AT287:AT290)</f>
        <v>174000</v>
      </c>
      <c r="AU291" s="39"/>
      <c r="AV291" s="5"/>
      <c r="AW291" s="5"/>
      <c r="AX291" s="5">
        <f>SUM(AX287:AX290)</f>
        <v>34</v>
      </c>
      <c r="AY291" s="5"/>
      <c r="AZ291" s="156" t="s">
        <v>28</v>
      </c>
      <c r="BA291" s="156"/>
      <c r="BB291" s="4">
        <f>SUM(BB287:BB290)</f>
        <v>11994</v>
      </c>
      <c r="BC291" s="107">
        <f>BB291/AT291</f>
        <v>6.8931034482758627E-2</v>
      </c>
      <c r="BD291" s="29"/>
      <c r="BE291" s="32"/>
      <c r="BF291" s="25"/>
      <c r="BG291" s="16" t="s">
        <v>20</v>
      </c>
      <c r="BH291" s="5">
        <f>SUM(BH287:BH290)</f>
        <v>678200</v>
      </c>
      <c r="BI291" s="5"/>
      <c r="BJ291" s="5"/>
      <c r="BK291" s="5"/>
      <c r="BL291" s="5">
        <f>SUM(BL287:BL290)</f>
        <v>61</v>
      </c>
      <c r="BM291" s="5"/>
      <c r="BN291" s="155" t="s">
        <v>28</v>
      </c>
      <c r="BO291" s="155"/>
      <c r="BP291" s="4">
        <f>SUM(BP287:BP290)</f>
        <v>88700</v>
      </c>
      <c r="BQ291" s="107">
        <f>BP291/BH291</f>
        <v>0.13078737835446771</v>
      </c>
      <c r="BR291" s="29"/>
      <c r="BT291" s="25"/>
      <c r="BU291" s="16" t="s">
        <v>20</v>
      </c>
      <c r="BV291" s="5">
        <f>SUM(BV287:BV290)</f>
        <v>101500</v>
      </c>
      <c r="BW291" s="5"/>
      <c r="BX291" s="5"/>
      <c r="BY291" s="5"/>
      <c r="BZ291" s="5">
        <f>SUM(BZ287:BZ290)</f>
        <v>43</v>
      </c>
      <c r="CA291" s="5"/>
      <c r="CB291" s="155" t="s">
        <v>28</v>
      </c>
      <c r="CC291" s="155"/>
      <c r="CD291" s="4">
        <f>SUM(CD287:CD290)</f>
        <v>40000</v>
      </c>
      <c r="CE291" s="107">
        <f>CD291/BV291</f>
        <v>0.39408866995073893</v>
      </c>
      <c r="CF291" s="29"/>
      <c r="CH291" s="14"/>
      <c r="CI291" s="154"/>
      <c r="CJ291" s="154"/>
      <c r="CK291" s="92"/>
      <c r="CL291" s="5"/>
      <c r="CM291" s="16"/>
      <c r="CN291" s="5"/>
      <c r="CO291" s="92"/>
      <c r="CP291" s="92"/>
      <c r="CQ291" s="36"/>
      <c r="CR291" s="36"/>
      <c r="CS291" s="36"/>
      <c r="CT291" s="29"/>
      <c r="CV291" s="14"/>
      <c r="CW291" s="154"/>
      <c r="CX291" s="154"/>
      <c r="CY291" s="92"/>
      <c r="CZ291" s="5"/>
      <c r="DA291" s="16"/>
      <c r="DB291" s="5"/>
      <c r="DC291" s="92"/>
      <c r="DD291" s="92"/>
      <c r="DE291" s="36"/>
      <c r="DF291" s="36"/>
      <c r="DG291" s="36"/>
      <c r="DH291" s="29"/>
      <c r="DJ291" s="14"/>
      <c r="DK291" s="154"/>
      <c r="DL291" s="154"/>
      <c r="DM291" s="92"/>
      <c r="DN291" s="5"/>
      <c r="DO291" s="16"/>
      <c r="DP291" s="5"/>
      <c r="DQ291" s="92"/>
      <c r="DR291" s="92"/>
      <c r="DS291" s="36"/>
      <c r="DT291" s="36"/>
      <c r="DU291" s="36"/>
      <c r="DV291" s="29"/>
      <c r="DX291" s="14"/>
      <c r="DY291" s="154"/>
      <c r="DZ291" s="154"/>
      <c r="EA291" s="92"/>
      <c r="EB291" s="5"/>
      <c r="EC291" s="16"/>
      <c r="ED291" s="5"/>
      <c r="EE291" s="92"/>
      <c r="EF291" s="92"/>
      <c r="EG291" s="36"/>
      <c r="EH291" s="36"/>
      <c r="EI291" s="36"/>
      <c r="EJ291" s="29"/>
      <c r="EL291" s="14"/>
      <c r="EM291" s="154"/>
      <c r="EN291" s="154"/>
      <c r="EO291" s="92"/>
      <c r="EP291" s="5"/>
      <c r="EQ291" s="16"/>
      <c r="ER291" s="5"/>
      <c r="ES291" s="92"/>
      <c r="ET291" s="92"/>
      <c r="EU291" s="36"/>
      <c r="EV291" s="36"/>
      <c r="EW291" s="36"/>
      <c r="EX291" s="29"/>
      <c r="EZ291" s="14"/>
      <c r="FA291" s="154"/>
      <c r="FB291" s="154"/>
      <c r="FC291" s="92"/>
      <c r="FD291" s="5"/>
      <c r="FE291" s="16"/>
      <c r="FF291" s="5"/>
      <c r="FG291" s="92"/>
      <c r="FH291" s="92"/>
      <c r="FI291" s="36"/>
      <c r="FJ291" s="36"/>
      <c r="FK291" s="36"/>
      <c r="FL291" s="29"/>
      <c r="FN291" s="14"/>
      <c r="FO291" s="154"/>
      <c r="FP291" s="154"/>
      <c r="FQ291" s="92"/>
      <c r="FR291" s="5"/>
      <c r="FS291" s="16"/>
      <c r="FT291" s="5"/>
      <c r="FU291" s="92"/>
      <c r="FV291" s="92"/>
      <c r="FW291" s="36"/>
      <c r="FX291" s="36"/>
      <c r="FY291" s="36"/>
      <c r="FZ291" s="29"/>
      <c r="GB291" s="14"/>
      <c r="GC291" s="154"/>
      <c r="GD291" s="154"/>
      <c r="GE291" s="92"/>
      <c r="GF291" s="5"/>
      <c r="GG291" s="16"/>
      <c r="GH291" s="5"/>
      <c r="GI291" s="92"/>
      <c r="GJ291" s="92"/>
      <c r="GK291" s="36"/>
      <c r="GL291" s="36"/>
      <c r="GM291" s="36"/>
      <c r="GN291" s="29"/>
      <c r="GP291" s="14"/>
      <c r="GQ291" s="154"/>
      <c r="GR291" s="154"/>
      <c r="GS291" s="21"/>
      <c r="GT291" s="21"/>
      <c r="GU291" s="92"/>
      <c r="GV291" s="5"/>
      <c r="GW291" s="16"/>
      <c r="GX291" s="5"/>
      <c r="GY291" s="92"/>
      <c r="GZ291" s="92"/>
      <c r="HA291" s="36"/>
      <c r="HB291" s="36"/>
      <c r="HC291" s="36"/>
      <c r="HD291" s="29"/>
      <c r="HF291" s="14"/>
      <c r="HG291" s="154"/>
      <c r="HH291" s="154"/>
      <c r="HI291" s="92"/>
      <c r="HJ291" s="29"/>
      <c r="HL291" s="14"/>
      <c r="HM291" s="154"/>
      <c r="HN291" s="154"/>
      <c r="HO291" s="92"/>
      <c r="HP291" s="29"/>
      <c r="HR291" s="14"/>
      <c r="HS291" s="154"/>
      <c r="HT291" s="154"/>
      <c r="HU291" s="92"/>
      <c r="HV291" s="29"/>
    </row>
    <row r="292" spans="1:230" x14ac:dyDescent="0.2">
      <c r="A292" s="108"/>
      <c r="J292" s="110"/>
      <c r="K292" s="13"/>
      <c r="N292" s="111"/>
      <c r="O292" s="30"/>
      <c r="P292" s="108"/>
      <c r="X292" s="1"/>
      <c r="AB292" s="111"/>
      <c r="AD292" s="108"/>
      <c r="AL292" s="1"/>
      <c r="AP292" s="111"/>
      <c r="AR292" s="108"/>
      <c r="AZ292" s="1"/>
      <c r="BD292" s="111"/>
      <c r="CH292" s="112"/>
      <c r="CV292" s="112"/>
      <c r="DJ292" s="112"/>
      <c r="DX292" s="112"/>
      <c r="EL292" s="112"/>
      <c r="EZ292" s="112"/>
      <c r="FN292" s="112"/>
      <c r="GB292" s="112"/>
      <c r="GP292" s="112"/>
      <c r="HF292" s="112"/>
      <c r="HL292" s="112"/>
      <c r="HR292" s="112"/>
    </row>
    <row r="293" spans="1:230" ht="15" customHeight="1" x14ac:dyDescent="0.2">
      <c r="B293" s="146" t="s">
        <v>287</v>
      </c>
      <c r="C293" s="147"/>
      <c r="D293" s="148" t="s">
        <v>288</v>
      </c>
      <c r="E293" s="149"/>
      <c r="F293" s="148" t="s">
        <v>289</v>
      </c>
      <c r="G293" s="149"/>
      <c r="K293" s="13"/>
      <c r="CH293" s="112"/>
      <c r="CV293" s="112"/>
      <c r="DJ293" s="112"/>
      <c r="DX293" s="112"/>
      <c r="EL293" s="112"/>
      <c r="EZ293" s="112"/>
      <c r="FN293" s="112"/>
      <c r="GB293" s="112"/>
      <c r="GP293" s="112"/>
      <c r="HF293" s="112"/>
      <c r="HL293" s="112"/>
      <c r="HR293" s="112"/>
    </row>
    <row r="294" spans="1:230" x14ac:dyDescent="0.2">
      <c r="B294" s="150">
        <f>B285/A286*A285</f>
        <v>2404800</v>
      </c>
      <c r="C294" s="151"/>
      <c r="D294" s="152">
        <f>L281+Z281+BB281+CO283+DC283+DQ283+EE283+ES283+FG283+FU283+GI283+BP281+CD281+GY283</f>
        <v>163663.3673406326</v>
      </c>
      <c r="E294" s="153"/>
      <c r="F294" s="152">
        <f>K284+Y284</f>
        <v>0</v>
      </c>
      <c r="G294" s="153"/>
      <c r="K294" s="13"/>
      <c r="CH294" s="112"/>
      <c r="CV294" s="112"/>
      <c r="DJ294" s="112"/>
      <c r="DX294" s="112"/>
      <c r="EL294" s="112"/>
      <c r="EZ294" s="112"/>
      <c r="FN294" s="112"/>
      <c r="GB294" s="112"/>
      <c r="GP294" s="112"/>
      <c r="HF294" s="112"/>
      <c r="HL294" s="112"/>
      <c r="HR294" s="112"/>
    </row>
    <row r="295" spans="1:230" x14ac:dyDescent="0.2">
      <c r="B295" s="113"/>
      <c r="C295" s="113"/>
      <c r="D295" s="23" t="s">
        <v>290</v>
      </c>
      <c r="E295" s="114">
        <f>D294/B285</f>
        <v>6.8056955813636313E-2</v>
      </c>
      <c r="F295" s="5"/>
      <c r="G295" s="5"/>
      <c r="K295" s="13"/>
      <c r="CH295" s="112"/>
      <c r="CV295" s="112"/>
      <c r="DJ295" s="112"/>
      <c r="DX295" s="112"/>
      <c r="EL295" s="112"/>
      <c r="EZ295" s="112"/>
      <c r="FN295" s="112"/>
      <c r="GB295" s="112"/>
      <c r="GP295" s="112"/>
      <c r="HF295" s="112"/>
      <c r="HL295" s="112"/>
      <c r="HR295" s="112"/>
    </row>
    <row r="296" spans="1:230" x14ac:dyDescent="0.2">
      <c r="E296" s="30"/>
      <c r="F296" s="30"/>
      <c r="G296" s="30"/>
      <c r="H296" s="30"/>
      <c r="K296" s="13"/>
    </row>
    <row r="297" spans="1:230" ht="18.75" x14ac:dyDescent="0.2">
      <c r="A297" s="167" t="s">
        <v>323</v>
      </c>
      <c r="B297" s="167"/>
      <c r="C297" s="167"/>
      <c r="D297" s="167"/>
      <c r="E297" s="168" t="s">
        <v>0</v>
      </c>
      <c r="F297" s="168"/>
      <c r="G297" s="123"/>
      <c r="H297" s="123"/>
      <c r="I297" s="123"/>
      <c r="J297" s="124"/>
      <c r="K297" s="123"/>
      <c r="L297" s="123"/>
      <c r="M297" s="123"/>
      <c r="N297" s="125"/>
      <c r="O297" s="126"/>
      <c r="P297" s="167" t="s">
        <v>323</v>
      </c>
      <c r="Q297" s="167"/>
      <c r="R297" s="167"/>
      <c r="S297" s="168" t="s">
        <v>1</v>
      </c>
      <c r="T297" s="168"/>
      <c r="U297" s="123"/>
      <c r="V297" s="123"/>
      <c r="W297" s="123"/>
      <c r="X297" s="127"/>
      <c r="Y297" s="123"/>
      <c r="Z297" s="123"/>
      <c r="AA297" s="123"/>
      <c r="AB297" s="125"/>
      <c r="AD297" s="167" t="s">
        <v>323</v>
      </c>
      <c r="AE297" s="167"/>
      <c r="AF297" s="167"/>
      <c r="AG297" s="168" t="s">
        <v>38</v>
      </c>
      <c r="AH297" s="168"/>
      <c r="AI297" s="123"/>
      <c r="AJ297" s="123"/>
      <c r="AK297" s="123"/>
      <c r="AL297" s="127"/>
      <c r="AM297" s="123"/>
      <c r="AN297" s="123"/>
      <c r="AO297" s="123"/>
      <c r="AP297" s="125"/>
      <c r="AR297" s="167" t="s">
        <v>323</v>
      </c>
      <c r="AS297" s="167"/>
      <c r="AT297" s="167"/>
      <c r="AU297" s="168" t="s">
        <v>39</v>
      </c>
      <c r="AV297" s="168"/>
      <c r="AW297" s="123"/>
      <c r="AX297" s="123"/>
      <c r="AY297" s="123"/>
      <c r="AZ297" s="127"/>
      <c r="BA297" s="123"/>
      <c r="BB297" s="123"/>
      <c r="BC297" s="123"/>
      <c r="BD297" s="125"/>
      <c r="CG297" s="123"/>
      <c r="CU297" s="123"/>
    </row>
    <row r="298" spans="1:230" x14ac:dyDescent="0.2">
      <c r="A298" s="14" t="s">
        <v>2</v>
      </c>
      <c r="B298" s="15" t="s">
        <v>258</v>
      </c>
      <c r="C298" s="16" t="s">
        <v>3</v>
      </c>
      <c r="D298" s="16" t="s">
        <v>4</v>
      </c>
      <c r="E298" s="17" t="s">
        <v>5</v>
      </c>
      <c r="F298" s="16" t="s">
        <v>4</v>
      </c>
      <c r="G298" s="16" t="s">
        <v>6</v>
      </c>
      <c r="H298" s="16" t="s">
        <v>7</v>
      </c>
      <c r="I298" s="16" t="s">
        <v>8</v>
      </c>
      <c r="J298" s="17" t="s">
        <v>9</v>
      </c>
      <c r="K298" s="16" t="s">
        <v>10</v>
      </c>
      <c r="L298" s="16" t="s">
        <v>7</v>
      </c>
      <c r="M298" s="16" t="s">
        <v>11</v>
      </c>
      <c r="N298" s="16" t="s">
        <v>12</v>
      </c>
      <c r="O298" s="18"/>
      <c r="P298" s="14" t="s">
        <v>2</v>
      </c>
      <c r="Q298" s="16" t="s">
        <v>3</v>
      </c>
      <c r="R298" s="16" t="s">
        <v>4</v>
      </c>
      <c r="S298" s="17" t="s">
        <v>5</v>
      </c>
      <c r="T298" s="16" t="s">
        <v>4</v>
      </c>
      <c r="U298" s="16" t="s">
        <v>6</v>
      </c>
      <c r="V298" s="16" t="s">
        <v>7</v>
      </c>
      <c r="W298" s="16" t="s">
        <v>8</v>
      </c>
      <c r="X298" s="19" t="s">
        <v>9</v>
      </c>
      <c r="Y298" s="16" t="s">
        <v>10</v>
      </c>
      <c r="Z298" s="16" t="s">
        <v>7</v>
      </c>
      <c r="AA298" s="16" t="s">
        <v>11</v>
      </c>
      <c r="AB298" s="16" t="s">
        <v>12</v>
      </c>
      <c r="AD298" s="14" t="s">
        <v>2</v>
      </c>
      <c r="AE298" s="16" t="s">
        <v>3</v>
      </c>
      <c r="AF298" s="16" t="s">
        <v>4</v>
      </c>
      <c r="AG298" s="17" t="s">
        <v>5</v>
      </c>
      <c r="AH298" s="16" t="s">
        <v>4</v>
      </c>
      <c r="AI298" s="16" t="s">
        <v>6</v>
      </c>
      <c r="AJ298" s="16" t="s">
        <v>7</v>
      </c>
      <c r="AK298" s="16" t="s">
        <v>8</v>
      </c>
      <c r="AL298" s="19" t="s">
        <v>9</v>
      </c>
      <c r="AM298" s="16" t="s">
        <v>10</v>
      </c>
      <c r="AN298" s="16" t="s">
        <v>7</v>
      </c>
      <c r="AO298" s="16" t="s">
        <v>11</v>
      </c>
      <c r="AP298" s="16" t="s">
        <v>12</v>
      </c>
      <c r="AR298" s="14" t="s">
        <v>2</v>
      </c>
      <c r="AS298" s="16" t="s">
        <v>3</v>
      </c>
      <c r="AT298" s="16" t="s">
        <v>4</v>
      </c>
      <c r="AU298" s="17" t="s">
        <v>5</v>
      </c>
      <c r="AV298" s="16" t="s">
        <v>4</v>
      </c>
      <c r="AW298" s="16" t="s">
        <v>6</v>
      </c>
      <c r="AX298" s="16" t="s">
        <v>7</v>
      </c>
      <c r="AY298" s="16" t="s">
        <v>8</v>
      </c>
      <c r="AZ298" s="19" t="s">
        <v>9</v>
      </c>
      <c r="BA298" s="16" t="s">
        <v>10</v>
      </c>
      <c r="BB298" s="16" t="s">
        <v>7</v>
      </c>
      <c r="BC298" s="16" t="s">
        <v>11</v>
      </c>
      <c r="BD298" s="16" t="s">
        <v>12</v>
      </c>
    </row>
    <row r="299" spans="1:230" x14ac:dyDescent="0.2">
      <c r="A299" s="25">
        <v>45948</v>
      </c>
      <c r="B299" s="26">
        <v>967</v>
      </c>
      <c r="C299" s="4">
        <v>14552</v>
      </c>
      <c r="D299" s="4">
        <v>89</v>
      </c>
      <c r="E299" s="4">
        <v>1042</v>
      </c>
      <c r="F299" s="4">
        <v>3</v>
      </c>
      <c r="G299" s="4">
        <v>12</v>
      </c>
      <c r="H299" s="4">
        <v>2</v>
      </c>
      <c r="I299" s="4"/>
      <c r="J299" s="2" t="s">
        <v>324</v>
      </c>
      <c r="K299" s="27">
        <v>1075</v>
      </c>
      <c r="L299" s="4">
        <v>2150</v>
      </c>
      <c r="M299" s="28">
        <v>0.24157303370786518</v>
      </c>
      <c r="N299" s="29"/>
      <c r="O299" s="30"/>
      <c r="P299" s="25">
        <v>45948</v>
      </c>
      <c r="Q299" s="4">
        <v>13648</v>
      </c>
      <c r="R299" s="4">
        <v>133</v>
      </c>
      <c r="S299" s="4">
        <v>1375</v>
      </c>
      <c r="T299" s="4">
        <v>2</v>
      </c>
      <c r="U299" s="4">
        <v>8</v>
      </c>
      <c r="V299" s="4">
        <v>2</v>
      </c>
      <c r="W299" s="4"/>
      <c r="X299" s="31" t="s">
        <v>325</v>
      </c>
      <c r="Y299" s="27">
        <v>957</v>
      </c>
      <c r="Z299" s="4">
        <v>0</v>
      </c>
      <c r="AA299" s="28">
        <v>0</v>
      </c>
      <c r="AB299" s="29"/>
      <c r="AD299" s="25">
        <v>45948</v>
      </c>
      <c r="AE299" s="4">
        <v>11715</v>
      </c>
      <c r="AF299" s="4">
        <v>7</v>
      </c>
      <c r="AG299" s="4">
        <v>893</v>
      </c>
      <c r="AH299" s="4">
        <v>0</v>
      </c>
      <c r="AI299" s="4">
        <v>7</v>
      </c>
      <c r="AJ299" s="4">
        <v>0</v>
      </c>
      <c r="AK299" s="4"/>
      <c r="AL299" s="31" t="s">
        <v>326</v>
      </c>
      <c r="AM299" s="27">
        <v>748</v>
      </c>
      <c r="AN299" s="4">
        <v>0</v>
      </c>
      <c r="AO299" s="28">
        <v>0</v>
      </c>
      <c r="AP299" s="29"/>
      <c r="AR299" s="25">
        <v>45948</v>
      </c>
      <c r="AS299" s="4">
        <v>8305</v>
      </c>
      <c r="AT299" s="4">
        <v>58</v>
      </c>
      <c r="AU299" s="4">
        <v>468</v>
      </c>
      <c r="AV299" s="4">
        <v>1</v>
      </c>
      <c r="AW299" s="4">
        <v>6</v>
      </c>
      <c r="AX299" s="4">
        <v>1</v>
      </c>
      <c r="AY299" s="4"/>
      <c r="AZ299" s="31" t="s">
        <v>292</v>
      </c>
      <c r="BA299" s="27">
        <v>722</v>
      </c>
      <c r="BB299" s="4">
        <v>722</v>
      </c>
      <c r="BC299" s="28">
        <v>0.12448275862068965</v>
      </c>
      <c r="BD299" s="29"/>
    </row>
    <row r="300" spans="1:230" x14ac:dyDescent="0.2">
      <c r="A300" s="14"/>
      <c r="B300" s="37"/>
      <c r="C300" s="4">
        <v>16363</v>
      </c>
      <c r="D300" s="5">
        <v>87</v>
      </c>
      <c r="E300" s="4">
        <v>561</v>
      </c>
      <c r="F300" s="5">
        <v>5</v>
      </c>
      <c r="G300" s="5">
        <v>43</v>
      </c>
      <c r="H300" s="5">
        <v>5</v>
      </c>
      <c r="I300" s="5"/>
      <c r="J300" s="2" t="s">
        <v>327</v>
      </c>
      <c r="K300" s="4">
        <v>275</v>
      </c>
      <c r="L300" s="5">
        <v>1375</v>
      </c>
      <c r="M300" s="36">
        <v>0.15804597701149425</v>
      </c>
      <c r="N300" s="29"/>
      <c r="O300" s="30"/>
      <c r="P300" s="25"/>
      <c r="Q300" s="4">
        <v>13461</v>
      </c>
      <c r="R300" s="5">
        <v>24</v>
      </c>
      <c r="S300" s="4">
        <v>484</v>
      </c>
      <c r="T300" s="5">
        <v>0</v>
      </c>
      <c r="U300" s="5">
        <v>10</v>
      </c>
      <c r="V300" s="5">
        <v>0</v>
      </c>
      <c r="W300" s="5"/>
      <c r="X300" s="38" t="s">
        <v>328</v>
      </c>
      <c r="Y300" s="39">
        <v>600</v>
      </c>
      <c r="Z300" s="5">
        <v>0</v>
      </c>
      <c r="AA300" s="36">
        <v>0</v>
      </c>
      <c r="AB300" s="29"/>
      <c r="AD300" s="25"/>
      <c r="AE300" s="4">
        <v>11230</v>
      </c>
      <c r="AF300" s="5">
        <v>20</v>
      </c>
      <c r="AG300" s="4">
        <v>766</v>
      </c>
      <c r="AH300" s="5">
        <v>1</v>
      </c>
      <c r="AI300" s="5">
        <v>20</v>
      </c>
      <c r="AJ300" s="5">
        <v>1</v>
      </c>
      <c r="AK300" s="5"/>
      <c r="AL300" s="38" t="s">
        <v>329</v>
      </c>
      <c r="AM300" s="39">
        <v>748</v>
      </c>
      <c r="AN300" s="5">
        <v>748</v>
      </c>
      <c r="AO300" s="36">
        <v>0.374</v>
      </c>
      <c r="AP300" s="29"/>
      <c r="AR300" s="25"/>
      <c r="AS300" s="4">
        <v>9919</v>
      </c>
      <c r="AT300" s="5">
        <v>38</v>
      </c>
      <c r="AU300" s="4">
        <v>517</v>
      </c>
      <c r="AV300" s="5">
        <v>2</v>
      </c>
      <c r="AW300" s="5">
        <v>19</v>
      </c>
      <c r="AX300" s="5">
        <v>2</v>
      </c>
      <c r="AY300" s="5"/>
      <c r="AZ300" s="38" t="s">
        <v>330</v>
      </c>
      <c r="BA300" s="39">
        <v>1100</v>
      </c>
      <c r="BB300" s="5">
        <v>2200</v>
      </c>
      <c r="BC300" s="36">
        <v>0.57894736842105265</v>
      </c>
      <c r="BD300" s="29"/>
    </row>
    <row r="301" spans="1:230" x14ac:dyDescent="0.2">
      <c r="A301" s="25"/>
      <c r="B301" s="37"/>
      <c r="C301" s="4">
        <v>15504</v>
      </c>
      <c r="D301" s="5">
        <v>136</v>
      </c>
      <c r="E301" s="4">
        <v>586</v>
      </c>
      <c r="F301" s="5">
        <v>0</v>
      </c>
      <c r="G301" s="5">
        <v>18</v>
      </c>
      <c r="H301" s="5">
        <v>0</v>
      </c>
      <c r="I301" s="5"/>
      <c r="J301" s="3" t="s">
        <v>331</v>
      </c>
      <c r="K301" s="39">
        <v>500</v>
      </c>
      <c r="L301" s="5">
        <v>0</v>
      </c>
      <c r="M301" s="36">
        <v>0</v>
      </c>
      <c r="N301" s="29"/>
      <c r="O301" s="30"/>
      <c r="P301" s="25"/>
      <c r="Q301" s="4">
        <v>13425</v>
      </c>
      <c r="R301" s="5">
        <v>91</v>
      </c>
      <c r="S301" s="4">
        <v>890</v>
      </c>
      <c r="T301" s="5">
        <v>9</v>
      </c>
      <c r="U301" s="5">
        <v>83</v>
      </c>
      <c r="V301" s="5">
        <v>9</v>
      </c>
      <c r="W301" s="5"/>
      <c r="X301" s="38" t="s">
        <v>332</v>
      </c>
      <c r="Y301" s="39">
        <v>198</v>
      </c>
      <c r="Z301" s="5">
        <v>1782</v>
      </c>
      <c r="AA301" s="36">
        <v>0.19582417582417583</v>
      </c>
      <c r="AB301" s="29"/>
      <c r="AD301" s="25"/>
      <c r="AE301" s="4">
        <v>14066</v>
      </c>
      <c r="AF301" s="5">
        <v>16</v>
      </c>
      <c r="AG301" s="4">
        <v>2384</v>
      </c>
      <c r="AH301" s="5">
        <v>0</v>
      </c>
      <c r="AI301" s="5">
        <v>13</v>
      </c>
      <c r="AJ301" s="5">
        <v>-1</v>
      </c>
      <c r="AK301" s="5"/>
      <c r="AL301" s="38" t="s">
        <v>333</v>
      </c>
      <c r="AM301" s="39">
        <v>700</v>
      </c>
      <c r="AN301" s="5">
        <v>-700</v>
      </c>
      <c r="AO301" s="36">
        <v>-0.4375</v>
      </c>
      <c r="AP301" s="29" t="s">
        <v>92</v>
      </c>
      <c r="AR301" s="25"/>
      <c r="AS301" s="4">
        <v>12336</v>
      </c>
      <c r="AT301" s="5">
        <v>8</v>
      </c>
      <c r="AU301" s="4">
        <v>731</v>
      </c>
      <c r="AV301" s="5">
        <v>0</v>
      </c>
      <c r="AW301" s="5">
        <v>14</v>
      </c>
      <c r="AX301" s="5">
        <v>0</v>
      </c>
      <c r="AY301" s="5"/>
      <c r="AZ301" s="38" t="s">
        <v>334</v>
      </c>
      <c r="BA301" s="39">
        <v>528</v>
      </c>
      <c r="BB301" s="5">
        <v>0</v>
      </c>
      <c r="BC301" s="36">
        <v>0</v>
      </c>
      <c r="BD301" s="29"/>
    </row>
    <row r="302" spans="1:230" ht="15" customHeight="1" thickBot="1" x14ac:dyDescent="0.25">
      <c r="A302" s="41"/>
      <c r="B302" s="42"/>
      <c r="C302" s="43">
        <v>11250</v>
      </c>
      <c r="D302" s="43">
        <v>127</v>
      </c>
      <c r="E302" s="43">
        <v>1170</v>
      </c>
      <c r="F302" s="44">
        <v>3</v>
      </c>
      <c r="G302" s="44">
        <v>14</v>
      </c>
      <c r="H302" s="44">
        <v>3</v>
      </c>
      <c r="I302" s="44"/>
      <c r="J302" s="45" t="s">
        <v>335</v>
      </c>
      <c r="K302" s="44">
        <v>996</v>
      </c>
      <c r="L302" s="44">
        <v>2988</v>
      </c>
      <c r="M302" s="46">
        <v>0.23527559055118111</v>
      </c>
      <c r="N302" s="29"/>
      <c r="O302" s="30"/>
      <c r="P302" s="41"/>
      <c r="Q302" s="43">
        <v>11460</v>
      </c>
      <c r="R302" s="43">
        <v>82</v>
      </c>
      <c r="S302" s="43">
        <v>1038</v>
      </c>
      <c r="T302" s="44">
        <v>2</v>
      </c>
      <c r="U302" s="44">
        <v>10</v>
      </c>
      <c r="V302" s="44">
        <v>2</v>
      </c>
      <c r="W302" s="44"/>
      <c r="X302" s="47" t="s">
        <v>336</v>
      </c>
      <c r="Y302" s="44">
        <v>286</v>
      </c>
      <c r="Z302" s="44">
        <v>572</v>
      </c>
      <c r="AA302" s="46">
        <v>6.9756097560975616E-2</v>
      </c>
      <c r="AB302" s="29"/>
      <c r="AD302" s="41"/>
      <c r="AE302" s="43">
        <v>13571</v>
      </c>
      <c r="AF302" s="43">
        <v>40</v>
      </c>
      <c r="AG302" s="43">
        <v>1521</v>
      </c>
      <c r="AH302" s="44">
        <v>1</v>
      </c>
      <c r="AI302" s="44">
        <v>15</v>
      </c>
      <c r="AJ302" s="44">
        <v>1</v>
      </c>
      <c r="AK302" s="44"/>
      <c r="AL302" s="47" t="s">
        <v>337</v>
      </c>
      <c r="AM302" s="44">
        <v>500</v>
      </c>
      <c r="AN302" s="44">
        <v>500</v>
      </c>
      <c r="AO302" s="46">
        <v>0.125</v>
      </c>
      <c r="AP302" s="29"/>
      <c r="AR302" s="41"/>
      <c r="AS302" s="43">
        <v>10259</v>
      </c>
      <c r="AT302" s="43">
        <v>11</v>
      </c>
      <c r="AU302" s="43">
        <v>792</v>
      </c>
      <c r="AV302" s="44">
        <v>1</v>
      </c>
      <c r="AW302" s="44">
        <v>25</v>
      </c>
      <c r="AX302" s="44">
        <v>1</v>
      </c>
      <c r="AY302" s="44"/>
      <c r="AZ302" s="47" t="s">
        <v>338</v>
      </c>
      <c r="BA302" s="44">
        <v>660</v>
      </c>
      <c r="BB302" s="44">
        <v>660</v>
      </c>
      <c r="BC302" s="46">
        <v>0.6</v>
      </c>
      <c r="BD302" s="29"/>
    </row>
    <row r="303" spans="1:230" ht="15" customHeight="1" thickTop="1" x14ac:dyDescent="0.2">
      <c r="A303" s="49">
        <v>45950</v>
      </c>
      <c r="B303" s="26">
        <f>SUM(D303:D306)+SUM(R303:R306)+SUM(AF303:AF306)+SUM(AT303:AT306)</f>
        <v>673</v>
      </c>
      <c r="C303" s="4">
        <v>14576</v>
      </c>
      <c r="D303" s="4">
        <f t="shared" ref="D303:D354" si="858">IF(C303="","",C303-C299)</f>
        <v>24</v>
      </c>
      <c r="E303" s="4">
        <v>1044</v>
      </c>
      <c r="F303" s="50">
        <f t="shared" ref="F303:F354" si="859">IF(E303="","",E303-E299)</f>
        <v>2</v>
      </c>
      <c r="G303" s="4">
        <v>12</v>
      </c>
      <c r="H303" s="4">
        <f t="shared" ref="H303:H349" si="860">IF(G303="","",G299+I299-G303)</f>
        <v>0</v>
      </c>
      <c r="I303" s="51">
        <v>0</v>
      </c>
      <c r="J303" s="31" t="str">
        <f t="shared" ref="J303:K318" si="861">IF(C303="","",J299)</f>
        <v>液晶ミニカメラ</v>
      </c>
      <c r="K303" s="27">
        <f t="shared" si="861"/>
        <v>1075</v>
      </c>
      <c r="L303" s="50">
        <f t="shared" ref="L303:L354" si="862">IF(G303="","",H303*K303)</f>
        <v>0</v>
      </c>
      <c r="M303" s="52">
        <f t="shared" ref="M303:M354" si="863">IF(H303="","",L303/(D303*100))</f>
        <v>0</v>
      </c>
      <c r="N303" s="29"/>
      <c r="O303" s="30"/>
      <c r="P303" s="53">
        <f>IF($A303="","",$A303)</f>
        <v>45950</v>
      </c>
      <c r="Q303" s="4">
        <v>13674</v>
      </c>
      <c r="R303" s="4">
        <f t="shared" ref="R303:R338" si="864">IF(Q303="","",Q303-Q299)</f>
        <v>26</v>
      </c>
      <c r="S303" s="4">
        <v>1376</v>
      </c>
      <c r="T303" s="50">
        <f t="shared" ref="T303:T338" si="865">IF(S303="","",S303-S299)</f>
        <v>1</v>
      </c>
      <c r="U303" s="4">
        <v>7</v>
      </c>
      <c r="V303" s="4">
        <f t="shared" ref="V303:V338" si="866">IF(U303="","",U299+W299-U303)</f>
        <v>1</v>
      </c>
      <c r="W303" s="51">
        <v>2</v>
      </c>
      <c r="X303" s="31" t="str">
        <f t="shared" ref="X303:Y318" si="867">IF(Q303="","",X299)</f>
        <v>キティフェイスポーチ</v>
      </c>
      <c r="Y303" s="27">
        <f t="shared" si="867"/>
        <v>957</v>
      </c>
      <c r="Z303" s="50">
        <f t="shared" ref="Z303:Z338" si="868">IF(U303="","",V303*Y303)</f>
        <v>957</v>
      </c>
      <c r="AA303" s="52">
        <f t="shared" ref="AA303:AA338" si="869">IF(V303="","",Z303/(R303*100))</f>
        <v>0.36807692307692308</v>
      </c>
      <c r="AB303" s="29"/>
      <c r="AD303" s="53">
        <f>IF($A303="","",$A303)</f>
        <v>45950</v>
      </c>
      <c r="AE303" s="4">
        <v>11729</v>
      </c>
      <c r="AF303" s="4">
        <f t="shared" ref="AF303:AF338" si="870">IF(AE303="","",AE303-AE299)</f>
        <v>14</v>
      </c>
      <c r="AG303" s="4">
        <v>893</v>
      </c>
      <c r="AH303" s="50">
        <f t="shared" ref="AH303:AH338" si="871">IF(AG303="","",AG303-AG299)</f>
        <v>0</v>
      </c>
      <c r="AI303" s="4">
        <v>7</v>
      </c>
      <c r="AJ303" s="4">
        <f t="shared" ref="AJ303:AJ338" si="872">IF(AI303="","",AI299+AK299-AI303)</f>
        <v>0</v>
      </c>
      <c r="AK303" s="51">
        <v>8</v>
      </c>
      <c r="AL303" s="31" t="str">
        <f t="shared" ref="AL303:AM318" si="873">IF(AE303="","",AL299)</f>
        <v>ピクミンマスコット</v>
      </c>
      <c r="AM303" s="27">
        <f t="shared" si="873"/>
        <v>748</v>
      </c>
      <c r="AN303" s="50">
        <f t="shared" ref="AN303:AN338" si="874">IF(AI303="","",AJ303*AM303)</f>
        <v>0</v>
      </c>
      <c r="AO303" s="52">
        <f t="shared" ref="AO303:AO338" si="875">IF(AJ303="","",AN303/(AF303*100))</f>
        <v>0</v>
      </c>
      <c r="AP303" s="29" t="s">
        <v>87</v>
      </c>
      <c r="AR303" s="53">
        <f>IF($A303="","",$A303)</f>
        <v>45950</v>
      </c>
      <c r="AS303" s="4">
        <v>8322</v>
      </c>
      <c r="AT303" s="4">
        <f t="shared" ref="AT303:AT338" si="876">IF(AS303="","",AS303-AS299)</f>
        <v>17</v>
      </c>
      <c r="AU303" s="4">
        <v>469</v>
      </c>
      <c r="AV303" s="50">
        <f t="shared" ref="AV303:AV338" si="877">IF(AU303="","",AU303-AU299)</f>
        <v>1</v>
      </c>
      <c r="AW303" s="4">
        <v>5</v>
      </c>
      <c r="AX303" s="4">
        <f t="shared" ref="AX303:AX338" si="878">IF(AW303="","",AW299+AY299-AW303)</f>
        <v>1</v>
      </c>
      <c r="AY303" s="51">
        <v>6</v>
      </c>
      <c r="AZ303" s="31" t="str">
        <f t="shared" ref="AZ303:BA318" si="879">IF(AS303="","",AZ299)</f>
        <v>デジタルミニカメラ</v>
      </c>
      <c r="BA303" s="27">
        <f t="shared" si="879"/>
        <v>722</v>
      </c>
      <c r="BB303" s="50">
        <f t="shared" ref="BB303:BB338" si="880">IF(AW303="","",AX303*BA303)</f>
        <v>722</v>
      </c>
      <c r="BC303" s="52">
        <f t="shared" ref="BC303:BC338" si="881">IF(AX303="","",BB303/(AT303*100))</f>
        <v>0.42470588235294116</v>
      </c>
      <c r="BD303" s="29"/>
    </row>
    <row r="304" spans="1:230" x14ac:dyDescent="0.2">
      <c r="A304" s="54"/>
      <c r="B304" s="55"/>
      <c r="C304" s="5">
        <v>16404</v>
      </c>
      <c r="D304" s="5">
        <f t="shared" si="858"/>
        <v>41</v>
      </c>
      <c r="E304" s="5">
        <v>561</v>
      </c>
      <c r="F304" s="5">
        <f t="shared" si="859"/>
        <v>0</v>
      </c>
      <c r="G304" s="5">
        <v>43</v>
      </c>
      <c r="H304" s="5">
        <f t="shared" si="860"/>
        <v>0</v>
      </c>
      <c r="I304" s="35">
        <v>0</v>
      </c>
      <c r="J304" s="38" t="str">
        <f t="shared" si="861"/>
        <v>電ブル</v>
      </c>
      <c r="K304" s="39">
        <f t="shared" si="861"/>
        <v>275</v>
      </c>
      <c r="L304" s="5">
        <f t="shared" si="862"/>
        <v>0</v>
      </c>
      <c r="M304" s="36">
        <f t="shared" si="863"/>
        <v>0</v>
      </c>
      <c r="N304" s="29"/>
      <c r="O304" s="30"/>
      <c r="P304" s="54"/>
      <c r="Q304" s="5">
        <v>13495</v>
      </c>
      <c r="R304" s="5">
        <f t="shared" si="864"/>
        <v>34</v>
      </c>
      <c r="S304" s="5">
        <v>484</v>
      </c>
      <c r="T304" s="5">
        <f t="shared" si="865"/>
        <v>0</v>
      </c>
      <c r="U304" s="5">
        <v>10</v>
      </c>
      <c r="V304" s="5">
        <f t="shared" si="866"/>
        <v>0</v>
      </c>
      <c r="W304" s="35">
        <v>0</v>
      </c>
      <c r="X304" s="38" t="str">
        <f t="shared" si="867"/>
        <v>サンリオミニリュックチャーム付</v>
      </c>
      <c r="Y304" s="39">
        <f t="shared" si="867"/>
        <v>600</v>
      </c>
      <c r="Z304" s="5">
        <f t="shared" si="868"/>
        <v>0</v>
      </c>
      <c r="AA304" s="36">
        <f t="shared" si="869"/>
        <v>0</v>
      </c>
      <c r="AB304" s="29"/>
      <c r="AD304" s="54"/>
      <c r="AE304" s="5">
        <v>11258</v>
      </c>
      <c r="AF304" s="5">
        <f t="shared" si="870"/>
        <v>28</v>
      </c>
      <c r="AG304" s="5">
        <v>766</v>
      </c>
      <c r="AH304" s="5">
        <f t="shared" si="871"/>
        <v>0</v>
      </c>
      <c r="AI304" s="5">
        <v>20</v>
      </c>
      <c r="AJ304" s="5">
        <f t="shared" si="872"/>
        <v>0</v>
      </c>
      <c r="AK304" s="35">
        <v>0</v>
      </c>
      <c r="AL304" s="38" t="str">
        <f t="shared" si="873"/>
        <v>ジャグラーサウンドフラッシュ</v>
      </c>
      <c r="AM304" s="39">
        <f t="shared" si="873"/>
        <v>748</v>
      </c>
      <c r="AN304" s="5">
        <f t="shared" si="874"/>
        <v>0</v>
      </c>
      <c r="AO304" s="36">
        <f t="shared" si="875"/>
        <v>0</v>
      </c>
      <c r="AP304" s="29"/>
      <c r="AR304" s="54"/>
      <c r="AS304" s="5">
        <v>9944</v>
      </c>
      <c r="AT304" s="5">
        <f t="shared" si="876"/>
        <v>25</v>
      </c>
      <c r="AU304" s="5">
        <v>519</v>
      </c>
      <c r="AV304" s="5">
        <f t="shared" si="877"/>
        <v>2</v>
      </c>
      <c r="AW304" s="5">
        <v>18</v>
      </c>
      <c r="AX304" s="5">
        <f t="shared" si="878"/>
        <v>1</v>
      </c>
      <c r="AY304" s="35">
        <v>0</v>
      </c>
      <c r="AZ304" s="38" t="str">
        <f t="shared" si="879"/>
        <v>クーリッシュイヤホン</v>
      </c>
      <c r="BA304" s="39">
        <f t="shared" si="879"/>
        <v>1100</v>
      </c>
      <c r="BB304" s="5">
        <f t="shared" si="880"/>
        <v>1100</v>
      </c>
      <c r="BC304" s="36">
        <f t="shared" si="881"/>
        <v>0.44</v>
      </c>
      <c r="BD304" s="29"/>
    </row>
    <row r="305" spans="1:56" x14ac:dyDescent="0.2">
      <c r="A305" s="54"/>
      <c r="B305" s="55"/>
      <c r="C305" s="58">
        <v>15641</v>
      </c>
      <c r="D305" s="5">
        <f t="shared" si="858"/>
        <v>137</v>
      </c>
      <c r="E305" s="5">
        <v>588</v>
      </c>
      <c r="F305" s="5">
        <f t="shared" si="859"/>
        <v>2</v>
      </c>
      <c r="G305" s="58">
        <v>17</v>
      </c>
      <c r="H305" s="5">
        <f t="shared" si="860"/>
        <v>1</v>
      </c>
      <c r="I305" s="59">
        <v>3</v>
      </c>
      <c r="J305" s="38" t="str">
        <f t="shared" si="861"/>
        <v>ラブブキーホルダー</v>
      </c>
      <c r="K305" s="5">
        <f t="shared" si="861"/>
        <v>500</v>
      </c>
      <c r="L305" s="5">
        <f t="shared" si="862"/>
        <v>500</v>
      </c>
      <c r="M305" s="36">
        <f t="shared" si="863"/>
        <v>3.6496350364963501E-2</v>
      </c>
      <c r="N305" s="29"/>
      <c r="O305" s="30"/>
      <c r="P305" s="54"/>
      <c r="Q305" s="58">
        <v>13607</v>
      </c>
      <c r="R305" s="5">
        <f t="shared" si="864"/>
        <v>182</v>
      </c>
      <c r="S305" s="5">
        <v>900</v>
      </c>
      <c r="T305" s="5">
        <f t="shared" si="865"/>
        <v>10</v>
      </c>
      <c r="U305" s="58">
        <v>73</v>
      </c>
      <c r="V305" s="5">
        <f t="shared" si="866"/>
        <v>10</v>
      </c>
      <c r="W305" s="59">
        <v>0</v>
      </c>
      <c r="X305" s="38" t="str">
        <f t="shared" si="867"/>
        <v>AIラバー</v>
      </c>
      <c r="Y305" s="5">
        <f t="shared" si="867"/>
        <v>198</v>
      </c>
      <c r="Z305" s="5">
        <f t="shared" si="868"/>
        <v>1980</v>
      </c>
      <c r="AA305" s="36">
        <f t="shared" si="869"/>
        <v>0.10879120879120879</v>
      </c>
      <c r="AB305" s="29"/>
      <c r="AD305" s="54"/>
      <c r="AE305" s="58">
        <v>14073</v>
      </c>
      <c r="AF305" s="5">
        <f t="shared" si="870"/>
        <v>7</v>
      </c>
      <c r="AG305" s="5">
        <v>2385</v>
      </c>
      <c r="AH305" s="5">
        <f t="shared" si="871"/>
        <v>1</v>
      </c>
      <c r="AI305" s="58">
        <v>12</v>
      </c>
      <c r="AJ305" s="5">
        <f t="shared" si="872"/>
        <v>1</v>
      </c>
      <c r="AK305" s="59">
        <v>3</v>
      </c>
      <c r="AL305" s="38" t="str">
        <f t="shared" si="873"/>
        <v>サンリオギャルキーケース</v>
      </c>
      <c r="AM305" s="5">
        <f t="shared" si="873"/>
        <v>700</v>
      </c>
      <c r="AN305" s="5">
        <f t="shared" si="874"/>
        <v>700</v>
      </c>
      <c r="AO305" s="36">
        <f t="shared" si="875"/>
        <v>1</v>
      </c>
      <c r="AP305" s="29" t="s">
        <v>88</v>
      </c>
      <c r="AR305" s="54"/>
      <c r="AS305" s="58">
        <v>12373</v>
      </c>
      <c r="AT305" s="5">
        <f t="shared" si="876"/>
        <v>37</v>
      </c>
      <c r="AU305" s="5">
        <v>732</v>
      </c>
      <c r="AV305" s="5">
        <f t="shared" si="877"/>
        <v>1</v>
      </c>
      <c r="AW305" s="58">
        <v>13</v>
      </c>
      <c r="AX305" s="5">
        <f t="shared" si="878"/>
        <v>1</v>
      </c>
      <c r="AY305" s="59">
        <v>3</v>
      </c>
      <c r="AZ305" s="38" t="str">
        <f t="shared" si="879"/>
        <v>モンチッチマスコット</v>
      </c>
      <c r="BA305" s="5">
        <f t="shared" si="879"/>
        <v>528</v>
      </c>
      <c r="BB305" s="5">
        <f t="shared" si="880"/>
        <v>528</v>
      </c>
      <c r="BC305" s="36">
        <f t="shared" si="881"/>
        <v>0.14270270270270272</v>
      </c>
      <c r="BD305" s="29"/>
    </row>
    <row r="306" spans="1:56" ht="15" customHeight="1" thickBot="1" x14ac:dyDescent="0.25">
      <c r="A306" s="60"/>
      <c r="B306" s="42"/>
      <c r="C306" s="44">
        <v>11283</v>
      </c>
      <c r="D306" s="61">
        <f t="shared" si="858"/>
        <v>33</v>
      </c>
      <c r="E306" s="44">
        <v>1171</v>
      </c>
      <c r="F306" s="44">
        <f t="shared" si="859"/>
        <v>1</v>
      </c>
      <c r="G306" s="44">
        <v>13</v>
      </c>
      <c r="H306" s="44">
        <f t="shared" si="860"/>
        <v>1</v>
      </c>
      <c r="I306" s="62">
        <v>2</v>
      </c>
      <c r="J306" s="47" t="str">
        <f t="shared" si="861"/>
        <v>キティヒョウ柄マスコット</v>
      </c>
      <c r="K306" s="61">
        <f t="shared" si="861"/>
        <v>996</v>
      </c>
      <c r="L306" s="44">
        <f t="shared" si="862"/>
        <v>996</v>
      </c>
      <c r="M306" s="46">
        <f t="shared" si="863"/>
        <v>0.30181818181818182</v>
      </c>
      <c r="N306" s="29"/>
      <c r="O306" s="30"/>
      <c r="P306" s="60"/>
      <c r="Q306" s="44">
        <v>11488</v>
      </c>
      <c r="R306" s="61">
        <f t="shared" si="864"/>
        <v>28</v>
      </c>
      <c r="S306" s="44">
        <v>1039</v>
      </c>
      <c r="T306" s="44">
        <f t="shared" si="865"/>
        <v>1</v>
      </c>
      <c r="U306" s="44">
        <v>9</v>
      </c>
      <c r="V306" s="44">
        <f t="shared" si="866"/>
        <v>1</v>
      </c>
      <c r="W306" s="62">
        <v>0</v>
      </c>
      <c r="X306" s="47" t="str">
        <f t="shared" si="867"/>
        <v>AIマスコット</v>
      </c>
      <c r="Y306" s="61">
        <f t="shared" si="867"/>
        <v>286</v>
      </c>
      <c r="Z306" s="44">
        <f t="shared" si="868"/>
        <v>286</v>
      </c>
      <c r="AA306" s="46">
        <f t="shared" si="869"/>
        <v>0.10214285714285715</v>
      </c>
      <c r="AB306" s="29"/>
      <c r="AD306" s="60"/>
      <c r="AE306" s="44">
        <v>13595</v>
      </c>
      <c r="AF306" s="61">
        <f t="shared" si="870"/>
        <v>24</v>
      </c>
      <c r="AG306" s="44">
        <v>1522</v>
      </c>
      <c r="AH306" s="44">
        <f t="shared" si="871"/>
        <v>1</v>
      </c>
      <c r="AI306" s="44">
        <v>14</v>
      </c>
      <c r="AJ306" s="44">
        <f t="shared" si="872"/>
        <v>1</v>
      </c>
      <c r="AK306" s="62">
        <v>0</v>
      </c>
      <c r="AL306" s="47" t="str">
        <f t="shared" si="873"/>
        <v>ラブブマスコット</v>
      </c>
      <c r="AM306" s="61">
        <f t="shared" si="873"/>
        <v>500</v>
      </c>
      <c r="AN306" s="44">
        <f t="shared" si="874"/>
        <v>500</v>
      </c>
      <c r="AO306" s="46">
        <f t="shared" si="875"/>
        <v>0.20833333333333334</v>
      </c>
      <c r="AP306" s="29"/>
      <c r="AR306" s="60"/>
      <c r="AS306" s="44">
        <v>10275</v>
      </c>
      <c r="AT306" s="61">
        <f t="shared" si="876"/>
        <v>16</v>
      </c>
      <c r="AU306" s="44">
        <v>793</v>
      </c>
      <c r="AV306" s="44">
        <f t="shared" si="877"/>
        <v>1</v>
      </c>
      <c r="AW306" s="44">
        <v>24</v>
      </c>
      <c r="AX306" s="44">
        <f t="shared" si="878"/>
        <v>1</v>
      </c>
      <c r="AY306" s="62">
        <v>0</v>
      </c>
      <c r="AZ306" s="47" t="str">
        <f t="shared" si="879"/>
        <v>サンリオでかぱっちん</v>
      </c>
      <c r="BA306" s="61">
        <f t="shared" si="879"/>
        <v>660</v>
      </c>
      <c r="BB306" s="44">
        <f t="shared" si="880"/>
        <v>660</v>
      </c>
      <c r="BC306" s="46">
        <f t="shared" si="881"/>
        <v>0.41249999999999998</v>
      </c>
      <c r="BD306" s="29"/>
    </row>
    <row r="307" spans="1:56" ht="15" customHeight="1" thickTop="1" x14ac:dyDescent="0.2">
      <c r="A307" s="49">
        <v>45954</v>
      </c>
      <c r="B307" s="26">
        <f>SUM(D307:D310)+SUM(R307:R310)+SUM(AF307:AF310)+SUM(AT307:AT310)</f>
        <v>1026</v>
      </c>
      <c r="C307" s="4">
        <v>14667</v>
      </c>
      <c r="D307" s="4">
        <f t="shared" si="858"/>
        <v>91</v>
      </c>
      <c r="E307" s="4">
        <v>1046</v>
      </c>
      <c r="F307" s="50">
        <f t="shared" si="859"/>
        <v>2</v>
      </c>
      <c r="G307" s="4">
        <v>10</v>
      </c>
      <c r="H307" s="4">
        <f t="shared" si="860"/>
        <v>2</v>
      </c>
      <c r="I307" s="51">
        <v>4</v>
      </c>
      <c r="J307" s="31" t="str">
        <f t="shared" si="861"/>
        <v>液晶ミニカメラ</v>
      </c>
      <c r="K307" s="27">
        <f t="shared" si="861"/>
        <v>1075</v>
      </c>
      <c r="L307" s="50">
        <f t="shared" si="862"/>
        <v>2150</v>
      </c>
      <c r="M307" s="52">
        <f t="shared" si="863"/>
        <v>0.23626373626373626</v>
      </c>
      <c r="N307" s="29"/>
      <c r="O307" s="30"/>
      <c r="P307" s="53">
        <f>IF($A307="","",$A307)</f>
        <v>45954</v>
      </c>
      <c r="Q307" s="4">
        <v>13801</v>
      </c>
      <c r="R307" s="4">
        <f t="shared" si="864"/>
        <v>127</v>
      </c>
      <c r="S307" s="4">
        <v>1380</v>
      </c>
      <c r="T307" s="50">
        <f t="shared" si="865"/>
        <v>4</v>
      </c>
      <c r="U307" s="4">
        <v>7</v>
      </c>
      <c r="V307" s="4">
        <f t="shared" si="866"/>
        <v>2</v>
      </c>
      <c r="W307" s="51">
        <v>3</v>
      </c>
      <c r="X307" s="31" t="str">
        <f t="shared" si="867"/>
        <v>キティフェイスポーチ</v>
      </c>
      <c r="Y307" s="27">
        <f t="shared" si="867"/>
        <v>957</v>
      </c>
      <c r="Z307" s="50">
        <f t="shared" si="868"/>
        <v>1914</v>
      </c>
      <c r="AA307" s="52">
        <f t="shared" si="869"/>
        <v>0.15070866141732284</v>
      </c>
      <c r="AB307" s="29"/>
      <c r="AD307" s="53">
        <f>IF($A307="","",$A307)</f>
        <v>45954</v>
      </c>
      <c r="AE307" s="4">
        <v>11760</v>
      </c>
      <c r="AF307" s="68">
        <f t="shared" si="870"/>
        <v>31</v>
      </c>
      <c r="AG307" s="4">
        <v>894</v>
      </c>
      <c r="AH307" s="50">
        <f t="shared" si="871"/>
        <v>1</v>
      </c>
      <c r="AI307" s="4">
        <v>14</v>
      </c>
      <c r="AJ307" s="4">
        <f t="shared" si="872"/>
        <v>1</v>
      </c>
      <c r="AK307" s="51">
        <v>0</v>
      </c>
      <c r="AL307" s="31" t="str">
        <f t="shared" si="873"/>
        <v>ピクミンマスコット</v>
      </c>
      <c r="AM307" s="27">
        <f t="shared" si="873"/>
        <v>748</v>
      </c>
      <c r="AN307" s="50">
        <f t="shared" si="874"/>
        <v>748</v>
      </c>
      <c r="AO307" s="52">
        <f t="shared" si="875"/>
        <v>0.24129032258064517</v>
      </c>
      <c r="AP307" s="29"/>
      <c r="AR307" s="53">
        <f>IF($A307="","",$A307)</f>
        <v>45954</v>
      </c>
      <c r="AS307" s="4">
        <v>8389</v>
      </c>
      <c r="AT307" s="4">
        <f t="shared" si="876"/>
        <v>67</v>
      </c>
      <c r="AU307" s="4">
        <v>470</v>
      </c>
      <c r="AV307" s="50">
        <f t="shared" si="877"/>
        <v>1</v>
      </c>
      <c r="AW307" s="4">
        <v>10</v>
      </c>
      <c r="AX307" s="4">
        <f t="shared" si="878"/>
        <v>1</v>
      </c>
      <c r="AY307" s="51">
        <v>0</v>
      </c>
      <c r="AZ307" s="31" t="str">
        <f t="shared" si="879"/>
        <v>デジタルミニカメラ</v>
      </c>
      <c r="BA307" s="27">
        <f t="shared" si="879"/>
        <v>722</v>
      </c>
      <c r="BB307" s="50">
        <f t="shared" si="880"/>
        <v>722</v>
      </c>
      <c r="BC307" s="52">
        <f t="shared" si="881"/>
        <v>0.10776119402985075</v>
      </c>
      <c r="BD307" s="29"/>
    </row>
    <row r="308" spans="1:56" x14ac:dyDescent="0.2">
      <c r="A308" s="54"/>
      <c r="B308" s="26"/>
      <c r="C308" s="4">
        <v>16474</v>
      </c>
      <c r="D308" s="5">
        <f t="shared" si="858"/>
        <v>70</v>
      </c>
      <c r="E308" s="5">
        <v>562</v>
      </c>
      <c r="F308" s="5">
        <f t="shared" si="859"/>
        <v>1</v>
      </c>
      <c r="G308" s="5">
        <v>42</v>
      </c>
      <c r="H308" s="5">
        <f t="shared" si="860"/>
        <v>1</v>
      </c>
      <c r="I308" s="35">
        <v>0</v>
      </c>
      <c r="J308" s="38" t="str">
        <f t="shared" si="861"/>
        <v>電ブル</v>
      </c>
      <c r="K308" s="39">
        <f t="shared" si="861"/>
        <v>275</v>
      </c>
      <c r="L308" s="5">
        <f t="shared" si="862"/>
        <v>275</v>
      </c>
      <c r="M308" s="36">
        <f t="shared" si="863"/>
        <v>3.9285714285714285E-2</v>
      </c>
      <c r="N308" s="29"/>
      <c r="O308" s="30"/>
      <c r="P308" s="25"/>
      <c r="Q308" s="4">
        <v>13518</v>
      </c>
      <c r="R308" s="48">
        <f t="shared" si="864"/>
        <v>23</v>
      </c>
      <c r="S308" s="5">
        <v>484</v>
      </c>
      <c r="T308" s="5">
        <f t="shared" si="865"/>
        <v>0</v>
      </c>
      <c r="U308" s="5">
        <v>10</v>
      </c>
      <c r="V308" s="5">
        <f t="shared" si="866"/>
        <v>0</v>
      </c>
      <c r="W308" s="35">
        <v>0</v>
      </c>
      <c r="X308" s="38" t="str">
        <f t="shared" si="867"/>
        <v>サンリオミニリュックチャーム付</v>
      </c>
      <c r="Y308" s="39">
        <f t="shared" si="867"/>
        <v>600</v>
      </c>
      <c r="Z308" s="5">
        <f t="shared" si="868"/>
        <v>0</v>
      </c>
      <c r="AA308" s="36">
        <f t="shared" si="869"/>
        <v>0</v>
      </c>
      <c r="AB308" s="29" t="s">
        <v>91</v>
      </c>
      <c r="AD308" s="25"/>
      <c r="AE308" s="4">
        <v>11329</v>
      </c>
      <c r="AF308" s="5">
        <f t="shared" si="870"/>
        <v>71</v>
      </c>
      <c r="AG308" s="5">
        <v>766</v>
      </c>
      <c r="AH308" s="5">
        <f t="shared" si="871"/>
        <v>0</v>
      </c>
      <c r="AI308" s="5">
        <v>20</v>
      </c>
      <c r="AJ308" s="5">
        <f t="shared" si="872"/>
        <v>0</v>
      </c>
      <c r="AK308" s="35">
        <v>0</v>
      </c>
      <c r="AL308" s="38" t="str">
        <f t="shared" si="873"/>
        <v>ジャグラーサウンドフラッシュ</v>
      </c>
      <c r="AM308" s="39">
        <f t="shared" si="873"/>
        <v>748</v>
      </c>
      <c r="AN308" s="5">
        <f t="shared" si="874"/>
        <v>0</v>
      </c>
      <c r="AO308" s="36">
        <f t="shared" si="875"/>
        <v>0</v>
      </c>
      <c r="AP308" s="29"/>
      <c r="AR308" s="25"/>
      <c r="AS308" s="4">
        <v>10029</v>
      </c>
      <c r="AT308" s="5">
        <f t="shared" si="876"/>
        <v>85</v>
      </c>
      <c r="AU308" s="5">
        <v>520</v>
      </c>
      <c r="AV308" s="5">
        <f t="shared" si="877"/>
        <v>1</v>
      </c>
      <c r="AW308" s="5">
        <v>17</v>
      </c>
      <c r="AX308" s="5">
        <f t="shared" si="878"/>
        <v>1</v>
      </c>
      <c r="AY308" s="35">
        <v>0</v>
      </c>
      <c r="AZ308" s="38" t="str">
        <f t="shared" si="879"/>
        <v>クーリッシュイヤホン</v>
      </c>
      <c r="BA308" s="39">
        <f t="shared" si="879"/>
        <v>1100</v>
      </c>
      <c r="BB308" s="5">
        <f t="shared" si="880"/>
        <v>1100</v>
      </c>
      <c r="BC308" s="36">
        <f t="shared" si="881"/>
        <v>0.12941176470588237</v>
      </c>
      <c r="BD308" s="29"/>
    </row>
    <row r="309" spans="1:56" x14ac:dyDescent="0.2">
      <c r="A309" s="54"/>
      <c r="B309" s="64"/>
      <c r="C309" s="57">
        <v>15715</v>
      </c>
      <c r="D309" s="5">
        <f t="shared" si="858"/>
        <v>74</v>
      </c>
      <c r="E309" s="5">
        <v>589</v>
      </c>
      <c r="F309" s="5">
        <f t="shared" si="859"/>
        <v>1</v>
      </c>
      <c r="G309" s="5">
        <v>19</v>
      </c>
      <c r="H309" s="5">
        <f t="shared" si="860"/>
        <v>1</v>
      </c>
      <c r="I309" s="35">
        <v>0</v>
      </c>
      <c r="J309" s="38" t="str">
        <f t="shared" si="861"/>
        <v>ラブブキーホルダー</v>
      </c>
      <c r="K309" s="5">
        <f t="shared" si="861"/>
        <v>500</v>
      </c>
      <c r="L309" s="5">
        <f t="shared" si="862"/>
        <v>500</v>
      </c>
      <c r="M309" s="36">
        <f t="shared" si="863"/>
        <v>6.7567567567567571E-2</v>
      </c>
      <c r="N309" s="29"/>
      <c r="O309" s="30"/>
      <c r="P309" s="25"/>
      <c r="Q309" s="57">
        <v>13631</v>
      </c>
      <c r="R309" s="48">
        <f t="shared" si="864"/>
        <v>24</v>
      </c>
      <c r="S309" s="5">
        <v>903</v>
      </c>
      <c r="T309" s="5">
        <f t="shared" si="865"/>
        <v>3</v>
      </c>
      <c r="U309" s="5">
        <v>70</v>
      </c>
      <c r="V309" s="5">
        <f t="shared" si="866"/>
        <v>3</v>
      </c>
      <c r="W309" s="35">
        <v>15</v>
      </c>
      <c r="X309" s="38" t="str">
        <f t="shared" si="867"/>
        <v>AIラバー</v>
      </c>
      <c r="Y309" s="5">
        <f t="shared" si="867"/>
        <v>198</v>
      </c>
      <c r="Z309" s="5">
        <f t="shared" si="868"/>
        <v>594</v>
      </c>
      <c r="AA309" s="36">
        <f t="shared" si="869"/>
        <v>0.2475</v>
      </c>
      <c r="AB309" s="29"/>
      <c r="AD309" s="25"/>
      <c r="AE309" s="57">
        <v>14156</v>
      </c>
      <c r="AF309" s="5">
        <f t="shared" si="870"/>
        <v>83</v>
      </c>
      <c r="AG309" s="5">
        <v>2387</v>
      </c>
      <c r="AH309" s="5">
        <f t="shared" si="871"/>
        <v>2</v>
      </c>
      <c r="AI309" s="5">
        <v>13</v>
      </c>
      <c r="AJ309" s="5">
        <f t="shared" si="872"/>
        <v>2</v>
      </c>
      <c r="AK309" s="35">
        <v>0</v>
      </c>
      <c r="AL309" s="38" t="s">
        <v>89</v>
      </c>
      <c r="AM309" s="5">
        <f t="shared" si="873"/>
        <v>700</v>
      </c>
      <c r="AN309" s="5">
        <f t="shared" si="874"/>
        <v>1400</v>
      </c>
      <c r="AO309" s="36">
        <f t="shared" si="875"/>
        <v>0.16867469879518071</v>
      </c>
      <c r="AP309" s="29"/>
      <c r="AR309" s="25"/>
      <c r="AS309" s="57">
        <v>12385</v>
      </c>
      <c r="AT309" s="48">
        <f t="shared" si="876"/>
        <v>12</v>
      </c>
      <c r="AU309" s="5">
        <v>732</v>
      </c>
      <c r="AV309" s="5">
        <f t="shared" si="877"/>
        <v>0</v>
      </c>
      <c r="AW309" s="5">
        <v>16</v>
      </c>
      <c r="AX309" s="5">
        <f t="shared" si="878"/>
        <v>0</v>
      </c>
      <c r="AY309" s="35">
        <v>0</v>
      </c>
      <c r="AZ309" s="38" t="str">
        <f t="shared" si="879"/>
        <v>モンチッチマスコット</v>
      </c>
      <c r="BA309" s="5">
        <f t="shared" si="879"/>
        <v>528</v>
      </c>
      <c r="BB309" s="5">
        <f t="shared" si="880"/>
        <v>0</v>
      </c>
      <c r="BC309" s="36">
        <f t="shared" si="881"/>
        <v>0</v>
      </c>
      <c r="BD309" s="29"/>
    </row>
    <row r="310" spans="1:56" ht="15" customHeight="1" thickBot="1" x14ac:dyDescent="0.25">
      <c r="A310" s="65"/>
      <c r="B310" s="66"/>
      <c r="C310" s="43">
        <v>11378</v>
      </c>
      <c r="D310" s="61">
        <f t="shared" si="858"/>
        <v>95</v>
      </c>
      <c r="E310" s="44">
        <v>1172</v>
      </c>
      <c r="F310" s="44">
        <f t="shared" si="859"/>
        <v>1</v>
      </c>
      <c r="G310" s="44">
        <v>14</v>
      </c>
      <c r="H310" s="44">
        <f t="shared" si="860"/>
        <v>1</v>
      </c>
      <c r="I310" s="62">
        <v>0</v>
      </c>
      <c r="J310" s="47" t="str">
        <f t="shared" si="861"/>
        <v>キティヒョウ柄マスコット</v>
      </c>
      <c r="K310" s="61">
        <f t="shared" si="861"/>
        <v>996</v>
      </c>
      <c r="L310" s="44">
        <f t="shared" si="862"/>
        <v>996</v>
      </c>
      <c r="M310" s="46">
        <f t="shared" si="863"/>
        <v>0.10484210526315789</v>
      </c>
      <c r="N310" s="29"/>
      <c r="O310" s="30"/>
      <c r="P310" s="67"/>
      <c r="Q310" s="43">
        <v>11584</v>
      </c>
      <c r="R310" s="61">
        <f t="shared" si="864"/>
        <v>96</v>
      </c>
      <c r="S310" s="44">
        <v>1043</v>
      </c>
      <c r="T310" s="44">
        <f t="shared" si="865"/>
        <v>4</v>
      </c>
      <c r="U310" s="44">
        <v>7</v>
      </c>
      <c r="V310" s="44">
        <f t="shared" si="866"/>
        <v>2</v>
      </c>
      <c r="W310" s="62">
        <v>4</v>
      </c>
      <c r="X310" s="47" t="str">
        <f t="shared" si="867"/>
        <v>AIマスコット</v>
      </c>
      <c r="Y310" s="61">
        <f t="shared" si="867"/>
        <v>286</v>
      </c>
      <c r="Z310" s="44">
        <f t="shared" si="868"/>
        <v>572</v>
      </c>
      <c r="AA310" s="46">
        <f t="shared" si="869"/>
        <v>5.9583333333333335E-2</v>
      </c>
      <c r="AB310" s="29"/>
      <c r="AD310" s="67"/>
      <c r="AE310" s="43">
        <v>13670</v>
      </c>
      <c r="AF310" s="61">
        <f t="shared" si="870"/>
        <v>75</v>
      </c>
      <c r="AG310" s="44">
        <v>1530</v>
      </c>
      <c r="AH310" s="44">
        <f t="shared" si="871"/>
        <v>8</v>
      </c>
      <c r="AI310" s="44">
        <v>12</v>
      </c>
      <c r="AJ310" s="44">
        <f t="shared" si="872"/>
        <v>2</v>
      </c>
      <c r="AK310" s="62"/>
      <c r="AL310" s="47" t="str">
        <f t="shared" ref="AL310:AL329" si="882">IF(AE310="","",AL306)</f>
        <v>ラブブマスコット</v>
      </c>
      <c r="AM310" s="61">
        <f t="shared" si="873"/>
        <v>500</v>
      </c>
      <c r="AN310" s="44">
        <f t="shared" si="874"/>
        <v>1000</v>
      </c>
      <c r="AO310" s="46">
        <f t="shared" si="875"/>
        <v>0.13333333333333333</v>
      </c>
      <c r="AP310" s="29"/>
      <c r="AR310" s="67"/>
      <c r="AS310" s="43">
        <v>10277</v>
      </c>
      <c r="AT310" s="61">
        <f t="shared" si="876"/>
        <v>2</v>
      </c>
      <c r="AU310" s="44">
        <v>793</v>
      </c>
      <c r="AV310" s="44">
        <f t="shared" si="877"/>
        <v>0</v>
      </c>
      <c r="AW310" s="44">
        <v>24</v>
      </c>
      <c r="AX310" s="44">
        <f t="shared" si="878"/>
        <v>0</v>
      </c>
      <c r="AY310" s="62">
        <v>-17</v>
      </c>
      <c r="AZ310" s="47" t="str">
        <f t="shared" si="879"/>
        <v>サンリオでかぱっちん</v>
      </c>
      <c r="BA310" s="61">
        <f t="shared" si="879"/>
        <v>660</v>
      </c>
      <c r="BB310" s="44">
        <f t="shared" si="880"/>
        <v>0</v>
      </c>
      <c r="BC310" s="46">
        <f t="shared" si="881"/>
        <v>0</v>
      </c>
      <c r="BD310" s="29" t="s">
        <v>90</v>
      </c>
    </row>
    <row r="311" spans="1:56" ht="15" customHeight="1" thickTop="1" x14ac:dyDescent="0.2">
      <c r="A311" s="49">
        <v>45957</v>
      </c>
      <c r="B311" s="26">
        <f>SUM(D311:D314)+SUM(R311:R314)+SUM(AF311:AF314)+SUM(AT311:AT314)</f>
        <v>899</v>
      </c>
      <c r="C311" s="4">
        <v>14738</v>
      </c>
      <c r="D311" s="4">
        <f t="shared" si="858"/>
        <v>71</v>
      </c>
      <c r="E311" s="4">
        <v>1048</v>
      </c>
      <c r="F311" s="50">
        <f t="shared" si="859"/>
        <v>2</v>
      </c>
      <c r="G311" s="4">
        <v>12</v>
      </c>
      <c r="H311" s="4">
        <f t="shared" si="860"/>
        <v>2</v>
      </c>
      <c r="I311" s="51">
        <v>0</v>
      </c>
      <c r="J311" s="3" t="str">
        <f t="shared" si="861"/>
        <v>液晶ミニカメラ</v>
      </c>
      <c r="K311" s="39">
        <f t="shared" si="861"/>
        <v>1075</v>
      </c>
      <c r="L311" s="50">
        <f t="shared" si="862"/>
        <v>2150</v>
      </c>
      <c r="M311" s="52">
        <f t="shared" si="863"/>
        <v>0.30281690140845069</v>
      </c>
      <c r="N311" s="29"/>
      <c r="O311" s="30"/>
      <c r="P311" s="53">
        <f>IF($A311="","",$A311)</f>
        <v>45957</v>
      </c>
      <c r="Q311" s="4">
        <v>13874</v>
      </c>
      <c r="R311" s="4">
        <f t="shared" si="864"/>
        <v>73</v>
      </c>
      <c r="S311" s="4">
        <v>1381</v>
      </c>
      <c r="T311" s="50">
        <f t="shared" si="865"/>
        <v>1</v>
      </c>
      <c r="U311" s="4">
        <v>7</v>
      </c>
      <c r="V311" s="128">
        <f>IF(U311="","",U307+W307-U311)</f>
        <v>3</v>
      </c>
      <c r="W311" s="51">
        <v>0</v>
      </c>
      <c r="X311" s="3" t="str">
        <f t="shared" si="867"/>
        <v>キティフェイスポーチ</v>
      </c>
      <c r="Y311" s="39">
        <f t="shared" si="867"/>
        <v>957</v>
      </c>
      <c r="Z311" s="50">
        <f t="shared" si="868"/>
        <v>2871</v>
      </c>
      <c r="AA311" s="52">
        <f t="shared" si="869"/>
        <v>0.39328767123287672</v>
      </c>
      <c r="AB311" s="29"/>
      <c r="AD311" s="53">
        <f>IF($A311="","",$A311)</f>
        <v>45957</v>
      </c>
      <c r="AE311" s="4">
        <v>11797</v>
      </c>
      <c r="AF311" s="4">
        <f t="shared" si="870"/>
        <v>37</v>
      </c>
      <c r="AG311" s="4">
        <v>894</v>
      </c>
      <c r="AH311" s="50">
        <f t="shared" si="871"/>
        <v>0</v>
      </c>
      <c r="AI311" s="4">
        <v>14</v>
      </c>
      <c r="AJ311" s="4">
        <f t="shared" si="872"/>
        <v>0</v>
      </c>
      <c r="AK311" s="51">
        <v>0</v>
      </c>
      <c r="AL311" s="3" t="str">
        <f t="shared" si="882"/>
        <v>ピクミンマスコット</v>
      </c>
      <c r="AM311" s="39">
        <f t="shared" si="873"/>
        <v>748</v>
      </c>
      <c r="AN311" s="50">
        <f t="shared" si="874"/>
        <v>0</v>
      </c>
      <c r="AO311" s="52">
        <f t="shared" si="875"/>
        <v>0</v>
      </c>
      <c r="AP311" s="29"/>
      <c r="AR311" s="53">
        <f>IF($A311="","",$A311)</f>
        <v>45957</v>
      </c>
      <c r="AS311" s="4">
        <v>8451</v>
      </c>
      <c r="AT311" s="4">
        <f t="shared" si="876"/>
        <v>62</v>
      </c>
      <c r="AU311" s="4">
        <v>471</v>
      </c>
      <c r="AV311" s="50">
        <f t="shared" si="877"/>
        <v>1</v>
      </c>
      <c r="AW311" s="4">
        <v>10</v>
      </c>
      <c r="AX311" s="4">
        <f t="shared" si="878"/>
        <v>0</v>
      </c>
      <c r="AY311" s="51">
        <v>0</v>
      </c>
      <c r="AZ311" s="3" t="str">
        <f t="shared" si="879"/>
        <v>デジタルミニカメラ</v>
      </c>
      <c r="BA311" s="39">
        <f t="shared" si="879"/>
        <v>722</v>
      </c>
      <c r="BB311" s="50">
        <f t="shared" si="880"/>
        <v>0</v>
      </c>
      <c r="BC311" s="52">
        <f t="shared" si="881"/>
        <v>0</v>
      </c>
      <c r="BD311" s="29"/>
    </row>
    <row r="312" spans="1:56" x14ac:dyDescent="0.2">
      <c r="A312" s="54"/>
      <c r="B312" s="37"/>
      <c r="C312" s="5">
        <v>16554</v>
      </c>
      <c r="D312" s="5">
        <f t="shared" si="858"/>
        <v>80</v>
      </c>
      <c r="E312" s="5">
        <v>563</v>
      </c>
      <c r="F312" s="5">
        <f t="shared" si="859"/>
        <v>1</v>
      </c>
      <c r="G312" s="5">
        <v>41</v>
      </c>
      <c r="H312" s="5">
        <f t="shared" si="860"/>
        <v>1</v>
      </c>
      <c r="I312" s="35">
        <v>0</v>
      </c>
      <c r="J312" s="3" t="str">
        <f t="shared" si="861"/>
        <v>電ブル</v>
      </c>
      <c r="K312" s="39">
        <f t="shared" si="861"/>
        <v>275</v>
      </c>
      <c r="L312" s="5">
        <f t="shared" si="862"/>
        <v>275</v>
      </c>
      <c r="M312" s="36">
        <f t="shared" si="863"/>
        <v>3.4375000000000003E-2</v>
      </c>
      <c r="N312" s="29"/>
      <c r="O312" s="30"/>
      <c r="P312" s="54"/>
      <c r="Q312" s="5">
        <v>13548</v>
      </c>
      <c r="R312" s="5">
        <f t="shared" si="864"/>
        <v>30</v>
      </c>
      <c r="S312" s="5">
        <v>486</v>
      </c>
      <c r="T312" s="5">
        <f t="shared" si="865"/>
        <v>2</v>
      </c>
      <c r="U312" s="5">
        <v>9</v>
      </c>
      <c r="V312" s="5">
        <f t="shared" si="866"/>
        <v>1</v>
      </c>
      <c r="W312" s="35">
        <v>0</v>
      </c>
      <c r="X312" s="3" t="str">
        <f t="shared" si="867"/>
        <v>サンリオミニリュックチャーム付</v>
      </c>
      <c r="Y312" s="39">
        <f t="shared" si="867"/>
        <v>600</v>
      </c>
      <c r="Z312" s="5">
        <f t="shared" si="868"/>
        <v>600</v>
      </c>
      <c r="AA312" s="36">
        <f t="shared" si="869"/>
        <v>0.2</v>
      </c>
      <c r="AB312" s="29"/>
      <c r="AD312" s="54"/>
      <c r="AE312" s="5">
        <v>11363</v>
      </c>
      <c r="AF312" s="5">
        <f t="shared" si="870"/>
        <v>34</v>
      </c>
      <c r="AG312" s="5">
        <v>766</v>
      </c>
      <c r="AH312" s="5">
        <f t="shared" si="871"/>
        <v>0</v>
      </c>
      <c r="AI312" s="5">
        <v>20</v>
      </c>
      <c r="AJ312" s="5">
        <f t="shared" si="872"/>
        <v>0</v>
      </c>
      <c r="AK312" s="35">
        <v>0</v>
      </c>
      <c r="AL312" s="3" t="str">
        <f t="shared" si="882"/>
        <v>ジャグラーサウンドフラッシュ</v>
      </c>
      <c r="AM312" s="39">
        <f t="shared" si="873"/>
        <v>748</v>
      </c>
      <c r="AN312" s="5">
        <f t="shared" si="874"/>
        <v>0</v>
      </c>
      <c r="AO312" s="36">
        <f t="shared" si="875"/>
        <v>0</v>
      </c>
      <c r="AP312" s="29"/>
      <c r="AR312" s="54"/>
      <c r="AS312" s="5">
        <v>10039</v>
      </c>
      <c r="AT312" s="5">
        <f t="shared" si="876"/>
        <v>10</v>
      </c>
      <c r="AU312" s="5">
        <v>520</v>
      </c>
      <c r="AV312" s="5">
        <f t="shared" si="877"/>
        <v>0</v>
      </c>
      <c r="AW312" s="5">
        <v>17</v>
      </c>
      <c r="AX312" s="5">
        <f t="shared" si="878"/>
        <v>0</v>
      </c>
      <c r="AY312" s="35">
        <v>0</v>
      </c>
      <c r="AZ312" s="3" t="str">
        <f t="shared" si="879"/>
        <v>クーリッシュイヤホン</v>
      </c>
      <c r="BA312" s="39">
        <f t="shared" si="879"/>
        <v>1100</v>
      </c>
      <c r="BB312" s="5">
        <f t="shared" si="880"/>
        <v>0</v>
      </c>
      <c r="BC312" s="36">
        <f t="shared" si="881"/>
        <v>0</v>
      </c>
      <c r="BD312" s="29"/>
    </row>
    <row r="313" spans="1:56" x14ac:dyDescent="0.2">
      <c r="A313" s="70"/>
      <c r="B313" s="71"/>
      <c r="C313" s="58">
        <v>15845</v>
      </c>
      <c r="D313" s="5">
        <f t="shared" si="858"/>
        <v>130</v>
      </c>
      <c r="E313" s="5">
        <v>591</v>
      </c>
      <c r="F313" s="5">
        <f t="shared" si="859"/>
        <v>2</v>
      </c>
      <c r="G313" s="58">
        <v>18</v>
      </c>
      <c r="H313" s="5">
        <f t="shared" si="860"/>
        <v>1</v>
      </c>
      <c r="I313" s="59">
        <v>5</v>
      </c>
      <c r="J313" s="3" t="str">
        <f t="shared" si="861"/>
        <v>ラブブキーホルダー</v>
      </c>
      <c r="K313" s="39">
        <f t="shared" si="861"/>
        <v>500</v>
      </c>
      <c r="L313" s="5">
        <f t="shared" si="862"/>
        <v>500</v>
      </c>
      <c r="M313" s="36">
        <f t="shared" si="863"/>
        <v>3.8461538461538464E-2</v>
      </c>
      <c r="N313" s="29"/>
      <c r="P313" s="70"/>
      <c r="Q313" s="58">
        <v>13659</v>
      </c>
      <c r="R313" s="5">
        <f t="shared" si="864"/>
        <v>28</v>
      </c>
      <c r="S313" s="5">
        <v>904</v>
      </c>
      <c r="T313" s="5">
        <f t="shared" si="865"/>
        <v>1</v>
      </c>
      <c r="U313" s="58">
        <v>84</v>
      </c>
      <c r="V313" s="5">
        <f t="shared" si="866"/>
        <v>1</v>
      </c>
      <c r="W313" s="59">
        <v>0</v>
      </c>
      <c r="X313" s="3" t="str">
        <f t="shared" si="867"/>
        <v>AIラバー</v>
      </c>
      <c r="Y313" s="39">
        <f t="shared" si="867"/>
        <v>198</v>
      </c>
      <c r="Z313" s="5">
        <f t="shared" si="868"/>
        <v>198</v>
      </c>
      <c r="AA313" s="36">
        <f t="shared" si="869"/>
        <v>7.0714285714285716E-2</v>
      </c>
      <c r="AB313" s="29"/>
      <c r="AD313" s="70"/>
      <c r="AE313" s="58">
        <v>14210</v>
      </c>
      <c r="AF313" s="5">
        <f t="shared" si="870"/>
        <v>54</v>
      </c>
      <c r="AG313" s="5">
        <v>2387</v>
      </c>
      <c r="AH313" s="5">
        <f t="shared" si="871"/>
        <v>0</v>
      </c>
      <c r="AI313" s="58">
        <v>13</v>
      </c>
      <c r="AJ313" s="5">
        <f t="shared" si="872"/>
        <v>0</v>
      </c>
      <c r="AK313" s="59">
        <v>0</v>
      </c>
      <c r="AL313" s="3" t="str">
        <f t="shared" si="882"/>
        <v>サンリオがま口財布</v>
      </c>
      <c r="AM313" s="39">
        <f t="shared" si="873"/>
        <v>700</v>
      </c>
      <c r="AN313" s="5">
        <f t="shared" si="874"/>
        <v>0</v>
      </c>
      <c r="AO313" s="36">
        <f t="shared" si="875"/>
        <v>0</v>
      </c>
      <c r="AP313" s="29"/>
      <c r="AR313" s="70"/>
      <c r="AS313" s="58">
        <v>12418</v>
      </c>
      <c r="AT313" s="5">
        <f t="shared" si="876"/>
        <v>33</v>
      </c>
      <c r="AU313" s="5">
        <v>732</v>
      </c>
      <c r="AV313" s="5">
        <f t="shared" si="877"/>
        <v>0</v>
      </c>
      <c r="AW313" s="58">
        <v>16</v>
      </c>
      <c r="AX313" s="5">
        <f t="shared" si="878"/>
        <v>0</v>
      </c>
      <c r="AY313" s="59">
        <v>0</v>
      </c>
      <c r="AZ313" s="3" t="str">
        <f t="shared" si="879"/>
        <v>モンチッチマスコット</v>
      </c>
      <c r="BA313" s="39">
        <f t="shared" si="879"/>
        <v>528</v>
      </c>
      <c r="BB313" s="5">
        <f t="shared" si="880"/>
        <v>0</v>
      </c>
      <c r="BC313" s="36">
        <f t="shared" si="881"/>
        <v>0</v>
      </c>
      <c r="BD313" s="29"/>
    </row>
    <row r="314" spans="1:56" ht="15" customHeight="1" thickBot="1" x14ac:dyDescent="0.25">
      <c r="A314" s="60"/>
      <c r="B314" s="73"/>
      <c r="C314" s="44">
        <v>11457</v>
      </c>
      <c r="D314" s="61">
        <f t="shared" si="858"/>
        <v>79</v>
      </c>
      <c r="E314" s="44">
        <v>1173</v>
      </c>
      <c r="F314" s="44">
        <f t="shared" si="859"/>
        <v>1</v>
      </c>
      <c r="G314" s="44">
        <v>13</v>
      </c>
      <c r="H314" s="44">
        <f t="shared" si="860"/>
        <v>1</v>
      </c>
      <c r="I314" s="62">
        <v>0</v>
      </c>
      <c r="J314" s="45" t="str">
        <f t="shared" si="861"/>
        <v>キティヒョウ柄マスコット</v>
      </c>
      <c r="K314" s="61">
        <f t="shared" si="861"/>
        <v>996</v>
      </c>
      <c r="L314" s="44">
        <f t="shared" si="862"/>
        <v>996</v>
      </c>
      <c r="M314" s="46">
        <f t="shared" si="863"/>
        <v>0.1260759493670886</v>
      </c>
      <c r="N314" s="29"/>
      <c r="P314" s="60"/>
      <c r="Q314" s="44">
        <v>11675</v>
      </c>
      <c r="R314" s="61">
        <f t="shared" si="864"/>
        <v>91</v>
      </c>
      <c r="S314" s="44">
        <v>1043</v>
      </c>
      <c r="T314" s="44">
        <f t="shared" si="865"/>
        <v>0</v>
      </c>
      <c r="U314" s="44">
        <v>11</v>
      </c>
      <c r="V314" s="44">
        <f t="shared" si="866"/>
        <v>0</v>
      </c>
      <c r="W314" s="62">
        <v>0</v>
      </c>
      <c r="X314" s="45" t="str">
        <f t="shared" si="867"/>
        <v>AIマスコット</v>
      </c>
      <c r="Y314" s="61">
        <f t="shared" si="867"/>
        <v>286</v>
      </c>
      <c r="Z314" s="44">
        <f t="shared" si="868"/>
        <v>0</v>
      </c>
      <c r="AA314" s="46">
        <f t="shared" si="869"/>
        <v>0</v>
      </c>
      <c r="AB314" s="29"/>
      <c r="AD314" s="60"/>
      <c r="AE314" s="44">
        <v>13726</v>
      </c>
      <c r="AF314" s="61">
        <f t="shared" si="870"/>
        <v>56</v>
      </c>
      <c r="AG314" s="44">
        <v>1530</v>
      </c>
      <c r="AH314" s="44">
        <f t="shared" si="871"/>
        <v>0</v>
      </c>
      <c r="AI314" s="44">
        <v>12</v>
      </c>
      <c r="AJ314" s="44">
        <f t="shared" si="872"/>
        <v>0</v>
      </c>
      <c r="AK314" s="62">
        <v>0</v>
      </c>
      <c r="AL314" s="45" t="str">
        <f t="shared" si="882"/>
        <v>ラブブマスコット</v>
      </c>
      <c r="AM314" s="61">
        <f t="shared" si="873"/>
        <v>500</v>
      </c>
      <c r="AN314" s="44">
        <f t="shared" si="874"/>
        <v>0</v>
      </c>
      <c r="AO314" s="46">
        <f t="shared" si="875"/>
        <v>0</v>
      </c>
      <c r="AP314" s="29"/>
      <c r="AR314" s="60"/>
      <c r="AS314" s="44">
        <v>10308</v>
      </c>
      <c r="AT314" s="61">
        <f t="shared" si="876"/>
        <v>31</v>
      </c>
      <c r="AU314" s="44">
        <v>793</v>
      </c>
      <c r="AV314" s="44">
        <f t="shared" si="877"/>
        <v>0</v>
      </c>
      <c r="AW314" s="44">
        <v>7</v>
      </c>
      <c r="AX314" s="44">
        <f t="shared" si="878"/>
        <v>0</v>
      </c>
      <c r="AY314" s="62">
        <v>0</v>
      </c>
      <c r="AZ314" s="45" t="str">
        <f t="shared" si="879"/>
        <v>サンリオでかぱっちん</v>
      </c>
      <c r="BA314" s="61">
        <f t="shared" si="879"/>
        <v>660</v>
      </c>
      <c r="BB314" s="44">
        <f t="shared" si="880"/>
        <v>0</v>
      </c>
      <c r="BC314" s="46">
        <f t="shared" si="881"/>
        <v>0</v>
      </c>
      <c r="BD314" s="29"/>
    </row>
    <row r="315" spans="1:56" ht="15" customHeight="1" thickTop="1" x14ac:dyDescent="0.2">
      <c r="A315" s="49">
        <v>45962</v>
      </c>
      <c r="B315" s="26">
        <f>SUM(D315:D318)+SUM(R315:R318)+SUM(AF315:AF318)+SUM(AT315:AT318)</f>
        <v>862</v>
      </c>
      <c r="C315" s="4">
        <v>14751</v>
      </c>
      <c r="D315" s="68">
        <f t="shared" si="858"/>
        <v>13</v>
      </c>
      <c r="E315" s="4">
        <v>1048</v>
      </c>
      <c r="F315" s="50">
        <f t="shared" si="859"/>
        <v>0</v>
      </c>
      <c r="G315" s="4">
        <v>12</v>
      </c>
      <c r="H315" s="4">
        <f t="shared" si="860"/>
        <v>0</v>
      </c>
      <c r="I315" s="51">
        <v>88</v>
      </c>
      <c r="J315" s="31" t="str">
        <f t="shared" si="861"/>
        <v>液晶ミニカメラ</v>
      </c>
      <c r="K315" s="27">
        <f t="shared" si="861"/>
        <v>1075</v>
      </c>
      <c r="L315" s="50">
        <f t="shared" si="862"/>
        <v>0</v>
      </c>
      <c r="M315" s="52">
        <f t="shared" si="863"/>
        <v>0</v>
      </c>
      <c r="N315" s="29" t="s">
        <v>94</v>
      </c>
      <c r="P315" s="53">
        <f>IF($A315="","",$A315)</f>
        <v>45962</v>
      </c>
      <c r="Q315" s="4">
        <v>13954</v>
      </c>
      <c r="R315" s="4">
        <f t="shared" si="864"/>
        <v>80</v>
      </c>
      <c r="S315" s="4">
        <v>1382</v>
      </c>
      <c r="T315" s="50">
        <f t="shared" si="865"/>
        <v>1</v>
      </c>
      <c r="U315" s="4">
        <v>6</v>
      </c>
      <c r="V315" s="4">
        <f t="shared" si="866"/>
        <v>1</v>
      </c>
      <c r="W315" s="51">
        <v>2</v>
      </c>
      <c r="X315" s="31" t="str">
        <f t="shared" si="867"/>
        <v>キティフェイスポーチ</v>
      </c>
      <c r="Y315" s="27">
        <f t="shared" si="867"/>
        <v>957</v>
      </c>
      <c r="Z315" s="50">
        <f t="shared" si="868"/>
        <v>957</v>
      </c>
      <c r="AA315" s="52">
        <f t="shared" si="869"/>
        <v>0.119625</v>
      </c>
      <c r="AB315" s="29"/>
      <c r="AD315" s="53">
        <f>IF($A315="","",$A315)</f>
        <v>45962</v>
      </c>
      <c r="AE315" s="4">
        <v>11815</v>
      </c>
      <c r="AF315" s="68">
        <f t="shared" si="870"/>
        <v>18</v>
      </c>
      <c r="AG315" s="4">
        <v>894</v>
      </c>
      <c r="AH315" s="50">
        <f t="shared" si="871"/>
        <v>0</v>
      </c>
      <c r="AI315" s="4">
        <v>14</v>
      </c>
      <c r="AJ315" s="4">
        <f t="shared" si="872"/>
        <v>0</v>
      </c>
      <c r="AK315" s="51">
        <v>-5</v>
      </c>
      <c r="AL315" s="31" t="s">
        <v>96</v>
      </c>
      <c r="AM315" s="27">
        <f t="shared" si="873"/>
        <v>748</v>
      </c>
      <c r="AN315" s="50">
        <f t="shared" si="874"/>
        <v>0</v>
      </c>
      <c r="AO315" s="52">
        <f t="shared" si="875"/>
        <v>0</v>
      </c>
      <c r="AP315" s="29" t="s">
        <v>97</v>
      </c>
      <c r="AR315" s="53">
        <f>IF($A315="","",$A315)</f>
        <v>45962</v>
      </c>
      <c r="AS315" s="4">
        <v>8529</v>
      </c>
      <c r="AT315" s="4">
        <f t="shared" si="876"/>
        <v>78</v>
      </c>
      <c r="AU315" s="4">
        <v>472</v>
      </c>
      <c r="AV315" s="50">
        <f t="shared" si="877"/>
        <v>1</v>
      </c>
      <c r="AW315" s="4">
        <v>9</v>
      </c>
      <c r="AX315" s="4">
        <f t="shared" si="878"/>
        <v>1</v>
      </c>
      <c r="AY315" s="51"/>
      <c r="AZ315" s="31" t="str">
        <f t="shared" si="879"/>
        <v>デジタルミニカメラ</v>
      </c>
      <c r="BA315" s="27">
        <f t="shared" si="879"/>
        <v>722</v>
      </c>
      <c r="BB315" s="50">
        <f t="shared" si="880"/>
        <v>722</v>
      </c>
      <c r="BC315" s="52">
        <f t="shared" si="881"/>
        <v>9.2564102564102566E-2</v>
      </c>
      <c r="BD315" s="29"/>
    </row>
    <row r="316" spans="1:56" x14ac:dyDescent="0.2">
      <c r="A316" s="49"/>
      <c r="B316" s="26"/>
      <c r="C316" s="4">
        <v>16648</v>
      </c>
      <c r="D316" s="5">
        <f t="shared" si="858"/>
        <v>94</v>
      </c>
      <c r="E316" s="5">
        <v>565</v>
      </c>
      <c r="F316" s="5">
        <f t="shared" si="859"/>
        <v>2</v>
      </c>
      <c r="G316" s="5">
        <v>39</v>
      </c>
      <c r="H316" s="5">
        <f t="shared" si="860"/>
        <v>2</v>
      </c>
      <c r="I316" s="35">
        <v>10</v>
      </c>
      <c r="J316" s="38" t="str">
        <f t="shared" si="861"/>
        <v>電ブル</v>
      </c>
      <c r="K316" s="39">
        <f t="shared" si="861"/>
        <v>275</v>
      </c>
      <c r="L316" s="5">
        <f t="shared" si="862"/>
        <v>550</v>
      </c>
      <c r="M316" s="36">
        <f t="shared" si="863"/>
        <v>5.8510638297872342E-2</v>
      </c>
      <c r="N316" s="29"/>
      <c r="P316" s="49"/>
      <c r="Q316" s="4">
        <v>13579</v>
      </c>
      <c r="R316" s="48">
        <f t="shared" si="864"/>
        <v>31</v>
      </c>
      <c r="S316" s="5">
        <v>486</v>
      </c>
      <c r="T316" s="5">
        <f t="shared" si="865"/>
        <v>0</v>
      </c>
      <c r="U316" s="5">
        <v>9</v>
      </c>
      <c r="V316" s="5">
        <f t="shared" si="866"/>
        <v>0</v>
      </c>
      <c r="W316" s="35">
        <v>0</v>
      </c>
      <c r="X316" s="38" t="str">
        <f t="shared" si="867"/>
        <v>サンリオミニリュックチャーム付</v>
      </c>
      <c r="Y316" s="39">
        <f t="shared" si="867"/>
        <v>600</v>
      </c>
      <c r="Z316" s="5">
        <f t="shared" si="868"/>
        <v>0</v>
      </c>
      <c r="AA316" s="36">
        <f t="shared" si="869"/>
        <v>0</v>
      </c>
      <c r="AB316" s="29"/>
      <c r="AD316" s="49"/>
      <c r="AE316" s="4">
        <v>11440</v>
      </c>
      <c r="AF316" s="5">
        <f t="shared" si="870"/>
        <v>77</v>
      </c>
      <c r="AG316" s="5">
        <v>767</v>
      </c>
      <c r="AH316" s="5">
        <f t="shared" si="871"/>
        <v>1</v>
      </c>
      <c r="AI316" s="5">
        <v>19</v>
      </c>
      <c r="AJ316" s="5">
        <f t="shared" si="872"/>
        <v>1</v>
      </c>
      <c r="AK316" s="35">
        <v>0</v>
      </c>
      <c r="AL316" s="38" t="str">
        <f t="shared" si="882"/>
        <v>ジャグラーサウンドフラッシュ</v>
      </c>
      <c r="AM316" s="39">
        <f t="shared" si="873"/>
        <v>748</v>
      </c>
      <c r="AN316" s="5">
        <f t="shared" si="874"/>
        <v>748</v>
      </c>
      <c r="AO316" s="36">
        <f t="shared" si="875"/>
        <v>9.7142857142857142E-2</v>
      </c>
      <c r="AP316" s="29"/>
      <c r="AR316" s="49"/>
      <c r="AS316" s="4">
        <v>10064</v>
      </c>
      <c r="AT316" s="48">
        <f t="shared" si="876"/>
        <v>25</v>
      </c>
      <c r="AU316" s="5">
        <v>520</v>
      </c>
      <c r="AV316" s="5">
        <f t="shared" si="877"/>
        <v>0</v>
      </c>
      <c r="AW316" s="5">
        <v>17</v>
      </c>
      <c r="AX316" s="5">
        <f t="shared" si="878"/>
        <v>0</v>
      </c>
      <c r="AY316" s="35"/>
      <c r="AZ316" s="38" t="str">
        <f t="shared" si="879"/>
        <v>クーリッシュイヤホン</v>
      </c>
      <c r="BA316" s="39">
        <f t="shared" si="879"/>
        <v>1100</v>
      </c>
      <c r="BB316" s="5">
        <f t="shared" si="880"/>
        <v>0</v>
      </c>
      <c r="BC316" s="36">
        <f t="shared" si="881"/>
        <v>0</v>
      </c>
      <c r="BD316" s="29"/>
    </row>
    <row r="317" spans="1:56" ht="15" customHeight="1" x14ac:dyDescent="0.2">
      <c r="A317" s="49"/>
      <c r="B317" s="64"/>
      <c r="C317" s="57">
        <v>15947</v>
      </c>
      <c r="D317" s="5">
        <f t="shared" si="858"/>
        <v>102</v>
      </c>
      <c r="E317" s="5">
        <v>593</v>
      </c>
      <c r="F317" s="5">
        <f t="shared" si="859"/>
        <v>2</v>
      </c>
      <c r="G317" s="5">
        <v>21</v>
      </c>
      <c r="H317" s="5">
        <f t="shared" si="860"/>
        <v>2</v>
      </c>
      <c r="I317" s="35">
        <v>0</v>
      </c>
      <c r="J317" s="38" t="str">
        <f t="shared" si="861"/>
        <v>ラブブキーホルダー</v>
      </c>
      <c r="K317" s="5">
        <f t="shared" si="861"/>
        <v>500</v>
      </c>
      <c r="L317" s="5">
        <f t="shared" si="862"/>
        <v>1000</v>
      </c>
      <c r="M317" s="36">
        <f t="shared" si="863"/>
        <v>9.8039215686274508E-2</v>
      </c>
      <c r="N317" s="29"/>
      <c r="P317" s="49"/>
      <c r="Q317" s="57">
        <v>13672</v>
      </c>
      <c r="R317" s="48">
        <f t="shared" si="864"/>
        <v>13</v>
      </c>
      <c r="S317" s="5">
        <v>905</v>
      </c>
      <c r="T317" s="5">
        <f t="shared" si="865"/>
        <v>1</v>
      </c>
      <c r="U317" s="5">
        <v>83</v>
      </c>
      <c r="V317" s="5">
        <f t="shared" si="866"/>
        <v>1</v>
      </c>
      <c r="W317" s="35">
        <v>0</v>
      </c>
      <c r="X317" s="38" t="str">
        <f t="shared" si="867"/>
        <v>AIラバー</v>
      </c>
      <c r="Y317" s="5">
        <f t="shared" si="867"/>
        <v>198</v>
      </c>
      <c r="Z317" s="5">
        <f t="shared" si="868"/>
        <v>198</v>
      </c>
      <c r="AA317" s="36">
        <f t="shared" si="869"/>
        <v>0.15230769230769231</v>
      </c>
      <c r="AB317" s="29"/>
      <c r="AD317" s="49"/>
      <c r="AE317" s="57">
        <v>14255</v>
      </c>
      <c r="AF317" s="5">
        <f t="shared" si="870"/>
        <v>45</v>
      </c>
      <c r="AG317" s="5">
        <v>2388</v>
      </c>
      <c r="AH317" s="5">
        <f t="shared" si="871"/>
        <v>1</v>
      </c>
      <c r="AI317" s="5">
        <v>12</v>
      </c>
      <c r="AJ317" s="5">
        <f t="shared" si="872"/>
        <v>1</v>
      </c>
      <c r="AK317" s="35">
        <v>0</v>
      </c>
      <c r="AL317" s="38" t="str">
        <f t="shared" si="882"/>
        <v>サンリオがま口財布</v>
      </c>
      <c r="AM317" s="5">
        <f t="shared" si="873"/>
        <v>700</v>
      </c>
      <c r="AN317" s="5">
        <f t="shared" si="874"/>
        <v>700</v>
      </c>
      <c r="AO317" s="36">
        <f t="shared" si="875"/>
        <v>0.15555555555555556</v>
      </c>
      <c r="AP317" s="29"/>
      <c r="AR317" s="49"/>
      <c r="AS317" s="57">
        <v>12481</v>
      </c>
      <c r="AT317" s="5">
        <f t="shared" si="876"/>
        <v>63</v>
      </c>
      <c r="AU317" s="5">
        <v>733</v>
      </c>
      <c r="AV317" s="5">
        <f t="shared" si="877"/>
        <v>1</v>
      </c>
      <c r="AW317" s="5">
        <v>16</v>
      </c>
      <c r="AX317" s="5">
        <f t="shared" si="878"/>
        <v>0</v>
      </c>
      <c r="AY317" s="35"/>
      <c r="AZ317" s="38" t="str">
        <f t="shared" si="879"/>
        <v>モンチッチマスコット</v>
      </c>
      <c r="BA317" s="5">
        <f t="shared" si="879"/>
        <v>528</v>
      </c>
      <c r="BB317" s="5">
        <f t="shared" si="880"/>
        <v>0</v>
      </c>
      <c r="BC317" s="36">
        <f t="shared" si="881"/>
        <v>0</v>
      </c>
      <c r="BD317" s="29"/>
    </row>
    <row r="318" spans="1:56" ht="15" customHeight="1" thickBot="1" x14ac:dyDescent="0.25">
      <c r="A318" s="60"/>
      <c r="B318" s="73"/>
      <c r="C318" s="43">
        <v>11523</v>
      </c>
      <c r="D318" s="61">
        <f t="shared" si="858"/>
        <v>66</v>
      </c>
      <c r="E318" s="44">
        <v>1174</v>
      </c>
      <c r="F318" s="44">
        <f t="shared" si="859"/>
        <v>1</v>
      </c>
      <c r="G318" s="44">
        <v>12</v>
      </c>
      <c r="H318" s="44">
        <f t="shared" si="860"/>
        <v>1</v>
      </c>
      <c r="I318" s="62">
        <v>3</v>
      </c>
      <c r="J318" s="47" t="str">
        <f t="shared" si="861"/>
        <v>キティヒョウ柄マスコット</v>
      </c>
      <c r="K318" s="61">
        <f t="shared" si="861"/>
        <v>996</v>
      </c>
      <c r="L318" s="44">
        <f t="shared" si="862"/>
        <v>996</v>
      </c>
      <c r="M318" s="46">
        <f t="shared" si="863"/>
        <v>0.15090909090909091</v>
      </c>
      <c r="N318" s="29"/>
      <c r="P318" s="60"/>
      <c r="Q318" s="43">
        <v>11708</v>
      </c>
      <c r="R318" s="74">
        <f t="shared" si="864"/>
        <v>33</v>
      </c>
      <c r="S318" s="44">
        <v>1044</v>
      </c>
      <c r="T318" s="44">
        <f t="shared" si="865"/>
        <v>1</v>
      </c>
      <c r="U318" s="44">
        <v>10</v>
      </c>
      <c r="V318" s="44">
        <f t="shared" si="866"/>
        <v>1</v>
      </c>
      <c r="W318" s="62">
        <v>2</v>
      </c>
      <c r="X318" s="47" t="str">
        <f t="shared" si="867"/>
        <v>AIマスコット</v>
      </c>
      <c r="Y318" s="61">
        <f t="shared" si="867"/>
        <v>286</v>
      </c>
      <c r="Z318" s="44">
        <f t="shared" si="868"/>
        <v>286</v>
      </c>
      <c r="AA318" s="46">
        <f t="shared" si="869"/>
        <v>8.666666666666667E-2</v>
      </c>
      <c r="AB318" s="29" t="s">
        <v>95</v>
      </c>
      <c r="AD318" s="60"/>
      <c r="AE318" s="43">
        <v>13829</v>
      </c>
      <c r="AF318" s="61">
        <f t="shared" si="870"/>
        <v>103</v>
      </c>
      <c r="AG318" s="44">
        <v>1532</v>
      </c>
      <c r="AH318" s="44">
        <f t="shared" si="871"/>
        <v>2</v>
      </c>
      <c r="AI318" s="44">
        <v>10</v>
      </c>
      <c r="AJ318" s="44">
        <f t="shared" si="872"/>
        <v>2</v>
      </c>
      <c r="AK318" s="62">
        <v>5</v>
      </c>
      <c r="AL318" s="47" t="str">
        <f t="shared" si="882"/>
        <v>ラブブマスコット</v>
      </c>
      <c r="AM318" s="61">
        <f t="shared" si="873"/>
        <v>500</v>
      </c>
      <c r="AN318" s="44">
        <f t="shared" si="874"/>
        <v>1000</v>
      </c>
      <c r="AO318" s="46">
        <f t="shared" si="875"/>
        <v>9.7087378640776698E-2</v>
      </c>
      <c r="AP318" s="29"/>
      <c r="AR318" s="60"/>
      <c r="AS318" s="43">
        <v>10329</v>
      </c>
      <c r="AT318" s="74">
        <f t="shared" si="876"/>
        <v>21</v>
      </c>
      <c r="AU318" s="44">
        <v>793</v>
      </c>
      <c r="AV318" s="44">
        <f t="shared" si="877"/>
        <v>0</v>
      </c>
      <c r="AW318" s="44">
        <v>7</v>
      </c>
      <c r="AX318" s="44">
        <f t="shared" si="878"/>
        <v>0</v>
      </c>
      <c r="AY318" s="62"/>
      <c r="AZ318" s="47" t="s">
        <v>93</v>
      </c>
      <c r="BA318" s="61">
        <f t="shared" si="879"/>
        <v>660</v>
      </c>
      <c r="BB318" s="44">
        <f t="shared" si="880"/>
        <v>0</v>
      </c>
      <c r="BC318" s="46">
        <f t="shared" si="881"/>
        <v>0</v>
      </c>
      <c r="BD318" s="29"/>
    </row>
    <row r="319" spans="1:56" ht="15" customHeight="1" thickTop="1" x14ac:dyDescent="0.2">
      <c r="A319" s="49">
        <v>45965</v>
      </c>
      <c r="B319" s="26">
        <f>SUM(D319:D322)+SUM(R319:R322)+SUM(AF319:AF322)+SUM(AT319:AT322)</f>
        <v>607</v>
      </c>
      <c r="C319" s="4">
        <v>14817</v>
      </c>
      <c r="D319" s="4">
        <f t="shared" si="858"/>
        <v>66</v>
      </c>
      <c r="E319" s="4">
        <v>1050</v>
      </c>
      <c r="F319" s="50">
        <f t="shared" si="859"/>
        <v>2</v>
      </c>
      <c r="G319" s="4">
        <v>98</v>
      </c>
      <c r="H319" s="4">
        <f t="shared" si="860"/>
        <v>2</v>
      </c>
      <c r="I319" s="51"/>
      <c r="J319" s="3" t="s">
        <v>98</v>
      </c>
      <c r="K319" s="39">
        <f t="shared" ref="K319:K354" si="883">IF(D319="","",K315)</f>
        <v>1075</v>
      </c>
      <c r="L319" s="50">
        <f t="shared" si="862"/>
        <v>2150</v>
      </c>
      <c r="M319" s="52">
        <f t="shared" si="863"/>
        <v>0.32575757575757575</v>
      </c>
      <c r="N319" s="29" t="s">
        <v>99</v>
      </c>
      <c r="P319" s="53">
        <f>IF($A319="","",$A319)</f>
        <v>45965</v>
      </c>
      <c r="Q319" s="4">
        <v>13980</v>
      </c>
      <c r="R319" s="4">
        <f t="shared" si="864"/>
        <v>26</v>
      </c>
      <c r="S319" s="4">
        <v>1382</v>
      </c>
      <c r="T319" s="50">
        <f t="shared" si="865"/>
        <v>0</v>
      </c>
      <c r="U319" s="4">
        <v>8</v>
      </c>
      <c r="V319" s="4">
        <f t="shared" si="866"/>
        <v>0</v>
      </c>
      <c r="W319" s="51">
        <v>1</v>
      </c>
      <c r="X319" s="3" t="str">
        <f t="shared" ref="X319:Y334" si="884">IF(Q319="","",X315)</f>
        <v>キティフェイスポーチ</v>
      </c>
      <c r="Y319" s="39">
        <f t="shared" si="884"/>
        <v>957</v>
      </c>
      <c r="Z319" s="50">
        <f t="shared" si="868"/>
        <v>0</v>
      </c>
      <c r="AA319" s="52">
        <f t="shared" si="869"/>
        <v>0</v>
      </c>
      <c r="AB319" s="29"/>
      <c r="AD319" s="53">
        <f>IF($A319="","",$A319)</f>
        <v>45965</v>
      </c>
      <c r="AE319" s="4">
        <v>11867</v>
      </c>
      <c r="AF319" s="4">
        <f t="shared" si="870"/>
        <v>52</v>
      </c>
      <c r="AG319" s="4">
        <v>895</v>
      </c>
      <c r="AH319" s="50">
        <f t="shared" si="871"/>
        <v>1</v>
      </c>
      <c r="AI319" s="4">
        <v>8</v>
      </c>
      <c r="AJ319" s="4">
        <f t="shared" si="872"/>
        <v>1</v>
      </c>
      <c r="AK319" s="51">
        <v>1</v>
      </c>
      <c r="AL319" s="3" t="s">
        <v>101</v>
      </c>
      <c r="AM319" s="39">
        <f t="shared" ref="AM319:AM338" si="885">IF(AF319="","",AM315)</f>
        <v>748</v>
      </c>
      <c r="AN319" s="50">
        <f t="shared" si="874"/>
        <v>748</v>
      </c>
      <c r="AO319" s="52">
        <f t="shared" si="875"/>
        <v>0.14384615384615385</v>
      </c>
      <c r="AP319" s="29"/>
      <c r="AR319" s="53">
        <f>IF($A319="","",$A319)</f>
        <v>45965</v>
      </c>
      <c r="AS319" s="4">
        <v>8565</v>
      </c>
      <c r="AT319" s="4">
        <f t="shared" si="876"/>
        <v>36</v>
      </c>
      <c r="AU319" s="4">
        <v>472</v>
      </c>
      <c r="AV319" s="50">
        <f t="shared" si="877"/>
        <v>0</v>
      </c>
      <c r="AW319" s="4">
        <v>9</v>
      </c>
      <c r="AX319" s="4">
        <f t="shared" si="878"/>
        <v>0</v>
      </c>
      <c r="AY319" s="51"/>
      <c r="AZ319" s="3" t="str">
        <f t="shared" ref="AZ319:BA334" si="886">IF(AS319="","",AZ315)</f>
        <v>デジタルミニカメラ</v>
      </c>
      <c r="BA319" s="39">
        <f t="shared" si="886"/>
        <v>722</v>
      </c>
      <c r="BB319" s="50">
        <f t="shared" si="880"/>
        <v>0</v>
      </c>
      <c r="BC319" s="52">
        <f t="shared" si="881"/>
        <v>0</v>
      </c>
      <c r="BD319" s="29"/>
    </row>
    <row r="320" spans="1:56" ht="15" customHeight="1" x14ac:dyDescent="0.2">
      <c r="A320" s="54"/>
      <c r="B320" s="37"/>
      <c r="C320" s="5">
        <v>16691</v>
      </c>
      <c r="D320" s="5">
        <f t="shared" si="858"/>
        <v>43</v>
      </c>
      <c r="E320" s="5">
        <v>567</v>
      </c>
      <c r="F320" s="5">
        <f t="shared" si="859"/>
        <v>2</v>
      </c>
      <c r="G320" s="5">
        <v>47</v>
      </c>
      <c r="H320" s="5">
        <f t="shared" si="860"/>
        <v>2</v>
      </c>
      <c r="I320" s="35">
        <v>5</v>
      </c>
      <c r="J320" s="3" t="str">
        <f t="shared" ref="J320:J329" si="887">IF(C320="","",J316)</f>
        <v>電ブル</v>
      </c>
      <c r="K320" s="39">
        <f t="shared" si="883"/>
        <v>275</v>
      </c>
      <c r="L320" s="5">
        <f t="shared" si="862"/>
        <v>550</v>
      </c>
      <c r="M320" s="36">
        <f t="shared" si="863"/>
        <v>0.12790697674418605</v>
      </c>
      <c r="N320" s="29"/>
      <c r="P320" s="54"/>
      <c r="Q320" s="5">
        <v>13591</v>
      </c>
      <c r="R320" s="129">
        <f t="shared" si="864"/>
        <v>12</v>
      </c>
      <c r="S320" s="5">
        <v>486</v>
      </c>
      <c r="T320" s="5">
        <f t="shared" si="865"/>
        <v>0</v>
      </c>
      <c r="U320" s="5">
        <v>9</v>
      </c>
      <c r="V320" s="5">
        <f t="shared" si="866"/>
        <v>0</v>
      </c>
      <c r="W320" s="35">
        <v>0</v>
      </c>
      <c r="X320" s="3" t="str">
        <f t="shared" si="884"/>
        <v>サンリオミニリュックチャーム付</v>
      </c>
      <c r="Y320" s="39">
        <f t="shared" si="884"/>
        <v>600</v>
      </c>
      <c r="Z320" s="5">
        <f t="shared" si="868"/>
        <v>0</v>
      </c>
      <c r="AA320" s="36">
        <f t="shared" si="869"/>
        <v>0</v>
      </c>
      <c r="AB320" s="29"/>
      <c r="AD320" s="54"/>
      <c r="AE320" s="5">
        <v>11483</v>
      </c>
      <c r="AF320" s="5">
        <f t="shared" si="870"/>
        <v>43</v>
      </c>
      <c r="AG320" s="5">
        <v>768</v>
      </c>
      <c r="AH320" s="5">
        <f t="shared" si="871"/>
        <v>1</v>
      </c>
      <c r="AI320" s="5">
        <v>18</v>
      </c>
      <c r="AJ320" s="5">
        <f t="shared" si="872"/>
        <v>1</v>
      </c>
      <c r="AK320" s="35">
        <v>1</v>
      </c>
      <c r="AL320" s="3" t="str">
        <f t="shared" si="882"/>
        <v>ジャグラーサウンドフラッシュ</v>
      </c>
      <c r="AM320" s="39">
        <f t="shared" si="885"/>
        <v>748</v>
      </c>
      <c r="AN320" s="5">
        <f t="shared" si="874"/>
        <v>748</v>
      </c>
      <c r="AO320" s="36">
        <f t="shared" si="875"/>
        <v>0.17395348837209301</v>
      </c>
      <c r="AP320" s="29"/>
      <c r="AR320" s="54"/>
      <c r="AS320" s="5">
        <v>10085</v>
      </c>
      <c r="AT320" s="5">
        <f t="shared" si="876"/>
        <v>21</v>
      </c>
      <c r="AU320" s="5">
        <v>520</v>
      </c>
      <c r="AV320" s="5">
        <f t="shared" si="877"/>
        <v>0</v>
      </c>
      <c r="AW320" s="5">
        <v>17</v>
      </c>
      <c r="AX320" s="5">
        <f t="shared" si="878"/>
        <v>0</v>
      </c>
      <c r="AY320" s="35"/>
      <c r="AZ320" s="3" t="str">
        <f t="shared" si="886"/>
        <v>クーリッシュイヤホン</v>
      </c>
      <c r="BA320" s="39">
        <f t="shared" si="886"/>
        <v>1100</v>
      </c>
      <c r="BB320" s="5">
        <f t="shared" si="880"/>
        <v>0</v>
      </c>
      <c r="BC320" s="36">
        <f t="shared" si="881"/>
        <v>0</v>
      </c>
      <c r="BD320" s="29"/>
    </row>
    <row r="321" spans="1:56" ht="15" customHeight="1" x14ac:dyDescent="0.2">
      <c r="A321" s="54"/>
      <c r="B321" s="71"/>
      <c r="C321" s="58">
        <v>16038</v>
      </c>
      <c r="D321" s="5">
        <f t="shared" si="858"/>
        <v>91</v>
      </c>
      <c r="E321" s="5">
        <v>594</v>
      </c>
      <c r="F321" s="5">
        <f t="shared" si="859"/>
        <v>1</v>
      </c>
      <c r="G321" s="58">
        <v>20</v>
      </c>
      <c r="H321" s="5">
        <f t="shared" si="860"/>
        <v>1</v>
      </c>
      <c r="I321" s="59"/>
      <c r="J321" s="3" t="str">
        <f t="shared" si="887"/>
        <v>ラブブキーホルダー</v>
      </c>
      <c r="K321" s="39">
        <f t="shared" si="883"/>
        <v>500</v>
      </c>
      <c r="L321" s="5">
        <f t="shared" si="862"/>
        <v>500</v>
      </c>
      <c r="M321" s="36">
        <f t="shared" si="863"/>
        <v>5.4945054945054944E-2</v>
      </c>
      <c r="N321" s="29"/>
      <c r="P321" s="54"/>
      <c r="Q321" s="58">
        <v>13688</v>
      </c>
      <c r="R321" s="129">
        <f t="shared" si="864"/>
        <v>16</v>
      </c>
      <c r="S321" s="5">
        <v>906</v>
      </c>
      <c r="T321" s="5">
        <f t="shared" si="865"/>
        <v>1</v>
      </c>
      <c r="U321" s="58">
        <v>83</v>
      </c>
      <c r="V321" s="5">
        <f t="shared" si="866"/>
        <v>0</v>
      </c>
      <c r="W321" s="59">
        <v>0</v>
      </c>
      <c r="X321" s="3" t="str">
        <f t="shared" si="884"/>
        <v>AIラバー</v>
      </c>
      <c r="Y321" s="39">
        <f t="shared" si="884"/>
        <v>198</v>
      </c>
      <c r="Z321" s="5">
        <f t="shared" si="868"/>
        <v>0</v>
      </c>
      <c r="AA321" s="36">
        <f t="shared" si="869"/>
        <v>0</v>
      </c>
      <c r="AB321" s="29"/>
      <c r="AD321" s="54"/>
      <c r="AE321" s="58">
        <v>14308</v>
      </c>
      <c r="AF321" s="5">
        <f t="shared" si="870"/>
        <v>53</v>
      </c>
      <c r="AG321" s="5">
        <v>2389</v>
      </c>
      <c r="AH321" s="5">
        <f t="shared" si="871"/>
        <v>1</v>
      </c>
      <c r="AI321" s="58">
        <v>11</v>
      </c>
      <c r="AJ321" s="5">
        <f t="shared" si="872"/>
        <v>1</v>
      </c>
      <c r="AK321" s="59">
        <v>0</v>
      </c>
      <c r="AL321" s="3" t="str">
        <f t="shared" si="882"/>
        <v>サンリオがま口財布</v>
      </c>
      <c r="AM321" s="39">
        <f t="shared" si="885"/>
        <v>700</v>
      </c>
      <c r="AN321" s="5">
        <f t="shared" si="874"/>
        <v>700</v>
      </c>
      <c r="AO321" s="36">
        <f t="shared" si="875"/>
        <v>0.13207547169811321</v>
      </c>
      <c r="AP321" s="29"/>
      <c r="AR321" s="54"/>
      <c r="AS321" s="58">
        <v>12488</v>
      </c>
      <c r="AT321" s="129">
        <f t="shared" si="876"/>
        <v>7</v>
      </c>
      <c r="AU321" s="5">
        <v>733</v>
      </c>
      <c r="AV321" s="5">
        <f t="shared" si="877"/>
        <v>0</v>
      </c>
      <c r="AW321" s="58">
        <v>16</v>
      </c>
      <c r="AX321" s="5">
        <f t="shared" si="878"/>
        <v>0</v>
      </c>
      <c r="AY321" s="59"/>
      <c r="AZ321" s="3" t="str">
        <f t="shared" si="886"/>
        <v>モンチッチマスコット</v>
      </c>
      <c r="BA321" s="39">
        <f t="shared" si="886"/>
        <v>528</v>
      </c>
      <c r="BB321" s="5">
        <f t="shared" si="880"/>
        <v>0</v>
      </c>
      <c r="BC321" s="36">
        <f t="shared" si="881"/>
        <v>0</v>
      </c>
      <c r="BD321" s="29"/>
    </row>
    <row r="322" spans="1:56" ht="15" customHeight="1" thickBot="1" x14ac:dyDescent="0.25">
      <c r="A322" s="60"/>
      <c r="B322" s="73"/>
      <c r="C322" s="44">
        <v>11551</v>
      </c>
      <c r="D322" s="61">
        <f t="shared" si="858"/>
        <v>28</v>
      </c>
      <c r="E322" s="44">
        <v>1174</v>
      </c>
      <c r="F322" s="44">
        <f t="shared" si="859"/>
        <v>0</v>
      </c>
      <c r="G322" s="44">
        <v>15</v>
      </c>
      <c r="H322" s="44">
        <f t="shared" si="860"/>
        <v>0</v>
      </c>
      <c r="I322" s="62"/>
      <c r="J322" s="45" t="str">
        <f t="shared" si="887"/>
        <v>キティヒョウ柄マスコット</v>
      </c>
      <c r="K322" s="61">
        <f t="shared" si="883"/>
        <v>996</v>
      </c>
      <c r="L322" s="44">
        <f t="shared" si="862"/>
        <v>0</v>
      </c>
      <c r="M322" s="46">
        <f t="shared" si="863"/>
        <v>0</v>
      </c>
      <c r="N322" s="29"/>
      <c r="P322" s="60"/>
      <c r="Q322" s="44">
        <v>11741</v>
      </c>
      <c r="R322" s="61">
        <f t="shared" si="864"/>
        <v>33</v>
      </c>
      <c r="S322" s="44">
        <v>1044</v>
      </c>
      <c r="T322" s="44">
        <f t="shared" si="865"/>
        <v>0</v>
      </c>
      <c r="U322" s="44">
        <v>12</v>
      </c>
      <c r="V322" s="44">
        <f t="shared" si="866"/>
        <v>0</v>
      </c>
      <c r="W322" s="62">
        <v>0</v>
      </c>
      <c r="X322" s="45" t="s">
        <v>100</v>
      </c>
      <c r="Y322" s="61">
        <f t="shared" si="884"/>
        <v>286</v>
      </c>
      <c r="Z322" s="44">
        <f t="shared" si="868"/>
        <v>0</v>
      </c>
      <c r="AA322" s="46">
        <f t="shared" si="869"/>
        <v>0</v>
      </c>
      <c r="AB322" s="29"/>
      <c r="AD322" s="60"/>
      <c r="AE322" s="44">
        <v>13895</v>
      </c>
      <c r="AF322" s="61">
        <f t="shared" si="870"/>
        <v>66</v>
      </c>
      <c r="AG322" s="44">
        <v>1533</v>
      </c>
      <c r="AH322" s="44">
        <f t="shared" si="871"/>
        <v>1</v>
      </c>
      <c r="AI322" s="44">
        <v>14</v>
      </c>
      <c r="AJ322" s="44">
        <f t="shared" si="872"/>
        <v>1</v>
      </c>
      <c r="AK322" s="62">
        <v>0</v>
      </c>
      <c r="AL322" s="45" t="str">
        <f t="shared" si="882"/>
        <v>ラブブマスコット</v>
      </c>
      <c r="AM322" s="61">
        <f t="shared" si="885"/>
        <v>500</v>
      </c>
      <c r="AN322" s="44">
        <f t="shared" si="874"/>
        <v>500</v>
      </c>
      <c r="AO322" s="46">
        <f t="shared" si="875"/>
        <v>7.575757575757576E-2</v>
      </c>
      <c r="AP322" s="29"/>
      <c r="AR322" s="60"/>
      <c r="AS322" s="44">
        <v>10343</v>
      </c>
      <c r="AT322" s="130">
        <f t="shared" si="876"/>
        <v>14</v>
      </c>
      <c r="AU322" s="44">
        <v>793</v>
      </c>
      <c r="AV322" s="44">
        <f t="shared" si="877"/>
        <v>0</v>
      </c>
      <c r="AW322" s="44">
        <v>7</v>
      </c>
      <c r="AX322" s="44">
        <f t="shared" si="878"/>
        <v>0</v>
      </c>
      <c r="AY322" s="62"/>
      <c r="AZ322" s="45" t="str">
        <f t="shared" si="886"/>
        <v>サンリオがま口ポーチ</v>
      </c>
      <c r="BA322" s="61">
        <f t="shared" si="886"/>
        <v>660</v>
      </c>
      <c r="BB322" s="44">
        <f t="shared" si="880"/>
        <v>0</v>
      </c>
      <c r="BC322" s="46">
        <f t="shared" si="881"/>
        <v>0</v>
      </c>
      <c r="BD322" s="29"/>
    </row>
    <row r="323" spans="1:56" ht="15" customHeight="1" thickTop="1" x14ac:dyDescent="0.2">
      <c r="A323" s="49">
        <v>45968</v>
      </c>
      <c r="B323" s="26">
        <f>SUM(D323:D326)+SUM(R323:R326)+SUM(AF323:AF326)+SUM(AT323:AT326)</f>
        <v>576</v>
      </c>
      <c r="C323" s="4">
        <v>14865</v>
      </c>
      <c r="D323" s="4">
        <f t="shared" si="858"/>
        <v>48</v>
      </c>
      <c r="E323" s="4">
        <v>1051</v>
      </c>
      <c r="F323" s="50">
        <f t="shared" si="859"/>
        <v>1</v>
      </c>
      <c r="G323" s="4">
        <v>98</v>
      </c>
      <c r="H323" s="4">
        <f t="shared" si="860"/>
        <v>0</v>
      </c>
      <c r="I323" s="51">
        <v>0</v>
      </c>
      <c r="J323" s="31" t="str">
        <f t="shared" si="887"/>
        <v>アングリーベイビー</v>
      </c>
      <c r="K323" s="27">
        <f t="shared" si="883"/>
        <v>1075</v>
      </c>
      <c r="L323" s="50">
        <f t="shared" si="862"/>
        <v>0</v>
      </c>
      <c r="M323" s="52">
        <f t="shared" si="863"/>
        <v>0</v>
      </c>
      <c r="N323" s="29"/>
      <c r="P323" s="53">
        <f>IF($A323="","",$A323)</f>
        <v>45968</v>
      </c>
      <c r="Q323" s="4">
        <v>14013</v>
      </c>
      <c r="R323" s="4">
        <f t="shared" si="864"/>
        <v>33</v>
      </c>
      <c r="S323" s="4">
        <v>1382</v>
      </c>
      <c r="T323" s="50">
        <f t="shared" si="865"/>
        <v>0</v>
      </c>
      <c r="U323" s="4">
        <v>9</v>
      </c>
      <c r="V323" s="4">
        <f t="shared" si="866"/>
        <v>0</v>
      </c>
      <c r="W323" s="51"/>
      <c r="X323" s="31" t="str">
        <f t="shared" si="884"/>
        <v>キティフェイスポーチ</v>
      </c>
      <c r="Y323" s="27">
        <f t="shared" si="884"/>
        <v>957</v>
      </c>
      <c r="Z323" s="50">
        <f t="shared" si="868"/>
        <v>0</v>
      </c>
      <c r="AA323" s="52">
        <f t="shared" si="869"/>
        <v>0</v>
      </c>
      <c r="AB323" s="29"/>
      <c r="AD323" s="53">
        <f>IF($A323="","",$A323)</f>
        <v>45968</v>
      </c>
      <c r="AE323" s="4">
        <v>11892</v>
      </c>
      <c r="AF323" s="68">
        <f t="shared" si="870"/>
        <v>25</v>
      </c>
      <c r="AG323" s="4">
        <v>895</v>
      </c>
      <c r="AH323" s="50">
        <f t="shared" si="871"/>
        <v>0</v>
      </c>
      <c r="AI323" s="4">
        <v>9</v>
      </c>
      <c r="AJ323" s="4">
        <f t="shared" si="872"/>
        <v>0</v>
      </c>
      <c r="AK323" s="51">
        <v>0</v>
      </c>
      <c r="AL323" s="31" t="str">
        <f t="shared" si="882"/>
        <v>スンスン髪留め</v>
      </c>
      <c r="AM323" s="27">
        <f t="shared" si="885"/>
        <v>748</v>
      </c>
      <c r="AN323" s="50">
        <f t="shared" si="874"/>
        <v>0</v>
      </c>
      <c r="AO323" s="52">
        <f t="shared" si="875"/>
        <v>0</v>
      </c>
      <c r="AP323" s="29"/>
      <c r="AR323" s="53">
        <f>IF($A323="","",$A323)</f>
        <v>45968</v>
      </c>
      <c r="AS323" s="4">
        <v>8592</v>
      </c>
      <c r="AT323" s="4">
        <f t="shared" si="876"/>
        <v>27</v>
      </c>
      <c r="AU323" s="4">
        <v>472</v>
      </c>
      <c r="AV323" s="50">
        <f t="shared" si="877"/>
        <v>0</v>
      </c>
      <c r="AW323" s="4">
        <v>9</v>
      </c>
      <c r="AX323" s="4">
        <f t="shared" si="878"/>
        <v>0</v>
      </c>
      <c r="AY323" s="51"/>
      <c r="AZ323" s="31" t="str">
        <f t="shared" si="886"/>
        <v>デジタルミニカメラ</v>
      </c>
      <c r="BA323" s="27">
        <f t="shared" si="886"/>
        <v>722</v>
      </c>
      <c r="BB323" s="50">
        <f t="shared" si="880"/>
        <v>0</v>
      </c>
      <c r="BC323" s="52">
        <f t="shared" si="881"/>
        <v>0</v>
      </c>
      <c r="BD323" s="29"/>
    </row>
    <row r="324" spans="1:56" ht="15" customHeight="1" x14ac:dyDescent="0.2">
      <c r="A324" s="49"/>
      <c r="B324" s="26"/>
      <c r="C324" s="4">
        <v>16735</v>
      </c>
      <c r="D324" s="5">
        <f t="shared" si="858"/>
        <v>44</v>
      </c>
      <c r="E324" s="5">
        <v>567</v>
      </c>
      <c r="F324" s="5">
        <f t="shared" si="859"/>
        <v>0</v>
      </c>
      <c r="G324" s="5">
        <v>52</v>
      </c>
      <c r="H324" s="5">
        <f t="shared" si="860"/>
        <v>0</v>
      </c>
      <c r="I324" s="35">
        <v>0</v>
      </c>
      <c r="J324" s="38" t="str">
        <f t="shared" si="887"/>
        <v>電ブル</v>
      </c>
      <c r="K324" s="39">
        <f t="shared" si="883"/>
        <v>275</v>
      </c>
      <c r="L324" s="5">
        <f t="shared" si="862"/>
        <v>0</v>
      </c>
      <c r="M324" s="36">
        <f t="shared" si="863"/>
        <v>0</v>
      </c>
      <c r="N324" s="29"/>
      <c r="P324" s="49"/>
      <c r="Q324" s="4">
        <v>13618</v>
      </c>
      <c r="R324" s="5">
        <f t="shared" si="864"/>
        <v>27</v>
      </c>
      <c r="S324" s="5">
        <v>486</v>
      </c>
      <c r="T324" s="5">
        <f t="shared" si="865"/>
        <v>0</v>
      </c>
      <c r="U324" s="5">
        <v>9</v>
      </c>
      <c r="V324" s="5">
        <f t="shared" si="866"/>
        <v>0</v>
      </c>
      <c r="W324" s="35"/>
      <c r="X324" s="38" t="str">
        <f t="shared" si="884"/>
        <v>サンリオミニリュックチャーム付</v>
      </c>
      <c r="Y324" s="39">
        <f t="shared" si="884"/>
        <v>600</v>
      </c>
      <c r="Z324" s="5">
        <f t="shared" si="868"/>
        <v>0</v>
      </c>
      <c r="AA324" s="36">
        <f t="shared" si="869"/>
        <v>0</v>
      </c>
      <c r="AB324" s="29"/>
      <c r="AD324" s="49"/>
      <c r="AE324" s="4">
        <v>11502</v>
      </c>
      <c r="AF324" s="48">
        <f t="shared" si="870"/>
        <v>19</v>
      </c>
      <c r="AG324" s="5">
        <v>768</v>
      </c>
      <c r="AH324" s="5">
        <f t="shared" si="871"/>
        <v>0</v>
      </c>
      <c r="AI324" s="5">
        <v>19</v>
      </c>
      <c r="AJ324" s="5">
        <f t="shared" si="872"/>
        <v>0</v>
      </c>
      <c r="AK324" s="35">
        <v>0</v>
      </c>
      <c r="AL324" s="38" t="str">
        <f t="shared" si="882"/>
        <v>ジャグラーサウンドフラッシュ</v>
      </c>
      <c r="AM324" s="39">
        <f t="shared" si="885"/>
        <v>748</v>
      </c>
      <c r="AN324" s="5">
        <f t="shared" si="874"/>
        <v>0</v>
      </c>
      <c r="AO324" s="36">
        <f t="shared" si="875"/>
        <v>0</v>
      </c>
      <c r="AP324" s="29"/>
      <c r="AR324" s="49"/>
      <c r="AS324" s="4">
        <v>10141</v>
      </c>
      <c r="AT324" s="5">
        <f t="shared" si="876"/>
        <v>56</v>
      </c>
      <c r="AU324" s="5">
        <v>520</v>
      </c>
      <c r="AV324" s="5">
        <f t="shared" si="877"/>
        <v>0</v>
      </c>
      <c r="AW324" s="5">
        <v>17</v>
      </c>
      <c r="AX324" s="5">
        <f t="shared" si="878"/>
        <v>0</v>
      </c>
      <c r="AY324" s="35"/>
      <c r="AZ324" s="38" t="str">
        <f t="shared" si="886"/>
        <v>クーリッシュイヤホン</v>
      </c>
      <c r="BA324" s="39">
        <f t="shared" si="886"/>
        <v>1100</v>
      </c>
      <c r="BB324" s="5">
        <f t="shared" si="880"/>
        <v>0</v>
      </c>
      <c r="BC324" s="36">
        <f t="shared" si="881"/>
        <v>0</v>
      </c>
      <c r="BD324" s="29"/>
    </row>
    <row r="325" spans="1:56" ht="15" customHeight="1" x14ac:dyDescent="0.2">
      <c r="A325" s="54"/>
      <c r="B325" s="37"/>
      <c r="C325" s="57">
        <v>16112</v>
      </c>
      <c r="D325" s="5">
        <f t="shared" si="858"/>
        <v>74</v>
      </c>
      <c r="E325" s="5">
        <v>595</v>
      </c>
      <c r="F325" s="5">
        <f t="shared" si="859"/>
        <v>1</v>
      </c>
      <c r="G325" s="5">
        <v>19</v>
      </c>
      <c r="H325" s="5">
        <f t="shared" si="860"/>
        <v>1</v>
      </c>
      <c r="I325" s="35">
        <v>5</v>
      </c>
      <c r="J325" s="38" t="str">
        <f t="shared" si="887"/>
        <v>ラブブキーホルダー</v>
      </c>
      <c r="K325" s="5">
        <f t="shared" si="883"/>
        <v>500</v>
      </c>
      <c r="L325" s="5">
        <f t="shared" si="862"/>
        <v>500</v>
      </c>
      <c r="M325" s="36">
        <f t="shared" si="863"/>
        <v>6.7567567567567571E-2</v>
      </c>
      <c r="N325" s="29"/>
      <c r="P325" s="54"/>
      <c r="Q325" s="57">
        <v>13701</v>
      </c>
      <c r="R325" s="129">
        <f t="shared" si="864"/>
        <v>13</v>
      </c>
      <c r="S325" s="5">
        <v>906</v>
      </c>
      <c r="T325" s="5">
        <f t="shared" si="865"/>
        <v>0</v>
      </c>
      <c r="U325" s="5">
        <v>83</v>
      </c>
      <c r="V325" s="5">
        <f t="shared" si="866"/>
        <v>0</v>
      </c>
      <c r="W325" s="35"/>
      <c r="X325" s="38" t="str">
        <f t="shared" si="884"/>
        <v>AIラバー</v>
      </c>
      <c r="Y325" s="5">
        <f t="shared" si="884"/>
        <v>198</v>
      </c>
      <c r="Z325" s="5">
        <f t="shared" si="868"/>
        <v>0</v>
      </c>
      <c r="AA325" s="36">
        <f t="shared" si="869"/>
        <v>0</v>
      </c>
      <c r="AB325" s="29"/>
      <c r="AD325" s="54"/>
      <c r="AE325" s="57">
        <v>14350</v>
      </c>
      <c r="AF325" s="5">
        <f t="shared" si="870"/>
        <v>42</v>
      </c>
      <c r="AG325" s="5">
        <v>2389</v>
      </c>
      <c r="AH325" s="5">
        <f t="shared" si="871"/>
        <v>0</v>
      </c>
      <c r="AI325" s="5">
        <v>11</v>
      </c>
      <c r="AJ325" s="5">
        <f t="shared" si="872"/>
        <v>0</v>
      </c>
      <c r="AK325" s="35">
        <v>0</v>
      </c>
      <c r="AL325" s="38" t="str">
        <f t="shared" si="882"/>
        <v>サンリオがま口財布</v>
      </c>
      <c r="AM325" s="5">
        <f t="shared" si="885"/>
        <v>700</v>
      </c>
      <c r="AN325" s="5">
        <f t="shared" si="874"/>
        <v>0</v>
      </c>
      <c r="AO325" s="36">
        <f t="shared" si="875"/>
        <v>0</v>
      </c>
      <c r="AP325" s="29"/>
      <c r="AR325" s="54"/>
      <c r="AS325" s="57">
        <v>12512</v>
      </c>
      <c r="AT325" s="5">
        <f t="shared" si="876"/>
        <v>24</v>
      </c>
      <c r="AU325" s="5">
        <v>733</v>
      </c>
      <c r="AV325" s="5">
        <f t="shared" si="877"/>
        <v>0</v>
      </c>
      <c r="AW325" s="5">
        <v>16</v>
      </c>
      <c r="AX325" s="5">
        <f t="shared" si="878"/>
        <v>0</v>
      </c>
      <c r="AY325" s="35"/>
      <c r="AZ325" s="38" t="str">
        <f t="shared" si="886"/>
        <v>モンチッチマスコット</v>
      </c>
      <c r="BA325" s="5">
        <f t="shared" si="886"/>
        <v>528</v>
      </c>
      <c r="BB325" s="5">
        <f t="shared" si="880"/>
        <v>0</v>
      </c>
      <c r="BC325" s="36">
        <f t="shared" si="881"/>
        <v>0</v>
      </c>
      <c r="BD325" s="29"/>
    </row>
    <row r="326" spans="1:56" ht="15" customHeight="1" thickBot="1" x14ac:dyDescent="0.25">
      <c r="A326" s="60"/>
      <c r="B326" s="73"/>
      <c r="C326" s="43">
        <v>11582</v>
      </c>
      <c r="D326" s="61">
        <f t="shared" si="858"/>
        <v>31</v>
      </c>
      <c r="E326" s="44">
        <v>1174</v>
      </c>
      <c r="F326" s="44">
        <f t="shared" si="859"/>
        <v>0</v>
      </c>
      <c r="G326" s="44">
        <v>15</v>
      </c>
      <c r="H326" s="44">
        <f t="shared" si="860"/>
        <v>0</v>
      </c>
      <c r="I326" s="62">
        <v>0</v>
      </c>
      <c r="J326" s="47" t="str">
        <f t="shared" si="887"/>
        <v>キティヒョウ柄マスコット</v>
      </c>
      <c r="K326" s="61">
        <f t="shared" si="883"/>
        <v>996</v>
      </c>
      <c r="L326" s="44">
        <f t="shared" si="862"/>
        <v>0</v>
      </c>
      <c r="M326" s="46">
        <f t="shared" si="863"/>
        <v>0</v>
      </c>
      <c r="N326" s="29"/>
      <c r="P326" s="60"/>
      <c r="Q326" s="43">
        <v>11769</v>
      </c>
      <c r="R326" s="61">
        <f t="shared" si="864"/>
        <v>28</v>
      </c>
      <c r="S326" s="44">
        <v>1044</v>
      </c>
      <c r="T326" s="44">
        <f t="shared" si="865"/>
        <v>0</v>
      </c>
      <c r="U326" s="44">
        <v>12</v>
      </c>
      <c r="V326" s="44">
        <f t="shared" si="866"/>
        <v>0</v>
      </c>
      <c r="W326" s="62"/>
      <c r="X326" s="47" t="str">
        <f t="shared" si="884"/>
        <v>ちいかわマスコットポーチ</v>
      </c>
      <c r="Y326" s="61">
        <f t="shared" si="884"/>
        <v>286</v>
      </c>
      <c r="Z326" s="44">
        <f t="shared" si="868"/>
        <v>0</v>
      </c>
      <c r="AA326" s="46">
        <f t="shared" si="869"/>
        <v>0</v>
      </c>
      <c r="AB326" s="29"/>
      <c r="AD326" s="60"/>
      <c r="AE326" s="43">
        <v>13942</v>
      </c>
      <c r="AF326" s="61">
        <f t="shared" si="870"/>
        <v>47</v>
      </c>
      <c r="AG326" s="44">
        <v>1533</v>
      </c>
      <c r="AH326" s="44">
        <f t="shared" si="871"/>
        <v>0</v>
      </c>
      <c r="AI326" s="44">
        <v>14</v>
      </c>
      <c r="AJ326" s="44">
        <f t="shared" si="872"/>
        <v>0</v>
      </c>
      <c r="AK326" s="62">
        <v>0</v>
      </c>
      <c r="AL326" s="47" t="str">
        <f t="shared" si="882"/>
        <v>ラブブマスコット</v>
      </c>
      <c r="AM326" s="61">
        <f t="shared" si="885"/>
        <v>500</v>
      </c>
      <c r="AN326" s="44">
        <f t="shared" si="874"/>
        <v>0</v>
      </c>
      <c r="AO326" s="46">
        <f t="shared" si="875"/>
        <v>0</v>
      </c>
      <c r="AP326" s="29"/>
      <c r="AR326" s="60"/>
      <c r="AS326" s="43">
        <v>10381</v>
      </c>
      <c r="AT326" s="61">
        <f t="shared" si="876"/>
        <v>38</v>
      </c>
      <c r="AU326" s="44">
        <v>793</v>
      </c>
      <c r="AV326" s="44">
        <f t="shared" si="877"/>
        <v>0</v>
      </c>
      <c r="AW326" s="44">
        <v>7</v>
      </c>
      <c r="AX326" s="44">
        <f t="shared" si="878"/>
        <v>0</v>
      </c>
      <c r="AY326" s="62"/>
      <c r="AZ326" s="47" t="str">
        <f t="shared" si="886"/>
        <v>サンリオがま口ポーチ</v>
      </c>
      <c r="BA326" s="61">
        <f t="shared" si="886"/>
        <v>660</v>
      </c>
      <c r="BB326" s="44">
        <f t="shared" si="880"/>
        <v>0</v>
      </c>
      <c r="BC326" s="46">
        <f t="shared" si="881"/>
        <v>0</v>
      </c>
      <c r="BD326" s="29"/>
    </row>
    <row r="327" spans="1:56" ht="15" customHeight="1" thickTop="1" x14ac:dyDescent="0.2">
      <c r="A327" s="49">
        <v>45971</v>
      </c>
      <c r="B327" s="26">
        <f>SUM(D327:D330)+SUM(R327:R330)+SUM(AF327:AF330)+SUM(AT327:AT330)</f>
        <v>832</v>
      </c>
      <c r="C327" s="4">
        <v>14947</v>
      </c>
      <c r="D327" s="4">
        <f t="shared" si="858"/>
        <v>82</v>
      </c>
      <c r="E327" s="4">
        <v>1055</v>
      </c>
      <c r="F327" s="50">
        <f t="shared" si="859"/>
        <v>4</v>
      </c>
      <c r="G327" s="4">
        <v>94</v>
      </c>
      <c r="H327" s="4">
        <f t="shared" si="860"/>
        <v>4</v>
      </c>
      <c r="I327" s="51">
        <v>0</v>
      </c>
      <c r="J327" s="31" t="str">
        <f t="shared" si="887"/>
        <v>アングリーベイビー</v>
      </c>
      <c r="K327" s="27">
        <f t="shared" si="883"/>
        <v>1075</v>
      </c>
      <c r="L327" s="50">
        <f t="shared" si="862"/>
        <v>4300</v>
      </c>
      <c r="M327" s="52">
        <f t="shared" si="863"/>
        <v>0.52439024390243905</v>
      </c>
      <c r="N327" s="29" t="s">
        <v>102</v>
      </c>
      <c r="P327" s="53">
        <f>IF($A327="","",$A327)</f>
        <v>45971</v>
      </c>
      <c r="Q327" s="4">
        <v>14032</v>
      </c>
      <c r="R327" s="68">
        <f t="shared" si="864"/>
        <v>19</v>
      </c>
      <c r="S327" s="4">
        <v>1382</v>
      </c>
      <c r="T327" s="50">
        <f t="shared" si="865"/>
        <v>0</v>
      </c>
      <c r="U327" s="4">
        <v>9</v>
      </c>
      <c r="V327" s="4">
        <f t="shared" si="866"/>
        <v>0</v>
      </c>
      <c r="W327" s="51">
        <v>0</v>
      </c>
      <c r="X327" s="31" t="str">
        <f t="shared" si="884"/>
        <v>キティフェイスポーチ</v>
      </c>
      <c r="Y327" s="27">
        <f t="shared" si="884"/>
        <v>957</v>
      </c>
      <c r="Z327" s="50">
        <f t="shared" si="868"/>
        <v>0</v>
      </c>
      <c r="AA327" s="52">
        <f t="shared" si="869"/>
        <v>0</v>
      </c>
      <c r="AB327" s="29" t="s">
        <v>108</v>
      </c>
      <c r="AD327" s="53">
        <f>IF($A327="","",$A327)</f>
        <v>45971</v>
      </c>
      <c r="AE327" s="4">
        <v>11963</v>
      </c>
      <c r="AF327" s="4">
        <f t="shared" si="870"/>
        <v>71</v>
      </c>
      <c r="AG327" s="4">
        <v>896</v>
      </c>
      <c r="AH327" s="50">
        <f t="shared" si="871"/>
        <v>1</v>
      </c>
      <c r="AI327" s="4">
        <v>8</v>
      </c>
      <c r="AJ327" s="4">
        <f t="shared" si="872"/>
        <v>1</v>
      </c>
      <c r="AK327" s="51">
        <v>1</v>
      </c>
      <c r="AL327" s="31" t="str">
        <f t="shared" si="882"/>
        <v>スンスン髪留め</v>
      </c>
      <c r="AM327" s="27">
        <f t="shared" si="885"/>
        <v>748</v>
      </c>
      <c r="AN327" s="50">
        <f t="shared" si="874"/>
        <v>748</v>
      </c>
      <c r="AO327" s="52">
        <f t="shared" si="875"/>
        <v>0.10535211267605633</v>
      </c>
      <c r="AP327" s="29" t="s">
        <v>103</v>
      </c>
      <c r="AR327" s="53">
        <f>IF($A327="","",$A327)</f>
        <v>45971</v>
      </c>
      <c r="AS327" s="4">
        <v>8620</v>
      </c>
      <c r="AT327" s="68">
        <f t="shared" si="876"/>
        <v>28</v>
      </c>
      <c r="AU327" s="4">
        <v>472</v>
      </c>
      <c r="AV327" s="50">
        <f t="shared" si="877"/>
        <v>0</v>
      </c>
      <c r="AW327" s="4">
        <v>9</v>
      </c>
      <c r="AX327" s="4">
        <f t="shared" si="878"/>
        <v>0</v>
      </c>
      <c r="AY327" s="51">
        <v>0</v>
      </c>
      <c r="AZ327" s="31" t="str">
        <f t="shared" si="886"/>
        <v>デジタルミニカメラ</v>
      </c>
      <c r="BA327" s="27">
        <f t="shared" si="886"/>
        <v>722</v>
      </c>
      <c r="BB327" s="50">
        <f t="shared" si="880"/>
        <v>0</v>
      </c>
      <c r="BC327" s="52">
        <f t="shared" si="881"/>
        <v>0</v>
      </c>
      <c r="BD327" s="29"/>
    </row>
    <row r="328" spans="1:56" ht="15" customHeight="1" x14ac:dyDescent="0.2">
      <c r="A328" s="54"/>
      <c r="B328" s="26"/>
      <c r="C328" s="5">
        <v>16748</v>
      </c>
      <c r="D328" s="48">
        <f t="shared" si="858"/>
        <v>13</v>
      </c>
      <c r="E328" s="5">
        <v>567</v>
      </c>
      <c r="F328" s="5">
        <f t="shared" si="859"/>
        <v>0</v>
      </c>
      <c r="G328" s="5">
        <v>52</v>
      </c>
      <c r="H328" s="5">
        <f t="shared" si="860"/>
        <v>0</v>
      </c>
      <c r="I328" s="35">
        <v>0</v>
      </c>
      <c r="J328" s="38" t="str">
        <f t="shared" si="887"/>
        <v>電ブル</v>
      </c>
      <c r="K328" s="39">
        <f t="shared" si="883"/>
        <v>275</v>
      </c>
      <c r="L328" s="5">
        <f t="shared" si="862"/>
        <v>0</v>
      </c>
      <c r="M328" s="36">
        <f t="shared" si="863"/>
        <v>0</v>
      </c>
      <c r="N328" s="29"/>
      <c r="P328" s="54"/>
      <c r="Q328" s="5">
        <v>13657</v>
      </c>
      <c r="R328" s="5">
        <f t="shared" si="864"/>
        <v>39</v>
      </c>
      <c r="S328" s="5">
        <v>486</v>
      </c>
      <c r="T328" s="5">
        <f t="shared" si="865"/>
        <v>0</v>
      </c>
      <c r="U328" s="5">
        <v>9</v>
      </c>
      <c r="V328" s="5">
        <f t="shared" si="866"/>
        <v>0</v>
      </c>
      <c r="W328" s="35">
        <v>5</v>
      </c>
      <c r="X328" s="38" t="str">
        <f t="shared" si="884"/>
        <v>サンリオミニリュックチャーム付</v>
      </c>
      <c r="Y328" s="39">
        <f t="shared" si="884"/>
        <v>600</v>
      </c>
      <c r="Z328" s="5">
        <f t="shared" si="868"/>
        <v>0</v>
      </c>
      <c r="AA328" s="36">
        <f t="shared" si="869"/>
        <v>0</v>
      </c>
      <c r="AB328" s="29" t="s">
        <v>104</v>
      </c>
      <c r="AD328" s="54"/>
      <c r="AE328" s="5">
        <v>11546</v>
      </c>
      <c r="AF328" s="5">
        <f t="shared" si="870"/>
        <v>44</v>
      </c>
      <c r="AG328" s="5">
        <v>769</v>
      </c>
      <c r="AH328" s="5">
        <f t="shared" si="871"/>
        <v>1</v>
      </c>
      <c r="AI328" s="5">
        <v>18</v>
      </c>
      <c r="AJ328" s="5">
        <f t="shared" si="872"/>
        <v>1</v>
      </c>
      <c r="AK328" s="35">
        <v>0</v>
      </c>
      <c r="AL328" s="38" t="str">
        <f t="shared" si="882"/>
        <v>ジャグラーサウンドフラッシュ</v>
      </c>
      <c r="AM328" s="39">
        <f t="shared" si="885"/>
        <v>748</v>
      </c>
      <c r="AN328" s="5">
        <f t="shared" si="874"/>
        <v>748</v>
      </c>
      <c r="AO328" s="36">
        <f t="shared" si="875"/>
        <v>0.17</v>
      </c>
      <c r="AP328" s="29" t="s">
        <v>109</v>
      </c>
      <c r="AR328" s="54"/>
      <c r="AS328" s="5">
        <v>10158</v>
      </c>
      <c r="AT328" s="48">
        <f t="shared" si="876"/>
        <v>17</v>
      </c>
      <c r="AU328" s="5">
        <v>520</v>
      </c>
      <c r="AV328" s="5">
        <f t="shared" si="877"/>
        <v>0</v>
      </c>
      <c r="AW328" s="5">
        <v>17</v>
      </c>
      <c r="AX328" s="5">
        <f t="shared" si="878"/>
        <v>0</v>
      </c>
      <c r="AY328" s="35">
        <v>-3</v>
      </c>
      <c r="AZ328" s="38" t="str">
        <f t="shared" si="886"/>
        <v>クーリッシュイヤホン</v>
      </c>
      <c r="BA328" s="39">
        <f t="shared" si="886"/>
        <v>1100</v>
      </c>
      <c r="BB328" s="5">
        <f t="shared" si="880"/>
        <v>0</v>
      </c>
      <c r="BC328" s="36">
        <f t="shared" si="881"/>
        <v>0</v>
      </c>
      <c r="BD328" s="29" t="s">
        <v>105</v>
      </c>
    </row>
    <row r="329" spans="1:56" ht="15" customHeight="1" x14ac:dyDescent="0.2">
      <c r="A329" s="54"/>
      <c r="B329" s="37"/>
      <c r="C329" s="58">
        <v>16425</v>
      </c>
      <c r="D329" s="5">
        <f t="shared" si="858"/>
        <v>313</v>
      </c>
      <c r="E329" s="5">
        <v>598</v>
      </c>
      <c r="F329" s="5">
        <f t="shared" si="859"/>
        <v>3</v>
      </c>
      <c r="G329" s="58">
        <v>21</v>
      </c>
      <c r="H329" s="5">
        <f t="shared" si="860"/>
        <v>3</v>
      </c>
      <c r="I329" s="59">
        <v>5</v>
      </c>
      <c r="J329" s="38" t="str">
        <f t="shared" si="887"/>
        <v>ラブブキーホルダー</v>
      </c>
      <c r="K329" s="5">
        <f t="shared" si="883"/>
        <v>500</v>
      </c>
      <c r="L329" s="5">
        <f t="shared" si="862"/>
        <v>1500</v>
      </c>
      <c r="M329" s="36">
        <f t="shared" si="863"/>
        <v>4.7923322683706068E-2</v>
      </c>
      <c r="N329" s="29"/>
      <c r="P329" s="54"/>
      <c r="Q329" s="58">
        <v>13716</v>
      </c>
      <c r="R329" s="48">
        <f t="shared" si="864"/>
        <v>15</v>
      </c>
      <c r="S329" s="5">
        <v>906</v>
      </c>
      <c r="T329" s="5">
        <f t="shared" si="865"/>
        <v>0</v>
      </c>
      <c r="U329" s="58">
        <v>83</v>
      </c>
      <c r="V329" s="5">
        <f t="shared" si="866"/>
        <v>0</v>
      </c>
      <c r="W329" s="59">
        <v>0</v>
      </c>
      <c r="X329" s="38" t="str">
        <f t="shared" si="884"/>
        <v>AIラバー</v>
      </c>
      <c r="Y329" s="5">
        <f t="shared" si="884"/>
        <v>198</v>
      </c>
      <c r="Z329" s="5">
        <f t="shared" si="868"/>
        <v>0</v>
      </c>
      <c r="AA329" s="36">
        <f t="shared" si="869"/>
        <v>0</v>
      </c>
      <c r="AB329" s="29"/>
      <c r="AD329" s="54"/>
      <c r="AE329" s="58">
        <v>14367</v>
      </c>
      <c r="AF329" s="48">
        <f t="shared" si="870"/>
        <v>17</v>
      </c>
      <c r="AG329" s="5">
        <v>2389</v>
      </c>
      <c r="AH329" s="5">
        <f t="shared" si="871"/>
        <v>0</v>
      </c>
      <c r="AI329" s="58">
        <v>11</v>
      </c>
      <c r="AJ329" s="5">
        <f t="shared" si="872"/>
        <v>0</v>
      </c>
      <c r="AK329" s="59">
        <v>0</v>
      </c>
      <c r="AL329" s="38" t="str">
        <f t="shared" si="882"/>
        <v>サンリオがま口財布</v>
      </c>
      <c r="AM329" s="5">
        <f t="shared" si="885"/>
        <v>700</v>
      </c>
      <c r="AN329" s="5">
        <f t="shared" si="874"/>
        <v>0</v>
      </c>
      <c r="AO329" s="36">
        <f t="shared" si="875"/>
        <v>0</v>
      </c>
      <c r="AP329" s="29"/>
      <c r="AR329" s="54"/>
      <c r="AS329" s="58">
        <v>12522</v>
      </c>
      <c r="AT329" s="48">
        <f t="shared" si="876"/>
        <v>10</v>
      </c>
      <c r="AU329" s="5">
        <v>734</v>
      </c>
      <c r="AV329" s="5">
        <f t="shared" si="877"/>
        <v>1</v>
      </c>
      <c r="AW329" s="58">
        <v>15</v>
      </c>
      <c r="AX329" s="5">
        <f t="shared" si="878"/>
        <v>1</v>
      </c>
      <c r="AY329" s="59">
        <v>-1</v>
      </c>
      <c r="AZ329" s="38" t="str">
        <f t="shared" si="886"/>
        <v>モンチッチマスコット</v>
      </c>
      <c r="BA329" s="5">
        <f t="shared" si="886"/>
        <v>528</v>
      </c>
      <c r="BB329" s="5">
        <f t="shared" si="880"/>
        <v>528</v>
      </c>
      <c r="BC329" s="36">
        <f t="shared" si="881"/>
        <v>0.52800000000000002</v>
      </c>
      <c r="BD329" s="29" t="s">
        <v>61</v>
      </c>
    </row>
    <row r="330" spans="1:56" ht="15" customHeight="1" thickBot="1" x14ac:dyDescent="0.25">
      <c r="A330" s="60"/>
      <c r="B330" s="73"/>
      <c r="C330" s="44">
        <v>11639</v>
      </c>
      <c r="D330" s="61">
        <f t="shared" si="858"/>
        <v>57</v>
      </c>
      <c r="E330" s="44">
        <v>1175</v>
      </c>
      <c r="F330" s="44">
        <f t="shared" si="859"/>
        <v>1</v>
      </c>
      <c r="G330" s="44">
        <v>14</v>
      </c>
      <c r="H330" s="44">
        <f t="shared" si="860"/>
        <v>1</v>
      </c>
      <c r="I330" s="62">
        <v>0</v>
      </c>
      <c r="J330" s="47" t="str">
        <f>IF(C330="","",J326)</f>
        <v>キティヒョウ柄マスコット</v>
      </c>
      <c r="K330" s="61">
        <f t="shared" si="883"/>
        <v>996</v>
      </c>
      <c r="L330" s="44">
        <f t="shared" si="862"/>
        <v>996</v>
      </c>
      <c r="M330" s="46">
        <f t="shared" si="863"/>
        <v>0.17473684210526316</v>
      </c>
      <c r="N330" s="29" t="s">
        <v>107</v>
      </c>
      <c r="P330" s="60"/>
      <c r="Q330" s="44">
        <v>11813</v>
      </c>
      <c r="R330" s="61">
        <f t="shared" si="864"/>
        <v>44</v>
      </c>
      <c r="S330" s="44">
        <v>1044</v>
      </c>
      <c r="T330" s="44">
        <f t="shared" si="865"/>
        <v>0</v>
      </c>
      <c r="U330" s="44">
        <v>12</v>
      </c>
      <c r="V330" s="44">
        <f t="shared" si="866"/>
        <v>0</v>
      </c>
      <c r="W330" s="62">
        <v>0</v>
      </c>
      <c r="X330" s="47" t="str">
        <f>IF(Q330="","",X326)</f>
        <v>ちいかわマスコットポーチ</v>
      </c>
      <c r="Y330" s="61">
        <f t="shared" si="884"/>
        <v>286</v>
      </c>
      <c r="Z330" s="44">
        <f t="shared" si="868"/>
        <v>0</v>
      </c>
      <c r="AA330" s="46">
        <f t="shared" si="869"/>
        <v>0</v>
      </c>
      <c r="AB330" s="29" t="s">
        <v>106</v>
      </c>
      <c r="AD330" s="60"/>
      <c r="AE330" s="44">
        <v>13993</v>
      </c>
      <c r="AF330" s="61">
        <f t="shared" si="870"/>
        <v>51</v>
      </c>
      <c r="AG330" s="44">
        <v>1535</v>
      </c>
      <c r="AH330" s="44">
        <f t="shared" si="871"/>
        <v>2</v>
      </c>
      <c r="AI330" s="44">
        <v>13</v>
      </c>
      <c r="AJ330" s="44">
        <f t="shared" si="872"/>
        <v>1</v>
      </c>
      <c r="AK330" s="62">
        <v>2</v>
      </c>
      <c r="AL330" s="47" t="str">
        <f>IF(AE330="","",AL326)</f>
        <v>ラブブマスコット</v>
      </c>
      <c r="AM330" s="61">
        <f t="shared" si="885"/>
        <v>500</v>
      </c>
      <c r="AN330" s="44">
        <f t="shared" si="874"/>
        <v>500</v>
      </c>
      <c r="AO330" s="46">
        <f t="shared" si="875"/>
        <v>9.8039215686274508E-2</v>
      </c>
      <c r="AP330" s="29"/>
      <c r="AR330" s="60"/>
      <c r="AS330" s="44">
        <v>10393</v>
      </c>
      <c r="AT330" s="74">
        <f t="shared" si="876"/>
        <v>12</v>
      </c>
      <c r="AU330" s="44">
        <v>794</v>
      </c>
      <c r="AV330" s="44">
        <f t="shared" si="877"/>
        <v>1</v>
      </c>
      <c r="AW330" s="44">
        <v>6</v>
      </c>
      <c r="AX330" s="44">
        <f t="shared" si="878"/>
        <v>1</v>
      </c>
      <c r="AY330" s="62">
        <v>0</v>
      </c>
      <c r="AZ330" s="47" t="str">
        <f>IF(AS330="","",AZ326)</f>
        <v>サンリオがま口ポーチ</v>
      </c>
      <c r="BA330" s="61">
        <f t="shared" si="886"/>
        <v>660</v>
      </c>
      <c r="BB330" s="44">
        <f t="shared" si="880"/>
        <v>660</v>
      </c>
      <c r="BC330" s="46">
        <f t="shared" si="881"/>
        <v>0.55000000000000004</v>
      </c>
      <c r="BD330" s="29"/>
    </row>
    <row r="331" spans="1:56" ht="15" customHeight="1" thickTop="1" x14ac:dyDescent="0.2">
      <c r="A331" s="49">
        <v>45975</v>
      </c>
      <c r="B331" s="26" t="e">
        <f>SUM(D331:D334)+SUM(R331:R334)+SUM(AF331:AF334)+SUM(AT331:AT334)+#REF!</f>
        <v>#REF!</v>
      </c>
      <c r="C331" s="4">
        <v>15014</v>
      </c>
      <c r="D331" s="4">
        <f t="shared" si="858"/>
        <v>67</v>
      </c>
      <c r="E331" s="4">
        <v>1057</v>
      </c>
      <c r="F331" s="50">
        <f t="shared" si="859"/>
        <v>2</v>
      </c>
      <c r="G331" s="4">
        <v>92</v>
      </c>
      <c r="H331" s="4">
        <f t="shared" si="860"/>
        <v>2</v>
      </c>
      <c r="I331" s="51">
        <v>10</v>
      </c>
      <c r="J331" s="31" t="str">
        <f t="shared" ref="J331:J354" si="888">IF(C331="","",J327)</f>
        <v>アングリーベイビー</v>
      </c>
      <c r="K331" s="27">
        <f t="shared" si="883"/>
        <v>1075</v>
      </c>
      <c r="L331" s="50">
        <f t="shared" si="862"/>
        <v>2150</v>
      </c>
      <c r="M331" s="52">
        <f t="shared" si="863"/>
        <v>0.32089552238805968</v>
      </c>
      <c r="N331" s="29"/>
      <c r="P331" s="53">
        <f>IF($A331="","",$A331)</f>
        <v>45975</v>
      </c>
      <c r="Q331" s="4">
        <v>14073</v>
      </c>
      <c r="R331" s="4">
        <f t="shared" si="864"/>
        <v>41</v>
      </c>
      <c r="S331" s="4">
        <v>1382</v>
      </c>
      <c r="T331" s="50">
        <f t="shared" si="865"/>
        <v>0</v>
      </c>
      <c r="U331" s="4">
        <v>9</v>
      </c>
      <c r="V331" s="4">
        <f t="shared" si="866"/>
        <v>0</v>
      </c>
      <c r="W331" s="51">
        <v>0</v>
      </c>
      <c r="X331" s="31" t="str">
        <f t="shared" ref="X331:Y338" si="889">IF(Q331="","",X327)</f>
        <v>キティフェイスポーチ</v>
      </c>
      <c r="Y331" s="27">
        <f t="shared" si="884"/>
        <v>957</v>
      </c>
      <c r="Z331" s="50">
        <f t="shared" si="868"/>
        <v>0</v>
      </c>
      <c r="AA331" s="52">
        <f t="shared" si="869"/>
        <v>0</v>
      </c>
      <c r="AB331" s="29"/>
      <c r="AD331" s="53">
        <f>IF($A331="","",$A331)</f>
        <v>45975</v>
      </c>
      <c r="AE331" s="4">
        <v>11983</v>
      </c>
      <c r="AF331" s="4">
        <f t="shared" si="870"/>
        <v>20</v>
      </c>
      <c r="AG331" s="4">
        <v>896</v>
      </c>
      <c r="AH331" s="50">
        <f t="shared" si="871"/>
        <v>0</v>
      </c>
      <c r="AI331" s="4">
        <v>9</v>
      </c>
      <c r="AJ331" s="4">
        <f t="shared" si="872"/>
        <v>0</v>
      </c>
      <c r="AK331" s="51">
        <v>0</v>
      </c>
      <c r="AL331" s="31" t="str">
        <f t="shared" ref="AL331:AL338" si="890">IF(AE331="","",AL327)</f>
        <v>スンスン髪留め</v>
      </c>
      <c r="AM331" s="27">
        <f t="shared" si="885"/>
        <v>748</v>
      </c>
      <c r="AN331" s="50">
        <f t="shared" si="874"/>
        <v>0</v>
      </c>
      <c r="AO331" s="52">
        <f t="shared" si="875"/>
        <v>0</v>
      </c>
      <c r="AP331" s="29"/>
      <c r="AR331" s="53">
        <f>IF($A331="","",$A331)</f>
        <v>45975</v>
      </c>
      <c r="AS331" s="4">
        <v>8654</v>
      </c>
      <c r="AT331" s="4">
        <f t="shared" si="876"/>
        <v>34</v>
      </c>
      <c r="AU331" s="4">
        <v>472</v>
      </c>
      <c r="AV331" s="50">
        <f t="shared" si="877"/>
        <v>0</v>
      </c>
      <c r="AW331" s="4">
        <v>9</v>
      </c>
      <c r="AX331" s="4">
        <f t="shared" si="878"/>
        <v>0</v>
      </c>
      <c r="AY331" s="51">
        <v>0</v>
      </c>
      <c r="AZ331" s="31" t="str">
        <f t="shared" ref="AZ331:BA338" si="891">IF(AS331="","",AZ327)</f>
        <v>デジタルミニカメラ</v>
      </c>
      <c r="BA331" s="27">
        <f t="shared" si="886"/>
        <v>722</v>
      </c>
      <c r="BB331" s="50">
        <f t="shared" si="880"/>
        <v>0</v>
      </c>
      <c r="BC331" s="52">
        <f t="shared" si="881"/>
        <v>0</v>
      </c>
      <c r="BD331" s="29"/>
    </row>
    <row r="332" spans="1:56" ht="15" customHeight="1" x14ac:dyDescent="0.2">
      <c r="A332" s="54"/>
      <c r="B332" s="26"/>
      <c r="C332" s="4">
        <v>16792</v>
      </c>
      <c r="D332" s="5">
        <f t="shared" si="858"/>
        <v>44</v>
      </c>
      <c r="E332" s="5">
        <v>567</v>
      </c>
      <c r="F332" s="5">
        <f t="shared" si="859"/>
        <v>0</v>
      </c>
      <c r="G332" s="5">
        <v>52</v>
      </c>
      <c r="H332" s="5">
        <f t="shared" si="860"/>
        <v>0</v>
      </c>
      <c r="I332" s="35">
        <v>0</v>
      </c>
      <c r="J332" s="38" t="str">
        <f t="shared" si="888"/>
        <v>電ブル</v>
      </c>
      <c r="K332" s="39">
        <f t="shared" si="883"/>
        <v>275</v>
      </c>
      <c r="L332" s="5">
        <f t="shared" si="862"/>
        <v>0</v>
      </c>
      <c r="M332" s="36">
        <f t="shared" si="863"/>
        <v>0</v>
      </c>
      <c r="N332" s="29"/>
      <c r="P332" s="54"/>
      <c r="Q332" s="4">
        <v>13667</v>
      </c>
      <c r="R332" s="5">
        <f t="shared" si="864"/>
        <v>10</v>
      </c>
      <c r="S332" s="5">
        <v>486</v>
      </c>
      <c r="T332" s="5">
        <f t="shared" si="865"/>
        <v>0</v>
      </c>
      <c r="U332" s="5">
        <v>14</v>
      </c>
      <c r="V332" s="5">
        <f t="shared" si="866"/>
        <v>0</v>
      </c>
      <c r="W332" s="35">
        <v>0</v>
      </c>
      <c r="X332" s="38" t="str">
        <f t="shared" si="889"/>
        <v>サンリオミニリュックチャーム付</v>
      </c>
      <c r="Y332" s="39">
        <f t="shared" si="884"/>
        <v>600</v>
      </c>
      <c r="Z332" s="5">
        <f t="shared" si="868"/>
        <v>0</v>
      </c>
      <c r="AA332" s="36">
        <f t="shared" si="869"/>
        <v>0</v>
      </c>
      <c r="AB332" s="29"/>
      <c r="AD332" s="54"/>
      <c r="AE332" s="4">
        <v>11580</v>
      </c>
      <c r="AF332" s="5">
        <f t="shared" si="870"/>
        <v>34</v>
      </c>
      <c r="AG332" s="5">
        <v>769</v>
      </c>
      <c r="AH332" s="5">
        <f t="shared" si="871"/>
        <v>0</v>
      </c>
      <c r="AI332" s="5">
        <v>18</v>
      </c>
      <c r="AJ332" s="5">
        <f t="shared" si="872"/>
        <v>0</v>
      </c>
      <c r="AK332" s="35">
        <v>0</v>
      </c>
      <c r="AL332" s="38" t="str">
        <f t="shared" si="890"/>
        <v>ジャグラーサウンドフラッシュ</v>
      </c>
      <c r="AM332" s="39">
        <f t="shared" si="885"/>
        <v>748</v>
      </c>
      <c r="AN332" s="5">
        <f t="shared" si="874"/>
        <v>0</v>
      </c>
      <c r="AO332" s="36">
        <f t="shared" si="875"/>
        <v>0</v>
      </c>
      <c r="AP332" s="29"/>
      <c r="AR332" s="54"/>
      <c r="AS332" s="4">
        <v>10171</v>
      </c>
      <c r="AT332" s="5">
        <f t="shared" si="876"/>
        <v>13</v>
      </c>
      <c r="AU332" s="5">
        <v>520</v>
      </c>
      <c r="AV332" s="5">
        <f t="shared" si="877"/>
        <v>0</v>
      </c>
      <c r="AW332" s="5">
        <v>14</v>
      </c>
      <c r="AX332" s="5">
        <f t="shared" si="878"/>
        <v>0</v>
      </c>
      <c r="AY332" s="35">
        <v>0</v>
      </c>
      <c r="AZ332" s="38" t="s">
        <v>110</v>
      </c>
      <c r="BA332" s="39">
        <f t="shared" si="886"/>
        <v>1100</v>
      </c>
      <c r="BB332" s="5">
        <f t="shared" si="880"/>
        <v>0</v>
      </c>
      <c r="BC332" s="36">
        <f t="shared" si="881"/>
        <v>0</v>
      </c>
      <c r="BD332" s="29"/>
    </row>
    <row r="333" spans="1:56" ht="15" customHeight="1" x14ac:dyDescent="0.2">
      <c r="A333" s="54"/>
      <c r="B333" s="37"/>
      <c r="C333" s="57">
        <v>16482</v>
      </c>
      <c r="D333" s="5">
        <f t="shared" si="858"/>
        <v>57</v>
      </c>
      <c r="E333" s="5">
        <v>599</v>
      </c>
      <c r="F333" s="5">
        <f t="shared" si="859"/>
        <v>1</v>
      </c>
      <c r="G333" s="5">
        <v>25</v>
      </c>
      <c r="H333" s="5">
        <f t="shared" si="860"/>
        <v>1</v>
      </c>
      <c r="I333" s="35">
        <v>0</v>
      </c>
      <c r="J333" s="38" t="str">
        <f t="shared" si="888"/>
        <v>ラブブキーホルダー</v>
      </c>
      <c r="K333" s="5">
        <f t="shared" si="883"/>
        <v>500</v>
      </c>
      <c r="L333" s="5">
        <f t="shared" si="862"/>
        <v>500</v>
      </c>
      <c r="M333" s="36">
        <f t="shared" si="863"/>
        <v>8.771929824561403E-2</v>
      </c>
      <c r="N333" s="29"/>
      <c r="P333" s="54"/>
      <c r="Q333" s="57">
        <v>13759</v>
      </c>
      <c r="R333" s="5">
        <f t="shared" si="864"/>
        <v>43</v>
      </c>
      <c r="S333" s="5">
        <v>907</v>
      </c>
      <c r="T333" s="5">
        <f t="shared" si="865"/>
        <v>1</v>
      </c>
      <c r="U333" s="5">
        <v>82</v>
      </c>
      <c r="V333" s="5">
        <f t="shared" si="866"/>
        <v>1</v>
      </c>
      <c r="W333" s="35">
        <v>0</v>
      </c>
      <c r="X333" s="38" t="str">
        <f t="shared" si="889"/>
        <v>AIラバー</v>
      </c>
      <c r="Y333" s="5">
        <f t="shared" si="884"/>
        <v>198</v>
      </c>
      <c r="Z333" s="5">
        <f t="shared" si="868"/>
        <v>198</v>
      </c>
      <c r="AA333" s="36">
        <f t="shared" si="869"/>
        <v>4.6046511627906975E-2</v>
      </c>
      <c r="AB333" s="29"/>
      <c r="AD333" s="54"/>
      <c r="AE333" s="57">
        <v>14383</v>
      </c>
      <c r="AF333" s="5">
        <f t="shared" si="870"/>
        <v>16</v>
      </c>
      <c r="AG333" s="5">
        <v>2389</v>
      </c>
      <c r="AH333" s="5">
        <f t="shared" si="871"/>
        <v>0</v>
      </c>
      <c r="AI333" s="5">
        <v>11</v>
      </c>
      <c r="AJ333" s="5">
        <f t="shared" si="872"/>
        <v>0</v>
      </c>
      <c r="AK333" s="35">
        <v>0</v>
      </c>
      <c r="AL333" s="38" t="str">
        <f t="shared" si="890"/>
        <v>サンリオがま口財布</v>
      </c>
      <c r="AM333" s="5">
        <f t="shared" si="885"/>
        <v>700</v>
      </c>
      <c r="AN333" s="5">
        <f t="shared" si="874"/>
        <v>0</v>
      </c>
      <c r="AO333" s="36">
        <f t="shared" si="875"/>
        <v>0</v>
      </c>
      <c r="AP333" s="29"/>
      <c r="AR333" s="54"/>
      <c r="AS333" s="57">
        <v>12531</v>
      </c>
      <c r="AT333" s="5">
        <f t="shared" si="876"/>
        <v>9</v>
      </c>
      <c r="AU333" s="5">
        <v>734</v>
      </c>
      <c r="AV333" s="5">
        <f t="shared" si="877"/>
        <v>0</v>
      </c>
      <c r="AW333" s="5">
        <v>14</v>
      </c>
      <c r="AX333" s="5">
        <f t="shared" si="878"/>
        <v>0</v>
      </c>
      <c r="AY333" s="35">
        <v>0</v>
      </c>
      <c r="AZ333" s="38" t="s">
        <v>61</v>
      </c>
      <c r="BA333" s="5">
        <f t="shared" si="886"/>
        <v>528</v>
      </c>
      <c r="BB333" s="5">
        <f t="shared" si="880"/>
        <v>0</v>
      </c>
      <c r="BC333" s="36">
        <f t="shared" si="881"/>
        <v>0</v>
      </c>
      <c r="BD333" s="29"/>
    </row>
    <row r="334" spans="1:56" ht="15" customHeight="1" thickBot="1" x14ac:dyDescent="0.25">
      <c r="A334" s="60"/>
      <c r="B334" s="73"/>
      <c r="C334" s="43">
        <v>11685</v>
      </c>
      <c r="D334" s="61">
        <f t="shared" si="858"/>
        <v>46</v>
      </c>
      <c r="E334" s="44">
        <v>1175</v>
      </c>
      <c r="F334" s="44">
        <f t="shared" si="859"/>
        <v>0</v>
      </c>
      <c r="G334" s="44">
        <v>14</v>
      </c>
      <c r="H334" s="44">
        <f t="shared" si="860"/>
        <v>0</v>
      </c>
      <c r="I334" s="62">
        <v>0</v>
      </c>
      <c r="J334" s="47" t="str">
        <f t="shared" si="888"/>
        <v>キティヒョウ柄マスコット</v>
      </c>
      <c r="K334" s="61">
        <f t="shared" si="883"/>
        <v>996</v>
      </c>
      <c r="L334" s="44">
        <f t="shared" si="862"/>
        <v>0</v>
      </c>
      <c r="M334" s="46">
        <f t="shared" si="863"/>
        <v>0</v>
      </c>
      <c r="N334" s="29"/>
      <c r="P334" s="60"/>
      <c r="Q334" s="43">
        <v>11839</v>
      </c>
      <c r="R334" s="61">
        <f t="shared" si="864"/>
        <v>26</v>
      </c>
      <c r="S334" s="44">
        <v>1044</v>
      </c>
      <c r="T334" s="44">
        <f t="shared" si="865"/>
        <v>0</v>
      </c>
      <c r="U334" s="44">
        <v>12</v>
      </c>
      <c r="V334" s="44">
        <f t="shared" si="866"/>
        <v>0</v>
      </c>
      <c r="W334" s="62">
        <v>0</v>
      </c>
      <c r="X334" s="47" t="str">
        <f t="shared" si="889"/>
        <v>ちいかわマスコットポーチ</v>
      </c>
      <c r="Y334" s="61">
        <f t="shared" si="884"/>
        <v>286</v>
      </c>
      <c r="Z334" s="44">
        <f t="shared" si="868"/>
        <v>0</v>
      </c>
      <c r="AA334" s="46">
        <f t="shared" si="869"/>
        <v>0</v>
      </c>
      <c r="AB334" s="29"/>
      <c r="AD334" s="60"/>
      <c r="AE334" s="43">
        <v>14104</v>
      </c>
      <c r="AF334" s="61">
        <f t="shared" si="870"/>
        <v>111</v>
      </c>
      <c r="AG334" s="44">
        <v>1537</v>
      </c>
      <c r="AH334" s="44">
        <f t="shared" si="871"/>
        <v>2</v>
      </c>
      <c r="AI334" s="44">
        <v>13</v>
      </c>
      <c r="AJ334" s="44">
        <f t="shared" si="872"/>
        <v>2</v>
      </c>
      <c r="AK334" s="62">
        <v>5</v>
      </c>
      <c r="AL334" s="47" t="str">
        <f t="shared" si="890"/>
        <v>ラブブマスコット</v>
      </c>
      <c r="AM334" s="61">
        <f t="shared" si="885"/>
        <v>500</v>
      </c>
      <c r="AN334" s="44">
        <f t="shared" si="874"/>
        <v>1000</v>
      </c>
      <c r="AO334" s="46">
        <f t="shared" si="875"/>
        <v>9.0090090090090086E-2</v>
      </c>
      <c r="AP334" s="29"/>
      <c r="AR334" s="60"/>
      <c r="AS334" s="43">
        <v>10394</v>
      </c>
      <c r="AT334" s="61">
        <f t="shared" si="876"/>
        <v>1</v>
      </c>
      <c r="AU334" s="44">
        <v>794</v>
      </c>
      <c r="AV334" s="44">
        <f t="shared" si="877"/>
        <v>0</v>
      </c>
      <c r="AW334" s="44">
        <v>6</v>
      </c>
      <c r="AX334" s="44">
        <f t="shared" si="878"/>
        <v>0</v>
      </c>
      <c r="AY334" s="62">
        <v>0</v>
      </c>
      <c r="AZ334" s="47" t="str">
        <f t="shared" si="891"/>
        <v>サンリオがま口ポーチ</v>
      </c>
      <c r="BA334" s="61">
        <f t="shared" si="886"/>
        <v>660</v>
      </c>
      <c r="BB334" s="44">
        <f t="shared" si="880"/>
        <v>0</v>
      </c>
      <c r="BC334" s="46">
        <f t="shared" si="881"/>
        <v>0</v>
      </c>
      <c r="BD334" s="29"/>
    </row>
    <row r="335" spans="1:56" ht="15" customHeight="1" thickTop="1" x14ac:dyDescent="0.2">
      <c r="A335" s="131">
        <v>45980</v>
      </c>
      <c r="B335" s="26" t="e">
        <f>SUM(D335:D338)+SUM(R335:R338)+SUM(AF335:AF338)+SUM(AT335:AT338)+#REF!</f>
        <v>#REF!</v>
      </c>
      <c r="C335" s="4">
        <v>15060</v>
      </c>
      <c r="D335" s="4">
        <f t="shared" si="858"/>
        <v>46</v>
      </c>
      <c r="E335" s="4">
        <v>1058</v>
      </c>
      <c r="F335" s="50">
        <f t="shared" si="859"/>
        <v>1</v>
      </c>
      <c r="G335" s="4">
        <v>100</v>
      </c>
      <c r="H335" s="4">
        <f t="shared" si="860"/>
        <v>2</v>
      </c>
      <c r="I335" s="51"/>
      <c r="J335" s="31" t="str">
        <f t="shared" si="888"/>
        <v>アングリーベイビー</v>
      </c>
      <c r="K335" s="27">
        <f t="shared" si="883"/>
        <v>1075</v>
      </c>
      <c r="L335" s="50">
        <f t="shared" si="862"/>
        <v>2150</v>
      </c>
      <c r="M335" s="52">
        <f t="shared" si="863"/>
        <v>0.46739130434782611</v>
      </c>
      <c r="N335" s="29"/>
      <c r="P335" s="53">
        <f>IF($A335="","",$A335)</f>
        <v>45980</v>
      </c>
      <c r="Q335" s="4">
        <v>14151</v>
      </c>
      <c r="R335" s="4">
        <f t="shared" si="864"/>
        <v>78</v>
      </c>
      <c r="S335" s="4">
        <v>1384</v>
      </c>
      <c r="T335" s="50">
        <f t="shared" si="865"/>
        <v>2</v>
      </c>
      <c r="U335" s="4">
        <v>7</v>
      </c>
      <c r="V335" s="4">
        <f t="shared" si="866"/>
        <v>2</v>
      </c>
      <c r="W335" s="51">
        <v>2</v>
      </c>
      <c r="X335" s="31" t="str">
        <f t="shared" si="889"/>
        <v>キティフェイスポーチ</v>
      </c>
      <c r="Y335" s="27">
        <f t="shared" si="889"/>
        <v>957</v>
      </c>
      <c r="Z335" s="50">
        <f t="shared" si="868"/>
        <v>1914</v>
      </c>
      <c r="AA335" s="52">
        <f t="shared" si="869"/>
        <v>0.2453846153846154</v>
      </c>
      <c r="AB335" s="29"/>
      <c r="AD335" s="53">
        <f>IF($A335="","",$A335)</f>
        <v>45980</v>
      </c>
      <c r="AE335" s="4">
        <v>12015</v>
      </c>
      <c r="AF335" s="4">
        <f t="shared" si="870"/>
        <v>32</v>
      </c>
      <c r="AG335" s="4">
        <v>896</v>
      </c>
      <c r="AH335" s="50">
        <f t="shared" si="871"/>
        <v>0</v>
      </c>
      <c r="AI335" s="4">
        <v>9</v>
      </c>
      <c r="AJ335" s="4">
        <f t="shared" si="872"/>
        <v>0</v>
      </c>
      <c r="AK335" s="51">
        <v>0</v>
      </c>
      <c r="AL335" s="31" t="str">
        <f t="shared" si="890"/>
        <v>スンスン髪留め</v>
      </c>
      <c r="AM335" s="27">
        <f t="shared" si="885"/>
        <v>748</v>
      </c>
      <c r="AN335" s="50">
        <f t="shared" si="874"/>
        <v>0</v>
      </c>
      <c r="AO335" s="52">
        <f t="shared" si="875"/>
        <v>0</v>
      </c>
      <c r="AP335" s="29"/>
      <c r="AR335" s="53">
        <f>IF($A335="","",$A335)</f>
        <v>45980</v>
      </c>
      <c r="AS335" s="4">
        <v>8705</v>
      </c>
      <c r="AT335" s="4">
        <f t="shared" si="876"/>
        <v>51</v>
      </c>
      <c r="AU335" s="4">
        <v>473</v>
      </c>
      <c r="AV335" s="50">
        <f t="shared" si="877"/>
        <v>1</v>
      </c>
      <c r="AW335" s="4">
        <v>8</v>
      </c>
      <c r="AX335" s="4">
        <f t="shared" si="878"/>
        <v>1</v>
      </c>
      <c r="AY335" s="51">
        <v>0</v>
      </c>
      <c r="AZ335" s="31" t="str">
        <f t="shared" si="891"/>
        <v>デジタルミニカメラ</v>
      </c>
      <c r="BA335" s="27">
        <f t="shared" si="891"/>
        <v>722</v>
      </c>
      <c r="BB335" s="50">
        <f t="shared" si="880"/>
        <v>722</v>
      </c>
      <c r="BC335" s="52">
        <f t="shared" si="881"/>
        <v>0.14156862745098039</v>
      </c>
      <c r="BD335" s="29"/>
    </row>
    <row r="336" spans="1:56" ht="15" customHeight="1" x14ac:dyDescent="0.2">
      <c r="A336" s="54"/>
      <c r="B336" s="37"/>
      <c r="C336" s="5">
        <v>16863</v>
      </c>
      <c r="D336" s="5">
        <f t="shared" si="858"/>
        <v>71</v>
      </c>
      <c r="E336" s="5">
        <v>570</v>
      </c>
      <c r="F336" s="5">
        <f t="shared" si="859"/>
        <v>3</v>
      </c>
      <c r="G336" s="5">
        <v>49</v>
      </c>
      <c r="H336" s="5">
        <f t="shared" si="860"/>
        <v>3</v>
      </c>
      <c r="I336" s="35"/>
      <c r="J336" s="38" t="str">
        <f t="shared" si="888"/>
        <v>電ブル</v>
      </c>
      <c r="K336" s="39">
        <f t="shared" si="883"/>
        <v>275</v>
      </c>
      <c r="L336" s="5">
        <f t="shared" si="862"/>
        <v>825</v>
      </c>
      <c r="M336" s="36">
        <f t="shared" si="863"/>
        <v>0.11619718309859155</v>
      </c>
      <c r="N336" s="29"/>
      <c r="P336" s="54"/>
      <c r="Q336" s="5">
        <v>13758</v>
      </c>
      <c r="R336" s="5">
        <f t="shared" si="864"/>
        <v>91</v>
      </c>
      <c r="S336" s="5">
        <v>488</v>
      </c>
      <c r="T336" s="5">
        <f t="shared" si="865"/>
        <v>2</v>
      </c>
      <c r="U336" s="5">
        <v>12</v>
      </c>
      <c r="V336" s="5">
        <f t="shared" si="866"/>
        <v>2</v>
      </c>
      <c r="W336" s="35">
        <v>0</v>
      </c>
      <c r="X336" s="38" t="str">
        <f t="shared" si="889"/>
        <v>サンリオミニリュックチャーム付</v>
      </c>
      <c r="Y336" s="39">
        <f t="shared" si="889"/>
        <v>600</v>
      </c>
      <c r="Z336" s="5">
        <f t="shared" si="868"/>
        <v>1200</v>
      </c>
      <c r="AA336" s="36">
        <f t="shared" si="869"/>
        <v>0.13186813186813187</v>
      </c>
      <c r="AB336" s="29"/>
      <c r="AD336" s="54"/>
      <c r="AE336" s="5">
        <v>11605</v>
      </c>
      <c r="AF336" s="5">
        <f t="shared" si="870"/>
        <v>25</v>
      </c>
      <c r="AG336" s="5">
        <v>769</v>
      </c>
      <c r="AH336" s="5">
        <f t="shared" si="871"/>
        <v>0</v>
      </c>
      <c r="AI336" s="5">
        <v>18</v>
      </c>
      <c r="AJ336" s="5">
        <f t="shared" si="872"/>
        <v>0</v>
      </c>
      <c r="AK336" s="35">
        <v>0</v>
      </c>
      <c r="AL336" s="38" t="str">
        <f t="shared" si="890"/>
        <v>ジャグラーサウンドフラッシュ</v>
      </c>
      <c r="AM336" s="39">
        <f t="shared" si="885"/>
        <v>748</v>
      </c>
      <c r="AN336" s="5">
        <f t="shared" si="874"/>
        <v>0</v>
      </c>
      <c r="AO336" s="36">
        <f t="shared" si="875"/>
        <v>0</v>
      </c>
      <c r="AP336" s="29"/>
      <c r="AR336" s="54"/>
      <c r="AS336" s="5">
        <v>10200</v>
      </c>
      <c r="AT336" s="5">
        <f t="shared" si="876"/>
        <v>29</v>
      </c>
      <c r="AU336" s="5">
        <v>520</v>
      </c>
      <c r="AV336" s="5">
        <f t="shared" si="877"/>
        <v>0</v>
      </c>
      <c r="AW336" s="5">
        <v>14</v>
      </c>
      <c r="AX336" s="5">
        <f t="shared" si="878"/>
        <v>0</v>
      </c>
      <c r="AY336" s="35">
        <v>0</v>
      </c>
      <c r="AZ336" s="38" t="str">
        <f t="shared" si="891"/>
        <v>押忍番長ボイスボタン</v>
      </c>
      <c r="BA336" s="39">
        <f t="shared" si="891"/>
        <v>1100</v>
      </c>
      <c r="BB336" s="5">
        <f t="shared" si="880"/>
        <v>0</v>
      </c>
      <c r="BC336" s="36">
        <f t="shared" si="881"/>
        <v>0</v>
      </c>
      <c r="BD336" s="29"/>
    </row>
    <row r="337" spans="1:56" ht="15" customHeight="1" x14ac:dyDescent="0.2">
      <c r="A337" s="54"/>
      <c r="B337" s="37"/>
      <c r="C337" s="58">
        <v>16582</v>
      </c>
      <c r="D337" s="5">
        <f t="shared" si="858"/>
        <v>100</v>
      </c>
      <c r="E337" s="5">
        <v>600</v>
      </c>
      <c r="F337" s="5">
        <f t="shared" si="859"/>
        <v>1</v>
      </c>
      <c r="G337" s="58">
        <v>24</v>
      </c>
      <c r="H337" s="5">
        <f t="shared" si="860"/>
        <v>1</v>
      </c>
      <c r="I337" s="59"/>
      <c r="J337" s="38" t="str">
        <f t="shared" si="888"/>
        <v>ラブブキーホルダー</v>
      </c>
      <c r="K337" s="5">
        <f t="shared" si="883"/>
        <v>500</v>
      </c>
      <c r="L337" s="5">
        <f t="shared" si="862"/>
        <v>500</v>
      </c>
      <c r="M337" s="36">
        <f t="shared" si="863"/>
        <v>0.05</v>
      </c>
      <c r="N337" s="29"/>
      <c r="P337" s="54"/>
      <c r="Q337" s="58">
        <v>13838</v>
      </c>
      <c r="R337" s="5">
        <f t="shared" si="864"/>
        <v>79</v>
      </c>
      <c r="S337" s="5">
        <v>910</v>
      </c>
      <c r="T337" s="5">
        <f t="shared" si="865"/>
        <v>3</v>
      </c>
      <c r="U337" s="58">
        <v>79</v>
      </c>
      <c r="V337" s="5">
        <f t="shared" si="866"/>
        <v>3</v>
      </c>
      <c r="W337" s="59">
        <v>5</v>
      </c>
      <c r="X337" s="38" t="str">
        <f t="shared" si="889"/>
        <v>AIラバー</v>
      </c>
      <c r="Y337" s="5">
        <f t="shared" si="889"/>
        <v>198</v>
      </c>
      <c r="Z337" s="5">
        <f t="shared" si="868"/>
        <v>594</v>
      </c>
      <c r="AA337" s="36">
        <f t="shared" si="869"/>
        <v>7.5189873417721514E-2</v>
      </c>
      <c r="AB337" s="29"/>
      <c r="AD337" s="54"/>
      <c r="AE337" s="58">
        <v>14411</v>
      </c>
      <c r="AF337" s="5">
        <f t="shared" si="870"/>
        <v>28</v>
      </c>
      <c r="AG337" s="5">
        <v>2389</v>
      </c>
      <c r="AH337" s="5">
        <f t="shared" si="871"/>
        <v>0</v>
      </c>
      <c r="AI337" s="58">
        <v>11</v>
      </c>
      <c r="AJ337" s="5">
        <f t="shared" si="872"/>
        <v>0</v>
      </c>
      <c r="AK337" s="59">
        <v>0</v>
      </c>
      <c r="AL337" s="38" t="str">
        <f t="shared" si="890"/>
        <v>サンリオがま口財布</v>
      </c>
      <c r="AM337" s="5">
        <f t="shared" si="885"/>
        <v>700</v>
      </c>
      <c r="AN337" s="5">
        <f t="shared" si="874"/>
        <v>0</v>
      </c>
      <c r="AO337" s="36">
        <f t="shared" si="875"/>
        <v>0</v>
      </c>
      <c r="AP337" s="29"/>
      <c r="AR337" s="54"/>
      <c r="AS337" s="58">
        <v>12548</v>
      </c>
      <c r="AT337" s="5">
        <f t="shared" si="876"/>
        <v>17</v>
      </c>
      <c r="AU337" s="5">
        <v>734</v>
      </c>
      <c r="AV337" s="5">
        <f t="shared" si="877"/>
        <v>0</v>
      </c>
      <c r="AW337" s="58">
        <v>14</v>
      </c>
      <c r="AX337" s="5">
        <f t="shared" si="878"/>
        <v>0</v>
      </c>
      <c r="AY337" s="59">
        <v>0</v>
      </c>
      <c r="AZ337" s="38" t="str">
        <f t="shared" si="891"/>
        <v>ラブブキーホルダー</v>
      </c>
      <c r="BA337" s="5">
        <f t="shared" si="891"/>
        <v>528</v>
      </c>
      <c r="BB337" s="5">
        <f t="shared" si="880"/>
        <v>0</v>
      </c>
      <c r="BC337" s="36">
        <f t="shared" si="881"/>
        <v>0</v>
      </c>
      <c r="BD337" s="29"/>
    </row>
    <row r="338" spans="1:56" ht="15" customHeight="1" thickBot="1" x14ac:dyDescent="0.25">
      <c r="A338" s="60"/>
      <c r="B338" s="42"/>
      <c r="C338" s="44">
        <v>11768</v>
      </c>
      <c r="D338" s="61">
        <f t="shared" si="858"/>
        <v>83</v>
      </c>
      <c r="E338" s="44">
        <v>1176</v>
      </c>
      <c r="F338" s="44">
        <f t="shared" si="859"/>
        <v>1</v>
      </c>
      <c r="G338" s="44">
        <v>13</v>
      </c>
      <c r="H338" s="44">
        <f t="shared" si="860"/>
        <v>1</v>
      </c>
      <c r="I338" s="62"/>
      <c r="J338" s="47" t="str">
        <f t="shared" si="888"/>
        <v>キティヒョウ柄マスコット</v>
      </c>
      <c r="K338" s="61">
        <f t="shared" si="883"/>
        <v>996</v>
      </c>
      <c r="L338" s="44">
        <f t="shared" si="862"/>
        <v>996</v>
      </c>
      <c r="M338" s="46">
        <f t="shared" si="863"/>
        <v>0.12</v>
      </c>
      <c r="N338" s="29"/>
      <c r="P338" s="60"/>
      <c r="Q338" s="44">
        <v>11901</v>
      </c>
      <c r="R338" s="61">
        <f t="shared" si="864"/>
        <v>62</v>
      </c>
      <c r="S338" s="44">
        <v>1045</v>
      </c>
      <c r="T338" s="44">
        <f t="shared" si="865"/>
        <v>1</v>
      </c>
      <c r="U338" s="44">
        <v>11</v>
      </c>
      <c r="V338" s="44">
        <f t="shared" si="866"/>
        <v>1</v>
      </c>
      <c r="W338" s="62">
        <v>1</v>
      </c>
      <c r="X338" s="47" t="str">
        <f t="shared" si="889"/>
        <v>ちいかわマスコットポーチ</v>
      </c>
      <c r="Y338" s="61">
        <f t="shared" si="889"/>
        <v>286</v>
      </c>
      <c r="Z338" s="44">
        <f t="shared" si="868"/>
        <v>286</v>
      </c>
      <c r="AA338" s="46">
        <f t="shared" si="869"/>
        <v>4.6129032258064515E-2</v>
      </c>
      <c r="AB338" s="29"/>
      <c r="AD338" s="60"/>
      <c r="AE338" s="44">
        <v>14162</v>
      </c>
      <c r="AF338" s="61">
        <f t="shared" si="870"/>
        <v>58</v>
      </c>
      <c r="AG338" s="44">
        <v>1537</v>
      </c>
      <c r="AH338" s="44">
        <f t="shared" si="871"/>
        <v>0</v>
      </c>
      <c r="AI338" s="44">
        <v>18</v>
      </c>
      <c r="AJ338" s="44">
        <f t="shared" si="872"/>
        <v>0</v>
      </c>
      <c r="AK338" s="62">
        <v>0</v>
      </c>
      <c r="AL338" s="47" t="str">
        <f t="shared" si="890"/>
        <v>ラブブマスコット</v>
      </c>
      <c r="AM338" s="61">
        <f t="shared" si="885"/>
        <v>500</v>
      </c>
      <c r="AN338" s="44">
        <f t="shared" si="874"/>
        <v>0</v>
      </c>
      <c r="AO338" s="46">
        <f t="shared" si="875"/>
        <v>0</v>
      </c>
      <c r="AP338" s="29"/>
      <c r="AR338" s="60"/>
      <c r="AS338" s="44">
        <v>10408</v>
      </c>
      <c r="AT338" s="61">
        <f t="shared" si="876"/>
        <v>14</v>
      </c>
      <c r="AU338" s="44">
        <v>794</v>
      </c>
      <c r="AV338" s="44">
        <f t="shared" si="877"/>
        <v>0</v>
      </c>
      <c r="AW338" s="44">
        <v>6</v>
      </c>
      <c r="AX338" s="44">
        <f t="shared" si="878"/>
        <v>0</v>
      </c>
      <c r="AY338" s="62">
        <v>0</v>
      </c>
      <c r="AZ338" s="47" t="str">
        <f t="shared" si="891"/>
        <v>サンリオがま口ポーチ</v>
      </c>
      <c r="BA338" s="61">
        <f t="shared" si="891"/>
        <v>660</v>
      </c>
      <c r="BB338" s="44">
        <f t="shared" si="880"/>
        <v>0</v>
      </c>
      <c r="BC338" s="46">
        <f t="shared" si="881"/>
        <v>0</v>
      </c>
      <c r="BD338" s="29"/>
    </row>
    <row r="339" spans="1:56" ht="15" customHeight="1" thickTop="1" x14ac:dyDescent="0.2">
      <c r="A339" s="49"/>
      <c r="B339" s="26"/>
      <c r="C339" s="4"/>
      <c r="D339" s="4"/>
      <c r="E339" s="4"/>
      <c r="F339" s="50"/>
      <c r="G339" s="4"/>
      <c r="H339" s="4"/>
      <c r="I339" s="51"/>
      <c r="J339" s="31"/>
      <c r="K339" s="27"/>
      <c r="L339" s="50"/>
      <c r="M339" s="52"/>
      <c r="N339" s="29"/>
      <c r="P339" s="53"/>
      <c r="Q339" s="4"/>
      <c r="R339" s="4"/>
      <c r="S339" s="4"/>
      <c r="T339" s="50"/>
      <c r="U339" s="4"/>
      <c r="V339" s="4"/>
      <c r="W339" s="51"/>
      <c r="X339" s="31"/>
      <c r="Y339" s="27"/>
      <c r="Z339" s="50"/>
      <c r="AA339" s="52"/>
      <c r="AB339" s="29"/>
      <c r="AD339" s="53"/>
      <c r="AE339" s="4"/>
      <c r="AF339" s="4"/>
      <c r="AG339" s="4"/>
      <c r="AH339" s="50"/>
      <c r="AI339" s="4"/>
      <c r="AJ339" s="4"/>
      <c r="AK339" s="51"/>
      <c r="AL339" s="31"/>
      <c r="AM339" s="27"/>
      <c r="AN339" s="50"/>
      <c r="AO339" s="52"/>
      <c r="AP339" s="29"/>
      <c r="AR339" s="53"/>
      <c r="AS339" s="4"/>
      <c r="AT339" s="4"/>
      <c r="AU339" s="4"/>
      <c r="AV339" s="50"/>
      <c r="AW339" s="4"/>
      <c r="AX339" s="4"/>
      <c r="AY339" s="51"/>
      <c r="AZ339" s="31"/>
      <c r="BA339" s="27"/>
      <c r="BB339" s="50"/>
      <c r="BC339" s="52"/>
      <c r="BD339" s="29"/>
    </row>
    <row r="340" spans="1:56" ht="15" customHeight="1" x14ac:dyDescent="0.2">
      <c r="A340" s="54"/>
      <c r="B340" s="37"/>
      <c r="C340" s="4"/>
      <c r="D340" s="5"/>
      <c r="E340" s="5"/>
      <c r="F340" s="5"/>
      <c r="G340" s="5"/>
      <c r="H340" s="5"/>
      <c r="I340" s="35"/>
      <c r="J340" s="38"/>
      <c r="K340" s="39"/>
      <c r="L340" s="5"/>
      <c r="M340" s="36"/>
      <c r="N340" s="29"/>
      <c r="P340" s="54"/>
      <c r="Q340" s="4"/>
      <c r="R340" s="5"/>
      <c r="S340" s="5"/>
      <c r="T340" s="5"/>
      <c r="U340" s="5"/>
      <c r="V340" s="5"/>
      <c r="W340" s="35"/>
      <c r="X340" s="38"/>
      <c r="Y340" s="39"/>
      <c r="Z340" s="5"/>
      <c r="AA340" s="36"/>
      <c r="AB340" s="29"/>
      <c r="AD340" s="54"/>
      <c r="AE340" s="4"/>
      <c r="AF340" s="5"/>
      <c r="AG340" s="5"/>
      <c r="AH340" s="5"/>
      <c r="AI340" s="5"/>
      <c r="AJ340" s="5"/>
      <c r="AK340" s="35"/>
      <c r="AL340" s="38"/>
      <c r="AM340" s="39"/>
      <c r="AN340" s="5"/>
      <c r="AO340" s="36"/>
      <c r="AP340" s="29"/>
      <c r="AR340" s="54"/>
      <c r="AS340" s="4"/>
      <c r="AT340" s="5"/>
      <c r="AU340" s="5"/>
      <c r="AV340" s="5"/>
      <c r="AW340" s="5"/>
      <c r="AX340" s="5"/>
      <c r="AY340" s="35"/>
      <c r="AZ340" s="38"/>
      <c r="BA340" s="39"/>
      <c r="BB340" s="5"/>
      <c r="BC340" s="36"/>
      <c r="BD340" s="29"/>
    </row>
    <row r="341" spans="1:56" ht="15" customHeight="1" x14ac:dyDescent="0.2">
      <c r="A341" s="54"/>
      <c r="B341" s="37"/>
      <c r="C341" s="57"/>
      <c r="D341" s="5"/>
      <c r="E341" s="5"/>
      <c r="F341" s="5"/>
      <c r="G341" s="5"/>
      <c r="H341" s="5"/>
      <c r="I341" s="35"/>
      <c r="J341" s="38"/>
      <c r="K341" s="5"/>
      <c r="L341" s="5"/>
      <c r="M341" s="36"/>
      <c r="N341" s="29"/>
      <c r="P341" s="54"/>
      <c r="Q341" s="57"/>
      <c r="R341" s="5"/>
      <c r="S341" s="5"/>
      <c r="T341" s="5"/>
      <c r="U341" s="5"/>
      <c r="V341" s="5"/>
      <c r="W341" s="35"/>
      <c r="X341" s="38"/>
      <c r="Y341" s="5"/>
      <c r="Z341" s="5"/>
      <c r="AA341" s="36"/>
      <c r="AB341" s="29"/>
      <c r="AD341" s="54"/>
      <c r="AE341" s="57"/>
      <c r="AF341" s="5"/>
      <c r="AG341" s="5"/>
      <c r="AH341" s="5"/>
      <c r="AI341" s="5"/>
      <c r="AJ341" s="5"/>
      <c r="AK341" s="35"/>
      <c r="AL341" s="38"/>
      <c r="AM341" s="5"/>
      <c r="AN341" s="5"/>
      <c r="AO341" s="36"/>
      <c r="AP341" s="29"/>
      <c r="AR341" s="54"/>
      <c r="AS341" s="57"/>
      <c r="AT341" s="5"/>
      <c r="AU341" s="5"/>
      <c r="AV341" s="5"/>
      <c r="AW341" s="5"/>
      <c r="AX341" s="5"/>
      <c r="AY341" s="35"/>
      <c r="AZ341" s="38"/>
      <c r="BA341" s="5"/>
      <c r="BB341" s="5"/>
      <c r="BC341" s="36"/>
      <c r="BD341" s="29"/>
    </row>
    <row r="342" spans="1:56" ht="15" customHeight="1" thickBot="1" x14ac:dyDescent="0.25">
      <c r="A342" s="60"/>
      <c r="B342" s="42"/>
      <c r="C342" s="43"/>
      <c r="D342" s="61"/>
      <c r="E342" s="44"/>
      <c r="F342" s="44"/>
      <c r="G342" s="44"/>
      <c r="H342" s="44"/>
      <c r="I342" s="62"/>
      <c r="J342" s="47"/>
      <c r="K342" s="61"/>
      <c r="L342" s="44"/>
      <c r="M342" s="46"/>
      <c r="N342" s="29"/>
      <c r="P342" s="60"/>
      <c r="Q342" s="43"/>
      <c r="R342" s="61"/>
      <c r="S342" s="44"/>
      <c r="T342" s="44"/>
      <c r="U342" s="44"/>
      <c r="V342" s="44"/>
      <c r="W342" s="62"/>
      <c r="X342" s="47"/>
      <c r="Y342" s="61"/>
      <c r="Z342" s="44"/>
      <c r="AA342" s="46"/>
      <c r="AB342" s="29"/>
      <c r="AD342" s="60"/>
      <c r="AE342" s="43"/>
      <c r="AF342" s="61"/>
      <c r="AG342" s="44"/>
      <c r="AH342" s="44"/>
      <c r="AI342" s="44"/>
      <c r="AJ342" s="44"/>
      <c r="AK342" s="62"/>
      <c r="AL342" s="47"/>
      <c r="AM342" s="61"/>
      <c r="AN342" s="44"/>
      <c r="AO342" s="46"/>
      <c r="AP342" s="29"/>
      <c r="AR342" s="60"/>
      <c r="AS342" s="43"/>
      <c r="AT342" s="61"/>
      <c r="AU342" s="44"/>
      <c r="AV342" s="44"/>
      <c r="AW342" s="44"/>
      <c r="AX342" s="44"/>
      <c r="AY342" s="62"/>
      <c r="AZ342" s="47"/>
      <c r="BA342" s="61"/>
      <c r="BB342" s="44"/>
      <c r="BC342" s="46"/>
      <c r="BD342" s="29"/>
    </row>
    <row r="343" spans="1:56" ht="15" customHeight="1" thickTop="1" x14ac:dyDescent="0.2">
      <c r="A343" s="49"/>
      <c r="B343" s="26">
        <f>SUM(D343:D346)+SUM(R343:R346)+SUM(AF343:AF346)+SUM(AT343:AT346)</f>
        <v>0</v>
      </c>
      <c r="C343" s="4"/>
      <c r="D343" s="4" t="str">
        <f t="shared" si="858"/>
        <v/>
      </c>
      <c r="E343" s="4"/>
      <c r="F343" s="50" t="str">
        <f t="shared" si="859"/>
        <v/>
      </c>
      <c r="G343" s="4"/>
      <c r="H343" s="4" t="str">
        <f t="shared" si="860"/>
        <v/>
      </c>
      <c r="I343" s="35"/>
      <c r="J343" s="31" t="str">
        <f t="shared" si="888"/>
        <v/>
      </c>
      <c r="K343" s="27" t="str">
        <f t="shared" si="883"/>
        <v/>
      </c>
      <c r="L343" s="50" t="str">
        <f t="shared" si="862"/>
        <v/>
      </c>
      <c r="M343" s="52" t="str">
        <f t="shared" si="863"/>
        <v/>
      </c>
      <c r="N343" s="29"/>
      <c r="P343" s="53" t="str">
        <f>IF($A$417="","",$A$417)</f>
        <v/>
      </c>
      <c r="Q343" s="4"/>
      <c r="R343" s="4" t="str">
        <f t="shared" ref="R343:R354" si="892">IF(Q343="","",Q343-Q339)</f>
        <v/>
      </c>
      <c r="S343" s="4"/>
      <c r="T343" s="50" t="str">
        <f t="shared" ref="T343:T354" si="893">IF(S343="","",S343-S339)</f>
        <v/>
      </c>
      <c r="U343" s="4"/>
      <c r="V343" s="4" t="str">
        <f t="shared" ref="V343:V354" si="894">IF(U343="","",U339+W339-U343)</f>
        <v/>
      </c>
      <c r="W343" s="35"/>
      <c r="X343" s="31" t="str">
        <f t="shared" ref="X343:Y354" si="895">IF(Q343="","",X339)</f>
        <v/>
      </c>
      <c r="Y343" s="27" t="str">
        <f t="shared" si="895"/>
        <v/>
      </c>
      <c r="Z343" s="50" t="str">
        <f t="shared" ref="Z343:Z354" si="896">IF(U343="","",V343*Y343)</f>
        <v/>
      </c>
      <c r="AA343" s="52" t="str">
        <f t="shared" ref="AA343:AA354" si="897">IF(V343="","",Z343/(R343*100))</f>
        <v/>
      </c>
      <c r="AB343" s="29"/>
      <c r="AD343" s="53" t="str">
        <f>IF($A$417="","",$A$417)</f>
        <v/>
      </c>
      <c r="AE343" s="4"/>
      <c r="AF343" s="4" t="str">
        <f t="shared" ref="AF343:AF354" si="898">IF(AE343="","",AE343-AE339)</f>
        <v/>
      </c>
      <c r="AG343" s="4"/>
      <c r="AH343" s="50" t="str">
        <f t="shared" ref="AH343:AH354" si="899">IF(AG343="","",AG343-AG339)</f>
        <v/>
      </c>
      <c r="AI343" s="4"/>
      <c r="AJ343" s="4" t="str">
        <f t="shared" ref="AJ343:AJ354" si="900">IF(AI343="","",AI339+AK339-AI343)</f>
        <v/>
      </c>
      <c r="AK343" s="35"/>
      <c r="AL343" s="31" t="str">
        <f t="shared" ref="AL343:AM354" si="901">IF(AE343="","",AL339)</f>
        <v/>
      </c>
      <c r="AM343" s="27" t="str">
        <f t="shared" si="901"/>
        <v/>
      </c>
      <c r="AN343" s="50" t="str">
        <f t="shared" ref="AN343:AN354" si="902">IF(AI343="","",AJ343*AM343)</f>
        <v/>
      </c>
      <c r="AO343" s="52" t="str">
        <f t="shared" ref="AO343:AO354" si="903">IF(AJ343="","",AN343/(AF343*100))</f>
        <v/>
      </c>
      <c r="AP343" s="29"/>
      <c r="AR343" s="53" t="str">
        <f>IF($A$417="","",$A$417)</f>
        <v/>
      </c>
      <c r="AS343" s="4"/>
      <c r="AT343" s="4" t="str">
        <f t="shared" ref="AT343:AT354" si="904">IF(AS343="","",AS343-AS339)</f>
        <v/>
      </c>
      <c r="AU343" s="4"/>
      <c r="AV343" s="50" t="str">
        <f t="shared" ref="AV343:AV354" si="905">IF(AU343="","",AU343-AU339)</f>
        <v/>
      </c>
      <c r="AW343" s="4"/>
      <c r="AX343" s="4" t="str">
        <f t="shared" ref="AX343:AX354" si="906">IF(AW343="","",AW339+AY339-AW343)</f>
        <v/>
      </c>
      <c r="AY343" s="35"/>
      <c r="AZ343" s="31" t="str">
        <f t="shared" ref="AZ343:BA354" si="907">IF(AS343="","",AZ339)</f>
        <v/>
      </c>
      <c r="BA343" s="27" t="str">
        <f t="shared" si="907"/>
        <v/>
      </c>
      <c r="BB343" s="50" t="str">
        <f t="shared" ref="BB343:BB354" si="908">IF(AW343="","",AX343*BA343)</f>
        <v/>
      </c>
      <c r="BC343" s="52" t="str">
        <f t="shared" ref="BC343:BC354" si="909">IF(AX343="","",BB343/(AT343*100))</f>
        <v/>
      </c>
      <c r="BD343" s="29"/>
    </row>
    <row r="344" spans="1:56" ht="15" customHeight="1" x14ac:dyDescent="0.2">
      <c r="A344" s="54"/>
      <c r="B344" s="37"/>
      <c r="C344" s="5"/>
      <c r="D344" s="5" t="str">
        <f t="shared" si="858"/>
        <v/>
      </c>
      <c r="E344" s="5"/>
      <c r="F344" s="5" t="str">
        <f t="shared" si="859"/>
        <v/>
      </c>
      <c r="G344" s="5"/>
      <c r="H344" s="5" t="str">
        <f t="shared" si="860"/>
        <v/>
      </c>
      <c r="I344" s="35"/>
      <c r="J344" s="38" t="str">
        <f t="shared" si="888"/>
        <v/>
      </c>
      <c r="K344" s="39" t="str">
        <f t="shared" si="883"/>
        <v/>
      </c>
      <c r="L344" s="5" t="str">
        <f t="shared" si="862"/>
        <v/>
      </c>
      <c r="M344" s="36" t="str">
        <f t="shared" si="863"/>
        <v/>
      </c>
      <c r="N344" s="29"/>
      <c r="P344" s="54"/>
      <c r="Q344" s="5"/>
      <c r="R344" s="5" t="str">
        <f t="shared" si="892"/>
        <v/>
      </c>
      <c r="S344" s="5"/>
      <c r="T344" s="5" t="str">
        <f t="shared" si="893"/>
        <v/>
      </c>
      <c r="U344" s="5"/>
      <c r="V344" s="5" t="str">
        <f t="shared" si="894"/>
        <v/>
      </c>
      <c r="W344" s="35"/>
      <c r="X344" s="38" t="str">
        <f t="shared" si="895"/>
        <v/>
      </c>
      <c r="Y344" s="39" t="str">
        <f t="shared" si="895"/>
        <v/>
      </c>
      <c r="Z344" s="5" t="str">
        <f t="shared" si="896"/>
        <v/>
      </c>
      <c r="AA344" s="36" t="str">
        <f t="shared" si="897"/>
        <v/>
      </c>
      <c r="AB344" s="29"/>
      <c r="AD344" s="54"/>
      <c r="AE344" s="5"/>
      <c r="AF344" s="5" t="str">
        <f t="shared" si="898"/>
        <v/>
      </c>
      <c r="AG344" s="5"/>
      <c r="AH344" s="5" t="str">
        <f t="shared" si="899"/>
        <v/>
      </c>
      <c r="AI344" s="5"/>
      <c r="AJ344" s="5" t="str">
        <f t="shared" si="900"/>
        <v/>
      </c>
      <c r="AK344" s="35"/>
      <c r="AL344" s="38" t="str">
        <f t="shared" si="901"/>
        <v/>
      </c>
      <c r="AM344" s="39" t="str">
        <f t="shared" si="901"/>
        <v/>
      </c>
      <c r="AN344" s="5" t="str">
        <f t="shared" si="902"/>
        <v/>
      </c>
      <c r="AO344" s="36" t="str">
        <f t="shared" si="903"/>
        <v/>
      </c>
      <c r="AP344" s="29"/>
      <c r="AR344" s="54"/>
      <c r="AS344" s="5"/>
      <c r="AT344" s="5" t="str">
        <f t="shared" si="904"/>
        <v/>
      </c>
      <c r="AU344" s="5"/>
      <c r="AV344" s="5" t="str">
        <f t="shared" si="905"/>
        <v/>
      </c>
      <c r="AW344" s="5"/>
      <c r="AX344" s="5" t="str">
        <f t="shared" si="906"/>
        <v/>
      </c>
      <c r="AY344" s="35"/>
      <c r="AZ344" s="38" t="str">
        <f t="shared" si="907"/>
        <v/>
      </c>
      <c r="BA344" s="39" t="str">
        <f t="shared" si="907"/>
        <v/>
      </c>
      <c r="BB344" s="5" t="str">
        <f t="shared" si="908"/>
        <v/>
      </c>
      <c r="BC344" s="36" t="str">
        <f t="shared" si="909"/>
        <v/>
      </c>
      <c r="BD344" s="29"/>
    </row>
    <row r="345" spans="1:56" ht="15" customHeight="1" x14ac:dyDescent="0.2">
      <c r="A345" s="54"/>
      <c r="B345" s="37"/>
      <c r="C345" s="58"/>
      <c r="D345" s="5" t="str">
        <f t="shared" si="858"/>
        <v/>
      </c>
      <c r="E345" s="5"/>
      <c r="F345" s="5" t="str">
        <f t="shared" si="859"/>
        <v/>
      </c>
      <c r="G345" s="58"/>
      <c r="H345" s="5" t="str">
        <f t="shared" si="860"/>
        <v/>
      </c>
      <c r="I345" s="59"/>
      <c r="J345" s="38" t="str">
        <f t="shared" si="888"/>
        <v/>
      </c>
      <c r="K345" s="5" t="str">
        <f t="shared" si="883"/>
        <v/>
      </c>
      <c r="L345" s="5" t="str">
        <f t="shared" si="862"/>
        <v/>
      </c>
      <c r="M345" s="36" t="str">
        <f t="shared" si="863"/>
        <v/>
      </c>
      <c r="N345" s="29"/>
      <c r="P345" s="25"/>
      <c r="Q345" s="58"/>
      <c r="R345" s="5" t="str">
        <f t="shared" si="892"/>
        <v/>
      </c>
      <c r="S345" s="5"/>
      <c r="T345" s="5" t="str">
        <f t="shared" si="893"/>
        <v/>
      </c>
      <c r="U345" s="58"/>
      <c r="V345" s="5" t="str">
        <f t="shared" si="894"/>
        <v/>
      </c>
      <c r="W345" s="35"/>
      <c r="X345" s="38" t="str">
        <f t="shared" si="895"/>
        <v/>
      </c>
      <c r="Y345" s="5" t="str">
        <f t="shared" si="895"/>
        <v/>
      </c>
      <c r="Z345" s="5" t="str">
        <f t="shared" si="896"/>
        <v/>
      </c>
      <c r="AA345" s="36" t="str">
        <f t="shared" si="897"/>
        <v/>
      </c>
      <c r="AB345" s="29"/>
      <c r="AD345" s="25"/>
      <c r="AE345" s="58"/>
      <c r="AF345" s="5" t="str">
        <f t="shared" si="898"/>
        <v/>
      </c>
      <c r="AG345" s="5"/>
      <c r="AH345" s="5" t="str">
        <f t="shared" si="899"/>
        <v/>
      </c>
      <c r="AI345" s="58"/>
      <c r="AJ345" s="5" t="str">
        <f t="shared" si="900"/>
        <v/>
      </c>
      <c r="AK345" s="35"/>
      <c r="AL345" s="38" t="str">
        <f t="shared" si="901"/>
        <v/>
      </c>
      <c r="AM345" s="5" t="str">
        <f t="shared" si="901"/>
        <v/>
      </c>
      <c r="AN345" s="5" t="str">
        <f t="shared" si="902"/>
        <v/>
      </c>
      <c r="AO345" s="36" t="str">
        <f t="shared" si="903"/>
        <v/>
      </c>
      <c r="AP345" s="29"/>
      <c r="AR345" s="25"/>
      <c r="AS345" s="58"/>
      <c r="AT345" s="5" t="str">
        <f t="shared" si="904"/>
        <v/>
      </c>
      <c r="AU345" s="5"/>
      <c r="AV345" s="5" t="str">
        <f t="shared" si="905"/>
        <v/>
      </c>
      <c r="AW345" s="58"/>
      <c r="AX345" s="5" t="str">
        <f t="shared" si="906"/>
        <v/>
      </c>
      <c r="AY345" s="35"/>
      <c r="AZ345" s="38" t="str">
        <f t="shared" si="907"/>
        <v/>
      </c>
      <c r="BA345" s="5" t="str">
        <f t="shared" si="907"/>
        <v/>
      </c>
      <c r="BB345" s="5" t="str">
        <f t="shared" si="908"/>
        <v/>
      </c>
      <c r="BC345" s="36" t="str">
        <f t="shared" si="909"/>
        <v/>
      </c>
      <c r="BD345" s="29"/>
    </row>
    <row r="346" spans="1:56" ht="15" customHeight="1" thickBot="1" x14ac:dyDescent="0.25">
      <c r="A346" s="60"/>
      <c r="B346" s="73"/>
      <c r="C346" s="44"/>
      <c r="D346" s="61" t="str">
        <f t="shared" si="858"/>
        <v/>
      </c>
      <c r="E346" s="44"/>
      <c r="F346" s="44" t="str">
        <f t="shared" si="859"/>
        <v/>
      </c>
      <c r="G346" s="76"/>
      <c r="H346" s="77" t="str">
        <f t="shared" si="860"/>
        <v/>
      </c>
      <c r="I346" s="78"/>
      <c r="J346" s="79" t="str">
        <f t="shared" si="888"/>
        <v/>
      </c>
      <c r="K346" s="61" t="str">
        <f t="shared" si="883"/>
        <v/>
      </c>
      <c r="L346" s="44" t="str">
        <f t="shared" si="862"/>
        <v/>
      </c>
      <c r="M346" s="46" t="str">
        <f t="shared" si="863"/>
        <v/>
      </c>
      <c r="N346" s="29"/>
      <c r="P346" s="41"/>
      <c r="Q346" s="44"/>
      <c r="R346" s="61" t="str">
        <f t="shared" si="892"/>
        <v/>
      </c>
      <c r="S346" s="44"/>
      <c r="T346" s="44" t="str">
        <f t="shared" si="893"/>
        <v/>
      </c>
      <c r="U346" s="76"/>
      <c r="V346" s="44" t="str">
        <f t="shared" si="894"/>
        <v/>
      </c>
      <c r="W346" s="78"/>
      <c r="X346" s="47" t="str">
        <f t="shared" si="895"/>
        <v/>
      </c>
      <c r="Y346" s="61" t="str">
        <f t="shared" si="895"/>
        <v/>
      </c>
      <c r="Z346" s="44" t="str">
        <f t="shared" si="896"/>
        <v/>
      </c>
      <c r="AA346" s="46" t="str">
        <f t="shared" si="897"/>
        <v/>
      </c>
      <c r="AB346" s="29"/>
      <c r="AD346" s="41"/>
      <c r="AE346" s="44"/>
      <c r="AF346" s="61" t="str">
        <f t="shared" si="898"/>
        <v/>
      </c>
      <c r="AG346" s="44"/>
      <c r="AH346" s="44" t="str">
        <f t="shared" si="899"/>
        <v/>
      </c>
      <c r="AI346" s="76"/>
      <c r="AJ346" s="44" t="str">
        <f t="shared" si="900"/>
        <v/>
      </c>
      <c r="AK346" s="78"/>
      <c r="AL346" s="47" t="str">
        <f t="shared" si="901"/>
        <v/>
      </c>
      <c r="AM346" s="61" t="str">
        <f t="shared" si="901"/>
        <v/>
      </c>
      <c r="AN346" s="44" t="str">
        <f t="shared" si="902"/>
        <v/>
      </c>
      <c r="AO346" s="46" t="str">
        <f t="shared" si="903"/>
        <v/>
      </c>
      <c r="AP346" s="29"/>
      <c r="AR346" s="41"/>
      <c r="AS346" s="44"/>
      <c r="AT346" s="61" t="str">
        <f t="shared" si="904"/>
        <v/>
      </c>
      <c r="AU346" s="44"/>
      <c r="AV346" s="44" t="str">
        <f t="shared" si="905"/>
        <v/>
      </c>
      <c r="AW346" s="76"/>
      <c r="AX346" s="44" t="str">
        <f t="shared" si="906"/>
        <v/>
      </c>
      <c r="AY346" s="78"/>
      <c r="AZ346" s="47" t="str">
        <f t="shared" si="907"/>
        <v/>
      </c>
      <c r="BA346" s="61" t="str">
        <f t="shared" si="907"/>
        <v/>
      </c>
      <c r="BB346" s="44" t="str">
        <f t="shared" si="908"/>
        <v/>
      </c>
      <c r="BC346" s="46" t="str">
        <f t="shared" si="909"/>
        <v/>
      </c>
      <c r="BD346" s="29"/>
    </row>
    <row r="347" spans="1:56" ht="15" customHeight="1" thickTop="1" x14ac:dyDescent="0.2">
      <c r="A347" s="49"/>
      <c r="B347" s="26">
        <f>SUM(D347:D350)+SUM(R347:R350)+SUM(AF347:AF350)+SUM(AT347:AT350)</f>
        <v>0</v>
      </c>
      <c r="C347" s="4"/>
      <c r="D347" s="4" t="str">
        <f t="shared" si="858"/>
        <v/>
      </c>
      <c r="E347" s="4"/>
      <c r="F347" s="50" t="str">
        <f t="shared" si="859"/>
        <v/>
      </c>
      <c r="G347" s="4"/>
      <c r="H347" s="4" t="str">
        <f t="shared" si="860"/>
        <v/>
      </c>
      <c r="I347" s="4"/>
      <c r="J347" s="2" t="str">
        <f t="shared" si="888"/>
        <v/>
      </c>
      <c r="K347" s="27" t="str">
        <f t="shared" si="883"/>
        <v/>
      </c>
      <c r="L347" s="50" t="str">
        <f t="shared" si="862"/>
        <v/>
      </c>
      <c r="M347" s="52" t="str">
        <f t="shared" si="863"/>
        <v/>
      </c>
      <c r="N347" s="29"/>
      <c r="P347" s="80" t="str">
        <f>IF($A$421="","",$A$421)</f>
        <v/>
      </c>
      <c r="Q347" s="4"/>
      <c r="R347" s="4" t="str">
        <f t="shared" si="892"/>
        <v/>
      </c>
      <c r="S347" s="4"/>
      <c r="T347" s="50" t="str">
        <f t="shared" si="893"/>
        <v/>
      </c>
      <c r="U347" s="4"/>
      <c r="V347" s="4" t="str">
        <f t="shared" si="894"/>
        <v/>
      </c>
      <c r="W347" s="4"/>
      <c r="X347" s="31" t="str">
        <f t="shared" si="895"/>
        <v/>
      </c>
      <c r="Y347" s="27" t="str">
        <f t="shared" si="895"/>
        <v/>
      </c>
      <c r="Z347" s="50" t="str">
        <f t="shared" si="896"/>
        <v/>
      </c>
      <c r="AA347" s="52" t="str">
        <f t="shared" si="897"/>
        <v/>
      </c>
      <c r="AB347" s="29"/>
      <c r="AD347" s="80" t="str">
        <f>IF($A$421="","",$A$421)</f>
        <v/>
      </c>
      <c r="AE347" s="4"/>
      <c r="AF347" s="4" t="str">
        <f t="shared" si="898"/>
        <v/>
      </c>
      <c r="AG347" s="4"/>
      <c r="AH347" s="50" t="str">
        <f t="shared" si="899"/>
        <v/>
      </c>
      <c r="AI347" s="4"/>
      <c r="AJ347" s="4" t="str">
        <f t="shared" si="900"/>
        <v/>
      </c>
      <c r="AK347" s="4"/>
      <c r="AL347" s="31" t="str">
        <f t="shared" si="901"/>
        <v/>
      </c>
      <c r="AM347" s="27" t="str">
        <f t="shared" si="901"/>
        <v/>
      </c>
      <c r="AN347" s="50" t="str">
        <f t="shared" si="902"/>
        <v/>
      </c>
      <c r="AO347" s="52" t="str">
        <f t="shared" si="903"/>
        <v/>
      </c>
      <c r="AP347" s="29"/>
      <c r="AR347" s="80" t="str">
        <f>IF($A$421="","",$A$421)</f>
        <v/>
      </c>
      <c r="AS347" s="4"/>
      <c r="AT347" s="4" t="str">
        <f t="shared" si="904"/>
        <v/>
      </c>
      <c r="AU347" s="4"/>
      <c r="AV347" s="50" t="str">
        <f t="shared" si="905"/>
        <v/>
      </c>
      <c r="AW347" s="4"/>
      <c r="AX347" s="4" t="str">
        <f t="shared" si="906"/>
        <v/>
      </c>
      <c r="AY347" s="4"/>
      <c r="AZ347" s="31" t="str">
        <f t="shared" si="907"/>
        <v/>
      </c>
      <c r="BA347" s="27" t="str">
        <f t="shared" si="907"/>
        <v/>
      </c>
      <c r="BB347" s="50" t="str">
        <f t="shared" si="908"/>
        <v/>
      </c>
      <c r="BC347" s="52" t="str">
        <f t="shared" si="909"/>
        <v/>
      </c>
      <c r="BD347" s="29"/>
    </row>
    <row r="348" spans="1:56" ht="15" customHeight="1" x14ac:dyDescent="0.2">
      <c r="A348" s="54"/>
      <c r="B348" s="37"/>
      <c r="C348" s="5"/>
      <c r="D348" s="5" t="str">
        <f t="shared" si="858"/>
        <v/>
      </c>
      <c r="E348" s="5"/>
      <c r="F348" s="5" t="str">
        <f t="shared" si="859"/>
        <v/>
      </c>
      <c r="G348" s="5"/>
      <c r="H348" s="5" t="str">
        <f t="shared" si="860"/>
        <v/>
      </c>
      <c r="I348" s="5"/>
      <c r="J348" s="3" t="str">
        <f t="shared" si="888"/>
        <v/>
      </c>
      <c r="K348" s="39" t="str">
        <f t="shared" si="883"/>
        <v/>
      </c>
      <c r="L348" s="5" t="str">
        <f t="shared" si="862"/>
        <v/>
      </c>
      <c r="M348" s="36" t="str">
        <f t="shared" si="863"/>
        <v/>
      </c>
      <c r="N348" s="29"/>
      <c r="P348" s="25"/>
      <c r="Q348" s="5"/>
      <c r="R348" s="5" t="str">
        <f t="shared" si="892"/>
        <v/>
      </c>
      <c r="S348" s="5"/>
      <c r="T348" s="5" t="str">
        <f t="shared" si="893"/>
        <v/>
      </c>
      <c r="U348" s="5"/>
      <c r="V348" s="5" t="str">
        <f t="shared" si="894"/>
        <v/>
      </c>
      <c r="W348" s="5"/>
      <c r="X348" s="38" t="str">
        <f t="shared" si="895"/>
        <v/>
      </c>
      <c r="Y348" s="39" t="str">
        <f t="shared" si="895"/>
        <v/>
      </c>
      <c r="Z348" s="5" t="str">
        <f t="shared" si="896"/>
        <v/>
      </c>
      <c r="AA348" s="36" t="str">
        <f t="shared" si="897"/>
        <v/>
      </c>
      <c r="AB348" s="29"/>
      <c r="AD348" s="25"/>
      <c r="AE348" s="5"/>
      <c r="AF348" s="5" t="str">
        <f t="shared" si="898"/>
        <v/>
      </c>
      <c r="AG348" s="5"/>
      <c r="AH348" s="5" t="str">
        <f t="shared" si="899"/>
        <v/>
      </c>
      <c r="AI348" s="5"/>
      <c r="AJ348" s="5" t="str">
        <f t="shared" si="900"/>
        <v/>
      </c>
      <c r="AK348" s="5"/>
      <c r="AL348" s="38" t="str">
        <f t="shared" si="901"/>
        <v/>
      </c>
      <c r="AM348" s="39" t="str">
        <f t="shared" si="901"/>
        <v/>
      </c>
      <c r="AN348" s="5" t="str">
        <f t="shared" si="902"/>
        <v/>
      </c>
      <c r="AO348" s="36" t="str">
        <f t="shared" si="903"/>
        <v/>
      </c>
      <c r="AP348" s="29"/>
      <c r="AR348" s="25"/>
      <c r="AS348" s="5"/>
      <c r="AT348" s="5" t="str">
        <f t="shared" si="904"/>
        <v/>
      </c>
      <c r="AU348" s="5"/>
      <c r="AV348" s="5" t="str">
        <f t="shared" si="905"/>
        <v/>
      </c>
      <c r="AW348" s="5"/>
      <c r="AX348" s="5" t="str">
        <f t="shared" si="906"/>
        <v/>
      </c>
      <c r="AY348" s="5"/>
      <c r="AZ348" s="38" t="str">
        <f t="shared" si="907"/>
        <v/>
      </c>
      <c r="BA348" s="39" t="str">
        <f t="shared" si="907"/>
        <v/>
      </c>
      <c r="BB348" s="5" t="str">
        <f t="shared" si="908"/>
        <v/>
      </c>
      <c r="BC348" s="36" t="str">
        <f t="shared" si="909"/>
        <v/>
      </c>
      <c r="BD348" s="29"/>
    </row>
    <row r="349" spans="1:56" ht="15" customHeight="1" x14ac:dyDescent="0.2">
      <c r="A349" s="54"/>
      <c r="B349" s="37"/>
      <c r="C349" s="5"/>
      <c r="D349" s="5" t="str">
        <f t="shared" si="858"/>
        <v/>
      </c>
      <c r="E349" s="5"/>
      <c r="F349" s="5" t="str">
        <f t="shared" si="859"/>
        <v/>
      </c>
      <c r="G349" s="5"/>
      <c r="H349" s="5" t="str">
        <f t="shared" si="860"/>
        <v/>
      </c>
      <c r="I349" s="5"/>
      <c r="J349" s="3" t="str">
        <f t="shared" si="888"/>
        <v/>
      </c>
      <c r="K349" s="5" t="str">
        <f t="shared" si="883"/>
        <v/>
      </c>
      <c r="L349" s="5" t="str">
        <f t="shared" si="862"/>
        <v/>
      </c>
      <c r="M349" s="36" t="str">
        <f t="shared" si="863"/>
        <v/>
      </c>
      <c r="N349" s="29"/>
      <c r="P349" s="25"/>
      <c r="Q349" s="5"/>
      <c r="R349" s="5" t="str">
        <f t="shared" si="892"/>
        <v/>
      </c>
      <c r="S349" s="5"/>
      <c r="T349" s="5" t="str">
        <f t="shared" si="893"/>
        <v/>
      </c>
      <c r="U349" s="5"/>
      <c r="V349" s="5" t="str">
        <f t="shared" si="894"/>
        <v/>
      </c>
      <c r="W349" s="5"/>
      <c r="X349" s="38" t="str">
        <f t="shared" si="895"/>
        <v/>
      </c>
      <c r="Y349" s="5" t="str">
        <f t="shared" si="895"/>
        <v/>
      </c>
      <c r="Z349" s="5" t="str">
        <f t="shared" si="896"/>
        <v/>
      </c>
      <c r="AA349" s="36" t="str">
        <f t="shared" si="897"/>
        <v/>
      </c>
      <c r="AB349" s="29"/>
      <c r="AD349" s="25"/>
      <c r="AE349" s="5"/>
      <c r="AF349" s="5" t="str">
        <f t="shared" si="898"/>
        <v/>
      </c>
      <c r="AG349" s="5"/>
      <c r="AH349" s="5" t="str">
        <f t="shared" si="899"/>
        <v/>
      </c>
      <c r="AI349" s="5"/>
      <c r="AJ349" s="5" t="str">
        <f t="shared" si="900"/>
        <v/>
      </c>
      <c r="AK349" s="5"/>
      <c r="AL349" s="38" t="str">
        <f t="shared" si="901"/>
        <v/>
      </c>
      <c r="AM349" s="5" t="str">
        <f t="shared" si="901"/>
        <v/>
      </c>
      <c r="AN349" s="5" t="str">
        <f t="shared" si="902"/>
        <v/>
      </c>
      <c r="AO349" s="36" t="str">
        <f t="shared" si="903"/>
        <v/>
      </c>
      <c r="AP349" s="29"/>
      <c r="AR349" s="25"/>
      <c r="AS349" s="5"/>
      <c r="AT349" s="5" t="str">
        <f t="shared" si="904"/>
        <v/>
      </c>
      <c r="AU349" s="5"/>
      <c r="AV349" s="5" t="str">
        <f t="shared" si="905"/>
        <v/>
      </c>
      <c r="AW349" s="5"/>
      <c r="AX349" s="5" t="str">
        <f t="shared" si="906"/>
        <v/>
      </c>
      <c r="AY349" s="5"/>
      <c r="AZ349" s="38" t="str">
        <f t="shared" si="907"/>
        <v/>
      </c>
      <c r="BA349" s="5" t="str">
        <f t="shared" si="907"/>
        <v/>
      </c>
      <c r="BB349" s="5" t="str">
        <f t="shared" si="908"/>
        <v/>
      </c>
      <c r="BC349" s="36" t="str">
        <f t="shared" si="909"/>
        <v/>
      </c>
      <c r="BD349" s="29"/>
    </row>
    <row r="350" spans="1:56" ht="15" customHeight="1" thickBot="1" x14ac:dyDescent="0.25">
      <c r="A350" s="60"/>
      <c r="B350" s="73"/>
      <c r="C350" s="44"/>
      <c r="D350" s="44" t="str">
        <f t="shared" si="858"/>
        <v/>
      </c>
      <c r="E350" s="44"/>
      <c r="F350" s="44" t="str">
        <f t="shared" si="859"/>
        <v/>
      </c>
      <c r="G350" s="44"/>
      <c r="H350" s="44"/>
      <c r="I350" s="44"/>
      <c r="J350" s="45" t="str">
        <f t="shared" si="888"/>
        <v/>
      </c>
      <c r="K350" s="61" t="str">
        <f t="shared" si="883"/>
        <v/>
      </c>
      <c r="L350" s="44" t="str">
        <f t="shared" si="862"/>
        <v/>
      </c>
      <c r="M350" s="46" t="str">
        <f t="shared" si="863"/>
        <v/>
      </c>
      <c r="N350" s="29"/>
      <c r="P350" s="41"/>
      <c r="Q350" s="44"/>
      <c r="R350" s="44" t="str">
        <f t="shared" si="892"/>
        <v/>
      </c>
      <c r="S350" s="44"/>
      <c r="T350" s="44" t="str">
        <f t="shared" si="893"/>
        <v/>
      </c>
      <c r="U350" s="44"/>
      <c r="V350" s="44" t="str">
        <f t="shared" si="894"/>
        <v/>
      </c>
      <c r="W350" s="44"/>
      <c r="X350" s="47" t="str">
        <f t="shared" si="895"/>
        <v/>
      </c>
      <c r="Y350" s="61" t="str">
        <f t="shared" si="895"/>
        <v/>
      </c>
      <c r="Z350" s="44" t="str">
        <f t="shared" si="896"/>
        <v/>
      </c>
      <c r="AA350" s="46" t="str">
        <f t="shared" si="897"/>
        <v/>
      </c>
      <c r="AB350" s="29"/>
      <c r="AD350" s="41"/>
      <c r="AE350" s="44"/>
      <c r="AF350" s="44" t="str">
        <f t="shared" si="898"/>
        <v/>
      </c>
      <c r="AG350" s="44"/>
      <c r="AH350" s="44" t="str">
        <f t="shared" si="899"/>
        <v/>
      </c>
      <c r="AI350" s="44"/>
      <c r="AJ350" s="44" t="str">
        <f t="shared" si="900"/>
        <v/>
      </c>
      <c r="AK350" s="44"/>
      <c r="AL350" s="47" t="str">
        <f t="shared" si="901"/>
        <v/>
      </c>
      <c r="AM350" s="61" t="str">
        <f t="shared" si="901"/>
        <v/>
      </c>
      <c r="AN350" s="44" t="str">
        <f t="shared" si="902"/>
        <v/>
      </c>
      <c r="AO350" s="46" t="str">
        <f t="shared" si="903"/>
        <v/>
      </c>
      <c r="AP350" s="29"/>
      <c r="AR350" s="41"/>
      <c r="AS350" s="44"/>
      <c r="AT350" s="44" t="str">
        <f t="shared" si="904"/>
        <v/>
      </c>
      <c r="AU350" s="44"/>
      <c r="AV350" s="44" t="str">
        <f t="shared" si="905"/>
        <v/>
      </c>
      <c r="AW350" s="44"/>
      <c r="AX350" s="44" t="str">
        <f t="shared" si="906"/>
        <v/>
      </c>
      <c r="AY350" s="44"/>
      <c r="AZ350" s="47" t="str">
        <f t="shared" si="907"/>
        <v/>
      </c>
      <c r="BA350" s="61" t="str">
        <f t="shared" si="907"/>
        <v/>
      </c>
      <c r="BB350" s="44" t="str">
        <f t="shared" si="908"/>
        <v/>
      </c>
      <c r="BC350" s="46" t="str">
        <f t="shared" si="909"/>
        <v/>
      </c>
      <c r="BD350" s="29"/>
    </row>
    <row r="351" spans="1:56" ht="15" customHeight="1" thickTop="1" x14ac:dyDescent="0.2">
      <c r="A351" s="49"/>
      <c r="B351" s="26">
        <f>SUM(D351:D354)+SUM(R351:R354)+SUM(AF351:AF354)+SUM(AT351:AT354)</f>
        <v>0</v>
      </c>
      <c r="C351" s="4"/>
      <c r="D351" s="4" t="str">
        <f t="shared" si="858"/>
        <v/>
      </c>
      <c r="E351" s="4"/>
      <c r="F351" s="4" t="str">
        <f t="shared" si="859"/>
        <v/>
      </c>
      <c r="G351" s="4"/>
      <c r="H351" s="4" t="str">
        <f>IF(G351="","",G347+I347-G351)</f>
        <v/>
      </c>
      <c r="I351" s="4"/>
      <c r="J351" s="2" t="str">
        <f t="shared" si="888"/>
        <v/>
      </c>
      <c r="K351" s="4" t="str">
        <f t="shared" si="883"/>
        <v/>
      </c>
      <c r="L351" s="4" t="str">
        <f t="shared" si="862"/>
        <v/>
      </c>
      <c r="M351" s="4" t="str">
        <f t="shared" si="863"/>
        <v/>
      </c>
      <c r="N351" s="29"/>
      <c r="P351" s="80" t="str">
        <f>IF($A$425="","",$A$425)</f>
        <v/>
      </c>
      <c r="Q351" s="4"/>
      <c r="R351" s="4" t="str">
        <f t="shared" si="892"/>
        <v/>
      </c>
      <c r="S351" s="4"/>
      <c r="T351" s="4" t="str">
        <f t="shared" si="893"/>
        <v/>
      </c>
      <c r="U351" s="4"/>
      <c r="V351" s="4" t="str">
        <f t="shared" si="894"/>
        <v/>
      </c>
      <c r="W351" s="4"/>
      <c r="X351" s="31" t="str">
        <f t="shared" si="895"/>
        <v/>
      </c>
      <c r="Y351" s="4" t="str">
        <f t="shared" si="895"/>
        <v/>
      </c>
      <c r="Z351" s="4" t="str">
        <f t="shared" si="896"/>
        <v/>
      </c>
      <c r="AA351" s="4" t="str">
        <f t="shared" si="897"/>
        <v/>
      </c>
      <c r="AB351" s="29"/>
      <c r="AD351" s="80" t="str">
        <f>IF($A$425="","",$A$425)</f>
        <v/>
      </c>
      <c r="AE351" s="4"/>
      <c r="AF351" s="4" t="str">
        <f t="shared" si="898"/>
        <v/>
      </c>
      <c r="AG351" s="4"/>
      <c r="AH351" s="4" t="str">
        <f t="shared" si="899"/>
        <v/>
      </c>
      <c r="AI351" s="4"/>
      <c r="AJ351" s="4" t="str">
        <f t="shared" si="900"/>
        <v/>
      </c>
      <c r="AK351" s="4"/>
      <c r="AL351" s="31" t="str">
        <f t="shared" si="901"/>
        <v/>
      </c>
      <c r="AM351" s="4" t="str">
        <f t="shared" si="901"/>
        <v/>
      </c>
      <c r="AN351" s="4" t="str">
        <f t="shared" si="902"/>
        <v/>
      </c>
      <c r="AO351" s="4" t="str">
        <f t="shared" si="903"/>
        <v/>
      </c>
      <c r="AP351" s="29"/>
      <c r="AR351" s="80" t="str">
        <f>IF($A$425="","",$A$425)</f>
        <v/>
      </c>
      <c r="AS351" s="4"/>
      <c r="AT351" s="4" t="str">
        <f t="shared" si="904"/>
        <v/>
      </c>
      <c r="AU351" s="4"/>
      <c r="AV351" s="4" t="str">
        <f t="shared" si="905"/>
        <v/>
      </c>
      <c r="AW351" s="4"/>
      <c r="AX351" s="4" t="str">
        <f t="shared" si="906"/>
        <v/>
      </c>
      <c r="AY351" s="4"/>
      <c r="AZ351" s="31" t="str">
        <f t="shared" si="907"/>
        <v/>
      </c>
      <c r="BA351" s="4" t="str">
        <f t="shared" si="907"/>
        <v/>
      </c>
      <c r="BB351" s="4" t="str">
        <f t="shared" si="908"/>
        <v/>
      </c>
      <c r="BC351" s="4" t="str">
        <f t="shared" si="909"/>
        <v/>
      </c>
      <c r="BD351" s="29"/>
    </row>
    <row r="352" spans="1:56" ht="15" customHeight="1" x14ac:dyDescent="0.2">
      <c r="A352" s="49"/>
      <c r="B352" s="26"/>
      <c r="C352" s="4"/>
      <c r="D352" s="4" t="str">
        <f t="shared" si="858"/>
        <v/>
      </c>
      <c r="E352" s="4"/>
      <c r="F352" s="4" t="str">
        <f t="shared" si="859"/>
        <v/>
      </c>
      <c r="G352" s="4"/>
      <c r="H352" s="4" t="str">
        <f>IF(G352="","",G348+I348-G352)</f>
        <v/>
      </c>
      <c r="I352" s="4"/>
      <c r="J352" s="2" t="str">
        <f t="shared" si="888"/>
        <v/>
      </c>
      <c r="K352" s="4" t="str">
        <f t="shared" si="883"/>
        <v/>
      </c>
      <c r="L352" s="4" t="str">
        <f t="shared" si="862"/>
        <v/>
      </c>
      <c r="M352" s="4" t="str">
        <f t="shared" si="863"/>
        <v/>
      </c>
      <c r="N352" s="29"/>
      <c r="P352" s="33"/>
      <c r="Q352" s="4"/>
      <c r="R352" s="4" t="str">
        <f t="shared" si="892"/>
        <v/>
      </c>
      <c r="S352" s="4"/>
      <c r="T352" s="4" t="str">
        <f t="shared" si="893"/>
        <v/>
      </c>
      <c r="U352" s="4"/>
      <c r="V352" s="4" t="str">
        <f t="shared" si="894"/>
        <v/>
      </c>
      <c r="W352" s="4"/>
      <c r="X352" s="31" t="str">
        <f t="shared" si="895"/>
        <v/>
      </c>
      <c r="Y352" s="4" t="str">
        <f t="shared" si="895"/>
        <v/>
      </c>
      <c r="Z352" s="4" t="str">
        <f t="shared" si="896"/>
        <v/>
      </c>
      <c r="AA352" s="4" t="str">
        <f t="shared" si="897"/>
        <v/>
      </c>
      <c r="AB352" s="29"/>
      <c r="AD352" s="33"/>
      <c r="AE352" s="4"/>
      <c r="AF352" s="4" t="str">
        <f t="shared" si="898"/>
        <v/>
      </c>
      <c r="AG352" s="4"/>
      <c r="AH352" s="4" t="str">
        <f t="shared" si="899"/>
        <v/>
      </c>
      <c r="AI352" s="4"/>
      <c r="AJ352" s="4" t="str">
        <f t="shared" si="900"/>
        <v/>
      </c>
      <c r="AK352" s="4"/>
      <c r="AL352" s="31" t="str">
        <f t="shared" si="901"/>
        <v/>
      </c>
      <c r="AM352" s="4" t="str">
        <f t="shared" si="901"/>
        <v/>
      </c>
      <c r="AN352" s="4" t="str">
        <f t="shared" si="902"/>
        <v/>
      </c>
      <c r="AO352" s="4" t="str">
        <f t="shared" si="903"/>
        <v/>
      </c>
      <c r="AP352" s="29"/>
      <c r="AR352" s="33"/>
      <c r="AS352" s="4"/>
      <c r="AT352" s="4" t="str">
        <f t="shared" si="904"/>
        <v/>
      </c>
      <c r="AU352" s="4"/>
      <c r="AV352" s="4" t="str">
        <f t="shared" si="905"/>
        <v/>
      </c>
      <c r="AW352" s="4"/>
      <c r="AX352" s="4" t="str">
        <f t="shared" si="906"/>
        <v/>
      </c>
      <c r="AY352" s="4"/>
      <c r="AZ352" s="31" t="str">
        <f t="shared" si="907"/>
        <v/>
      </c>
      <c r="BA352" s="4" t="str">
        <f t="shared" si="907"/>
        <v/>
      </c>
      <c r="BB352" s="4" t="str">
        <f t="shared" si="908"/>
        <v/>
      </c>
      <c r="BC352" s="4" t="str">
        <f t="shared" si="909"/>
        <v/>
      </c>
      <c r="BD352" s="29"/>
    </row>
    <row r="353" spans="1:56" ht="15" customHeight="1" x14ac:dyDescent="0.2">
      <c r="A353" s="15"/>
      <c r="B353" s="64"/>
      <c r="C353" s="57"/>
      <c r="D353" s="57" t="str">
        <f t="shared" si="858"/>
        <v/>
      </c>
      <c r="E353" s="57"/>
      <c r="F353" s="57" t="str">
        <f t="shared" si="859"/>
        <v/>
      </c>
      <c r="G353" s="57"/>
      <c r="H353" s="57" t="str">
        <f>IF(G353="","",G349+I349-G353)</f>
        <v/>
      </c>
      <c r="I353" s="57"/>
      <c r="J353" s="81" t="str">
        <f t="shared" si="888"/>
        <v/>
      </c>
      <c r="K353" s="57" t="str">
        <f t="shared" si="883"/>
        <v/>
      </c>
      <c r="L353" s="57" t="str">
        <f t="shared" si="862"/>
        <v/>
      </c>
      <c r="M353" s="57" t="str">
        <f t="shared" si="863"/>
        <v/>
      </c>
      <c r="N353" s="82"/>
      <c r="P353" s="72"/>
      <c r="Q353" s="57"/>
      <c r="R353" s="57" t="str">
        <f t="shared" si="892"/>
        <v/>
      </c>
      <c r="S353" s="57"/>
      <c r="T353" s="57" t="str">
        <f t="shared" si="893"/>
        <v/>
      </c>
      <c r="U353" s="57"/>
      <c r="V353" s="57" t="str">
        <f t="shared" si="894"/>
        <v/>
      </c>
      <c r="W353" s="57"/>
      <c r="X353" s="83" t="str">
        <f t="shared" si="895"/>
        <v/>
      </c>
      <c r="Y353" s="57" t="str">
        <f t="shared" si="895"/>
        <v/>
      </c>
      <c r="Z353" s="57" t="str">
        <f t="shared" si="896"/>
        <v/>
      </c>
      <c r="AA353" s="57" t="str">
        <f t="shared" si="897"/>
        <v/>
      </c>
      <c r="AB353" s="82"/>
      <c r="AD353" s="72"/>
      <c r="AE353" s="57"/>
      <c r="AF353" s="57" t="str">
        <f t="shared" si="898"/>
        <v/>
      </c>
      <c r="AG353" s="57"/>
      <c r="AH353" s="57" t="str">
        <f t="shared" si="899"/>
        <v/>
      </c>
      <c r="AI353" s="57"/>
      <c r="AJ353" s="57" t="str">
        <f t="shared" si="900"/>
        <v/>
      </c>
      <c r="AK353" s="57"/>
      <c r="AL353" s="83" t="str">
        <f t="shared" si="901"/>
        <v/>
      </c>
      <c r="AM353" s="57" t="str">
        <f t="shared" si="901"/>
        <v/>
      </c>
      <c r="AN353" s="57" t="str">
        <f t="shared" si="902"/>
        <v/>
      </c>
      <c r="AO353" s="57" t="str">
        <f t="shared" si="903"/>
        <v/>
      </c>
      <c r="AP353" s="82"/>
      <c r="AR353" s="72"/>
      <c r="AS353" s="57"/>
      <c r="AT353" s="57" t="str">
        <f t="shared" si="904"/>
        <v/>
      </c>
      <c r="AU353" s="57"/>
      <c r="AV353" s="57" t="str">
        <f t="shared" si="905"/>
        <v/>
      </c>
      <c r="AW353" s="57"/>
      <c r="AX353" s="57" t="str">
        <f t="shared" si="906"/>
        <v/>
      </c>
      <c r="AY353" s="57"/>
      <c r="AZ353" s="83" t="str">
        <f t="shared" si="907"/>
        <v/>
      </c>
      <c r="BA353" s="57" t="str">
        <f t="shared" si="907"/>
        <v/>
      </c>
      <c r="BB353" s="57" t="str">
        <f t="shared" si="908"/>
        <v/>
      </c>
      <c r="BC353" s="57" t="str">
        <f t="shared" si="909"/>
        <v/>
      </c>
      <c r="BD353" s="82"/>
    </row>
    <row r="354" spans="1:56" ht="15" customHeight="1" thickBot="1" x14ac:dyDescent="0.25">
      <c r="A354" s="84"/>
      <c r="B354" s="66"/>
      <c r="C354" s="43"/>
      <c r="D354" s="43" t="str">
        <f t="shared" si="858"/>
        <v/>
      </c>
      <c r="E354" s="43"/>
      <c r="F354" s="43" t="str">
        <f t="shared" si="859"/>
        <v/>
      </c>
      <c r="G354" s="43"/>
      <c r="H354" s="43" t="str">
        <f>IF(G354="","",G350+I350-G354)</f>
        <v/>
      </c>
      <c r="I354" s="43"/>
      <c r="J354" s="85" t="str">
        <f t="shared" si="888"/>
        <v/>
      </c>
      <c r="K354" s="43" t="str">
        <f t="shared" si="883"/>
        <v/>
      </c>
      <c r="L354" s="43" t="str">
        <f t="shared" si="862"/>
        <v/>
      </c>
      <c r="M354" s="43" t="str">
        <f t="shared" si="863"/>
        <v/>
      </c>
      <c r="N354" s="86"/>
      <c r="P354" s="87"/>
      <c r="Q354" s="43"/>
      <c r="R354" s="43" t="str">
        <f t="shared" si="892"/>
        <v/>
      </c>
      <c r="S354" s="43"/>
      <c r="T354" s="43" t="str">
        <f t="shared" si="893"/>
        <v/>
      </c>
      <c r="U354" s="43"/>
      <c r="V354" s="43" t="str">
        <f t="shared" si="894"/>
        <v/>
      </c>
      <c r="W354" s="43"/>
      <c r="X354" s="88" t="str">
        <f t="shared" si="895"/>
        <v/>
      </c>
      <c r="Y354" s="43" t="str">
        <f t="shared" si="895"/>
        <v/>
      </c>
      <c r="Z354" s="43" t="str">
        <f t="shared" si="896"/>
        <v/>
      </c>
      <c r="AA354" s="43" t="str">
        <f t="shared" si="897"/>
        <v/>
      </c>
      <c r="AB354" s="86"/>
      <c r="AD354" s="87"/>
      <c r="AE354" s="43"/>
      <c r="AF354" s="43" t="str">
        <f t="shared" si="898"/>
        <v/>
      </c>
      <c r="AG354" s="43"/>
      <c r="AH354" s="43" t="str">
        <f t="shared" si="899"/>
        <v/>
      </c>
      <c r="AI354" s="43"/>
      <c r="AJ354" s="43" t="str">
        <f t="shared" si="900"/>
        <v/>
      </c>
      <c r="AK354" s="43"/>
      <c r="AL354" s="88" t="str">
        <f t="shared" si="901"/>
        <v/>
      </c>
      <c r="AM354" s="43" t="str">
        <f t="shared" si="901"/>
        <v/>
      </c>
      <c r="AN354" s="43" t="str">
        <f t="shared" si="902"/>
        <v/>
      </c>
      <c r="AO354" s="43" t="str">
        <f t="shared" si="903"/>
        <v/>
      </c>
      <c r="AP354" s="86"/>
      <c r="AR354" s="87"/>
      <c r="AS354" s="43"/>
      <c r="AT354" s="43" t="str">
        <f t="shared" si="904"/>
        <v/>
      </c>
      <c r="AU354" s="43"/>
      <c r="AV354" s="43" t="str">
        <f t="shared" si="905"/>
        <v/>
      </c>
      <c r="AW354" s="43"/>
      <c r="AX354" s="43" t="str">
        <f t="shared" si="906"/>
        <v/>
      </c>
      <c r="AY354" s="43"/>
      <c r="AZ354" s="88" t="str">
        <f t="shared" si="907"/>
        <v/>
      </c>
      <c r="BA354" s="43" t="str">
        <f t="shared" si="907"/>
        <v/>
      </c>
      <c r="BB354" s="43" t="str">
        <f t="shared" si="908"/>
        <v/>
      </c>
      <c r="BC354" s="43" t="str">
        <f t="shared" si="909"/>
        <v/>
      </c>
      <c r="BD354" s="86"/>
    </row>
    <row r="355" spans="1:56" ht="15" customHeight="1" thickTop="1" x14ac:dyDescent="0.2">
      <c r="A355" s="33"/>
      <c r="B355" s="26"/>
      <c r="C355" s="89" t="s">
        <v>20</v>
      </c>
      <c r="D355" s="4">
        <f>SUM(D299:D351)*100</f>
        <v>304300</v>
      </c>
      <c r="E355" s="90" t="s">
        <v>284</v>
      </c>
      <c r="F355" s="4"/>
      <c r="G355" s="89"/>
      <c r="H355" s="4"/>
      <c r="I355" s="4"/>
      <c r="J355" s="164" t="s">
        <v>21</v>
      </c>
      <c r="K355" s="164"/>
      <c r="L355" s="4">
        <f>SUM(L299:L351)</f>
        <v>36014</v>
      </c>
      <c r="M355" s="4"/>
      <c r="N355" s="34"/>
      <c r="P355" s="33"/>
      <c r="Q355" s="89" t="s">
        <v>20</v>
      </c>
      <c r="R355" s="4">
        <f>SUM(R299:R351)*100</f>
        <v>198400</v>
      </c>
      <c r="S355" s="90" t="s">
        <v>284</v>
      </c>
      <c r="T355" s="4"/>
      <c r="U355" s="89"/>
      <c r="V355" s="4"/>
      <c r="W355" s="4"/>
      <c r="X355" s="164" t="s">
        <v>21</v>
      </c>
      <c r="Y355" s="164"/>
      <c r="Z355" s="4">
        <f>SUM(Z299:Z351)</f>
        <v>17959</v>
      </c>
      <c r="AA355" s="4"/>
      <c r="AB355" s="34"/>
      <c r="AD355" s="33"/>
      <c r="AE355" s="89" t="s">
        <v>20</v>
      </c>
      <c r="AF355" s="4">
        <f>SUM(AF299:AF351)*100</f>
        <v>169400</v>
      </c>
      <c r="AG355" s="90" t="s">
        <v>284</v>
      </c>
      <c r="AH355" s="4"/>
      <c r="AI355" s="89"/>
      <c r="AJ355" s="4"/>
      <c r="AK355" s="4"/>
      <c r="AL355" s="164" t="s">
        <v>21</v>
      </c>
      <c r="AM355" s="164"/>
      <c r="AN355" s="4">
        <f>SUM(AN299:AN351)</f>
        <v>13036</v>
      </c>
      <c r="AO355" s="4"/>
      <c r="AP355" s="34"/>
      <c r="AR355" s="33"/>
      <c r="AS355" s="89" t="s">
        <v>20</v>
      </c>
      <c r="AT355" s="4">
        <f>SUM(AT299:AT351)*100</f>
        <v>115700</v>
      </c>
      <c r="AU355" s="90" t="s">
        <v>284</v>
      </c>
      <c r="AV355" s="4"/>
      <c r="AW355" s="89"/>
      <c r="AX355" s="4"/>
      <c r="AY355" s="4"/>
      <c r="AZ355" s="164" t="s">
        <v>21</v>
      </c>
      <c r="BA355" s="164"/>
      <c r="BB355" s="4">
        <f>SUM(BB299:BB351)</f>
        <v>11046</v>
      </c>
      <c r="BC355" s="4"/>
      <c r="BD355" s="34"/>
    </row>
    <row r="356" spans="1:56" ht="15" customHeight="1" x14ac:dyDescent="0.2">
      <c r="A356" s="91"/>
      <c r="B356" s="71"/>
      <c r="C356" s="16" t="s">
        <v>22</v>
      </c>
      <c r="D356" s="5">
        <f>D355/A360</f>
        <v>11270.37037037037</v>
      </c>
      <c r="E356" s="5">
        <f>D356*A359</f>
        <v>338111.11111111112</v>
      </c>
      <c r="F356" s="5"/>
      <c r="G356" s="16"/>
      <c r="H356" s="5"/>
      <c r="I356" s="5"/>
      <c r="J356" s="161" t="s">
        <v>23</v>
      </c>
      <c r="K356" s="161"/>
      <c r="L356" s="5"/>
      <c r="M356" s="92">
        <f>L355/D355</f>
        <v>0.11835031219191587</v>
      </c>
      <c r="N356" s="29"/>
      <c r="P356" s="93"/>
      <c r="Q356" s="16" t="s">
        <v>22</v>
      </c>
      <c r="R356" s="5">
        <f>R355/A360</f>
        <v>7348.1481481481478</v>
      </c>
      <c r="S356" s="5">
        <f>R356*A359</f>
        <v>220444.44444444444</v>
      </c>
      <c r="T356" s="5"/>
      <c r="U356" s="16"/>
      <c r="V356" s="5"/>
      <c r="W356" s="5"/>
      <c r="X356" s="161" t="s">
        <v>23</v>
      </c>
      <c r="Y356" s="161"/>
      <c r="Z356" s="5"/>
      <c r="AA356" s="92">
        <f>Z355/R355</f>
        <v>9.0519153225806448E-2</v>
      </c>
      <c r="AB356" s="29"/>
      <c r="AD356" s="93"/>
      <c r="AE356" s="16" t="s">
        <v>22</v>
      </c>
      <c r="AF356" s="5">
        <f>AF355/A360</f>
        <v>6274.0740740740739</v>
      </c>
      <c r="AG356" s="5">
        <f>AF356*A359</f>
        <v>188222.22222222222</v>
      </c>
      <c r="AH356" s="5"/>
      <c r="AI356" s="16"/>
      <c r="AJ356" s="5"/>
      <c r="AK356" s="5"/>
      <c r="AL356" s="161" t="s">
        <v>23</v>
      </c>
      <c r="AM356" s="161"/>
      <c r="AN356" s="5"/>
      <c r="AO356" s="92">
        <f>AN355/AF355</f>
        <v>7.6953955135773314E-2</v>
      </c>
      <c r="AP356" s="29"/>
      <c r="AR356" s="93"/>
      <c r="AS356" s="16" t="s">
        <v>22</v>
      </c>
      <c r="AT356" s="5">
        <f>AT355/A360</f>
        <v>4285.1851851851852</v>
      </c>
      <c r="AU356" s="5">
        <f>AT356*A359</f>
        <v>128555.55555555556</v>
      </c>
      <c r="AV356" s="5"/>
      <c r="AW356" s="16"/>
      <c r="AX356" s="5"/>
      <c r="AY356" s="5"/>
      <c r="AZ356" s="161" t="s">
        <v>23</v>
      </c>
      <c r="BA356" s="161"/>
      <c r="BB356" s="5"/>
      <c r="BC356" s="92">
        <f>BB355/AT355</f>
        <v>9.5471045808124461E-2</v>
      </c>
      <c r="BD356" s="29"/>
    </row>
    <row r="357" spans="1:56" ht="15" customHeight="1" x14ac:dyDescent="0.2">
      <c r="A357" s="25"/>
      <c r="B357" s="94"/>
      <c r="C357" s="23" t="s">
        <v>24</v>
      </c>
      <c r="D357" s="5">
        <f>D355*0.6</f>
        <v>182580</v>
      </c>
      <c r="E357" s="5"/>
      <c r="F357" s="5"/>
      <c r="G357" s="16"/>
      <c r="H357" s="5"/>
      <c r="I357" s="5"/>
      <c r="J357" s="161" t="s">
        <v>25</v>
      </c>
      <c r="K357" s="161"/>
      <c r="L357" s="5">
        <f>D357-L355</f>
        <v>146566</v>
      </c>
      <c r="M357" s="92">
        <f>L357/D355</f>
        <v>0.48164968780808415</v>
      </c>
      <c r="N357" s="29"/>
      <c r="P357" s="25"/>
      <c r="Q357" s="23" t="s">
        <v>24</v>
      </c>
      <c r="R357" s="5">
        <f>R355*0.6</f>
        <v>119040</v>
      </c>
      <c r="S357" s="5"/>
      <c r="T357" s="5"/>
      <c r="U357" s="16"/>
      <c r="V357" s="5"/>
      <c r="W357" s="5"/>
      <c r="X357" s="161" t="s">
        <v>25</v>
      </c>
      <c r="Y357" s="161"/>
      <c r="Z357" s="5">
        <f>R357-Z355</f>
        <v>101081</v>
      </c>
      <c r="AA357" s="92">
        <f>Z357/R355</f>
        <v>0.50948084677419359</v>
      </c>
      <c r="AB357" s="29"/>
      <c r="AD357" s="25"/>
      <c r="AE357" s="23" t="s">
        <v>24</v>
      </c>
      <c r="AF357" s="5">
        <f>AF355*0.6</f>
        <v>101640</v>
      </c>
      <c r="AG357" s="5"/>
      <c r="AH357" s="5"/>
      <c r="AI357" s="16"/>
      <c r="AJ357" s="5"/>
      <c r="AK357" s="5"/>
      <c r="AL357" s="161" t="s">
        <v>25</v>
      </c>
      <c r="AM357" s="161"/>
      <c r="AN357" s="5">
        <f>AF357-AN355</f>
        <v>88604</v>
      </c>
      <c r="AO357" s="92">
        <f>AN357/AF355</f>
        <v>0.52304604486422668</v>
      </c>
      <c r="AP357" s="29"/>
      <c r="AR357" s="25"/>
      <c r="AS357" s="23" t="s">
        <v>24</v>
      </c>
      <c r="AT357" s="5">
        <f>AT355*0.6</f>
        <v>69420</v>
      </c>
      <c r="AU357" s="5"/>
      <c r="AV357" s="5"/>
      <c r="AW357" s="16"/>
      <c r="AX357" s="5"/>
      <c r="AY357" s="5"/>
      <c r="AZ357" s="161" t="s">
        <v>25</v>
      </c>
      <c r="BA357" s="161"/>
      <c r="BB357" s="5">
        <f>AT357-BB355</f>
        <v>58374</v>
      </c>
      <c r="BC357" s="92">
        <f>BB357/AT355</f>
        <v>0.50452895419187549</v>
      </c>
      <c r="BD357" s="29"/>
    </row>
    <row r="358" spans="1:56" ht="15" customHeight="1" x14ac:dyDescent="0.2">
      <c r="A358" s="33"/>
      <c r="B358" s="26"/>
      <c r="C358" s="16" t="s">
        <v>26</v>
      </c>
      <c r="D358" s="5"/>
      <c r="E358" s="5"/>
      <c r="F358" s="5"/>
      <c r="G358" s="16"/>
      <c r="H358" s="5"/>
      <c r="I358" s="95"/>
      <c r="J358" s="159" t="s">
        <v>285</v>
      </c>
      <c r="K358" s="159"/>
      <c r="L358" s="4">
        <f>(G323+I323)*K323+(G324+I324)*K324+(G325+I325)*K325+(G326+I326)*K326</f>
        <v>146590</v>
      </c>
      <c r="M358" s="36"/>
      <c r="N358" s="29"/>
      <c r="P358" s="33"/>
      <c r="Q358" s="16" t="s">
        <v>26</v>
      </c>
      <c r="R358" s="5"/>
      <c r="S358" s="5"/>
      <c r="T358" s="5"/>
      <c r="U358" s="16"/>
      <c r="V358" s="5"/>
      <c r="W358" s="95"/>
      <c r="X358" s="159" t="s">
        <v>285</v>
      </c>
      <c r="Y358" s="159"/>
      <c r="Z358" s="4">
        <f>(U323+W323)*Y323+(U324+W324)*Y324+(U325+W325)*Y325+(U326+W326)*Y326</f>
        <v>33879</v>
      </c>
      <c r="AA358" s="36"/>
      <c r="AB358" s="29"/>
      <c r="AD358" s="33"/>
      <c r="AE358" s="16" t="s">
        <v>26</v>
      </c>
      <c r="AF358" s="5"/>
      <c r="AG358" s="5"/>
      <c r="AH358" s="5"/>
      <c r="AI358" s="16"/>
      <c r="AJ358" s="5"/>
      <c r="AK358" s="95"/>
      <c r="AL358" s="159" t="s">
        <v>285</v>
      </c>
      <c r="AM358" s="159"/>
      <c r="AN358" s="4">
        <f>(AI323+AK323)*AM323+(AI324+AK324)*AM324+(AI325+AK325)*AM325+(AI326+AK326)*AM326</f>
        <v>35644</v>
      </c>
      <c r="AO358" s="36"/>
      <c r="AP358" s="29"/>
      <c r="AR358" s="33"/>
      <c r="AS358" s="16" t="s">
        <v>26</v>
      </c>
      <c r="AT358" s="5"/>
      <c r="AU358" s="5"/>
      <c r="AV358" s="5"/>
      <c r="AW358" s="16"/>
      <c r="AX358" s="5"/>
      <c r="AY358" s="95"/>
      <c r="AZ358" s="159" t="s">
        <v>285</v>
      </c>
      <c r="BA358" s="159"/>
      <c r="BB358" s="4">
        <f>(AW323+AY323)*BA323+(AW324+AY324)*BA324+(AW325+AY325)*BA325+(AW326+AY326)*BA326</f>
        <v>38266</v>
      </c>
      <c r="BC358" s="36"/>
      <c r="BD358" s="29"/>
    </row>
    <row r="359" spans="1:56" ht="15" customHeight="1" x14ac:dyDescent="0.2">
      <c r="A359" s="15">
        <v>30</v>
      </c>
      <c r="B359" s="96" t="e">
        <f>SUM(B299:B351)*100</f>
        <v>#REF!</v>
      </c>
      <c r="C359" s="16"/>
      <c r="D359" s="5"/>
      <c r="E359" s="5"/>
      <c r="F359" s="5"/>
      <c r="G359" s="16"/>
      <c r="H359" s="5"/>
      <c r="I359" s="95"/>
      <c r="J359" s="97"/>
      <c r="K359" s="98"/>
      <c r="L359" s="27"/>
      <c r="M359" s="36"/>
      <c r="N359" s="29"/>
      <c r="P359" s="33"/>
      <c r="Q359" s="16"/>
      <c r="R359" s="5"/>
      <c r="S359" s="5"/>
      <c r="T359" s="5"/>
      <c r="U359" s="16"/>
      <c r="V359" s="5"/>
      <c r="W359" s="95"/>
      <c r="X359" s="97"/>
      <c r="Y359" s="98"/>
      <c r="Z359" s="27"/>
      <c r="AA359" s="36"/>
      <c r="AB359" s="29"/>
      <c r="AD359" s="33"/>
      <c r="AE359" s="16"/>
      <c r="AF359" s="5"/>
      <c r="AG359" s="5"/>
      <c r="AH359" s="5"/>
      <c r="AI359" s="16"/>
      <c r="AJ359" s="5"/>
      <c r="AK359" s="95"/>
      <c r="AL359" s="97"/>
      <c r="AM359" s="98"/>
      <c r="AN359" s="27"/>
      <c r="AO359" s="36"/>
      <c r="AP359" s="29"/>
      <c r="AR359" s="33"/>
      <c r="AS359" s="16"/>
      <c r="AT359" s="5"/>
      <c r="AU359" s="5"/>
      <c r="AV359" s="5"/>
      <c r="AW359" s="16"/>
      <c r="AX359" s="5"/>
      <c r="AY359" s="95"/>
      <c r="AZ359" s="97"/>
      <c r="BA359" s="98"/>
      <c r="BB359" s="27"/>
      <c r="BC359" s="36"/>
      <c r="BD359" s="29"/>
    </row>
    <row r="360" spans="1:56" ht="15" customHeight="1" x14ac:dyDescent="0.2">
      <c r="A360" s="100">
        <f>DATEDIF(A$405,A331,"d")</f>
        <v>27</v>
      </c>
      <c r="B360" s="26"/>
      <c r="C360" s="16"/>
      <c r="D360" s="5"/>
      <c r="E360" s="58"/>
      <c r="F360" s="5"/>
      <c r="G360" s="16"/>
      <c r="H360" s="5"/>
      <c r="I360" s="95"/>
      <c r="J360" s="97"/>
      <c r="K360" s="98"/>
      <c r="L360" s="27"/>
      <c r="M360" s="36"/>
      <c r="N360" s="29"/>
      <c r="P360" s="33"/>
      <c r="Q360" s="16"/>
      <c r="R360" s="5"/>
      <c r="S360" s="5"/>
      <c r="T360" s="5"/>
      <c r="U360" s="16"/>
      <c r="V360" s="5"/>
      <c r="W360" s="95"/>
      <c r="X360" s="97"/>
      <c r="Y360" s="98"/>
      <c r="Z360" s="27"/>
      <c r="AA360" s="36"/>
      <c r="AB360" s="29"/>
      <c r="AD360" s="33"/>
      <c r="AE360" s="16"/>
      <c r="AF360" s="5"/>
      <c r="AG360" s="5"/>
      <c r="AH360" s="5"/>
      <c r="AI360" s="16"/>
      <c r="AJ360" s="5"/>
      <c r="AK360" s="95"/>
      <c r="AL360" s="97"/>
      <c r="AM360" s="98"/>
      <c r="AN360" s="27"/>
      <c r="AO360" s="36"/>
      <c r="AP360" s="29"/>
      <c r="AR360" s="33"/>
      <c r="AS360" s="16"/>
      <c r="AT360" s="5"/>
      <c r="AU360" s="5"/>
      <c r="AV360" s="5"/>
      <c r="AW360" s="16"/>
      <c r="AX360" s="5"/>
      <c r="AY360" s="95"/>
      <c r="AZ360" s="97"/>
      <c r="BA360" s="98"/>
      <c r="BB360" s="27"/>
      <c r="BC360" s="36"/>
      <c r="BD360" s="29"/>
    </row>
    <row r="361" spans="1:56" x14ac:dyDescent="0.2">
      <c r="A361" s="157" t="s">
        <v>27</v>
      </c>
      <c r="B361" s="157"/>
      <c r="C361" s="157"/>
      <c r="D361" s="103">
        <f>SUM(D299,D303,D307,D311,D315,D319,D323,D327,D331,D335,D339,D343,D347)*100</f>
        <v>59700</v>
      </c>
      <c r="E361" s="39"/>
      <c r="F361" s="5"/>
      <c r="G361" s="16">
        <f>D361/H361</f>
        <v>3731.25</v>
      </c>
      <c r="H361" s="103">
        <f>SUM(H299,H303,H307,H311,H315,H319,H324,H327,H331,H335,H339,H343,H347)</f>
        <v>16</v>
      </c>
      <c r="I361" s="5"/>
      <c r="J361" s="2" t="str">
        <f t="shared" ref="J361:K364" si="910">J299</f>
        <v>液晶ミニカメラ</v>
      </c>
      <c r="K361" s="27">
        <f t="shared" si="910"/>
        <v>1075</v>
      </c>
      <c r="L361" s="103">
        <f>SUM(L299,L303,L307,L311,L315,L319,L324,L327,L331,L335,L339,L343,L347)</f>
        <v>17200</v>
      </c>
      <c r="M361" s="92">
        <f>L361/D361</f>
        <v>0.28810720268006701</v>
      </c>
      <c r="N361" s="29"/>
      <c r="O361" s="104"/>
      <c r="P361" s="157" t="s">
        <v>27</v>
      </c>
      <c r="Q361" s="157"/>
      <c r="R361" s="103">
        <f>SUM(R299,R303,R307,R311,R315,R319,R323,R327,R331,R335,R339,R343,R347)*100</f>
        <v>63600</v>
      </c>
      <c r="S361" s="39"/>
      <c r="T361" s="5"/>
      <c r="U361" s="16">
        <f>R361/V361</f>
        <v>5781.818181818182</v>
      </c>
      <c r="V361" s="103">
        <f>SUM(V299,V303,V307,V311,V315,V319,V324,V327,V331,V335,V339,V343,V347)</f>
        <v>11</v>
      </c>
      <c r="W361" s="5"/>
      <c r="X361" s="31" t="str">
        <f t="shared" ref="X361:Y364" si="911">X299</f>
        <v>キティフェイスポーチ</v>
      </c>
      <c r="Y361" s="27">
        <f t="shared" si="911"/>
        <v>957</v>
      </c>
      <c r="Z361" s="103">
        <f>SUM(Z299,Z303,Z307,Z311,Z315,Z319,Z324,Z327,Z331,Z335,Z339,Z343,Z347)</f>
        <v>8613</v>
      </c>
      <c r="AA361" s="92">
        <f>Z361/R361</f>
        <v>0.13542452830188678</v>
      </c>
      <c r="AB361" s="29"/>
      <c r="AD361" s="157" t="s">
        <v>27</v>
      </c>
      <c r="AE361" s="157"/>
      <c r="AF361" s="103">
        <f>SUM(AF299,AF303,AF307,AF311,AF315,AF319,AF323,AF327,AF331,AF335,AF339,AF343,AF347)*100</f>
        <v>30700</v>
      </c>
      <c r="AG361" s="39"/>
      <c r="AH361" s="5"/>
      <c r="AI361" s="16">
        <f>AF361/AJ361</f>
        <v>10233.333333333334</v>
      </c>
      <c r="AJ361" s="103">
        <f>SUM(AJ299,AJ303,AJ307,AJ311,AJ315,AJ319,AJ324,AJ327,AJ331,AJ335,AJ339,AJ343,AJ347)</f>
        <v>3</v>
      </c>
      <c r="AK361" s="5"/>
      <c r="AL361" s="31" t="str">
        <f t="shared" ref="AL361:AM364" si="912">AL299</f>
        <v>ピクミンマスコット</v>
      </c>
      <c r="AM361" s="27">
        <f t="shared" si="912"/>
        <v>748</v>
      </c>
      <c r="AN361" s="103">
        <f>SUM(AN299,AN303,AN307,AN311,AN315,AN319,AN324,AN327,AN331,AN335,AN339,AN343,AN347)</f>
        <v>2244</v>
      </c>
      <c r="AO361" s="92">
        <f>AN361/AF361</f>
        <v>7.3094462540716609E-2</v>
      </c>
      <c r="AP361" s="29"/>
      <c r="AR361" s="157" t="s">
        <v>27</v>
      </c>
      <c r="AS361" s="157"/>
      <c r="AT361" s="103">
        <f>SUM(AT299,AT303,AT307,AT311,AT315,AT319,AT323,AT327,AT331,AT335,AT339,AT343,AT347)*100</f>
        <v>45800</v>
      </c>
      <c r="AU361" s="39"/>
      <c r="AV361" s="5"/>
      <c r="AW361" s="16">
        <f>AT361/AX361</f>
        <v>9160</v>
      </c>
      <c r="AX361" s="103">
        <f>SUM(AX299,AX303,AX307,AX311,AX315,AX319,AX324,AX327,AX331,AX335,AX339,AX343,AX347)</f>
        <v>5</v>
      </c>
      <c r="AY361" s="5"/>
      <c r="AZ361" s="31" t="str">
        <f t="shared" ref="AZ361:BA364" si="913">AZ299</f>
        <v>デジタルミニカメラ</v>
      </c>
      <c r="BA361" s="27">
        <f t="shared" si="913"/>
        <v>722</v>
      </c>
      <c r="BB361" s="103">
        <f>SUM(BB299,BB303,BB307,BB311,BB315,BB319,BB324,BB327,BB331,BB335,BB339,BB343,BB347)</f>
        <v>3610</v>
      </c>
      <c r="BC361" s="92">
        <f>BB361/AT361</f>
        <v>7.8820960698689962E-2</v>
      </c>
      <c r="BD361" s="29"/>
    </row>
    <row r="362" spans="1:56" x14ac:dyDescent="0.2">
      <c r="A362" s="157" t="s">
        <v>27</v>
      </c>
      <c r="B362" s="157"/>
      <c r="C362" s="157"/>
      <c r="D362" s="103">
        <f>SUM(D300,D304,D308,D312,D316,D320,D324,D328,D332,D336,D340,D344,D348)*100</f>
        <v>58700</v>
      </c>
      <c r="E362" s="39"/>
      <c r="F362" s="5"/>
      <c r="G362" s="16">
        <f>D362/H362</f>
        <v>4192.8571428571431</v>
      </c>
      <c r="H362" s="103">
        <f>SUM(H300,H304,H308,H312,H316,H320,H323,H328,H332,H336,H340,H344,H348)</f>
        <v>14</v>
      </c>
      <c r="I362" s="5"/>
      <c r="J362" s="2" t="str">
        <f t="shared" si="910"/>
        <v>電ブル</v>
      </c>
      <c r="K362" s="27">
        <f t="shared" si="910"/>
        <v>275</v>
      </c>
      <c r="L362" s="103">
        <f>SUM(L300,L304,L308,L312,L316,L320,L323,L328,L332,L336,L340,L344,L348)</f>
        <v>3850</v>
      </c>
      <c r="M362" s="92">
        <f>L362/D362</f>
        <v>6.5587734241908002E-2</v>
      </c>
      <c r="N362" s="29"/>
      <c r="O362" s="30"/>
      <c r="P362" s="157" t="s">
        <v>27</v>
      </c>
      <c r="Q362" s="157"/>
      <c r="R362" s="103">
        <f>SUM(R300,R304,R308,R312,R316,R320,R324,R328,R332,R336,R340,R344,R348)*100</f>
        <v>32100</v>
      </c>
      <c r="S362" s="39"/>
      <c r="T362" s="5"/>
      <c r="U362" s="16">
        <f>R362/V362</f>
        <v>10700</v>
      </c>
      <c r="V362" s="103">
        <f>SUM(V300,V304,V308,V312,V316,V320,V323,V328,V332,V336,V340,V344,V348)</f>
        <v>3</v>
      </c>
      <c r="W362" s="5"/>
      <c r="X362" s="31" t="str">
        <f t="shared" si="911"/>
        <v>サンリオミニリュックチャーム付</v>
      </c>
      <c r="Y362" s="27">
        <f t="shared" si="911"/>
        <v>600</v>
      </c>
      <c r="Z362" s="103">
        <f>SUM(Z300,Z304,Z308,Z312,Z316,Z320,Z323,Z328,Z332,Z336,Z340,Z344,Z348)</f>
        <v>1800</v>
      </c>
      <c r="AA362" s="92">
        <f>Z362/R362</f>
        <v>5.6074766355140186E-2</v>
      </c>
      <c r="AB362" s="29"/>
      <c r="AD362" s="157" t="s">
        <v>27</v>
      </c>
      <c r="AE362" s="157"/>
      <c r="AF362" s="103">
        <f>SUM(AF300,AF304,AF308,AF312,AF316,AF320,AF324,AF328,AF332,AF336,AF340,AF344,AF348)*100</f>
        <v>39500</v>
      </c>
      <c r="AG362" s="39"/>
      <c r="AH362" s="5"/>
      <c r="AI362" s="16">
        <f>AF362/AJ362</f>
        <v>9875</v>
      </c>
      <c r="AJ362" s="103">
        <f>SUM(AJ300,AJ304,AJ308,AJ312,AJ316,AJ320,AJ323,AJ328,AJ332,AJ336,AJ340,AJ344,AJ348)</f>
        <v>4</v>
      </c>
      <c r="AK362" s="5"/>
      <c r="AL362" s="31" t="str">
        <f t="shared" si="912"/>
        <v>ジャグラーサウンドフラッシュ</v>
      </c>
      <c r="AM362" s="27">
        <f t="shared" si="912"/>
        <v>748</v>
      </c>
      <c r="AN362" s="103">
        <f>SUM(AN300,AN304,AN308,AN312,AN316,AN320,AN323,AN328,AN332,AN336,AN340,AN344,AN348)</f>
        <v>2992</v>
      </c>
      <c r="AO362" s="92">
        <f>AN362/AF362</f>
        <v>7.574683544303798E-2</v>
      </c>
      <c r="AP362" s="29"/>
      <c r="AR362" s="157" t="s">
        <v>27</v>
      </c>
      <c r="AS362" s="157"/>
      <c r="AT362" s="103">
        <f>SUM(AT300,AT304,AT308,AT312,AT316,AT320,AT324,AT328,AT332,AT336,AT340,AT344,AT348)*100</f>
        <v>31900</v>
      </c>
      <c r="AU362" s="39"/>
      <c r="AV362" s="5"/>
      <c r="AW362" s="16">
        <f>AT362/AX362</f>
        <v>7975</v>
      </c>
      <c r="AX362" s="103">
        <f>SUM(AX300,AX304,AX308,AX312,AX316,AX320,AX323,AX328,AX332,AX336,AX340,AX344,AX348)</f>
        <v>4</v>
      </c>
      <c r="AY362" s="5"/>
      <c r="AZ362" s="31" t="str">
        <f t="shared" si="913"/>
        <v>クーリッシュイヤホン</v>
      </c>
      <c r="BA362" s="27">
        <f t="shared" si="913"/>
        <v>1100</v>
      </c>
      <c r="BB362" s="103">
        <f>SUM(BB300,BB304,BB308,BB312,BB316,BB320,BB323,BB328,BB332,BB336,BB340,BB344,BB348)</f>
        <v>4400</v>
      </c>
      <c r="BC362" s="92">
        <f>BB362/AT362</f>
        <v>0.13793103448275862</v>
      </c>
      <c r="BD362" s="29"/>
    </row>
    <row r="363" spans="1:56" x14ac:dyDescent="0.2">
      <c r="A363" s="157" t="s">
        <v>27</v>
      </c>
      <c r="B363" s="157"/>
      <c r="C363" s="157"/>
      <c r="D363" s="103">
        <f>SUM(D301,D305,D309,D313,D317,D321,D325,D329,D333,D337,D341,D345,D349)*100</f>
        <v>121400</v>
      </c>
      <c r="E363" s="39"/>
      <c r="F363" s="5"/>
      <c r="G363" s="16">
        <f>D363/H363</f>
        <v>10116.666666666666</v>
      </c>
      <c r="H363" s="103">
        <f>SUM(H301,H305,H309,H314,H317,H321,H325,H329,H333,H337,H341,H345,H349)</f>
        <v>12</v>
      </c>
      <c r="I363" s="5"/>
      <c r="J363" s="2" t="str">
        <f t="shared" si="910"/>
        <v>ラブブキーホルダー</v>
      </c>
      <c r="K363" s="27">
        <f t="shared" si="910"/>
        <v>500</v>
      </c>
      <c r="L363" s="103">
        <f>SUM(L301,L305,L309,L314,L317,L321,L325,L329,L333,L337,L341,L345,L349)</f>
        <v>6496</v>
      </c>
      <c r="M363" s="92">
        <f>L363/D363</f>
        <v>5.3509060955518946E-2</v>
      </c>
      <c r="N363" s="29"/>
      <c r="O363" s="30"/>
      <c r="P363" s="157" t="s">
        <v>27</v>
      </c>
      <c r="Q363" s="157"/>
      <c r="R363" s="103">
        <f>SUM(R301,R305,R309,R313,R317,R321,R325,R329,R333,R337,R341,R345,R349)*100</f>
        <v>50400</v>
      </c>
      <c r="S363" s="39"/>
      <c r="T363" s="5"/>
      <c r="U363" s="16">
        <f>R363/V363</f>
        <v>1866.6666666666667</v>
      </c>
      <c r="V363" s="103">
        <f>SUM(V301,V305,V309,V314,V317,V321,V325,V329,V333,V337,V341,V345,V349)</f>
        <v>27</v>
      </c>
      <c r="W363" s="5"/>
      <c r="X363" s="31" t="str">
        <f t="shared" si="911"/>
        <v>AIラバー</v>
      </c>
      <c r="Y363" s="27">
        <f t="shared" si="911"/>
        <v>198</v>
      </c>
      <c r="Z363" s="103">
        <f>SUM(Z301,Z305,Z309,Z314,Z317,Z321,Z325,Z329,Z333,Z337,Z341,Z345,Z349)</f>
        <v>5346</v>
      </c>
      <c r="AA363" s="92">
        <f>Z363/R363</f>
        <v>0.10607142857142857</v>
      </c>
      <c r="AB363" s="29"/>
      <c r="AD363" s="157" t="s">
        <v>27</v>
      </c>
      <c r="AE363" s="157"/>
      <c r="AF363" s="103">
        <f>SUM(AF301,AF305,AF309,AF313,AF317,AF321,AF325,AF329,AF333,AF337,AF341,AF345,AF349)*100</f>
        <v>36100</v>
      </c>
      <c r="AG363" s="39"/>
      <c r="AH363" s="5"/>
      <c r="AI363" s="16">
        <f>AF363/AJ363</f>
        <v>9025</v>
      </c>
      <c r="AJ363" s="103">
        <f>SUM(AJ301,AJ305,AJ309,AJ314,AJ317,AJ321,AJ325,AJ329,AJ333,AJ337,AJ341,AJ345,AJ349)</f>
        <v>4</v>
      </c>
      <c r="AK363" s="5"/>
      <c r="AL363" s="31" t="str">
        <f t="shared" si="912"/>
        <v>サンリオギャルキーケース</v>
      </c>
      <c r="AM363" s="27">
        <f t="shared" si="912"/>
        <v>700</v>
      </c>
      <c r="AN363" s="103">
        <f>SUM(AN301,AN305,AN309,AN314,AN317,AN321,AN325,AN329,AN333,AN337,AN341,AN345,AN349)</f>
        <v>2800</v>
      </c>
      <c r="AO363" s="92">
        <f>AN363/AF363</f>
        <v>7.7562326869806089E-2</v>
      </c>
      <c r="AP363" s="29"/>
      <c r="AR363" s="157" t="s">
        <v>27</v>
      </c>
      <c r="AS363" s="157"/>
      <c r="AT363" s="103">
        <f>SUM(AT301,AT305,AT309,AT313,AT317,AT321,AT325,AT329,AT333,AT337,AT341,AT345,AT349)*100</f>
        <v>22000</v>
      </c>
      <c r="AU363" s="39"/>
      <c r="AV363" s="5"/>
      <c r="AW363" s="16">
        <f>AT363/AX363</f>
        <v>11000</v>
      </c>
      <c r="AX363" s="103">
        <f>SUM(AX301,AX305,AX309,AX314,AX317,AX321,AX325,AX329,AX333,AX337,AX341,AX345,AX349)</f>
        <v>2</v>
      </c>
      <c r="AY363" s="5"/>
      <c r="AZ363" s="31" t="str">
        <f t="shared" si="913"/>
        <v>モンチッチマスコット</v>
      </c>
      <c r="BA363" s="27">
        <f t="shared" si="913"/>
        <v>528</v>
      </c>
      <c r="BB363" s="103">
        <f>SUM(BB301,BB305,BB309,BB314,BB317,BB321,BB325,BB329,BB333,BB337,BB341,BB345,BB349)</f>
        <v>1056</v>
      </c>
      <c r="BC363" s="92">
        <f>BB363/AT363</f>
        <v>4.8000000000000001E-2</v>
      </c>
      <c r="BD363" s="29"/>
    </row>
    <row r="364" spans="1:56" x14ac:dyDescent="0.2">
      <c r="A364" s="157" t="s">
        <v>27</v>
      </c>
      <c r="B364" s="157"/>
      <c r="C364" s="157"/>
      <c r="D364" s="103">
        <f>SUM(D302,D306,D310,D314,D318,D322,D326,D330,D334,D338,D342,D346,D350)*100</f>
        <v>64500</v>
      </c>
      <c r="E364" s="39"/>
      <c r="F364" s="5"/>
      <c r="G364" s="16">
        <f>D364/H364</f>
        <v>7166.666666666667</v>
      </c>
      <c r="H364" s="103">
        <f>SUM(H302,H306,H310,H313,H318,H322,H326,H330,H334,H338,H342,H346,H350)</f>
        <v>9</v>
      </c>
      <c r="I364" s="5"/>
      <c r="J364" s="2" t="str">
        <f t="shared" si="910"/>
        <v>キティヒョウ柄マスコット</v>
      </c>
      <c r="K364" s="27">
        <f t="shared" si="910"/>
        <v>996</v>
      </c>
      <c r="L364" s="103">
        <f>SUM(L302,L306,L310,L313,L318,L322,L326,L330,L334,L338,L342,L346,L350)</f>
        <v>8468</v>
      </c>
      <c r="M364" s="92">
        <f>L364/D364</f>
        <v>0.13128682170542635</v>
      </c>
      <c r="N364" s="29"/>
      <c r="O364" s="30"/>
      <c r="P364" s="157" t="s">
        <v>27</v>
      </c>
      <c r="Q364" s="157"/>
      <c r="R364" s="103">
        <f>SUM(R302,R306,R310,R314,R318,R322,R326,R330,R334,R338,R342,R346,R350)*100</f>
        <v>52300</v>
      </c>
      <c r="S364" s="39"/>
      <c r="T364" s="5"/>
      <c r="U364" s="16">
        <f>R364/V364</f>
        <v>6537.5</v>
      </c>
      <c r="V364" s="103">
        <f>SUM(V302,V306,V310,V313,V318,V322,V326,V330,V334,V338,V342,V346,V350)</f>
        <v>8</v>
      </c>
      <c r="W364" s="5"/>
      <c r="X364" s="31" t="str">
        <f t="shared" si="911"/>
        <v>AIマスコット</v>
      </c>
      <c r="Y364" s="27">
        <f t="shared" si="911"/>
        <v>286</v>
      </c>
      <c r="Z364" s="103">
        <f>SUM(Z302,Z306,Z310,Z313,Z318,Z322,Z326,Z330,Z334,Z338,Z342,Z346,Z350)</f>
        <v>2200</v>
      </c>
      <c r="AA364" s="92">
        <f>Z364/R364</f>
        <v>4.2065009560229447E-2</v>
      </c>
      <c r="AB364" s="29"/>
      <c r="AD364" s="157" t="s">
        <v>27</v>
      </c>
      <c r="AE364" s="157"/>
      <c r="AF364" s="103">
        <f>SUM(AF302,AF306,AF310,AF314,AF318,AF322,AF326,AF330,AF334,AF338,AF342,AF346,AF350)*100</f>
        <v>63100</v>
      </c>
      <c r="AG364" s="39"/>
      <c r="AH364" s="5"/>
      <c r="AI364" s="16">
        <f>AF364/AJ364</f>
        <v>6310</v>
      </c>
      <c r="AJ364" s="103">
        <f>SUM(AJ302,AJ306,AJ310,AJ313,AJ318,AJ322,AJ326,AJ330,AJ334,AJ338,AJ342,AJ346,AJ350)</f>
        <v>10</v>
      </c>
      <c r="AK364" s="5"/>
      <c r="AL364" s="31" t="str">
        <f t="shared" si="912"/>
        <v>ラブブマスコット</v>
      </c>
      <c r="AM364" s="27">
        <f t="shared" si="912"/>
        <v>500</v>
      </c>
      <c r="AN364" s="103">
        <f>SUM(AN302,AN306,AN310,AN313,AN318,AN322,AN326,AN330,AN334,AN338,AN342,AN346,AN350)</f>
        <v>5000</v>
      </c>
      <c r="AO364" s="92">
        <f>AN364/AF364</f>
        <v>7.9239302694136288E-2</v>
      </c>
      <c r="AP364" s="29"/>
      <c r="AR364" s="157" t="s">
        <v>27</v>
      </c>
      <c r="AS364" s="157"/>
      <c r="AT364" s="103">
        <f>SUM(AT302,AT306,AT310,AT314,AT318,AT322,AT326,AT330,AT334,AT338,AT342,AT346,AT350)*100</f>
        <v>16000</v>
      </c>
      <c r="AU364" s="39"/>
      <c r="AV364" s="5"/>
      <c r="AW364" s="16">
        <f>AT364/AX364</f>
        <v>5333.333333333333</v>
      </c>
      <c r="AX364" s="103">
        <f>SUM(AX302,AX306,AX310,AX313,AX318,AX322,AX326,AX330,AX334,AX338,AX342,AX346,AX350)</f>
        <v>3</v>
      </c>
      <c r="AY364" s="5"/>
      <c r="AZ364" s="31" t="str">
        <f t="shared" si="913"/>
        <v>サンリオでかぱっちん</v>
      </c>
      <c r="BA364" s="27">
        <f t="shared" si="913"/>
        <v>660</v>
      </c>
      <c r="BB364" s="103">
        <f>SUM(BB302,BB306,BB310,BB313,BB318,BB322,BB326,BB330,BB334,BB338,BB342,BB346,BB350)</f>
        <v>1980</v>
      </c>
      <c r="BC364" s="92">
        <f>BB364/AT364</f>
        <v>0.12375</v>
      </c>
      <c r="BD364" s="29"/>
    </row>
    <row r="365" spans="1:56" x14ac:dyDescent="0.2">
      <c r="A365" s="25"/>
      <c r="B365" s="37"/>
      <c r="C365" s="16" t="s">
        <v>20</v>
      </c>
      <c r="D365" s="5">
        <f>SUM(D361:D364)</f>
        <v>304300</v>
      </c>
      <c r="E365" s="39"/>
      <c r="F365" s="5"/>
      <c r="G365" s="5"/>
      <c r="H365" s="5">
        <f>SUM(H361:H364)</f>
        <v>51</v>
      </c>
      <c r="I365" s="5"/>
      <c r="J365" s="156" t="s">
        <v>28</v>
      </c>
      <c r="K365" s="156"/>
      <c r="L365" s="4">
        <f>SUM(L361:L364)</f>
        <v>36014</v>
      </c>
      <c r="M365" s="107">
        <f>L365/D365</f>
        <v>0.11835031219191587</v>
      </c>
      <c r="N365" s="34"/>
      <c r="O365" s="30"/>
      <c r="P365" s="25"/>
      <c r="Q365" s="16" t="s">
        <v>20</v>
      </c>
      <c r="R365" s="5">
        <f>SUM(R361:R364)</f>
        <v>198400</v>
      </c>
      <c r="S365" s="39"/>
      <c r="T365" s="5"/>
      <c r="U365" s="5"/>
      <c r="V365" s="5">
        <f>SUM(V361:V364)</f>
        <v>49</v>
      </c>
      <c r="W365" s="5"/>
      <c r="X365" s="156" t="s">
        <v>28</v>
      </c>
      <c r="Y365" s="156"/>
      <c r="Z365" s="4">
        <f>SUM(Z361:Z364)</f>
        <v>17959</v>
      </c>
      <c r="AA365" s="107">
        <f>Z365/R365</f>
        <v>9.0519153225806448E-2</v>
      </c>
      <c r="AB365" s="29"/>
      <c r="AD365" s="25"/>
      <c r="AE365" s="16" t="s">
        <v>20</v>
      </c>
      <c r="AF365" s="5">
        <f>SUM(AF361:AF364)</f>
        <v>169400</v>
      </c>
      <c r="AG365" s="39"/>
      <c r="AH365" s="5"/>
      <c r="AI365" s="5"/>
      <c r="AJ365" s="5">
        <f>SUM(AJ361:AJ364)</f>
        <v>21</v>
      </c>
      <c r="AK365" s="5"/>
      <c r="AL365" s="156" t="s">
        <v>28</v>
      </c>
      <c r="AM365" s="156"/>
      <c r="AN365" s="4">
        <f>SUM(AN361:AN364)</f>
        <v>13036</v>
      </c>
      <c r="AO365" s="107">
        <f>AN365/AF365</f>
        <v>7.6953955135773314E-2</v>
      </c>
      <c r="AP365" s="29"/>
      <c r="AR365" s="25"/>
      <c r="AS365" s="16" t="s">
        <v>20</v>
      </c>
      <c r="AT365" s="5">
        <f>SUM(AT361:AT364)</f>
        <v>115700</v>
      </c>
      <c r="AU365" s="39"/>
      <c r="AV365" s="5"/>
      <c r="AW365" s="5"/>
      <c r="AX365" s="5">
        <f>SUM(AX361:AX364)</f>
        <v>14</v>
      </c>
      <c r="AY365" s="5"/>
      <c r="AZ365" s="156" t="s">
        <v>28</v>
      </c>
      <c r="BA365" s="156"/>
      <c r="BB365" s="4">
        <f>SUM(BB361:BB364)</f>
        <v>11046</v>
      </c>
      <c r="BC365" s="107">
        <f>BB365/AT365</f>
        <v>9.5471045808124461E-2</v>
      </c>
      <c r="BD365" s="29"/>
    </row>
    <row r="366" spans="1:56" x14ac:dyDescent="0.2">
      <c r="A366" s="108"/>
      <c r="J366" s="110"/>
      <c r="K366" s="13"/>
      <c r="N366" s="111"/>
      <c r="O366" s="30"/>
      <c r="P366" s="108"/>
      <c r="X366" s="1"/>
      <c r="AB366" s="111"/>
      <c r="AD366" s="108"/>
      <c r="AL366" s="1"/>
      <c r="AP366" s="111"/>
      <c r="AR366" s="108"/>
      <c r="AZ366" s="1"/>
      <c r="BD366" s="111"/>
    </row>
    <row r="367" spans="1:56" ht="15" customHeight="1" x14ac:dyDescent="0.2">
      <c r="C367" s="169" t="s">
        <v>287</v>
      </c>
      <c r="D367" s="169"/>
      <c r="E367" s="170" t="s">
        <v>288</v>
      </c>
      <c r="F367" s="170"/>
      <c r="G367" s="170" t="s">
        <v>289</v>
      </c>
      <c r="H367" s="170"/>
      <c r="K367" s="13"/>
    </row>
    <row r="368" spans="1:56" x14ac:dyDescent="0.2">
      <c r="C368" s="173">
        <f>E356+S356+AG356+AU356</f>
        <v>875333.33333333326</v>
      </c>
      <c r="D368" s="173"/>
      <c r="E368" s="172">
        <f>L355+Z355</f>
        <v>53973</v>
      </c>
      <c r="F368" s="172"/>
      <c r="G368" s="172">
        <f>L358+Z358</f>
        <v>180469</v>
      </c>
      <c r="H368" s="172"/>
      <c r="K368" s="13"/>
    </row>
    <row r="369" spans="1:56" x14ac:dyDescent="0.2">
      <c r="C369" s="113"/>
      <c r="D369" s="113"/>
      <c r="E369" s="39" t="s">
        <v>290</v>
      </c>
      <c r="F369" s="114" t="e">
        <f>E368/B359</f>
        <v>#REF!</v>
      </c>
      <c r="G369" s="5"/>
      <c r="H369" s="5"/>
      <c r="K369" s="13"/>
    </row>
    <row r="370" spans="1:56" x14ac:dyDescent="0.2">
      <c r="E370" s="132"/>
      <c r="F370" s="133"/>
      <c r="G370" s="30"/>
      <c r="H370" s="30"/>
      <c r="K370" s="13"/>
    </row>
    <row r="371" spans="1:56" ht="18.75" x14ac:dyDescent="0.2">
      <c r="A371" s="167" t="s">
        <v>323</v>
      </c>
      <c r="B371" s="167"/>
      <c r="C371" s="167"/>
      <c r="D371" s="167"/>
      <c r="E371" s="168" t="s">
        <v>0</v>
      </c>
      <c r="F371" s="168"/>
      <c r="G371" s="123"/>
      <c r="H371" s="123"/>
      <c r="I371" s="123"/>
      <c r="J371" s="124"/>
      <c r="K371" s="123"/>
      <c r="L371" s="123"/>
      <c r="M371" s="123"/>
      <c r="N371" s="125"/>
      <c r="O371" s="126"/>
      <c r="P371" s="167" t="s">
        <v>323</v>
      </c>
      <c r="Q371" s="167"/>
      <c r="R371" s="167"/>
      <c r="S371" s="168" t="s">
        <v>1</v>
      </c>
      <c r="T371" s="168"/>
      <c r="U371" s="123"/>
      <c r="V371" s="123"/>
      <c r="W371" s="123"/>
      <c r="X371" s="127"/>
      <c r="Y371" s="123"/>
      <c r="Z371" s="123"/>
      <c r="AA371" s="123"/>
      <c r="AB371" s="125"/>
      <c r="AD371" s="167" t="s">
        <v>323</v>
      </c>
      <c r="AE371" s="167"/>
      <c r="AF371" s="167"/>
      <c r="AG371" s="168" t="s">
        <v>38</v>
      </c>
      <c r="AH371" s="168"/>
      <c r="AI371" s="123"/>
      <c r="AJ371" s="123"/>
      <c r="AK371" s="123"/>
      <c r="AL371" s="127"/>
      <c r="AM371" s="123"/>
      <c r="AN371" s="123"/>
      <c r="AO371" s="123"/>
      <c r="AP371" s="125"/>
      <c r="AR371" s="167" t="s">
        <v>323</v>
      </c>
      <c r="AS371" s="167"/>
      <c r="AT371" s="167"/>
      <c r="AU371" s="168" t="s">
        <v>39</v>
      </c>
      <c r="AV371" s="168"/>
      <c r="AW371" s="123"/>
      <c r="AX371" s="123"/>
      <c r="AY371" s="123"/>
      <c r="AZ371" s="127"/>
      <c r="BA371" s="123"/>
      <c r="BB371" s="123"/>
      <c r="BC371" s="123"/>
      <c r="BD371" s="125"/>
    </row>
    <row r="372" spans="1:56" x14ac:dyDescent="0.2">
      <c r="A372" s="14" t="s">
        <v>2</v>
      </c>
      <c r="B372" s="15" t="s">
        <v>258</v>
      </c>
      <c r="C372" s="16" t="s">
        <v>3</v>
      </c>
      <c r="D372" s="16" t="s">
        <v>4</v>
      </c>
      <c r="E372" s="17" t="s">
        <v>5</v>
      </c>
      <c r="F372" s="16" t="s">
        <v>4</v>
      </c>
      <c r="G372" s="16" t="s">
        <v>6</v>
      </c>
      <c r="H372" s="16" t="s">
        <v>7</v>
      </c>
      <c r="I372" s="16" t="s">
        <v>8</v>
      </c>
      <c r="J372" s="17" t="s">
        <v>9</v>
      </c>
      <c r="K372" s="16" t="s">
        <v>10</v>
      </c>
      <c r="L372" s="16" t="s">
        <v>7</v>
      </c>
      <c r="M372" s="16" t="s">
        <v>11</v>
      </c>
      <c r="N372" s="16" t="s">
        <v>12</v>
      </c>
      <c r="O372" s="18"/>
      <c r="P372" s="14" t="s">
        <v>2</v>
      </c>
      <c r="Q372" s="16" t="s">
        <v>3</v>
      </c>
      <c r="R372" s="16" t="s">
        <v>4</v>
      </c>
      <c r="S372" s="17" t="s">
        <v>5</v>
      </c>
      <c r="T372" s="16" t="s">
        <v>4</v>
      </c>
      <c r="U372" s="16" t="s">
        <v>6</v>
      </c>
      <c r="V372" s="16" t="s">
        <v>7</v>
      </c>
      <c r="W372" s="16" t="s">
        <v>8</v>
      </c>
      <c r="X372" s="19" t="s">
        <v>9</v>
      </c>
      <c r="Y372" s="16" t="s">
        <v>10</v>
      </c>
      <c r="Z372" s="16" t="s">
        <v>7</v>
      </c>
      <c r="AA372" s="16" t="s">
        <v>11</v>
      </c>
      <c r="AB372" s="16" t="s">
        <v>12</v>
      </c>
      <c r="AD372" s="14" t="s">
        <v>2</v>
      </c>
      <c r="AE372" s="16" t="s">
        <v>3</v>
      </c>
      <c r="AF372" s="16" t="s">
        <v>4</v>
      </c>
      <c r="AG372" s="17" t="s">
        <v>5</v>
      </c>
      <c r="AH372" s="16" t="s">
        <v>4</v>
      </c>
      <c r="AI372" s="16" t="s">
        <v>6</v>
      </c>
      <c r="AJ372" s="16" t="s">
        <v>7</v>
      </c>
      <c r="AK372" s="16" t="s">
        <v>8</v>
      </c>
      <c r="AL372" s="19" t="s">
        <v>9</v>
      </c>
      <c r="AM372" s="16" t="s">
        <v>10</v>
      </c>
      <c r="AN372" s="16" t="s">
        <v>7</v>
      </c>
      <c r="AO372" s="16" t="s">
        <v>11</v>
      </c>
      <c r="AP372" s="16" t="s">
        <v>12</v>
      </c>
      <c r="AR372" s="14" t="s">
        <v>2</v>
      </c>
      <c r="AS372" s="16" t="s">
        <v>3</v>
      </c>
      <c r="AT372" s="16" t="s">
        <v>4</v>
      </c>
      <c r="AU372" s="17" t="s">
        <v>5</v>
      </c>
      <c r="AV372" s="16" t="s">
        <v>4</v>
      </c>
      <c r="AW372" s="16" t="s">
        <v>6</v>
      </c>
      <c r="AX372" s="16" t="s">
        <v>7</v>
      </c>
      <c r="AY372" s="16" t="s">
        <v>8</v>
      </c>
      <c r="AZ372" s="19" t="s">
        <v>9</v>
      </c>
      <c r="BA372" s="16" t="s">
        <v>10</v>
      </c>
      <c r="BB372" s="16" t="s">
        <v>7</v>
      </c>
      <c r="BC372" s="16" t="s">
        <v>11</v>
      </c>
      <c r="BD372" s="16" t="s">
        <v>12</v>
      </c>
    </row>
    <row r="373" spans="1:56" x14ac:dyDescent="0.2">
      <c r="A373" s="25">
        <v>45916</v>
      </c>
      <c r="B373" s="26">
        <v>994</v>
      </c>
      <c r="C373" s="4">
        <v>14138</v>
      </c>
      <c r="D373" s="4">
        <v>26</v>
      </c>
      <c r="E373" s="4">
        <v>1023</v>
      </c>
      <c r="F373" s="4">
        <v>3</v>
      </c>
      <c r="G373" s="4">
        <v>3</v>
      </c>
      <c r="H373" s="4">
        <v>3</v>
      </c>
      <c r="I373" s="4">
        <v>3</v>
      </c>
      <c r="J373" s="2" t="s">
        <v>339</v>
      </c>
      <c r="K373" s="27">
        <v>1015</v>
      </c>
      <c r="L373" s="4">
        <v>3045</v>
      </c>
      <c r="M373" s="28">
        <v>1.1711538461538462</v>
      </c>
      <c r="N373" s="29"/>
      <c r="O373" s="30"/>
      <c r="P373" s="25">
        <v>45916</v>
      </c>
      <c r="Q373" s="4">
        <v>13235</v>
      </c>
      <c r="R373" s="4">
        <v>32</v>
      </c>
      <c r="S373" s="4">
        <v>1366</v>
      </c>
      <c r="T373" s="4">
        <v>0</v>
      </c>
      <c r="U373" s="4">
        <v>16</v>
      </c>
      <c r="V373" s="4">
        <v>0</v>
      </c>
      <c r="W373" s="4">
        <v>0</v>
      </c>
      <c r="X373" s="31" t="s">
        <v>340</v>
      </c>
      <c r="Y373" s="27">
        <v>1100</v>
      </c>
      <c r="Z373" s="4">
        <v>0</v>
      </c>
      <c r="AA373" s="28">
        <v>0</v>
      </c>
      <c r="AB373" s="29"/>
      <c r="AD373" s="25">
        <v>45916</v>
      </c>
      <c r="AE373" s="4">
        <v>11520</v>
      </c>
      <c r="AF373" s="4">
        <v>30</v>
      </c>
      <c r="AG373" s="4">
        <v>886</v>
      </c>
      <c r="AH373" s="4">
        <v>2</v>
      </c>
      <c r="AI373" s="4">
        <v>8</v>
      </c>
      <c r="AJ373" s="4">
        <v>2</v>
      </c>
      <c r="AK373" s="4">
        <v>0</v>
      </c>
      <c r="AL373" s="31" t="s">
        <v>341</v>
      </c>
      <c r="AM373" s="27">
        <v>550</v>
      </c>
      <c r="AN373" s="4">
        <v>0</v>
      </c>
      <c r="AO373" s="28">
        <v>0</v>
      </c>
      <c r="AP373" s="29"/>
      <c r="AR373" s="25">
        <v>45916</v>
      </c>
      <c r="AS373" s="4">
        <v>7731</v>
      </c>
      <c r="AT373" s="4">
        <v>46</v>
      </c>
      <c r="AU373" s="4">
        <v>454</v>
      </c>
      <c r="AV373" s="4">
        <v>0</v>
      </c>
      <c r="AW373" s="4">
        <v>8</v>
      </c>
      <c r="AX373" s="4">
        <v>0</v>
      </c>
      <c r="AY373" s="4">
        <v>0</v>
      </c>
      <c r="AZ373" s="31" t="s">
        <v>292</v>
      </c>
      <c r="BA373" s="27">
        <v>722</v>
      </c>
      <c r="BB373" s="4">
        <v>0</v>
      </c>
      <c r="BC373" s="28">
        <v>0</v>
      </c>
      <c r="BD373" s="29"/>
    </row>
    <row r="374" spans="1:56" x14ac:dyDescent="0.2">
      <c r="A374" s="14"/>
      <c r="B374" s="37"/>
      <c r="C374" s="4">
        <v>15850</v>
      </c>
      <c r="D374" s="5">
        <v>32</v>
      </c>
      <c r="E374" s="4">
        <v>510</v>
      </c>
      <c r="F374" s="5">
        <v>3</v>
      </c>
      <c r="G374" s="5">
        <v>13</v>
      </c>
      <c r="H374" s="5">
        <v>3</v>
      </c>
      <c r="I374" s="5">
        <v>15</v>
      </c>
      <c r="J374" s="2" t="s">
        <v>327</v>
      </c>
      <c r="K374" s="4">
        <v>275</v>
      </c>
      <c r="L374" s="5">
        <v>825</v>
      </c>
      <c r="M374" s="36">
        <v>0.2578125</v>
      </c>
      <c r="N374" s="29"/>
      <c r="O374" s="30"/>
      <c r="P374" s="25"/>
      <c r="Q374" s="4">
        <v>13046</v>
      </c>
      <c r="R374" s="5">
        <v>89</v>
      </c>
      <c r="S374" s="4">
        <v>475</v>
      </c>
      <c r="T374" s="5">
        <v>2</v>
      </c>
      <c r="U374" s="5">
        <v>7</v>
      </c>
      <c r="V374" s="5">
        <v>2</v>
      </c>
      <c r="W374" s="5">
        <v>2</v>
      </c>
      <c r="X374" s="38" t="s">
        <v>328</v>
      </c>
      <c r="Y374" s="39">
        <v>600</v>
      </c>
      <c r="Z374" s="5">
        <v>1200</v>
      </c>
      <c r="AA374" s="36">
        <v>0.1348314606741573</v>
      </c>
      <c r="AB374" s="29"/>
      <c r="AD374" s="25"/>
      <c r="AE374" s="4">
        <v>10651</v>
      </c>
      <c r="AF374" s="5">
        <v>98</v>
      </c>
      <c r="AG374" s="4">
        <v>759</v>
      </c>
      <c r="AH374" s="5">
        <v>3</v>
      </c>
      <c r="AI374" s="5">
        <v>11</v>
      </c>
      <c r="AJ374" s="5">
        <v>3</v>
      </c>
      <c r="AK374" s="5">
        <v>0</v>
      </c>
      <c r="AL374" s="38" t="s">
        <v>329</v>
      </c>
      <c r="AM374" s="39">
        <v>748</v>
      </c>
      <c r="AN374" s="5">
        <v>0</v>
      </c>
      <c r="AO374" s="36">
        <v>0</v>
      </c>
      <c r="AP374" s="29"/>
      <c r="AR374" s="25"/>
      <c r="AS374" s="4">
        <v>9529</v>
      </c>
      <c r="AT374" s="5">
        <v>111</v>
      </c>
      <c r="AU374" s="4">
        <v>506</v>
      </c>
      <c r="AV374" s="5">
        <v>4</v>
      </c>
      <c r="AW374" s="5">
        <v>11</v>
      </c>
      <c r="AX374" s="5">
        <v>0</v>
      </c>
      <c r="AY374" s="5">
        <v>0</v>
      </c>
      <c r="AZ374" s="38" t="s">
        <v>330</v>
      </c>
      <c r="BA374" s="39">
        <v>1100</v>
      </c>
      <c r="BB374" s="5">
        <v>0</v>
      </c>
      <c r="BC374" s="36">
        <v>0</v>
      </c>
      <c r="BD374" s="29"/>
    </row>
    <row r="375" spans="1:56" x14ac:dyDescent="0.2">
      <c r="A375" s="25"/>
      <c r="B375" s="37"/>
      <c r="C375" s="4">
        <v>14264</v>
      </c>
      <c r="D375" s="5">
        <v>78</v>
      </c>
      <c r="E375" s="4">
        <v>563</v>
      </c>
      <c r="F375" s="5">
        <v>1</v>
      </c>
      <c r="G375" s="5">
        <v>4</v>
      </c>
      <c r="H375" s="5">
        <v>1</v>
      </c>
      <c r="I375" s="5">
        <v>0</v>
      </c>
      <c r="J375" s="3" t="s">
        <v>342</v>
      </c>
      <c r="K375" s="39">
        <v>1100</v>
      </c>
      <c r="L375" s="5">
        <v>1100</v>
      </c>
      <c r="M375" s="36">
        <v>0.14102564102564102</v>
      </c>
      <c r="N375" s="29"/>
      <c r="O375" s="30"/>
      <c r="P375" s="25"/>
      <c r="Q375" s="4">
        <v>12511</v>
      </c>
      <c r="R375" s="5">
        <v>139</v>
      </c>
      <c r="S375" s="4">
        <v>841</v>
      </c>
      <c r="T375" s="5">
        <v>3</v>
      </c>
      <c r="U375" s="5">
        <v>82</v>
      </c>
      <c r="V375" s="5">
        <v>3</v>
      </c>
      <c r="W375" s="5">
        <v>25</v>
      </c>
      <c r="X375" s="38" t="s">
        <v>332</v>
      </c>
      <c r="Y375" s="39">
        <v>198</v>
      </c>
      <c r="Z375" s="5">
        <v>594</v>
      </c>
      <c r="AA375" s="36">
        <v>4.2733812949640286E-2</v>
      </c>
      <c r="AB375" s="29"/>
      <c r="AD375" s="25"/>
      <c r="AE375" s="4">
        <v>13855</v>
      </c>
      <c r="AF375" s="5">
        <v>60</v>
      </c>
      <c r="AG375" s="4">
        <v>2381</v>
      </c>
      <c r="AH375" s="5">
        <v>0</v>
      </c>
      <c r="AI375" s="5">
        <v>10</v>
      </c>
      <c r="AJ375" s="5">
        <v>0</v>
      </c>
      <c r="AK375" s="5">
        <v>0</v>
      </c>
      <c r="AL375" s="38" t="s">
        <v>333</v>
      </c>
      <c r="AM375" s="39">
        <v>700</v>
      </c>
      <c r="AN375" s="5">
        <v>0</v>
      </c>
      <c r="AO375" s="36">
        <v>0</v>
      </c>
      <c r="AP375" s="29"/>
      <c r="AR375" s="25"/>
      <c r="AS375" s="4">
        <v>12016</v>
      </c>
      <c r="AT375" s="5">
        <v>41</v>
      </c>
      <c r="AU375" s="4">
        <v>726</v>
      </c>
      <c r="AV375" s="5">
        <v>0</v>
      </c>
      <c r="AW375" s="5">
        <v>10</v>
      </c>
      <c r="AX375" s="5">
        <v>0</v>
      </c>
      <c r="AY375" s="5">
        <v>0</v>
      </c>
      <c r="AZ375" s="38" t="s">
        <v>334</v>
      </c>
      <c r="BA375" s="39">
        <v>528</v>
      </c>
      <c r="BB375" s="5">
        <v>0</v>
      </c>
      <c r="BC375" s="36">
        <v>0</v>
      </c>
      <c r="BD375" s="29"/>
    </row>
    <row r="376" spans="1:56" ht="15" customHeight="1" thickBot="1" x14ac:dyDescent="0.25">
      <c r="A376" s="41"/>
      <c r="B376" s="42"/>
      <c r="C376" s="43">
        <v>10932</v>
      </c>
      <c r="D376" s="43">
        <v>52</v>
      </c>
      <c r="E376" s="43">
        <v>1147</v>
      </c>
      <c r="F376" s="44">
        <v>2</v>
      </c>
      <c r="G376" s="44">
        <v>10</v>
      </c>
      <c r="H376" s="44">
        <v>2</v>
      </c>
      <c r="I376" s="44">
        <v>0</v>
      </c>
      <c r="J376" s="45" t="s">
        <v>343</v>
      </c>
      <c r="K376" s="44">
        <v>660</v>
      </c>
      <c r="L376" s="44">
        <v>1320</v>
      </c>
      <c r="M376" s="46">
        <v>0.25384615384615383</v>
      </c>
      <c r="N376" s="29"/>
      <c r="O376" s="30"/>
      <c r="P376" s="41"/>
      <c r="Q376" s="43">
        <v>10694</v>
      </c>
      <c r="R376" s="43">
        <v>119</v>
      </c>
      <c r="S376" s="43">
        <v>1029</v>
      </c>
      <c r="T376" s="44">
        <v>5</v>
      </c>
      <c r="U376" s="44">
        <v>3</v>
      </c>
      <c r="V376" s="44">
        <v>4</v>
      </c>
      <c r="W376" s="44">
        <v>5</v>
      </c>
      <c r="X376" s="47" t="s">
        <v>336</v>
      </c>
      <c r="Y376" s="44">
        <v>286</v>
      </c>
      <c r="Z376" s="44">
        <v>1144</v>
      </c>
      <c r="AA376" s="46">
        <v>9.6134453781512599E-2</v>
      </c>
      <c r="AB376" s="29" t="s">
        <v>47</v>
      </c>
      <c r="AD376" s="41"/>
      <c r="AE376" s="43">
        <v>13080</v>
      </c>
      <c r="AF376" s="43">
        <v>17</v>
      </c>
      <c r="AG376" s="43">
        <v>1504</v>
      </c>
      <c r="AH376" s="44">
        <v>0</v>
      </c>
      <c r="AI376" s="44">
        <v>8</v>
      </c>
      <c r="AJ376" s="44">
        <v>0</v>
      </c>
      <c r="AK376" s="44">
        <v>0</v>
      </c>
      <c r="AL376" s="47" t="s">
        <v>326</v>
      </c>
      <c r="AM376" s="44">
        <v>748</v>
      </c>
      <c r="AN376" s="44">
        <v>0</v>
      </c>
      <c r="AO376" s="46">
        <v>0</v>
      </c>
      <c r="AP376" s="29"/>
      <c r="AR376" s="41"/>
      <c r="AS376" s="43">
        <v>10044</v>
      </c>
      <c r="AT376" s="43">
        <v>24</v>
      </c>
      <c r="AU376" s="43">
        <v>784</v>
      </c>
      <c r="AV376" s="44">
        <v>0</v>
      </c>
      <c r="AW376" s="44">
        <v>7</v>
      </c>
      <c r="AX376" s="44">
        <v>0</v>
      </c>
      <c r="AY376" s="44">
        <v>0</v>
      </c>
      <c r="AZ376" s="47" t="s">
        <v>344</v>
      </c>
      <c r="BA376" s="44">
        <v>900</v>
      </c>
      <c r="BB376" s="44">
        <v>0</v>
      </c>
      <c r="BC376" s="46">
        <v>0</v>
      </c>
      <c r="BD376" s="29"/>
    </row>
    <row r="377" spans="1:56" ht="15" customHeight="1" thickTop="1" x14ac:dyDescent="0.2">
      <c r="A377" s="80">
        <v>45919</v>
      </c>
      <c r="B377" s="26">
        <f>SUM(D377:D380)+SUM(R377:R380)+SUM(AF377:AF380)+SUM(AT377:AT380)</f>
        <v>519</v>
      </c>
      <c r="C377" s="4">
        <v>14154</v>
      </c>
      <c r="D377" s="4">
        <f t="shared" ref="D377:D380" si="914">IF(C377="","",C377-C373)</f>
        <v>16</v>
      </c>
      <c r="E377" s="4">
        <v>1023</v>
      </c>
      <c r="F377" s="50">
        <f t="shared" ref="F377:F380" si="915">IF(E377="","",E377-E373)</f>
        <v>0</v>
      </c>
      <c r="G377" s="4">
        <v>6</v>
      </c>
      <c r="H377" s="4">
        <f t="shared" ref="H377:H380" si="916">IF(G377="","",G373+I373-G377)</f>
        <v>0</v>
      </c>
      <c r="I377" s="51">
        <v>0</v>
      </c>
      <c r="J377" s="3" t="str">
        <f t="shared" ref="J377:K380" si="917">IF(C377="","",J373)</f>
        <v>サンリオトイカメラ</v>
      </c>
      <c r="K377" s="39">
        <f t="shared" si="917"/>
        <v>1015</v>
      </c>
      <c r="L377" s="50">
        <f t="shared" ref="L377:L380" si="918">IF(G377="","",H377*K377)</f>
        <v>0</v>
      </c>
      <c r="M377" s="52">
        <f t="shared" ref="M377:M380" si="919">IF(H377="","",L377/(D377*100))</f>
        <v>0</v>
      </c>
      <c r="N377" s="29"/>
      <c r="O377" s="30"/>
      <c r="P377" s="80">
        <f>IF($A$377="","",$A$377)</f>
        <v>45919</v>
      </c>
      <c r="Q377" s="4">
        <v>13250</v>
      </c>
      <c r="R377" s="4">
        <f t="shared" ref="R377:R428" si="920">IF(Q377="","",Q377-Q373)</f>
        <v>15</v>
      </c>
      <c r="S377" s="4">
        <v>1366</v>
      </c>
      <c r="T377" s="50">
        <f t="shared" ref="T377:T428" si="921">IF(S377="","",S377-S373)</f>
        <v>0</v>
      </c>
      <c r="U377" s="4">
        <v>16</v>
      </c>
      <c r="V377" s="4">
        <f t="shared" ref="V377:V428" si="922">IF(U377="","",U373+W373-U377)</f>
        <v>0</v>
      </c>
      <c r="W377" s="51">
        <v>0</v>
      </c>
      <c r="X377" s="38" t="str">
        <f t="shared" ref="X377:Y388" si="923">IF(Q377="","",X373)</f>
        <v>香水coach</v>
      </c>
      <c r="Y377" s="39">
        <f t="shared" si="923"/>
        <v>1100</v>
      </c>
      <c r="Z377" s="50">
        <f t="shared" ref="Z377:Z428" si="924">IF(U377="","",V377*Y377)</f>
        <v>0</v>
      </c>
      <c r="AA377" s="52">
        <f t="shared" ref="AA377:AA428" si="925">IF(V377="","",Z377/(R377*100))</f>
        <v>0</v>
      </c>
      <c r="AB377" s="29"/>
      <c r="AD377" s="80">
        <f>IF($A$377="","",$A$377)</f>
        <v>45919</v>
      </c>
      <c r="AE377" s="4">
        <v>11531</v>
      </c>
      <c r="AF377" s="4">
        <f t="shared" ref="AF377:AF428" si="926">IF(AE377="","",AE377-AE373)</f>
        <v>11</v>
      </c>
      <c r="AG377" s="4">
        <v>886</v>
      </c>
      <c r="AH377" s="50">
        <f t="shared" ref="AH377:AH428" si="927">IF(AG377="","",AG377-AG373)</f>
        <v>0</v>
      </c>
      <c r="AI377" s="4">
        <v>8</v>
      </c>
      <c r="AJ377" s="4">
        <f t="shared" ref="AJ377:AJ403" si="928">IF(AI377="","",AI373+AK373-AI377)</f>
        <v>0</v>
      </c>
      <c r="AK377" s="51">
        <v>0</v>
      </c>
      <c r="AL377" s="38" t="str">
        <f t="shared" ref="AL377:AM391" si="929">IF(AE377="","",AL373)</f>
        <v>スティッチキーケース</v>
      </c>
      <c r="AM377" s="39">
        <f t="shared" si="929"/>
        <v>550</v>
      </c>
      <c r="AN377" s="50">
        <f t="shared" ref="AN377:AN428" si="930">IF(AI377="","",AJ377*AM377)</f>
        <v>0</v>
      </c>
      <c r="AO377" s="52">
        <f t="shared" ref="AO377:AO428" si="931">IF(AJ377="","",AN377/(AF377*100))</f>
        <v>0</v>
      </c>
      <c r="AP377" s="29"/>
      <c r="AR377" s="80">
        <f>IF($A$377="","",$A$377)</f>
        <v>45919</v>
      </c>
      <c r="AS377" s="4">
        <v>7801</v>
      </c>
      <c r="AT377" s="4">
        <f t="shared" ref="AT377:AT428" si="932">IF(AS377="","",AS377-AS373)</f>
        <v>70</v>
      </c>
      <c r="AU377" s="4"/>
      <c r="AV377" s="50" t="str">
        <f t="shared" ref="AV377:AV428" si="933">IF(AU377="","",AU377-AU373)</f>
        <v/>
      </c>
      <c r="AW377" s="4"/>
      <c r="AX377" s="4" t="str">
        <f t="shared" ref="AX377:AX428" si="934">IF(AW377="","",AW373+AY373-AW377)</f>
        <v/>
      </c>
      <c r="AY377" s="51"/>
      <c r="AZ377" s="38" t="str">
        <f t="shared" ref="AZ377:BA388" si="935">IF(AS377="","",AZ373)</f>
        <v>デジタルミニカメラ</v>
      </c>
      <c r="BA377" s="39">
        <f t="shared" si="935"/>
        <v>722</v>
      </c>
      <c r="BB377" s="50" t="str">
        <f t="shared" ref="BB377:BB428" si="936">IF(AW377="","",AX377*BA377)</f>
        <v/>
      </c>
      <c r="BC377" s="52" t="str">
        <f t="shared" ref="BC377:BC428" si="937">IF(AX377="","",BB377/(AT377*100))</f>
        <v/>
      </c>
      <c r="BD377" s="29"/>
    </row>
    <row r="378" spans="1:56" x14ac:dyDescent="0.2">
      <c r="A378" s="56"/>
      <c r="B378" s="55"/>
      <c r="C378" s="5">
        <v>15865</v>
      </c>
      <c r="D378" s="5">
        <f t="shared" si="914"/>
        <v>15</v>
      </c>
      <c r="E378" s="5">
        <v>510</v>
      </c>
      <c r="F378" s="5">
        <f t="shared" si="915"/>
        <v>0</v>
      </c>
      <c r="G378" s="5">
        <v>28</v>
      </c>
      <c r="H378" s="5">
        <f t="shared" si="916"/>
        <v>0</v>
      </c>
      <c r="I378" s="35">
        <v>0</v>
      </c>
      <c r="J378" s="3" t="str">
        <f t="shared" si="917"/>
        <v>電ブル</v>
      </c>
      <c r="K378" s="39">
        <f t="shared" si="917"/>
        <v>275</v>
      </c>
      <c r="L378" s="5">
        <f t="shared" si="918"/>
        <v>0</v>
      </c>
      <c r="M378" s="36">
        <f t="shared" si="919"/>
        <v>0</v>
      </c>
      <c r="N378" s="29"/>
      <c r="O378" s="30"/>
      <c r="P378" s="56"/>
      <c r="Q378" s="5">
        <v>13087</v>
      </c>
      <c r="R378" s="5">
        <f t="shared" si="920"/>
        <v>41</v>
      </c>
      <c r="S378" s="5">
        <v>476</v>
      </c>
      <c r="T378" s="5">
        <f t="shared" si="921"/>
        <v>1</v>
      </c>
      <c r="U378" s="5">
        <v>8</v>
      </c>
      <c r="V378" s="5">
        <f t="shared" si="922"/>
        <v>1</v>
      </c>
      <c r="W378" s="35">
        <v>0</v>
      </c>
      <c r="X378" s="38" t="str">
        <f t="shared" si="923"/>
        <v>サンリオミニリュックチャーム付</v>
      </c>
      <c r="Y378" s="39">
        <f t="shared" si="923"/>
        <v>600</v>
      </c>
      <c r="Z378" s="5">
        <f t="shared" si="924"/>
        <v>600</v>
      </c>
      <c r="AA378" s="36">
        <f t="shared" si="925"/>
        <v>0.14634146341463414</v>
      </c>
      <c r="AB378" s="29"/>
      <c r="AD378" s="56"/>
      <c r="AE378" s="5">
        <v>10682</v>
      </c>
      <c r="AF378" s="5">
        <f t="shared" si="926"/>
        <v>31</v>
      </c>
      <c r="AG378" s="5">
        <v>760</v>
      </c>
      <c r="AH378" s="5">
        <f t="shared" si="927"/>
        <v>1</v>
      </c>
      <c r="AI378" s="5">
        <v>10</v>
      </c>
      <c r="AJ378" s="5">
        <f t="shared" si="928"/>
        <v>1</v>
      </c>
      <c r="AK378" s="35">
        <v>0</v>
      </c>
      <c r="AL378" s="38" t="str">
        <f t="shared" si="929"/>
        <v>ジャグラーサウンドフラッシュ</v>
      </c>
      <c r="AM378" s="39">
        <f t="shared" si="929"/>
        <v>748</v>
      </c>
      <c r="AN378" s="5">
        <f t="shared" si="930"/>
        <v>748</v>
      </c>
      <c r="AO378" s="36">
        <f t="shared" si="931"/>
        <v>0.24129032258064517</v>
      </c>
      <c r="AP378" s="29"/>
      <c r="AR378" s="56"/>
      <c r="AS378" s="5">
        <v>9551</v>
      </c>
      <c r="AT378" s="5">
        <f t="shared" si="932"/>
        <v>22</v>
      </c>
      <c r="AU378" s="5"/>
      <c r="AV378" s="5" t="str">
        <f>IF(AU378="","",AU378-AU374)</f>
        <v/>
      </c>
      <c r="AW378" s="5"/>
      <c r="AX378" s="5" t="str">
        <f t="shared" si="934"/>
        <v/>
      </c>
      <c r="AY378" s="35"/>
      <c r="AZ378" s="38" t="str">
        <f t="shared" si="935"/>
        <v>クーリッシュイヤホン</v>
      </c>
      <c r="BA378" s="39">
        <f t="shared" si="935"/>
        <v>1100</v>
      </c>
      <c r="BB378" s="5" t="str">
        <f t="shared" si="936"/>
        <v/>
      </c>
      <c r="BC378" s="36" t="str">
        <f t="shared" si="937"/>
        <v/>
      </c>
      <c r="BD378" s="29"/>
    </row>
    <row r="379" spans="1:56" x14ac:dyDescent="0.2">
      <c r="A379" s="56"/>
      <c r="B379" s="55"/>
      <c r="C379" s="58">
        <v>14302</v>
      </c>
      <c r="D379" s="5">
        <f t="shared" si="914"/>
        <v>38</v>
      </c>
      <c r="E379" s="5">
        <v>563</v>
      </c>
      <c r="F379" s="5">
        <f t="shared" si="915"/>
        <v>0</v>
      </c>
      <c r="G379" s="58">
        <v>4</v>
      </c>
      <c r="H379" s="5">
        <f t="shared" si="916"/>
        <v>0</v>
      </c>
      <c r="I379" s="59">
        <v>0</v>
      </c>
      <c r="J379" s="3" t="str">
        <f t="shared" si="917"/>
        <v>サンリオファン</v>
      </c>
      <c r="K379" s="39">
        <f t="shared" si="917"/>
        <v>1100</v>
      </c>
      <c r="L379" s="5">
        <f t="shared" si="918"/>
        <v>0</v>
      </c>
      <c r="M379" s="36">
        <f t="shared" si="919"/>
        <v>0</v>
      </c>
      <c r="N379" s="29"/>
      <c r="O379" s="30"/>
      <c r="P379" s="56"/>
      <c r="Q379" s="58">
        <v>12599</v>
      </c>
      <c r="R379" s="5">
        <f t="shared" si="920"/>
        <v>88</v>
      </c>
      <c r="S379" s="5">
        <v>846</v>
      </c>
      <c r="T379" s="5">
        <f t="shared" si="921"/>
        <v>5</v>
      </c>
      <c r="U379" s="58">
        <v>102</v>
      </c>
      <c r="V379" s="5">
        <f t="shared" si="922"/>
        <v>5</v>
      </c>
      <c r="W379" s="59">
        <v>0</v>
      </c>
      <c r="X379" s="38" t="str">
        <f t="shared" si="923"/>
        <v>AIラバー</v>
      </c>
      <c r="Y379" s="39">
        <f t="shared" si="923"/>
        <v>198</v>
      </c>
      <c r="Z379" s="5">
        <f t="shared" si="924"/>
        <v>990</v>
      </c>
      <c r="AA379" s="36">
        <f t="shared" si="925"/>
        <v>0.1125</v>
      </c>
      <c r="AB379" s="29"/>
      <c r="AD379" s="56"/>
      <c r="AE379" s="58">
        <v>13872</v>
      </c>
      <c r="AF379" s="5">
        <f t="shared" si="926"/>
        <v>17</v>
      </c>
      <c r="AG379" s="5">
        <v>2382</v>
      </c>
      <c r="AH379" s="5">
        <f t="shared" si="927"/>
        <v>1</v>
      </c>
      <c r="AI379" s="58">
        <v>9</v>
      </c>
      <c r="AJ379" s="5">
        <f t="shared" si="928"/>
        <v>1</v>
      </c>
      <c r="AK379" s="59">
        <v>0</v>
      </c>
      <c r="AL379" s="38" t="str">
        <f t="shared" si="929"/>
        <v>サンリオギャルキーケース</v>
      </c>
      <c r="AM379" s="39">
        <f t="shared" si="929"/>
        <v>700</v>
      </c>
      <c r="AN379" s="5">
        <f t="shared" si="930"/>
        <v>700</v>
      </c>
      <c r="AO379" s="36">
        <f t="shared" si="931"/>
        <v>0.41176470588235292</v>
      </c>
      <c r="AP379" s="29"/>
      <c r="AR379" s="56"/>
      <c r="AS379" s="58">
        <v>12047</v>
      </c>
      <c r="AT379" s="5">
        <f t="shared" si="932"/>
        <v>31</v>
      </c>
      <c r="AU379" s="5"/>
      <c r="AV379" s="5" t="str">
        <f>IF(AU379="","",AU379-AU375)</f>
        <v/>
      </c>
      <c r="AW379" s="58"/>
      <c r="AX379" s="5" t="str">
        <f t="shared" si="934"/>
        <v/>
      </c>
      <c r="AY379" s="59"/>
      <c r="AZ379" s="38" t="str">
        <f t="shared" si="935"/>
        <v>モンチッチマスコット</v>
      </c>
      <c r="BA379" s="39">
        <f t="shared" si="935"/>
        <v>528</v>
      </c>
      <c r="BB379" s="5" t="str">
        <f t="shared" si="936"/>
        <v/>
      </c>
      <c r="BC379" s="36" t="str">
        <f t="shared" si="937"/>
        <v/>
      </c>
      <c r="BD379" s="29"/>
    </row>
    <row r="380" spans="1:56" ht="15" customHeight="1" thickBot="1" x14ac:dyDescent="0.25">
      <c r="A380" s="67"/>
      <c r="B380" s="42"/>
      <c r="C380" s="44">
        <v>10958</v>
      </c>
      <c r="D380" s="61">
        <f t="shared" si="914"/>
        <v>26</v>
      </c>
      <c r="E380" s="44">
        <v>1148</v>
      </c>
      <c r="F380" s="44">
        <f t="shared" si="915"/>
        <v>1</v>
      </c>
      <c r="G380" s="44">
        <v>9</v>
      </c>
      <c r="H380" s="44">
        <f t="shared" si="916"/>
        <v>1</v>
      </c>
      <c r="I380" s="62">
        <v>1</v>
      </c>
      <c r="J380" s="45" t="str">
        <f t="shared" si="917"/>
        <v>サンリオヘアパッチンピン</v>
      </c>
      <c r="K380" s="61">
        <f t="shared" si="917"/>
        <v>660</v>
      </c>
      <c r="L380" s="44">
        <f t="shared" si="918"/>
        <v>660</v>
      </c>
      <c r="M380" s="46">
        <f t="shared" si="919"/>
        <v>0.25384615384615383</v>
      </c>
      <c r="N380" s="29"/>
      <c r="O380" s="30"/>
      <c r="P380" s="67"/>
      <c r="Q380" s="44">
        <v>10775</v>
      </c>
      <c r="R380" s="61">
        <f t="shared" si="920"/>
        <v>81</v>
      </c>
      <c r="S380" s="44">
        <v>1030</v>
      </c>
      <c r="T380" s="44">
        <f t="shared" si="921"/>
        <v>1</v>
      </c>
      <c r="U380" s="44">
        <v>7</v>
      </c>
      <c r="V380" s="44">
        <f t="shared" si="922"/>
        <v>1</v>
      </c>
      <c r="W380" s="62">
        <v>0</v>
      </c>
      <c r="X380" s="47" t="str">
        <f t="shared" si="923"/>
        <v>AIマスコット</v>
      </c>
      <c r="Y380" s="61">
        <f t="shared" si="923"/>
        <v>286</v>
      </c>
      <c r="Z380" s="44">
        <f t="shared" si="924"/>
        <v>286</v>
      </c>
      <c r="AA380" s="46">
        <f t="shared" si="925"/>
        <v>3.5308641975308641E-2</v>
      </c>
      <c r="AB380" s="29"/>
      <c r="AD380" s="67"/>
      <c r="AE380" s="44">
        <v>13092</v>
      </c>
      <c r="AF380" s="61">
        <f t="shared" si="926"/>
        <v>12</v>
      </c>
      <c r="AG380" s="44">
        <v>1504</v>
      </c>
      <c r="AH380" s="44">
        <f t="shared" si="927"/>
        <v>0</v>
      </c>
      <c r="AI380" s="44">
        <v>8</v>
      </c>
      <c r="AJ380" s="44">
        <f t="shared" si="928"/>
        <v>0</v>
      </c>
      <c r="AK380" s="62">
        <v>0</v>
      </c>
      <c r="AL380" s="47" t="str">
        <f t="shared" si="929"/>
        <v>ピクミンマスコット</v>
      </c>
      <c r="AM380" s="61">
        <f t="shared" si="929"/>
        <v>748</v>
      </c>
      <c r="AN380" s="44">
        <f t="shared" si="930"/>
        <v>0</v>
      </c>
      <c r="AO380" s="46">
        <f t="shared" si="931"/>
        <v>0</v>
      </c>
      <c r="AP380" s="29"/>
      <c r="AR380" s="67"/>
      <c r="AS380" s="44">
        <v>10049</v>
      </c>
      <c r="AT380" s="61">
        <f t="shared" si="932"/>
        <v>5</v>
      </c>
      <c r="AU380" s="44"/>
      <c r="AV380" s="44" t="str">
        <f t="shared" si="933"/>
        <v/>
      </c>
      <c r="AW380" s="44"/>
      <c r="AX380" s="44" t="str">
        <f t="shared" si="934"/>
        <v/>
      </c>
      <c r="AY380" s="62"/>
      <c r="AZ380" s="47" t="str">
        <f t="shared" si="935"/>
        <v>ジョージファン</v>
      </c>
      <c r="BA380" s="61">
        <f t="shared" si="935"/>
        <v>900</v>
      </c>
      <c r="BB380" s="44" t="str">
        <f t="shared" si="936"/>
        <v/>
      </c>
      <c r="BC380" s="46" t="str">
        <f t="shared" si="937"/>
        <v/>
      </c>
      <c r="BD380" s="29"/>
    </row>
    <row r="381" spans="1:56" ht="15" customHeight="1" thickTop="1" x14ac:dyDescent="0.2">
      <c r="A381" s="49">
        <v>45922</v>
      </c>
      <c r="B381" s="26">
        <f>SUM(D381:D384)+SUM(R381:R384)+SUM(AF381:AF384)+SUM(AT381:AT384)</f>
        <v>1086</v>
      </c>
      <c r="C381" s="4">
        <v>14173</v>
      </c>
      <c r="D381" s="68">
        <v>19</v>
      </c>
      <c r="E381" s="4">
        <v>1026</v>
      </c>
      <c r="F381" s="50">
        <v>3</v>
      </c>
      <c r="G381" s="4">
        <v>3</v>
      </c>
      <c r="H381" s="4">
        <v>3</v>
      </c>
      <c r="I381" s="51"/>
      <c r="J381" s="31" t="s">
        <v>36</v>
      </c>
      <c r="K381" s="27">
        <v>1015</v>
      </c>
      <c r="L381" s="50">
        <v>3045</v>
      </c>
      <c r="M381" s="52">
        <v>1.6</v>
      </c>
      <c r="N381" s="29"/>
      <c r="O381" s="30"/>
      <c r="P381" s="40">
        <f>IF($A$381="","",$A$381)</f>
        <v>45922</v>
      </c>
      <c r="Q381" s="4">
        <v>13279</v>
      </c>
      <c r="R381" s="68">
        <v>29</v>
      </c>
      <c r="S381" s="4">
        <v>1366</v>
      </c>
      <c r="T381" s="50">
        <v>0</v>
      </c>
      <c r="U381" s="4">
        <v>11</v>
      </c>
      <c r="V381" s="4">
        <v>0</v>
      </c>
      <c r="W381" s="51">
        <v>0</v>
      </c>
      <c r="X381" s="31" t="s">
        <v>40</v>
      </c>
      <c r="Y381" s="27">
        <v>1100</v>
      </c>
      <c r="Z381" s="50">
        <v>0</v>
      </c>
      <c r="AA381" s="52">
        <v>0</v>
      </c>
      <c r="AB381" s="29"/>
      <c r="AD381" s="40">
        <f>IF($A$381="","",$A$381)</f>
        <v>45922</v>
      </c>
      <c r="AE381" s="4">
        <v>11536</v>
      </c>
      <c r="AF381" s="68">
        <v>5</v>
      </c>
      <c r="AG381" s="4">
        <v>887</v>
      </c>
      <c r="AH381" s="50">
        <v>1</v>
      </c>
      <c r="AI381" s="4">
        <v>7</v>
      </c>
      <c r="AJ381" s="4">
        <v>1</v>
      </c>
      <c r="AK381" s="51">
        <v>0</v>
      </c>
      <c r="AL381" s="31" t="s">
        <v>41</v>
      </c>
      <c r="AM381" s="39">
        <f>IF(AF381="","",AM377)</f>
        <v>550</v>
      </c>
      <c r="AN381" s="50">
        <v>0</v>
      </c>
      <c r="AO381" s="52">
        <v>0</v>
      </c>
      <c r="AP381" s="29"/>
      <c r="AR381" s="80" t="s">
        <v>58</v>
      </c>
      <c r="AS381" s="4">
        <v>7858</v>
      </c>
      <c r="AT381" s="4">
        <v>76</v>
      </c>
      <c r="AU381" s="4">
        <v>459</v>
      </c>
      <c r="AV381" s="50">
        <v>5</v>
      </c>
      <c r="AW381" s="4">
        <v>5</v>
      </c>
      <c r="AX381" s="4">
        <v>3</v>
      </c>
      <c r="AY381" s="51">
        <v>3</v>
      </c>
      <c r="AZ381" s="31" t="s">
        <v>30</v>
      </c>
      <c r="BA381" s="39">
        <f>IF(AT381="","",BA377)</f>
        <v>722</v>
      </c>
      <c r="BB381" s="50">
        <v>0</v>
      </c>
      <c r="BC381" s="52">
        <v>0</v>
      </c>
      <c r="BD381" s="29"/>
    </row>
    <row r="382" spans="1:56" x14ac:dyDescent="0.2">
      <c r="A382" s="54"/>
      <c r="B382" s="26"/>
      <c r="C382" s="4">
        <v>16005</v>
      </c>
      <c r="D382" s="5">
        <v>140</v>
      </c>
      <c r="E382" s="5">
        <v>524</v>
      </c>
      <c r="F382" s="5">
        <v>14</v>
      </c>
      <c r="G382" s="5">
        <v>14</v>
      </c>
      <c r="H382" s="5">
        <v>14</v>
      </c>
      <c r="I382" s="35">
        <v>20</v>
      </c>
      <c r="J382" s="38" t="s">
        <v>13</v>
      </c>
      <c r="K382" s="39">
        <v>275</v>
      </c>
      <c r="L382" s="5">
        <v>3850</v>
      </c>
      <c r="M382" s="36">
        <v>0.28000000000000003</v>
      </c>
      <c r="N382" s="29"/>
      <c r="O382" s="30"/>
      <c r="P382" s="25"/>
      <c r="Q382" s="4">
        <v>13174</v>
      </c>
      <c r="R382" s="5">
        <v>87</v>
      </c>
      <c r="S382" s="5">
        <v>478</v>
      </c>
      <c r="T382" s="5">
        <v>2</v>
      </c>
      <c r="U382" s="5">
        <v>6</v>
      </c>
      <c r="V382" s="5">
        <v>2</v>
      </c>
      <c r="W382" s="35">
        <v>3</v>
      </c>
      <c r="X382" s="38" t="s">
        <v>42</v>
      </c>
      <c r="Y382" s="39">
        <v>600</v>
      </c>
      <c r="Z382" s="5">
        <v>1200</v>
      </c>
      <c r="AA382" s="36">
        <v>0.14000000000000001</v>
      </c>
      <c r="AB382" s="29"/>
      <c r="AD382" s="25"/>
      <c r="AE382" s="4">
        <v>10891</v>
      </c>
      <c r="AF382" s="5">
        <v>209</v>
      </c>
      <c r="AG382" s="5">
        <v>761</v>
      </c>
      <c r="AH382" s="5">
        <v>1</v>
      </c>
      <c r="AI382" s="5">
        <v>13</v>
      </c>
      <c r="AJ382" s="5">
        <v>0</v>
      </c>
      <c r="AK382" s="35">
        <v>0</v>
      </c>
      <c r="AL382" s="38" t="s">
        <v>43</v>
      </c>
      <c r="AM382" s="39">
        <f>IF(AF382="","",AM378)</f>
        <v>748</v>
      </c>
      <c r="AN382" s="5">
        <v>0</v>
      </c>
      <c r="AO382" s="36">
        <v>0</v>
      </c>
      <c r="AP382" s="29"/>
      <c r="AR382" s="25"/>
      <c r="AS382" s="4">
        <v>9652</v>
      </c>
      <c r="AT382" s="5">
        <v>101</v>
      </c>
      <c r="AU382" s="5">
        <v>510</v>
      </c>
      <c r="AV382" s="5">
        <v>4</v>
      </c>
      <c r="AW382" s="5">
        <v>10</v>
      </c>
      <c r="AX382" s="5">
        <v>1</v>
      </c>
      <c r="AY382" s="35">
        <v>0</v>
      </c>
      <c r="AZ382" s="38" t="s">
        <v>44</v>
      </c>
      <c r="BA382" s="39">
        <f>IF(AT382="","",BA378)</f>
        <v>1100</v>
      </c>
      <c r="BB382" s="5">
        <v>0</v>
      </c>
      <c r="BC382" s="36">
        <v>0</v>
      </c>
      <c r="BD382" s="29"/>
    </row>
    <row r="383" spans="1:56" x14ac:dyDescent="0.2">
      <c r="A383" s="54"/>
      <c r="B383" s="64"/>
      <c r="C383" s="57">
        <v>14370</v>
      </c>
      <c r="D383" s="5">
        <v>68</v>
      </c>
      <c r="E383" s="5">
        <v>563</v>
      </c>
      <c r="F383" s="5">
        <v>0</v>
      </c>
      <c r="G383" s="5">
        <v>4</v>
      </c>
      <c r="H383" s="5">
        <v>0</v>
      </c>
      <c r="I383" s="35">
        <v>0</v>
      </c>
      <c r="J383" s="38" t="s">
        <v>14</v>
      </c>
      <c r="K383" s="5">
        <v>1100</v>
      </c>
      <c r="L383" s="5">
        <v>0</v>
      </c>
      <c r="M383" s="36">
        <v>0</v>
      </c>
      <c r="N383" s="29"/>
      <c r="O383" s="30"/>
      <c r="P383" s="25"/>
      <c r="Q383" s="57">
        <v>12704</v>
      </c>
      <c r="R383" s="5">
        <v>105</v>
      </c>
      <c r="S383" s="5">
        <v>853</v>
      </c>
      <c r="T383" s="5">
        <v>7</v>
      </c>
      <c r="U383" s="5">
        <v>95</v>
      </c>
      <c r="V383" s="5">
        <v>7</v>
      </c>
      <c r="W383" s="35">
        <v>0</v>
      </c>
      <c r="X383" s="38" t="s">
        <v>35</v>
      </c>
      <c r="Y383" s="5">
        <v>198</v>
      </c>
      <c r="Z383" s="5">
        <v>1386</v>
      </c>
      <c r="AA383" s="36">
        <v>0.13</v>
      </c>
      <c r="AB383" s="29"/>
      <c r="AD383" s="25"/>
      <c r="AE383" s="57">
        <v>13895</v>
      </c>
      <c r="AF383" s="48">
        <v>23</v>
      </c>
      <c r="AG383" s="5">
        <v>2382</v>
      </c>
      <c r="AH383" s="5">
        <v>0</v>
      </c>
      <c r="AI383" s="5">
        <v>9</v>
      </c>
      <c r="AJ383" s="5">
        <v>0</v>
      </c>
      <c r="AK383" s="35">
        <v>0</v>
      </c>
      <c r="AL383" s="38" t="s">
        <v>45</v>
      </c>
      <c r="AM383" s="39">
        <f>IF(AF383="","",AM379)</f>
        <v>700</v>
      </c>
      <c r="AN383" s="5">
        <v>0</v>
      </c>
      <c r="AO383" s="36">
        <v>0</v>
      </c>
      <c r="AP383" s="29"/>
      <c r="AR383" s="25"/>
      <c r="AS383" s="57">
        <v>12116</v>
      </c>
      <c r="AT383" s="5">
        <v>69</v>
      </c>
      <c r="AU383" s="5">
        <v>728</v>
      </c>
      <c r="AV383" s="5">
        <v>2</v>
      </c>
      <c r="AW383" s="5">
        <v>9</v>
      </c>
      <c r="AX383" s="5">
        <v>1</v>
      </c>
      <c r="AY383" s="35">
        <v>0</v>
      </c>
      <c r="AZ383" s="38" t="s">
        <v>18</v>
      </c>
      <c r="BA383" s="39">
        <f>IF(AT383="","",BA379)</f>
        <v>528</v>
      </c>
      <c r="BB383" s="5">
        <v>0</v>
      </c>
      <c r="BC383" s="36">
        <v>0</v>
      </c>
      <c r="BD383" s="29"/>
    </row>
    <row r="384" spans="1:56" ht="15" customHeight="1" thickBot="1" x14ac:dyDescent="0.25">
      <c r="A384" s="65"/>
      <c r="B384" s="66"/>
      <c r="C384" s="43">
        <v>10960</v>
      </c>
      <c r="D384" s="61">
        <v>2</v>
      </c>
      <c r="E384" s="44">
        <v>1149</v>
      </c>
      <c r="F384" s="44">
        <v>1</v>
      </c>
      <c r="G384" s="44">
        <v>9</v>
      </c>
      <c r="H384" s="44">
        <v>1</v>
      </c>
      <c r="I384" s="62"/>
      <c r="J384" s="47" t="s">
        <v>46</v>
      </c>
      <c r="K384" s="61">
        <v>660</v>
      </c>
      <c r="L384" s="44">
        <v>660</v>
      </c>
      <c r="M384" s="46">
        <v>3.3</v>
      </c>
      <c r="N384" s="29" t="s">
        <v>59</v>
      </c>
      <c r="O384" s="30"/>
      <c r="P384" s="67"/>
      <c r="Q384" s="43">
        <v>10918</v>
      </c>
      <c r="R384" s="61">
        <v>143</v>
      </c>
      <c r="S384" s="44">
        <v>1032</v>
      </c>
      <c r="T384" s="44">
        <v>2</v>
      </c>
      <c r="U384" s="44">
        <v>5</v>
      </c>
      <c r="V384" s="44">
        <v>2</v>
      </c>
      <c r="W384" s="62">
        <v>0</v>
      </c>
      <c r="X384" s="47" t="s">
        <v>16</v>
      </c>
      <c r="Y384" s="61">
        <v>286</v>
      </c>
      <c r="Z384" s="44">
        <v>572</v>
      </c>
      <c r="AA384" s="46">
        <v>0.04</v>
      </c>
      <c r="AB384" s="29"/>
      <c r="AD384" s="67"/>
      <c r="AE384" s="43">
        <v>13097</v>
      </c>
      <c r="AF384" s="74">
        <v>5</v>
      </c>
      <c r="AG384" s="44">
        <v>1505</v>
      </c>
      <c r="AH384" s="44">
        <v>1</v>
      </c>
      <c r="AI384" s="44">
        <v>7</v>
      </c>
      <c r="AJ384" s="44">
        <v>1</v>
      </c>
      <c r="AK384" s="62">
        <v>0</v>
      </c>
      <c r="AL384" s="47" t="s">
        <v>48</v>
      </c>
      <c r="AM384" s="61">
        <f>IF(AF384="","",AM380)</f>
        <v>748</v>
      </c>
      <c r="AN384" s="44">
        <v>0</v>
      </c>
      <c r="AO384" s="46">
        <v>0</v>
      </c>
      <c r="AP384" s="29"/>
      <c r="AR384" s="67"/>
      <c r="AS384" s="43">
        <v>10069</v>
      </c>
      <c r="AT384" s="74">
        <v>5</v>
      </c>
      <c r="AU384" s="44">
        <v>784</v>
      </c>
      <c r="AV384" s="44">
        <v>0</v>
      </c>
      <c r="AW384" s="44">
        <v>6</v>
      </c>
      <c r="AX384" s="44">
        <v>0</v>
      </c>
      <c r="AY384" s="62">
        <v>0</v>
      </c>
      <c r="AZ384" s="47" t="s">
        <v>31</v>
      </c>
      <c r="BA384" s="61">
        <f>IF(AT384="","",BA380)</f>
        <v>900</v>
      </c>
      <c r="BB384" s="44">
        <v>0</v>
      </c>
      <c r="BC384" s="46">
        <v>0</v>
      </c>
      <c r="BD384" s="29"/>
    </row>
    <row r="385" spans="1:56" ht="15" customHeight="1" thickTop="1" x14ac:dyDescent="0.2">
      <c r="A385" s="49">
        <v>45929</v>
      </c>
      <c r="B385" s="26">
        <f>SUM(D385:D388)+SUM(R385:R388)+SUM(AF385:AF388)+SUM(AT385:AT388)</f>
        <v>1334</v>
      </c>
      <c r="C385" s="4">
        <v>14334</v>
      </c>
      <c r="D385" s="4">
        <f t="shared" ref="D385:D428" si="938">IF(C385="","",C385-C381)</f>
        <v>161</v>
      </c>
      <c r="E385" s="4">
        <v>1033</v>
      </c>
      <c r="F385" s="50">
        <f t="shared" ref="F385:F388" si="939">IF(E385="","",E385-E381)</f>
        <v>7</v>
      </c>
      <c r="G385" s="4">
        <v>3</v>
      </c>
      <c r="H385" s="4">
        <f t="shared" ref="H385:H423" si="940">IF(G385="","",G381+I381-G385)</f>
        <v>0</v>
      </c>
      <c r="I385" s="51">
        <v>12</v>
      </c>
      <c r="J385" s="31" t="s">
        <v>62</v>
      </c>
      <c r="K385" s="27">
        <v>1075</v>
      </c>
      <c r="L385" s="50">
        <f t="shared" ref="L385:L428" si="941">IF(G385="","",H385*K385)</f>
        <v>0</v>
      </c>
      <c r="M385" s="52">
        <f t="shared" ref="M385:M428" si="942">IF(H385="","",L385/(D385*100))</f>
        <v>0</v>
      </c>
      <c r="N385" s="29" t="s">
        <v>68</v>
      </c>
      <c r="O385" s="30"/>
      <c r="P385" s="53">
        <f>IF($A$385="","",$A$385)</f>
        <v>45929</v>
      </c>
      <c r="Q385" s="4">
        <v>13330</v>
      </c>
      <c r="R385" s="4">
        <f t="shared" si="920"/>
        <v>51</v>
      </c>
      <c r="S385" s="4">
        <v>1368</v>
      </c>
      <c r="T385" s="50">
        <f t="shared" si="921"/>
        <v>2</v>
      </c>
      <c r="U385" s="4">
        <v>9</v>
      </c>
      <c r="V385" s="4">
        <f t="shared" si="922"/>
        <v>2</v>
      </c>
      <c r="W385" s="51">
        <v>17</v>
      </c>
      <c r="X385" s="31" t="str">
        <f t="shared" si="923"/>
        <v>香水coach</v>
      </c>
      <c r="Y385" s="27">
        <f t="shared" si="923"/>
        <v>1100</v>
      </c>
      <c r="Z385" s="50">
        <f t="shared" si="924"/>
        <v>2200</v>
      </c>
      <c r="AA385" s="52">
        <f t="shared" si="925"/>
        <v>0.43137254901960786</v>
      </c>
      <c r="AB385" s="29" t="s">
        <v>66</v>
      </c>
      <c r="AD385" s="53">
        <f>IF($A$385="","",$A$385)</f>
        <v>45929</v>
      </c>
      <c r="AE385" s="4">
        <v>11569</v>
      </c>
      <c r="AF385" s="68">
        <f t="shared" si="926"/>
        <v>33</v>
      </c>
      <c r="AG385" s="4">
        <v>889</v>
      </c>
      <c r="AH385" s="50">
        <f t="shared" si="927"/>
        <v>2</v>
      </c>
      <c r="AI385" s="4">
        <v>6</v>
      </c>
      <c r="AJ385" s="4">
        <f t="shared" si="928"/>
        <v>1</v>
      </c>
      <c r="AK385" s="51">
        <v>1</v>
      </c>
      <c r="AL385" s="31" t="s">
        <v>60</v>
      </c>
      <c r="AM385" s="27">
        <v>500</v>
      </c>
      <c r="AN385" s="50">
        <f t="shared" si="930"/>
        <v>500</v>
      </c>
      <c r="AO385" s="52">
        <f t="shared" si="931"/>
        <v>0.15151515151515152</v>
      </c>
      <c r="AP385" s="29" t="s">
        <v>70</v>
      </c>
      <c r="AR385" s="53">
        <f>IF($A$385="","",$A$385)</f>
        <v>45929</v>
      </c>
      <c r="AS385" s="4">
        <v>7969</v>
      </c>
      <c r="AT385" s="4">
        <f t="shared" si="932"/>
        <v>111</v>
      </c>
      <c r="AU385" s="4">
        <v>469</v>
      </c>
      <c r="AV385" s="50">
        <f t="shared" si="933"/>
        <v>10</v>
      </c>
      <c r="AW385" s="4">
        <v>4</v>
      </c>
      <c r="AX385" s="4">
        <f t="shared" si="934"/>
        <v>4</v>
      </c>
      <c r="AY385" s="51">
        <v>4</v>
      </c>
      <c r="AZ385" s="31" t="str">
        <f t="shared" si="935"/>
        <v>デジタルミニカメラ</v>
      </c>
      <c r="BA385" s="27">
        <f t="shared" si="935"/>
        <v>722</v>
      </c>
      <c r="BB385" s="50">
        <f t="shared" si="936"/>
        <v>2888</v>
      </c>
      <c r="BC385" s="52">
        <f t="shared" si="937"/>
        <v>0.26018018018018019</v>
      </c>
      <c r="BD385" s="29"/>
    </row>
    <row r="386" spans="1:56" x14ac:dyDescent="0.2">
      <c r="A386" s="54"/>
      <c r="B386" s="37"/>
      <c r="C386" s="5">
        <v>16103</v>
      </c>
      <c r="D386" s="5">
        <f t="shared" si="938"/>
        <v>98</v>
      </c>
      <c r="E386" s="5">
        <v>548</v>
      </c>
      <c r="F386" s="5">
        <f t="shared" si="939"/>
        <v>24</v>
      </c>
      <c r="G386" s="5">
        <v>16</v>
      </c>
      <c r="H386" s="5">
        <f t="shared" si="940"/>
        <v>18</v>
      </c>
      <c r="I386" s="35">
        <v>0</v>
      </c>
      <c r="J386" s="38" t="str">
        <f t="shared" ref="J386:K401" si="943">IF(C386="","",J382)</f>
        <v>電ブル</v>
      </c>
      <c r="K386" s="39">
        <f t="shared" si="943"/>
        <v>275</v>
      </c>
      <c r="L386" s="5">
        <f t="shared" si="941"/>
        <v>4950</v>
      </c>
      <c r="M386" s="36">
        <f t="shared" si="942"/>
        <v>0.50510204081632648</v>
      </c>
      <c r="N386" s="29" t="s">
        <v>67</v>
      </c>
      <c r="O386" s="30"/>
      <c r="P386" s="54"/>
      <c r="Q386" s="5">
        <v>13253</v>
      </c>
      <c r="R386" s="5">
        <f t="shared" si="920"/>
        <v>79</v>
      </c>
      <c r="S386" s="5">
        <v>479</v>
      </c>
      <c r="T386" s="5">
        <f t="shared" si="921"/>
        <v>1</v>
      </c>
      <c r="U386" s="5">
        <v>7</v>
      </c>
      <c r="V386" s="5">
        <f t="shared" si="922"/>
        <v>2</v>
      </c>
      <c r="W386" s="35">
        <v>4</v>
      </c>
      <c r="X386" s="38" t="str">
        <f t="shared" si="923"/>
        <v>サンリオミニリュックチャーム付</v>
      </c>
      <c r="Y386" s="39">
        <f t="shared" si="923"/>
        <v>600</v>
      </c>
      <c r="Z386" s="5">
        <f t="shared" si="924"/>
        <v>1200</v>
      </c>
      <c r="AA386" s="36">
        <f t="shared" si="925"/>
        <v>0.15189873417721519</v>
      </c>
      <c r="AB386" s="29" t="s">
        <v>65</v>
      </c>
      <c r="AD386" s="54"/>
      <c r="AE386" s="5">
        <v>11022</v>
      </c>
      <c r="AF386" s="5">
        <f t="shared" si="926"/>
        <v>131</v>
      </c>
      <c r="AG386" s="5">
        <v>764</v>
      </c>
      <c r="AH386" s="5">
        <f t="shared" si="927"/>
        <v>3</v>
      </c>
      <c r="AI386" s="5">
        <v>12</v>
      </c>
      <c r="AJ386" s="5">
        <f t="shared" si="928"/>
        <v>1</v>
      </c>
      <c r="AK386" s="35">
        <v>0</v>
      </c>
      <c r="AL386" s="38" t="str">
        <f t="shared" si="929"/>
        <v>ジャグラーサウンドフラッシュ</v>
      </c>
      <c r="AM386" s="39">
        <f t="shared" si="929"/>
        <v>748</v>
      </c>
      <c r="AN386" s="5">
        <f t="shared" si="930"/>
        <v>748</v>
      </c>
      <c r="AO386" s="36">
        <f t="shared" si="931"/>
        <v>5.7099236641221372E-2</v>
      </c>
      <c r="AP386" s="29"/>
      <c r="AR386" s="54"/>
      <c r="AS386" s="5">
        <v>9724</v>
      </c>
      <c r="AT386" s="5">
        <f t="shared" si="932"/>
        <v>72</v>
      </c>
      <c r="AU386" s="5">
        <v>513</v>
      </c>
      <c r="AV386" s="5">
        <f t="shared" si="933"/>
        <v>3</v>
      </c>
      <c r="AW386" s="5">
        <v>9</v>
      </c>
      <c r="AX386" s="5">
        <f t="shared" si="934"/>
        <v>1</v>
      </c>
      <c r="AY386" s="35">
        <v>13</v>
      </c>
      <c r="AZ386" s="38" t="str">
        <f t="shared" si="935"/>
        <v>クーリッシュイヤホン</v>
      </c>
      <c r="BA386" s="39">
        <f t="shared" si="935"/>
        <v>1100</v>
      </c>
      <c r="BB386" s="5">
        <f t="shared" si="936"/>
        <v>1100</v>
      </c>
      <c r="BC386" s="36">
        <f t="shared" si="937"/>
        <v>0.15277777777777779</v>
      </c>
      <c r="BD386" s="29"/>
    </row>
    <row r="387" spans="1:56" x14ac:dyDescent="0.2">
      <c r="A387" s="70"/>
      <c r="B387" s="71"/>
      <c r="C387" s="58">
        <v>14421</v>
      </c>
      <c r="D387" s="5">
        <f t="shared" si="938"/>
        <v>51</v>
      </c>
      <c r="E387" s="5">
        <v>563</v>
      </c>
      <c r="F387" s="5">
        <f t="shared" si="939"/>
        <v>0</v>
      </c>
      <c r="G387" s="58">
        <v>8</v>
      </c>
      <c r="H387" s="5">
        <f t="shared" si="940"/>
        <v>-4</v>
      </c>
      <c r="I387" s="59">
        <v>6</v>
      </c>
      <c r="J387" s="38" t="str">
        <f t="shared" si="943"/>
        <v>サンリオファン</v>
      </c>
      <c r="K387" s="5">
        <f t="shared" si="943"/>
        <v>1100</v>
      </c>
      <c r="L387" s="5">
        <f t="shared" si="941"/>
        <v>-4400</v>
      </c>
      <c r="M387" s="36">
        <f t="shared" si="942"/>
        <v>-0.86274509803921573</v>
      </c>
      <c r="N387" s="29" t="s">
        <v>72</v>
      </c>
      <c r="P387" s="70"/>
      <c r="Q387" s="58">
        <v>12940</v>
      </c>
      <c r="R387" s="5">
        <f t="shared" si="920"/>
        <v>236</v>
      </c>
      <c r="S387" s="5">
        <v>859</v>
      </c>
      <c r="T387" s="5">
        <f t="shared" si="921"/>
        <v>6</v>
      </c>
      <c r="U387" s="58">
        <v>88</v>
      </c>
      <c r="V387" s="5">
        <f t="shared" si="922"/>
        <v>7</v>
      </c>
      <c r="W387" s="59">
        <v>0</v>
      </c>
      <c r="X387" s="38" t="str">
        <f t="shared" si="923"/>
        <v>AIラバー</v>
      </c>
      <c r="Y387" s="5">
        <f t="shared" si="923"/>
        <v>198</v>
      </c>
      <c r="Z387" s="5">
        <f t="shared" si="924"/>
        <v>1386</v>
      </c>
      <c r="AA387" s="36">
        <f t="shared" si="925"/>
        <v>5.8728813559322031E-2</v>
      </c>
      <c r="AB387" s="29"/>
      <c r="AD387" s="70"/>
      <c r="AE387" s="58">
        <v>13944</v>
      </c>
      <c r="AF387" s="5">
        <f t="shared" si="926"/>
        <v>49</v>
      </c>
      <c r="AG387" s="5">
        <v>2383</v>
      </c>
      <c r="AH387" s="5">
        <f t="shared" si="927"/>
        <v>1</v>
      </c>
      <c r="AI387" s="58">
        <v>8</v>
      </c>
      <c r="AJ387" s="5">
        <f t="shared" si="928"/>
        <v>1</v>
      </c>
      <c r="AK387" s="59">
        <v>3</v>
      </c>
      <c r="AL387" s="38" t="str">
        <f t="shared" si="929"/>
        <v>サンリオギャルキーケース</v>
      </c>
      <c r="AM387" s="5">
        <f t="shared" si="929"/>
        <v>700</v>
      </c>
      <c r="AN387" s="5">
        <f t="shared" si="930"/>
        <v>700</v>
      </c>
      <c r="AO387" s="36">
        <f t="shared" si="931"/>
        <v>0.14285714285714285</v>
      </c>
      <c r="AP387" s="29"/>
      <c r="AR387" s="70"/>
      <c r="AS387" s="58">
        <v>12193</v>
      </c>
      <c r="AT387" s="5">
        <f t="shared" si="932"/>
        <v>77</v>
      </c>
      <c r="AU387" s="5">
        <v>729</v>
      </c>
      <c r="AV387" s="5">
        <f t="shared" si="933"/>
        <v>1</v>
      </c>
      <c r="AW387" s="58">
        <v>8</v>
      </c>
      <c r="AX387" s="5">
        <f t="shared" si="934"/>
        <v>1</v>
      </c>
      <c r="AY387" s="59">
        <v>8</v>
      </c>
      <c r="AZ387" s="38" t="str">
        <f t="shared" si="935"/>
        <v>モンチッチマスコット</v>
      </c>
      <c r="BA387" s="5">
        <f t="shared" si="935"/>
        <v>528</v>
      </c>
      <c r="BB387" s="5">
        <f t="shared" si="936"/>
        <v>528</v>
      </c>
      <c r="BC387" s="36">
        <f t="shared" si="937"/>
        <v>6.8571428571428575E-2</v>
      </c>
      <c r="BD387" s="29"/>
    </row>
    <row r="388" spans="1:56" ht="15" customHeight="1" thickBot="1" x14ac:dyDescent="0.25">
      <c r="A388" s="60"/>
      <c r="B388" s="73"/>
      <c r="C388" s="44">
        <v>10997</v>
      </c>
      <c r="D388" s="74">
        <f t="shared" si="938"/>
        <v>37</v>
      </c>
      <c r="E388" s="44">
        <v>1152</v>
      </c>
      <c r="F388" s="44">
        <f t="shared" si="939"/>
        <v>3</v>
      </c>
      <c r="G388" s="44">
        <v>8</v>
      </c>
      <c r="H388" s="44">
        <f t="shared" si="940"/>
        <v>1</v>
      </c>
      <c r="I388" s="62">
        <v>5</v>
      </c>
      <c r="J388" s="47" t="s">
        <v>63</v>
      </c>
      <c r="K388" s="61">
        <v>996</v>
      </c>
      <c r="L388" s="44">
        <f t="shared" si="941"/>
        <v>996</v>
      </c>
      <c r="M388" s="46">
        <f t="shared" si="942"/>
        <v>0.26918918918918922</v>
      </c>
      <c r="N388" s="29" t="s">
        <v>71</v>
      </c>
      <c r="P388" s="60"/>
      <c r="Q388" s="44">
        <v>11014</v>
      </c>
      <c r="R388" s="61">
        <f t="shared" si="920"/>
        <v>96</v>
      </c>
      <c r="S388" s="44">
        <v>1034</v>
      </c>
      <c r="T388" s="44">
        <f t="shared" si="921"/>
        <v>2</v>
      </c>
      <c r="U388" s="44">
        <v>6</v>
      </c>
      <c r="V388" s="44">
        <f t="shared" si="922"/>
        <v>-1</v>
      </c>
      <c r="W388" s="62">
        <v>3</v>
      </c>
      <c r="X388" s="47" t="str">
        <f t="shared" si="923"/>
        <v>AIマスコット</v>
      </c>
      <c r="Y388" s="61">
        <f t="shared" si="923"/>
        <v>286</v>
      </c>
      <c r="Z388" s="44">
        <f t="shared" si="924"/>
        <v>-286</v>
      </c>
      <c r="AA388" s="46">
        <f t="shared" si="925"/>
        <v>-2.9791666666666668E-2</v>
      </c>
      <c r="AB388" s="29"/>
      <c r="AD388" s="60"/>
      <c r="AE388" s="44">
        <v>13128</v>
      </c>
      <c r="AF388" s="74">
        <f t="shared" si="926"/>
        <v>31</v>
      </c>
      <c r="AG388" s="44">
        <v>1505</v>
      </c>
      <c r="AH388" s="44">
        <f t="shared" si="927"/>
        <v>0</v>
      </c>
      <c r="AI388" s="44">
        <v>7</v>
      </c>
      <c r="AJ388" s="44">
        <f t="shared" si="928"/>
        <v>0</v>
      </c>
      <c r="AK388" s="62">
        <v>8</v>
      </c>
      <c r="AL388" s="47" t="str">
        <f t="shared" si="929"/>
        <v>ピクミンマスコット</v>
      </c>
      <c r="AM388" s="61">
        <f t="shared" si="929"/>
        <v>748</v>
      </c>
      <c r="AN388" s="44">
        <f t="shared" si="930"/>
        <v>0</v>
      </c>
      <c r="AO388" s="46">
        <f t="shared" si="931"/>
        <v>0</v>
      </c>
      <c r="AP388" s="29" t="s">
        <v>64</v>
      </c>
      <c r="AR388" s="60"/>
      <c r="AS388" s="44">
        <v>10090</v>
      </c>
      <c r="AT388" s="74">
        <f t="shared" si="932"/>
        <v>21</v>
      </c>
      <c r="AU388" s="44">
        <v>786</v>
      </c>
      <c r="AV388" s="44">
        <f t="shared" si="933"/>
        <v>2</v>
      </c>
      <c r="AW388" s="44">
        <v>3</v>
      </c>
      <c r="AX388" s="44">
        <f t="shared" si="934"/>
        <v>3</v>
      </c>
      <c r="AY388" s="62">
        <v>22</v>
      </c>
      <c r="AZ388" s="47" t="str">
        <f t="shared" si="935"/>
        <v>ジョージファン</v>
      </c>
      <c r="BA388" s="61">
        <f t="shared" si="935"/>
        <v>900</v>
      </c>
      <c r="BB388" s="44">
        <f t="shared" si="936"/>
        <v>2700</v>
      </c>
      <c r="BC388" s="46">
        <f t="shared" si="937"/>
        <v>1.2857142857142858</v>
      </c>
      <c r="BD388" s="29" t="s">
        <v>69</v>
      </c>
    </row>
    <row r="389" spans="1:56" ht="15" customHeight="1" thickTop="1" x14ac:dyDescent="0.2">
      <c r="A389" s="49">
        <v>45933</v>
      </c>
      <c r="B389" s="26">
        <f>SUM(D389:D392)+SUM(R389:R392)+SUM(AF389:AF392)+SUM(AT389:AT392)</f>
        <v>670</v>
      </c>
      <c r="C389" s="4">
        <v>14368</v>
      </c>
      <c r="D389" s="4">
        <v>34</v>
      </c>
      <c r="E389" s="4">
        <v>1033</v>
      </c>
      <c r="F389" s="50">
        <v>0</v>
      </c>
      <c r="G389" s="4">
        <v>15</v>
      </c>
      <c r="H389" s="4">
        <v>0</v>
      </c>
      <c r="I389" s="51">
        <v>0</v>
      </c>
      <c r="J389" s="31" t="str">
        <f t="shared" si="943"/>
        <v>液晶ミニカメラ</v>
      </c>
      <c r="K389" s="27">
        <f t="shared" si="943"/>
        <v>1075</v>
      </c>
      <c r="L389" s="50">
        <f t="shared" si="941"/>
        <v>0</v>
      </c>
      <c r="M389" s="52">
        <f t="shared" si="942"/>
        <v>0</v>
      </c>
      <c r="N389" s="134" t="s">
        <v>75</v>
      </c>
      <c r="P389" s="53">
        <f>IF($A$389="","",$A$389)</f>
        <v>45933</v>
      </c>
      <c r="Q389" s="4">
        <v>13348</v>
      </c>
      <c r="R389" s="68">
        <v>18</v>
      </c>
      <c r="S389" s="4">
        <v>1368</v>
      </c>
      <c r="T389" s="50">
        <v>0</v>
      </c>
      <c r="U389" s="4">
        <v>26</v>
      </c>
      <c r="V389" s="4">
        <v>0</v>
      </c>
      <c r="W389" s="51">
        <v>0</v>
      </c>
      <c r="X389" s="31" t="s">
        <v>73</v>
      </c>
      <c r="Y389" s="27">
        <v>1100</v>
      </c>
      <c r="Z389" s="50">
        <v>0</v>
      </c>
      <c r="AA389" s="52">
        <v>0</v>
      </c>
      <c r="AB389" s="134" t="s">
        <v>76</v>
      </c>
      <c r="AD389" s="53">
        <f>IF($A$389="","",$A$389)</f>
        <v>45933</v>
      </c>
      <c r="AE389" s="4">
        <v>11586</v>
      </c>
      <c r="AF389" s="4">
        <v>17</v>
      </c>
      <c r="AG389" s="4">
        <v>889</v>
      </c>
      <c r="AH389" s="50">
        <v>0</v>
      </c>
      <c r="AI389" s="4">
        <v>7</v>
      </c>
      <c r="AJ389" s="4">
        <v>0</v>
      </c>
      <c r="AK389" s="51">
        <v>0</v>
      </c>
      <c r="AL389" s="31" t="s">
        <v>48</v>
      </c>
      <c r="AM389" s="27">
        <v>748</v>
      </c>
      <c r="AN389" s="50">
        <f t="shared" si="930"/>
        <v>0</v>
      </c>
      <c r="AO389" s="52">
        <f t="shared" si="931"/>
        <v>0</v>
      </c>
      <c r="AP389" s="134" t="s">
        <v>75</v>
      </c>
      <c r="AR389" s="53">
        <f>IF($A$389="","",$A$389)</f>
        <v>45933</v>
      </c>
      <c r="AS389" s="4">
        <v>8004</v>
      </c>
      <c r="AT389" s="4">
        <v>35</v>
      </c>
      <c r="AU389" s="4">
        <v>469</v>
      </c>
      <c r="AV389" s="50">
        <v>0</v>
      </c>
      <c r="AW389" s="4">
        <v>8</v>
      </c>
      <c r="AX389" s="4">
        <v>0</v>
      </c>
      <c r="AY389" s="51"/>
      <c r="AZ389" s="31" t="s">
        <v>30</v>
      </c>
      <c r="BA389" s="39">
        <f>IF(AT389="","",BA385)</f>
        <v>722</v>
      </c>
      <c r="BB389" s="50">
        <v>0</v>
      </c>
      <c r="BC389" s="52">
        <v>0</v>
      </c>
      <c r="BD389" s="29"/>
    </row>
    <row r="390" spans="1:56" x14ac:dyDescent="0.2">
      <c r="A390" s="49"/>
      <c r="B390" s="26"/>
      <c r="C390" s="4">
        <v>16126</v>
      </c>
      <c r="D390" s="5">
        <v>23</v>
      </c>
      <c r="E390" s="5">
        <v>549</v>
      </c>
      <c r="F390" s="5">
        <v>1</v>
      </c>
      <c r="G390" s="5">
        <v>15</v>
      </c>
      <c r="H390" s="5">
        <v>1</v>
      </c>
      <c r="I390" s="35">
        <v>20</v>
      </c>
      <c r="J390" s="38" t="str">
        <f t="shared" si="943"/>
        <v>電ブル</v>
      </c>
      <c r="K390" s="39">
        <f t="shared" si="943"/>
        <v>275</v>
      </c>
      <c r="L390" s="5">
        <f t="shared" si="941"/>
        <v>275</v>
      </c>
      <c r="M390" s="36">
        <f t="shared" si="942"/>
        <v>0.11956521739130435</v>
      </c>
      <c r="N390" s="29"/>
      <c r="P390" s="49"/>
      <c r="Q390" s="4">
        <v>13302</v>
      </c>
      <c r="R390" s="5">
        <v>49</v>
      </c>
      <c r="S390" s="5">
        <v>479</v>
      </c>
      <c r="T390" s="5">
        <v>0</v>
      </c>
      <c r="U390" s="5">
        <v>11</v>
      </c>
      <c r="V390" s="5">
        <v>0</v>
      </c>
      <c r="W390" s="35">
        <v>0</v>
      </c>
      <c r="X390" s="38" t="s">
        <v>42</v>
      </c>
      <c r="Y390" s="39">
        <v>600</v>
      </c>
      <c r="Z390" s="5">
        <v>0</v>
      </c>
      <c r="AA390" s="36">
        <v>0</v>
      </c>
      <c r="AB390" s="29"/>
      <c r="AD390" s="49"/>
      <c r="AE390" s="4">
        <v>11081</v>
      </c>
      <c r="AF390" s="5">
        <v>59</v>
      </c>
      <c r="AG390" s="5">
        <v>765</v>
      </c>
      <c r="AH390" s="5">
        <v>1</v>
      </c>
      <c r="AI390" s="5">
        <v>11</v>
      </c>
      <c r="AJ390" s="5">
        <v>1</v>
      </c>
      <c r="AK390" s="35">
        <v>0</v>
      </c>
      <c r="AL390" s="38" t="s">
        <v>43</v>
      </c>
      <c r="AM390" s="39">
        <f t="shared" si="929"/>
        <v>748</v>
      </c>
      <c r="AN390" s="5">
        <f t="shared" si="930"/>
        <v>748</v>
      </c>
      <c r="AO390" s="36">
        <f t="shared" si="931"/>
        <v>0.12677966101694915</v>
      </c>
      <c r="AP390" s="29"/>
      <c r="AR390" s="49"/>
      <c r="AS390" s="4">
        <v>9752</v>
      </c>
      <c r="AT390" s="5">
        <v>28</v>
      </c>
      <c r="AU390" s="5">
        <v>513</v>
      </c>
      <c r="AV390" s="5">
        <v>0</v>
      </c>
      <c r="AW390" s="5">
        <v>22</v>
      </c>
      <c r="AX390" s="5">
        <v>0</v>
      </c>
      <c r="AY390" s="35"/>
      <c r="AZ390" s="38" t="s">
        <v>44</v>
      </c>
      <c r="BA390" s="39">
        <f>IF(AT390="","",BA386)</f>
        <v>1100</v>
      </c>
      <c r="BB390" s="5">
        <v>0</v>
      </c>
      <c r="BC390" s="36">
        <v>0</v>
      </c>
      <c r="BD390" s="29"/>
    </row>
    <row r="391" spans="1:56" ht="15" customHeight="1" x14ac:dyDescent="0.2">
      <c r="A391" s="49"/>
      <c r="B391" s="64"/>
      <c r="C391" s="57">
        <v>14478</v>
      </c>
      <c r="D391" s="5">
        <v>57</v>
      </c>
      <c r="E391" s="5">
        <v>565</v>
      </c>
      <c r="F391" s="5">
        <v>2</v>
      </c>
      <c r="G391" s="5">
        <v>13</v>
      </c>
      <c r="H391" s="5">
        <v>1</v>
      </c>
      <c r="I391" s="35">
        <v>0</v>
      </c>
      <c r="J391" s="38" t="s">
        <v>61</v>
      </c>
      <c r="K391" s="5">
        <v>500</v>
      </c>
      <c r="L391" s="5">
        <f t="shared" si="941"/>
        <v>500</v>
      </c>
      <c r="M391" s="36">
        <f t="shared" si="942"/>
        <v>8.771929824561403E-2</v>
      </c>
      <c r="N391" s="29"/>
      <c r="P391" s="49"/>
      <c r="Q391" s="57">
        <v>13028</v>
      </c>
      <c r="R391" s="5">
        <v>85</v>
      </c>
      <c r="S391" s="5">
        <v>863</v>
      </c>
      <c r="T391" s="5">
        <v>4</v>
      </c>
      <c r="U391" s="5">
        <v>84</v>
      </c>
      <c r="V391" s="5">
        <v>4</v>
      </c>
      <c r="W391" s="35">
        <v>0</v>
      </c>
      <c r="X391" s="38" t="s">
        <v>35</v>
      </c>
      <c r="Y391" s="5">
        <v>198</v>
      </c>
      <c r="Z391" s="5">
        <v>792</v>
      </c>
      <c r="AA391" s="36">
        <v>0.09</v>
      </c>
      <c r="AB391" s="29"/>
      <c r="AD391" s="49"/>
      <c r="AE391" s="57">
        <v>13983</v>
      </c>
      <c r="AF391" s="5">
        <v>39</v>
      </c>
      <c r="AG391" s="5">
        <v>2383</v>
      </c>
      <c r="AH391" s="5">
        <v>0</v>
      </c>
      <c r="AI391" s="5">
        <v>11</v>
      </c>
      <c r="AJ391" s="5">
        <v>0</v>
      </c>
      <c r="AK391" s="35">
        <v>0</v>
      </c>
      <c r="AL391" s="38" t="s">
        <v>45</v>
      </c>
      <c r="AM391" s="5">
        <f t="shared" si="929"/>
        <v>700</v>
      </c>
      <c r="AN391" s="5">
        <f t="shared" si="930"/>
        <v>0</v>
      </c>
      <c r="AO391" s="36">
        <f t="shared" si="931"/>
        <v>0</v>
      </c>
      <c r="AP391" s="29"/>
      <c r="AR391" s="49"/>
      <c r="AS391" s="57">
        <v>12242</v>
      </c>
      <c r="AT391" s="5">
        <v>49</v>
      </c>
      <c r="AU391" s="5">
        <v>729</v>
      </c>
      <c r="AV391" s="5">
        <v>0</v>
      </c>
      <c r="AW391" s="5">
        <v>16</v>
      </c>
      <c r="AX391" s="5">
        <v>0</v>
      </c>
      <c r="AY391" s="35"/>
      <c r="AZ391" s="38" t="s">
        <v>18</v>
      </c>
      <c r="BA391" s="39">
        <f>IF(AT391="","",BA387)</f>
        <v>528</v>
      </c>
      <c r="BB391" s="5">
        <v>0</v>
      </c>
      <c r="BC391" s="36">
        <v>0</v>
      </c>
      <c r="BD391" s="29"/>
    </row>
    <row r="392" spans="1:56" ht="15" customHeight="1" thickBot="1" x14ac:dyDescent="0.25">
      <c r="A392" s="60"/>
      <c r="B392" s="73"/>
      <c r="C392" s="43">
        <v>11028</v>
      </c>
      <c r="D392" s="61">
        <v>31</v>
      </c>
      <c r="E392" s="44">
        <v>1152</v>
      </c>
      <c r="F392" s="44">
        <v>0</v>
      </c>
      <c r="G392" s="44">
        <v>13</v>
      </c>
      <c r="H392" s="44">
        <v>0</v>
      </c>
      <c r="I392" s="62">
        <v>0</v>
      </c>
      <c r="J392" s="47" t="str">
        <f t="shared" si="943"/>
        <v>キティヒョウ柄マスコット</v>
      </c>
      <c r="K392" s="61">
        <f t="shared" si="943"/>
        <v>996</v>
      </c>
      <c r="L392" s="44">
        <f t="shared" si="941"/>
        <v>0</v>
      </c>
      <c r="M392" s="46">
        <f t="shared" si="942"/>
        <v>0</v>
      </c>
      <c r="N392" s="134" t="s">
        <v>75</v>
      </c>
      <c r="P392" s="60"/>
      <c r="Q392" s="43">
        <v>11073</v>
      </c>
      <c r="R392" s="61">
        <v>59</v>
      </c>
      <c r="S392" s="44">
        <v>1035</v>
      </c>
      <c r="T392" s="44">
        <v>1</v>
      </c>
      <c r="U392" s="44">
        <v>8</v>
      </c>
      <c r="V392" s="44">
        <v>1</v>
      </c>
      <c r="W392" s="62">
        <v>0</v>
      </c>
      <c r="X392" s="47" t="s">
        <v>16</v>
      </c>
      <c r="Y392" s="61">
        <v>286</v>
      </c>
      <c r="Z392" s="44">
        <v>286</v>
      </c>
      <c r="AA392" s="46">
        <v>0.05</v>
      </c>
      <c r="AB392" s="134" t="s">
        <v>77</v>
      </c>
      <c r="AD392" s="60"/>
      <c r="AE392" s="43">
        <v>13197</v>
      </c>
      <c r="AF392" s="61">
        <v>69</v>
      </c>
      <c r="AG392" s="44">
        <v>1505</v>
      </c>
      <c r="AH392" s="44">
        <v>0</v>
      </c>
      <c r="AI392" s="44">
        <v>15</v>
      </c>
      <c r="AJ392" s="44">
        <v>0</v>
      </c>
      <c r="AK392" s="62">
        <v>0</v>
      </c>
      <c r="AL392" s="47" t="s">
        <v>60</v>
      </c>
      <c r="AM392" s="61">
        <v>500</v>
      </c>
      <c r="AN392" s="44">
        <f t="shared" si="930"/>
        <v>0</v>
      </c>
      <c r="AO392" s="46">
        <f t="shared" si="931"/>
        <v>0</v>
      </c>
      <c r="AP392" s="29"/>
      <c r="AR392" s="60"/>
      <c r="AS392" s="43">
        <v>10108</v>
      </c>
      <c r="AT392" s="61">
        <v>18</v>
      </c>
      <c r="AU392" s="44">
        <v>786</v>
      </c>
      <c r="AV392" s="44">
        <v>0</v>
      </c>
      <c r="AW392" s="44">
        <v>25</v>
      </c>
      <c r="AX392" s="44">
        <v>0</v>
      </c>
      <c r="AY392" s="62"/>
      <c r="AZ392" s="47" t="s">
        <v>74</v>
      </c>
      <c r="BA392" s="61"/>
      <c r="BB392" s="44">
        <v>0</v>
      </c>
      <c r="BC392" s="46">
        <v>0</v>
      </c>
      <c r="BD392" s="134" t="s">
        <v>76</v>
      </c>
    </row>
    <row r="393" spans="1:56" ht="15" customHeight="1" thickTop="1" x14ac:dyDescent="0.2">
      <c r="A393" s="49">
        <v>45936</v>
      </c>
      <c r="B393" s="26">
        <f>SUM(D393:D396)+SUM(R393:R396)+SUM(AF393:AF396)+SUM(AT393:AT396)</f>
        <v>1398</v>
      </c>
      <c r="C393" s="4">
        <v>14385</v>
      </c>
      <c r="D393" s="68">
        <f t="shared" si="938"/>
        <v>17</v>
      </c>
      <c r="E393" s="4">
        <v>1037</v>
      </c>
      <c r="F393" s="50">
        <f t="shared" ref="F393:F428" si="944">IF(E393="","",E393-E389)</f>
        <v>4</v>
      </c>
      <c r="G393" s="4">
        <v>11</v>
      </c>
      <c r="H393" s="4">
        <f t="shared" si="940"/>
        <v>4</v>
      </c>
      <c r="I393" s="51">
        <v>3</v>
      </c>
      <c r="J393" s="3" t="str">
        <f t="shared" si="943"/>
        <v>液晶ミニカメラ</v>
      </c>
      <c r="K393" s="39">
        <f t="shared" si="943"/>
        <v>1075</v>
      </c>
      <c r="L393" s="50">
        <f t="shared" si="941"/>
        <v>4300</v>
      </c>
      <c r="M393" s="52">
        <f t="shared" si="942"/>
        <v>2.5294117647058822</v>
      </c>
      <c r="N393" s="29" t="s">
        <v>51</v>
      </c>
      <c r="P393" s="53">
        <f>IF($A$393="","",$A$393)</f>
        <v>45936</v>
      </c>
      <c r="Q393" s="4">
        <v>13384</v>
      </c>
      <c r="R393" s="68">
        <f t="shared" si="920"/>
        <v>36</v>
      </c>
      <c r="S393" s="4">
        <v>1370</v>
      </c>
      <c r="T393" s="50">
        <f t="shared" si="921"/>
        <v>2</v>
      </c>
      <c r="U393" s="4">
        <v>24</v>
      </c>
      <c r="V393" s="4">
        <f t="shared" si="922"/>
        <v>2</v>
      </c>
      <c r="W393" s="51">
        <v>-16</v>
      </c>
      <c r="X393" s="38" t="str">
        <f t="shared" ref="X393:Y396" si="945">IF(Q393="","",X389)</f>
        <v>北斗イヤホン</v>
      </c>
      <c r="Y393" s="39">
        <f t="shared" si="945"/>
        <v>1100</v>
      </c>
      <c r="Z393" s="50">
        <f t="shared" si="924"/>
        <v>2200</v>
      </c>
      <c r="AA393" s="52">
        <f t="shared" si="925"/>
        <v>0.61111111111111116</v>
      </c>
      <c r="AB393" s="29" t="s">
        <v>81</v>
      </c>
      <c r="AD393" s="53">
        <f>IF($A$393="","",$A$393)</f>
        <v>45936</v>
      </c>
      <c r="AE393" s="4">
        <v>11615</v>
      </c>
      <c r="AF393" s="68">
        <f t="shared" si="926"/>
        <v>29</v>
      </c>
      <c r="AG393" s="4">
        <v>891</v>
      </c>
      <c r="AH393" s="50">
        <f t="shared" si="927"/>
        <v>2</v>
      </c>
      <c r="AI393" s="4">
        <v>5</v>
      </c>
      <c r="AJ393" s="4">
        <f t="shared" si="928"/>
        <v>2</v>
      </c>
      <c r="AK393" s="51">
        <v>4</v>
      </c>
      <c r="AL393" s="38" t="str">
        <f t="shared" ref="AL393:AM408" si="946">IF(AE393="","",AL389)</f>
        <v>ピクミンマスコット</v>
      </c>
      <c r="AM393" s="39">
        <f t="shared" si="946"/>
        <v>748</v>
      </c>
      <c r="AN393" s="50">
        <f t="shared" si="930"/>
        <v>1496</v>
      </c>
      <c r="AO393" s="52">
        <f t="shared" si="931"/>
        <v>0.51586206896551723</v>
      </c>
      <c r="AP393" s="29" t="s">
        <v>79</v>
      </c>
      <c r="AR393" s="53">
        <f>IF($A$393="","",$A$393)</f>
        <v>45936</v>
      </c>
      <c r="AS393" s="4">
        <v>8117</v>
      </c>
      <c r="AT393" s="4">
        <f t="shared" si="932"/>
        <v>113</v>
      </c>
      <c r="AU393" s="4">
        <v>465</v>
      </c>
      <c r="AV393" s="50">
        <f t="shared" si="933"/>
        <v>-4</v>
      </c>
      <c r="AW393" s="4">
        <v>4</v>
      </c>
      <c r="AX393" s="4">
        <f t="shared" si="934"/>
        <v>4</v>
      </c>
      <c r="AY393" s="51">
        <v>4</v>
      </c>
      <c r="AZ393" s="38" t="str">
        <f t="shared" ref="AZ393:BA408" si="947">IF(AS393="","",AZ389)</f>
        <v>デジタルミニカメラ</v>
      </c>
      <c r="BA393" s="39">
        <f t="shared" si="947"/>
        <v>722</v>
      </c>
      <c r="BB393" s="50">
        <f t="shared" si="936"/>
        <v>2888</v>
      </c>
      <c r="BC393" s="52">
        <f t="shared" si="937"/>
        <v>0.25557522123893806</v>
      </c>
      <c r="BD393" s="29" t="s">
        <v>78</v>
      </c>
    </row>
    <row r="394" spans="1:56" ht="15" customHeight="1" x14ac:dyDescent="0.2">
      <c r="A394" s="54"/>
      <c r="B394" s="37"/>
      <c r="C394" s="5">
        <v>16234</v>
      </c>
      <c r="D394" s="5">
        <f t="shared" si="938"/>
        <v>108</v>
      </c>
      <c r="E394" s="5">
        <v>554</v>
      </c>
      <c r="F394" s="5">
        <f t="shared" si="944"/>
        <v>5</v>
      </c>
      <c r="G394" s="5">
        <v>30</v>
      </c>
      <c r="H394" s="5">
        <f t="shared" si="940"/>
        <v>5</v>
      </c>
      <c r="I394" s="35">
        <v>10</v>
      </c>
      <c r="J394" s="3" t="str">
        <f t="shared" si="943"/>
        <v>電ブル</v>
      </c>
      <c r="K394" s="39">
        <f t="shared" si="943"/>
        <v>275</v>
      </c>
      <c r="L394" s="5">
        <f t="shared" si="941"/>
        <v>1375</v>
      </c>
      <c r="M394" s="36">
        <f t="shared" si="942"/>
        <v>0.12731481481481483</v>
      </c>
      <c r="N394" s="29"/>
      <c r="P394" s="54"/>
      <c r="Q394" s="5">
        <v>13314</v>
      </c>
      <c r="R394" s="48">
        <f t="shared" si="920"/>
        <v>12</v>
      </c>
      <c r="S394" s="5">
        <v>481</v>
      </c>
      <c r="T394" s="5">
        <f t="shared" si="921"/>
        <v>2</v>
      </c>
      <c r="U394" s="5">
        <v>8</v>
      </c>
      <c r="V394" s="5">
        <f t="shared" si="922"/>
        <v>3</v>
      </c>
      <c r="W394" s="35">
        <v>4</v>
      </c>
      <c r="X394" s="38" t="str">
        <f t="shared" si="945"/>
        <v>サンリオミニリュックチャーム付</v>
      </c>
      <c r="Y394" s="39">
        <f t="shared" si="945"/>
        <v>600</v>
      </c>
      <c r="Z394" s="5">
        <f t="shared" si="924"/>
        <v>1800</v>
      </c>
      <c r="AA394" s="36">
        <f t="shared" si="925"/>
        <v>1.5</v>
      </c>
      <c r="AB394" s="29" t="s">
        <v>82</v>
      </c>
      <c r="AD394" s="54"/>
      <c r="AE394" s="5">
        <v>11136</v>
      </c>
      <c r="AF394" s="5">
        <f t="shared" si="926"/>
        <v>55</v>
      </c>
      <c r="AG394" s="5">
        <v>765</v>
      </c>
      <c r="AH394" s="5">
        <f t="shared" si="927"/>
        <v>0</v>
      </c>
      <c r="AI394" s="5">
        <v>11</v>
      </c>
      <c r="AJ394" s="5">
        <f t="shared" si="928"/>
        <v>0</v>
      </c>
      <c r="AK394" s="35">
        <v>10</v>
      </c>
      <c r="AL394" s="38" t="str">
        <f t="shared" si="946"/>
        <v>ジャグラーサウンドフラッシュ</v>
      </c>
      <c r="AM394" s="39">
        <f t="shared" si="946"/>
        <v>748</v>
      </c>
      <c r="AN394" s="5">
        <f t="shared" si="930"/>
        <v>0</v>
      </c>
      <c r="AO394" s="36">
        <f t="shared" si="931"/>
        <v>0</v>
      </c>
      <c r="AP394" s="29"/>
      <c r="AR394" s="54"/>
      <c r="AS394" s="5">
        <v>9784</v>
      </c>
      <c r="AT394" s="48">
        <f t="shared" si="932"/>
        <v>32</v>
      </c>
      <c r="AU394" s="5">
        <v>514</v>
      </c>
      <c r="AV394" s="5">
        <f t="shared" si="933"/>
        <v>1</v>
      </c>
      <c r="AW394" s="5">
        <v>22</v>
      </c>
      <c r="AX394" s="5">
        <f t="shared" si="934"/>
        <v>0</v>
      </c>
      <c r="AY394" s="35">
        <v>0</v>
      </c>
      <c r="AZ394" s="38" t="str">
        <f t="shared" si="947"/>
        <v>クーリッシュイヤホン</v>
      </c>
      <c r="BA394" s="39">
        <f t="shared" si="947"/>
        <v>1100</v>
      </c>
      <c r="BB394" s="5">
        <f t="shared" si="936"/>
        <v>0</v>
      </c>
      <c r="BC394" s="36">
        <f t="shared" si="937"/>
        <v>0</v>
      </c>
      <c r="BD394" s="29"/>
    </row>
    <row r="395" spans="1:56" ht="15" customHeight="1" x14ac:dyDescent="0.2">
      <c r="A395" s="54"/>
      <c r="B395" s="71"/>
      <c r="C395" s="58">
        <v>14801</v>
      </c>
      <c r="D395" s="5">
        <f t="shared" si="938"/>
        <v>323</v>
      </c>
      <c r="E395" s="5">
        <v>573</v>
      </c>
      <c r="F395" s="5">
        <f t="shared" si="944"/>
        <v>8</v>
      </c>
      <c r="G395" s="58">
        <v>4</v>
      </c>
      <c r="H395" s="5">
        <f t="shared" si="940"/>
        <v>9</v>
      </c>
      <c r="I395" s="59">
        <v>10</v>
      </c>
      <c r="J395" s="3" t="str">
        <f t="shared" si="943"/>
        <v>ラブブキーホルダー</v>
      </c>
      <c r="K395" s="39">
        <f t="shared" si="943"/>
        <v>500</v>
      </c>
      <c r="L395" s="5">
        <f t="shared" si="941"/>
        <v>4500</v>
      </c>
      <c r="M395" s="36">
        <f t="shared" si="942"/>
        <v>0.13931888544891641</v>
      </c>
      <c r="N395" s="29"/>
      <c r="P395" s="54"/>
      <c r="Q395" s="58">
        <v>13157</v>
      </c>
      <c r="R395" s="5">
        <f t="shared" si="920"/>
        <v>129</v>
      </c>
      <c r="S395" s="5">
        <v>872</v>
      </c>
      <c r="T395" s="5">
        <f t="shared" si="921"/>
        <v>9</v>
      </c>
      <c r="U395" s="58">
        <v>73</v>
      </c>
      <c r="V395" s="5">
        <f t="shared" si="922"/>
        <v>11</v>
      </c>
      <c r="W395" s="59">
        <v>15</v>
      </c>
      <c r="X395" s="38" t="str">
        <f t="shared" si="945"/>
        <v>AIラバー</v>
      </c>
      <c r="Y395" s="39">
        <f t="shared" si="945"/>
        <v>198</v>
      </c>
      <c r="Z395" s="5">
        <f t="shared" si="924"/>
        <v>2178</v>
      </c>
      <c r="AA395" s="36">
        <f t="shared" si="925"/>
        <v>0.16883720930232557</v>
      </c>
      <c r="AB395" s="29"/>
      <c r="AD395" s="54"/>
      <c r="AE395" s="58">
        <v>14007</v>
      </c>
      <c r="AF395" s="48">
        <f t="shared" si="926"/>
        <v>24</v>
      </c>
      <c r="AG395" s="5">
        <v>2384</v>
      </c>
      <c r="AH395" s="5">
        <f t="shared" si="927"/>
        <v>1</v>
      </c>
      <c r="AI395" s="58">
        <v>10</v>
      </c>
      <c r="AJ395" s="5">
        <f t="shared" si="928"/>
        <v>1</v>
      </c>
      <c r="AK395" s="59">
        <v>3</v>
      </c>
      <c r="AL395" s="38" t="str">
        <f t="shared" si="946"/>
        <v>サンリオギャルキーケース</v>
      </c>
      <c r="AM395" s="39">
        <f t="shared" si="946"/>
        <v>700</v>
      </c>
      <c r="AN395" s="5">
        <f t="shared" si="930"/>
        <v>700</v>
      </c>
      <c r="AO395" s="36">
        <f t="shared" si="931"/>
        <v>0.29166666666666669</v>
      </c>
      <c r="AP395" s="29"/>
      <c r="AR395" s="54"/>
      <c r="AS395" s="58">
        <v>12258</v>
      </c>
      <c r="AT395" s="48">
        <f>IF(AS395="","",AS395-AS391)</f>
        <v>16</v>
      </c>
      <c r="AU395" s="5">
        <v>729</v>
      </c>
      <c r="AV395" s="5">
        <f t="shared" si="933"/>
        <v>0</v>
      </c>
      <c r="AW395" s="58">
        <v>16</v>
      </c>
      <c r="AX395" s="5">
        <f t="shared" si="934"/>
        <v>0</v>
      </c>
      <c r="AY395" s="59">
        <v>0</v>
      </c>
      <c r="AZ395" s="38" t="str">
        <f t="shared" si="947"/>
        <v>モンチッチマスコット</v>
      </c>
      <c r="BA395" s="39">
        <f t="shared" si="947"/>
        <v>528</v>
      </c>
      <c r="BB395" s="5">
        <f t="shared" si="936"/>
        <v>0</v>
      </c>
      <c r="BC395" s="36">
        <f t="shared" si="937"/>
        <v>0</v>
      </c>
      <c r="BD395" s="29"/>
    </row>
    <row r="396" spans="1:56" ht="15" customHeight="1" thickBot="1" x14ac:dyDescent="0.25">
      <c r="A396" s="60"/>
      <c r="B396" s="73"/>
      <c r="C396" s="44">
        <v>11056</v>
      </c>
      <c r="D396" s="74">
        <f t="shared" si="938"/>
        <v>28</v>
      </c>
      <c r="E396" s="44">
        <v>1165</v>
      </c>
      <c r="F396" s="44">
        <f t="shared" si="944"/>
        <v>13</v>
      </c>
      <c r="G396" s="44">
        <v>9</v>
      </c>
      <c r="H396" s="44">
        <f t="shared" si="940"/>
        <v>4</v>
      </c>
      <c r="I396" s="62">
        <v>6</v>
      </c>
      <c r="J396" s="45" t="str">
        <f t="shared" si="943"/>
        <v>キティヒョウ柄マスコット</v>
      </c>
      <c r="K396" s="61">
        <f t="shared" si="943"/>
        <v>996</v>
      </c>
      <c r="L396" s="44">
        <f t="shared" si="941"/>
        <v>3984</v>
      </c>
      <c r="M396" s="46">
        <f t="shared" si="942"/>
        <v>1.4228571428571428</v>
      </c>
      <c r="N396" s="29" t="s">
        <v>80</v>
      </c>
      <c r="P396" s="60"/>
      <c r="Q396" s="44">
        <v>11282</v>
      </c>
      <c r="R396" s="61">
        <f t="shared" si="920"/>
        <v>209</v>
      </c>
      <c r="S396" s="44">
        <v>1035</v>
      </c>
      <c r="T396" s="44">
        <f t="shared" si="921"/>
        <v>0</v>
      </c>
      <c r="U396" s="44">
        <v>8</v>
      </c>
      <c r="V396" s="44">
        <f t="shared" si="922"/>
        <v>0</v>
      </c>
      <c r="W396" s="62">
        <v>3</v>
      </c>
      <c r="X396" s="47" t="str">
        <f t="shared" si="945"/>
        <v>AIマスコット</v>
      </c>
      <c r="Y396" s="61">
        <f t="shared" si="945"/>
        <v>286</v>
      </c>
      <c r="Z396" s="44">
        <f t="shared" si="924"/>
        <v>0</v>
      </c>
      <c r="AA396" s="46">
        <f t="shared" si="925"/>
        <v>0</v>
      </c>
      <c r="AB396" s="29" t="s">
        <v>83</v>
      </c>
      <c r="AD396" s="60"/>
      <c r="AE396" s="44">
        <v>13400</v>
      </c>
      <c r="AF396" s="61">
        <f t="shared" si="926"/>
        <v>203</v>
      </c>
      <c r="AG396" s="44">
        <v>1513</v>
      </c>
      <c r="AH396" s="44">
        <f t="shared" si="927"/>
        <v>8</v>
      </c>
      <c r="AI396" s="44">
        <v>8</v>
      </c>
      <c r="AJ396" s="44">
        <f t="shared" si="928"/>
        <v>7</v>
      </c>
      <c r="AK396" s="62">
        <v>5</v>
      </c>
      <c r="AL396" s="47" t="str">
        <f t="shared" si="946"/>
        <v>ラブブマスコット</v>
      </c>
      <c r="AM396" s="61">
        <f t="shared" si="946"/>
        <v>500</v>
      </c>
      <c r="AN396" s="44">
        <f t="shared" si="930"/>
        <v>3500</v>
      </c>
      <c r="AO396" s="46">
        <f t="shared" si="931"/>
        <v>0.17241379310344829</v>
      </c>
      <c r="AP396" s="29"/>
      <c r="AR396" s="60"/>
      <c r="AS396" s="44">
        <v>10172</v>
      </c>
      <c r="AT396" s="61">
        <f t="shared" si="932"/>
        <v>64</v>
      </c>
      <c r="AU396" s="44">
        <v>790</v>
      </c>
      <c r="AV396" s="44">
        <f t="shared" si="933"/>
        <v>4</v>
      </c>
      <c r="AW396" s="44">
        <v>21</v>
      </c>
      <c r="AX396" s="44">
        <f t="shared" si="934"/>
        <v>4</v>
      </c>
      <c r="AY396" s="62">
        <v>6</v>
      </c>
      <c r="AZ396" s="47" t="str">
        <f t="shared" si="947"/>
        <v>サンリオでかぱっちん</v>
      </c>
      <c r="BA396" s="61">
        <v>660</v>
      </c>
      <c r="BB396" s="44">
        <f t="shared" si="936"/>
        <v>2640</v>
      </c>
      <c r="BC396" s="46">
        <f t="shared" si="937"/>
        <v>0.41249999999999998</v>
      </c>
      <c r="BD396" s="29"/>
    </row>
    <row r="397" spans="1:56" ht="15" customHeight="1" thickTop="1" x14ac:dyDescent="0.2">
      <c r="A397" s="49">
        <v>45940</v>
      </c>
      <c r="B397" s="26">
        <f>SUM(D397:D400)+SUM(R397:R400)+SUM(AF397:AF400)+SUM(AT397:AT400)</f>
        <v>667</v>
      </c>
      <c r="C397" s="4">
        <v>14452</v>
      </c>
      <c r="D397" s="4">
        <f t="shared" si="938"/>
        <v>67</v>
      </c>
      <c r="E397" s="4">
        <v>1039</v>
      </c>
      <c r="F397" s="50">
        <f t="shared" si="944"/>
        <v>2</v>
      </c>
      <c r="G397" s="4">
        <v>12</v>
      </c>
      <c r="H397" s="4">
        <f t="shared" si="940"/>
        <v>2</v>
      </c>
      <c r="I397" s="51">
        <v>2</v>
      </c>
      <c r="J397" s="31" t="str">
        <f t="shared" si="943"/>
        <v>液晶ミニカメラ</v>
      </c>
      <c r="K397" s="27">
        <f t="shared" si="943"/>
        <v>1075</v>
      </c>
      <c r="L397" s="50">
        <f t="shared" si="941"/>
        <v>2150</v>
      </c>
      <c r="M397" s="52">
        <f t="shared" si="942"/>
        <v>0.32089552238805968</v>
      </c>
      <c r="N397" s="29"/>
      <c r="P397" s="53">
        <f>IF($A$397="","",$A$397)</f>
        <v>45940</v>
      </c>
      <c r="Q397" s="4">
        <v>13471</v>
      </c>
      <c r="R397" s="4">
        <f t="shared" si="920"/>
        <v>87</v>
      </c>
      <c r="S397" s="4">
        <v>1372</v>
      </c>
      <c r="T397" s="50">
        <f t="shared" si="921"/>
        <v>2</v>
      </c>
      <c r="U397" s="4">
        <v>6</v>
      </c>
      <c r="V397" s="4">
        <f t="shared" si="922"/>
        <v>2</v>
      </c>
      <c r="W397" s="51">
        <v>2</v>
      </c>
      <c r="X397" s="31" t="s">
        <v>34</v>
      </c>
      <c r="Y397" s="27"/>
      <c r="Z397" s="50">
        <f t="shared" si="924"/>
        <v>0</v>
      </c>
      <c r="AA397" s="52">
        <f t="shared" si="925"/>
        <v>0</v>
      </c>
      <c r="AB397" s="29"/>
      <c r="AD397" s="53">
        <f>IF($A$397="","",$A$397)</f>
        <v>45940</v>
      </c>
      <c r="AE397" s="4">
        <v>11656</v>
      </c>
      <c r="AF397" s="4">
        <f t="shared" si="926"/>
        <v>41</v>
      </c>
      <c r="AG397" s="4">
        <v>891</v>
      </c>
      <c r="AH397" s="50">
        <f t="shared" si="927"/>
        <v>0</v>
      </c>
      <c r="AI397" s="4">
        <v>9</v>
      </c>
      <c r="AJ397" s="4">
        <f t="shared" si="928"/>
        <v>0</v>
      </c>
      <c r="AK397" s="51">
        <v>0</v>
      </c>
      <c r="AL397" s="31" t="str">
        <f t="shared" si="946"/>
        <v>ピクミンマスコット</v>
      </c>
      <c r="AM397" s="27">
        <f t="shared" si="946"/>
        <v>748</v>
      </c>
      <c r="AN397" s="50">
        <f t="shared" si="930"/>
        <v>0</v>
      </c>
      <c r="AO397" s="52">
        <f t="shared" si="931"/>
        <v>0</v>
      </c>
      <c r="AP397" s="29"/>
      <c r="AR397" s="53">
        <f>IF($A$397="","",$A$397)</f>
        <v>45940</v>
      </c>
      <c r="AS397" s="4">
        <v>8189</v>
      </c>
      <c r="AT397" s="4">
        <f t="shared" si="932"/>
        <v>72</v>
      </c>
      <c r="AU397" s="4">
        <v>466</v>
      </c>
      <c r="AV397" s="50">
        <f t="shared" si="933"/>
        <v>1</v>
      </c>
      <c r="AW397" s="4">
        <v>7</v>
      </c>
      <c r="AX397" s="4">
        <f t="shared" si="934"/>
        <v>1</v>
      </c>
      <c r="AY397" s="51">
        <v>1</v>
      </c>
      <c r="AZ397" s="31" t="str">
        <f t="shared" si="947"/>
        <v>デジタルミニカメラ</v>
      </c>
      <c r="BA397" s="27">
        <f t="shared" si="947"/>
        <v>722</v>
      </c>
      <c r="BB397" s="50">
        <f t="shared" si="936"/>
        <v>722</v>
      </c>
      <c r="BC397" s="52">
        <f t="shared" si="937"/>
        <v>0.10027777777777777</v>
      </c>
      <c r="BD397" s="29"/>
    </row>
    <row r="398" spans="1:56" ht="15" customHeight="1" x14ac:dyDescent="0.2">
      <c r="A398" s="49"/>
      <c r="B398" s="26"/>
      <c r="C398" s="4">
        <v>16276</v>
      </c>
      <c r="D398" s="5">
        <f t="shared" si="938"/>
        <v>42</v>
      </c>
      <c r="E398" s="5">
        <v>556</v>
      </c>
      <c r="F398" s="5">
        <f t="shared" si="944"/>
        <v>2</v>
      </c>
      <c r="G398" s="5">
        <v>38</v>
      </c>
      <c r="H398" s="5">
        <f t="shared" si="940"/>
        <v>2</v>
      </c>
      <c r="I398" s="35">
        <v>10</v>
      </c>
      <c r="J398" s="38" t="str">
        <f t="shared" si="943"/>
        <v>電ブル</v>
      </c>
      <c r="K398" s="39">
        <f t="shared" si="943"/>
        <v>275</v>
      </c>
      <c r="L398" s="5">
        <f t="shared" si="941"/>
        <v>550</v>
      </c>
      <c r="M398" s="36">
        <f t="shared" si="942"/>
        <v>0.13095238095238096</v>
      </c>
      <c r="N398" s="29"/>
      <c r="P398" s="49"/>
      <c r="Q398" s="4">
        <v>13360</v>
      </c>
      <c r="R398" s="5">
        <f t="shared" si="920"/>
        <v>46</v>
      </c>
      <c r="S398" s="5">
        <v>482</v>
      </c>
      <c r="T398" s="5">
        <f t="shared" si="921"/>
        <v>1</v>
      </c>
      <c r="U398" s="5">
        <v>11</v>
      </c>
      <c r="V398" s="5">
        <f t="shared" si="922"/>
        <v>1</v>
      </c>
      <c r="W398" s="35">
        <v>1</v>
      </c>
      <c r="X398" s="38" t="str">
        <f t="shared" ref="X398:Y408" si="948">IF(Q398="","",X394)</f>
        <v>サンリオミニリュックチャーム付</v>
      </c>
      <c r="Y398" s="39">
        <f t="shared" si="948"/>
        <v>600</v>
      </c>
      <c r="Z398" s="5">
        <f t="shared" si="924"/>
        <v>600</v>
      </c>
      <c r="AA398" s="36">
        <f t="shared" si="925"/>
        <v>0.13043478260869565</v>
      </c>
      <c r="AB398" s="29"/>
      <c r="AD398" s="49"/>
      <c r="AE398" s="4">
        <v>11158</v>
      </c>
      <c r="AF398" s="48">
        <f t="shared" si="926"/>
        <v>22</v>
      </c>
      <c r="AG398" s="5">
        <v>765</v>
      </c>
      <c r="AH398" s="5">
        <f t="shared" si="927"/>
        <v>0</v>
      </c>
      <c r="AI398" s="5">
        <v>21</v>
      </c>
      <c r="AJ398" s="5">
        <f t="shared" si="928"/>
        <v>0</v>
      </c>
      <c r="AK398" s="35">
        <v>0</v>
      </c>
      <c r="AL398" s="38" t="str">
        <f t="shared" si="946"/>
        <v>ジャグラーサウンドフラッシュ</v>
      </c>
      <c r="AM398" s="39">
        <f t="shared" si="946"/>
        <v>748</v>
      </c>
      <c r="AN398" s="5">
        <f t="shared" si="930"/>
        <v>0</v>
      </c>
      <c r="AO398" s="36">
        <f t="shared" si="931"/>
        <v>0</v>
      </c>
      <c r="AP398" s="29"/>
      <c r="AR398" s="49"/>
      <c r="AS398" s="4">
        <v>9850</v>
      </c>
      <c r="AT398" s="5">
        <f t="shared" si="932"/>
        <v>66</v>
      </c>
      <c r="AU398" s="5">
        <v>514</v>
      </c>
      <c r="AV398" s="5">
        <f t="shared" si="933"/>
        <v>0</v>
      </c>
      <c r="AW398" s="5">
        <v>22</v>
      </c>
      <c r="AX398" s="5">
        <f t="shared" si="934"/>
        <v>0</v>
      </c>
      <c r="AY398" s="35">
        <v>0</v>
      </c>
      <c r="AZ398" s="38" t="str">
        <f t="shared" si="947"/>
        <v>クーリッシュイヤホン</v>
      </c>
      <c r="BA398" s="39">
        <f t="shared" si="947"/>
        <v>1100</v>
      </c>
      <c r="BB398" s="5">
        <f t="shared" si="936"/>
        <v>0</v>
      </c>
      <c r="BC398" s="36">
        <f t="shared" si="937"/>
        <v>0</v>
      </c>
      <c r="BD398" s="29"/>
    </row>
    <row r="399" spans="1:56" ht="15" customHeight="1" x14ac:dyDescent="0.2">
      <c r="A399" s="54"/>
      <c r="B399" s="37"/>
      <c r="C399" s="57">
        <v>14884</v>
      </c>
      <c r="D399" s="5">
        <f t="shared" si="938"/>
        <v>83</v>
      </c>
      <c r="E399" s="5">
        <v>575</v>
      </c>
      <c r="F399" s="5">
        <f t="shared" si="944"/>
        <v>2</v>
      </c>
      <c r="G399" s="5">
        <v>11</v>
      </c>
      <c r="H399" s="5">
        <f t="shared" si="940"/>
        <v>3</v>
      </c>
      <c r="I399" s="35">
        <v>10</v>
      </c>
      <c r="J399" s="38" t="str">
        <f t="shared" si="943"/>
        <v>ラブブキーホルダー</v>
      </c>
      <c r="K399" s="5">
        <f t="shared" si="943"/>
        <v>500</v>
      </c>
      <c r="L399" s="5">
        <f t="shared" si="941"/>
        <v>1500</v>
      </c>
      <c r="M399" s="36">
        <f t="shared" si="942"/>
        <v>0.18072289156626506</v>
      </c>
      <c r="N399" s="29"/>
      <c r="P399" s="54"/>
      <c r="Q399" s="57">
        <v>13167</v>
      </c>
      <c r="R399" s="48">
        <f t="shared" si="920"/>
        <v>10</v>
      </c>
      <c r="S399" s="5">
        <v>873</v>
      </c>
      <c r="T399" s="5">
        <f t="shared" si="921"/>
        <v>1</v>
      </c>
      <c r="U399" s="5">
        <v>87</v>
      </c>
      <c r="V399" s="5">
        <f t="shared" si="922"/>
        <v>1</v>
      </c>
      <c r="W399" s="35">
        <v>0</v>
      </c>
      <c r="X399" s="38" t="str">
        <f t="shared" si="948"/>
        <v>AIラバー</v>
      </c>
      <c r="Y399" s="5">
        <f t="shared" si="948"/>
        <v>198</v>
      </c>
      <c r="Z399" s="5">
        <f t="shared" si="924"/>
        <v>198</v>
      </c>
      <c r="AA399" s="36">
        <f t="shared" si="925"/>
        <v>0.19800000000000001</v>
      </c>
      <c r="AB399" s="29"/>
      <c r="AD399" s="54"/>
      <c r="AE399" s="57">
        <v>14024</v>
      </c>
      <c r="AF399" s="48">
        <f t="shared" si="926"/>
        <v>17</v>
      </c>
      <c r="AG399" s="5">
        <v>2384</v>
      </c>
      <c r="AH399" s="5">
        <f t="shared" si="927"/>
        <v>0</v>
      </c>
      <c r="AI399" s="5">
        <v>13</v>
      </c>
      <c r="AJ399" s="5">
        <f t="shared" si="928"/>
        <v>0</v>
      </c>
      <c r="AK399" s="35">
        <v>0</v>
      </c>
      <c r="AL399" s="38" t="str">
        <f t="shared" si="946"/>
        <v>サンリオギャルキーケース</v>
      </c>
      <c r="AM399" s="5">
        <f t="shared" si="946"/>
        <v>700</v>
      </c>
      <c r="AN399" s="5">
        <f t="shared" si="930"/>
        <v>0</v>
      </c>
      <c r="AO399" s="36">
        <f t="shared" si="931"/>
        <v>0</v>
      </c>
      <c r="AP399" s="135" t="s">
        <v>84</v>
      </c>
      <c r="AR399" s="54"/>
      <c r="AS399" s="57">
        <v>12247</v>
      </c>
      <c r="AT399" s="48">
        <f t="shared" si="932"/>
        <v>-11</v>
      </c>
      <c r="AU399" s="5">
        <v>730</v>
      </c>
      <c r="AV399" s="5">
        <f t="shared" si="933"/>
        <v>1</v>
      </c>
      <c r="AW399" s="5">
        <v>15</v>
      </c>
      <c r="AX399" s="5">
        <f t="shared" si="934"/>
        <v>1</v>
      </c>
      <c r="AY399" s="35">
        <v>0</v>
      </c>
      <c r="AZ399" s="38" t="str">
        <f t="shared" si="947"/>
        <v>モンチッチマスコット</v>
      </c>
      <c r="BA399" s="5">
        <f t="shared" si="947"/>
        <v>528</v>
      </c>
      <c r="BB399" s="5">
        <f t="shared" si="936"/>
        <v>528</v>
      </c>
      <c r="BC399" s="36">
        <f t="shared" si="937"/>
        <v>-0.48</v>
      </c>
      <c r="BD399" s="29"/>
    </row>
    <row r="400" spans="1:56" ht="15" customHeight="1" thickBot="1" x14ac:dyDescent="0.25">
      <c r="A400" s="60"/>
      <c r="B400" s="73"/>
      <c r="C400" s="43">
        <v>11080</v>
      </c>
      <c r="D400" s="74">
        <f t="shared" si="938"/>
        <v>24</v>
      </c>
      <c r="E400" s="44">
        <v>1166</v>
      </c>
      <c r="F400" s="44">
        <f t="shared" si="944"/>
        <v>1</v>
      </c>
      <c r="G400" s="44">
        <v>15</v>
      </c>
      <c r="H400" s="44">
        <f t="shared" si="940"/>
        <v>0</v>
      </c>
      <c r="I400" s="62">
        <v>0</v>
      </c>
      <c r="J400" s="47" t="str">
        <f t="shared" si="943"/>
        <v>キティヒョウ柄マスコット</v>
      </c>
      <c r="K400" s="61">
        <f t="shared" si="943"/>
        <v>996</v>
      </c>
      <c r="L400" s="44">
        <f t="shared" si="941"/>
        <v>0</v>
      </c>
      <c r="M400" s="46">
        <f t="shared" si="942"/>
        <v>0</v>
      </c>
      <c r="N400" s="136" t="s">
        <v>85</v>
      </c>
      <c r="P400" s="60"/>
      <c r="Q400" s="43">
        <v>11310</v>
      </c>
      <c r="R400" s="74">
        <f t="shared" si="920"/>
        <v>28</v>
      </c>
      <c r="S400" s="44">
        <v>1035</v>
      </c>
      <c r="T400" s="44">
        <f t="shared" si="921"/>
        <v>0</v>
      </c>
      <c r="U400" s="44">
        <v>11</v>
      </c>
      <c r="V400" s="44">
        <f t="shared" si="922"/>
        <v>0</v>
      </c>
      <c r="W400" s="62">
        <v>0</v>
      </c>
      <c r="X400" s="47" t="str">
        <f t="shared" si="948"/>
        <v>AIマスコット</v>
      </c>
      <c r="Y400" s="61">
        <f t="shared" si="948"/>
        <v>286</v>
      </c>
      <c r="Z400" s="44">
        <f t="shared" si="924"/>
        <v>0</v>
      </c>
      <c r="AA400" s="46">
        <f t="shared" si="925"/>
        <v>0</v>
      </c>
      <c r="AB400" s="29"/>
      <c r="AD400" s="60"/>
      <c r="AE400" s="43">
        <v>13453</v>
      </c>
      <c r="AF400" s="61">
        <f t="shared" si="926"/>
        <v>53</v>
      </c>
      <c r="AG400" s="44">
        <v>1516</v>
      </c>
      <c r="AH400" s="44">
        <f t="shared" si="927"/>
        <v>3</v>
      </c>
      <c r="AI400" s="44">
        <v>10</v>
      </c>
      <c r="AJ400" s="44">
        <f t="shared" si="928"/>
        <v>3</v>
      </c>
      <c r="AK400" s="62">
        <v>6</v>
      </c>
      <c r="AL400" s="47" t="str">
        <f t="shared" si="946"/>
        <v>ラブブマスコット</v>
      </c>
      <c r="AM400" s="61">
        <f t="shared" si="946"/>
        <v>500</v>
      </c>
      <c r="AN400" s="44">
        <f t="shared" si="930"/>
        <v>1500</v>
      </c>
      <c r="AO400" s="46">
        <f t="shared" si="931"/>
        <v>0.28301886792452829</v>
      </c>
      <c r="AP400" s="29"/>
      <c r="AR400" s="60"/>
      <c r="AS400" s="43">
        <v>10192</v>
      </c>
      <c r="AT400" s="61">
        <f t="shared" si="932"/>
        <v>20</v>
      </c>
      <c r="AU400" s="44">
        <v>791</v>
      </c>
      <c r="AV400" s="44">
        <f t="shared" si="933"/>
        <v>1</v>
      </c>
      <c r="AW400" s="44">
        <v>26</v>
      </c>
      <c r="AX400" s="44">
        <f t="shared" si="934"/>
        <v>1</v>
      </c>
      <c r="AY400" s="62">
        <v>0</v>
      </c>
      <c r="AZ400" s="47" t="str">
        <f t="shared" si="947"/>
        <v>サンリオでかぱっちん</v>
      </c>
      <c r="BA400" s="61">
        <f t="shared" si="947"/>
        <v>660</v>
      </c>
      <c r="BB400" s="44">
        <f t="shared" si="936"/>
        <v>660</v>
      </c>
      <c r="BC400" s="46">
        <f t="shared" si="937"/>
        <v>0.33</v>
      </c>
      <c r="BD400" s="29"/>
    </row>
    <row r="401" spans="1:56" ht="15" customHeight="1" thickTop="1" x14ac:dyDescent="0.2">
      <c r="A401" s="49">
        <v>45944</v>
      </c>
      <c r="B401" s="26">
        <f>SUM(D401:D404)+SUM(R401:R404)+SUM(AF401:AF404)+SUM(AT401:AT404)</f>
        <v>1328</v>
      </c>
      <c r="C401" s="4">
        <v>14463</v>
      </c>
      <c r="D401" s="68">
        <f t="shared" si="938"/>
        <v>11</v>
      </c>
      <c r="E401" s="4">
        <v>1039</v>
      </c>
      <c r="F401" s="50">
        <f t="shared" si="944"/>
        <v>0</v>
      </c>
      <c r="G401" s="4">
        <v>14</v>
      </c>
      <c r="H401" s="4">
        <f t="shared" si="940"/>
        <v>0</v>
      </c>
      <c r="I401" s="51">
        <v>0</v>
      </c>
      <c r="J401" s="31" t="str">
        <f t="shared" si="943"/>
        <v>液晶ミニカメラ</v>
      </c>
      <c r="K401" s="27">
        <f t="shared" si="943"/>
        <v>1075</v>
      </c>
      <c r="L401" s="50">
        <f t="shared" si="941"/>
        <v>0</v>
      </c>
      <c r="M401" s="52">
        <f t="shared" si="942"/>
        <v>0</v>
      </c>
      <c r="N401" s="29"/>
      <c r="P401" s="53">
        <f>IF($A$401="","",$A$401)</f>
        <v>45944</v>
      </c>
      <c r="Q401" s="4">
        <v>13515</v>
      </c>
      <c r="R401" s="68">
        <f t="shared" si="920"/>
        <v>44</v>
      </c>
      <c r="S401" s="4">
        <v>1373</v>
      </c>
      <c r="T401" s="50">
        <f t="shared" si="921"/>
        <v>1</v>
      </c>
      <c r="U401" s="4">
        <v>7</v>
      </c>
      <c r="V401" s="4">
        <f t="shared" si="922"/>
        <v>1</v>
      </c>
      <c r="W401" s="51">
        <v>3</v>
      </c>
      <c r="X401" s="31" t="str">
        <f t="shared" si="948"/>
        <v>キティフェイスポーチ</v>
      </c>
      <c r="Y401" s="27">
        <f t="shared" si="948"/>
        <v>0</v>
      </c>
      <c r="Z401" s="50">
        <f t="shared" si="924"/>
        <v>0</v>
      </c>
      <c r="AA401" s="52">
        <f t="shared" si="925"/>
        <v>0</v>
      </c>
      <c r="AB401" s="29"/>
      <c r="AD401" s="53">
        <f>IF($A$401="","",$A$401)</f>
        <v>45944</v>
      </c>
      <c r="AE401" s="4">
        <v>11708</v>
      </c>
      <c r="AF401" s="4">
        <f t="shared" si="926"/>
        <v>52</v>
      </c>
      <c r="AG401" s="4">
        <v>893</v>
      </c>
      <c r="AH401" s="50">
        <f t="shared" si="927"/>
        <v>2</v>
      </c>
      <c r="AI401" s="4">
        <v>7</v>
      </c>
      <c r="AJ401" s="4">
        <f t="shared" si="928"/>
        <v>2</v>
      </c>
      <c r="AK401" s="51">
        <v>0</v>
      </c>
      <c r="AL401" s="31" t="str">
        <f t="shared" si="946"/>
        <v>ピクミンマスコット</v>
      </c>
      <c r="AM401" s="27">
        <f t="shared" si="946"/>
        <v>748</v>
      </c>
      <c r="AN401" s="50">
        <f t="shared" si="930"/>
        <v>1496</v>
      </c>
      <c r="AO401" s="52">
        <f t="shared" si="931"/>
        <v>0.28769230769230769</v>
      </c>
      <c r="AP401" s="29"/>
      <c r="AR401" s="53">
        <f>IF($A$401="","",$A$401)</f>
        <v>45944</v>
      </c>
      <c r="AS401" s="4">
        <v>8247</v>
      </c>
      <c r="AT401" s="4">
        <f t="shared" si="932"/>
        <v>58</v>
      </c>
      <c r="AU401" s="4">
        <v>467</v>
      </c>
      <c r="AV401" s="50">
        <f t="shared" si="933"/>
        <v>1</v>
      </c>
      <c r="AW401" s="4">
        <v>7</v>
      </c>
      <c r="AX401" s="4">
        <f t="shared" si="934"/>
        <v>1</v>
      </c>
      <c r="AY401" s="51">
        <v>0</v>
      </c>
      <c r="AZ401" s="31" t="str">
        <f t="shared" si="947"/>
        <v>デジタルミニカメラ</v>
      </c>
      <c r="BA401" s="27">
        <f t="shared" si="947"/>
        <v>722</v>
      </c>
      <c r="BB401" s="50">
        <f t="shared" si="936"/>
        <v>722</v>
      </c>
      <c r="BC401" s="52">
        <f t="shared" si="937"/>
        <v>0.12448275862068965</v>
      </c>
      <c r="BD401" s="29"/>
    </row>
    <row r="402" spans="1:56" ht="15" customHeight="1" x14ac:dyDescent="0.2">
      <c r="A402" s="54"/>
      <c r="B402" s="26"/>
      <c r="C402" s="5">
        <v>16276</v>
      </c>
      <c r="D402" s="5">
        <f t="shared" si="938"/>
        <v>0</v>
      </c>
      <c r="E402" s="5">
        <v>556</v>
      </c>
      <c r="F402" s="5">
        <f t="shared" si="944"/>
        <v>0</v>
      </c>
      <c r="G402" s="5">
        <v>48</v>
      </c>
      <c r="H402" s="5">
        <f t="shared" si="940"/>
        <v>0</v>
      </c>
      <c r="I402" s="35">
        <v>0</v>
      </c>
      <c r="J402" s="38" t="str">
        <f t="shared" ref="J402:K417" si="949">IF(C402="","",J398)</f>
        <v>電ブル</v>
      </c>
      <c r="K402" s="39">
        <f t="shared" si="949"/>
        <v>275</v>
      </c>
      <c r="L402" s="5">
        <f t="shared" si="941"/>
        <v>0</v>
      </c>
      <c r="M402" s="36" t="e">
        <f t="shared" si="942"/>
        <v>#DIV/0!</v>
      </c>
      <c r="N402" s="29" t="s">
        <v>86</v>
      </c>
      <c r="P402" s="54"/>
      <c r="Q402" s="5">
        <v>13437</v>
      </c>
      <c r="R402" s="5">
        <f t="shared" si="920"/>
        <v>77</v>
      </c>
      <c r="S402" s="5">
        <v>484</v>
      </c>
      <c r="T402" s="5">
        <f t="shared" si="921"/>
        <v>2</v>
      </c>
      <c r="U402" s="5">
        <v>10</v>
      </c>
      <c r="V402" s="5">
        <f t="shared" si="922"/>
        <v>2</v>
      </c>
      <c r="W402" s="35">
        <v>0</v>
      </c>
      <c r="X402" s="38" t="str">
        <f t="shared" si="948"/>
        <v>サンリオミニリュックチャーム付</v>
      </c>
      <c r="Y402" s="39">
        <f t="shared" si="948"/>
        <v>600</v>
      </c>
      <c r="Z402" s="5">
        <f t="shared" si="924"/>
        <v>1200</v>
      </c>
      <c r="AA402" s="36">
        <f t="shared" si="925"/>
        <v>0.15584415584415584</v>
      </c>
      <c r="AB402" s="29"/>
      <c r="AD402" s="54"/>
      <c r="AE402" s="5">
        <v>11210</v>
      </c>
      <c r="AF402" s="5">
        <f t="shared" si="926"/>
        <v>52</v>
      </c>
      <c r="AG402" s="5">
        <v>765</v>
      </c>
      <c r="AH402" s="5">
        <f t="shared" si="927"/>
        <v>0</v>
      </c>
      <c r="AI402" s="5">
        <v>21</v>
      </c>
      <c r="AJ402" s="5">
        <f t="shared" si="928"/>
        <v>0</v>
      </c>
      <c r="AK402" s="35">
        <v>0</v>
      </c>
      <c r="AL402" s="38" t="str">
        <f t="shared" si="946"/>
        <v>ジャグラーサウンドフラッシュ</v>
      </c>
      <c r="AM402" s="39">
        <f t="shared" si="946"/>
        <v>748</v>
      </c>
      <c r="AN402" s="5">
        <f t="shared" si="930"/>
        <v>0</v>
      </c>
      <c r="AO402" s="36">
        <f t="shared" si="931"/>
        <v>0</v>
      </c>
      <c r="AP402" s="29"/>
      <c r="AR402" s="54"/>
      <c r="AS402" s="5">
        <v>9881</v>
      </c>
      <c r="AT402" s="48">
        <f t="shared" si="932"/>
        <v>31</v>
      </c>
      <c r="AU402" s="5">
        <v>515</v>
      </c>
      <c r="AV402" s="5">
        <f t="shared" si="933"/>
        <v>1</v>
      </c>
      <c r="AW402" s="5">
        <v>21</v>
      </c>
      <c r="AX402" s="5">
        <f t="shared" si="934"/>
        <v>1</v>
      </c>
      <c r="AY402" s="35">
        <v>0</v>
      </c>
      <c r="AZ402" s="38" t="str">
        <f t="shared" si="947"/>
        <v>クーリッシュイヤホン</v>
      </c>
      <c r="BA402" s="39">
        <f t="shared" si="947"/>
        <v>1100</v>
      </c>
      <c r="BB402" s="5">
        <f t="shared" si="936"/>
        <v>1100</v>
      </c>
      <c r="BC402" s="36">
        <f t="shared" si="937"/>
        <v>0.35483870967741937</v>
      </c>
      <c r="BD402" s="29"/>
    </row>
    <row r="403" spans="1:56" ht="15" customHeight="1" x14ac:dyDescent="0.2">
      <c r="A403" s="54"/>
      <c r="B403" s="37"/>
      <c r="C403" s="58">
        <v>15368</v>
      </c>
      <c r="D403" s="5">
        <f t="shared" si="938"/>
        <v>484</v>
      </c>
      <c r="E403" s="5">
        <v>586</v>
      </c>
      <c r="F403" s="5">
        <f t="shared" si="944"/>
        <v>11</v>
      </c>
      <c r="G403" s="58">
        <v>10</v>
      </c>
      <c r="H403" s="5">
        <f t="shared" si="940"/>
        <v>11</v>
      </c>
      <c r="I403" s="59">
        <v>8</v>
      </c>
      <c r="J403" s="38" t="str">
        <f t="shared" si="949"/>
        <v>ラブブキーホルダー</v>
      </c>
      <c r="K403" s="5">
        <f t="shared" si="949"/>
        <v>500</v>
      </c>
      <c r="L403" s="5">
        <f t="shared" si="941"/>
        <v>5500</v>
      </c>
      <c r="M403" s="36">
        <f t="shared" si="942"/>
        <v>0.11363636363636363</v>
      </c>
      <c r="N403" s="29"/>
      <c r="P403" s="54"/>
      <c r="Q403" s="58">
        <v>13334</v>
      </c>
      <c r="R403" s="5">
        <f t="shared" si="920"/>
        <v>167</v>
      </c>
      <c r="S403" s="5">
        <v>881</v>
      </c>
      <c r="T403" s="5">
        <f t="shared" si="921"/>
        <v>8</v>
      </c>
      <c r="U403" s="58">
        <v>79</v>
      </c>
      <c r="V403" s="5">
        <f t="shared" si="922"/>
        <v>8</v>
      </c>
      <c r="W403" s="59">
        <v>13</v>
      </c>
      <c r="X403" s="38" t="str">
        <f t="shared" si="948"/>
        <v>AIラバー</v>
      </c>
      <c r="Y403" s="5">
        <f t="shared" si="948"/>
        <v>198</v>
      </c>
      <c r="Z403" s="5">
        <f t="shared" si="924"/>
        <v>1584</v>
      </c>
      <c r="AA403" s="36">
        <f t="shared" si="925"/>
        <v>9.4850299401197602E-2</v>
      </c>
      <c r="AB403" s="29"/>
      <c r="AD403" s="54"/>
      <c r="AE403" s="58">
        <v>14050</v>
      </c>
      <c r="AF403" s="48">
        <f t="shared" si="926"/>
        <v>26</v>
      </c>
      <c r="AG403" s="5">
        <v>2384</v>
      </c>
      <c r="AH403" s="5">
        <f t="shared" si="927"/>
        <v>0</v>
      </c>
      <c r="AI403" s="58">
        <v>13</v>
      </c>
      <c r="AJ403" s="5">
        <f t="shared" si="928"/>
        <v>0</v>
      </c>
      <c r="AK403" s="59">
        <v>-1</v>
      </c>
      <c r="AL403" s="38" t="str">
        <f t="shared" si="946"/>
        <v>サンリオギャルキーケース</v>
      </c>
      <c r="AM403" s="5">
        <f t="shared" si="946"/>
        <v>700</v>
      </c>
      <c r="AN403" s="5">
        <f t="shared" si="930"/>
        <v>0</v>
      </c>
      <c r="AO403" s="36">
        <f t="shared" si="931"/>
        <v>0</v>
      </c>
      <c r="AP403" s="29" t="s">
        <v>87</v>
      </c>
      <c r="AR403" s="54"/>
      <c r="AS403" s="58">
        <v>12328</v>
      </c>
      <c r="AT403" s="5">
        <f t="shared" si="932"/>
        <v>81</v>
      </c>
      <c r="AU403" s="5">
        <v>731</v>
      </c>
      <c r="AV403" s="5">
        <f t="shared" si="933"/>
        <v>1</v>
      </c>
      <c r="AW403" s="58">
        <v>14</v>
      </c>
      <c r="AX403" s="5">
        <f t="shared" si="934"/>
        <v>1</v>
      </c>
      <c r="AY403" s="59">
        <v>0</v>
      </c>
      <c r="AZ403" s="38" t="str">
        <f t="shared" si="947"/>
        <v>モンチッチマスコット</v>
      </c>
      <c r="BA403" s="5">
        <f t="shared" si="947"/>
        <v>528</v>
      </c>
      <c r="BB403" s="5">
        <f t="shared" si="936"/>
        <v>528</v>
      </c>
      <c r="BC403" s="36">
        <f t="shared" si="937"/>
        <v>6.5185185185185179E-2</v>
      </c>
      <c r="BD403" s="29"/>
    </row>
    <row r="404" spans="1:56" ht="15" customHeight="1" thickBot="1" x14ac:dyDescent="0.25">
      <c r="A404" s="60"/>
      <c r="B404" s="73"/>
      <c r="C404" s="44">
        <v>11123</v>
      </c>
      <c r="D404" s="74">
        <f t="shared" si="938"/>
        <v>43</v>
      </c>
      <c r="E404" s="44">
        <v>1167</v>
      </c>
      <c r="F404" s="44">
        <f t="shared" si="944"/>
        <v>1</v>
      </c>
      <c r="G404" s="44">
        <v>14</v>
      </c>
      <c r="H404" s="44">
        <f t="shared" si="940"/>
        <v>1</v>
      </c>
      <c r="I404" s="62">
        <v>3</v>
      </c>
      <c r="J404" s="47" t="str">
        <f>IF(C404="","",J400)</f>
        <v>キティヒョウ柄マスコット</v>
      </c>
      <c r="K404" s="61">
        <f t="shared" si="949"/>
        <v>996</v>
      </c>
      <c r="L404" s="44">
        <f t="shared" si="941"/>
        <v>996</v>
      </c>
      <c r="M404" s="46">
        <f t="shared" si="942"/>
        <v>0.23162790697674418</v>
      </c>
      <c r="N404" s="29"/>
      <c r="P404" s="60"/>
      <c r="Q404" s="44">
        <v>11378</v>
      </c>
      <c r="R404" s="61">
        <f t="shared" si="920"/>
        <v>68</v>
      </c>
      <c r="S404" s="44">
        <v>1036</v>
      </c>
      <c r="T404" s="44">
        <f t="shared" si="921"/>
        <v>1</v>
      </c>
      <c r="U404" s="44">
        <v>10</v>
      </c>
      <c r="V404" s="44">
        <f t="shared" si="922"/>
        <v>1</v>
      </c>
      <c r="W404" s="62">
        <v>2</v>
      </c>
      <c r="X404" s="47" t="str">
        <f t="shared" si="948"/>
        <v>AIマスコット</v>
      </c>
      <c r="Y404" s="61">
        <f t="shared" si="948"/>
        <v>286</v>
      </c>
      <c r="Z404" s="44">
        <f t="shared" si="924"/>
        <v>286</v>
      </c>
      <c r="AA404" s="46">
        <f t="shared" si="925"/>
        <v>4.2058823529411767E-2</v>
      </c>
      <c r="AB404" s="29"/>
      <c r="AD404" s="60"/>
      <c r="AE404" s="44">
        <v>13531</v>
      </c>
      <c r="AF404" s="61">
        <f t="shared" si="926"/>
        <v>78</v>
      </c>
      <c r="AG404" s="44">
        <v>1520</v>
      </c>
      <c r="AH404" s="44">
        <f t="shared" si="927"/>
        <v>4</v>
      </c>
      <c r="AI404" s="44">
        <v>12</v>
      </c>
      <c r="AJ404" s="44">
        <f>IF(AI404="","",AI400+AK400-AI404)</f>
        <v>4</v>
      </c>
      <c r="AK404" s="62">
        <v>4</v>
      </c>
      <c r="AL404" s="47" t="str">
        <f t="shared" si="946"/>
        <v>ラブブマスコット</v>
      </c>
      <c r="AM404" s="61">
        <f t="shared" si="946"/>
        <v>500</v>
      </c>
      <c r="AN404" s="44">
        <f t="shared" si="930"/>
        <v>2000</v>
      </c>
      <c r="AO404" s="46">
        <f t="shared" si="931"/>
        <v>0.25641025641025639</v>
      </c>
      <c r="AP404" s="29" t="s">
        <v>80</v>
      </c>
      <c r="AR404" s="60"/>
      <c r="AS404" s="44">
        <v>10248</v>
      </c>
      <c r="AT404" s="61">
        <f t="shared" si="932"/>
        <v>56</v>
      </c>
      <c r="AU404" s="44">
        <v>791</v>
      </c>
      <c r="AV404" s="44">
        <f t="shared" si="933"/>
        <v>0</v>
      </c>
      <c r="AW404" s="44">
        <v>26</v>
      </c>
      <c r="AX404" s="44">
        <f t="shared" si="934"/>
        <v>0</v>
      </c>
      <c r="AY404" s="62">
        <v>0</v>
      </c>
      <c r="AZ404" s="47" t="str">
        <f t="shared" si="947"/>
        <v>サンリオでかぱっちん</v>
      </c>
      <c r="BA404" s="61">
        <f t="shared" si="947"/>
        <v>660</v>
      </c>
      <c r="BB404" s="44">
        <f t="shared" si="936"/>
        <v>0</v>
      </c>
      <c r="BC404" s="46">
        <f t="shared" si="937"/>
        <v>0</v>
      </c>
      <c r="BD404" s="29"/>
    </row>
    <row r="405" spans="1:56" ht="15" customHeight="1" thickTop="1" x14ac:dyDescent="0.2">
      <c r="A405" s="49">
        <v>45948</v>
      </c>
      <c r="B405" s="26">
        <f>SUM(D405:D408)+SUM(R405:R408)+SUM(AF405:AF408)+SUM(AT405:AT408)</f>
        <v>967</v>
      </c>
      <c r="C405" s="4">
        <v>14552</v>
      </c>
      <c r="D405" s="4">
        <f t="shared" si="938"/>
        <v>89</v>
      </c>
      <c r="E405" s="4">
        <v>1042</v>
      </c>
      <c r="F405" s="50">
        <f t="shared" si="944"/>
        <v>3</v>
      </c>
      <c r="G405" s="4">
        <v>12</v>
      </c>
      <c r="H405" s="4">
        <f t="shared" si="940"/>
        <v>2</v>
      </c>
      <c r="I405" s="51"/>
      <c r="J405" s="31" t="str">
        <f t="shared" si="949"/>
        <v>液晶ミニカメラ</v>
      </c>
      <c r="K405" s="27">
        <f t="shared" si="949"/>
        <v>1075</v>
      </c>
      <c r="L405" s="50">
        <f t="shared" si="941"/>
        <v>2150</v>
      </c>
      <c r="M405" s="52">
        <f t="shared" si="942"/>
        <v>0.24157303370786518</v>
      </c>
      <c r="N405" s="29"/>
      <c r="P405" s="53">
        <f>IF($A$405="","",$A$405)</f>
        <v>45948</v>
      </c>
      <c r="Q405" s="4">
        <v>13648</v>
      </c>
      <c r="R405" s="4">
        <f>IF(Q405="","",Q405-Q401)</f>
        <v>133</v>
      </c>
      <c r="S405" s="4">
        <v>1375</v>
      </c>
      <c r="T405" s="50">
        <f t="shared" si="921"/>
        <v>2</v>
      </c>
      <c r="U405" s="4">
        <v>8</v>
      </c>
      <c r="V405" s="4">
        <f t="shared" si="922"/>
        <v>2</v>
      </c>
      <c r="W405" s="51"/>
      <c r="X405" s="31" t="str">
        <f t="shared" si="948"/>
        <v>キティフェイスポーチ</v>
      </c>
      <c r="Y405" s="27">
        <f t="shared" si="948"/>
        <v>0</v>
      </c>
      <c r="Z405" s="50">
        <f t="shared" si="924"/>
        <v>0</v>
      </c>
      <c r="AA405" s="52">
        <f t="shared" si="925"/>
        <v>0</v>
      </c>
      <c r="AB405" s="29"/>
      <c r="AD405" s="53">
        <f>IF($A$405="","",$A$405)</f>
        <v>45948</v>
      </c>
      <c r="AE405" s="4">
        <v>11715</v>
      </c>
      <c r="AF405" s="68">
        <f t="shared" si="926"/>
        <v>7</v>
      </c>
      <c r="AG405" s="4">
        <v>893</v>
      </c>
      <c r="AH405" s="50">
        <f t="shared" si="927"/>
        <v>0</v>
      </c>
      <c r="AI405" s="4">
        <v>7</v>
      </c>
      <c r="AJ405" s="4">
        <f t="shared" ref="AJ405:AJ428" si="950">IF(AI405="","",AI401+AK401-AI405)</f>
        <v>0</v>
      </c>
      <c r="AK405" s="51"/>
      <c r="AL405" s="31" t="str">
        <f t="shared" si="946"/>
        <v>ピクミンマスコット</v>
      </c>
      <c r="AM405" s="27">
        <f t="shared" si="946"/>
        <v>748</v>
      </c>
      <c r="AN405" s="50">
        <f t="shared" si="930"/>
        <v>0</v>
      </c>
      <c r="AO405" s="52">
        <f t="shared" si="931"/>
        <v>0</v>
      </c>
      <c r="AP405" s="29"/>
      <c r="AR405" s="53">
        <f>IF($A$405="","",$A$405)</f>
        <v>45948</v>
      </c>
      <c r="AS405" s="4">
        <v>8305</v>
      </c>
      <c r="AT405" s="4">
        <f t="shared" si="932"/>
        <v>58</v>
      </c>
      <c r="AU405" s="4">
        <v>468</v>
      </c>
      <c r="AV405" s="50">
        <f t="shared" si="933"/>
        <v>1</v>
      </c>
      <c r="AW405" s="4">
        <v>6</v>
      </c>
      <c r="AX405" s="4">
        <f t="shared" si="934"/>
        <v>1</v>
      </c>
      <c r="AY405" s="51"/>
      <c r="AZ405" s="31" t="str">
        <f t="shared" si="947"/>
        <v>デジタルミニカメラ</v>
      </c>
      <c r="BA405" s="27">
        <f t="shared" si="947"/>
        <v>722</v>
      </c>
      <c r="BB405" s="50">
        <f t="shared" si="936"/>
        <v>722</v>
      </c>
      <c r="BC405" s="52">
        <f t="shared" si="937"/>
        <v>0.12448275862068965</v>
      </c>
      <c r="BD405" s="29"/>
    </row>
    <row r="406" spans="1:56" ht="15" customHeight="1" x14ac:dyDescent="0.2">
      <c r="A406" s="54"/>
      <c r="B406" s="26"/>
      <c r="C406" s="4">
        <v>16363</v>
      </c>
      <c r="D406" s="5">
        <f t="shared" si="938"/>
        <v>87</v>
      </c>
      <c r="E406" s="5">
        <v>561</v>
      </c>
      <c r="F406" s="5">
        <f t="shared" si="944"/>
        <v>5</v>
      </c>
      <c r="G406" s="5">
        <v>43</v>
      </c>
      <c r="H406" s="5">
        <f t="shared" si="940"/>
        <v>5</v>
      </c>
      <c r="I406" s="35"/>
      <c r="J406" s="38" t="str">
        <f t="shared" si="949"/>
        <v>電ブル</v>
      </c>
      <c r="K406" s="39">
        <f t="shared" si="949"/>
        <v>275</v>
      </c>
      <c r="L406" s="5">
        <f t="shared" si="941"/>
        <v>1375</v>
      </c>
      <c r="M406" s="36">
        <f t="shared" si="942"/>
        <v>0.15804597701149425</v>
      </c>
      <c r="N406" s="29"/>
      <c r="P406" s="54"/>
      <c r="Q406" s="4">
        <v>13461</v>
      </c>
      <c r="R406" s="48">
        <f t="shared" si="920"/>
        <v>24</v>
      </c>
      <c r="S406" s="5">
        <v>484</v>
      </c>
      <c r="T406" s="5">
        <f t="shared" si="921"/>
        <v>0</v>
      </c>
      <c r="U406" s="5">
        <v>10</v>
      </c>
      <c r="V406" s="5">
        <f t="shared" si="922"/>
        <v>0</v>
      </c>
      <c r="W406" s="35"/>
      <c r="X406" s="38" t="str">
        <f t="shared" si="948"/>
        <v>サンリオミニリュックチャーム付</v>
      </c>
      <c r="Y406" s="39">
        <f t="shared" si="948"/>
        <v>600</v>
      </c>
      <c r="Z406" s="5">
        <f t="shared" si="924"/>
        <v>0</v>
      </c>
      <c r="AA406" s="36">
        <f t="shared" si="925"/>
        <v>0</v>
      </c>
      <c r="AB406" s="29"/>
      <c r="AD406" s="54"/>
      <c r="AE406" s="4">
        <v>11230</v>
      </c>
      <c r="AF406" s="48">
        <f t="shared" si="926"/>
        <v>20</v>
      </c>
      <c r="AG406" s="5">
        <v>766</v>
      </c>
      <c r="AH406" s="5">
        <f t="shared" si="927"/>
        <v>1</v>
      </c>
      <c r="AI406" s="5">
        <v>20</v>
      </c>
      <c r="AJ406" s="5">
        <f t="shared" si="950"/>
        <v>1</v>
      </c>
      <c r="AK406" s="35"/>
      <c r="AL406" s="38" t="str">
        <f t="shared" si="946"/>
        <v>ジャグラーサウンドフラッシュ</v>
      </c>
      <c r="AM406" s="39">
        <f t="shared" si="946"/>
        <v>748</v>
      </c>
      <c r="AN406" s="5">
        <f t="shared" si="930"/>
        <v>748</v>
      </c>
      <c r="AO406" s="36">
        <f t="shared" si="931"/>
        <v>0.374</v>
      </c>
      <c r="AP406" s="29"/>
      <c r="AR406" s="54"/>
      <c r="AS406" s="4">
        <v>9919</v>
      </c>
      <c r="AT406" s="48">
        <f t="shared" si="932"/>
        <v>38</v>
      </c>
      <c r="AU406" s="5">
        <v>517</v>
      </c>
      <c r="AV406" s="5">
        <f t="shared" si="933"/>
        <v>2</v>
      </c>
      <c r="AW406" s="5">
        <v>19</v>
      </c>
      <c r="AX406" s="5">
        <f t="shared" si="934"/>
        <v>2</v>
      </c>
      <c r="AY406" s="35"/>
      <c r="AZ406" s="38" t="str">
        <f t="shared" si="947"/>
        <v>クーリッシュイヤホン</v>
      </c>
      <c r="BA406" s="39">
        <f t="shared" si="947"/>
        <v>1100</v>
      </c>
      <c r="BB406" s="5">
        <f t="shared" si="936"/>
        <v>2200</v>
      </c>
      <c r="BC406" s="36">
        <f t="shared" si="937"/>
        <v>0.57894736842105265</v>
      </c>
      <c r="BD406" s="29"/>
    </row>
    <row r="407" spans="1:56" ht="15" customHeight="1" x14ac:dyDescent="0.2">
      <c r="A407" s="54"/>
      <c r="B407" s="37"/>
      <c r="C407" s="57">
        <v>15504</v>
      </c>
      <c r="D407" s="5">
        <f t="shared" si="938"/>
        <v>136</v>
      </c>
      <c r="E407" s="5">
        <v>586</v>
      </c>
      <c r="F407" s="5">
        <f t="shared" si="944"/>
        <v>0</v>
      </c>
      <c r="G407" s="5">
        <v>18</v>
      </c>
      <c r="H407" s="5">
        <f t="shared" si="940"/>
        <v>0</v>
      </c>
      <c r="I407" s="35"/>
      <c r="J407" s="38" t="str">
        <f t="shared" si="949"/>
        <v>ラブブキーホルダー</v>
      </c>
      <c r="K407" s="5">
        <f t="shared" si="949"/>
        <v>500</v>
      </c>
      <c r="L407" s="5">
        <f t="shared" si="941"/>
        <v>0</v>
      </c>
      <c r="M407" s="36">
        <f t="shared" si="942"/>
        <v>0</v>
      </c>
      <c r="N407" s="29"/>
      <c r="P407" s="54"/>
      <c r="Q407" s="57">
        <v>13425</v>
      </c>
      <c r="R407" s="5">
        <f t="shared" si="920"/>
        <v>91</v>
      </c>
      <c r="S407" s="5">
        <v>890</v>
      </c>
      <c r="T407" s="5">
        <f t="shared" si="921"/>
        <v>9</v>
      </c>
      <c r="U407" s="5">
        <v>83</v>
      </c>
      <c r="V407" s="5">
        <f t="shared" si="922"/>
        <v>9</v>
      </c>
      <c r="W407" s="35"/>
      <c r="X407" s="38" t="str">
        <f t="shared" si="948"/>
        <v>AIラバー</v>
      </c>
      <c r="Y407" s="5">
        <f t="shared" si="948"/>
        <v>198</v>
      </c>
      <c r="Z407" s="5">
        <f t="shared" si="924"/>
        <v>1782</v>
      </c>
      <c r="AA407" s="36">
        <f t="shared" si="925"/>
        <v>0.19582417582417583</v>
      </c>
      <c r="AB407" s="29"/>
      <c r="AD407" s="54"/>
      <c r="AE407" s="57">
        <v>14066</v>
      </c>
      <c r="AF407" s="48">
        <f t="shared" si="926"/>
        <v>16</v>
      </c>
      <c r="AG407" s="5">
        <v>2384</v>
      </c>
      <c r="AH407" s="5">
        <f t="shared" si="927"/>
        <v>0</v>
      </c>
      <c r="AI407" s="5">
        <v>13</v>
      </c>
      <c r="AJ407" s="5">
        <f t="shared" si="950"/>
        <v>-1</v>
      </c>
      <c r="AK407" s="35"/>
      <c r="AL407" s="38" t="str">
        <f t="shared" si="946"/>
        <v>サンリオギャルキーケース</v>
      </c>
      <c r="AM407" s="5">
        <f t="shared" si="946"/>
        <v>700</v>
      </c>
      <c r="AN407" s="5">
        <f t="shared" si="930"/>
        <v>-700</v>
      </c>
      <c r="AO407" s="36">
        <f t="shared" si="931"/>
        <v>-0.4375</v>
      </c>
      <c r="AP407" s="135" t="s">
        <v>345</v>
      </c>
      <c r="AR407" s="54"/>
      <c r="AS407" s="57">
        <v>12336</v>
      </c>
      <c r="AT407" s="48">
        <f t="shared" si="932"/>
        <v>8</v>
      </c>
      <c r="AU407" s="5">
        <v>731</v>
      </c>
      <c r="AV407" s="5">
        <f t="shared" si="933"/>
        <v>0</v>
      </c>
      <c r="AW407" s="5">
        <v>14</v>
      </c>
      <c r="AX407" s="5">
        <f t="shared" si="934"/>
        <v>0</v>
      </c>
      <c r="AY407" s="35"/>
      <c r="AZ407" s="38" t="str">
        <f t="shared" si="947"/>
        <v>モンチッチマスコット</v>
      </c>
      <c r="BA407" s="5">
        <f t="shared" si="947"/>
        <v>528</v>
      </c>
      <c r="BB407" s="5">
        <f t="shared" si="936"/>
        <v>0</v>
      </c>
      <c r="BC407" s="36">
        <f t="shared" si="937"/>
        <v>0</v>
      </c>
      <c r="BD407" s="29"/>
    </row>
    <row r="408" spans="1:56" ht="15" customHeight="1" thickBot="1" x14ac:dyDescent="0.25">
      <c r="A408" s="60"/>
      <c r="B408" s="73"/>
      <c r="C408" s="43">
        <v>11250</v>
      </c>
      <c r="D408" s="61">
        <f t="shared" si="938"/>
        <v>127</v>
      </c>
      <c r="E408" s="44">
        <v>1170</v>
      </c>
      <c r="F408" s="44">
        <f t="shared" si="944"/>
        <v>3</v>
      </c>
      <c r="G408" s="44">
        <v>14</v>
      </c>
      <c r="H408" s="44">
        <f t="shared" si="940"/>
        <v>3</v>
      </c>
      <c r="I408" s="62"/>
      <c r="J408" s="47" t="str">
        <f t="shared" si="949"/>
        <v>キティヒョウ柄マスコット</v>
      </c>
      <c r="K408" s="61">
        <f t="shared" si="949"/>
        <v>996</v>
      </c>
      <c r="L408" s="44">
        <f t="shared" si="941"/>
        <v>2988</v>
      </c>
      <c r="M408" s="46">
        <f t="shared" si="942"/>
        <v>0.23527559055118111</v>
      </c>
      <c r="N408" s="29"/>
      <c r="P408" s="60"/>
      <c r="Q408" s="43">
        <v>11460</v>
      </c>
      <c r="R408" s="61">
        <f t="shared" si="920"/>
        <v>82</v>
      </c>
      <c r="S408" s="44">
        <v>1038</v>
      </c>
      <c r="T408" s="44">
        <f t="shared" si="921"/>
        <v>2</v>
      </c>
      <c r="U408" s="44">
        <v>10</v>
      </c>
      <c r="V408" s="44">
        <f t="shared" si="922"/>
        <v>2</v>
      </c>
      <c r="W408" s="62"/>
      <c r="X408" s="47" t="str">
        <f t="shared" si="948"/>
        <v>AIマスコット</v>
      </c>
      <c r="Y408" s="61">
        <f t="shared" si="948"/>
        <v>286</v>
      </c>
      <c r="Z408" s="44">
        <f t="shared" si="924"/>
        <v>572</v>
      </c>
      <c r="AA408" s="46">
        <f t="shared" si="925"/>
        <v>6.9756097560975616E-2</v>
      </c>
      <c r="AB408" s="29"/>
      <c r="AD408" s="60"/>
      <c r="AE408" s="43">
        <v>13571</v>
      </c>
      <c r="AF408" s="61">
        <f t="shared" si="926"/>
        <v>40</v>
      </c>
      <c r="AG408" s="44">
        <v>1521</v>
      </c>
      <c r="AH408" s="44">
        <f t="shared" si="927"/>
        <v>1</v>
      </c>
      <c r="AI408" s="44">
        <v>15</v>
      </c>
      <c r="AJ408" s="44">
        <f t="shared" si="950"/>
        <v>1</v>
      </c>
      <c r="AK408" s="62"/>
      <c r="AL408" s="47" t="str">
        <f t="shared" si="946"/>
        <v>ラブブマスコット</v>
      </c>
      <c r="AM408" s="61">
        <f t="shared" si="946"/>
        <v>500</v>
      </c>
      <c r="AN408" s="44">
        <f t="shared" si="930"/>
        <v>500</v>
      </c>
      <c r="AO408" s="46">
        <f t="shared" si="931"/>
        <v>0.125</v>
      </c>
      <c r="AP408" s="29"/>
      <c r="AR408" s="60"/>
      <c r="AS408" s="43">
        <v>10259</v>
      </c>
      <c r="AT408" s="74">
        <f t="shared" si="932"/>
        <v>11</v>
      </c>
      <c r="AU408" s="44">
        <v>792</v>
      </c>
      <c r="AV408" s="44">
        <f t="shared" si="933"/>
        <v>1</v>
      </c>
      <c r="AW408" s="44">
        <v>25</v>
      </c>
      <c r="AX408" s="44">
        <f t="shared" si="934"/>
        <v>1</v>
      </c>
      <c r="AY408" s="62"/>
      <c r="AZ408" s="47" t="str">
        <f t="shared" si="947"/>
        <v>サンリオでかぱっちん</v>
      </c>
      <c r="BA408" s="61">
        <f t="shared" si="947"/>
        <v>660</v>
      </c>
      <c r="BB408" s="44">
        <f t="shared" si="936"/>
        <v>660</v>
      </c>
      <c r="BC408" s="46">
        <f t="shared" si="937"/>
        <v>0.6</v>
      </c>
      <c r="BD408" s="29"/>
    </row>
    <row r="409" spans="1:56" ht="15" customHeight="1" thickTop="1" x14ac:dyDescent="0.2">
      <c r="A409" s="49"/>
      <c r="B409" s="26"/>
      <c r="C409" s="4"/>
      <c r="D409" s="4"/>
      <c r="E409" s="4"/>
      <c r="F409" s="50"/>
      <c r="G409" s="4"/>
      <c r="H409" s="4"/>
      <c r="I409" s="51"/>
      <c r="J409" s="31"/>
      <c r="K409" s="27"/>
      <c r="L409" s="50"/>
      <c r="M409" s="52"/>
      <c r="N409" s="29"/>
      <c r="P409" s="53"/>
      <c r="Q409" s="4"/>
      <c r="R409" s="4"/>
      <c r="S409" s="4"/>
      <c r="T409" s="50"/>
      <c r="U409" s="4"/>
      <c r="V409" s="4"/>
      <c r="W409" s="51"/>
      <c r="X409" s="31"/>
      <c r="Y409" s="27"/>
      <c r="Z409" s="50"/>
      <c r="AA409" s="52"/>
      <c r="AB409" s="29"/>
      <c r="AD409" s="53"/>
      <c r="AE409" s="4"/>
      <c r="AF409" s="4"/>
      <c r="AG409" s="4"/>
      <c r="AH409" s="50"/>
      <c r="AI409" s="4"/>
      <c r="AJ409" s="4"/>
      <c r="AK409" s="51"/>
      <c r="AL409" s="31"/>
      <c r="AM409" s="27"/>
      <c r="AN409" s="50"/>
      <c r="AO409" s="52"/>
      <c r="AP409" s="29"/>
      <c r="AR409" s="53"/>
      <c r="AS409" s="4"/>
      <c r="AT409" s="4"/>
      <c r="AU409" s="4"/>
      <c r="AV409" s="50"/>
      <c r="AW409" s="4"/>
      <c r="AX409" s="4"/>
      <c r="AY409" s="51"/>
      <c r="AZ409" s="31"/>
      <c r="BA409" s="27"/>
      <c r="BB409" s="50"/>
      <c r="BC409" s="52"/>
      <c r="BD409" s="29"/>
    </row>
    <row r="410" spans="1:56" ht="15" customHeight="1" x14ac:dyDescent="0.2">
      <c r="A410" s="54"/>
      <c r="B410" s="37"/>
      <c r="C410" s="5"/>
      <c r="D410" s="5"/>
      <c r="E410" s="5"/>
      <c r="F410" s="5"/>
      <c r="G410" s="5"/>
      <c r="H410" s="5"/>
      <c r="I410" s="35"/>
      <c r="J410" s="38"/>
      <c r="K410" s="39"/>
      <c r="L410" s="5"/>
      <c r="M410" s="36"/>
      <c r="N410" s="29"/>
      <c r="P410" s="54"/>
      <c r="Q410" s="5"/>
      <c r="R410" s="5"/>
      <c r="S410" s="5"/>
      <c r="T410" s="5"/>
      <c r="U410" s="5"/>
      <c r="V410" s="5"/>
      <c r="W410" s="35"/>
      <c r="X410" s="38"/>
      <c r="Y410" s="39"/>
      <c r="Z410" s="5"/>
      <c r="AA410" s="36"/>
      <c r="AB410" s="29"/>
      <c r="AD410" s="54"/>
      <c r="AE410" s="5"/>
      <c r="AF410" s="5"/>
      <c r="AG410" s="5"/>
      <c r="AH410" s="5"/>
      <c r="AI410" s="5"/>
      <c r="AJ410" s="5"/>
      <c r="AK410" s="35"/>
      <c r="AL410" s="38"/>
      <c r="AM410" s="39"/>
      <c r="AN410" s="5"/>
      <c r="AO410" s="36"/>
      <c r="AP410" s="29"/>
      <c r="AR410" s="54"/>
      <c r="AS410" s="5"/>
      <c r="AT410" s="5"/>
      <c r="AU410" s="5"/>
      <c r="AV410" s="5"/>
      <c r="AW410" s="5"/>
      <c r="AX410" s="5"/>
      <c r="AY410" s="35"/>
      <c r="AZ410" s="38"/>
      <c r="BA410" s="39"/>
      <c r="BB410" s="5"/>
      <c r="BC410" s="36"/>
      <c r="BD410" s="29"/>
    </row>
    <row r="411" spans="1:56" ht="15" customHeight="1" x14ac:dyDescent="0.2">
      <c r="A411" s="54"/>
      <c r="B411" s="37"/>
      <c r="C411" s="58"/>
      <c r="D411" s="5"/>
      <c r="E411" s="5"/>
      <c r="F411" s="5"/>
      <c r="G411" s="58"/>
      <c r="H411" s="5"/>
      <c r="I411" s="59"/>
      <c r="J411" s="38"/>
      <c r="K411" s="5"/>
      <c r="L411" s="5"/>
      <c r="M411" s="36"/>
      <c r="N411" s="29"/>
      <c r="P411" s="54"/>
      <c r="Q411" s="58"/>
      <c r="R411" s="5"/>
      <c r="S411" s="5"/>
      <c r="T411" s="5"/>
      <c r="U411" s="58"/>
      <c r="V411" s="5"/>
      <c r="W411" s="59"/>
      <c r="X411" s="38"/>
      <c r="Y411" s="5"/>
      <c r="Z411" s="5"/>
      <c r="AA411" s="36"/>
      <c r="AB411" s="29"/>
      <c r="AD411" s="54"/>
      <c r="AE411" s="58"/>
      <c r="AF411" s="5"/>
      <c r="AG411" s="5"/>
      <c r="AH411" s="5"/>
      <c r="AI411" s="58"/>
      <c r="AJ411" s="5"/>
      <c r="AK411" s="59"/>
      <c r="AL411" s="38"/>
      <c r="AM411" s="5"/>
      <c r="AN411" s="5"/>
      <c r="AO411" s="36"/>
      <c r="AP411" s="29"/>
      <c r="AR411" s="54"/>
      <c r="AS411" s="58"/>
      <c r="AT411" s="5"/>
      <c r="AU411" s="5"/>
      <c r="AV411" s="5"/>
      <c r="AW411" s="58"/>
      <c r="AX411" s="5"/>
      <c r="AY411" s="59"/>
      <c r="AZ411" s="38"/>
      <c r="BA411" s="5"/>
      <c r="BB411" s="5"/>
      <c r="BC411" s="36"/>
      <c r="BD411" s="29"/>
    </row>
    <row r="412" spans="1:56" ht="15" customHeight="1" thickBot="1" x14ac:dyDescent="0.25">
      <c r="A412" s="60"/>
      <c r="B412" s="42"/>
      <c r="C412" s="44"/>
      <c r="D412" s="61"/>
      <c r="E412" s="44"/>
      <c r="F412" s="44"/>
      <c r="G412" s="44"/>
      <c r="H412" s="44"/>
      <c r="I412" s="62"/>
      <c r="J412" s="47"/>
      <c r="K412" s="61"/>
      <c r="L412" s="44"/>
      <c r="M412" s="46"/>
      <c r="N412" s="29"/>
      <c r="P412" s="60"/>
      <c r="Q412" s="44"/>
      <c r="R412" s="61"/>
      <c r="S412" s="44"/>
      <c r="T412" s="44"/>
      <c r="U412" s="44"/>
      <c r="V412" s="44"/>
      <c r="W412" s="62"/>
      <c r="X412" s="47"/>
      <c r="Y412" s="61"/>
      <c r="Z412" s="44"/>
      <c r="AA412" s="46"/>
      <c r="AB412" s="29"/>
      <c r="AD412" s="60"/>
      <c r="AE412" s="44"/>
      <c r="AF412" s="61"/>
      <c r="AG412" s="44"/>
      <c r="AH412" s="44"/>
      <c r="AI412" s="44"/>
      <c r="AJ412" s="44"/>
      <c r="AK412" s="62"/>
      <c r="AL412" s="47"/>
      <c r="AM412" s="61"/>
      <c r="AN412" s="44"/>
      <c r="AO412" s="46"/>
      <c r="AP412" s="29"/>
      <c r="AR412" s="60"/>
      <c r="AS412" s="44"/>
      <c r="AT412" s="61"/>
      <c r="AU412" s="44"/>
      <c r="AV412" s="44"/>
      <c r="AW412" s="44"/>
      <c r="AX412" s="44"/>
      <c r="AY412" s="62"/>
      <c r="AZ412" s="47"/>
      <c r="BA412" s="61"/>
      <c r="BB412" s="44"/>
      <c r="BC412" s="46"/>
      <c r="BD412" s="29"/>
    </row>
    <row r="413" spans="1:56" ht="15" customHeight="1" thickTop="1" x14ac:dyDescent="0.2">
      <c r="A413" s="49"/>
      <c r="B413" s="26"/>
      <c r="C413" s="4"/>
      <c r="D413" s="4"/>
      <c r="E413" s="4"/>
      <c r="F413" s="50"/>
      <c r="G413" s="4"/>
      <c r="H413" s="4"/>
      <c r="I413" s="51"/>
      <c r="J413" s="31"/>
      <c r="K413" s="27"/>
      <c r="L413" s="50"/>
      <c r="M413" s="52"/>
      <c r="N413" s="29"/>
      <c r="P413" s="53"/>
      <c r="Q413" s="4"/>
      <c r="R413" s="4"/>
      <c r="S413" s="4"/>
      <c r="T413" s="50"/>
      <c r="U413" s="4"/>
      <c r="V413" s="4"/>
      <c r="W413" s="51"/>
      <c r="X413" s="31"/>
      <c r="Y413" s="27"/>
      <c r="Z413" s="50"/>
      <c r="AA413" s="52"/>
      <c r="AB413" s="29"/>
      <c r="AD413" s="53"/>
      <c r="AE413" s="4"/>
      <c r="AF413" s="68"/>
      <c r="AG413" s="4"/>
      <c r="AH413" s="50"/>
      <c r="AI413" s="4"/>
      <c r="AJ413" s="4"/>
      <c r="AK413" s="51"/>
      <c r="AL413" s="31"/>
      <c r="AM413" s="27"/>
      <c r="AN413" s="50"/>
      <c r="AO413" s="52"/>
      <c r="AP413" s="29"/>
      <c r="AR413" s="53"/>
      <c r="AS413" s="4"/>
      <c r="AT413" s="4"/>
      <c r="AU413" s="4"/>
      <c r="AV413" s="50"/>
      <c r="AW413" s="4"/>
      <c r="AX413" s="4"/>
      <c r="AY413" s="51"/>
      <c r="AZ413" s="31"/>
      <c r="BA413" s="27"/>
      <c r="BB413" s="50"/>
      <c r="BC413" s="52"/>
      <c r="BD413" s="29"/>
    </row>
    <row r="414" spans="1:56" ht="15" customHeight="1" x14ac:dyDescent="0.2">
      <c r="A414" s="54"/>
      <c r="B414" s="37"/>
      <c r="C414" s="4"/>
      <c r="D414" s="5"/>
      <c r="E414" s="5"/>
      <c r="F414" s="5"/>
      <c r="G414" s="5"/>
      <c r="H414" s="5"/>
      <c r="I414" s="35"/>
      <c r="J414" s="38"/>
      <c r="K414" s="39"/>
      <c r="L414" s="5"/>
      <c r="M414" s="36"/>
      <c r="N414" s="29"/>
      <c r="P414" s="54"/>
      <c r="Q414" s="4"/>
      <c r="R414" s="48"/>
      <c r="S414" s="5"/>
      <c r="T414" s="5"/>
      <c r="U414" s="5"/>
      <c r="V414" s="5"/>
      <c r="W414" s="35"/>
      <c r="X414" s="38"/>
      <c r="Y414" s="39"/>
      <c r="Z414" s="5"/>
      <c r="AA414" s="36"/>
      <c r="AB414" s="29"/>
      <c r="AD414" s="54"/>
      <c r="AE414" s="4"/>
      <c r="AF414" s="5"/>
      <c r="AG414" s="5"/>
      <c r="AH414" s="5"/>
      <c r="AI414" s="5"/>
      <c r="AJ414" s="5"/>
      <c r="AK414" s="35"/>
      <c r="AL414" s="38"/>
      <c r="AM414" s="39"/>
      <c r="AN414" s="5"/>
      <c r="AO414" s="36"/>
      <c r="AP414" s="29"/>
      <c r="AR414" s="54"/>
      <c r="AS414" s="4"/>
      <c r="AT414" s="5"/>
      <c r="AU414" s="5"/>
      <c r="AV414" s="5"/>
      <c r="AW414" s="5"/>
      <c r="AX414" s="5"/>
      <c r="AY414" s="35"/>
      <c r="AZ414" s="38"/>
      <c r="BA414" s="39"/>
      <c r="BB414" s="5"/>
      <c r="BC414" s="36"/>
      <c r="BD414" s="29"/>
    </row>
    <row r="415" spans="1:56" ht="15" customHeight="1" x14ac:dyDescent="0.2">
      <c r="A415" s="54"/>
      <c r="B415" s="37"/>
      <c r="C415" s="57"/>
      <c r="D415" s="5"/>
      <c r="E415" s="5"/>
      <c r="F415" s="5"/>
      <c r="G415" s="5"/>
      <c r="H415" s="5"/>
      <c r="I415" s="35"/>
      <c r="J415" s="38"/>
      <c r="K415" s="5"/>
      <c r="L415" s="5"/>
      <c r="M415" s="36"/>
      <c r="N415" s="29"/>
      <c r="P415" s="54"/>
      <c r="Q415" s="57"/>
      <c r="R415" s="48"/>
      <c r="S415" s="5"/>
      <c r="T415" s="5"/>
      <c r="U415" s="5"/>
      <c r="V415" s="5"/>
      <c r="W415" s="35"/>
      <c r="X415" s="38"/>
      <c r="Y415" s="5"/>
      <c r="Z415" s="5"/>
      <c r="AA415" s="36"/>
      <c r="AB415" s="29"/>
      <c r="AD415" s="54"/>
      <c r="AE415" s="57"/>
      <c r="AF415" s="5"/>
      <c r="AG415" s="5"/>
      <c r="AH415" s="5"/>
      <c r="AI415" s="5"/>
      <c r="AJ415" s="5"/>
      <c r="AK415" s="35"/>
      <c r="AL415" s="38"/>
      <c r="AM415" s="5"/>
      <c r="AN415" s="5"/>
      <c r="AO415" s="36"/>
      <c r="AP415" s="29"/>
      <c r="AR415" s="54"/>
      <c r="AS415" s="57"/>
      <c r="AT415" s="48"/>
      <c r="AU415" s="5"/>
      <c r="AV415" s="5"/>
      <c r="AW415" s="5"/>
      <c r="AX415" s="5"/>
      <c r="AY415" s="35"/>
      <c r="AZ415" s="38"/>
      <c r="BA415" s="5"/>
      <c r="BB415" s="5"/>
      <c r="BC415" s="36"/>
      <c r="BD415" s="29"/>
    </row>
    <row r="416" spans="1:56" ht="15" customHeight="1" thickBot="1" x14ac:dyDescent="0.25">
      <c r="A416" s="60"/>
      <c r="B416" s="42"/>
      <c r="C416" s="43"/>
      <c r="D416" s="61"/>
      <c r="E416" s="44"/>
      <c r="F416" s="44"/>
      <c r="G416" s="44"/>
      <c r="H416" s="44"/>
      <c r="I416" s="62"/>
      <c r="J416" s="47"/>
      <c r="K416" s="61"/>
      <c r="L416" s="44"/>
      <c r="M416" s="46"/>
      <c r="N416" s="29"/>
      <c r="P416" s="60"/>
      <c r="Q416" s="43"/>
      <c r="R416" s="61"/>
      <c r="S416" s="44"/>
      <c r="T416" s="44"/>
      <c r="U416" s="44"/>
      <c r="V416" s="44"/>
      <c r="W416" s="62"/>
      <c r="X416" s="47"/>
      <c r="Y416" s="61"/>
      <c r="Z416" s="44"/>
      <c r="AA416" s="46"/>
      <c r="AB416" s="29"/>
      <c r="AD416" s="60"/>
      <c r="AE416" s="43"/>
      <c r="AF416" s="61"/>
      <c r="AG416" s="44"/>
      <c r="AH416" s="44"/>
      <c r="AI416" s="44"/>
      <c r="AJ416" s="44"/>
      <c r="AK416" s="62"/>
      <c r="AL416" s="47"/>
      <c r="AM416" s="61"/>
      <c r="AN416" s="44"/>
      <c r="AO416" s="46"/>
      <c r="AP416" s="29"/>
      <c r="AR416" s="60"/>
      <c r="AS416" s="43"/>
      <c r="AT416" s="61"/>
      <c r="AU416" s="44"/>
      <c r="AV416" s="44"/>
      <c r="AW416" s="44"/>
      <c r="AX416" s="44"/>
      <c r="AY416" s="62"/>
      <c r="AZ416" s="47"/>
      <c r="BA416" s="61"/>
      <c r="BB416" s="44"/>
      <c r="BC416" s="46"/>
      <c r="BD416" s="29"/>
    </row>
    <row r="417" spans="1:56" ht="15" customHeight="1" thickTop="1" x14ac:dyDescent="0.2">
      <c r="A417" s="49"/>
      <c r="B417" s="26">
        <f>SUM(D417:D420)+SUM(R417:R420)+SUM(AF417:AF420)+SUM(AT417:AT420)</f>
        <v>0</v>
      </c>
      <c r="C417" s="4"/>
      <c r="D417" s="4" t="str">
        <f t="shared" si="938"/>
        <v/>
      </c>
      <c r="E417" s="4"/>
      <c r="F417" s="50" t="str">
        <f t="shared" si="944"/>
        <v/>
      </c>
      <c r="G417" s="4"/>
      <c r="H417" s="4" t="str">
        <f t="shared" si="940"/>
        <v/>
      </c>
      <c r="I417" s="35"/>
      <c r="J417" s="31" t="str">
        <f t="shared" si="949"/>
        <v/>
      </c>
      <c r="K417" s="27" t="str">
        <f t="shared" si="949"/>
        <v/>
      </c>
      <c r="L417" s="50" t="str">
        <f t="shared" si="941"/>
        <v/>
      </c>
      <c r="M417" s="52" t="str">
        <f t="shared" si="942"/>
        <v/>
      </c>
      <c r="N417" s="29"/>
      <c r="P417" s="53" t="str">
        <f>IF($A$417="","",$A$417)</f>
        <v/>
      </c>
      <c r="Q417" s="4"/>
      <c r="R417" s="4" t="str">
        <f t="shared" si="920"/>
        <v/>
      </c>
      <c r="S417" s="4"/>
      <c r="T417" s="50" t="str">
        <f t="shared" si="921"/>
        <v/>
      </c>
      <c r="U417" s="4"/>
      <c r="V417" s="4" t="str">
        <f t="shared" si="922"/>
        <v/>
      </c>
      <c r="W417" s="35"/>
      <c r="X417" s="31" t="str">
        <f t="shared" ref="X417:Y428" si="951">IF(Q417="","",X413)</f>
        <v/>
      </c>
      <c r="Y417" s="27" t="str">
        <f t="shared" si="951"/>
        <v/>
      </c>
      <c r="Z417" s="50" t="str">
        <f t="shared" si="924"/>
        <v/>
      </c>
      <c r="AA417" s="52" t="str">
        <f t="shared" si="925"/>
        <v/>
      </c>
      <c r="AB417" s="29"/>
      <c r="AD417" s="53" t="str">
        <f>IF($A$417="","",$A$417)</f>
        <v/>
      </c>
      <c r="AE417" s="4"/>
      <c r="AF417" s="4" t="str">
        <f t="shared" si="926"/>
        <v/>
      </c>
      <c r="AG417" s="4"/>
      <c r="AH417" s="50" t="str">
        <f t="shared" si="927"/>
        <v/>
      </c>
      <c r="AI417" s="4"/>
      <c r="AJ417" s="4" t="str">
        <f t="shared" si="950"/>
        <v/>
      </c>
      <c r="AK417" s="35"/>
      <c r="AL417" s="31" t="str">
        <f t="shared" ref="AL417:AM428" si="952">IF(AE417="","",AL413)</f>
        <v/>
      </c>
      <c r="AM417" s="27" t="str">
        <f t="shared" si="952"/>
        <v/>
      </c>
      <c r="AN417" s="50" t="str">
        <f t="shared" si="930"/>
        <v/>
      </c>
      <c r="AO417" s="52" t="str">
        <f t="shared" si="931"/>
        <v/>
      </c>
      <c r="AP417" s="29"/>
      <c r="AR417" s="53" t="str">
        <f>IF($A$417="","",$A$417)</f>
        <v/>
      </c>
      <c r="AS417" s="4"/>
      <c r="AT417" s="4" t="str">
        <f t="shared" si="932"/>
        <v/>
      </c>
      <c r="AU417" s="4"/>
      <c r="AV417" s="50" t="str">
        <f t="shared" si="933"/>
        <v/>
      </c>
      <c r="AW417" s="4"/>
      <c r="AX417" s="4" t="str">
        <f t="shared" si="934"/>
        <v/>
      </c>
      <c r="AY417" s="35"/>
      <c r="AZ417" s="31" t="str">
        <f t="shared" ref="AZ417:BA428" si="953">IF(AS417="","",AZ413)</f>
        <v/>
      </c>
      <c r="BA417" s="27" t="str">
        <f t="shared" si="953"/>
        <v/>
      </c>
      <c r="BB417" s="50" t="str">
        <f t="shared" si="936"/>
        <v/>
      </c>
      <c r="BC417" s="52" t="str">
        <f t="shared" si="937"/>
        <v/>
      </c>
      <c r="BD417" s="29"/>
    </row>
    <row r="418" spans="1:56" ht="15" customHeight="1" x14ac:dyDescent="0.2">
      <c r="A418" s="54"/>
      <c r="B418" s="37"/>
      <c r="C418" s="5"/>
      <c r="D418" s="5" t="str">
        <f t="shared" si="938"/>
        <v/>
      </c>
      <c r="E418" s="5"/>
      <c r="F418" s="5" t="str">
        <f t="shared" si="944"/>
        <v/>
      </c>
      <c r="G418" s="5"/>
      <c r="H418" s="5" t="str">
        <f t="shared" si="940"/>
        <v/>
      </c>
      <c r="I418" s="35"/>
      <c r="J418" s="38" t="str">
        <f t="shared" ref="J418:K428" si="954">IF(C418="","",J414)</f>
        <v/>
      </c>
      <c r="K418" s="39" t="str">
        <f t="shared" si="954"/>
        <v/>
      </c>
      <c r="L418" s="5" t="str">
        <f t="shared" si="941"/>
        <v/>
      </c>
      <c r="M418" s="36" t="str">
        <f t="shared" si="942"/>
        <v/>
      </c>
      <c r="N418" s="29"/>
      <c r="P418" s="54"/>
      <c r="Q418" s="5"/>
      <c r="R418" s="5" t="str">
        <f t="shared" si="920"/>
        <v/>
      </c>
      <c r="S418" s="5"/>
      <c r="T418" s="5" t="str">
        <f t="shared" si="921"/>
        <v/>
      </c>
      <c r="U418" s="5"/>
      <c r="V418" s="5" t="str">
        <f t="shared" si="922"/>
        <v/>
      </c>
      <c r="W418" s="35"/>
      <c r="X418" s="38" t="str">
        <f t="shared" si="951"/>
        <v/>
      </c>
      <c r="Y418" s="39" t="str">
        <f t="shared" si="951"/>
        <v/>
      </c>
      <c r="Z418" s="5" t="str">
        <f t="shared" si="924"/>
        <v/>
      </c>
      <c r="AA418" s="36" t="str">
        <f t="shared" si="925"/>
        <v/>
      </c>
      <c r="AB418" s="29"/>
      <c r="AD418" s="54"/>
      <c r="AE418" s="5"/>
      <c r="AF418" s="5" t="str">
        <f t="shared" si="926"/>
        <v/>
      </c>
      <c r="AG418" s="5"/>
      <c r="AH418" s="5" t="str">
        <f t="shared" si="927"/>
        <v/>
      </c>
      <c r="AI418" s="5"/>
      <c r="AJ418" s="5" t="str">
        <f t="shared" si="950"/>
        <v/>
      </c>
      <c r="AK418" s="35"/>
      <c r="AL418" s="38" t="str">
        <f t="shared" si="952"/>
        <v/>
      </c>
      <c r="AM418" s="39" t="str">
        <f t="shared" si="952"/>
        <v/>
      </c>
      <c r="AN418" s="5" t="str">
        <f t="shared" si="930"/>
        <v/>
      </c>
      <c r="AO418" s="36" t="str">
        <f t="shared" si="931"/>
        <v/>
      </c>
      <c r="AP418" s="29"/>
      <c r="AR418" s="54"/>
      <c r="AS418" s="5"/>
      <c r="AT418" s="5" t="str">
        <f t="shared" si="932"/>
        <v/>
      </c>
      <c r="AU418" s="5"/>
      <c r="AV418" s="5" t="str">
        <f t="shared" si="933"/>
        <v/>
      </c>
      <c r="AW418" s="5"/>
      <c r="AX418" s="5" t="str">
        <f t="shared" si="934"/>
        <v/>
      </c>
      <c r="AY418" s="35"/>
      <c r="AZ418" s="38" t="str">
        <f t="shared" si="953"/>
        <v/>
      </c>
      <c r="BA418" s="39" t="str">
        <f t="shared" si="953"/>
        <v/>
      </c>
      <c r="BB418" s="5" t="str">
        <f t="shared" si="936"/>
        <v/>
      </c>
      <c r="BC418" s="36" t="str">
        <f t="shared" si="937"/>
        <v/>
      </c>
      <c r="BD418" s="29"/>
    </row>
    <row r="419" spans="1:56" ht="15" customHeight="1" x14ac:dyDescent="0.2">
      <c r="A419" s="54"/>
      <c r="B419" s="37"/>
      <c r="C419" s="58"/>
      <c r="D419" s="5" t="str">
        <f t="shared" si="938"/>
        <v/>
      </c>
      <c r="E419" s="5"/>
      <c r="F419" s="5" t="str">
        <f t="shared" si="944"/>
        <v/>
      </c>
      <c r="G419" s="58"/>
      <c r="H419" s="5" t="str">
        <f t="shared" si="940"/>
        <v/>
      </c>
      <c r="I419" s="59"/>
      <c r="J419" s="38" t="str">
        <f t="shared" si="954"/>
        <v/>
      </c>
      <c r="K419" s="5" t="str">
        <f t="shared" si="954"/>
        <v/>
      </c>
      <c r="L419" s="5" t="str">
        <f t="shared" si="941"/>
        <v/>
      </c>
      <c r="M419" s="36" t="str">
        <f t="shared" si="942"/>
        <v/>
      </c>
      <c r="N419" s="29"/>
      <c r="P419" s="25"/>
      <c r="Q419" s="58"/>
      <c r="R419" s="5" t="str">
        <f t="shared" si="920"/>
        <v/>
      </c>
      <c r="S419" s="5"/>
      <c r="T419" s="5" t="str">
        <f t="shared" si="921"/>
        <v/>
      </c>
      <c r="U419" s="58"/>
      <c r="V419" s="5" t="str">
        <f t="shared" si="922"/>
        <v/>
      </c>
      <c r="W419" s="35"/>
      <c r="X419" s="38" t="str">
        <f t="shared" si="951"/>
        <v/>
      </c>
      <c r="Y419" s="5" t="str">
        <f t="shared" si="951"/>
        <v/>
      </c>
      <c r="Z419" s="5" t="str">
        <f t="shared" si="924"/>
        <v/>
      </c>
      <c r="AA419" s="36" t="str">
        <f t="shared" si="925"/>
        <v/>
      </c>
      <c r="AB419" s="29"/>
      <c r="AD419" s="25"/>
      <c r="AE419" s="58"/>
      <c r="AF419" s="5" t="str">
        <f t="shared" si="926"/>
        <v/>
      </c>
      <c r="AG419" s="5"/>
      <c r="AH419" s="5" t="str">
        <f t="shared" si="927"/>
        <v/>
      </c>
      <c r="AI419" s="58"/>
      <c r="AJ419" s="5" t="str">
        <f t="shared" si="950"/>
        <v/>
      </c>
      <c r="AK419" s="35"/>
      <c r="AL419" s="38" t="str">
        <f t="shared" si="952"/>
        <v/>
      </c>
      <c r="AM419" s="5" t="str">
        <f t="shared" si="952"/>
        <v/>
      </c>
      <c r="AN419" s="5" t="str">
        <f t="shared" si="930"/>
        <v/>
      </c>
      <c r="AO419" s="36" t="str">
        <f t="shared" si="931"/>
        <v/>
      </c>
      <c r="AP419" s="29"/>
      <c r="AR419" s="25"/>
      <c r="AS419" s="58"/>
      <c r="AT419" s="5" t="str">
        <f t="shared" si="932"/>
        <v/>
      </c>
      <c r="AU419" s="5"/>
      <c r="AV419" s="5" t="str">
        <f t="shared" si="933"/>
        <v/>
      </c>
      <c r="AW419" s="58"/>
      <c r="AX419" s="5" t="str">
        <f t="shared" si="934"/>
        <v/>
      </c>
      <c r="AY419" s="35"/>
      <c r="AZ419" s="38" t="str">
        <f t="shared" si="953"/>
        <v/>
      </c>
      <c r="BA419" s="5" t="str">
        <f t="shared" si="953"/>
        <v/>
      </c>
      <c r="BB419" s="5" t="str">
        <f t="shared" si="936"/>
        <v/>
      </c>
      <c r="BC419" s="36" t="str">
        <f t="shared" si="937"/>
        <v/>
      </c>
      <c r="BD419" s="29"/>
    </row>
    <row r="420" spans="1:56" ht="15" customHeight="1" thickBot="1" x14ac:dyDescent="0.25">
      <c r="A420" s="60"/>
      <c r="B420" s="73"/>
      <c r="C420" s="44"/>
      <c r="D420" s="61" t="str">
        <f t="shared" si="938"/>
        <v/>
      </c>
      <c r="E420" s="44"/>
      <c r="F420" s="44" t="str">
        <f t="shared" si="944"/>
        <v/>
      </c>
      <c r="G420" s="76"/>
      <c r="H420" s="77" t="str">
        <f t="shared" si="940"/>
        <v/>
      </c>
      <c r="I420" s="78"/>
      <c r="J420" s="79" t="str">
        <f t="shared" si="954"/>
        <v/>
      </c>
      <c r="K420" s="61" t="str">
        <f t="shared" si="954"/>
        <v/>
      </c>
      <c r="L420" s="44" t="str">
        <f t="shared" si="941"/>
        <v/>
      </c>
      <c r="M420" s="46" t="str">
        <f t="shared" si="942"/>
        <v/>
      </c>
      <c r="N420" s="29"/>
      <c r="P420" s="41"/>
      <c r="Q420" s="44"/>
      <c r="R420" s="61" t="str">
        <f t="shared" si="920"/>
        <v/>
      </c>
      <c r="S420" s="44"/>
      <c r="T420" s="44" t="str">
        <f t="shared" si="921"/>
        <v/>
      </c>
      <c r="U420" s="76"/>
      <c r="V420" s="44" t="str">
        <f t="shared" si="922"/>
        <v/>
      </c>
      <c r="W420" s="78"/>
      <c r="X420" s="47" t="str">
        <f t="shared" si="951"/>
        <v/>
      </c>
      <c r="Y420" s="61" t="str">
        <f t="shared" si="951"/>
        <v/>
      </c>
      <c r="Z420" s="44" t="str">
        <f t="shared" si="924"/>
        <v/>
      </c>
      <c r="AA420" s="46" t="str">
        <f t="shared" si="925"/>
        <v/>
      </c>
      <c r="AB420" s="29"/>
      <c r="AD420" s="41"/>
      <c r="AE420" s="44"/>
      <c r="AF420" s="61" t="str">
        <f t="shared" si="926"/>
        <v/>
      </c>
      <c r="AG420" s="44"/>
      <c r="AH420" s="44" t="str">
        <f t="shared" si="927"/>
        <v/>
      </c>
      <c r="AI420" s="76"/>
      <c r="AJ420" s="44" t="str">
        <f t="shared" si="950"/>
        <v/>
      </c>
      <c r="AK420" s="78"/>
      <c r="AL420" s="47" t="str">
        <f t="shared" si="952"/>
        <v/>
      </c>
      <c r="AM420" s="61" t="str">
        <f t="shared" si="952"/>
        <v/>
      </c>
      <c r="AN420" s="44" t="str">
        <f t="shared" si="930"/>
        <v/>
      </c>
      <c r="AO420" s="46" t="str">
        <f t="shared" si="931"/>
        <v/>
      </c>
      <c r="AP420" s="29"/>
      <c r="AR420" s="41"/>
      <c r="AS420" s="44"/>
      <c r="AT420" s="61" t="str">
        <f t="shared" si="932"/>
        <v/>
      </c>
      <c r="AU420" s="44"/>
      <c r="AV420" s="44" t="str">
        <f t="shared" si="933"/>
        <v/>
      </c>
      <c r="AW420" s="76"/>
      <c r="AX420" s="44" t="str">
        <f t="shared" si="934"/>
        <v/>
      </c>
      <c r="AY420" s="78"/>
      <c r="AZ420" s="47" t="str">
        <f t="shared" si="953"/>
        <v/>
      </c>
      <c r="BA420" s="61" t="str">
        <f t="shared" si="953"/>
        <v/>
      </c>
      <c r="BB420" s="44" t="str">
        <f t="shared" si="936"/>
        <v/>
      </c>
      <c r="BC420" s="46" t="str">
        <f t="shared" si="937"/>
        <v/>
      </c>
      <c r="BD420" s="29"/>
    </row>
    <row r="421" spans="1:56" ht="15" customHeight="1" thickTop="1" x14ac:dyDescent="0.2">
      <c r="A421" s="49"/>
      <c r="B421" s="26">
        <f>SUM(D421:D424)+SUM(R421:R424)+SUM(AF421:AF424)+SUM(AT421:AT424)</f>
        <v>0</v>
      </c>
      <c r="C421" s="4"/>
      <c r="D421" s="4" t="str">
        <f t="shared" si="938"/>
        <v/>
      </c>
      <c r="E421" s="4"/>
      <c r="F421" s="50" t="str">
        <f t="shared" si="944"/>
        <v/>
      </c>
      <c r="G421" s="4"/>
      <c r="H421" s="4" t="str">
        <f t="shared" si="940"/>
        <v/>
      </c>
      <c r="I421" s="4"/>
      <c r="J421" s="2" t="str">
        <f t="shared" si="954"/>
        <v/>
      </c>
      <c r="K421" s="27" t="str">
        <f t="shared" si="954"/>
        <v/>
      </c>
      <c r="L421" s="50" t="str">
        <f t="shared" si="941"/>
        <v/>
      </c>
      <c r="M421" s="52" t="str">
        <f t="shared" si="942"/>
        <v/>
      </c>
      <c r="N421" s="29"/>
      <c r="P421" s="80" t="str">
        <f>IF($A$421="","",$A$421)</f>
        <v/>
      </c>
      <c r="Q421" s="4"/>
      <c r="R421" s="4" t="str">
        <f t="shared" si="920"/>
        <v/>
      </c>
      <c r="S421" s="4"/>
      <c r="T421" s="50" t="str">
        <f t="shared" si="921"/>
        <v/>
      </c>
      <c r="U421" s="4"/>
      <c r="V421" s="4" t="str">
        <f t="shared" si="922"/>
        <v/>
      </c>
      <c r="W421" s="4"/>
      <c r="X421" s="31" t="str">
        <f t="shared" si="951"/>
        <v/>
      </c>
      <c r="Y421" s="27" t="str">
        <f t="shared" si="951"/>
        <v/>
      </c>
      <c r="Z421" s="50" t="str">
        <f t="shared" si="924"/>
        <v/>
      </c>
      <c r="AA421" s="52" t="str">
        <f t="shared" si="925"/>
        <v/>
      </c>
      <c r="AB421" s="29"/>
      <c r="AD421" s="80" t="str">
        <f>IF($A$421="","",$A$421)</f>
        <v/>
      </c>
      <c r="AE421" s="4"/>
      <c r="AF421" s="4" t="str">
        <f t="shared" si="926"/>
        <v/>
      </c>
      <c r="AG421" s="4"/>
      <c r="AH421" s="50" t="str">
        <f t="shared" si="927"/>
        <v/>
      </c>
      <c r="AI421" s="4"/>
      <c r="AJ421" s="4" t="str">
        <f t="shared" si="950"/>
        <v/>
      </c>
      <c r="AK421" s="4"/>
      <c r="AL421" s="31" t="str">
        <f t="shared" si="952"/>
        <v/>
      </c>
      <c r="AM421" s="27" t="str">
        <f t="shared" si="952"/>
        <v/>
      </c>
      <c r="AN421" s="50" t="str">
        <f t="shared" si="930"/>
        <v/>
      </c>
      <c r="AO421" s="52" t="str">
        <f t="shared" si="931"/>
        <v/>
      </c>
      <c r="AP421" s="29"/>
      <c r="AR421" s="80" t="str">
        <f>IF($A$421="","",$A$421)</f>
        <v/>
      </c>
      <c r="AS421" s="4"/>
      <c r="AT421" s="4" t="str">
        <f t="shared" si="932"/>
        <v/>
      </c>
      <c r="AU421" s="4"/>
      <c r="AV421" s="50" t="str">
        <f t="shared" si="933"/>
        <v/>
      </c>
      <c r="AW421" s="4"/>
      <c r="AX421" s="4" t="str">
        <f t="shared" si="934"/>
        <v/>
      </c>
      <c r="AY421" s="4"/>
      <c r="AZ421" s="31" t="str">
        <f t="shared" si="953"/>
        <v/>
      </c>
      <c r="BA421" s="27" t="str">
        <f t="shared" si="953"/>
        <v/>
      </c>
      <c r="BB421" s="50" t="str">
        <f t="shared" si="936"/>
        <v/>
      </c>
      <c r="BC421" s="52" t="str">
        <f t="shared" si="937"/>
        <v/>
      </c>
      <c r="BD421" s="29"/>
    </row>
    <row r="422" spans="1:56" ht="15" customHeight="1" x14ac:dyDescent="0.2">
      <c r="A422" s="54"/>
      <c r="B422" s="37"/>
      <c r="C422" s="5"/>
      <c r="D422" s="5" t="str">
        <f t="shared" si="938"/>
        <v/>
      </c>
      <c r="E422" s="5"/>
      <c r="F422" s="5" t="str">
        <f t="shared" si="944"/>
        <v/>
      </c>
      <c r="G422" s="5"/>
      <c r="H422" s="5" t="str">
        <f t="shared" si="940"/>
        <v/>
      </c>
      <c r="I422" s="5"/>
      <c r="J422" s="3" t="str">
        <f t="shared" si="954"/>
        <v/>
      </c>
      <c r="K422" s="39" t="str">
        <f t="shared" si="954"/>
        <v/>
      </c>
      <c r="L422" s="5" t="str">
        <f t="shared" si="941"/>
        <v/>
      </c>
      <c r="M422" s="36" t="str">
        <f t="shared" si="942"/>
        <v/>
      </c>
      <c r="N422" s="29"/>
      <c r="P422" s="25"/>
      <c r="Q422" s="5"/>
      <c r="R422" s="5" t="str">
        <f t="shared" si="920"/>
        <v/>
      </c>
      <c r="S422" s="5"/>
      <c r="T422" s="5" t="str">
        <f t="shared" si="921"/>
        <v/>
      </c>
      <c r="U422" s="5"/>
      <c r="V422" s="5" t="str">
        <f t="shared" si="922"/>
        <v/>
      </c>
      <c r="W422" s="5"/>
      <c r="X422" s="38" t="str">
        <f t="shared" si="951"/>
        <v/>
      </c>
      <c r="Y422" s="39" t="str">
        <f t="shared" si="951"/>
        <v/>
      </c>
      <c r="Z422" s="5" t="str">
        <f t="shared" si="924"/>
        <v/>
      </c>
      <c r="AA422" s="36" t="str">
        <f t="shared" si="925"/>
        <v/>
      </c>
      <c r="AB422" s="29"/>
      <c r="AD422" s="25"/>
      <c r="AE422" s="5"/>
      <c r="AF422" s="5" t="str">
        <f t="shared" si="926"/>
        <v/>
      </c>
      <c r="AG422" s="5"/>
      <c r="AH422" s="5" t="str">
        <f t="shared" si="927"/>
        <v/>
      </c>
      <c r="AI422" s="5"/>
      <c r="AJ422" s="5" t="str">
        <f t="shared" si="950"/>
        <v/>
      </c>
      <c r="AK422" s="5"/>
      <c r="AL422" s="38" t="str">
        <f t="shared" si="952"/>
        <v/>
      </c>
      <c r="AM422" s="39" t="str">
        <f t="shared" si="952"/>
        <v/>
      </c>
      <c r="AN422" s="5" t="str">
        <f t="shared" si="930"/>
        <v/>
      </c>
      <c r="AO422" s="36" t="str">
        <f t="shared" si="931"/>
        <v/>
      </c>
      <c r="AP422" s="29"/>
      <c r="AR422" s="25"/>
      <c r="AS422" s="5"/>
      <c r="AT422" s="5" t="str">
        <f t="shared" si="932"/>
        <v/>
      </c>
      <c r="AU422" s="5"/>
      <c r="AV422" s="5" t="str">
        <f t="shared" si="933"/>
        <v/>
      </c>
      <c r="AW422" s="5"/>
      <c r="AX422" s="5" t="str">
        <f t="shared" si="934"/>
        <v/>
      </c>
      <c r="AY422" s="5"/>
      <c r="AZ422" s="38" t="str">
        <f t="shared" si="953"/>
        <v/>
      </c>
      <c r="BA422" s="39" t="str">
        <f t="shared" si="953"/>
        <v/>
      </c>
      <c r="BB422" s="5" t="str">
        <f t="shared" si="936"/>
        <v/>
      </c>
      <c r="BC422" s="36" t="str">
        <f t="shared" si="937"/>
        <v/>
      </c>
      <c r="BD422" s="29"/>
    </row>
    <row r="423" spans="1:56" ht="15" customHeight="1" x14ac:dyDescent="0.2">
      <c r="A423" s="54"/>
      <c r="B423" s="37"/>
      <c r="C423" s="5"/>
      <c r="D423" s="5" t="str">
        <f t="shared" si="938"/>
        <v/>
      </c>
      <c r="E423" s="5"/>
      <c r="F423" s="5" t="str">
        <f t="shared" si="944"/>
        <v/>
      </c>
      <c r="G423" s="5"/>
      <c r="H423" s="5" t="str">
        <f t="shared" si="940"/>
        <v/>
      </c>
      <c r="I423" s="5"/>
      <c r="J423" s="3" t="str">
        <f t="shared" si="954"/>
        <v/>
      </c>
      <c r="K423" s="5" t="str">
        <f t="shared" si="954"/>
        <v/>
      </c>
      <c r="L423" s="5" t="str">
        <f t="shared" si="941"/>
        <v/>
      </c>
      <c r="M423" s="36" t="str">
        <f t="shared" si="942"/>
        <v/>
      </c>
      <c r="N423" s="29"/>
      <c r="P423" s="25"/>
      <c r="Q423" s="5"/>
      <c r="R423" s="5" t="str">
        <f t="shared" si="920"/>
        <v/>
      </c>
      <c r="S423" s="5"/>
      <c r="T423" s="5" t="str">
        <f t="shared" si="921"/>
        <v/>
      </c>
      <c r="U423" s="5"/>
      <c r="V423" s="5" t="str">
        <f t="shared" si="922"/>
        <v/>
      </c>
      <c r="W423" s="5"/>
      <c r="X423" s="38" t="str">
        <f t="shared" si="951"/>
        <v/>
      </c>
      <c r="Y423" s="5" t="str">
        <f t="shared" si="951"/>
        <v/>
      </c>
      <c r="Z423" s="5" t="str">
        <f t="shared" si="924"/>
        <v/>
      </c>
      <c r="AA423" s="36" t="str">
        <f t="shared" si="925"/>
        <v/>
      </c>
      <c r="AB423" s="29"/>
      <c r="AD423" s="25"/>
      <c r="AE423" s="5"/>
      <c r="AF423" s="5" t="str">
        <f t="shared" si="926"/>
        <v/>
      </c>
      <c r="AG423" s="5"/>
      <c r="AH423" s="5" t="str">
        <f t="shared" si="927"/>
        <v/>
      </c>
      <c r="AI423" s="5"/>
      <c r="AJ423" s="5" t="str">
        <f t="shared" si="950"/>
        <v/>
      </c>
      <c r="AK423" s="5"/>
      <c r="AL423" s="38" t="str">
        <f t="shared" si="952"/>
        <v/>
      </c>
      <c r="AM423" s="5" t="str">
        <f t="shared" si="952"/>
        <v/>
      </c>
      <c r="AN423" s="5" t="str">
        <f t="shared" si="930"/>
        <v/>
      </c>
      <c r="AO423" s="36" t="str">
        <f t="shared" si="931"/>
        <v/>
      </c>
      <c r="AP423" s="29"/>
      <c r="AR423" s="25"/>
      <c r="AS423" s="5"/>
      <c r="AT423" s="5" t="str">
        <f t="shared" si="932"/>
        <v/>
      </c>
      <c r="AU423" s="5"/>
      <c r="AV423" s="5" t="str">
        <f t="shared" si="933"/>
        <v/>
      </c>
      <c r="AW423" s="5"/>
      <c r="AX423" s="5" t="str">
        <f t="shared" si="934"/>
        <v/>
      </c>
      <c r="AY423" s="5"/>
      <c r="AZ423" s="38" t="str">
        <f t="shared" si="953"/>
        <v/>
      </c>
      <c r="BA423" s="5" t="str">
        <f t="shared" si="953"/>
        <v/>
      </c>
      <c r="BB423" s="5" t="str">
        <f t="shared" si="936"/>
        <v/>
      </c>
      <c r="BC423" s="36" t="str">
        <f t="shared" si="937"/>
        <v/>
      </c>
      <c r="BD423" s="29"/>
    </row>
    <row r="424" spans="1:56" ht="15" customHeight="1" thickBot="1" x14ac:dyDescent="0.25">
      <c r="A424" s="60"/>
      <c r="B424" s="73"/>
      <c r="C424" s="44"/>
      <c r="D424" s="44" t="str">
        <f t="shared" si="938"/>
        <v/>
      </c>
      <c r="E424" s="44"/>
      <c r="F424" s="44" t="str">
        <f t="shared" si="944"/>
        <v/>
      </c>
      <c r="G424" s="44"/>
      <c r="H424" s="44"/>
      <c r="I424" s="44"/>
      <c r="J424" s="45" t="str">
        <f t="shared" si="954"/>
        <v/>
      </c>
      <c r="K424" s="61" t="str">
        <f t="shared" si="954"/>
        <v/>
      </c>
      <c r="L424" s="44" t="str">
        <f t="shared" si="941"/>
        <v/>
      </c>
      <c r="M424" s="46" t="str">
        <f t="shared" si="942"/>
        <v/>
      </c>
      <c r="N424" s="29"/>
      <c r="P424" s="41"/>
      <c r="Q424" s="44"/>
      <c r="R424" s="44" t="str">
        <f t="shared" si="920"/>
        <v/>
      </c>
      <c r="S424" s="44"/>
      <c r="T424" s="44" t="str">
        <f t="shared" si="921"/>
        <v/>
      </c>
      <c r="U424" s="44"/>
      <c r="V424" s="44" t="str">
        <f t="shared" si="922"/>
        <v/>
      </c>
      <c r="W424" s="44"/>
      <c r="X424" s="47" t="str">
        <f t="shared" si="951"/>
        <v/>
      </c>
      <c r="Y424" s="61" t="str">
        <f t="shared" si="951"/>
        <v/>
      </c>
      <c r="Z424" s="44" t="str">
        <f t="shared" si="924"/>
        <v/>
      </c>
      <c r="AA424" s="46" t="str">
        <f t="shared" si="925"/>
        <v/>
      </c>
      <c r="AB424" s="29"/>
      <c r="AD424" s="41"/>
      <c r="AE424" s="44"/>
      <c r="AF424" s="44" t="str">
        <f t="shared" si="926"/>
        <v/>
      </c>
      <c r="AG424" s="44"/>
      <c r="AH424" s="44" t="str">
        <f t="shared" si="927"/>
        <v/>
      </c>
      <c r="AI424" s="44"/>
      <c r="AJ424" s="44" t="str">
        <f t="shared" si="950"/>
        <v/>
      </c>
      <c r="AK424" s="44"/>
      <c r="AL424" s="47" t="str">
        <f t="shared" si="952"/>
        <v/>
      </c>
      <c r="AM424" s="61" t="str">
        <f t="shared" si="952"/>
        <v/>
      </c>
      <c r="AN424" s="44" t="str">
        <f t="shared" si="930"/>
        <v/>
      </c>
      <c r="AO424" s="46" t="str">
        <f t="shared" si="931"/>
        <v/>
      </c>
      <c r="AP424" s="29"/>
      <c r="AR424" s="41"/>
      <c r="AS424" s="44"/>
      <c r="AT424" s="44" t="str">
        <f t="shared" si="932"/>
        <v/>
      </c>
      <c r="AU424" s="44"/>
      <c r="AV424" s="44" t="str">
        <f t="shared" si="933"/>
        <v/>
      </c>
      <c r="AW424" s="44"/>
      <c r="AX424" s="44" t="str">
        <f t="shared" si="934"/>
        <v/>
      </c>
      <c r="AY424" s="44"/>
      <c r="AZ424" s="47" t="str">
        <f t="shared" si="953"/>
        <v/>
      </c>
      <c r="BA424" s="61" t="str">
        <f t="shared" si="953"/>
        <v/>
      </c>
      <c r="BB424" s="44" t="str">
        <f t="shared" si="936"/>
        <v/>
      </c>
      <c r="BC424" s="46" t="str">
        <f t="shared" si="937"/>
        <v/>
      </c>
      <c r="BD424" s="29"/>
    </row>
    <row r="425" spans="1:56" ht="15" customHeight="1" thickTop="1" x14ac:dyDescent="0.2">
      <c r="A425" s="49"/>
      <c r="B425" s="26">
        <f>SUM(D425:D428)+SUM(R425:R428)+SUM(AF425:AF428)+SUM(AT425:AT428)</f>
        <v>0</v>
      </c>
      <c r="C425" s="4"/>
      <c r="D425" s="4" t="str">
        <f t="shared" si="938"/>
        <v/>
      </c>
      <c r="E425" s="4"/>
      <c r="F425" s="4" t="str">
        <f t="shared" si="944"/>
        <v/>
      </c>
      <c r="G425" s="4"/>
      <c r="H425" s="4" t="str">
        <f>IF(G425="","",G421+I421-G425)</f>
        <v/>
      </c>
      <c r="I425" s="4"/>
      <c r="J425" s="2" t="str">
        <f t="shared" si="954"/>
        <v/>
      </c>
      <c r="K425" s="4" t="str">
        <f t="shared" si="954"/>
        <v/>
      </c>
      <c r="L425" s="4" t="str">
        <f t="shared" si="941"/>
        <v/>
      </c>
      <c r="M425" s="4" t="str">
        <f t="shared" si="942"/>
        <v/>
      </c>
      <c r="N425" s="29"/>
      <c r="P425" s="80" t="str">
        <f>IF($A$425="","",$A$425)</f>
        <v/>
      </c>
      <c r="Q425" s="4"/>
      <c r="R425" s="4" t="str">
        <f t="shared" si="920"/>
        <v/>
      </c>
      <c r="S425" s="4"/>
      <c r="T425" s="4" t="str">
        <f t="shared" si="921"/>
        <v/>
      </c>
      <c r="U425" s="4"/>
      <c r="V425" s="4" t="str">
        <f t="shared" si="922"/>
        <v/>
      </c>
      <c r="W425" s="4"/>
      <c r="X425" s="31" t="str">
        <f t="shared" si="951"/>
        <v/>
      </c>
      <c r="Y425" s="4" t="str">
        <f t="shared" si="951"/>
        <v/>
      </c>
      <c r="Z425" s="4" t="str">
        <f t="shared" si="924"/>
        <v/>
      </c>
      <c r="AA425" s="4" t="str">
        <f t="shared" si="925"/>
        <v/>
      </c>
      <c r="AB425" s="29"/>
      <c r="AD425" s="80" t="str">
        <f>IF($A$425="","",$A$425)</f>
        <v/>
      </c>
      <c r="AE425" s="4"/>
      <c r="AF425" s="4" t="str">
        <f t="shared" si="926"/>
        <v/>
      </c>
      <c r="AG425" s="4"/>
      <c r="AH425" s="4" t="str">
        <f t="shared" si="927"/>
        <v/>
      </c>
      <c r="AI425" s="4"/>
      <c r="AJ425" s="4" t="str">
        <f t="shared" si="950"/>
        <v/>
      </c>
      <c r="AK425" s="4"/>
      <c r="AL425" s="31" t="str">
        <f t="shared" si="952"/>
        <v/>
      </c>
      <c r="AM425" s="4" t="str">
        <f t="shared" si="952"/>
        <v/>
      </c>
      <c r="AN425" s="4" t="str">
        <f t="shared" si="930"/>
        <v/>
      </c>
      <c r="AO425" s="4" t="str">
        <f t="shared" si="931"/>
        <v/>
      </c>
      <c r="AP425" s="29"/>
      <c r="AR425" s="80" t="str">
        <f>IF($A$425="","",$A$425)</f>
        <v/>
      </c>
      <c r="AS425" s="4"/>
      <c r="AT425" s="4" t="str">
        <f t="shared" si="932"/>
        <v/>
      </c>
      <c r="AU425" s="4"/>
      <c r="AV425" s="4" t="str">
        <f t="shared" si="933"/>
        <v/>
      </c>
      <c r="AW425" s="4"/>
      <c r="AX425" s="4" t="str">
        <f t="shared" si="934"/>
        <v/>
      </c>
      <c r="AY425" s="4"/>
      <c r="AZ425" s="31" t="str">
        <f t="shared" si="953"/>
        <v/>
      </c>
      <c r="BA425" s="4" t="str">
        <f t="shared" si="953"/>
        <v/>
      </c>
      <c r="BB425" s="4" t="str">
        <f t="shared" si="936"/>
        <v/>
      </c>
      <c r="BC425" s="4" t="str">
        <f t="shared" si="937"/>
        <v/>
      </c>
      <c r="BD425" s="29"/>
    </row>
    <row r="426" spans="1:56" ht="15" customHeight="1" x14ac:dyDescent="0.2">
      <c r="A426" s="49"/>
      <c r="B426" s="26"/>
      <c r="C426" s="4"/>
      <c r="D426" s="4" t="str">
        <f t="shared" si="938"/>
        <v/>
      </c>
      <c r="E426" s="4"/>
      <c r="F426" s="4" t="str">
        <f t="shared" si="944"/>
        <v/>
      </c>
      <c r="G426" s="4"/>
      <c r="H426" s="4" t="str">
        <f>IF(G426="","",G422+I422-G426)</f>
        <v/>
      </c>
      <c r="I426" s="4"/>
      <c r="J426" s="2" t="str">
        <f t="shared" si="954"/>
        <v/>
      </c>
      <c r="K426" s="4" t="str">
        <f t="shared" si="954"/>
        <v/>
      </c>
      <c r="L426" s="4" t="str">
        <f t="shared" si="941"/>
        <v/>
      </c>
      <c r="M426" s="4" t="str">
        <f t="shared" si="942"/>
        <v/>
      </c>
      <c r="N426" s="29"/>
      <c r="P426" s="33"/>
      <c r="Q426" s="4"/>
      <c r="R426" s="4" t="str">
        <f t="shared" si="920"/>
        <v/>
      </c>
      <c r="S426" s="4"/>
      <c r="T426" s="4" t="str">
        <f t="shared" si="921"/>
        <v/>
      </c>
      <c r="U426" s="4"/>
      <c r="V426" s="4" t="str">
        <f t="shared" si="922"/>
        <v/>
      </c>
      <c r="W426" s="4"/>
      <c r="X426" s="31" t="str">
        <f t="shared" si="951"/>
        <v/>
      </c>
      <c r="Y426" s="4" t="str">
        <f t="shared" si="951"/>
        <v/>
      </c>
      <c r="Z426" s="4" t="str">
        <f t="shared" si="924"/>
        <v/>
      </c>
      <c r="AA426" s="4" t="str">
        <f t="shared" si="925"/>
        <v/>
      </c>
      <c r="AB426" s="29"/>
      <c r="AD426" s="33"/>
      <c r="AE426" s="4"/>
      <c r="AF426" s="4" t="str">
        <f t="shared" si="926"/>
        <v/>
      </c>
      <c r="AG426" s="4"/>
      <c r="AH426" s="4" t="str">
        <f t="shared" si="927"/>
        <v/>
      </c>
      <c r="AI426" s="4"/>
      <c r="AJ426" s="4" t="str">
        <f t="shared" si="950"/>
        <v/>
      </c>
      <c r="AK426" s="4"/>
      <c r="AL426" s="31" t="str">
        <f t="shared" si="952"/>
        <v/>
      </c>
      <c r="AM426" s="4" t="str">
        <f t="shared" si="952"/>
        <v/>
      </c>
      <c r="AN426" s="4" t="str">
        <f t="shared" si="930"/>
        <v/>
      </c>
      <c r="AO426" s="4" t="str">
        <f t="shared" si="931"/>
        <v/>
      </c>
      <c r="AP426" s="29"/>
      <c r="AR426" s="33"/>
      <c r="AS426" s="4"/>
      <c r="AT426" s="4" t="str">
        <f t="shared" si="932"/>
        <v/>
      </c>
      <c r="AU426" s="4"/>
      <c r="AV426" s="4" t="str">
        <f t="shared" si="933"/>
        <v/>
      </c>
      <c r="AW426" s="4"/>
      <c r="AX426" s="4" t="str">
        <f t="shared" si="934"/>
        <v/>
      </c>
      <c r="AY426" s="4"/>
      <c r="AZ426" s="31" t="str">
        <f t="shared" si="953"/>
        <v/>
      </c>
      <c r="BA426" s="4" t="str">
        <f t="shared" si="953"/>
        <v/>
      </c>
      <c r="BB426" s="4" t="str">
        <f t="shared" si="936"/>
        <v/>
      </c>
      <c r="BC426" s="4" t="str">
        <f t="shared" si="937"/>
        <v/>
      </c>
      <c r="BD426" s="29"/>
    </row>
    <row r="427" spans="1:56" ht="15" customHeight="1" x14ac:dyDescent="0.2">
      <c r="A427" s="15"/>
      <c r="B427" s="64"/>
      <c r="C427" s="57"/>
      <c r="D427" s="57" t="str">
        <f t="shared" si="938"/>
        <v/>
      </c>
      <c r="E427" s="57"/>
      <c r="F427" s="57" t="str">
        <f t="shared" si="944"/>
        <v/>
      </c>
      <c r="G427" s="57"/>
      <c r="H427" s="57" t="str">
        <f>IF(G427="","",G423+I423-G427)</f>
        <v/>
      </c>
      <c r="I427" s="57"/>
      <c r="J427" s="81" t="str">
        <f t="shared" si="954"/>
        <v/>
      </c>
      <c r="K427" s="57" t="str">
        <f t="shared" si="954"/>
        <v/>
      </c>
      <c r="L427" s="57" t="str">
        <f t="shared" si="941"/>
        <v/>
      </c>
      <c r="M427" s="57" t="str">
        <f t="shared" si="942"/>
        <v/>
      </c>
      <c r="N427" s="82"/>
      <c r="P427" s="72"/>
      <c r="Q427" s="57"/>
      <c r="R427" s="57" t="str">
        <f t="shared" si="920"/>
        <v/>
      </c>
      <c r="S427" s="57"/>
      <c r="T427" s="57" t="str">
        <f t="shared" si="921"/>
        <v/>
      </c>
      <c r="U427" s="57"/>
      <c r="V427" s="57" t="str">
        <f t="shared" si="922"/>
        <v/>
      </c>
      <c r="W427" s="57"/>
      <c r="X427" s="83" t="str">
        <f t="shared" si="951"/>
        <v/>
      </c>
      <c r="Y427" s="57" t="str">
        <f t="shared" si="951"/>
        <v/>
      </c>
      <c r="Z427" s="57" t="str">
        <f t="shared" si="924"/>
        <v/>
      </c>
      <c r="AA427" s="57" t="str">
        <f t="shared" si="925"/>
        <v/>
      </c>
      <c r="AB427" s="82"/>
      <c r="AD427" s="72"/>
      <c r="AE427" s="57"/>
      <c r="AF427" s="57" t="str">
        <f t="shared" si="926"/>
        <v/>
      </c>
      <c r="AG427" s="57"/>
      <c r="AH427" s="57" t="str">
        <f t="shared" si="927"/>
        <v/>
      </c>
      <c r="AI427" s="57"/>
      <c r="AJ427" s="57" t="str">
        <f t="shared" si="950"/>
        <v/>
      </c>
      <c r="AK427" s="57"/>
      <c r="AL427" s="83" t="str">
        <f t="shared" si="952"/>
        <v/>
      </c>
      <c r="AM427" s="57" t="str">
        <f t="shared" si="952"/>
        <v/>
      </c>
      <c r="AN427" s="57" t="str">
        <f t="shared" si="930"/>
        <v/>
      </c>
      <c r="AO427" s="57" t="str">
        <f t="shared" si="931"/>
        <v/>
      </c>
      <c r="AP427" s="82"/>
      <c r="AR427" s="72"/>
      <c r="AS427" s="57"/>
      <c r="AT427" s="57" t="str">
        <f t="shared" si="932"/>
        <v/>
      </c>
      <c r="AU427" s="57"/>
      <c r="AV427" s="57" t="str">
        <f t="shared" si="933"/>
        <v/>
      </c>
      <c r="AW427" s="57"/>
      <c r="AX427" s="57" t="str">
        <f t="shared" si="934"/>
        <v/>
      </c>
      <c r="AY427" s="57"/>
      <c r="AZ427" s="83" t="str">
        <f t="shared" si="953"/>
        <v/>
      </c>
      <c r="BA427" s="57" t="str">
        <f t="shared" si="953"/>
        <v/>
      </c>
      <c r="BB427" s="57" t="str">
        <f t="shared" si="936"/>
        <v/>
      </c>
      <c r="BC427" s="57" t="str">
        <f t="shared" si="937"/>
        <v/>
      </c>
      <c r="BD427" s="82"/>
    </row>
    <row r="428" spans="1:56" ht="15" customHeight="1" thickBot="1" x14ac:dyDescent="0.25">
      <c r="A428" s="84"/>
      <c r="B428" s="66"/>
      <c r="C428" s="43"/>
      <c r="D428" s="43" t="str">
        <f t="shared" si="938"/>
        <v/>
      </c>
      <c r="E428" s="43"/>
      <c r="F428" s="43" t="str">
        <f t="shared" si="944"/>
        <v/>
      </c>
      <c r="G428" s="43"/>
      <c r="H428" s="43" t="str">
        <f>IF(G428="","",G424+I424-G428)</f>
        <v/>
      </c>
      <c r="I428" s="43"/>
      <c r="J428" s="85" t="str">
        <f t="shared" si="954"/>
        <v/>
      </c>
      <c r="K428" s="43" t="str">
        <f t="shared" si="954"/>
        <v/>
      </c>
      <c r="L428" s="43" t="str">
        <f t="shared" si="941"/>
        <v/>
      </c>
      <c r="M428" s="43" t="str">
        <f t="shared" si="942"/>
        <v/>
      </c>
      <c r="N428" s="86"/>
      <c r="P428" s="87"/>
      <c r="Q428" s="43"/>
      <c r="R428" s="43" t="str">
        <f t="shared" si="920"/>
        <v/>
      </c>
      <c r="S428" s="43"/>
      <c r="T428" s="43" t="str">
        <f t="shared" si="921"/>
        <v/>
      </c>
      <c r="U428" s="43"/>
      <c r="V428" s="43" t="str">
        <f t="shared" si="922"/>
        <v/>
      </c>
      <c r="W428" s="43"/>
      <c r="X428" s="88" t="str">
        <f t="shared" si="951"/>
        <v/>
      </c>
      <c r="Y428" s="43" t="str">
        <f t="shared" si="951"/>
        <v/>
      </c>
      <c r="Z428" s="43" t="str">
        <f t="shared" si="924"/>
        <v/>
      </c>
      <c r="AA428" s="43" t="str">
        <f t="shared" si="925"/>
        <v/>
      </c>
      <c r="AB428" s="86"/>
      <c r="AD428" s="87"/>
      <c r="AE428" s="43"/>
      <c r="AF428" s="43" t="str">
        <f t="shared" si="926"/>
        <v/>
      </c>
      <c r="AG428" s="43"/>
      <c r="AH428" s="43" t="str">
        <f t="shared" si="927"/>
        <v/>
      </c>
      <c r="AI428" s="43"/>
      <c r="AJ428" s="43" t="str">
        <f t="shared" si="950"/>
        <v/>
      </c>
      <c r="AK428" s="43"/>
      <c r="AL428" s="88" t="str">
        <f t="shared" si="952"/>
        <v/>
      </c>
      <c r="AM428" s="43" t="str">
        <f t="shared" si="952"/>
        <v/>
      </c>
      <c r="AN428" s="43" t="str">
        <f t="shared" si="930"/>
        <v/>
      </c>
      <c r="AO428" s="43" t="str">
        <f t="shared" si="931"/>
        <v/>
      </c>
      <c r="AP428" s="86"/>
      <c r="AR428" s="87"/>
      <c r="AS428" s="43"/>
      <c r="AT428" s="43" t="str">
        <f t="shared" si="932"/>
        <v/>
      </c>
      <c r="AU428" s="43"/>
      <c r="AV428" s="43" t="str">
        <f t="shared" si="933"/>
        <v/>
      </c>
      <c r="AW428" s="43"/>
      <c r="AX428" s="43" t="str">
        <f t="shared" si="934"/>
        <v/>
      </c>
      <c r="AY428" s="43"/>
      <c r="AZ428" s="88" t="str">
        <f t="shared" si="953"/>
        <v/>
      </c>
      <c r="BA428" s="43" t="str">
        <f t="shared" si="953"/>
        <v/>
      </c>
      <c r="BB428" s="43" t="str">
        <f t="shared" si="936"/>
        <v/>
      </c>
      <c r="BC428" s="43" t="str">
        <f t="shared" si="937"/>
        <v/>
      </c>
      <c r="BD428" s="86"/>
    </row>
    <row r="429" spans="1:56" ht="15" customHeight="1" thickTop="1" x14ac:dyDescent="0.2">
      <c r="A429" s="33"/>
      <c r="B429" s="26"/>
      <c r="C429" s="89" t="s">
        <v>20</v>
      </c>
      <c r="D429" s="4">
        <f>SUM(D373:D425)*100</f>
        <v>267300</v>
      </c>
      <c r="E429" s="90" t="s">
        <v>284</v>
      </c>
      <c r="F429" s="4"/>
      <c r="G429" s="89"/>
      <c r="H429" s="4"/>
      <c r="I429" s="4"/>
      <c r="J429" s="164" t="s">
        <v>21</v>
      </c>
      <c r="K429" s="164"/>
      <c r="L429" s="4">
        <f>SUM(L373:L425)</f>
        <v>48194</v>
      </c>
      <c r="M429" s="4"/>
      <c r="N429" s="34"/>
      <c r="P429" s="33"/>
      <c r="Q429" s="89" t="s">
        <v>20</v>
      </c>
      <c r="R429" s="4">
        <f>SUM(R373:R425)*100</f>
        <v>288400</v>
      </c>
      <c r="S429" s="90" t="s">
        <v>284</v>
      </c>
      <c r="T429" s="4"/>
      <c r="U429" s="89"/>
      <c r="V429" s="4"/>
      <c r="W429" s="4"/>
      <c r="X429" s="164" t="s">
        <v>21</v>
      </c>
      <c r="Y429" s="164"/>
      <c r="Z429" s="4">
        <f>SUM(Z373:Z425)</f>
        <v>25950</v>
      </c>
      <c r="AA429" s="4"/>
      <c r="AB429" s="34"/>
      <c r="AD429" s="33"/>
      <c r="AE429" s="89" t="s">
        <v>20</v>
      </c>
      <c r="AF429" s="4">
        <f>SUM(AF373:AF425)*100</f>
        <v>168100</v>
      </c>
      <c r="AG429" s="90" t="s">
        <v>284</v>
      </c>
      <c r="AH429" s="4"/>
      <c r="AI429" s="89"/>
      <c r="AJ429" s="4"/>
      <c r="AK429" s="4"/>
      <c r="AL429" s="164" t="s">
        <v>21</v>
      </c>
      <c r="AM429" s="164"/>
      <c r="AN429" s="4">
        <f>SUM(AN373:AN425)</f>
        <v>15384</v>
      </c>
      <c r="AO429" s="4"/>
      <c r="AP429" s="34"/>
      <c r="AR429" s="33"/>
      <c r="AS429" s="89" t="s">
        <v>20</v>
      </c>
      <c r="AT429" s="4">
        <f>SUM(AT373:AT425)*100</f>
        <v>172500</v>
      </c>
      <c r="AU429" s="90" t="s">
        <v>284</v>
      </c>
      <c r="AV429" s="4"/>
      <c r="AW429" s="89"/>
      <c r="AX429" s="4"/>
      <c r="AY429" s="4"/>
      <c r="AZ429" s="164" t="s">
        <v>21</v>
      </c>
      <c r="BA429" s="164"/>
      <c r="BB429" s="4">
        <f>SUM(BB373:BB425)</f>
        <v>20586</v>
      </c>
      <c r="BC429" s="4"/>
      <c r="BD429" s="34"/>
    </row>
    <row r="430" spans="1:56" ht="15" customHeight="1" x14ac:dyDescent="0.2">
      <c r="A430" s="91"/>
      <c r="B430" s="71"/>
      <c r="C430" s="16" t="s">
        <v>22</v>
      </c>
      <c r="D430" s="5">
        <f>D429/A434</f>
        <v>7425</v>
      </c>
      <c r="E430" s="5">
        <f>D430*A433</f>
        <v>267300</v>
      </c>
      <c r="F430" s="5"/>
      <c r="G430" s="16"/>
      <c r="H430" s="5"/>
      <c r="I430" s="5"/>
      <c r="J430" s="161" t="s">
        <v>23</v>
      </c>
      <c r="K430" s="161"/>
      <c r="L430" s="5"/>
      <c r="M430" s="92">
        <f>L429/D429</f>
        <v>0.18029928918817809</v>
      </c>
      <c r="N430" s="29"/>
      <c r="P430" s="93"/>
      <c r="Q430" s="16" t="s">
        <v>22</v>
      </c>
      <c r="R430" s="5">
        <f>R429/A434</f>
        <v>8011.1111111111113</v>
      </c>
      <c r="S430" s="5">
        <f>R430*A433</f>
        <v>288400</v>
      </c>
      <c r="T430" s="5"/>
      <c r="U430" s="16"/>
      <c r="V430" s="5"/>
      <c r="W430" s="5"/>
      <c r="X430" s="161" t="s">
        <v>23</v>
      </c>
      <c r="Y430" s="161"/>
      <c r="Z430" s="5"/>
      <c r="AA430" s="92">
        <f>Z429/R429</f>
        <v>8.9979195561719835E-2</v>
      </c>
      <c r="AB430" s="29"/>
      <c r="AD430" s="93"/>
      <c r="AE430" s="16" t="s">
        <v>22</v>
      </c>
      <c r="AF430" s="5">
        <f>AF429/A434</f>
        <v>4669.4444444444443</v>
      </c>
      <c r="AG430" s="5">
        <f>AF430*A433</f>
        <v>168100</v>
      </c>
      <c r="AH430" s="5"/>
      <c r="AI430" s="16"/>
      <c r="AJ430" s="5"/>
      <c r="AK430" s="5"/>
      <c r="AL430" s="161" t="s">
        <v>23</v>
      </c>
      <c r="AM430" s="161"/>
      <c r="AN430" s="5"/>
      <c r="AO430" s="92">
        <f>AN429/AF429</f>
        <v>9.1516954193932187E-2</v>
      </c>
      <c r="AP430" s="29"/>
      <c r="AR430" s="93"/>
      <c r="AS430" s="16" t="s">
        <v>22</v>
      </c>
      <c r="AT430" s="5">
        <f>AT429/A434</f>
        <v>4791.666666666667</v>
      </c>
      <c r="AU430" s="5">
        <f>AT430*A433</f>
        <v>172500</v>
      </c>
      <c r="AV430" s="5"/>
      <c r="AW430" s="16"/>
      <c r="AX430" s="5"/>
      <c r="AY430" s="5"/>
      <c r="AZ430" s="161" t="s">
        <v>23</v>
      </c>
      <c r="BA430" s="161"/>
      <c r="BB430" s="5"/>
      <c r="BC430" s="92">
        <f>BB429/AT429</f>
        <v>0.11933913043478261</v>
      </c>
      <c r="BD430" s="29"/>
    </row>
    <row r="431" spans="1:56" ht="15" customHeight="1" x14ac:dyDescent="0.2">
      <c r="A431" s="25"/>
      <c r="B431" s="94"/>
      <c r="C431" s="23" t="s">
        <v>24</v>
      </c>
      <c r="D431" s="5">
        <f>D429*0.6</f>
        <v>160380</v>
      </c>
      <c r="E431" s="5"/>
      <c r="F431" s="5"/>
      <c r="G431" s="16"/>
      <c r="H431" s="5"/>
      <c r="I431" s="5"/>
      <c r="J431" s="161" t="s">
        <v>25</v>
      </c>
      <c r="K431" s="161"/>
      <c r="L431" s="5">
        <f>D431-L429</f>
        <v>112186</v>
      </c>
      <c r="M431" s="92">
        <f>L431/D429</f>
        <v>0.41970071081182192</v>
      </c>
      <c r="N431" s="29"/>
      <c r="P431" s="25"/>
      <c r="Q431" s="23" t="s">
        <v>24</v>
      </c>
      <c r="R431" s="5">
        <f>R429*0.6</f>
        <v>173040</v>
      </c>
      <c r="S431" s="5"/>
      <c r="T431" s="5"/>
      <c r="U431" s="16"/>
      <c r="V431" s="5"/>
      <c r="W431" s="5"/>
      <c r="X431" s="161" t="s">
        <v>25</v>
      </c>
      <c r="Y431" s="161"/>
      <c r="Z431" s="5">
        <f>R431-Z429</f>
        <v>147090</v>
      </c>
      <c r="AA431" s="92">
        <f>Z431/R429</f>
        <v>0.51002080443828013</v>
      </c>
      <c r="AB431" s="29"/>
      <c r="AD431" s="25"/>
      <c r="AE431" s="23" t="s">
        <v>24</v>
      </c>
      <c r="AF431" s="5">
        <f>AF429*0.6</f>
        <v>100860</v>
      </c>
      <c r="AG431" s="5"/>
      <c r="AH431" s="5"/>
      <c r="AI431" s="16"/>
      <c r="AJ431" s="5"/>
      <c r="AK431" s="5"/>
      <c r="AL431" s="161" t="s">
        <v>25</v>
      </c>
      <c r="AM431" s="161"/>
      <c r="AN431" s="5">
        <f>AF431-AN429</f>
        <v>85476</v>
      </c>
      <c r="AO431" s="92">
        <f>AN431/AF429</f>
        <v>0.50848304580606785</v>
      </c>
      <c r="AP431" s="29"/>
      <c r="AR431" s="25"/>
      <c r="AS431" s="23" t="s">
        <v>24</v>
      </c>
      <c r="AT431" s="5">
        <f>AT429*0.6</f>
        <v>103500</v>
      </c>
      <c r="AU431" s="5"/>
      <c r="AV431" s="5"/>
      <c r="AW431" s="16"/>
      <c r="AX431" s="5"/>
      <c r="AY431" s="5"/>
      <c r="AZ431" s="161" t="s">
        <v>25</v>
      </c>
      <c r="BA431" s="161"/>
      <c r="BB431" s="5">
        <f>AT431-BB429</f>
        <v>82914</v>
      </c>
      <c r="BC431" s="92">
        <f>BB431/AT429</f>
        <v>0.48066086956521742</v>
      </c>
      <c r="BD431" s="29"/>
    </row>
    <row r="432" spans="1:56" ht="15" customHeight="1" x14ac:dyDescent="0.2">
      <c r="A432" s="33"/>
      <c r="B432" s="26"/>
      <c r="C432" s="16" t="s">
        <v>26</v>
      </c>
      <c r="D432" s="5"/>
      <c r="E432" s="5"/>
      <c r="F432" s="5"/>
      <c r="G432" s="16"/>
      <c r="H432" s="5"/>
      <c r="I432" s="95"/>
      <c r="J432" s="159" t="s">
        <v>285</v>
      </c>
      <c r="K432" s="159"/>
      <c r="L432" s="4">
        <f>(G397+I397)*K397+(G398+I398)*K398+(G399+I399)*K399+(G400+I400)*K400</f>
        <v>53690</v>
      </c>
      <c r="M432" s="36"/>
      <c r="N432" s="29"/>
      <c r="P432" s="33"/>
      <c r="Q432" s="16" t="s">
        <v>26</v>
      </c>
      <c r="R432" s="5"/>
      <c r="S432" s="5"/>
      <c r="T432" s="5"/>
      <c r="U432" s="16"/>
      <c r="V432" s="5"/>
      <c r="W432" s="95"/>
      <c r="X432" s="159" t="s">
        <v>285</v>
      </c>
      <c r="Y432" s="159"/>
      <c r="Z432" s="4">
        <f>(U397+W397)*Y397+(U398+W398)*Y398+(U399+W399)*Y399+(U400+W400)*Y400</f>
        <v>27572</v>
      </c>
      <c r="AA432" s="36"/>
      <c r="AB432" s="29"/>
      <c r="AD432" s="33"/>
      <c r="AE432" s="16" t="s">
        <v>26</v>
      </c>
      <c r="AF432" s="5"/>
      <c r="AG432" s="5"/>
      <c r="AH432" s="5"/>
      <c r="AI432" s="16"/>
      <c r="AJ432" s="5"/>
      <c r="AK432" s="95"/>
      <c r="AL432" s="159" t="s">
        <v>285</v>
      </c>
      <c r="AM432" s="159"/>
      <c r="AN432" s="4">
        <f>(AI397+AK397)*AM397+(AI398+AK398)*AM398+(AI399+AK399)*AM399+(AI400+AK400)*AM400</f>
        <v>39540</v>
      </c>
      <c r="AO432" s="36"/>
      <c r="AP432" s="29"/>
      <c r="AR432" s="33"/>
      <c r="AS432" s="16" t="s">
        <v>26</v>
      </c>
      <c r="AT432" s="5"/>
      <c r="AU432" s="5"/>
      <c r="AV432" s="5"/>
      <c r="AW432" s="16"/>
      <c r="AX432" s="5"/>
      <c r="AY432" s="95"/>
      <c r="AZ432" s="159" t="s">
        <v>285</v>
      </c>
      <c r="BA432" s="159"/>
      <c r="BB432" s="4">
        <f>(AW397+AY397)*BA397+(AW398+AY398)*BA398+(AW399+AY399)*BA399+(AW400+AY400)*BA400</f>
        <v>55056</v>
      </c>
      <c r="BC432" s="36"/>
      <c r="BD432" s="29"/>
    </row>
    <row r="433" spans="1:56" ht="15" customHeight="1" x14ac:dyDescent="0.2">
      <c r="A433" s="15">
        <v>36</v>
      </c>
      <c r="B433" s="96">
        <f>SUM(B373:B425)*100</f>
        <v>896300</v>
      </c>
      <c r="C433" s="16"/>
      <c r="D433" s="5"/>
      <c r="E433" s="5"/>
      <c r="F433" s="5"/>
      <c r="G433" s="16"/>
      <c r="H433" s="5"/>
      <c r="I433" s="95"/>
      <c r="J433" s="97"/>
      <c r="K433" s="98"/>
      <c r="L433" s="27"/>
      <c r="M433" s="36"/>
      <c r="N433" s="29"/>
      <c r="P433" s="33"/>
      <c r="Q433" s="16"/>
      <c r="R433" s="5"/>
      <c r="S433" s="5"/>
      <c r="T433" s="5"/>
      <c r="U433" s="16"/>
      <c r="V433" s="5"/>
      <c r="W433" s="95"/>
      <c r="X433" s="97"/>
      <c r="Y433" s="98"/>
      <c r="Z433" s="27"/>
      <c r="AA433" s="36"/>
      <c r="AB433" s="29"/>
      <c r="AD433" s="33"/>
      <c r="AE433" s="16"/>
      <c r="AF433" s="5"/>
      <c r="AG433" s="5"/>
      <c r="AH433" s="5"/>
      <c r="AI433" s="16"/>
      <c r="AJ433" s="5"/>
      <c r="AK433" s="95"/>
      <c r="AL433" s="97"/>
      <c r="AM433" s="98"/>
      <c r="AN433" s="27"/>
      <c r="AO433" s="36"/>
      <c r="AP433" s="29"/>
      <c r="AR433" s="33"/>
      <c r="AS433" s="16"/>
      <c r="AT433" s="5"/>
      <c r="AU433" s="5"/>
      <c r="AV433" s="5"/>
      <c r="AW433" s="16"/>
      <c r="AX433" s="5"/>
      <c r="AY433" s="95"/>
      <c r="AZ433" s="97"/>
      <c r="BA433" s="98"/>
      <c r="BB433" s="27"/>
      <c r="BC433" s="36"/>
      <c r="BD433" s="29"/>
    </row>
    <row r="434" spans="1:56" ht="15" customHeight="1" x14ac:dyDescent="0.2">
      <c r="A434" s="100">
        <f>DATEDIF(A$459,A405,"d")</f>
        <v>36</v>
      </c>
      <c r="B434" s="26"/>
      <c r="C434" s="16"/>
      <c r="D434" s="5"/>
      <c r="E434" s="58"/>
      <c r="F434" s="5"/>
      <c r="G434" s="16"/>
      <c r="H434" s="5"/>
      <c r="I434" s="95"/>
      <c r="J434" s="97"/>
      <c r="K434" s="98"/>
      <c r="L434" s="27"/>
      <c r="M434" s="36"/>
      <c r="N434" s="29"/>
      <c r="P434" s="33"/>
      <c r="Q434" s="16"/>
      <c r="R434" s="5"/>
      <c r="S434" s="5"/>
      <c r="T434" s="5"/>
      <c r="U434" s="16"/>
      <c r="V434" s="5"/>
      <c r="W434" s="95"/>
      <c r="X434" s="97"/>
      <c r="Y434" s="98"/>
      <c r="Z434" s="27"/>
      <c r="AA434" s="36"/>
      <c r="AB434" s="29"/>
      <c r="AD434" s="33"/>
      <c r="AE434" s="16"/>
      <c r="AF434" s="5"/>
      <c r="AG434" s="5"/>
      <c r="AH434" s="5"/>
      <c r="AI434" s="16"/>
      <c r="AJ434" s="5"/>
      <c r="AK434" s="95"/>
      <c r="AL434" s="97"/>
      <c r="AM434" s="98"/>
      <c r="AN434" s="27"/>
      <c r="AO434" s="36"/>
      <c r="AP434" s="29"/>
      <c r="AR434" s="33"/>
      <c r="AS434" s="16"/>
      <c r="AT434" s="5"/>
      <c r="AU434" s="5"/>
      <c r="AV434" s="5"/>
      <c r="AW434" s="16"/>
      <c r="AX434" s="5"/>
      <c r="AY434" s="95"/>
      <c r="AZ434" s="97"/>
      <c r="BA434" s="98"/>
      <c r="BB434" s="27"/>
      <c r="BC434" s="36"/>
      <c r="BD434" s="29"/>
    </row>
    <row r="435" spans="1:56" x14ac:dyDescent="0.2">
      <c r="A435" s="157" t="s">
        <v>27</v>
      </c>
      <c r="B435" s="157"/>
      <c r="C435" s="157"/>
      <c r="D435" s="103">
        <f>SUM(D373,D377,D381,D385,D389,D393,D397,D401,D405,D409,D413,D417,D421)*100</f>
        <v>44000</v>
      </c>
      <c r="E435" s="39"/>
      <c r="F435" s="5"/>
      <c r="G435" s="16">
        <f>D435/H435</f>
        <v>3142.8571428571427</v>
      </c>
      <c r="H435" s="103">
        <f>SUM(H373,H377,H381,H385,H389,H393,H398,H401,H405,H409,H413,H417,H421)</f>
        <v>14</v>
      </c>
      <c r="I435" s="5"/>
      <c r="J435" s="2" t="str">
        <f t="shared" ref="J435:K438" si="955">J373</f>
        <v>サンリオトイカメラ</v>
      </c>
      <c r="K435" s="27">
        <f t="shared" si="955"/>
        <v>1015</v>
      </c>
      <c r="L435" s="103">
        <f>SUM(L373,L377,L381,L385,L389,L393,L398,L401,L405,L409,L413,L417,L421)</f>
        <v>13090</v>
      </c>
      <c r="M435" s="92">
        <f>L435/D435</f>
        <v>0.29749999999999999</v>
      </c>
      <c r="N435" s="29"/>
      <c r="O435" s="104"/>
      <c r="P435" s="157" t="s">
        <v>27</v>
      </c>
      <c r="Q435" s="157"/>
      <c r="R435" s="103">
        <f>SUM(R373,R377,R381,R385,R389,R393,R397,R401,R405,R409,R413,R417,R421)*100</f>
        <v>44500</v>
      </c>
      <c r="S435" s="39"/>
      <c r="T435" s="5"/>
      <c r="U435" s="16">
        <f>R435/V435</f>
        <v>5562.5</v>
      </c>
      <c r="V435" s="103">
        <f>SUM(V373,V377,V381,V385,V389,V393,V398,V401,V405,V409,V413,V417,V421)</f>
        <v>8</v>
      </c>
      <c r="W435" s="5"/>
      <c r="X435" s="31" t="str">
        <f t="shared" ref="X435:Y438" si="956">X373</f>
        <v>香水coach</v>
      </c>
      <c r="Y435" s="27">
        <f t="shared" si="956"/>
        <v>1100</v>
      </c>
      <c r="Z435" s="103">
        <f>SUM(Z373,Z377,Z381,Z385,Z389,Z393,Z398,Z401,Z405,Z409,Z413,Z417,Z421)</f>
        <v>5000</v>
      </c>
      <c r="AA435" s="92">
        <f>Z435/R435</f>
        <v>0.11235955056179775</v>
      </c>
      <c r="AB435" s="29"/>
      <c r="AD435" s="157" t="s">
        <v>27</v>
      </c>
      <c r="AE435" s="157"/>
      <c r="AF435" s="103">
        <f>SUM(AF373,AF377,AF381,AF385,AF389,AF393,AF397,AF401,AF405,AF409,AF413,AF417,AF421)*100</f>
        <v>22500</v>
      </c>
      <c r="AG435" s="39"/>
      <c r="AH435" s="5"/>
      <c r="AI435" s="16">
        <f>AF435/AJ435</f>
        <v>2812.5</v>
      </c>
      <c r="AJ435" s="103">
        <f>SUM(AJ373,AJ377,AJ381,AJ385,AJ389,AJ393,AJ398,AJ401,AJ405,AJ409,AJ413,AJ417,AJ421)</f>
        <v>8</v>
      </c>
      <c r="AK435" s="5"/>
      <c r="AL435" s="31" t="str">
        <f t="shared" ref="AL435:AM438" si="957">AL373</f>
        <v>スティッチキーケース</v>
      </c>
      <c r="AM435" s="27">
        <f t="shared" si="957"/>
        <v>550</v>
      </c>
      <c r="AN435" s="103">
        <f>SUM(AN373,AN377,AN381,AN385,AN389,AN393,AN398,AN401,AN405,AN409,AN413,AN417,AN421)</f>
        <v>3492</v>
      </c>
      <c r="AO435" s="92">
        <f>AN435/AF435</f>
        <v>0.1552</v>
      </c>
      <c r="AP435" s="29"/>
      <c r="AR435" s="157" t="s">
        <v>27</v>
      </c>
      <c r="AS435" s="157"/>
      <c r="AT435" s="103">
        <f>SUM(AT373,AT377,AT381,AT385,AT389,AT393,AT397,AT401,AT405,AT409,AT413,AT417,AT421)*100</f>
        <v>63900</v>
      </c>
      <c r="AU435" s="39"/>
      <c r="AV435" s="5"/>
      <c r="AW435" s="16">
        <f>AT435/AX435</f>
        <v>4915.3846153846152</v>
      </c>
      <c r="AX435" s="103">
        <f>SUM(AX373,AX377,AX381,AX385,AX389,AX393,AX398,AX401,AX405,AX409,AX413,AX417,AX421)</f>
        <v>13</v>
      </c>
      <c r="AY435" s="5"/>
      <c r="AZ435" s="31" t="str">
        <f t="shared" ref="AZ435:BA438" si="958">AZ373</f>
        <v>デジタルミニカメラ</v>
      </c>
      <c r="BA435" s="27">
        <f t="shared" si="958"/>
        <v>722</v>
      </c>
      <c r="BB435" s="103">
        <f>SUM(BB373,BB377,BB381,BB385,BB389,BB393,BB398,BB401,BB405,BB409,BB413,BB417,BB421)</f>
        <v>7220</v>
      </c>
      <c r="BC435" s="92">
        <f>BB435/AT435</f>
        <v>0.11298904538341158</v>
      </c>
      <c r="BD435" s="29"/>
    </row>
    <row r="436" spans="1:56" x14ac:dyDescent="0.2">
      <c r="A436" s="157" t="s">
        <v>27</v>
      </c>
      <c r="B436" s="157"/>
      <c r="C436" s="157"/>
      <c r="D436" s="103">
        <f>SUM(D374,D378,D382,D386,D390,D394,D398,D402,D406,D410,D414,D418,D422)*100</f>
        <v>54500</v>
      </c>
      <c r="E436" s="39"/>
      <c r="F436" s="5"/>
      <c r="G436" s="16">
        <f>D436/H436</f>
        <v>1135.4166666666667</v>
      </c>
      <c r="H436" s="103">
        <f>SUM(H374,H378,H382,H386,H390,H394,H397,H402,H406,H410,H414,H418,H422)</f>
        <v>48</v>
      </c>
      <c r="I436" s="5"/>
      <c r="J436" s="2" t="str">
        <f t="shared" si="955"/>
        <v>電ブル</v>
      </c>
      <c r="K436" s="27">
        <f t="shared" si="955"/>
        <v>275</v>
      </c>
      <c r="L436" s="103">
        <f>SUM(L374,L378,L382,L386,L390,L394,L397,L402,L406,L410,L414,L418,L422)</f>
        <v>14800</v>
      </c>
      <c r="M436" s="92">
        <f>L436/D436</f>
        <v>0.27155963302752295</v>
      </c>
      <c r="N436" s="29"/>
      <c r="O436" s="30"/>
      <c r="P436" s="157" t="s">
        <v>27</v>
      </c>
      <c r="Q436" s="157"/>
      <c r="R436" s="103">
        <f>SUM(R374,R378,R382,R386,R390,R394,R398,R402,R406,R410,R414,R418,R422)*100</f>
        <v>50400</v>
      </c>
      <c r="S436" s="39"/>
      <c r="T436" s="5"/>
      <c r="U436" s="16">
        <f>R436/V436</f>
        <v>3600</v>
      </c>
      <c r="V436" s="103">
        <f>SUM(V374,V378,V382,V386,V390,V394,V397,V402,V406,V410,V414,V418,V422)</f>
        <v>14</v>
      </c>
      <c r="W436" s="5"/>
      <c r="X436" s="31" t="str">
        <f t="shared" si="956"/>
        <v>サンリオミニリュックチャーム付</v>
      </c>
      <c r="Y436" s="27">
        <f t="shared" si="956"/>
        <v>600</v>
      </c>
      <c r="Z436" s="103">
        <f>SUM(Z374,Z378,Z382,Z386,Z390,Z394,Z397,Z402,Z406,Z410,Z414,Z418,Z422)</f>
        <v>7200</v>
      </c>
      <c r="AA436" s="92">
        <f>Z436/R436</f>
        <v>0.14285714285714285</v>
      </c>
      <c r="AB436" s="29"/>
      <c r="AD436" s="157" t="s">
        <v>27</v>
      </c>
      <c r="AE436" s="157"/>
      <c r="AF436" s="103">
        <f>SUM(AF374,AF378,AF382,AF386,AF390,AF394,AF398,AF402,AF406,AF410,AF414,AF418,AF422)*100</f>
        <v>67700</v>
      </c>
      <c r="AG436" s="39"/>
      <c r="AH436" s="5"/>
      <c r="AI436" s="16">
        <f>AF436/AJ436</f>
        <v>9671.4285714285706</v>
      </c>
      <c r="AJ436" s="103">
        <f>SUM(AJ374,AJ378,AJ382,AJ386,AJ390,AJ394,AJ397,AJ402,AJ406,AJ410,AJ414,AJ418,AJ422)</f>
        <v>7</v>
      </c>
      <c r="AK436" s="5"/>
      <c r="AL436" s="31" t="str">
        <f t="shared" si="957"/>
        <v>ジャグラーサウンドフラッシュ</v>
      </c>
      <c r="AM436" s="27">
        <f t="shared" si="957"/>
        <v>748</v>
      </c>
      <c r="AN436" s="103">
        <f>SUM(AN374,AN378,AN382,AN386,AN390,AN394,AN397,AN402,AN406,AN410,AN414,AN418,AN422)</f>
        <v>2992</v>
      </c>
      <c r="AO436" s="92">
        <f>AN436/AF436</f>
        <v>4.419497784342688E-2</v>
      </c>
      <c r="AP436" s="29"/>
      <c r="AR436" s="157" t="s">
        <v>27</v>
      </c>
      <c r="AS436" s="157"/>
      <c r="AT436" s="103">
        <f>SUM(AT374,AT378,AT382,AT386,AT390,AT394,AT398,AT402,AT406,AT410,AT414,AT418,AT422)*100</f>
        <v>50100</v>
      </c>
      <c r="AU436" s="39"/>
      <c r="AV436" s="5"/>
      <c r="AW436" s="16">
        <f>AT436/AX436</f>
        <v>8350</v>
      </c>
      <c r="AX436" s="103">
        <f>SUM(AX374,AX378,AX382,AX386,AX390,AX394,AX397,AX402,AX406,AX410,AX414,AX418,AX422)</f>
        <v>6</v>
      </c>
      <c r="AY436" s="5"/>
      <c r="AZ436" s="31" t="str">
        <f t="shared" si="958"/>
        <v>クーリッシュイヤホン</v>
      </c>
      <c r="BA436" s="27">
        <f t="shared" si="958"/>
        <v>1100</v>
      </c>
      <c r="BB436" s="103">
        <f>SUM(BB374,BB378,BB382,BB386,BB390,BB394,BB397,BB402,BB406,BB410,BB414,BB418,BB422)</f>
        <v>5122</v>
      </c>
      <c r="BC436" s="92">
        <f>BB436/AT436</f>
        <v>0.10223552894211577</v>
      </c>
      <c r="BD436" s="29"/>
    </row>
    <row r="437" spans="1:56" x14ac:dyDescent="0.2">
      <c r="A437" s="157" t="s">
        <v>27</v>
      </c>
      <c r="B437" s="157"/>
      <c r="C437" s="157"/>
      <c r="D437" s="103">
        <f>SUM(D375,D379,D383,D387,D391,D395,D399,D403,D407,D411,D415,D419,D423)*100</f>
        <v>131800</v>
      </c>
      <c r="E437" s="39"/>
      <c r="F437" s="5"/>
      <c r="G437" s="16">
        <f>D437/H437</f>
        <v>5069.2307692307695</v>
      </c>
      <c r="H437" s="103">
        <f>SUM(H375,H379,H383,H388,H391,H395,H399,H403,H407,H411,H415,H419,H423)</f>
        <v>26</v>
      </c>
      <c r="I437" s="5"/>
      <c r="J437" s="2" t="str">
        <f t="shared" si="955"/>
        <v>サンリオファン</v>
      </c>
      <c r="K437" s="27">
        <f t="shared" si="955"/>
        <v>1100</v>
      </c>
      <c r="L437" s="103">
        <f>SUM(L375,L379,L383,L388,L391,L395,L399,L403,L407,L411,L415,L419,L423)</f>
        <v>14096</v>
      </c>
      <c r="M437" s="92">
        <f>L437/D437</f>
        <v>0.10694992412746586</v>
      </c>
      <c r="N437" s="29"/>
      <c r="O437" s="30"/>
      <c r="P437" s="157" t="s">
        <v>27</v>
      </c>
      <c r="Q437" s="157"/>
      <c r="R437" s="103">
        <f>SUM(R375,R379,R383,R387,R391,R395,R399,R403,R407,R411,R415,R419,R423)*100</f>
        <v>105000</v>
      </c>
      <c r="S437" s="39"/>
      <c r="T437" s="5"/>
      <c r="U437" s="16">
        <f>R437/V437</f>
        <v>2234.0425531914893</v>
      </c>
      <c r="V437" s="103">
        <f>SUM(V375,V379,V383,V388,V391,V395,V399,V403,V407,V411,V415,V419,V423)</f>
        <v>47</v>
      </c>
      <c r="W437" s="5"/>
      <c r="X437" s="31" t="str">
        <f t="shared" si="956"/>
        <v>AIラバー</v>
      </c>
      <c r="Y437" s="27">
        <f t="shared" si="956"/>
        <v>198</v>
      </c>
      <c r="Z437" s="103">
        <f>SUM(Z375,Z379,Z383,Z388,Z391,Z395,Z399,Z403,Z407,Z411,Z415,Z419,Z423)</f>
        <v>9218</v>
      </c>
      <c r="AA437" s="92">
        <f>Z437/R437</f>
        <v>8.7790476190476197E-2</v>
      </c>
      <c r="AB437" s="29"/>
      <c r="AD437" s="157" t="s">
        <v>27</v>
      </c>
      <c r="AE437" s="157"/>
      <c r="AF437" s="103">
        <f>SUM(AF375,AF379,AF383,AF387,AF391,AF395,AF399,AF403,AF407,AF411,AF415,AF419,AF423)*100</f>
        <v>27100</v>
      </c>
      <c r="AG437" s="39"/>
      <c r="AH437" s="5"/>
      <c r="AI437" s="16">
        <f>AF437/AJ437</f>
        <v>27100</v>
      </c>
      <c r="AJ437" s="103">
        <f>SUM(AJ375,AJ379,AJ383,AJ388,AJ391,AJ395,AJ399,AJ403,AJ407,AJ411,AJ415,AJ419,AJ423)</f>
        <v>1</v>
      </c>
      <c r="AK437" s="5"/>
      <c r="AL437" s="31" t="str">
        <f t="shared" si="957"/>
        <v>サンリオギャルキーケース</v>
      </c>
      <c r="AM437" s="27">
        <f t="shared" si="957"/>
        <v>700</v>
      </c>
      <c r="AN437" s="103">
        <f>SUM(AN375,AN379,AN383,AN388,AN391,AN395,AN399,AN403,AN407,AN411,AN415,AN419,AN423)</f>
        <v>700</v>
      </c>
      <c r="AO437" s="92">
        <f>AN437/AF437</f>
        <v>2.5830258302583026E-2</v>
      </c>
      <c r="AP437" s="29"/>
      <c r="AR437" s="157" t="s">
        <v>27</v>
      </c>
      <c r="AS437" s="157"/>
      <c r="AT437" s="103">
        <f>SUM(AT375,AT379,AT383,AT387,AT391,AT395,AT399,AT403,AT407,AT411,AT415,AT419,AT423)*100</f>
        <v>36100</v>
      </c>
      <c r="AU437" s="39"/>
      <c r="AV437" s="5"/>
      <c r="AW437" s="16">
        <f>AT437/AX437</f>
        <v>6016.666666666667</v>
      </c>
      <c r="AX437" s="103">
        <f>SUM(AX375,AX379,AX383,AX388,AX391,AX395,AX399,AX403,AX407,AX411,AX415,AX419,AX423)</f>
        <v>6</v>
      </c>
      <c r="AY437" s="5"/>
      <c r="AZ437" s="31" t="str">
        <f t="shared" si="958"/>
        <v>モンチッチマスコット</v>
      </c>
      <c r="BA437" s="27">
        <f t="shared" si="958"/>
        <v>528</v>
      </c>
      <c r="BB437" s="103">
        <f>SUM(BB375,BB379,BB383,BB388,BB391,BB395,BB399,BB403,BB407,BB411,BB415,BB419,BB423)</f>
        <v>3756</v>
      </c>
      <c r="BC437" s="92">
        <f>BB437/AT437</f>
        <v>0.10404432132963989</v>
      </c>
      <c r="BD437" s="29"/>
    </row>
    <row r="438" spans="1:56" x14ac:dyDescent="0.2">
      <c r="A438" s="157" t="s">
        <v>27</v>
      </c>
      <c r="B438" s="157"/>
      <c r="C438" s="157"/>
      <c r="D438" s="103">
        <f>SUM(D376,D380,D384,D388,D392,D396,D400,D404,D408,D412,D416,D420,D424)*100</f>
        <v>37000</v>
      </c>
      <c r="E438" s="39"/>
      <c r="F438" s="5"/>
      <c r="G438" s="16">
        <f>D438/H438</f>
        <v>4625</v>
      </c>
      <c r="H438" s="103">
        <f>SUM(H376,H380,H384,H387,H392,H396,H400,H404,H408,H412,H416,H420,H424)</f>
        <v>8</v>
      </c>
      <c r="I438" s="5"/>
      <c r="J438" s="2" t="str">
        <f t="shared" si="955"/>
        <v>サンリオヘアパッチンピン</v>
      </c>
      <c r="K438" s="27">
        <f t="shared" si="955"/>
        <v>660</v>
      </c>
      <c r="L438" s="103">
        <f>SUM(L376,L380,L384,L387,L392,L396,L400,L404,L408,L412,L416,L420,L424)</f>
        <v>6208</v>
      </c>
      <c r="M438" s="92">
        <f>L438/D438</f>
        <v>0.16778378378378378</v>
      </c>
      <c r="N438" s="29"/>
      <c r="O438" s="30"/>
      <c r="P438" s="157" t="s">
        <v>27</v>
      </c>
      <c r="Q438" s="157"/>
      <c r="R438" s="103">
        <f>SUM(R376,R380,R384,R388,R392,R396,R400,R404,R408,R412,R416,R420,R424)*100</f>
        <v>88500</v>
      </c>
      <c r="S438" s="39"/>
      <c r="T438" s="5"/>
      <c r="U438" s="16">
        <f>R438/V438</f>
        <v>4916.666666666667</v>
      </c>
      <c r="V438" s="103">
        <f>SUM(V376,V380,V384,V387,V392,V396,V400,V404,V408,V412,V416,V420,V424)</f>
        <v>18</v>
      </c>
      <c r="W438" s="5"/>
      <c r="X438" s="31" t="str">
        <f t="shared" si="956"/>
        <v>AIマスコット</v>
      </c>
      <c r="Y438" s="27">
        <f t="shared" si="956"/>
        <v>286</v>
      </c>
      <c r="Z438" s="103">
        <f>SUM(Z376,Z380,Z384,Z387,Z392,Z396,Z400,Z404,Z408,Z412,Z416,Z420,Z424)</f>
        <v>4532</v>
      </c>
      <c r="AA438" s="92">
        <f>Z438/R438</f>
        <v>5.1209039548022597E-2</v>
      </c>
      <c r="AB438" s="29"/>
      <c r="AD438" s="157" t="s">
        <v>27</v>
      </c>
      <c r="AE438" s="157"/>
      <c r="AF438" s="103">
        <f>SUM(AF376,AF380,AF384,AF388,AF392,AF396,AF400,AF404,AF408,AF412,AF416,AF420,AF424)*100</f>
        <v>50800</v>
      </c>
      <c r="AG438" s="39"/>
      <c r="AH438" s="5"/>
      <c r="AI438" s="16">
        <f>AF438/AJ438</f>
        <v>2988.2352941176468</v>
      </c>
      <c r="AJ438" s="103">
        <f>SUM(AJ376,AJ380,AJ384,AJ387,AJ392,AJ396,AJ400,AJ404,AJ408,AJ412,AJ416,AJ420,AJ424)</f>
        <v>17</v>
      </c>
      <c r="AK438" s="5"/>
      <c r="AL438" s="31" t="str">
        <f t="shared" si="957"/>
        <v>ピクミンマスコット</v>
      </c>
      <c r="AM438" s="27">
        <f t="shared" si="957"/>
        <v>748</v>
      </c>
      <c r="AN438" s="103">
        <f>SUM(AN376,AN380,AN384,AN387,AN392,AN396,AN400,AN404,AN408,AN412,AN416,AN420,AN424)</f>
        <v>8200</v>
      </c>
      <c r="AO438" s="92">
        <f>AN438/AF438</f>
        <v>0.16141732283464566</v>
      </c>
      <c r="AP438" s="29"/>
      <c r="AR438" s="157" t="s">
        <v>27</v>
      </c>
      <c r="AS438" s="157"/>
      <c r="AT438" s="103">
        <f>SUM(AT376,AT380,AT384,AT388,AT392,AT396,AT400,AT404,AT408,AT412,AT416,AT420,AT424)*100</f>
        <v>22400</v>
      </c>
      <c r="AU438" s="39"/>
      <c r="AV438" s="5"/>
      <c r="AW438" s="16">
        <f>AT438/AX438</f>
        <v>3200</v>
      </c>
      <c r="AX438" s="103">
        <f>SUM(AX376,AX380,AX384,AX387,AX392,AX396,AX400,AX404,AX408,AX412,AX416,AX420,AX424)</f>
        <v>7</v>
      </c>
      <c r="AY438" s="5"/>
      <c r="AZ438" s="31" t="str">
        <f t="shared" si="958"/>
        <v>ジョージファン</v>
      </c>
      <c r="BA438" s="27">
        <f t="shared" si="958"/>
        <v>900</v>
      </c>
      <c r="BB438" s="103">
        <f>SUM(BB376,BB380,BB384,BB387,BB392,BB396,BB400,BB404,BB408,BB412,BB416,BB420,BB424)</f>
        <v>4488</v>
      </c>
      <c r="BC438" s="92">
        <f>BB438/AT438</f>
        <v>0.20035714285714284</v>
      </c>
      <c r="BD438" s="29"/>
    </row>
    <row r="439" spans="1:56" x14ac:dyDescent="0.2">
      <c r="A439" s="25"/>
      <c r="B439" s="37"/>
      <c r="C439" s="16" t="s">
        <v>20</v>
      </c>
      <c r="D439" s="5">
        <f>SUM(D435:D438)</f>
        <v>267300</v>
      </c>
      <c r="E439" s="39"/>
      <c r="F439" s="5"/>
      <c r="G439" s="5"/>
      <c r="H439" s="5">
        <f>SUM(H435:H438)</f>
        <v>96</v>
      </c>
      <c r="I439" s="5"/>
      <c r="J439" s="156" t="s">
        <v>28</v>
      </c>
      <c r="K439" s="156"/>
      <c r="L439" s="4">
        <f>SUM(L435:L438)</f>
        <v>48194</v>
      </c>
      <c r="M439" s="107">
        <f>L439/D439</f>
        <v>0.18029928918817809</v>
      </c>
      <c r="N439" s="34"/>
      <c r="O439" s="30"/>
      <c r="P439" s="25"/>
      <c r="Q439" s="16" t="s">
        <v>20</v>
      </c>
      <c r="R439" s="5">
        <f>SUM(R435:R438)</f>
        <v>288400</v>
      </c>
      <c r="S439" s="39"/>
      <c r="T439" s="5"/>
      <c r="U439" s="5"/>
      <c r="V439" s="5">
        <f>SUM(V435:V438)</f>
        <v>87</v>
      </c>
      <c r="W439" s="5"/>
      <c r="X439" s="156" t="s">
        <v>28</v>
      </c>
      <c r="Y439" s="156"/>
      <c r="Z439" s="4">
        <f>SUM(Z435:Z438)</f>
        <v>25950</v>
      </c>
      <c r="AA439" s="107">
        <f>Z439/R439</f>
        <v>8.9979195561719835E-2</v>
      </c>
      <c r="AB439" s="29"/>
      <c r="AD439" s="25"/>
      <c r="AE439" s="16" t="s">
        <v>20</v>
      </c>
      <c r="AF439" s="5">
        <f>SUM(AF435:AF438)</f>
        <v>168100</v>
      </c>
      <c r="AG439" s="39"/>
      <c r="AH439" s="5"/>
      <c r="AI439" s="5"/>
      <c r="AJ439" s="5">
        <f>SUM(AJ435:AJ438)</f>
        <v>33</v>
      </c>
      <c r="AK439" s="5"/>
      <c r="AL439" s="156" t="s">
        <v>28</v>
      </c>
      <c r="AM439" s="156"/>
      <c r="AN439" s="4">
        <f>SUM(AN435:AN438)</f>
        <v>15384</v>
      </c>
      <c r="AO439" s="107">
        <f>AN439/AF439</f>
        <v>9.1516954193932187E-2</v>
      </c>
      <c r="AP439" s="29"/>
      <c r="AR439" s="25"/>
      <c r="AS439" s="16" t="s">
        <v>20</v>
      </c>
      <c r="AT439" s="5">
        <f>SUM(AT435:AT438)</f>
        <v>172500</v>
      </c>
      <c r="AU439" s="39"/>
      <c r="AV439" s="5"/>
      <c r="AW439" s="5"/>
      <c r="AX439" s="5">
        <f>SUM(AX435:AX438)</f>
        <v>32</v>
      </c>
      <c r="AY439" s="5"/>
      <c r="AZ439" s="156" t="s">
        <v>28</v>
      </c>
      <c r="BA439" s="156"/>
      <c r="BB439" s="4">
        <f>SUM(BB435:BB438)</f>
        <v>20586</v>
      </c>
      <c r="BC439" s="107">
        <f>BB439/AT439</f>
        <v>0.11933913043478261</v>
      </c>
      <c r="BD439" s="29"/>
    </row>
    <row r="440" spans="1:56" x14ac:dyDescent="0.2">
      <c r="A440" s="108"/>
      <c r="J440" s="110"/>
      <c r="K440" s="13"/>
      <c r="N440" s="111"/>
      <c r="O440" s="30"/>
      <c r="P440" s="108"/>
      <c r="X440" s="1"/>
      <c r="AB440" s="111"/>
      <c r="AD440" s="108"/>
      <c r="AL440" s="1"/>
      <c r="AP440" s="111"/>
      <c r="AR440" s="108"/>
      <c r="AZ440" s="1"/>
      <c r="BD440" s="111"/>
    </row>
    <row r="441" spans="1:56" ht="15" customHeight="1" x14ac:dyDescent="0.2">
      <c r="C441" s="169" t="s">
        <v>287</v>
      </c>
      <c r="D441" s="169"/>
      <c r="E441" s="170" t="s">
        <v>288</v>
      </c>
      <c r="F441" s="170"/>
      <c r="G441" s="170" t="s">
        <v>289</v>
      </c>
      <c r="H441" s="170"/>
      <c r="K441" s="13"/>
    </row>
    <row r="442" spans="1:56" x14ac:dyDescent="0.2">
      <c r="C442" s="173">
        <f>E430+S430+AG430+AU430</f>
        <v>896300</v>
      </c>
      <c r="D442" s="173"/>
      <c r="E442" s="172">
        <f>L429+Z429</f>
        <v>74144</v>
      </c>
      <c r="F442" s="172"/>
      <c r="G442" s="172">
        <f>L432+Z432</f>
        <v>81262</v>
      </c>
      <c r="H442" s="172"/>
      <c r="K442" s="13"/>
    </row>
    <row r="443" spans="1:56" x14ac:dyDescent="0.2">
      <c r="C443" s="113"/>
      <c r="D443" s="113"/>
      <c r="E443" s="39" t="s">
        <v>290</v>
      </c>
      <c r="F443" s="114">
        <f>E442/B433</f>
        <v>8.2722302800401645E-2</v>
      </c>
      <c r="G443" s="5"/>
      <c r="H443" s="5"/>
      <c r="K443" s="13"/>
    </row>
    <row r="444" spans="1:56" x14ac:dyDescent="0.2">
      <c r="E444" s="132"/>
      <c r="F444" s="133"/>
      <c r="G444" s="30"/>
      <c r="H444" s="30"/>
      <c r="K444" s="13"/>
    </row>
    <row r="445" spans="1:56" ht="18.75" x14ac:dyDescent="0.2">
      <c r="A445" s="167" t="s">
        <v>323</v>
      </c>
      <c r="B445" s="167"/>
      <c r="C445" s="167"/>
      <c r="D445" s="167"/>
      <c r="E445" s="168" t="s">
        <v>0</v>
      </c>
      <c r="F445" s="168"/>
      <c r="G445" s="123"/>
      <c r="H445" s="123"/>
      <c r="I445" s="123"/>
      <c r="J445" s="124"/>
      <c r="K445" s="123"/>
      <c r="L445" s="123"/>
      <c r="M445" s="123"/>
      <c r="N445" s="125"/>
      <c r="O445" s="126"/>
      <c r="P445" s="167" t="s">
        <v>323</v>
      </c>
      <c r="Q445" s="167"/>
      <c r="R445" s="167"/>
      <c r="S445" s="168" t="s">
        <v>1</v>
      </c>
      <c r="T445" s="168"/>
      <c r="U445" s="123"/>
      <c r="V445" s="123"/>
      <c r="W445" s="123"/>
      <c r="X445" s="127"/>
      <c r="Y445" s="123"/>
      <c r="Z445" s="123"/>
      <c r="AA445" s="123"/>
      <c r="AB445" s="125"/>
      <c r="AD445" s="167" t="s">
        <v>323</v>
      </c>
      <c r="AE445" s="167"/>
      <c r="AF445" s="167"/>
      <c r="AG445" s="168" t="s">
        <v>38</v>
      </c>
      <c r="AH445" s="168"/>
      <c r="AI445" s="123"/>
      <c r="AJ445" s="123"/>
      <c r="AK445" s="123"/>
      <c r="AL445" s="127"/>
      <c r="AM445" s="123"/>
      <c r="AN445" s="123"/>
      <c r="AO445" s="123"/>
      <c r="AP445" s="125"/>
      <c r="AR445" s="167" t="s">
        <v>323</v>
      </c>
      <c r="AS445" s="167"/>
      <c r="AT445" s="167"/>
      <c r="AU445" s="168" t="s">
        <v>39</v>
      </c>
      <c r="AV445" s="168"/>
      <c r="AW445" s="123"/>
      <c r="AX445" s="123"/>
      <c r="AY445" s="123"/>
      <c r="AZ445" s="127"/>
      <c r="BA445" s="123"/>
      <c r="BB445" s="123"/>
      <c r="BC445" s="123"/>
      <c r="BD445" s="125"/>
    </row>
    <row r="446" spans="1:56" x14ac:dyDescent="0.2">
      <c r="A446" s="14" t="s">
        <v>2</v>
      </c>
      <c r="B446" s="15" t="s">
        <v>258</v>
      </c>
      <c r="C446" s="16" t="s">
        <v>3</v>
      </c>
      <c r="D446" s="16" t="s">
        <v>4</v>
      </c>
      <c r="E446" s="17" t="s">
        <v>5</v>
      </c>
      <c r="F446" s="16" t="s">
        <v>4</v>
      </c>
      <c r="G446" s="16" t="s">
        <v>6</v>
      </c>
      <c r="H446" s="16" t="s">
        <v>7</v>
      </c>
      <c r="I446" s="16" t="s">
        <v>8</v>
      </c>
      <c r="J446" s="17" t="s">
        <v>9</v>
      </c>
      <c r="K446" s="16" t="s">
        <v>10</v>
      </c>
      <c r="L446" s="16" t="s">
        <v>7</v>
      </c>
      <c r="M446" s="16" t="s">
        <v>11</v>
      </c>
      <c r="N446" s="16" t="s">
        <v>12</v>
      </c>
      <c r="O446" s="18"/>
      <c r="P446" s="14" t="s">
        <v>2</v>
      </c>
      <c r="Q446" s="16" t="s">
        <v>3</v>
      </c>
      <c r="R446" s="16" t="s">
        <v>4</v>
      </c>
      <c r="S446" s="17" t="s">
        <v>5</v>
      </c>
      <c r="T446" s="16" t="s">
        <v>4</v>
      </c>
      <c r="U446" s="16" t="s">
        <v>6</v>
      </c>
      <c r="V446" s="16" t="s">
        <v>7</v>
      </c>
      <c r="W446" s="16" t="s">
        <v>8</v>
      </c>
      <c r="X446" s="19" t="s">
        <v>9</v>
      </c>
      <c r="Y446" s="16" t="s">
        <v>10</v>
      </c>
      <c r="Z446" s="16" t="s">
        <v>7</v>
      </c>
      <c r="AA446" s="16" t="s">
        <v>11</v>
      </c>
      <c r="AB446" s="16" t="s">
        <v>12</v>
      </c>
      <c r="AD446" s="14" t="s">
        <v>2</v>
      </c>
      <c r="AE446" s="16" t="s">
        <v>3</v>
      </c>
      <c r="AF446" s="16" t="s">
        <v>4</v>
      </c>
      <c r="AG446" s="17" t="s">
        <v>5</v>
      </c>
      <c r="AH446" s="16" t="s">
        <v>4</v>
      </c>
      <c r="AI446" s="16" t="s">
        <v>6</v>
      </c>
      <c r="AJ446" s="16" t="s">
        <v>7</v>
      </c>
      <c r="AK446" s="16" t="s">
        <v>8</v>
      </c>
      <c r="AL446" s="19" t="s">
        <v>9</v>
      </c>
      <c r="AM446" s="16" t="s">
        <v>10</v>
      </c>
      <c r="AN446" s="16" t="s">
        <v>7</v>
      </c>
      <c r="AO446" s="16" t="s">
        <v>11</v>
      </c>
      <c r="AP446" s="16" t="s">
        <v>12</v>
      </c>
      <c r="AR446" s="14" t="s">
        <v>2</v>
      </c>
      <c r="AS446" s="16" t="s">
        <v>3</v>
      </c>
      <c r="AT446" s="16" t="s">
        <v>4</v>
      </c>
      <c r="AU446" s="17" t="s">
        <v>5</v>
      </c>
      <c r="AV446" s="16" t="s">
        <v>4</v>
      </c>
      <c r="AW446" s="16" t="s">
        <v>6</v>
      </c>
      <c r="AX446" s="16" t="s">
        <v>7</v>
      </c>
      <c r="AY446" s="16" t="s">
        <v>8</v>
      </c>
      <c r="AZ446" s="19" t="s">
        <v>9</v>
      </c>
      <c r="BA446" s="16" t="s">
        <v>10</v>
      </c>
      <c r="BB446" s="16" t="s">
        <v>7</v>
      </c>
      <c r="BC446" s="16" t="s">
        <v>11</v>
      </c>
      <c r="BD446" s="16" t="s">
        <v>12</v>
      </c>
    </row>
    <row r="447" spans="1:56" x14ac:dyDescent="0.2">
      <c r="A447" s="25">
        <v>45901</v>
      </c>
      <c r="B447" s="26">
        <v>2461</v>
      </c>
      <c r="C447" s="4">
        <v>13739</v>
      </c>
      <c r="D447" s="4">
        <f>C447-C521</f>
        <v>0</v>
      </c>
      <c r="E447" s="4">
        <v>1015</v>
      </c>
      <c r="F447" s="4">
        <f>E447-E521</f>
        <v>6</v>
      </c>
      <c r="G447" s="4">
        <v>5</v>
      </c>
      <c r="H447" s="4">
        <f>E447-E521</f>
        <v>6</v>
      </c>
      <c r="I447" s="4">
        <v>5</v>
      </c>
      <c r="J447" s="2" t="s">
        <v>346</v>
      </c>
      <c r="K447" s="27">
        <v>1015</v>
      </c>
      <c r="L447" s="4">
        <v>1496</v>
      </c>
      <c r="M447" s="28">
        <v>0.14666666666666667</v>
      </c>
      <c r="N447" s="29"/>
      <c r="O447" s="30"/>
      <c r="P447" s="25">
        <v>45901</v>
      </c>
      <c r="Q447" s="4">
        <v>12860</v>
      </c>
      <c r="R447" s="4">
        <f>Q447-Q521</f>
        <v>0</v>
      </c>
      <c r="S447" s="4">
        <v>1365</v>
      </c>
      <c r="T447" s="4">
        <f>S447-S521</f>
        <v>5</v>
      </c>
      <c r="U447" s="4">
        <v>15</v>
      </c>
      <c r="V447" s="4">
        <f>S447-S521</f>
        <v>5</v>
      </c>
      <c r="W447" s="4">
        <v>0</v>
      </c>
      <c r="X447" s="31" t="s">
        <v>347</v>
      </c>
      <c r="Y447" s="27">
        <v>1100</v>
      </c>
      <c r="Z447" s="4">
        <v>825</v>
      </c>
      <c r="AA447" s="28">
        <v>9.7058823529411767E-2</v>
      </c>
      <c r="AB447" s="29"/>
      <c r="AD447" s="25">
        <v>45901</v>
      </c>
      <c r="AE447" s="4">
        <v>11481</v>
      </c>
      <c r="AF447" s="4">
        <v>0</v>
      </c>
      <c r="AG447" s="4">
        <v>883</v>
      </c>
      <c r="AH447" s="4">
        <v>0</v>
      </c>
      <c r="AI447" s="4">
        <v>10</v>
      </c>
      <c r="AJ447" s="4">
        <v>0</v>
      </c>
      <c r="AK447" s="4">
        <v>0</v>
      </c>
      <c r="AL447" s="31" t="s">
        <v>341</v>
      </c>
      <c r="AM447" s="27">
        <v>490</v>
      </c>
      <c r="AN447" s="4"/>
      <c r="AO447" s="28"/>
      <c r="AP447" s="29" t="s">
        <v>49</v>
      </c>
      <c r="AR447" s="25">
        <v>45901</v>
      </c>
      <c r="AS447" s="4">
        <v>7598</v>
      </c>
      <c r="AT447" s="4">
        <v>0</v>
      </c>
      <c r="AU447" s="4">
        <v>453</v>
      </c>
      <c r="AV447" s="4">
        <v>0</v>
      </c>
      <c r="AW447" s="4">
        <v>9</v>
      </c>
      <c r="AX447" s="4">
        <v>0</v>
      </c>
      <c r="AY447" s="4">
        <v>0</v>
      </c>
      <c r="AZ447" s="31" t="s">
        <v>292</v>
      </c>
      <c r="BA447" s="27">
        <v>729</v>
      </c>
      <c r="BB447" s="4"/>
      <c r="BC447" s="28"/>
      <c r="BD447" s="29" t="s">
        <v>50</v>
      </c>
    </row>
    <row r="448" spans="1:56" x14ac:dyDescent="0.2">
      <c r="A448" s="14"/>
      <c r="B448" s="37"/>
      <c r="C448" s="4">
        <v>15415</v>
      </c>
      <c r="D448" s="5">
        <f>C448-C522</f>
        <v>0</v>
      </c>
      <c r="E448" s="4">
        <v>492</v>
      </c>
      <c r="F448" s="5">
        <f>E448-E522</f>
        <v>11</v>
      </c>
      <c r="G448" s="5">
        <v>21</v>
      </c>
      <c r="H448" s="5">
        <f>E448-E522</f>
        <v>11</v>
      </c>
      <c r="I448" s="5">
        <v>0</v>
      </c>
      <c r="J448" s="2" t="s">
        <v>348</v>
      </c>
      <c r="K448" s="4">
        <v>275</v>
      </c>
      <c r="L448" s="5">
        <f>IF(G448="","",H448*K448)</f>
        <v>3025</v>
      </c>
      <c r="M448" s="36" t="e">
        <f>IF(H448="","",L448/(D448*100))</f>
        <v>#DIV/0!</v>
      </c>
      <c r="N448" s="29"/>
      <c r="O448" s="30"/>
      <c r="P448" s="25"/>
      <c r="Q448" s="4">
        <v>12512</v>
      </c>
      <c r="R448" s="5">
        <f>Q448-Q522</f>
        <v>0</v>
      </c>
      <c r="S448" s="4">
        <v>471</v>
      </c>
      <c r="T448" s="5">
        <f>S448-S522</f>
        <v>6</v>
      </c>
      <c r="U448" s="5">
        <v>5</v>
      </c>
      <c r="V448" s="5">
        <f>S448-S522</f>
        <v>6</v>
      </c>
      <c r="W448" s="5">
        <v>1</v>
      </c>
      <c r="X448" s="38" t="s">
        <v>349</v>
      </c>
      <c r="Y448" s="39">
        <v>660</v>
      </c>
      <c r="Z448" s="5">
        <v>3300</v>
      </c>
      <c r="AA448" s="36">
        <v>0.29729729729729731</v>
      </c>
      <c r="AB448" s="29"/>
      <c r="AD448" s="25"/>
      <c r="AE448" s="4">
        <v>10516</v>
      </c>
      <c r="AF448" s="5">
        <v>0</v>
      </c>
      <c r="AG448" s="4">
        <v>755</v>
      </c>
      <c r="AH448" s="5">
        <v>0</v>
      </c>
      <c r="AI448" s="5">
        <v>14</v>
      </c>
      <c r="AJ448" s="5">
        <v>0</v>
      </c>
      <c r="AK448" s="5">
        <v>0</v>
      </c>
      <c r="AL448" s="38" t="s">
        <v>329</v>
      </c>
      <c r="AM448" s="39">
        <v>748</v>
      </c>
      <c r="AN448" s="5"/>
      <c r="AO448" s="36"/>
      <c r="AP448" s="29" t="s">
        <v>51</v>
      </c>
      <c r="AR448" s="25"/>
      <c r="AS448" s="4">
        <v>9395</v>
      </c>
      <c r="AT448" s="5">
        <v>0</v>
      </c>
      <c r="AU448" s="4">
        <v>500</v>
      </c>
      <c r="AV448" s="5">
        <v>0</v>
      </c>
      <c r="AW448" s="5">
        <v>13</v>
      </c>
      <c r="AX448" s="5">
        <v>0</v>
      </c>
      <c r="AY448" s="5">
        <v>0</v>
      </c>
      <c r="AZ448" s="38" t="s">
        <v>330</v>
      </c>
      <c r="BA448" s="39">
        <v>1100</v>
      </c>
      <c r="BB448" s="5"/>
      <c r="BC448" s="36"/>
      <c r="BD448" s="29" t="s">
        <v>52</v>
      </c>
    </row>
    <row r="449" spans="1:56" x14ac:dyDescent="0.2">
      <c r="A449" s="25"/>
      <c r="B449" s="37"/>
      <c r="C449" s="4">
        <v>13337</v>
      </c>
      <c r="D449" s="5">
        <f>C449-C523</f>
        <v>0</v>
      </c>
      <c r="E449" s="4">
        <v>560</v>
      </c>
      <c r="F449" s="5">
        <f>E449-E523</f>
        <v>4</v>
      </c>
      <c r="G449" s="5">
        <v>9</v>
      </c>
      <c r="H449" s="5">
        <f>E449-E523</f>
        <v>4</v>
      </c>
      <c r="I449" s="5">
        <v>0</v>
      </c>
      <c r="J449" s="3" t="s">
        <v>350</v>
      </c>
      <c r="K449" s="39">
        <v>1100</v>
      </c>
      <c r="L449" s="5">
        <f>IF(G449="","",H449*K449)</f>
        <v>4400</v>
      </c>
      <c r="M449" s="36" t="e">
        <f>IF(H449="","",L449/(D449*100))</f>
        <v>#DIV/0!</v>
      </c>
      <c r="N449" s="29"/>
      <c r="O449" s="30"/>
      <c r="P449" s="25"/>
      <c r="Q449" s="4">
        <v>11667</v>
      </c>
      <c r="R449" s="5">
        <f>Q449-Q523</f>
        <v>0</v>
      </c>
      <c r="S449" s="4">
        <v>831</v>
      </c>
      <c r="T449" s="5">
        <f>S449-S523</f>
        <v>4</v>
      </c>
      <c r="U449" s="5">
        <v>47</v>
      </c>
      <c r="V449" s="5">
        <f>S449-S523</f>
        <v>4</v>
      </c>
      <c r="W449" s="5">
        <v>31</v>
      </c>
      <c r="X449" s="38" t="s">
        <v>351</v>
      </c>
      <c r="Y449" s="39">
        <v>198</v>
      </c>
      <c r="Z449" s="5">
        <v>1452</v>
      </c>
      <c r="AA449" s="36">
        <v>0.25928571428571429</v>
      </c>
      <c r="AB449" s="29"/>
      <c r="AD449" s="25"/>
      <c r="AE449" s="4">
        <v>13785</v>
      </c>
      <c r="AF449" s="5">
        <v>0</v>
      </c>
      <c r="AG449" s="4">
        <v>2381</v>
      </c>
      <c r="AH449" s="5">
        <v>0</v>
      </c>
      <c r="AI449" s="5">
        <v>10</v>
      </c>
      <c r="AJ449" s="5">
        <v>0</v>
      </c>
      <c r="AK449" s="5">
        <v>0</v>
      </c>
      <c r="AL449" s="38" t="s">
        <v>333</v>
      </c>
      <c r="AM449" s="39">
        <v>660</v>
      </c>
      <c r="AN449" s="5"/>
      <c r="AO449" s="36"/>
      <c r="AP449" s="29" t="s">
        <v>53</v>
      </c>
      <c r="AR449" s="25"/>
      <c r="AS449" s="4">
        <v>11963</v>
      </c>
      <c r="AT449" s="5">
        <v>0</v>
      </c>
      <c r="AU449" s="4">
        <v>726</v>
      </c>
      <c r="AV449" s="5">
        <v>0</v>
      </c>
      <c r="AW449" s="5">
        <v>10</v>
      </c>
      <c r="AX449" s="5">
        <v>0</v>
      </c>
      <c r="AY449" s="5">
        <v>0</v>
      </c>
      <c r="AZ449" s="38" t="s">
        <v>334</v>
      </c>
      <c r="BA449" s="39">
        <v>528</v>
      </c>
      <c r="BB449" s="5"/>
      <c r="BC449" s="36"/>
      <c r="BD449" s="29" t="s">
        <v>54</v>
      </c>
    </row>
    <row r="450" spans="1:56" ht="15" customHeight="1" thickBot="1" x14ac:dyDescent="0.25">
      <c r="A450" s="41"/>
      <c r="B450" s="42"/>
      <c r="C450" s="43">
        <v>10481</v>
      </c>
      <c r="D450" s="43">
        <f>C450-C524</f>
        <v>0</v>
      </c>
      <c r="E450" s="43">
        <v>1137</v>
      </c>
      <c r="F450" s="44">
        <f>E450-E524</f>
        <v>11</v>
      </c>
      <c r="G450" s="44">
        <v>4</v>
      </c>
      <c r="H450" s="44">
        <f>E450-E524</f>
        <v>11</v>
      </c>
      <c r="I450" s="44">
        <v>8</v>
      </c>
      <c r="J450" s="45" t="s">
        <v>55</v>
      </c>
      <c r="K450" s="44">
        <v>770</v>
      </c>
      <c r="L450" s="44">
        <v>572</v>
      </c>
      <c r="M450" s="46">
        <v>7.6266666666666663E-2</v>
      </c>
      <c r="N450" s="29"/>
      <c r="O450" s="30"/>
      <c r="P450" s="41"/>
      <c r="Q450" s="43">
        <v>10171</v>
      </c>
      <c r="R450" s="43">
        <f>Q450-Q524</f>
        <v>0</v>
      </c>
      <c r="S450" s="43">
        <v>1019</v>
      </c>
      <c r="T450" s="44">
        <f>S450-S524</f>
        <v>20</v>
      </c>
      <c r="U450" s="44">
        <v>10</v>
      </c>
      <c r="V450" s="44">
        <f>S450-S524</f>
        <v>20</v>
      </c>
      <c r="W450" s="44">
        <v>0</v>
      </c>
      <c r="X450" s="47" t="s">
        <v>352</v>
      </c>
      <c r="Y450" s="44">
        <v>286</v>
      </c>
      <c r="Z450" s="44">
        <f t="shared" ref="Z450:Z502" si="959">IF(U450="","",V450*Y450)</f>
        <v>5720</v>
      </c>
      <c r="AA450" s="46" t="e">
        <f t="shared" ref="AA450:AA502" si="960">IF(V450="","",Z450/(R450*100))</f>
        <v>#DIV/0!</v>
      </c>
      <c r="AB450" s="29"/>
      <c r="AD450" s="41"/>
      <c r="AE450" s="43">
        <v>13049</v>
      </c>
      <c r="AF450" s="43">
        <v>0</v>
      </c>
      <c r="AG450" s="43">
        <v>1503</v>
      </c>
      <c r="AH450" s="44">
        <v>0</v>
      </c>
      <c r="AI450" s="44">
        <v>9</v>
      </c>
      <c r="AJ450" s="44">
        <v>0</v>
      </c>
      <c r="AK450" s="44">
        <v>0</v>
      </c>
      <c r="AL450" s="47" t="s">
        <v>326</v>
      </c>
      <c r="AM450" s="44">
        <v>748</v>
      </c>
      <c r="AN450" s="44"/>
      <c r="AO450" s="46"/>
      <c r="AP450" s="29" t="s">
        <v>56</v>
      </c>
      <c r="AR450" s="41"/>
      <c r="AS450" s="43">
        <v>10004</v>
      </c>
      <c r="AT450" s="43">
        <v>0</v>
      </c>
      <c r="AU450" s="43">
        <v>783</v>
      </c>
      <c r="AV450" s="44">
        <v>0</v>
      </c>
      <c r="AW450" s="44">
        <v>7</v>
      </c>
      <c r="AX450" s="44">
        <v>0</v>
      </c>
      <c r="AY450" s="44">
        <v>0</v>
      </c>
      <c r="AZ450" s="47" t="s">
        <v>344</v>
      </c>
      <c r="BA450" s="44">
        <v>1100</v>
      </c>
      <c r="BB450" s="44"/>
      <c r="BC450" s="46"/>
      <c r="BD450" s="29" t="s">
        <v>57</v>
      </c>
    </row>
    <row r="451" spans="1:56" ht="15" customHeight="1" thickTop="1" x14ac:dyDescent="0.2">
      <c r="A451" s="80">
        <v>45905</v>
      </c>
      <c r="B451" s="26">
        <f>SUM(D451:D454)+SUM(R451:R454)+SUM(AF451:AF454)+SUM(AT451:AT454)</f>
        <v>2893</v>
      </c>
      <c r="C451" s="4">
        <v>14036</v>
      </c>
      <c r="D451" s="4">
        <f t="shared" ref="D451:D502" si="961">IF(C451="","",C451-C447)</f>
        <v>297</v>
      </c>
      <c r="E451" s="4">
        <v>1018</v>
      </c>
      <c r="F451" s="50">
        <f t="shared" ref="F451:F462" si="962">IF(E451="","",E451-E447)</f>
        <v>3</v>
      </c>
      <c r="G451" s="4">
        <v>7</v>
      </c>
      <c r="H451" s="4">
        <f t="shared" ref="H451:H497" si="963">IF(G451="","",G447+I447-G451)</f>
        <v>3</v>
      </c>
      <c r="I451" s="51">
        <v>1</v>
      </c>
      <c r="J451" s="3" t="s">
        <v>36</v>
      </c>
      <c r="K451" s="39">
        <f>IF(D451="","",K447)</f>
        <v>1015</v>
      </c>
      <c r="L451" s="50">
        <f t="shared" ref="L451:L502" si="964">IF(G451="","",H451*K451)</f>
        <v>3045</v>
      </c>
      <c r="M451" s="52">
        <f t="shared" ref="M451:M502" si="965">IF(H451="","",L451/(D451*100))</f>
        <v>0.10252525252525252</v>
      </c>
      <c r="N451" s="29"/>
      <c r="O451" s="30"/>
      <c r="P451" s="80">
        <f>IF($A$451="","",$A$451)</f>
        <v>45905</v>
      </c>
      <c r="Q451" s="4">
        <v>13130</v>
      </c>
      <c r="R451" s="4">
        <f t="shared" ref="R451:R502" si="966">IF(Q451="","",Q451-Q447)</f>
        <v>270</v>
      </c>
      <c r="S451" s="4">
        <v>1365</v>
      </c>
      <c r="T451" s="50">
        <f t="shared" ref="T451:T502" si="967">IF(S451="","",S451-S447)</f>
        <v>0</v>
      </c>
      <c r="U451" s="4">
        <v>15</v>
      </c>
      <c r="V451" s="4">
        <f t="shared" ref="V451:V502" si="968">IF(U451="","",U447+W447-U451)</f>
        <v>0</v>
      </c>
      <c r="W451" s="51">
        <v>-3</v>
      </c>
      <c r="X451" s="3" t="str">
        <f>IF(Q451="","",X447)</f>
        <v>香水coach</v>
      </c>
      <c r="Y451" s="39">
        <f>IF(R451="","",Y447)</f>
        <v>1100</v>
      </c>
      <c r="Z451" s="50">
        <f t="shared" si="959"/>
        <v>0</v>
      </c>
      <c r="AA451" s="52">
        <f t="shared" si="960"/>
        <v>0</v>
      </c>
      <c r="AB451" s="29"/>
      <c r="AD451" s="80">
        <f>IF($A$451="","",$A$451)</f>
        <v>45905</v>
      </c>
      <c r="AE451" s="4">
        <v>11481</v>
      </c>
      <c r="AF451" s="4">
        <f>IF(AE451="","",AE451-AE447)</f>
        <v>0</v>
      </c>
      <c r="AG451" s="4">
        <v>883</v>
      </c>
      <c r="AH451" s="50">
        <f>IF(AG451="","",AG451-AG447)</f>
        <v>0</v>
      </c>
      <c r="AI451" s="4">
        <v>10</v>
      </c>
      <c r="AJ451" s="4">
        <f>IF(AI451="","",AI447+AK447-AI451)</f>
        <v>0</v>
      </c>
      <c r="AK451" s="51">
        <v>0</v>
      </c>
      <c r="AL451" s="31" t="str">
        <f t="shared" ref="AL451:AM462" si="969">IF(AE451="","",AL447)</f>
        <v>スティッチキーケース</v>
      </c>
      <c r="AM451" s="27">
        <f t="shared" si="969"/>
        <v>490</v>
      </c>
      <c r="AN451" s="50">
        <f t="shared" ref="AN451:AN502" si="970">IF(AI451="","",AJ451*AM451)</f>
        <v>0</v>
      </c>
      <c r="AO451" s="52" t="e">
        <f t="shared" ref="AO451:AO502" si="971">IF(AJ451="","",AN451/(AF451*100))</f>
        <v>#DIV/0!</v>
      </c>
      <c r="AP451" s="29"/>
      <c r="AR451" s="80">
        <f>IF($A$451="","",$A$451)</f>
        <v>45905</v>
      </c>
      <c r="AS451" s="4">
        <v>7598</v>
      </c>
      <c r="AT451" s="4">
        <f>IF(AS451="","",AS451-AS447)</f>
        <v>0</v>
      </c>
      <c r="AU451" s="4">
        <v>453</v>
      </c>
      <c r="AV451" s="50">
        <f>IF(AU451="","",AU451-AU447)</f>
        <v>0</v>
      </c>
      <c r="AW451" s="4">
        <v>9</v>
      </c>
      <c r="AX451" s="4">
        <f>IF(AW451="","",AW447+AY447-AW451)</f>
        <v>0</v>
      </c>
      <c r="AY451" s="51">
        <v>0</v>
      </c>
      <c r="AZ451" s="31" t="str">
        <f t="shared" ref="AZ451:BA462" si="972">IF(AS451="","",AZ447)</f>
        <v>デジタルミニカメラ</v>
      </c>
      <c r="BA451" s="27">
        <f t="shared" si="972"/>
        <v>729</v>
      </c>
      <c r="BB451" s="50">
        <f t="shared" ref="BB451:BB502" si="973">IF(AW451="","",AX451*BA451)</f>
        <v>0</v>
      </c>
      <c r="BC451" s="52" t="e">
        <f t="shared" ref="BC451:BC502" si="974">IF(AX451="","",BB451/(AT451*100))</f>
        <v>#DIV/0!</v>
      </c>
      <c r="BD451" s="29"/>
    </row>
    <row r="452" spans="1:56" x14ac:dyDescent="0.2">
      <c r="A452" s="56"/>
      <c r="B452" s="55"/>
      <c r="C452" s="5">
        <v>15710</v>
      </c>
      <c r="D452" s="5">
        <f t="shared" si="961"/>
        <v>295</v>
      </c>
      <c r="E452" s="5">
        <v>493</v>
      </c>
      <c r="F452" s="5">
        <f t="shared" si="962"/>
        <v>1</v>
      </c>
      <c r="G452" s="5">
        <v>15</v>
      </c>
      <c r="H452" s="5">
        <f t="shared" si="963"/>
        <v>6</v>
      </c>
      <c r="I452" s="35">
        <v>16</v>
      </c>
      <c r="J452" s="3" t="str">
        <f>IF(C452="","",J448)</f>
        <v>電ブル</v>
      </c>
      <c r="K452" s="39">
        <f>IF(D452="","",K448)</f>
        <v>275</v>
      </c>
      <c r="L452" s="5">
        <f t="shared" si="964"/>
        <v>1650</v>
      </c>
      <c r="M452" s="36">
        <f t="shared" si="965"/>
        <v>5.5932203389830508E-2</v>
      </c>
      <c r="N452" s="29"/>
      <c r="O452" s="30"/>
      <c r="P452" s="56"/>
      <c r="Q452" s="5">
        <v>12826</v>
      </c>
      <c r="R452" s="5">
        <f t="shared" si="966"/>
        <v>314</v>
      </c>
      <c r="S452" s="5">
        <v>471</v>
      </c>
      <c r="T452" s="5">
        <f t="shared" si="967"/>
        <v>0</v>
      </c>
      <c r="U452" s="5">
        <v>6</v>
      </c>
      <c r="V452" s="5">
        <f t="shared" si="968"/>
        <v>0</v>
      </c>
      <c r="W452" s="35">
        <v>0</v>
      </c>
      <c r="X452" s="3" t="s">
        <v>42</v>
      </c>
      <c r="Y452" s="39">
        <v>600</v>
      </c>
      <c r="Z452" s="5">
        <f t="shared" si="959"/>
        <v>0</v>
      </c>
      <c r="AA452" s="36">
        <f t="shared" si="960"/>
        <v>0</v>
      </c>
      <c r="AB452" s="29"/>
      <c r="AD452" s="56"/>
      <c r="AE452" s="5">
        <v>10516</v>
      </c>
      <c r="AF452" s="5">
        <f>IF(AE452="","",AE452-AE448)</f>
        <v>0</v>
      </c>
      <c r="AG452" s="5">
        <v>755</v>
      </c>
      <c r="AH452" s="5">
        <f>IF(AG452="","",AG452-AG448)</f>
        <v>0</v>
      </c>
      <c r="AI452" s="5">
        <v>14</v>
      </c>
      <c r="AJ452" s="5">
        <f>IF(AI452="","",AI448+AK448-AI452)</f>
        <v>0</v>
      </c>
      <c r="AK452" s="35">
        <v>0</v>
      </c>
      <c r="AL452" s="38" t="str">
        <f t="shared" si="969"/>
        <v>ジャグラーサウンドフラッシュ</v>
      </c>
      <c r="AM452" s="39">
        <f t="shared" si="969"/>
        <v>748</v>
      </c>
      <c r="AN452" s="5">
        <f t="shared" si="970"/>
        <v>0</v>
      </c>
      <c r="AO452" s="36" t="e">
        <f t="shared" si="971"/>
        <v>#DIV/0!</v>
      </c>
      <c r="AP452" s="29"/>
      <c r="AR452" s="56"/>
      <c r="AS452" s="4">
        <v>9395</v>
      </c>
      <c r="AT452" s="5">
        <f>IF(AS452="","",AS452-AS448)</f>
        <v>0</v>
      </c>
      <c r="AU452" s="4">
        <v>500</v>
      </c>
      <c r="AV452" s="5">
        <f>IF(AU452="","",AU452-AU448)</f>
        <v>0</v>
      </c>
      <c r="AW452" s="5">
        <v>13</v>
      </c>
      <c r="AX452" s="5">
        <f>IF(AW452="","",AW448+AY448-AW452)</f>
        <v>0</v>
      </c>
      <c r="AY452" s="35">
        <v>0</v>
      </c>
      <c r="AZ452" s="38" t="str">
        <f t="shared" si="972"/>
        <v>クーリッシュイヤホン</v>
      </c>
      <c r="BA452" s="39">
        <f t="shared" si="972"/>
        <v>1100</v>
      </c>
      <c r="BB452" s="5">
        <f t="shared" si="973"/>
        <v>0</v>
      </c>
      <c r="BC452" s="36" t="e">
        <f t="shared" si="974"/>
        <v>#DIV/0!</v>
      </c>
      <c r="BD452" s="29"/>
    </row>
    <row r="453" spans="1:56" x14ac:dyDescent="0.2">
      <c r="A453" s="56"/>
      <c r="B453" s="55"/>
      <c r="C453" s="5">
        <v>14032</v>
      </c>
      <c r="D453" s="5">
        <f t="shared" si="961"/>
        <v>695</v>
      </c>
      <c r="E453" s="5">
        <v>561</v>
      </c>
      <c r="F453" s="5">
        <f t="shared" si="962"/>
        <v>1</v>
      </c>
      <c r="G453" s="5">
        <v>3</v>
      </c>
      <c r="H453" s="5">
        <f t="shared" si="963"/>
        <v>6</v>
      </c>
      <c r="I453" s="35">
        <v>1</v>
      </c>
      <c r="J453" s="3" t="str">
        <f>IF(C453="","",J449)</f>
        <v>サンリオファン</v>
      </c>
      <c r="K453" s="39">
        <f>IF(D453="","",K449)</f>
        <v>1100</v>
      </c>
      <c r="L453" s="5">
        <f t="shared" si="964"/>
        <v>6600</v>
      </c>
      <c r="M453" s="36">
        <f t="shared" si="965"/>
        <v>9.4964028776978418E-2</v>
      </c>
      <c r="N453" s="29"/>
      <c r="O453" s="30"/>
      <c r="P453" s="56"/>
      <c r="Q453" s="5">
        <v>12089</v>
      </c>
      <c r="R453" s="5">
        <f t="shared" si="966"/>
        <v>422</v>
      </c>
      <c r="S453" s="5">
        <v>831</v>
      </c>
      <c r="T453" s="5">
        <f t="shared" si="967"/>
        <v>0</v>
      </c>
      <c r="U453" s="5">
        <v>78</v>
      </c>
      <c r="V453" s="5">
        <f t="shared" si="968"/>
        <v>0</v>
      </c>
      <c r="W453" s="35">
        <v>0</v>
      </c>
      <c r="X453" s="3" t="str">
        <f t="shared" ref="X453:Y462" si="975">IF(Q453="","",X449)</f>
        <v>AIラバー</v>
      </c>
      <c r="Y453" s="39">
        <f t="shared" si="975"/>
        <v>198</v>
      </c>
      <c r="Z453" s="5">
        <f t="shared" si="959"/>
        <v>0</v>
      </c>
      <c r="AA453" s="36">
        <f t="shared" si="960"/>
        <v>0</v>
      </c>
      <c r="AB453" s="29"/>
      <c r="AD453" s="56"/>
      <c r="AE453" s="5">
        <v>13785</v>
      </c>
      <c r="AF453" s="5">
        <f>IF(AE453="","",AE453-AE449)</f>
        <v>0</v>
      </c>
      <c r="AG453" s="5">
        <v>2381</v>
      </c>
      <c r="AH453" s="5">
        <f>IF(AG453="","",AG453-AG449)</f>
        <v>0</v>
      </c>
      <c r="AI453" s="5">
        <v>10</v>
      </c>
      <c r="AJ453" s="5">
        <f>IF(AI453="","",AI449+AK449-AI453)</f>
        <v>0</v>
      </c>
      <c r="AK453" s="35">
        <v>0</v>
      </c>
      <c r="AL453" s="38" t="str">
        <f t="shared" si="969"/>
        <v>サンリオギャルキーケース</v>
      </c>
      <c r="AM453" s="5">
        <f t="shared" si="969"/>
        <v>660</v>
      </c>
      <c r="AN453" s="5">
        <f t="shared" si="970"/>
        <v>0</v>
      </c>
      <c r="AO453" s="36" t="e">
        <f t="shared" si="971"/>
        <v>#DIV/0!</v>
      </c>
      <c r="AP453" s="29"/>
      <c r="AR453" s="56"/>
      <c r="AS453" s="4">
        <v>11963</v>
      </c>
      <c r="AT453" s="5">
        <f>IF(AS453="","",AS453-AS449)</f>
        <v>0</v>
      </c>
      <c r="AU453" s="4">
        <v>726</v>
      </c>
      <c r="AV453" s="5">
        <f>IF(AU453="","",AU453-AU449)</f>
        <v>0</v>
      </c>
      <c r="AW453" s="5">
        <v>10</v>
      </c>
      <c r="AX453" s="5">
        <f>IF(AW453="","",AW449+AY449-AW453)</f>
        <v>0</v>
      </c>
      <c r="AY453" s="35">
        <v>0</v>
      </c>
      <c r="AZ453" s="38" t="str">
        <f t="shared" si="972"/>
        <v>モンチッチマスコット</v>
      </c>
      <c r="BA453" s="5">
        <f t="shared" si="972"/>
        <v>528</v>
      </c>
      <c r="BB453" s="5">
        <f t="shared" si="973"/>
        <v>0</v>
      </c>
      <c r="BC453" s="36" t="e">
        <f t="shared" si="974"/>
        <v>#DIV/0!</v>
      </c>
      <c r="BD453" s="29"/>
    </row>
    <row r="454" spans="1:56" ht="15" customHeight="1" thickBot="1" x14ac:dyDescent="0.25">
      <c r="A454" s="67"/>
      <c r="B454" s="42"/>
      <c r="C454" s="137">
        <v>10798</v>
      </c>
      <c r="D454" s="61">
        <f t="shared" si="961"/>
        <v>317</v>
      </c>
      <c r="E454" s="61">
        <v>1140</v>
      </c>
      <c r="F454" s="44">
        <f t="shared" si="962"/>
        <v>3</v>
      </c>
      <c r="G454" s="44">
        <v>9</v>
      </c>
      <c r="H454" s="44">
        <f t="shared" si="963"/>
        <v>3</v>
      </c>
      <c r="I454" s="62">
        <v>4</v>
      </c>
      <c r="J454" s="45" t="s">
        <v>46</v>
      </c>
      <c r="K454" s="61">
        <v>660</v>
      </c>
      <c r="L454" s="44">
        <f t="shared" si="964"/>
        <v>1980</v>
      </c>
      <c r="M454" s="46">
        <f t="shared" si="965"/>
        <v>6.2460567823343846E-2</v>
      </c>
      <c r="N454" s="29"/>
      <c r="O454" s="30"/>
      <c r="P454" s="67"/>
      <c r="Q454" s="137">
        <v>10454</v>
      </c>
      <c r="R454" s="61">
        <f t="shared" si="966"/>
        <v>283</v>
      </c>
      <c r="S454" s="61">
        <v>1021</v>
      </c>
      <c r="T454" s="44">
        <f t="shared" si="967"/>
        <v>2</v>
      </c>
      <c r="U454" s="44">
        <v>7</v>
      </c>
      <c r="V454" s="44">
        <f t="shared" si="968"/>
        <v>3</v>
      </c>
      <c r="W454" s="62">
        <v>3</v>
      </c>
      <c r="X454" s="45" t="str">
        <f t="shared" si="975"/>
        <v>AIマスコット</v>
      </c>
      <c r="Y454" s="61">
        <f t="shared" si="975"/>
        <v>286</v>
      </c>
      <c r="Z454" s="44">
        <f t="shared" si="959"/>
        <v>858</v>
      </c>
      <c r="AA454" s="46">
        <f t="shared" si="960"/>
        <v>3.0318021201413428E-2</v>
      </c>
      <c r="AB454" s="29"/>
      <c r="AD454" s="67"/>
      <c r="AE454" s="137">
        <v>13049</v>
      </c>
      <c r="AF454" s="61">
        <f>IF(AE454="","",AE454-AE450)</f>
        <v>0</v>
      </c>
      <c r="AG454" s="61">
        <v>1503</v>
      </c>
      <c r="AH454" s="44">
        <f>IF(AG454="","",AG454-AG450)</f>
        <v>0</v>
      </c>
      <c r="AI454" s="44">
        <v>9</v>
      </c>
      <c r="AJ454" s="44">
        <f>IF(AI454="","",AI450+AK450-AI454)</f>
        <v>0</v>
      </c>
      <c r="AK454" s="62">
        <v>0</v>
      </c>
      <c r="AL454" s="47" t="str">
        <f t="shared" si="969"/>
        <v>ピクミンマスコット</v>
      </c>
      <c r="AM454" s="61">
        <f t="shared" si="969"/>
        <v>748</v>
      </c>
      <c r="AN454" s="44">
        <f t="shared" si="970"/>
        <v>0</v>
      </c>
      <c r="AO454" s="46" t="e">
        <f t="shared" si="971"/>
        <v>#DIV/0!</v>
      </c>
      <c r="AP454" s="29"/>
      <c r="AR454" s="67"/>
      <c r="AS454" s="43">
        <v>10004</v>
      </c>
      <c r="AT454" s="61">
        <f>IF(AS454="","",AS454-AS450)</f>
        <v>0</v>
      </c>
      <c r="AU454" s="43">
        <v>783</v>
      </c>
      <c r="AV454" s="44">
        <f>IF(AU454="","",AU454-AU450)</f>
        <v>0</v>
      </c>
      <c r="AW454" s="44">
        <v>7</v>
      </c>
      <c r="AX454" s="44">
        <f>IF(AW454="","",AW450+AY450-AW454)</f>
        <v>0</v>
      </c>
      <c r="AY454" s="62">
        <v>0</v>
      </c>
      <c r="AZ454" s="47" t="str">
        <f t="shared" si="972"/>
        <v>ジョージファン</v>
      </c>
      <c r="BA454" s="61">
        <f t="shared" si="972"/>
        <v>1100</v>
      </c>
      <c r="BB454" s="44">
        <f t="shared" si="973"/>
        <v>0</v>
      </c>
      <c r="BC454" s="46" t="e">
        <f t="shared" si="974"/>
        <v>#DIV/0!</v>
      </c>
      <c r="BD454" s="29"/>
    </row>
    <row r="455" spans="1:56" ht="15" customHeight="1" thickTop="1" x14ac:dyDescent="0.2">
      <c r="A455" s="49">
        <v>45909</v>
      </c>
      <c r="B455" s="26">
        <f>SUM(D455:D458)+SUM(R455:R458)+SUM(AF455:AF458)+SUM(AT455:AT458)</f>
        <v>597</v>
      </c>
      <c r="C455" s="4">
        <v>14095</v>
      </c>
      <c r="D455" s="4">
        <f t="shared" si="961"/>
        <v>59</v>
      </c>
      <c r="E455" s="4">
        <v>1020</v>
      </c>
      <c r="F455" s="50">
        <f t="shared" si="962"/>
        <v>2</v>
      </c>
      <c r="G455" s="4">
        <v>6</v>
      </c>
      <c r="H455" s="4">
        <f t="shared" si="963"/>
        <v>2</v>
      </c>
      <c r="I455" s="51">
        <v>0</v>
      </c>
      <c r="J455" s="31" t="str">
        <f t="shared" ref="J455:K462" si="976">IF(C455="","",J451)</f>
        <v>サンリオトイカメラ</v>
      </c>
      <c r="K455" s="27">
        <f t="shared" si="976"/>
        <v>1015</v>
      </c>
      <c r="L455" s="50">
        <f t="shared" si="964"/>
        <v>2030</v>
      </c>
      <c r="M455" s="52">
        <f t="shared" si="965"/>
        <v>0.34406779661016951</v>
      </c>
      <c r="N455" s="29"/>
      <c r="O455" s="30"/>
      <c r="P455" s="80">
        <f>IF($A$455="","",$A$455)</f>
        <v>45909</v>
      </c>
      <c r="Q455" s="4">
        <v>13193</v>
      </c>
      <c r="R455" s="4">
        <f t="shared" si="966"/>
        <v>63</v>
      </c>
      <c r="S455" s="4">
        <v>1366</v>
      </c>
      <c r="T455" s="50">
        <f t="shared" si="967"/>
        <v>1</v>
      </c>
      <c r="U455" s="4">
        <v>11</v>
      </c>
      <c r="V455" s="4">
        <f t="shared" si="968"/>
        <v>1</v>
      </c>
      <c r="W455" s="51"/>
      <c r="X455" s="31" t="str">
        <f t="shared" si="975"/>
        <v>香水coach</v>
      </c>
      <c r="Y455" s="27">
        <f t="shared" si="975"/>
        <v>1100</v>
      </c>
      <c r="Z455" s="50">
        <f t="shared" si="959"/>
        <v>1100</v>
      </c>
      <c r="AA455" s="52">
        <f t="shared" si="960"/>
        <v>0.17460317460317459</v>
      </c>
      <c r="AB455" s="29"/>
      <c r="AD455" s="80">
        <f>IF($A$455="","",$A$455)</f>
        <v>45909</v>
      </c>
      <c r="AE455" s="4">
        <v>11481</v>
      </c>
      <c r="AF455" s="4">
        <v>0</v>
      </c>
      <c r="AG455" s="4">
        <v>883</v>
      </c>
      <c r="AH455" s="50">
        <v>0</v>
      </c>
      <c r="AI455" s="4">
        <v>10</v>
      </c>
      <c r="AJ455" s="4">
        <v>0</v>
      </c>
      <c r="AK455" s="51">
        <v>0</v>
      </c>
      <c r="AL455" s="31" t="str">
        <f t="shared" si="969"/>
        <v>スティッチキーケース</v>
      </c>
      <c r="AM455" s="27">
        <f t="shared" si="969"/>
        <v>490</v>
      </c>
      <c r="AN455" s="50">
        <f t="shared" si="970"/>
        <v>0</v>
      </c>
      <c r="AO455" s="52" t="e">
        <f t="shared" si="971"/>
        <v>#DIV/0!</v>
      </c>
      <c r="AP455" s="29"/>
      <c r="AR455" s="80">
        <f>IF($A$455="","",$A$455)</f>
        <v>45909</v>
      </c>
      <c r="AS455" s="4">
        <v>7598</v>
      </c>
      <c r="AT455" s="4">
        <v>0</v>
      </c>
      <c r="AU455" s="4">
        <v>453</v>
      </c>
      <c r="AV455" s="50">
        <v>0</v>
      </c>
      <c r="AW455" s="4">
        <v>9</v>
      </c>
      <c r="AX455" s="4">
        <v>0</v>
      </c>
      <c r="AY455" s="51">
        <v>0</v>
      </c>
      <c r="AZ455" s="31" t="str">
        <f t="shared" si="972"/>
        <v>デジタルミニカメラ</v>
      </c>
      <c r="BA455" s="27">
        <f t="shared" si="972"/>
        <v>729</v>
      </c>
      <c r="BB455" s="50">
        <f t="shared" si="973"/>
        <v>0</v>
      </c>
      <c r="BC455" s="52" t="e">
        <f t="shared" si="974"/>
        <v>#DIV/0!</v>
      </c>
      <c r="BD455" s="29"/>
    </row>
    <row r="456" spans="1:56" x14ac:dyDescent="0.2">
      <c r="A456" s="54"/>
      <c r="B456" s="26"/>
      <c r="C456" s="4">
        <v>15780</v>
      </c>
      <c r="D456" s="5">
        <f t="shared" si="961"/>
        <v>70</v>
      </c>
      <c r="E456" s="5">
        <v>501</v>
      </c>
      <c r="F456" s="5">
        <f t="shared" si="962"/>
        <v>8</v>
      </c>
      <c r="G456" s="5">
        <v>23</v>
      </c>
      <c r="H456" s="5">
        <f t="shared" si="963"/>
        <v>8</v>
      </c>
      <c r="I456" s="35"/>
      <c r="J456" s="38" t="str">
        <f t="shared" si="976"/>
        <v>電ブル</v>
      </c>
      <c r="K456" s="39">
        <f t="shared" si="976"/>
        <v>275</v>
      </c>
      <c r="L456" s="5">
        <f t="shared" si="964"/>
        <v>2200</v>
      </c>
      <c r="M456" s="36">
        <f t="shared" si="965"/>
        <v>0.31428571428571428</v>
      </c>
      <c r="N456" s="29"/>
      <c r="O456" s="30"/>
      <c r="P456" s="25"/>
      <c r="Q456" s="4">
        <v>12889</v>
      </c>
      <c r="R456" s="5">
        <f t="shared" si="966"/>
        <v>63</v>
      </c>
      <c r="S456" s="5">
        <v>472</v>
      </c>
      <c r="T456" s="5">
        <f t="shared" si="967"/>
        <v>1</v>
      </c>
      <c r="U456" s="5">
        <v>5</v>
      </c>
      <c r="V456" s="5">
        <f t="shared" si="968"/>
        <v>1</v>
      </c>
      <c r="W456" s="35"/>
      <c r="X456" s="38" t="str">
        <f t="shared" si="975"/>
        <v>サンリオミニリュックチャーム付</v>
      </c>
      <c r="Y456" s="39">
        <f t="shared" si="975"/>
        <v>600</v>
      </c>
      <c r="Z456" s="5">
        <f t="shared" si="959"/>
        <v>600</v>
      </c>
      <c r="AA456" s="36">
        <f t="shared" si="960"/>
        <v>9.5238095238095233E-2</v>
      </c>
      <c r="AB456" s="29"/>
      <c r="AD456" s="25"/>
      <c r="AE456" s="4">
        <v>10516</v>
      </c>
      <c r="AF456" s="5">
        <v>0</v>
      </c>
      <c r="AG456" s="5">
        <v>755</v>
      </c>
      <c r="AH456" s="5">
        <v>0</v>
      </c>
      <c r="AI456" s="5">
        <v>14</v>
      </c>
      <c r="AJ456" s="5">
        <v>0</v>
      </c>
      <c r="AK456" s="35">
        <v>0</v>
      </c>
      <c r="AL456" s="38" t="str">
        <f t="shared" si="969"/>
        <v>ジャグラーサウンドフラッシュ</v>
      </c>
      <c r="AM456" s="39">
        <f t="shared" si="969"/>
        <v>748</v>
      </c>
      <c r="AN456" s="5">
        <f t="shared" si="970"/>
        <v>0</v>
      </c>
      <c r="AO456" s="36" t="e">
        <f t="shared" si="971"/>
        <v>#DIV/0!</v>
      </c>
      <c r="AP456" s="29"/>
      <c r="AR456" s="25"/>
      <c r="AS456" s="4">
        <v>9395</v>
      </c>
      <c r="AT456" s="5">
        <v>0</v>
      </c>
      <c r="AU456" s="4">
        <v>500</v>
      </c>
      <c r="AV456" s="5">
        <v>0</v>
      </c>
      <c r="AW456" s="5">
        <v>13</v>
      </c>
      <c r="AX456" s="5">
        <v>0</v>
      </c>
      <c r="AY456" s="35">
        <v>0</v>
      </c>
      <c r="AZ456" s="38" t="str">
        <f t="shared" si="972"/>
        <v>クーリッシュイヤホン</v>
      </c>
      <c r="BA456" s="39">
        <f t="shared" si="972"/>
        <v>1100</v>
      </c>
      <c r="BB456" s="5">
        <f t="shared" si="973"/>
        <v>0</v>
      </c>
      <c r="BC456" s="36" t="e">
        <f t="shared" si="974"/>
        <v>#DIV/0!</v>
      </c>
      <c r="BD456" s="29"/>
    </row>
    <row r="457" spans="1:56" x14ac:dyDescent="0.2">
      <c r="A457" s="54"/>
      <c r="B457" s="64"/>
      <c r="C457" s="57">
        <v>14146</v>
      </c>
      <c r="D457" s="5">
        <f t="shared" si="961"/>
        <v>114</v>
      </c>
      <c r="E457" s="5">
        <v>562</v>
      </c>
      <c r="F457" s="5">
        <f t="shared" si="962"/>
        <v>1</v>
      </c>
      <c r="G457" s="5">
        <v>3</v>
      </c>
      <c r="H457" s="5">
        <f t="shared" si="963"/>
        <v>1</v>
      </c>
      <c r="I457" s="35">
        <v>2</v>
      </c>
      <c r="J457" s="38" t="str">
        <f t="shared" si="976"/>
        <v>サンリオファン</v>
      </c>
      <c r="K457" s="5">
        <f t="shared" si="976"/>
        <v>1100</v>
      </c>
      <c r="L457" s="5">
        <f t="shared" si="964"/>
        <v>1100</v>
      </c>
      <c r="M457" s="36">
        <f t="shared" si="965"/>
        <v>9.6491228070175433E-2</v>
      </c>
      <c r="N457" s="29"/>
      <c r="O457" s="30"/>
      <c r="P457" s="25"/>
      <c r="Q457" s="57">
        <v>12188</v>
      </c>
      <c r="R457" s="5">
        <f t="shared" si="966"/>
        <v>99</v>
      </c>
      <c r="S457" s="5">
        <v>833</v>
      </c>
      <c r="T457" s="5">
        <f t="shared" si="967"/>
        <v>2</v>
      </c>
      <c r="U457" s="5">
        <v>76</v>
      </c>
      <c r="V457" s="5">
        <f t="shared" si="968"/>
        <v>2</v>
      </c>
      <c r="W457" s="35"/>
      <c r="X457" s="38" t="str">
        <f t="shared" si="975"/>
        <v>AIラバー</v>
      </c>
      <c r="Y457" s="5">
        <f t="shared" si="975"/>
        <v>198</v>
      </c>
      <c r="Z457" s="5">
        <f t="shared" si="959"/>
        <v>396</v>
      </c>
      <c r="AA457" s="36">
        <f t="shared" si="960"/>
        <v>0.04</v>
      </c>
      <c r="AB457" s="29"/>
      <c r="AD457" s="25"/>
      <c r="AE457" s="57">
        <v>13785</v>
      </c>
      <c r="AF457" s="5">
        <v>0</v>
      </c>
      <c r="AG457" s="5">
        <v>2381</v>
      </c>
      <c r="AH457" s="5">
        <v>0</v>
      </c>
      <c r="AI457" s="5">
        <v>10</v>
      </c>
      <c r="AJ457" s="5">
        <v>0</v>
      </c>
      <c r="AK457" s="35">
        <v>0</v>
      </c>
      <c r="AL457" s="38" t="str">
        <f t="shared" si="969"/>
        <v>サンリオギャルキーケース</v>
      </c>
      <c r="AM457" s="5">
        <f t="shared" si="969"/>
        <v>660</v>
      </c>
      <c r="AN457" s="5">
        <f t="shared" si="970"/>
        <v>0</v>
      </c>
      <c r="AO457" s="36" t="e">
        <f t="shared" si="971"/>
        <v>#DIV/0!</v>
      </c>
      <c r="AP457" s="29"/>
      <c r="AR457" s="25"/>
      <c r="AS457" s="4">
        <v>11963</v>
      </c>
      <c r="AT457" s="5">
        <v>0</v>
      </c>
      <c r="AU457" s="4">
        <v>726</v>
      </c>
      <c r="AV457" s="5">
        <v>0</v>
      </c>
      <c r="AW457" s="5">
        <v>10</v>
      </c>
      <c r="AX457" s="5">
        <v>0</v>
      </c>
      <c r="AY457" s="35">
        <v>0</v>
      </c>
      <c r="AZ457" s="38" t="str">
        <f t="shared" si="972"/>
        <v>モンチッチマスコット</v>
      </c>
      <c r="BA457" s="5">
        <f t="shared" si="972"/>
        <v>528</v>
      </c>
      <c r="BB457" s="5">
        <f t="shared" si="973"/>
        <v>0</v>
      </c>
      <c r="BC457" s="36" t="e">
        <f t="shared" si="974"/>
        <v>#DIV/0!</v>
      </c>
      <c r="BD457" s="29"/>
    </row>
    <row r="458" spans="1:56" ht="15" customHeight="1" thickBot="1" x14ac:dyDescent="0.25">
      <c r="A458" s="65"/>
      <c r="B458" s="66"/>
      <c r="C458" s="43">
        <v>10856</v>
      </c>
      <c r="D458" s="61">
        <f t="shared" si="961"/>
        <v>58</v>
      </c>
      <c r="E458" s="44">
        <v>1145</v>
      </c>
      <c r="F458" s="44">
        <f t="shared" si="962"/>
        <v>5</v>
      </c>
      <c r="G458" s="44">
        <v>8</v>
      </c>
      <c r="H458" s="44">
        <f t="shared" si="963"/>
        <v>5</v>
      </c>
      <c r="I458" s="62">
        <v>4</v>
      </c>
      <c r="J458" s="47" t="str">
        <f t="shared" si="976"/>
        <v>サンリオヘアパッチンピン</v>
      </c>
      <c r="K458" s="61">
        <f t="shared" si="976"/>
        <v>660</v>
      </c>
      <c r="L458" s="44">
        <f t="shared" si="964"/>
        <v>3300</v>
      </c>
      <c r="M458" s="46">
        <f t="shared" si="965"/>
        <v>0.56896551724137934</v>
      </c>
      <c r="N458" s="29"/>
      <c r="O458" s="30"/>
      <c r="P458" s="67"/>
      <c r="Q458" s="43">
        <v>10525</v>
      </c>
      <c r="R458" s="61">
        <f t="shared" si="966"/>
        <v>71</v>
      </c>
      <c r="S458" s="44">
        <v>1022</v>
      </c>
      <c r="T458" s="44">
        <f t="shared" si="967"/>
        <v>1</v>
      </c>
      <c r="U458" s="44">
        <v>9</v>
      </c>
      <c r="V458" s="44">
        <f t="shared" si="968"/>
        <v>1</v>
      </c>
      <c r="W458" s="62"/>
      <c r="X458" s="47" t="str">
        <f t="shared" si="975"/>
        <v>AIマスコット</v>
      </c>
      <c r="Y458" s="61">
        <f t="shared" si="975"/>
        <v>286</v>
      </c>
      <c r="Z458" s="44">
        <f t="shared" si="959"/>
        <v>286</v>
      </c>
      <c r="AA458" s="46">
        <f t="shared" si="960"/>
        <v>4.0281690140845074E-2</v>
      </c>
      <c r="AB458" s="29"/>
      <c r="AD458" s="67"/>
      <c r="AE458" s="43">
        <v>13049</v>
      </c>
      <c r="AF458" s="61">
        <v>0</v>
      </c>
      <c r="AG458" s="44">
        <v>1503</v>
      </c>
      <c r="AH458" s="44">
        <v>0</v>
      </c>
      <c r="AI458" s="44">
        <v>9</v>
      </c>
      <c r="AJ458" s="44">
        <v>0</v>
      </c>
      <c r="AK458" s="62">
        <v>0</v>
      </c>
      <c r="AL458" s="47" t="str">
        <f t="shared" si="969"/>
        <v>ピクミンマスコット</v>
      </c>
      <c r="AM458" s="61">
        <f t="shared" si="969"/>
        <v>748</v>
      </c>
      <c r="AN458" s="44">
        <f t="shared" si="970"/>
        <v>0</v>
      </c>
      <c r="AO458" s="46" t="e">
        <f t="shared" si="971"/>
        <v>#DIV/0!</v>
      </c>
      <c r="AP458" s="29"/>
      <c r="AR458" s="67"/>
      <c r="AS458" s="43">
        <v>10004</v>
      </c>
      <c r="AT458" s="61">
        <v>0</v>
      </c>
      <c r="AU458" s="43">
        <v>783</v>
      </c>
      <c r="AV458" s="44">
        <v>0</v>
      </c>
      <c r="AW458" s="44">
        <v>7</v>
      </c>
      <c r="AX458" s="44">
        <v>0</v>
      </c>
      <c r="AY458" s="62">
        <v>0</v>
      </c>
      <c r="AZ458" s="47" t="str">
        <f t="shared" si="972"/>
        <v>ジョージファン</v>
      </c>
      <c r="BA458" s="61">
        <f t="shared" si="972"/>
        <v>1100</v>
      </c>
      <c r="BB458" s="44">
        <f t="shared" si="973"/>
        <v>0</v>
      </c>
      <c r="BC458" s="46" t="e">
        <f t="shared" si="974"/>
        <v>#DIV/0!</v>
      </c>
      <c r="BD458" s="29"/>
    </row>
    <row r="459" spans="1:56" ht="15" customHeight="1" thickTop="1" x14ac:dyDescent="0.2">
      <c r="A459" s="49">
        <v>45912</v>
      </c>
      <c r="B459" s="26">
        <f>SUM(D459:D462)+SUM(R459:R462)+SUM(AF459:AF462)+SUM(AT459:AT462)</f>
        <v>644</v>
      </c>
      <c r="C459" s="4">
        <v>14112</v>
      </c>
      <c r="D459" s="68">
        <f t="shared" si="961"/>
        <v>17</v>
      </c>
      <c r="E459" s="4">
        <v>1020</v>
      </c>
      <c r="F459" s="50">
        <f t="shared" si="962"/>
        <v>0</v>
      </c>
      <c r="G459" s="4">
        <v>6</v>
      </c>
      <c r="H459" s="4">
        <f t="shared" si="963"/>
        <v>0</v>
      </c>
      <c r="I459" s="51"/>
      <c r="J459" s="31" t="str">
        <f t="shared" si="976"/>
        <v>サンリオトイカメラ</v>
      </c>
      <c r="K459" s="27">
        <f t="shared" si="976"/>
        <v>1015</v>
      </c>
      <c r="L459" s="50">
        <f t="shared" si="964"/>
        <v>0</v>
      </c>
      <c r="M459" s="52">
        <f t="shared" si="965"/>
        <v>0</v>
      </c>
      <c r="N459" s="29"/>
      <c r="O459" s="30"/>
      <c r="P459" s="53">
        <f>IF($A$459="","",$A$459)</f>
        <v>45912</v>
      </c>
      <c r="Q459" s="4">
        <v>13203</v>
      </c>
      <c r="R459" s="68">
        <f t="shared" si="966"/>
        <v>10</v>
      </c>
      <c r="S459" s="4">
        <v>1366</v>
      </c>
      <c r="T459" s="50">
        <f t="shared" si="967"/>
        <v>0</v>
      </c>
      <c r="U459" s="4">
        <v>11</v>
      </c>
      <c r="V459" s="4">
        <f t="shared" si="968"/>
        <v>0</v>
      </c>
      <c r="W459" s="51">
        <v>5</v>
      </c>
      <c r="X459" s="31" t="str">
        <f t="shared" si="975"/>
        <v>香水coach</v>
      </c>
      <c r="Y459" s="27">
        <f t="shared" si="975"/>
        <v>1100</v>
      </c>
      <c r="Z459" s="50">
        <f t="shared" si="959"/>
        <v>0</v>
      </c>
      <c r="AA459" s="52">
        <f t="shared" si="960"/>
        <v>0</v>
      </c>
      <c r="AB459" s="29"/>
      <c r="AD459" s="53">
        <f>IF($A$459="","",$A$459)</f>
        <v>45912</v>
      </c>
      <c r="AE459" s="4">
        <v>11490</v>
      </c>
      <c r="AF459" s="68">
        <f t="shared" ref="AF459:AF502" si="977">IF(AE459="","",AE459-AE455)</f>
        <v>9</v>
      </c>
      <c r="AG459" s="4">
        <v>884</v>
      </c>
      <c r="AH459" s="50">
        <f t="shared" ref="AH459:AH502" si="978">IF(AG459="","",AG459-AG455)</f>
        <v>1</v>
      </c>
      <c r="AI459" s="4">
        <v>9</v>
      </c>
      <c r="AJ459" s="4">
        <f t="shared" ref="AJ459:AJ502" si="979">IF(AI459="","",AI455+AK455-AI459)</f>
        <v>1</v>
      </c>
      <c r="AK459" s="51">
        <v>1</v>
      </c>
      <c r="AL459" s="31" t="str">
        <f t="shared" si="969"/>
        <v>スティッチキーケース</v>
      </c>
      <c r="AM459" s="27">
        <f t="shared" si="969"/>
        <v>490</v>
      </c>
      <c r="AN459" s="50">
        <f t="shared" si="970"/>
        <v>490</v>
      </c>
      <c r="AO459" s="52">
        <f t="shared" si="971"/>
        <v>0.5444444444444444</v>
      </c>
      <c r="AP459" s="29"/>
      <c r="AR459" s="53">
        <f>IF($A$459="","",$A$459)</f>
        <v>45912</v>
      </c>
      <c r="AS459" s="4">
        <v>7685</v>
      </c>
      <c r="AT459" s="4">
        <f t="shared" ref="AT459:AT502" si="980">IF(AS459="","",AS459-AS455)</f>
        <v>87</v>
      </c>
      <c r="AU459" s="4">
        <v>454</v>
      </c>
      <c r="AV459" s="50">
        <f t="shared" ref="AV459:AV502" si="981">IF(AU459="","",AU459-AU455)</f>
        <v>1</v>
      </c>
      <c r="AW459" s="4">
        <v>8</v>
      </c>
      <c r="AX459" s="4">
        <f t="shared" ref="AX459:AX502" si="982">IF(AW459="","",AW455+AY455-AW459)</f>
        <v>1</v>
      </c>
      <c r="AY459" s="51">
        <v>0</v>
      </c>
      <c r="AZ459" s="31" t="str">
        <f t="shared" si="972"/>
        <v>デジタルミニカメラ</v>
      </c>
      <c r="BA459" s="27">
        <f t="shared" si="972"/>
        <v>729</v>
      </c>
      <c r="BB459" s="50">
        <f t="shared" si="973"/>
        <v>729</v>
      </c>
      <c r="BC459" s="52">
        <f t="shared" si="974"/>
        <v>8.3793103448275869E-2</v>
      </c>
      <c r="BD459" s="29"/>
    </row>
    <row r="460" spans="1:56" x14ac:dyDescent="0.2">
      <c r="A460" s="54"/>
      <c r="B460" s="37"/>
      <c r="C460" s="5">
        <v>15818</v>
      </c>
      <c r="D460" s="5">
        <f t="shared" si="961"/>
        <v>38</v>
      </c>
      <c r="E460" s="5">
        <v>507</v>
      </c>
      <c r="F460" s="5">
        <f t="shared" si="962"/>
        <v>6</v>
      </c>
      <c r="G460" s="5">
        <v>16</v>
      </c>
      <c r="H460" s="5">
        <f t="shared" si="963"/>
        <v>7</v>
      </c>
      <c r="I460" s="35"/>
      <c r="J460" s="38" t="str">
        <f t="shared" si="976"/>
        <v>電ブル</v>
      </c>
      <c r="K460" s="39">
        <f t="shared" si="976"/>
        <v>275</v>
      </c>
      <c r="L460" s="5">
        <f t="shared" si="964"/>
        <v>1925</v>
      </c>
      <c r="M460" s="36">
        <f t="shared" si="965"/>
        <v>0.50657894736842102</v>
      </c>
      <c r="N460" s="29"/>
      <c r="O460" s="30"/>
      <c r="P460" s="54"/>
      <c r="Q460" s="5">
        <v>12957</v>
      </c>
      <c r="R460" s="5">
        <f t="shared" si="966"/>
        <v>68</v>
      </c>
      <c r="S460" s="5">
        <v>473</v>
      </c>
      <c r="T460" s="5">
        <f t="shared" si="967"/>
        <v>1</v>
      </c>
      <c r="U460" s="5">
        <v>7</v>
      </c>
      <c r="V460" s="5">
        <f t="shared" si="968"/>
        <v>-2</v>
      </c>
      <c r="W460" s="35">
        <v>2</v>
      </c>
      <c r="X460" s="38" t="str">
        <f t="shared" si="975"/>
        <v>サンリオミニリュックチャーム付</v>
      </c>
      <c r="Y460" s="39">
        <f t="shared" si="975"/>
        <v>600</v>
      </c>
      <c r="Z460" s="5">
        <f t="shared" si="959"/>
        <v>-1200</v>
      </c>
      <c r="AA460" s="36">
        <f t="shared" si="960"/>
        <v>-0.17647058823529413</v>
      </c>
      <c r="AB460" s="29"/>
      <c r="AD460" s="54"/>
      <c r="AE460" s="5">
        <v>10553</v>
      </c>
      <c r="AF460" s="5">
        <f t="shared" si="977"/>
        <v>37</v>
      </c>
      <c r="AG460" s="5">
        <v>756</v>
      </c>
      <c r="AH460" s="5">
        <f t="shared" si="978"/>
        <v>1</v>
      </c>
      <c r="AI460" s="5">
        <v>13</v>
      </c>
      <c r="AJ460" s="5">
        <f t="shared" si="979"/>
        <v>1</v>
      </c>
      <c r="AK460" s="35">
        <v>1</v>
      </c>
      <c r="AL460" s="38" t="str">
        <f t="shared" si="969"/>
        <v>ジャグラーサウンドフラッシュ</v>
      </c>
      <c r="AM460" s="39">
        <f t="shared" si="969"/>
        <v>748</v>
      </c>
      <c r="AN460" s="5">
        <f t="shared" si="970"/>
        <v>748</v>
      </c>
      <c r="AO460" s="36">
        <f t="shared" si="971"/>
        <v>0.20216216216216215</v>
      </c>
      <c r="AP460" s="29"/>
      <c r="AR460" s="54"/>
      <c r="AS460" s="5">
        <v>9418</v>
      </c>
      <c r="AT460" s="5">
        <f t="shared" si="980"/>
        <v>23</v>
      </c>
      <c r="AU460" s="5">
        <v>502</v>
      </c>
      <c r="AV460" s="5">
        <f t="shared" si="981"/>
        <v>2</v>
      </c>
      <c r="AW460" s="5">
        <v>11</v>
      </c>
      <c r="AX460" s="5">
        <f t="shared" si="982"/>
        <v>2</v>
      </c>
      <c r="AY460" s="35">
        <v>0</v>
      </c>
      <c r="AZ460" s="38" t="str">
        <f t="shared" si="972"/>
        <v>クーリッシュイヤホン</v>
      </c>
      <c r="BA460" s="39">
        <f t="shared" si="972"/>
        <v>1100</v>
      </c>
      <c r="BB460" s="5">
        <f t="shared" si="973"/>
        <v>2200</v>
      </c>
      <c r="BC460" s="36">
        <f t="shared" si="974"/>
        <v>0.95652173913043481</v>
      </c>
      <c r="BD460" s="29"/>
    </row>
    <row r="461" spans="1:56" x14ac:dyDescent="0.2">
      <c r="A461" s="138" t="s">
        <v>17</v>
      </c>
      <c r="B461" s="71"/>
      <c r="C461" s="58">
        <v>14186</v>
      </c>
      <c r="D461" s="5">
        <f t="shared" si="961"/>
        <v>40</v>
      </c>
      <c r="E461" s="5">
        <v>562</v>
      </c>
      <c r="F461" s="5">
        <f t="shared" si="962"/>
        <v>0</v>
      </c>
      <c r="G461" s="58">
        <v>4</v>
      </c>
      <c r="H461" s="5">
        <f t="shared" si="963"/>
        <v>1</v>
      </c>
      <c r="I461" s="59">
        <v>1</v>
      </c>
      <c r="J461" s="38" t="str">
        <f t="shared" si="976"/>
        <v>サンリオファン</v>
      </c>
      <c r="K461" s="5">
        <f t="shared" si="976"/>
        <v>1100</v>
      </c>
      <c r="L461" s="5">
        <f t="shared" si="964"/>
        <v>1100</v>
      </c>
      <c r="M461" s="36">
        <f t="shared" si="965"/>
        <v>0.27500000000000002</v>
      </c>
      <c r="N461" s="29"/>
      <c r="P461" s="70"/>
      <c r="Q461" s="58">
        <v>12372</v>
      </c>
      <c r="R461" s="5">
        <f t="shared" si="966"/>
        <v>184</v>
      </c>
      <c r="S461" s="5">
        <v>838</v>
      </c>
      <c r="T461" s="5">
        <f t="shared" si="967"/>
        <v>5</v>
      </c>
      <c r="U461" s="58">
        <v>70</v>
      </c>
      <c r="V461" s="5">
        <f t="shared" si="968"/>
        <v>6</v>
      </c>
      <c r="W461" s="59">
        <v>15</v>
      </c>
      <c r="X461" s="38" t="str">
        <f t="shared" si="975"/>
        <v>AIラバー</v>
      </c>
      <c r="Y461" s="5">
        <f t="shared" si="975"/>
        <v>198</v>
      </c>
      <c r="Z461" s="5">
        <f t="shared" si="959"/>
        <v>1188</v>
      </c>
      <c r="AA461" s="36">
        <f t="shared" si="960"/>
        <v>6.4565217391304344E-2</v>
      </c>
      <c r="AB461" s="29"/>
      <c r="AD461" s="70"/>
      <c r="AE461" s="58">
        <v>13795</v>
      </c>
      <c r="AF461" s="48">
        <f t="shared" si="977"/>
        <v>10</v>
      </c>
      <c r="AG461" s="5">
        <v>2381</v>
      </c>
      <c r="AH461" s="5">
        <f t="shared" si="978"/>
        <v>0</v>
      </c>
      <c r="AI461" s="58">
        <v>10</v>
      </c>
      <c r="AJ461" s="5">
        <f t="shared" si="979"/>
        <v>0</v>
      </c>
      <c r="AK461" s="59">
        <v>0</v>
      </c>
      <c r="AL461" s="38" t="str">
        <f t="shared" si="969"/>
        <v>サンリオギャルキーケース</v>
      </c>
      <c r="AM461" s="5">
        <f t="shared" si="969"/>
        <v>660</v>
      </c>
      <c r="AN461" s="5">
        <f t="shared" si="970"/>
        <v>0</v>
      </c>
      <c r="AO461" s="36">
        <f t="shared" si="971"/>
        <v>0</v>
      </c>
      <c r="AP461" s="29"/>
      <c r="AR461" s="70"/>
      <c r="AS461" s="58">
        <v>11975</v>
      </c>
      <c r="AT461" s="48">
        <f t="shared" si="980"/>
        <v>12</v>
      </c>
      <c r="AU461" s="5">
        <v>726</v>
      </c>
      <c r="AV461" s="5">
        <f t="shared" si="981"/>
        <v>0</v>
      </c>
      <c r="AW461" s="58">
        <v>10</v>
      </c>
      <c r="AX461" s="5">
        <f t="shared" si="982"/>
        <v>0</v>
      </c>
      <c r="AY461" s="59">
        <v>0</v>
      </c>
      <c r="AZ461" s="38" t="str">
        <f t="shared" si="972"/>
        <v>モンチッチマスコット</v>
      </c>
      <c r="BA461" s="5">
        <f t="shared" si="972"/>
        <v>528</v>
      </c>
      <c r="BB461" s="5">
        <f t="shared" si="973"/>
        <v>0</v>
      </c>
      <c r="BC461" s="36">
        <f t="shared" si="974"/>
        <v>0</v>
      </c>
      <c r="BD461" s="29"/>
    </row>
    <row r="462" spans="1:56" ht="15" customHeight="1" thickBot="1" x14ac:dyDescent="0.25">
      <c r="A462" s="60"/>
      <c r="B462" s="73"/>
      <c r="C462" s="44">
        <v>10880</v>
      </c>
      <c r="D462" s="74">
        <f t="shared" si="961"/>
        <v>24</v>
      </c>
      <c r="E462" s="44">
        <v>1145</v>
      </c>
      <c r="F462" s="44">
        <f t="shared" si="962"/>
        <v>0</v>
      </c>
      <c r="G462" s="44">
        <v>12</v>
      </c>
      <c r="H462" s="44">
        <f t="shared" si="963"/>
        <v>0</v>
      </c>
      <c r="I462" s="62">
        <v>0</v>
      </c>
      <c r="J462" s="47" t="str">
        <f t="shared" si="976"/>
        <v>サンリオヘアパッチンピン</v>
      </c>
      <c r="K462" s="61">
        <f t="shared" si="976"/>
        <v>660</v>
      </c>
      <c r="L462" s="44">
        <f t="shared" si="964"/>
        <v>0</v>
      </c>
      <c r="M462" s="46">
        <f t="shared" si="965"/>
        <v>0</v>
      </c>
      <c r="N462" s="29"/>
      <c r="P462" s="60"/>
      <c r="Q462" s="44">
        <v>10580</v>
      </c>
      <c r="R462" s="61">
        <f t="shared" si="966"/>
        <v>55</v>
      </c>
      <c r="S462" s="44">
        <v>1024</v>
      </c>
      <c r="T462" s="44">
        <f t="shared" si="967"/>
        <v>2</v>
      </c>
      <c r="U462" s="44">
        <v>6</v>
      </c>
      <c r="V462" s="44">
        <f t="shared" si="968"/>
        <v>3</v>
      </c>
      <c r="W462" s="62">
        <v>1</v>
      </c>
      <c r="X462" s="47" t="str">
        <f t="shared" si="975"/>
        <v>AIマスコット</v>
      </c>
      <c r="Y462" s="61">
        <f t="shared" si="975"/>
        <v>286</v>
      </c>
      <c r="Z462" s="44">
        <f t="shared" si="959"/>
        <v>858</v>
      </c>
      <c r="AA462" s="46">
        <f t="shared" si="960"/>
        <v>0.156</v>
      </c>
      <c r="AB462" s="29"/>
      <c r="AD462" s="60"/>
      <c r="AE462" s="44">
        <v>13063</v>
      </c>
      <c r="AF462" s="74">
        <f t="shared" si="977"/>
        <v>14</v>
      </c>
      <c r="AG462" s="44">
        <v>1504</v>
      </c>
      <c r="AH462" s="44">
        <f t="shared" si="978"/>
        <v>1</v>
      </c>
      <c r="AI462" s="44">
        <v>8</v>
      </c>
      <c r="AJ462" s="44">
        <f t="shared" si="979"/>
        <v>1</v>
      </c>
      <c r="AK462" s="62">
        <v>0</v>
      </c>
      <c r="AL462" s="47" t="str">
        <f t="shared" si="969"/>
        <v>ピクミンマスコット</v>
      </c>
      <c r="AM462" s="61">
        <f t="shared" si="969"/>
        <v>748</v>
      </c>
      <c r="AN462" s="44">
        <f t="shared" si="970"/>
        <v>748</v>
      </c>
      <c r="AO462" s="46">
        <f t="shared" si="971"/>
        <v>0.53428571428571425</v>
      </c>
      <c r="AP462" s="29"/>
      <c r="AR462" s="60"/>
      <c r="AS462" s="44">
        <v>10020</v>
      </c>
      <c r="AT462" s="74">
        <f t="shared" si="980"/>
        <v>16</v>
      </c>
      <c r="AU462" s="44">
        <v>784</v>
      </c>
      <c r="AV462" s="44">
        <f t="shared" si="981"/>
        <v>1</v>
      </c>
      <c r="AW462" s="44">
        <v>7</v>
      </c>
      <c r="AX462" s="44">
        <f t="shared" si="982"/>
        <v>0</v>
      </c>
      <c r="AY462" s="62">
        <v>0</v>
      </c>
      <c r="AZ462" s="47" t="str">
        <f t="shared" si="972"/>
        <v>ジョージファン</v>
      </c>
      <c r="BA462" s="61">
        <f t="shared" si="972"/>
        <v>1100</v>
      </c>
      <c r="BB462" s="44">
        <f t="shared" si="973"/>
        <v>0</v>
      </c>
      <c r="BC462" s="46">
        <f t="shared" si="974"/>
        <v>0</v>
      </c>
      <c r="BD462" s="29"/>
    </row>
    <row r="463" spans="1:56" ht="15" customHeight="1" thickTop="1" x14ac:dyDescent="0.2">
      <c r="A463" s="49"/>
      <c r="B463" s="26"/>
      <c r="C463" s="4"/>
      <c r="D463" s="68"/>
      <c r="E463" s="4"/>
      <c r="F463" s="50"/>
      <c r="G463" s="4"/>
      <c r="H463" s="4"/>
      <c r="I463" s="51"/>
      <c r="J463" s="31"/>
      <c r="K463" s="27"/>
      <c r="L463" s="50"/>
      <c r="M463" s="52"/>
      <c r="N463" s="29"/>
      <c r="P463" s="53"/>
      <c r="Q463" s="4"/>
      <c r="R463" s="68"/>
      <c r="S463" s="4"/>
      <c r="T463" s="50"/>
      <c r="U463" s="4"/>
      <c r="V463" s="4"/>
      <c r="W463" s="51"/>
      <c r="X463" s="31"/>
      <c r="Y463" s="27"/>
      <c r="Z463" s="50"/>
      <c r="AA463" s="52"/>
      <c r="AB463" s="29"/>
      <c r="AD463" s="53"/>
      <c r="AE463" s="4"/>
      <c r="AF463" s="4"/>
      <c r="AG463" s="4"/>
      <c r="AH463" s="50"/>
      <c r="AI463" s="4"/>
      <c r="AJ463" s="4"/>
      <c r="AK463" s="51"/>
      <c r="AL463" s="31"/>
      <c r="AM463" s="27"/>
      <c r="AN463" s="50"/>
      <c r="AO463" s="52"/>
      <c r="AP463" s="29"/>
      <c r="AR463" s="53"/>
      <c r="AS463" s="4"/>
      <c r="AT463" s="4"/>
      <c r="AU463" s="4"/>
      <c r="AV463" s="50"/>
      <c r="AW463" s="4"/>
      <c r="AX463" s="4"/>
      <c r="AY463" s="51"/>
      <c r="AZ463" s="31"/>
      <c r="BA463" s="27"/>
      <c r="BB463" s="50"/>
      <c r="BC463" s="52"/>
      <c r="BD463" s="29"/>
    </row>
    <row r="464" spans="1:56" x14ac:dyDescent="0.2">
      <c r="A464" s="49"/>
      <c r="B464" s="26"/>
      <c r="C464" s="4"/>
      <c r="D464" s="5"/>
      <c r="E464" s="5"/>
      <c r="F464" s="5"/>
      <c r="G464" s="5"/>
      <c r="H464" s="5"/>
      <c r="I464" s="35"/>
      <c r="J464" s="38"/>
      <c r="K464" s="39"/>
      <c r="L464" s="5"/>
      <c r="M464" s="36"/>
      <c r="N464" s="29"/>
      <c r="P464" s="49"/>
      <c r="Q464" s="4"/>
      <c r="R464" s="5"/>
      <c r="S464" s="5"/>
      <c r="T464" s="5"/>
      <c r="U464" s="5"/>
      <c r="V464" s="5"/>
      <c r="W464" s="35"/>
      <c r="X464" s="38"/>
      <c r="Y464" s="39"/>
      <c r="Z464" s="5"/>
      <c r="AA464" s="36"/>
      <c r="AB464" s="29"/>
      <c r="AD464" s="49"/>
      <c r="AE464" s="4"/>
      <c r="AF464" s="5"/>
      <c r="AG464" s="5"/>
      <c r="AH464" s="5"/>
      <c r="AI464" s="5"/>
      <c r="AJ464" s="5"/>
      <c r="AK464" s="35"/>
      <c r="AL464" s="38"/>
      <c r="AM464" s="39"/>
      <c r="AN464" s="5"/>
      <c r="AO464" s="36"/>
      <c r="AP464" s="29"/>
      <c r="AR464" s="49"/>
      <c r="AS464" s="4"/>
      <c r="AT464" s="5"/>
      <c r="AU464" s="5"/>
      <c r="AV464" s="5"/>
      <c r="AW464" s="5"/>
      <c r="AX464" s="5"/>
      <c r="AY464" s="35"/>
      <c r="AZ464" s="38"/>
      <c r="BA464" s="39"/>
      <c r="BB464" s="5"/>
      <c r="BC464" s="36"/>
      <c r="BD464" s="29"/>
    </row>
    <row r="465" spans="1:56" ht="15" customHeight="1" x14ac:dyDescent="0.2">
      <c r="A465" s="49"/>
      <c r="B465" s="64"/>
      <c r="C465" s="57"/>
      <c r="D465" s="5"/>
      <c r="E465" s="5"/>
      <c r="F465" s="5"/>
      <c r="G465" s="5"/>
      <c r="H465" s="5"/>
      <c r="I465" s="35"/>
      <c r="J465" s="38"/>
      <c r="K465" s="5"/>
      <c r="L465" s="5"/>
      <c r="M465" s="36"/>
      <c r="N465" s="29"/>
      <c r="P465" s="49"/>
      <c r="Q465" s="57"/>
      <c r="R465" s="5"/>
      <c r="S465" s="5"/>
      <c r="T465" s="5"/>
      <c r="U465" s="5"/>
      <c r="V465" s="5"/>
      <c r="W465" s="35"/>
      <c r="X465" s="38"/>
      <c r="Y465" s="5"/>
      <c r="Z465" s="5"/>
      <c r="AA465" s="36"/>
      <c r="AB465" s="29"/>
      <c r="AD465" s="49"/>
      <c r="AE465" s="57"/>
      <c r="AF465" s="5"/>
      <c r="AG465" s="5"/>
      <c r="AH465" s="5"/>
      <c r="AI465" s="5"/>
      <c r="AJ465" s="5"/>
      <c r="AK465" s="35"/>
      <c r="AL465" s="38"/>
      <c r="AM465" s="5"/>
      <c r="AN465" s="5"/>
      <c r="AO465" s="36"/>
      <c r="AP465" s="29"/>
      <c r="AR465" s="49"/>
      <c r="AS465" s="57"/>
      <c r="AT465" s="5"/>
      <c r="AU465" s="5"/>
      <c r="AV465" s="5"/>
      <c r="AW465" s="5"/>
      <c r="AX465" s="5"/>
      <c r="AY465" s="35"/>
      <c r="AZ465" s="38"/>
      <c r="BA465" s="5"/>
      <c r="BB465" s="5"/>
      <c r="BC465" s="36"/>
      <c r="BD465" s="29"/>
    </row>
    <row r="466" spans="1:56" ht="15" customHeight="1" thickBot="1" x14ac:dyDescent="0.25">
      <c r="A466" s="60"/>
      <c r="B466" s="73"/>
      <c r="C466" s="43"/>
      <c r="D466" s="61"/>
      <c r="E466" s="44"/>
      <c r="F466" s="44"/>
      <c r="G466" s="44"/>
      <c r="H466" s="44"/>
      <c r="I466" s="62"/>
      <c r="J466" s="47"/>
      <c r="K466" s="61"/>
      <c r="L466" s="44"/>
      <c r="M466" s="46"/>
      <c r="N466" s="29"/>
      <c r="P466" s="60"/>
      <c r="Q466" s="43"/>
      <c r="R466" s="61"/>
      <c r="S466" s="44"/>
      <c r="T466" s="44"/>
      <c r="U466" s="44"/>
      <c r="V466" s="44"/>
      <c r="W466" s="62"/>
      <c r="X466" s="47"/>
      <c r="Y466" s="61"/>
      <c r="Z466" s="44"/>
      <c r="AA466" s="46"/>
      <c r="AB466" s="29"/>
      <c r="AD466" s="60"/>
      <c r="AE466" s="43"/>
      <c r="AF466" s="61"/>
      <c r="AG466" s="44"/>
      <c r="AH466" s="44"/>
      <c r="AI466" s="44"/>
      <c r="AJ466" s="44"/>
      <c r="AK466" s="62"/>
      <c r="AL466" s="47"/>
      <c r="AM466" s="61"/>
      <c r="AN466" s="44"/>
      <c r="AO466" s="46"/>
      <c r="AP466" s="29"/>
      <c r="AR466" s="60"/>
      <c r="AS466" s="43"/>
      <c r="AT466" s="61"/>
      <c r="AU466" s="44"/>
      <c r="AV466" s="44"/>
      <c r="AW466" s="44"/>
      <c r="AX466" s="44"/>
      <c r="AY466" s="62"/>
      <c r="AZ466" s="47"/>
      <c r="BA466" s="61"/>
      <c r="BB466" s="44"/>
      <c r="BC466" s="46"/>
      <c r="BD466" s="29"/>
    </row>
    <row r="467" spans="1:56" ht="15" customHeight="1" thickTop="1" x14ac:dyDescent="0.2">
      <c r="A467" s="49"/>
      <c r="B467" s="26"/>
      <c r="C467" s="4"/>
      <c r="D467" s="4"/>
      <c r="E467" s="4"/>
      <c r="F467" s="50"/>
      <c r="G467" s="4"/>
      <c r="H467" s="4"/>
      <c r="I467" s="51"/>
      <c r="J467" s="3"/>
      <c r="K467" s="39"/>
      <c r="L467" s="50"/>
      <c r="M467" s="52"/>
      <c r="N467" s="29"/>
      <c r="P467" s="53"/>
      <c r="Q467" s="4"/>
      <c r="R467" s="4"/>
      <c r="S467" s="4"/>
      <c r="T467" s="50"/>
      <c r="U467" s="4"/>
      <c r="V467" s="4"/>
      <c r="W467" s="51"/>
      <c r="X467" s="3"/>
      <c r="Y467" s="39"/>
      <c r="Z467" s="50"/>
      <c r="AA467" s="52"/>
      <c r="AB467" s="29"/>
      <c r="AD467" s="53"/>
      <c r="AE467" s="4"/>
      <c r="AF467" s="4"/>
      <c r="AG467" s="4"/>
      <c r="AH467" s="50"/>
      <c r="AI467" s="4"/>
      <c r="AJ467" s="4"/>
      <c r="AK467" s="51"/>
      <c r="AL467" s="3"/>
      <c r="AM467" s="39"/>
      <c r="AN467" s="50"/>
      <c r="AO467" s="52"/>
      <c r="AP467" s="29"/>
      <c r="AR467" s="53"/>
      <c r="AS467" s="4"/>
      <c r="AT467" s="4"/>
      <c r="AU467" s="4"/>
      <c r="AV467" s="50"/>
      <c r="AW467" s="4"/>
      <c r="AX467" s="4"/>
      <c r="AY467" s="51"/>
      <c r="AZ467" s="3"/>
      <c r="BA467" s="39"/>
      <c r="BB467" s="50"/>
      <c r="BC467" s="52"/>
      <c r="BD467" s="29"/>
    </row>
    <row r="468" spans="1:56" ht="15" customHeight="1" x14ac:dyDescent="0.2">
      <c r="A468" s="54"/>
      <c r="B468" s="37"/>
      <c r="C468" s="5"/>
      <c r="D468" s="5"/>
      <c r="E468" s="5"/>
      <c r="F468" s="5"/>
      <c r="G468" s="5"/>
      <c r="H468" s="5"/>
      <c r="I468" s="35"/>
      <c r="J468" s="3"/>
      <c r="K468" s="39"/>
      <c r="L468" s="5"/>
      <c r="M468" s="36"/>
      <c r="N468" s="29"/>
      <c r="P468" s="54"/>
      <c r="Q468" s="5"/>
      <c r="R468" s="5"/>
      <c r="S468" s="5"/>
      <c r="T468" s="5"/>
      <c r="U468" s="5"/>
      <c r="V468" s="5"/>
      <c r="W468" s="35"/>
      <c r="X468" s="3"/>
      <c r="Y468" s="39"/>
      <c r="Z468" s="5"/>
      <c r="AA468" s="36"/>
      <c r="AB468" s="29"/>
      <c r="AD468" s="54"/>
      <c r="AE468" s="5"/>
      <c r="AF468" s="5"/>
      <c r="AG468" s="5"/>
      <c r="AH468" s="5"/>
      <c r="AI468" s="5"/>
      <c r="AJ468" s="5"/>
      <c r="AK468" s="35"/>
      <c r="AL468" s="3"/>
      <c r="AM468" s="39"/>
      <c r="AN468" s="5"/>
      <c r="AO468" s="36"/>
      <c r="AP468" s="29"/>
      <c r="AR468" s="54"/>
      <c r="AS468" s="5"/>
      <c r="AT468" s="5"/>
      <c r="AU468" s="5"/>
      <c r="AV468" s="5"/>
      <c r="AW468" s="5"/>
      <c r="AX468" s="5"/>
      <c r="AY468" s="35"/>
      <c r="AZ468" s="3"/>
      <c r="BA468" s="39"/>
      <c r="BB468" s="5"/>
      <c r="BC468" s="36"/>
      <c r="BD468" s="29"/>
    </row>
    <row r="469" spans="1:56" ht="15" customHeight="1" x14ac:dyDescent="0.2">
      <c r="A469" s="54"/>
      <c r="B469" s="71"/>
      <c r="C469" s="58"/>
      <c r="D469" s="5"/>
      <c r="E469" s="5"/>
      <c r="F469" s="5"/>
      <c r="G469" s="58"/>
      <c r="H469" s="5"/>
      <c r="I469" s="59"/>
      <c r="J469" s="3"/>
      <c r="K469" s="39"/>
      <c r="L469" s="5"/>
      <c r="M469" s="36"/>
      <c r="N469" s="29"/>
      <c r="P469" s="54"/>
      <c r="Q469" s="58"/>
      <c r="R469" s="5"/>
      <c r="S469" s="5"/>
      <c r="T469" s="5"/>
      <c r="U469" s="58"/>
      <c r="V469" s="5"/>
      <c r="W469" s="59"/>
      <c r="X469" s="3"/>
      <c r="Y469" s="39"/>
      <c r="Z469" s="5"/>
      <c r="AA469" s="36"/>
      <c r="AB469" s="29"/>
      <c r="AD469" s="54"/>
      <c r="AE469" s="58"/>
      <c r="AF469" s="5"/>
      <c r="AG469" s="5"/>
      <c r="AH469" s="5"/>
      <c r="AI469" s="58"/>
      <c r="AJ469" s="5"/>
      <c r="AK469" s="59"/>
      <c r="AL469" s="3"/>
      <c r="AM469" s="39"/>
      <c r="AN469" s="5"/>
      <c r="AO469" s="36"/>
      <c r="AP469" s="29"/>
      <c r="AR469" s="54"/>
      <c r="AS469" s="58"/>
      <c r="AT469" s="5"/>
      <c r="AU469" s="5"/>
      <c r="AV469" s="5"/>
      <c r="AW469" s="58"/>
      <c r="AX469" s="5"/>
      <c r="AY469" s="59"/>
      <c r="AZ469" s="3"/>
      <c r="BA469" s="39"/>
      <c r="BB469" s="5"/>
      <c r="BC469" s="36"/>
      <c r="BD469" s="29"/>
    </row>
    <row r="470" spans="1:56" ht="15" customHeight="1" thickBot="1" x14ac:dyDescent="0.25">
      <c r="A470" s="60"/>
      <c r="B470" s="73"/>
      <c r="C470" s="44"/>
      <c r="D470" s="61"/>
      <c r="E470" s="44"/>
      <c r="F470" s="44"/>
      <c r="G470" s="44"/>
      <c r="H470" s="44"/>
      <c r="I470" s="62"/>
      <c r="J470" s="45"/>
      <c r="K470" s="61"/>
      <c r="L470" s="44"/>
      <c r="M470" s="46"/>
      <c r="N470" s="29"/>
      <c r="P470" s="60"/>
      <c r="Q470" s="44"/>
      <c r="R470" s="61"/>
      <c r="S470" s="44"/>
      <c r="T470" s="44"/>
      <c r="U470" s="44"/>
      <c r="V470" s="44"/>
      <c r="W470" s="62"/>
      <c r="X470" s="45"/>
      <c r="Y470" s="61"/>
      <c r="Z470" s="44"/>
      <c r="AA470" s="46"/>
      <c r="AB470" s="29"/>
      <c r="AD470" s="60"/>
      <c r="AE470" s="44"/>
      <c r="AF470" s="61"/>
      <c r="AG470" s="44"/>
      <c r="AH470" s="44"/>
      <c r="AI470" s="44"/>
      <c r="AJ470" s="44"/>
      <c r="AK470" s="62"/>
      <c r="AL470" s="45"/>
      <c r="AM470" s="61"/>
      <c r="AN470" s="44"/>
      <c r="AO470" s="46"/>
      <c r="AP470" s="29"/>
      <c r="AR470" s="60"/>
      <c r="AS470" s="44"/>
      <c r="AT470" s="61"/>
      <c r="AU470" s="44"/>
      <c r="AV470" s="44"/>
      <c r="AW470" s="44"/>
      <c r="AX470" s="44"/>
      <c r="AY470" s="62"/>
      <c r="AZ470" s="45"/>
      <c r="BA470" s="61"/>
      <c r="BB470" s="44"/>
      <c r="BC470" s="46"/>
      <c r="BD470" s="29"/>
    </row>
    <row r="471" spans="1:56" ht="15" customHeight="1" thickTop="1" x14ac:dyDescent="0.2">
      <c r="A471" s="49"/>
      <c r="B471" s="26"/>
      <c r="C471" s="4"/>
      <c r="D471" s="4"/>
      <c r="E471" s="4"/>
      <c r="F471" s="50"/>
      <c r="G471" s="4"/>
      <c r="H471" s="4"/>
      <c r="I471" s="51"/>
      <c r="J471" s="31"/>
      <c r="K471" s="27"/>
      <c r="L471" s="50"/>
      <c r="M471" s="52"/>
      <c r="N471" s="29"/>
      <c r="P471" s="53"/>
      <c r="Q471" s="4"/>
      <c r="R471" s="4"/>
      <c r="S471" s="4"/>
      <c r="T471" s="50"/>
      <c r="U471" s="4"/>
      <c r="V471" s="4"/>
      <c r="W471" s="51"/>
      <c r="X471" s="31"/>
      <c r="Y471" s="27"/>
      <c r="Z471" s="50"/>
      <c r="AA471" s="52"/>
      <c r="AB471" s="29"/>
      <c r="AD471" s="53"/>
      <c r="AE471" s="4"/>
      <c r="AF471" s="4"/>
      <c r="AG471" s="4"/>
      <c r="AH471" s="50"/>
      <c r="AI471" s="4"/>
      <c r="AJ471" s="4"/>
      <c r="AK471" s="51"/>
      <c r="AL471" s="31"/>
      <c r="AM471" s="27"/>
      <c r="AN471" s="50"/>
      <c r="AO471" s="52"/>
      <c r="AP471" s="29"/>
      <c r="AR471" s="53"/>
      <c r="AS471" s="4"/>
      <c r="AT471" s="4"/>
      <c r="AU471" s="4"/>
      <c r="AV471" s="50"/>
      <c r="AW471" s="4"/>
      <c r="AX471" s="4"/>
      <c r="AY471" s="51"/>
      <c r="AZ471" s="31"/>
      <c r="BA471" s="27"/>
      <c r="BB471" s="50"/>
      <c r="BC471" s="52"/>
      <c r="BD471" s="29"/>
    </row>
    <row r="472" spans="1:56" ht="15" customHeight="1" x14ac:dyDescent="0.2">
      <c r="A472" s="49"/>
      <c r="B472" s="26"/>
      <c r="C472" s="4"/>
      <c r="D472" s="5"/>
      <c r="E472" s="5"/>
      <c r="F472" s="5"/>
      <c r="G472" s="5"/>
      <c r="H472" s="5"/>
      <c r="I472" s="35"/>
      <c r="J472" s="38"/>
      <c r="K472" s="39"/>
      <c r="L472" s="5"/>
      <c r="M472" s="36"/>
      <c r="N472" s="29"/>
      <c r="P472" s="49"/>
      <c r="Q472" s="4"/>
      <c r="R472" s="5"/>
      <c r="S472" s="5"/>
      <c r="T472" s="5"/>
      <c r="U472" s="5"/>
      <c r="V472" s="5"/>
      <c r="W472" s="35"/>
      <c r="X472" s="38"/>
      <c r="Y472" s="39"/>
      <c r="Z472" s="5"/>
      <c r="AA472" s="36"/>
      <c r="AB472" s="29"/>
      <c r="AD472" s="49"/>
      <c r="AE472" s="4"/>
      <c r="AF472" s="5"/>
      <c r="AG472" s="5"/>
      <c r="AH472" s="5"/>
      <c r="AI472" s="5"/>
      <c r="AJ472" s="5"/>
      <c r="AK472" s="35"/>
      <c r="AL472" s="38"/>
      <c r="AM472" s="39"/>
      <c r="AN472" s="5"/>
      <c r="AO472" s="36"/>
      <c r="AP472" s="29"/>
      <c r="AR472" s="49"/>
      <c r="AS472" s="4"/>
      <c r="AT472" s="5"/>
      <c r="AU472" s="5"/>
      <c r="AV472" s="5"/>
      <c r="AW472" s="5"/>
      <c r="AX472" s="5"/>
      <c r="AY472" s="35"/>
      <c r="AZ472" s="38"/>
      <c r="BA472" s="39"/>
      <c r="BB472" s="5"/>
      <c r="BC472" s="36"/>
      <c r="BD472" s="29"/>
    </row>
    <row r="473" spans="1:56" ht="15" customHeight="1" x14ac:dyDescent="0.2">
      <c r="A473" s="54"/>
      <c r="B473" s="37"/>
      <c r="C473" s="57"/>
      <c r="D473" s="5"/>
      <c r="E473" s="5"/>
      <c r="F473" s="5"/>
      <c r="G473" s="5"/>
      <c r="H473" s="5"/>
      <c r="I473" s="35"/>
      <c r="J473" s="38"/>
      <c r="K473" s="5"/>
      <c r="L473" s="5"/>
      <c r="M473" s="36"/>
      <c r="N473" s="29"/>
      <c r="P473" s="54"/>
      <c r="Q473" s="57"/>
      <c r="R473" s="5"/>
      <c r="S473" s="5"/>
      <c r="T473" s="5"/>
      <c r="U473" s="5"/>
      <c r="V473" s="5"/>
      <c r="W473" s="35"/>
      <c r="X473" s="38"/>
      <c r="Y473" s="5"/>
      <c r="Z473" s="5"/>
      <c r="AA473" s="36"/>
      <c r="AB473" s="29"/>
      <c r="AD473" s="54"/>
      <c r="AE473" s="57"/>
      <c r="AF473" s="5"/>
      <c r="AG473" s="5"/>
      <c r="AH473" s="5"/>
      <c r="AI473" s="5"/>
      <c r="AJ473" s="5"/>
      <c r="AK473" s="35"/>
      <c r="AL473" s="38"/>
      <c r="AM473" s="5"/>
      <c r="AN473" s="5"/>
      <c r="AO473" s="36"/>
      <c r="AP473" s="29"/>
      <c r="AR473" s="54"/>
      <c r="AS473" s="57"/>
      <c r="AT473" s="5"/>
      <c r="AU473" s="5"/>
      <c r="AV473" s="5"/>
      <c r="AW473" s="5"/>
      <c r="AX473" s="5"/>
      <c r="AY473" s="35"/>
      <c r="AZ473" s="38"/>
      <c r="BA473" s="5"/>
      <c r="BB473" s="5"/>
      <c r="BC473" s="36"/>
      <c r="BD473" s="29"/>
    </row>
    <row r="474" spans="1:56" ht="15" customHeight="1" thickBot="1" x14ac:dyDescent="0.25">
      <c r="A474" s="60"/>
      <c r="B474" s="73"/>
      <c r="C474" s="43"/>
      <c r="D474" s="61" t="str">
        <f t="shared" si="961"/>
        <v/>
      </c>
      <c r="E474" s="44"/>
      <c r="F474" s="44" t="str">
        <f t="shared" ref="F474:F502" si="983">IF(E474="","",E474-E470)</f>
        <v/>
      </c>
      <c r="G474" s="44"/>
      <c r="H474" s="44" t="str">
        <f t="shared" si="963"/>
        <v/>
      </c>
      <c r="I474" s="62"/>
      <c r="J474" s="47" t="str">
        <f t="shared" ref="J474:K489" si="984">IF(C474="","",J470)</f>
        <v/>
      </c>
      <c r="K474" s="61" t="str">
        <f t="shared" si="984"/>
        <v/>
      </c>
      <c r="L474" s="44" t="str">
        <f t="shared" si="964"/>
        <v/>
      </c>
      <c r="M474" s="46" t="str">
        <f t="shared" si="965"/>
        <v/>
      </c>
      <c r="N474" s="29"/>
      <c r="P474" s="60"/>
      <c r="Q474" s="43"/>
      <c r="R474" s="61" t="str">
        <f t="shared" si="966"/>
        <v/>
      </c>
      <c r="S474" s="44"/>
      <c r="T474" s="44" t="str">
        <f t="shared" si="967"/>
        <v/>
      </c>
      <c r="U474" s="44"/>
      <c r="V474" s="44" t="str">
        <f t="shared" si="968"/>
        <v/>
      </c>
      <c r="W474" s="62"/>
      <c r="X474" s="47" t="str">
        <f t="shared" ref="X474:Y489" si="985">IF(Q474="","",X470)</f>
        <v/>
      </c>
      <c r="Y474" s="61" t="str">
        <f t="shared" si="985"/>
        <v/>
      </c>
      <c r="Z474" s="44" t="str">
        <f t="shared" si="959"/>
        <v/>
      </c>
      <c r="AA474" s="46" t="str">
        <f t="shared" si="960"/>
        <v/>
      </c>
      <c r="AB474" s="29"/>
      <c r="AD474" s="60"/>
      <c r="AE474" s="43"/>
      <c r="AF474" s="61" t="str">
        <f t="shared" si="977"/>
        <v/>
      </c>
      <c r="AG474" s="44"/>
      <c r="AH474" s="44" t="str">
        <f t="shared" si="978"/>
        <v/>
      </c>
      <c r="AI474" s="44"/>
      <c r="AJ474" s="44" t="str">
        <f t="shared" si="979"/>
        <v/>
      </c>
      <c r="AK474" s="62"/>
      <c r="AL474" s="47" t="str">
        <f t="shared" ref="AL474:AM489" si="986">IF(AE474="","",AL470)</f>
        <v/>
      </c>
      <c r="AM474" s="61" t="str">
        <f t="shared" si="986"/>
        <v/>
      </c>
      <c r="AN474" s="44" t="str">
        <f t="shared" si="970"/>
        <v/>
      </c>
      <c r="AO474" s="46" t="str">
        <f t="shared" si="971"/>
        <v/>
      </c>
      <c r="AP474" s="29"/>
      <c r="AR474" s="60"/>
      <c r="AS474" s="43"/>
      <c r="AT474" s="61" t="str">
        <f t="shared" si="980"/>
        <v/>
      </c>
      <c r="AU474" s="44"/>
      <c r="AV474" s="44" t="str">
        <f t="shared" si="981"/>
        <v/>
      </c>
      <c r="AW474" s="44"/>
      <c r="AX474" s="44" t="str">
        <f t="shared" si="982"/>
        <v/>
      </c>
      <c r="AY474" s="62"/>
      <c r="AZ474" s="47" t="str">
        <f t="shared" ref="AZ474:BA489" si="987">IF(AS474="","",AZ470)</f>
        <v/>
      </c>
      <c r="BA474" s="61" t="str">
        <f t="shared" si="987"/>
        <v/>
      </c>
      <c r="BB474" s="44" t="str">
        <f t="shared" si="973"/>
        <v/>
      </c>
      <c r="BC474" s="46" t="str">
        <f t="shared" si="974"/>
        <v/>
      </c>
      <c r="BD474" s="29"/>
    </row>
    <row r="475" spans="1:56" ht="15" customHeight="1" thickTop="1" x14ac:dyDescent="0.2">
      <c r="A475" s="49"/>
      <c r="B475" s="26">
        <f>SUM(D475:D478)+SUM(R475:R478)+SUM(AF475:AF478)+SUM(AT475:AT478)</f>
        <v>0</v>
      </c>
      <c r="C475" s="4"/>
      <c r="D475" s="4" t="str">
        <f t="shared" si="961"/>
        <v/>
      </c>
      <c r="E475" s="4"/>
      <c r="F475" s="50" t="str">
        <f t="shared" si="983"/>
        <v/>
      </c>
      <c r="G475" s="4"/>
      <c r="H475" s="4" t="str">
        <f t="shared" si="963"/>
        <v/>
      </c>
      <c r="I475" s="51"/>
      <c r="J475" s="31" t="str">
        <f t="shared" si="984"/>
        <v/>
      </c>
      <c r="K475" s="27" t="str">
        <f t="shared" si="984"/>
        <v/>
      </c>
      <c r="L475" s="50" t="str">
        <f t="shared" si="964"/>
        <v/>
      </c>
      <c r="M475" s="52" t="str">
        <f t="shared" si="965"/>
        <v/>
      </c>
      <c r="N475" s="29"/>
      <c r="P475" s="53" t="str">
        <f>IF($A$475="","",$A$475)</f>
        <v/>
      </c>
      <c r="Q475" s="4"/>
      <c r="R475" s="4" t="str">
        <f t="shared" si="966"/>
        <v/>
      </c>
      <c r="S475" s="4"/>
      <c r="T475" s="50" t="str">
        <f t="shared" si="967"/>
        <v/>
      </c>
      <c r="U475" s="4"/>
      <c r="V475" s="4" t="str">
        <f t="shared" si="968"/>
        <v/>
      </c>
      <c r="W475" s="51"/>
      <c r="X475" s="31" t="str">
        <f t="shared" si="985"/>
        <v/>
      </c>
      <c r="Y475" s="27" t="str">
        <f t="shared" si="985"/>
        <v/>
      </c>
      <c r="Z475" s="50" t="str">
        <f t="shared" si="959"/>
        <v/>
      </c>
      <c r="AA475" s="52" t="str">
        <f t="shared" si="960"/>
        <v/>
      </c>
      <c r="AB475" s="29"/>
      <c r="AD475" s="53" t="str">
        <f>IF($A$475="","",$A$475)</f>
        <v/>
      </c>
      <c r="AE475" s="4"/>
      <c r="AF475" s="4" t="str">
        <f t="shared" si="977"/>
        <v/>
      </c>
      <c r="AG475" s="4"/>
      <c r="AH475" s="50" t="str">
        <f t="shared" si="978"/>
        <v/>
      </c>
      <c r="AI475" s="4"/>
      <c r="AJ475" s="4" t="str">
        <f t="shared" si="979"/>
        <v/>
      </c>
      <c r="AK475" s="51"/>
      <c r="AL475" s="31" t="str">
        <f t="shared" si="986"/>
        <v/>
      </c>
      <c r="AM475" s="27" t="str">
        <f t="shared" si="986"/>
        <v/>
      </c>
      <c r="AN475" s="50" t="str">
        <f t="shared" si="970"/>
        <v/>
      </c>
      <c r="AO475" s="52" t="str">
        <f t="shared" si="971"/>
        <v/>
      </c>
      <c r="AP475" s="29"/>
      <c r="AR475" s="53" t="str">
        <f>IF($A$475="","",$A$475)</f>
        <v/>
      </c>
      <c r="AS475" s="4"/>
      <c r="AT475" s="4" t="str">
        <f t="shared" si="980"/>
        <v/>
      </c>
      <c r="AU475" s="4"/>
      <c r="AV475" s="50" t="str">
        <f t="shared" si="981"/>
        <v/>
      </c>
      <c r="AW475" s="4"/>
      <c r="AX475" s="4" t="str">
        <f t="shared" si="982"/>
        <v/>
      </c>
      <c r="AY475" s="51"/>
      <c r="AZ475" s="31" t="str">
        <f t="shared" si="987"/>
        <v/>
      </c>
      <c r="BA475" s="27" t="str">
        <f t="shared" si="987"/>
        <v/>
      </c>
      <c r="BB475" s="50" t="str">
        <f t="shared" si="973"/>
        <v/>
      </c>
      <c r="BC475" s="52" t="str">
        <f t="shared" si="974"/>
        <v/>
      </c>
      <c r="BD475" s="29"/>
    </row>
    <row r="476" spans="1:56" ht="15" customHeight="1" x14ac:dyDescent="0.2">
      <c r="A476" s="54"/>
      <c r="B476" s="26"/>
      <c r="C476" s="5"/>
      <c r="D476" s="5" t="str">
        <f t="shared" si="961"/>
        <v/>
      </c>
      <c r="E476" s="5"/>
      <c r="F476" s="5" t="str">
        <f t="shared" si="983"/>
        <v/>
      </c>
      <c r="G476" s="5"/>
      <c r="H476" s="5" t="str">
        <f t="shared" si="963"/>
        <v/>
      </c>
      <c r="I476" s="35"/>
      <c r="J476" s="38" t="str">
        <f t="shared" si="984"/>
        <v/>
      </c>
      <c r="K476" s="39" t="str">
        <f t="shared" si="984"/>
        <v/>
      </c>
      <c r="L476" s="5" t="str">
        <f t="shared" si="964"/>
        <v/>
      </c>
      <c r="M476" s="36" t="str">
        <f t="shared" si="965"/>
        <v/>
      </c>
      <c r="N476" s="29"/>
      <c r="P476" s="54"/>
      <c r="Q476" s="5"/>
      <c r="R476" s="5" t="str">
        <f t="shared" si="966"/>
        <v/>
      </c>
      <c r="S476" s="5"/>
      <c r="T476" s="5" t="str">
        <f t="shared" si="967"/>
        <v/>
      </c>
      <c r="U476" s="5"/>
      <c r="V476" s="5" t="str">
        <f t="shared" si="968"/>
        <v/>
      </c>
      <c r="W476" s="35"/>
      <c r="X476" s="38" t="str">
        <f t="shared" si="985"/>
        <v/>
      </c>
      <c r="Y476" s="39" t="str">
        <f t="shared" si="985"/>
        <v/>
      </c>
      <c r="Z476" s="5" t="str">
        <f t="shared" si="959"/>
        <v/>
      </c>
      <c r="AA476" s="36" t="str">
        <f t="shared" si="960"/>
        <v/>
      </c>
      <c r="AB476" s="29"/>
      <c r="AD476" s="54"/>
      <c r="AE476" s="5"/>
      <c r="AF476" s="5" t="str">
        <f t="shared" si="977"/>
        <v/>
      </c>
      <c r="AG476" s="5"/>
      <c r="AH476" s="5" t="str">
        <f t="shared" si="978"/>
        <v/>
      </c>
      <c r="AI476" s="5"/>
      <c r="AJ476" s="5" t="str">
        <f t="shared" si="979"/>
        <v/>
      </c>
      <c r="AK476" s="35"/>
      <c r="AL476" s="38" t="str">
        <f t="shared" si="986"/>
        <v/>
      </c>
      <c r="AM476" s="39" t="str">
        <f t="shared" si="986"/>
        <v/>
      </c>
      <c r="AN476" s="5" t="str">
        <f t="shared" si="970"/>
        <v/>
      </c>
      <c r="AO476" s="36" t="str">
        <f t="shared" si="971"/>
        <v/>
      </c>
      <c r="AP476" s="29"/>
      <c r="AR476" s="54"/>
      <c r="AS476" s="5"/>
      <c r="AT476" s="5" t="str">
        <f t="shared" si="980"/>
        <v/>
      </c>
      <c r="AU476" s="5"/>
      <c r="AV476" s="5" t="str">
        <f t="shared" si="981"/>
        <v/>
      </c>
      <c r="AW476" s="5"/>
      <c r="AX476" s="5" t="str">
        <f t="shared" si="982"/>
        <v/>
      </c>
      <c r="AY476" s="35"/>
      <c r="AZ476" s="38" t="str">
        <f t="shared" si="987"/>
        <v/>
      </c>
      <c r="BA476" s="39" t="str">
        <f t="shared" si="987"/>
        <v/>
      </c>
      <c r="BB476" s="5" t="str">
        <f t="shared" si="973"/>
        <v/>
      </c>
      <c r="BC476" s="36" t="str">
        <f t="shared" si="974"/>
        <v/>
      </c>
      <c r="BD476" s="29"/>
    </row>
    <row r="477" spans="1:56" ht="15" customHeight="1" x14ac:dyDescent="0.2">
      <c r="A477" s="54"/>
      <c r="B477" s="37"/>
      <c r="C477" s="58"/>
      <c r="D477" s="5" t="str">
        <f t="shared" si="961"/>
        <v/>
      </c>
      <c r="E477" s="5"/>
      <c r="F477" s="5" t="str">
        <f t="shared" si="983"/>
        <v/>
      </c>
      <c r="G477" s="58"/>
      <c r="H477" s="5" t="str">
        <f t="shared" si="963"/>
        <v/>
      </c>
      <c r="I477" s="59"/>
      <c r="J477" s="38" t="str">
        <f t="shared" si="984"/>
        <v/>
      </c>
      <c r="K477" s="5" t="str">
        <f t="shared" si="984"/>
        <v/>
      </c>
      <c r="L477" s="5" t="str">
        <f t="shared" si="964"/>
        <v/>
      </c>
      <c r="M477" s="36" t="str">
        <f t="shared" si="965"/>
        <v/>
      </c>
      <c r="N477" s="29"/>
      <c r="P477" s="54"/>
      <c r="Q477" s="58"/>
      <c r="R477" s="5" t="str">
        <f t="shared" si="966"/>
        <v/>
      </c>
      <c r="S477" s="5"/>
      <c r="T477" s="5" t="str">
        <f t="shared" si="967"/>
        <v/>
      </c>
      <c r="U477" s="58"/>
      <c r="V477" s="5" t="str">
        <f t="shared" si="968"/>
        <v/>
      </c>
      <c r="W477" s="59"/>
      <c r="X477" s="38" t="str">
        <f t="shared" si="985"/>
        <v/>
      </c>
      <c r="Y477" s="5" t="str">
        <f t="shared" si="985"/>
        <v/>
      </c>
      <c r="Z477" s="5" t="str">
        <f t="shared" si="959"/>
        <v/>
      </c>
      <c r="AA477" s="36" t="str">
        <f t="shared" si="960"/>
        <v/>
      </c>
      <c r="AB477" s="29"/>
      <c r="AD477" s="54"/>
      <c r="AE477" s="58"/>
      <c r="AF477" s="5" t="str">
        <f t="shared" si="977"/>
        <v/>
      </c>
      <c r="AG477" s="5"/>
      <c r="AH477" s="5" t="str">
        <f t="shared" si="978"/>
        <v/>
      </c>
      <c r="AI477" s="58"/>
      <c r="AJ477" s="5" t="str">
        <f t="shared" si="979"/>
        <v/>
      </c>
      <c r="AK477" s="59"/>
      <c r="AL477" s="38" t="str">
        <f t="shared" si="986"/>
        <v/>
      </c>
      <c r="AM477" s="5" t="str">
        <f t="shared" si="986"/>
        <v/>
      </c>
      <c r="AN477" s="5" t="str">
        <f t="shared" si="970"/>
        <v/>
      </c>
      <c r="AO477" s="36" t="str">
        <f t="shared" si="971"/>
        <v/>
      </c>
      <c r="AP477" s="29"/>
      <c r="AR477" s="54"/>
      <c r="AS477" s="58"/>
      <c r="AT477" s="5" t="str">
        <f t="shared" si="980"/>
        <v/>
      </c>
      <c r="AU477" s="5"/>
      <c r="AV477" s="5" t="str">
        <f t="shared" si="981"/>
        <v/>
      </c>
      <c r="AW477" s="58"/>
      <c r="AX477" s="5" t="str">
        <f t="shared" si="982"/>
        <v/>
      </c>
      <c r="AY477" s="59"/>
      <c r="AZ477" s="38" t="str">
        <f t="shared" si="987"/>
        <v/>
      </c>
      <c r="BA477" s="5" t="str">
        <f t="shared" si="987"/>
        <v/>
      </c>
      <c r="BB477" s="5" t="str">
        <f t="shared" si="973"/>
        <v/>
      </c>
      <c r="BC477" s="36" t="str">
        <f t="shared" si="974"/>
        <v/>
      </c>
      <c r="BD477" s="29"/>
    </row>
    <row r="478" spans="1:56" ht="15" customHeight="1" thickBot="1" x14ac:dyDescent="0.25">
      <c r="A478" s="60"/>
      <c r="B478" s="73"/>
      <c r="C478" s="44"/>
      <c r="D478" s="61" t="str">
        <f t="shared" si="961"/>
        <v/>
      </c>
      <c r="E478" s="44"/>
      <c r="F478" s="44" t="str">
        <f t="shared" si="983"/>
        <v/>
      </c>
      <c r="G478" s="44"/>
      <c r="H478" s="44" t="str">
        <f t="shared" si="963"/>
        <v/>
      </c>
      <c r="I478" s="62"/>
      <c r="J478" s="47" t="str">
        <f t="shared" si="984"/>
        <v/>
      </c>
      <c r="K478" s="61" t="str">
        <f t="shared" si="984"/>
        <v/>
      </c>
      <c r="L478" s="44" t="str">
        <f t="shared" si="964"/>
        <v/>
      </c>
      <c r="M478" s="46" t="str">
        <f t="shared" si="965"/>
        <v/>
      </c>
      <c r="N478" s="29"/>
      <c r="P478" s="60"/>
      <c r="Q478" s="44"/>
      <c r="R478" s="61" t="str">
        <f t="shared" si="966"/>
        <v/>
      </c>
      <c r="S478" s="44"/>
      <c r="T478" s="44" t="str">
        <f t="shared" si="967"/>
        <v/>
      </c>
      <c r="U478" s="44"/>
      <c r="V478" s="44" t="str">
        <f t="shared" si="968"/>
        <v/>
      </c>
      <c r="W478" s="62"/>
      <c r="X478" s="47" t="str">
        <f t="shared" si="985"/>
        <v/>
      </c>
      <c r="Y478" s="61" t="str">
        <f t="shared" si="985"/>
        <v/>
      </c>
      <c r="Z478" s="44" t="str">
        <f t="shared" si="959"/>
        <v/>
      </c>
      <c r="AA478" s="46" t="str">
        <f t="shared" si="960"/>
        <v/>
      </c>
      <c r="AB478" s="29"/>
      <c r="AD478" s="60"/>
      <c r="AE478" s="44"/>
      <c r="AF478" s="61" t="str">
        <f t="shared" si="977"/>
        <v/>
      </c>
      <c r="AG478" s="44"/>
      <c r="AH478" s="44" t="str">
        <f t="shared" si="978"/>
        <v/>
      </c>
      <c r="AI478" s="44"/>
      <c r="AJ478" s="44" t="str">
        <f>IF(AI478="","",AI474+AK474-AI478)</f>
        <v/>
      </c>
      <c r="AK478" s="62"/>
      <c r="AL478" s="47" t="str">
        <f t="shared" si="986"/>
        <v/>
      </c>
      <c r="AM478" s="61" t="str">
        <f t="shared" si="986"/>
        <v/>
      </c>
      <c r="AN478" s="44" t="str">
        <f t="shared" si="970"/>
        <v/>
      </c>
      <c r="AO478" s="46" t="str">
        <f t="shared" si="971"/>
        <v/>
      </c>
      <c r="AP478" s="29"/>
      <c r="AR478" s="60"/>
      <c r="AS478" s="44"/>
      <c r="AT478" s="61" t="str">
        <f t="shared" si="980"/>
        <v/>
      </c>
      <c r="AU478" s="44"/>
      <c r="AV478" s="44" t="str">
        <f t="shared" si="981"/>
        <v/>
      </c>
      <c r="AW478" s="44"/>
      <c r="AX478" s="44" t="str">
        <f t="shared" si="982"/>
        <v/>
      </c>
      <c r="AY478" s="62"/>
      <c r="AZ478" s="47" t="str">
        <f t="shared" si="987"/>
        <v/>
      </c>
      <c r="BA478" s="61" t="str">
        <f t="shared" si="987"/>
        <v/>
      </c>
      <c r="BB478" s="44" t="str">
        <f t="shared" si="973"/>
        <v/>
      </c>
      <c r="BC478" s="46" t="str">
        <f t="shared" si="974"/>
        <v/>
      </c>
      <c r="BD478" s="29"/>
    </row>
    <row r="479" spans="1:56" ht="15" customHeight="1" thickTop="1" x14ac:dyDescent="0.2">
      <c r="A479" s="49"/>
      <c r="B479" s="26">
        <f>SUM(D479:D482)+SUM(R479:R482)+SUM(AF479:AF482)+SUM(AT479:AT482)</f>
        <v>0</v>
      </c>
      <c r="C479" s="4"/>
      <c r="D479" s="4" t="str">
        <f t="shared" si="961"/>
        <v/>
      </c>
      <c r="E479" s="4"/>
      <c r="F479" s="50" t="str">
        <f t="shared" si="983"/>
        <v/>
      </c>
      <c r="G479" s="4"/>
      <c r="H479" s="4" t="str">
        <f t="shared" si="963"/>
        <v/>
      </c>
      <c r="I479" s="51"/>
      <c r="J479" s="31" t="str">
        <f t="shared" si="984"/>
        <v/>
      </c>
      <c r="K479" s="27" t="str">
        <f t="shared" si="984"/>
        <v/>
      </c>
      <c r="L479" s="50" t="str">
        <f t="shared" si="964"/>
        <v/>
      </c>
      <c r="M479" s="52" t="str">
        <f t="shared" si="965"/>
        <v/>
      </c>
      <c r="N479" s="29"/>
      <c r="P479" s="53" t="str">
        <f>IF($A$479="","",$A$479)</f>
        <v/>
      </c>
      <c r="Q479" s="4"/>
      <c r="R479" s="4" t="str">
        <f t="shared" si="966"/>
        <v/>
      </c>
      <c r="S479" s="4"/>
      <c r="T479" s="50" t="str">
        <f t="shared" si="967"/>
        <v/>
      </c>
      <c r="U479" s="4"/>
      <c r="V479" s="4" t="str">
        <f t="shared" si="968"/>
        <v/>
      </c>
      <c r="W479" s="51"/>
      <c r="X479" s="31" t="str">
        <f t="shared" si="985"/>
        <v/>
      </c>
      <c r="Y479" s="27" t="str">
        <f t="shared" si="985"/>
        <v/>
      </c>
      <c r="Z479" s="50" t="str">
        <f t="shared" si="959"/>
        <v/>
      </c>
      <c r="AA479" s="52" t="str">
        <f t="shared" si="960"/>
        <v/>
      </c>
      <c r="AB479" s="29"/>
      <c r="AD479" s="53" t="str">
        <f>IF($A$479="","",$A$479)</f>
        <v/>
      </c>
      <c r="AE479" s="4"/>
      <c r="AF479" s="4" t="str">
        <f t="shared" si="977"/>
        <v/>
      </c>
      <c r="AG479" s="4"/>
      <c r="AH479" s="50" t="str">
        <f t="shared" si="978"/>
        <v/>
      </c>
      <c r="AI479" s="4"/>
      <c r="AJ479" s="4" t="str">
        <f t="shared" si="979"/>
        <v/>
      </c>
      <c r="AK479" s="51"/>
      <c r="AL479" s="31" t="str">
        <f t="shared" si="986"/>
        <v/>
      </c>
      <c r="AM479" s="27" t="str">
        <f t="shared" si="986"/>
        <v/>
      </c>
      <c r="AN479" s="50" t="str">
        <f t="shared" si="970"/>
        <v/>
      </c>
      <c r="AO479" s="52" t="str">
        <f t="shared" si="971"/>
        <v/>
      </c>
      <c r="AP479" s="29"/>
      <c r="AR479" s="53" t="str">
        <f>IF($A$479="","",$A$479)</f>
        <v/>
      </c>
      <c r="AS479" s="4"/>
      <c r="AT479" s="4" t="str">
        <f t="shared" si="980"/>
        <v/>
      </c>
      <c r="AU479" s="4"/>
      <c r="AV479" s="50" t="str">
        <f t="shared" si="981"/>
        <v/>
      </c>
      <c r="AW479" s="4"/>
      <c r="AX479" s="4" t="str">
        <f t="shared" si="982"/>
        <v/>
      </c>
      <c r="AY479" s="51"/>
      <c r="AZ479" s="31" t="str">
        <f t="shared" si="987"/>
        <v/>
      </c>
      <c r="BA479" s="27" t="str">
        <f t="shared" si="987"/>
        <v/>
      </c>
      <c r="BB479" s="50" t="str">
        <f t="shared" si="973"/>
        <v/>
      </c>
      <c r="BC479" s="52" t="str">
        <f t="shared" si="974"/>
        <v/>
      </c>
      <c r="BD479" s="29"/>
    </row>
    <row r="480" spans="1:56" ht="15" customHeight="1" x14ac:dyDescent="0.2">
      <c r="A480" s="54"/>
      <c r="B480" s="26"/>
      <c r="C480" s="4"/>
      <c r="D480" s="5" t="str">
        <f t="shared" si="961"/>
        <v/>
      </c>
      <c r="E480" s="5"/>
      <c r="F480" s="5" t="str">
        <f t="shared" si="983"/>
        <v/>
      </c>
      <c r="G480" s="5"/>
      <c r="H480" s="5" t="str">
        <f t="shared" si="963"/>
        <v/>
      </c>
      <c r="I480" s="35"/>
      <c r="J480" s="38" t="str">
        <f t="shared" si="984"/>
        <v/>
      </c>
      <c r="K480" s="39" t="str">
        <f t="shared" si="984"/>
        <v/>
      </c>
      <c r="L480" s="5" t="str">
        <f t="shared" si="964"/>
        <v/>
      </c>
      <c r="M480" s="36" t="str">
        <f t="shared" si="965"/>
        <v/>
      </c>
      <c r="N480" s="29"/>
      <c r="P480" s="54"/>
      <c r="Q480" s="4"/>
      <c r="R480" s="5" t="str">
        <f t="shared" si="966"/>
        <v/>
      </c>
      <c r="S480" s="5"/>
      <c r="T480" s="5" t="str">
        <f t="shared" si="967"/>
        <v/>
      </c>
      <c r="U480" s="5"/>
      <c r="V480" s="5" t="str">
        <f t="shared" si="968"/>
        <v/>
      </c>
      <c r="W480" s="35"/>
      <c r="X480" s="38" t="str">
        <f t="shared" si="985"/>
        <v/>
      </c>
      <c r="Y480" s="39" t="str">
        <f t="shared" si="985"/>
        <v/>
      </c>
      <c r="Z480" s="5" t="str">
        <f t="shared" si="959"/>
        <v/>
      </c>
      <c r="AA480" s="36" t="str">
        <f t="shared" si="960"/>
        <v/>
      </c>
      <c r="AB480" s="29"/>
      <c r="AD480" s="54"/>
      <c r="AE480" s="4"/>
      <c r="AF480" s="5" t="str">
        <f t="shared" si="977"/>
        <v/>
      </c>
      <c r="AG480" s="5"/>
      <c r="AH480" s="5" t="str">
        <f t="shared" si="978"/>
        <v/>
      </c>
      <c r="AI480" s="5"/>
      <c r="AJ480" s="5" t="str">
        <f t="shared" si="979"/>
        <v/>
      </c>
      <c r="AK480" s="35"/>
      <c r="AL480" s="38" t="str">
        <f t="shared" si="986"/>
        <v/>
      </c>
      <c r="AM480" s="39" t="str">
        <f t="shared" si="986"/>
        <v/>
      </c>
      <c r="AN480" s="5" t="str">
        <f t="shared" si="970"/>
        <v/>
      </c>
      <c r="AO480" s="36" t="str">
        <f t="shared" si="971"/>
        <v/>
      </c>
      <c r="AP480" s="29"/>
      <c r="AR480" s="54"/>
      <c r="AS480" s="4"/>
      <c r="AT480" s="5" t="str">
        <f t="shared" si="980"/>
        <v/>
      </c>
      <c r="AU480" s="5"/>
      <c r="AV480" s="5" t="str">
        <f t="shared" si="981"/>
        <v/>
      </c>
      <c r="AW480" s="5"/>
      <c r="AX480" s="5" t="str">
        <f t="shared" si="982"/>
        <v/>
      </c>
      <c r="AY480" s="35"/>
      <c r="AZ480" s="38" t="str">
        <f t="shared" si="987"/>
        <v/>
      </c>
      <c r="BA480" s="39" t="str">
        <f t="shared" si="987"/>
        <v/>
      </c>
      <c r="BB480" s="5" t="str">
        <f t="shared" si="973"/>
        <v/>
      </c>
      <c r="BC480" s="36" t="str">
        <f t="shared" si="974"/>
        <v/>
      </c>
      <c r="BD480" s="29"/>
    </row>
    <row r="481" spans="1:56" ht="15" customHeight="1" x14ac:dyDescent="0.2">
      <c r="A481" s="54"/>
      <c r="B481" s="37"/>
      <c r="C481" s="57"/>
      <c r="D481" s="5" t="str">
        <f t="shared" si="961"/>
        <v/>
      </c>
      <c r="E481" s="5"/>
      <c r="F481" s="5" t="str">
        <f t="shared" si="983"/>
        <v/>
      </c>
      <c r="G481" s="5"/>
      <c r="H481" s="5" t="str">
        <f t="shared" si="963"/>
        <v/>
      </c>
      <c r="I481" s="35"/>
      <c r="J481" s="38" t="str">
        <f t="shared" si="984"/>
        <v/>
      </c>
      <c r="K481" s="5" t="str">
        <f t="shared" si="984"/>
        <v/>
      </c>
      <c r="L481" s="5" t="str">
        <f t="shared" si="964"/>
        <v/>
      </c>
      <c r="M481" s="36" t="str">
        <f t="shared" si="965"/>
        <v/>
      </c>
      <c r="N481" s="29"/>
      <c r="P481" s="54"/>
      <c r="Q481" s="57"/>
      <c r="R481" s="5" t="str">
        <f t="shared" si="966"/>
        <v/>
      </c>
      <c r="S481" s="5"/>
      <c r="T481" s="5" t="str">
        <f t="shared" si="967"/>
        <v/>
      </c>
      <c r="U481" s="5"/>
      <c r="V481" s="5" t="str">
        <f t="shared" si="968"/>
        <v/>
      </c>
      <c r="W481" s="35"/>
      <c r="X481" s="38" t="str">
        <f t="shared" si="985"/>
        <v/>
      </c>
      <c r="Y481" s="5" t="str">
        <f t="shared" si="985"/>
        <v/>
      </c>
      <c r="Z481" s="5" t="str">
        <f t="shared" si="959"/>
        <v/>
      </c>
      <c r="AA481" s="36" t="str">
        <f t="shared" si="960"/>
        <v/>
      </c>
      <c r="AB481" s="29"/>
      <c r="AD481" s="54"/>
      <c r="AE481" s="57"/>
      <c r="AF481" s="5" t="str">
        <f t="shared" si="977"/>
        <v/>
      </c>
      <c r="AG481" s="5"/>
      <c r="AH481" s="5" t="str">
        <f t="shared" si="978"/>
        <v/>
      </c>
      <c r="AI481" s="5"/>
      <c r="AJ481" s="5" t="str">
        <f t="shared" si="979"/>
        <v/>
      </c>
      <c r="AK481" s="35"/>
      <c r="AL481" s="38" t="str">
        <f t="shared" si="986"/>
        <v/>
      </c>
      <c r="AM481" s="5" t="str">
        <f t="shared" si="986"/>
        <v/>
      </c>
      <c r="AN481" s="5" t="str">
        <f t="shared" si="970"/>
        <v/>
      </c>
      <c r="AO481" s="36" t="str">
        <f t="shared" si="971"/>
        <v/>
      </c>
      <c r="AP481" s="29"/>
      <c r="AR481" s="54"/>
      <c r="AS481" s="57"/>
      <c r="AT481" s="5" t="str">
        <f t="shared" si="980"/>
        <v/>
      </c>
      <c r="AU481" s="5"/>
      <c r="AV481" s="5" t="str">
        <f t="shared" si="981"/>
        <v/>
      </c>
      <c r="AW481" s="5"/>
      <c r="AX481" s="5" t="str">
        <f t="shared" si="982"/>
        <v/>
      </c>
      <c r="AY481" s="35"/>
      <c r="AZ481" s="38" t="str">
        <f t="shared" si="987"/>
        <v/>
      </c>
      <c r="BA481" s="5" t="str">
        <f t="shared" si="987"/>
        <v/>
      </c>
      <c r="BB481" s="5" t="str">
        <f t="shared" si="973"/>
        <v/>
      </c>
      <c r="BC481" s="36" t="str">
        <f t="shared" si="974"/>
        <v/>
      </c>
      <c r="BD481" s="29"/>
    </row>
    <row r="482" spans="1:56" ht="15" customHeight="1" thickBot="1" x14ac:dyDescent="0.25">
      <c r="A482" s="60"/>
      <c r="B482" s="73"/>
      <c r="C482" s="43"/>
      <c r="D482" s="61" t="str">
        <f t="shared" si="961"/>
        <v/>
      </c>
      <c r="E482" s="44"/>
      <c r="F482" s="44" t="str">
        <f t="shared" si="983"/>
        <v/>
      </c>
      <c r="G482" s="44"/>
      <c r="H482" s="44" t="str">
        <f t="shared" si="963"/>
        <v/>
      </c>
      <c r="I482" s="62"/>
      <c r="J482" s="47" t="str">
        <f t="shared" si="984"/>
        <v/>
      </c>
      <c r="K482" s="61" t="str">
        <f t="shared" si="984"/>
        <v/>
      </c>
      <c r="L482" s="44" t="str">
        <f t="shared" si="964"/>
        <v/>
      </c>
      <c r="M482" s="46" t="str">
        <f t="shared" si="965"/>
        <v/>
      </c>
      <c r="N482" s="29"/>
      <c r="P482" s="60"/>
      <c r="Q482" s="43"/>
      <c r="R482" s="61" t="str">
        <f t="shared" si="966"/>
        <v/>
      </c>
      <c r="S482" s="44"/>
      <c r="T482" s="44" t="str">
        <f t="shared" si="967"/>
        <v/>
      </c>
      <c r="U482" s="44"/>
      <c r="V482" s="44" t="str">
        <f t="shared" si="968"/>
        <v/>
      </c>
      <c r="W482" s="62"/>
      <c r="X482" s="47" t="str">
        <f t="shared" si="985"/>
        <v/>
      </c>
      <c r="Y482" s="61" t="str">
        <f t="shared" si="985"/>
        <v/>
      </c>
      <c r="Z482" s="44" t="str">
        <f t="shared" si="959"/>
        <v/>
      </c>
      <c r="AA482" s="46" t="str">
        <f t="shared" si="960"/>
        <v/>
      </c>
      <c r="AB482" s="29"/>
      <c r="AD482" s="60"/>
      <c r="AE482" s="43"/>
      <c r="AF482" s="61" t="str">
        <f t="shared" si="977"/>
        <v/>
      </c>
      <c r="AG482" s="44"/>
      <c r="AH482" s="44" t="str">
        <f t="shared" si="978"/>
        <v/>
      </c>
      <c r="AI482" s="44"/>
      <c r="AJ482" s="44" t="str">
        <f t="shared" si="979"/>
        <v/>
      </c>
      <c r="AK482" s="62"/>
      <c r="AL482" s="47" t="str">
        <f t="shared" si="986"/>
        <v/>
      </c>
      <c r="AM482" s="61" t="str">
        <f t="shared" si="986"/>
        <v/>
      </c>
      <c r="AN482" s="44" t="str">
        <f t="shared" si="970"/>
        <v/>
      </c>
      <c r="AO482" s="46" t="str">
        <f t="shared" si="971"/>
        <v/>
      </c>
      <c r="AP482" s="29"/>
      <c r="AR482" s="60"/>
      <c r="AS482" s="43"/>
      <c r="AT482" s="61" t="str">
        <f t="shared" si="980"/>
        <v/>
      </c>
      <c r="AU482" s="44"/>
      <c r="AV482" s="44" t="str">
        <f t="shared" si="981"/>
        <v/>
      </c>
      <c r="AW482" s="44"/>
      <c r="AX482" s="44" t="str">
        <f t="shared" si="982"/>
        <v/>
      </c>
      <c r="AY482" s="62"/>
      <c r="AZ482" s="47" t="str">
        <f t="shared" si="987"/>
        <v/>
      </c>
      <c r="BA482" s="61" t="str">
        <f t="shared" si="987"/>
        <v/>
      </c>
      <c r="BB482" s="44" t="str">
        <f t="shared" si="973"/>
        <v/>
      </c>
      <c r="BC482" s="46" t="str">
        <f t="shared" si="974"/>
        <v/>
      </c>
      <c r="BD482" s="29"/>
    </row>
    <row r="483" spans="1:56" ht="15" customHeight="1" thickTop="1" x14ac:dyDescent="0.2">
      <c r="A483" s="49"/>
      <c r="B483" s="26">
        <f>SUM(D483:D486)+SUM(R483:R486)+SUM(AF483:AF486)+SUM(AT483:AT486)</f>
        <v>0</v>
      </c>
      <c r="C483" s="4"/>
      <c r="D483" s="4" t="str">
        <f t="shared" si="961"/>
        <v/>
      </c>
      <c r="E483" s="4"/>
      <c r="F483" s="50" t="str">
        <f t="shared" si="983"/>
        <v/>
      </c>
      <c r="G483" s="4"/>
      <c r="H483" s="4" t="str">
        <f t="shared" si="963"/>
        <v/>
      </c>
      <c r="I483" s="51"/>
      <c r="J483" s="31" t="str">
        <f t="shared" si="984"/>
        <v/>
      </c>
      <c r="K483" s="27" t="str">
        <f t="shared" si="984"/>
        <v/>
      </c>
      <c r="L483" s="50" t="str">
        <f t="shared" si="964"/>
        <v/>
      </c>
      <c r="M483" s="52" t="str">
        <f t="shared" si="965"/>
        <v/>
      </c>
      <c r="N483" s="29"/>
      <c r="P483" s="53" t="str">
        <f>IF($A$483="","",$A$483)</f>
        <v/>
      </c>
      <c r="Q483" s="4"/>
      <c r="R483" s="4" t="str">
        <f t="shared" si="966"/>
        <v/>
      </c>
      <c r="S483" s="4"/>
      <c r="T483" s="50" t="str">
        <f t="shared" si="967"/>
        <v/>
      </c>
      <c r="U483" s="4"/>
      <c r="V483" s="4" t="str">
        <f t="shared" si="968"/>
        <v/>
      </c>
      <c r="W483" s="51"/>
      <c r="X483" s="31" t="str">
        <f t="shared" si="985"/>
        <v/>
      </c>
      <c r="Y483" s="27" t="str">
        <f t="shared" si="985"/>
        <v/>
      </c>
      <c r="Z483" s="50" t="str">
        <f t="shared" si="959"/>
        <v/>
      </c>
      <c r="AA483" s="52" t="str">
        <f t="shared" si="960"/>
        <v/>
      </c>
      <c r="AB483" s="29"/>
      <c r="AD483" s="53" t="str">
        <f>IF($A$483="","",$A$483)</f>
        <v/>
      </c>
      <c r="AE483" s="4"/>
      <c r="AF483" s="4" t="str">
        <f t="shared" si="977"/>
        <v/>
      </c>
      <c r="AG483" s="4"/>
      <c r="AH483" s="50" t="str">
        <f t="shared" si="978"/>
        <v/>
      </c>
      <c r="AI483" s="4"/>
      <c r="AJ483" s="4" t="str">
        <f t="shared" si="979"/>
        <v/>
      </c>
      <c r="AK483" s="51"/>
      <c r="AL483" s="31" t="str">
        <f t="shared" si="986"/>
        <v/>
      </c>
      <c r="AM483" s="27" t="str">
        <f t="shared" si="986"/>
        <v/>
      </c>
      <c r="AN483" s="50" t="str">
        <f t="shared" si="970"/>
        <v/>
      </c>
      <c r="AO483" s="52" t="str">
        <f t="shared" si="971"/>
        <v/>
      </c>
      <c r="AP483" s="29"/>
      <c r="AR483" s="53" t="str">
        <f>IF($A$483="","",$A$483)</f>
        <v/>
      </c>
      <c r="AS483" s="4"/>
      <c r="AT483" s="4" t="str">
        <f t="shared" si="980"/>
        <v/>
      </c>
      <c r="AU483" s="4"/>
      <c r="AV483" s="50" t="str">
        <f t="shared" si="981"/>
        <v/>
      </c>
      <c r="AW483" s="4"/>
      <c r="AX483" s="4" t="str">
        <f t="shared" si="982"/>
        <v/>
      </c>
      <c r="AY483" s="51"/>
      <c r="AZ483" s="31" t="str">
        <f t="shared" si="987"/>
        <v/>
      </c>
      <c r="BA483" s="27" t="str">
        <f t="shared" si="987"/>
        <v/>
      </c>
      <c r="BB483" s="50" t="str">
        <f t="shared" si="973"/>
        <v/>
      </c>
      <c r="BC483" s="52" t="str">
        <f t="shared" si="974"/>
        <v/>
      </c>
      <c r="BD483" s="29"/>
    </row>
    <row r="484" spans="1:56" ht="15" customHeight="1" x14ac:dyDescent="0.2">
      <c r="A484" s="54"/>
      <c r="B484" s="37"/>
      <c r="C484" s="5"/>
      <c r="D484" s="5" t="str">
        <f t="shared" si="961"/>
        <v/>
      </c>
      <c r="E484" s="5"/>
      <c r="F484" s="5" t="str">
        <f t="shared" si="983"/>
        <v/>
      </c>
      <c r="G484" s="5"/>
      <c r="H484" s="5" t="str">
        <f t="shared" si="963"/>
        <v/>
      </c>
      <c r="I484" s="35"/>
      <c r="J484" s="38" t="str">
        <f t="shared" si="984"/>
        <v/>
      </c>
      <c r="K484" s="39" t="str">
        <f t="shared" si="984"/>
        <v/>
      </c>
      <c r="L484" s="5" t="str">
        <f t="shared" si="964"/>
        <v/>
      </c>
      <c r="M484" s="36" t="str">
        <f t="shared" si="965"/>
        <v/>
      </c>
      <c r="N484" s="29"/>
      <c r="P484" s="54"/>
      <c r="Q484" s="5"/>
      <c r="R484" s="5" t="str">
        <f t="shared" si="966"/>
        <v/>
      </c>
      <c r="S484" s="5"/>
      <c r="T484" s="5" t="str">
        <f t="shared" si="967"/>
        <v/>
      </c>
      <c r="U484" s="5"/>
      <c r="V484" s="5" t="str">
        <f t="shared" si="968"/>
        <v/>
      </c>
      <c r="W484" s="35"/>
      <c r="X484" s="38" t="str">
        <f t="shared" si="985"/>
        <v/>
      </c>
      <c r="Y484" s="39" t="str">
        <f t="shared" si="985"/>
        <v/>
      </c>
      <c r="Z484" s="5" t="str">
        <f t="shared" si="959"/>
        <v/>
      </c>
      <c r="AA484" s="36" t="str">
        <f t="shared" si="960"/>
        <v/>
      </c>
      <c r="AB484" s="29"/>
      <c r="AD484" s="54"/>
      <c r="AE484" s="5"/>
      <c r="AF484" s="5" t="str">
        <f t="shared" si="977"/>
        <v/>
      </c>
      <c r="AG484" s="5"/>
      <c r="AH484" s="5" t="str">
        <f t="shared" si="978"/>
        <v/>
      </c>
      <c r="AI484" s="5"/>
      <c r="AJ484" s="5" t="str">
        <f t="shared" si="979"/>
        <v/>
      </c>
      <c r="AK484" s="35"/>
      <c r="AL484" s="38" t="str">
        <f t="shared" si="986"/>
        <v/>
      </c>
      <c r="AM484" s="39" t="str">
        <f t="shared" si="986"/>
        <v/>
      </c>
      <c r="AN484" s="5" t="str">
        <f t="shared" si="970"/>
        <v/>
      </c>
      <c r="AO484" s="36" t="str">
        <f t="shared" si="971"/>
        <v/>
      </c>
      <c r="AP484" s="29"/>
      <c r="AR484" s="54"/>
      <c r="AS484" s="5"/>
      <c r="AT484" s="5" t="str">
        <f t="shared" si="980"/>
        <v/>
      </c>
      <c r="AU484" s="5"/>
      <c r="AV484" s="5" t="str">
        <f t="shared" si="981"/>
        <v/>
      </c>
      <c r="AW484" s="5"/>
      <c r="AX484" s="5" t="str">
        <f t="shared" si="982"/>
        <v/>
      </c>
      <c r="AY484" s="35"/>
      <c r="AZ484" s="38" t="str">
        <f t="shared" si="987"/>
        <v/>
      </c>
      <c r="BA484" s="39" t="str">
        <f t="shared" si="987"/>
        <v/>
      </c>
      <c r="BB484" s="5" t="str">
        <f t="shared" si="973"/>
        <v/>
      </c>
      <c r="BC484" s="36" t="str">
        <f t="shared" si="974"/>
        <v/>
      </c>
      <c r="BD484" s="29"/>
    </row>
    <row r="485" spans="1:56" ht="15" customHeight="1" x14ac:dyDescent="0.2">
      <c r="A485" s="54"/>
      <c r="B485" s="37"/>
      <c r="C485" s="58"/>
      <c r="D485" s="5" t="str">
        <f t="shared" si="961"/>
        <v/>
      </c>
      <c r="E485" s="5"/>
      <c r="F485" s="5" t="str">
        <f t="shared" si="983"/>
        <v/>
      </c>
      <c r="G485" s="58"/>
      <c r="H485" s="5" t="str">
        <f t="shared" si="963"/>
        <v/>
      </c>
      <c r="I485" s="59"/>
      <c r="J485" s="38" t="str">
        <f t="shared" si="984"/>
        <v/>
      </c>
      <c r="K485" s="5" t="str">
        <f t="shared" si="984"/>
        <v/>
      </c>
      <c r="L485" s="5" t="str">
        <f t="shared" si="964"/>
        <v/>
      </c>
      <c r="M485" s="36" t="str">
        <f t="shared" si="965"/>
        <v/>
      </c>
      <c r="N485" s="29"/>
      <c r="P485" s="54"/>
      <c r="Q485" s="58"/>
      <c r="R485" s="5" t="str">
        <f t="shared" si="966"/>
        <v/>
      </c>
      <c r="S485" s="5"/>
      <c r="T485" s="5" t="str">
        <f t="shared" si="967"/>
        <v/>
      </c>
      <c r="U485" s="58"/>
      <c r="V485" s="5" t="str">
        <f t="shared" si="968"/>
        <v/>
      </c>
      <c r="W485" s="59"/>
      <c r="X485" s="38" t="str">
        <f t="shared" si="985"/>
        <v/>
      </c>
      <c r="Y485" s="5" t="str">
        <f t="shared" si="985"/>
        <v/>
      </c>
      <c r="Z485" s="5" t="str">
        <f t="shared" si="959"/>
        <v/>
      </c>
      <c r="AA485" s="36" t="str">
        <f t="shared" si="960"/>
        <v/>
      </c>
      <c r="AB485" s="29"/>
      <c r="AD485" s="54"/>
      <c r="AE485" s="58"/>
      <c r="AF485" s="5" t="str">
        <f t="shared" si="977"/>
        <v/>
      </c>
      <c r="AG485" s="5"/>
      <c r="AH485" s="5" t="str">
        <f t="shared" si="978"/>
        <v/>
      </c>
      <c r="AI485" s="58"/>
      <c r="AJ485" s="5" t="str">
        <f t="shared" si="979"/>
        <v/>
      </c>
      <c r="AK485" s="59"/>
      <c r="AL485" s="38" t="str">
        <f t="shared" si="986"/>
        <v/>
      </c>
      <c r="AM485" s="5" t="str">
        <f t="shared" si="986"/>
        <v/>
      </c>
      <c r="AN485" s="5" t="str">
        <f t="shared" si="970"/>
        <v/>
      </c>
      <c r="AO485" s="36" t="str">
        <f t="shared" si="971"/>
        <v/>
      </c>
      <c r="AP485" s="29"/>
      <c r="AR485" s="54"/>
      <c r="AS485" s="58"/>
      <c r="AT485" s="5" t="str">
        <f t="shared" si="980"/>
        <v/>
      </c>
      <c r="AU485" s="5"/>
      <c r="AV485" s="5" t="str">
        <f t="shared" si="981"/>
        <v/>
      </c>
      <c r="AW485" s="58"/>
      <c r="AX485" s="5" t="str">
        <f t="shared" si="982"/>
        <v/>
      </c>
      <c r="AY485" s="59"/>
      <c r="AZ485" s="38" t="str">
        <f t="shared" si="987"/>
        <v/>
      </c>
      <c r="BA485" s="5" t="str">
        <f t="shared" si="987"/>
        <v/>
      </c>
      <c r="BB485" s="5" t="str">
        <f t="shared" si="973"/>
        <v/>
      </c>
      <c r="BC485" s="36" t="str">
        <f t="shared" si="974"/>
        <v/>
      </c>
      <c r="BD485" s="29"/>
    </row>
    <row r="486" spans="1:56" ht="15" customHeight="1" thickBot="1" x14ac:dyDescent="0.25">
      <c r="A486" s="60"/>
      <c r="B486" s="42"/>
      <c r="C486" s="44"/>
      <c r="D486" s="61" t="str">
        <f t="shared" si="961"/>
        <v/>
      </c>
      <c r="E486" s="44"/>
      <c r="F486" s="44" t="str">
        <f t="shared" si="983"/>
        <v/>
      </c>
      <c r="G486" s="44"/>
      <c r="H486" s="44" t="str">
        <f t="shared" si="963"/>
        <v/>
      </c>
      <c r="I486" s="62"/>
      <c r="J486" s="47" t="str">
        <f t="shared" si="984"/>
        <v/>
      </c>
      <c r="K486" s="61" t="str">
        <f t="shared" si="984"/>
        <v/>
      </c>
      <c r="L486" s="44" t="str">
        <f t="shared" si="964"/>
        <v/>
      </c>
      <c r="M486" s="46" t="str">
        <f t="shared" si="965"/>
        <v/>
      </c>
      <c r="N486" s="29"/>
      <c r="P486" s="60"/>
      <c r="Q486" s="44"/>
      <c r="R486" s="61" t="str">
        <f t="shared" si="966"/>
        <v/>
      </c>
      <c r="S486" s="44"/>
      <c r="T486" s="44" t="str">
        <f t="shared" si="967"/>
        <v/>
      </c>
      <c r="U486" s="44"/>
      <c r="V486" s="44" t="str">
        <f t="shared" si="968"/>
        <v/>
      </c>
      <c r="W486" s="62"/>
      <c r="X486" s="47" t="str">
        <f t="shared" si="985"/>
        <v/>
      </c>
      <c r="Y486" s="61" t="str">
        <f t="shared" si="985"/>
        <v/>
      </c>
      <c r="Z486" s="44" t="str">
        <f t="shared" si="959"/>
        <v/>
      </c>
      <c r="AA486" s="46" t="str">
        <f t="shared" si="960"/>
        <v/>
      </c>
      <c r="AB486" s="29"/>
      <c r="AD486" s="60"/>
      <c r="AE486" s="44"/>
      <c r="AF486" s="61" t="str">
        <f t="shared" si="977"/>
        <v/>
      </c>
      <c r="AG486" s="44"/>
      <c r="AH486" s="44" t="str">
        <f t="shared" si="978"/>
        <v/>
      </c>
      <c r="AI486" s="44"/>
      <c r="AJ486" s="44" t="str">
        <f t="shared" si="979"/>
        <v/>
      </c>
      <c r="AK486" s="62"/>
      <c r="AL486" s="47" t="str">
        <f t="shared" si="986"/>
        <v/>
      </c>
      <c r="AM486" s="61" t="str">
        <f t="shared" si="986"/>
        <v/>
      </c>
      <c r="AN486" s="44" t="str">
        <f t="shared" si="970"/>
        <v/>
      </c>
      <c r="AO486" s="46" t="str">
        <f t="shared" si="971"/>
        <v/>
      </c>
      <c r="AP486" s="29"/>
      <c r="AR486" s="60"/>
      <c r="AS486" s="44"/>
      <c r="AT486" s="61" t="str">
        <f t="shared" si="980"/>
        <v/>
      </c>
      <c r="AU486" s="44"/>
      <c r="AV486" s="44" t="str">
        <f t="shared" si="981"/>
        <v/>
      </c>
      <c r="AW486" s="44"/>
      <c r="AX486" s="44" t="str">
        <f t="shared" si="982"/>
        <v/>
      </c>
      <c r="AY486" s="62"/>
      <c r="AZ486" s="47" t="str">
        <f t="shared" si="987"/>
        <v/>
      </c>
      <c r="BA486" s="61" t="str">
        <f t="shared" si="987"/>
        <v/>
      </c>
      <c r="BB486" s="44" t="str">
        <f t="shared" si="973"/>
        <v/>
      </c>
      <c r="BC486" s="46" t="str">
        <f t="shared" si="974"/>
        <v/>
      </c>
      <c r="BD486" s="29"/>
    </row>
    <row r="487" spans="1:56" ht="15" customHeight="1" thickTop="1" x14ac:dyDescent="0.2">
      <c r="A487" s="49"/>
      <c r="B487" s="26">
        <f>SUM(D487:D490)+SUM(R487:R490)+SUM(AF487:AF490)+SUM(AT487:AT490)</f>
        <v>0</v>
      </c>
      <c r="C487" s="4"/>
      <c r="D487" s="4" t="str">
        <f t="shared" si="961"/>
        <v/>
      </c>
      <c r="E487" s="4"/>
      <c r="F487" s="50" t="str">
        <f t="shared" si="983"/>
        <v/>
      </c>
      <c r="G487" s="4"/>
      <c r="H487" s="4" t="str">
        <f t="shared" si="963"/>
        <v/>
      </c>
      <c r="I487" s="51"/>
      <c r="J487" s="31" t="str">
        <f t="shared" si="984"/>
        <v/>
      </c>
      <c r="K487" s="27" t="str">
        <f t="shared" si="984"/>
        <v/>
      </c>
      <c r="L487" s="50" t="str">
        <f t="shared" si="964"/>
        <v/>
      </c>
      <c r="M487" s="52" t="str">
        <f t="shared" si="965"/>
        <v/>
      </c>
      <c r="N487" s="29"/>
      <c r="P487" s="53" t="str">
        <f>IF($A$487="","",$A$487)</f>
        <v/>
      </c>
      <c r="Q487" s="4"/>
      <c r="R487" s="4" t="str">
        <f t="shared" si="966"/>
        <v/>
      </c>
      <c r="S487" s="4"/>
      <c r="T487" s="50" t="str">
        <f t="shared" si="967"/>
        <v/>
      </c>
      <c r="U487" s="4"/>
      <c r="V487" s="4" t="str">
        <f t="shared" si="968"/>
        <v/>
      </c>
      <c r="W487" s="51"/>
      <c r="X487" s="31" t="str">
        <f t="shared" si="985"/>
        <v/>
      </c>
      <c r="Y487" s="27" t="str">
        <f t="shared" si="985"/>
        <v/>
      </c>
      <c r="Z487" s="50" t="str">
        <f t="shared" si="959"/>
        <v/>
      </c>
      <c r="AA487" s="52" t="str">
        <f t="shared" si="960"/>
        <v/>
      </c>
      <c r="AB487" s="29"/>
      <c r="AD487" s="53" t="str">
        <f>IF($A$487="","",$A$487)</f>
        <v/>
      </c>
      <c r="AE487" s="4"/>
      <c r="AF487" s="4" t="str">
        <f t="shared" si="977"/>
        <v/>
      </c>
      <c r="AG487" s="4"/>
      <c r="AH487" s="50" t="str">
        <f t="shared" si="978"/>
        <v/>
      </c>
      <c r="AI487" s="4"/>
      <c r="AJ487" s="4" t="str">
        <f t="shared" si="979"/>
        <v/>
      </c>
      <c r="AK487" s="51"/>
      <c r="AL487" s="31" t="str">
        <f t="shared" si="986"/>
        <v/>
      </c>
      <c r="AM487" s="27" t="str">
        <f t="shared" si="986"/>
        <v/>
      </c>
      <c r="AN487" s="50" t="str">
        <f t="shared" si="970"/>
        <v/>
      </c>
      <c r="AO487" s="52" t="str">
        <f t="shared" si="971"/>
        <v/>
      </c>
      <c r="AP487" s="29"/>
      <c r="AR487" s="53" t="str">
        <f>IF($A$487="","",$A$487)</f>
        <v/>
      </c>
      <c r="AS487" s="4"/>
      <c r="AT487" s="4" t="str">
        <f t="shared" si="980"/>
        <v/>
      </c>
      <c r="AU487" s="4"/>
      <c r="AV487" s="50" t="str">
        <f t="shared" si="981"/>
        <v/>
      </c>
      <c r="AW487" s="4"/>
      <c r="AX487" s="4" t="str">
        <f t="shared" si="982"/>
        <v/>
      </c>
      <c r="AY487" s="51"/>
      <c r="AZ487" s="31" t="str">
        <f t="shared" si="987"/>
        <v/>
      </c>
      <c r="BA487" s="27" t="str">
        <f t="shared" si="987"/>
        <v/>
      </c>
      <c r="BB487" s="50" t="str">
        <f t="shared" si="973"/>
        <v/>
      </c>
      <c r="BC487" s="52" t="str">
        <f t="shared" si="974"/>
        <v/>
      </c>
      <c r="BD487" s="29"/>
    </row>
    <row r="488" spans="1:56" ht="15" customHeight="1" x14ac:dyDescent="0.2">
      <c r="A488" s="54"/>
      <c r="B488" s="37"/>
      <c r="C488" s="4"/>
      <c r="D488" s="5" t="str">
        <f t="shared" si="961"/>
        <v/>
      </c>
      <c r="E488" s="5"/>
      <c r="F488" s="5" t="str">
        <f t="shared" si="983"/>
        <v/>
      </c>
      <c r="G488" s="5"/>
      <c r="H488" s="5" t="str">
        <f t="shared" si="963"/>
        <v/>
      </c>
      <c r="I488" s="35"/>
      <c r="J488" s="38" t="str">
        <f t="shared" si="984"/>
        <v/>
      </c>
      <c r="K488" s="39" t="str">
        <f t="shared" si="984"/>
        <v/>
      </c>
      <c r="L488" s="5" t="str">
        <f t="shared" si="964"/>
        <v/>
      </c>
      <c r="M488" s="36" t="str">
        <f t="shared" si="965"/>
        <v/>
      </c>
      <c r="N488" s="29"/>
      <c r="P488" s="54"/>
      <c r="Q488" s="4"/>
      <c r="R488" s="5" t="str">
        <f t="shared" si="966"/>
        <v/>
      </c>
      <c r="S488" s="5"/>
      <c r="T488" s="5" t="str">
        <f t="shared" si="967"/>
        <v/>
      </c>
      <c r="U488" s="5"/>
      <c r="V488" s="5" t="str">
        <f t="shared" si="968"/>
        <v/>
      </c>
      <c r="W488" s="35"/>
      <c r="X488" s="38" t="str">
        <f t="shared" si="985"/>
        <v/>
      </c>
      <c r="Y488" s="39" t="str">
        <f t="shared" si="985"/>
        <v/>
      </c>
      <c r="Z488" s="5" t="str">
        <f t="shared" si="959"/>
        <v/>
      </c>
      <c r="AA488" s="36" t="str">
        <f t="shared" si="960"/>
        <v/>
      </c>
      <c r="AB488" s="29"/>
      <c r="AD488" s="54"/>
      <c r="AE488" s="4"/>
      <c r="AF488" s="5" t="str">
        <f t="shared" si="977"/>
        <v/>
      </c>
      <c r="AG488" s="5"/>
      <c r="AH488" s="5" t="str">
        <f t="shared" si="978"/>
        <v/>
      </c>
      <c r="AI488" s="5"/>
      <c r="AJ488" s="5" t="str">
        <f t="shared" si="979"/>
        <v/>
      </c>
      <c r="AK488" s="35"/>
      <c r="AL488" s="38" t="str">
        <f t="shared" si="986"/>
        <v/>
      </c>
      <c r="AM488" s="39" t="str">
        <f t="shared" si="986"/>
        <v/>
      </c>
      <c r="AN488" s="5" t="str">
        <f t="shared" si="970"/>
        <v/>
      </c>
      <c r="AO488" s="36" t="str">
        <f t="shared" si="971"/>
        <v/>
      </c>
      <c r="AP488" s="29"/>
      <c r="AR488" s="54"/>
      <c r="AS488" s="4"/>
      <c r="AT488" s="5" t="str">
        <f t="shared" si="980"/>
        <v/>
      </c>
      <c r="AU488" s="5"/>
      <c r="AV488" s="5" t="str">
        <f t="shared" si="981"/>
        <v/>
      </c>
      <c r="AW488" s="5"/>
      <c r="AX488" s="5" t="str">
        <f t="shared" si="982"/>
        <v/>
      </c>
      <c r="AY488" s="35"/>
      <c r="AZ488" s="38" t="str">
        <f t="shared" si="987"/>
        <v/>
      </c>
      <c r="BA488" s="39" t="str">
        <f t="shared" si="987"/>
        <v/>
      </c>
      <c r="BB488" s="5" t="str">
        <f t="shared" si="973"/>
        <v/>
      </c>
      <c r="BC488" s="36" t="str">
        <f t="shared" si="974"/>
        <v/>
      </c>
      <c r="BD488" s="29"/>
    </row>
    <row r="489" spans="1:56" ht="15" customHeight="1" x14ac:dyDescent="0.2">
      <c r="A489" s="54"/>
      <c r="B489" s="37"/>
      <c r="C489" s="57"/>
      <c r="D489" s="5" t="str">
        <f t="shared" si="961"/>
        <v/>
      </c>
      <c r="E489" s="5"/>
      <c r="F489" s="5" t="str">
        <f t="shared" si="983"/>
        <v/>
      </c>
      <c r="G489" s="5"/>
      <c r="H489" s="5" t="str">
        <f t="shared" si="963"/>
        <v/>
      </c>
      <c r="I489" s="35"/>
      <c r="J489" s="38" t="str">
        <f t="shared" si="984"/>
        <v/>
      </c>
      <c r="K489" s="5" t="str">
        <f t="shared" si="984"/>
        <v/>
      </c>
      <c r="L489" s="5" t="str">
        <f t="shared" si="964"/>
        <v/>
      </c>
      <c r="M489" s="36" t="str">
        <f t="shared" si="965"/>
        <v/>
      </c>
      <c r="N489" s="29"/>
      <c r="P489" s="54"/>
      <c r="Q489" s="57"/>
      <c r="R489" s="5" t="str">
        <f t="shared" si="966"/>
        <v/>
      </c>
      <c r="S489" s="5"/>
      <c r="T489" s="5" t="str">
        <f t="shared" si="967"/>
        <v/>
      </c>
      <c r="U489" s="5"/>
      <c r="V489" s="5" t="str">
        <f t="shared" si="968"/>
        <v/>
      </c>
      <c r="W489" s="35"/>
      <c r="X489" s="38" t="str">
        <f t="shared" si="985"/>
        <v/>
      </c>
      <c r="Y489" s="5" t="str">
        <f t="shared" si="985"/>
        <v/>
      </c>
      <c r="Z489" s="5" t="str">
        <f t="shared" si="959"/>
        <v/>
      </c>
      <c r="AA489" s="36" t="str">
        <f t="shared" si="960"/>
        <v/>
      </c>
      <c r="AB489" s="29"/>
      <c r="AD489" s="54"/>
      <c r="AE489" s="57"/>
      <c r="AF489" s="5" t="str">
        <f t="shared" si="977"/>
        <v/>
      </c>
      <c r="AG489" s="5"/>
      <c r="AH489" s="5" t="str">
        <f t="shared" si="978"/>
        <v/>
      </c>
      <c r="AI489" s="5"/>
      <c r="AJ489" s="5" t="str">
        <f t="shared" si="979"/>
        <v/>
      </c>
      <c r="AK489" s="35"/>
      <c r="AL489" s="38" t="str">
        <f t="shared" si="986"/>
        <v/>
      </c>
      <c r="AM489" s="5" t="str">
        <f t="shared" si="986"/>
        <v/>
      </c>
      <c r="AN489" s="5" t="str">
        <f t="shared" si="970"/>
        <v/>
      </c>
      <c r="AO489" s="36" t="str">
        <f t="shared" si="971"/>
        <v/>
      </c>
      <c r="AP489" s="29"/>
      <c r="AR489" s="54"/>
      <c r="AS489" s="57"/>
      <c r="AT489" s="5" t="str">
        <f t="shared" si="980"/>
        <v/>
      </c>
      <c r="AU489" s="5"/>
      <c r="AV489" s="5" t="str">
        <f t="shared" si="981"/>
        <v/>
      </c>
      <c r="AW489" s="5"/>
      <c r="AX489" s="5" t="str">
        <f t="shared" si="982"/>
        <v/>
      </c>
      <c r="AY489" s="35"/>
      <c r="AZ489" s="38" t="str">
        <f t="shared" si="987"/>
        <v/>
      </c>
      <c r="BA489" s="5" t="str">
        <f t="shared" si="987"/>
        <v/>
      </c>
      <c r="BB489" s="5" t="str">
        <f t="shared" si="973"/>
        <v/>
      </c>
      <c r="BC489" s="36" t="str">
        <f t="shared" si="974"/>
        <v/>
      </c>
      <c r="BD489" s="29"/>
    </row>
    <row r="490" spans="1:56" ht="15" customHeight="1" thickBot="1" x14ac:dyDescent="0.25">
      <c r="A490" s="60"/>
      <c r="B490" s="42"/>
      <c r="C490" s="43"/>
      <c r="D490" s="61" t="str">
        <f t="shared" si="961"/>
        <v/>
      </c>
      <c r="E490" s="44"/>
      <c r="F490" s="44" t="str">
        <f t="shared" si="983"/>
        <v/>
      </c>
      <c r="G490" s="44"/>
      <c r="H490" s="44" t="str">
        <f t="shared" si="963"/>
        <v/>
      </c>
      <c r="I490" s="62"/>
      <c r="J490" s="47" t="str">
        <f t="shared" ref="J490:K502" si="988">IF(C490="","",J486)</f>
        <v/>
      </c>
      <c r="K490" s="61" t="str">
        <f t="shared" si="988"/>
        <v/>
      </c>
      <c r="L490" s="44" t="str">
        <f t="shared" si="964"/>
        <v/>
      </c>
      <c r="M490" s="46" t="str">
        <f t="shared" si="965"/>
        <v/>
      </c>
      <c r="N490" s="29"/>
      <c r="P490" s="60"/>
      <c r="Q490" s="43"/>
      <c r="R490" s="61" t="str">
        <f t="shared" si="966"/>
        <v/>
      </c>
      <c r="S490" s="44"/>
      <c r="T490" s="44" t="str">
        <f t="shared" si="967"/>
        <v/>
      </c>
      <c r="U490" s="44"/>
      <c r="V490" s="44" t="str">
        <f t="shared" si="968"/>
        <v/>
      </c>
      <c r="W490" s="62"/>
      <c r="X490" s="47" t="str">
        <f t="shared" ref="X490:Y502" si="989">IF(Q490="","",X486)</f>
        <v/>
      </c>
      <c r="Y490" s="61" t="str">
        <f t="shared" si="989"/>
        <v/>
      </c>
      <c r="Z490" s="44" t="str">
        <f t="shared" si="959"/>
        <v/>
      </c>
      <c r="AA490" s="46" t="str">
        <f t="shared" si="960"/>
        <v/>
      </c>
      <c r="AB490" s="29"/>
      <c r="AD490" s="60"/>
      <c r="AE490" s="43"/>
      <c r="AF490" s="61" t="str">
        <f t="shared" si="977"/>
        <v/>
      </c>
      <c r="AG490" s="44"/>
      <c r="AH490" s="44" t="str">
        <f t="shared" si="978"/>
        <v/>
      </c>
      <c r="AI490" s="44"/>
      <c r="AJ490" s="44" t="str">
        <f t="shared" si="979"/>
        <v/>
      </c>
      <c r="AK490" s="62"/>
      <c r="AL490" s="47" t="str">
        <f t="shared" ref="AL490:AM502" si="990">IF(AE490="","",AL486)</f>
        <v/>
      </c>
      <c r="AM490" s="61" t="str">
        <f t="shared" si="990"/>
        <v/>
      </c>
      <c r="AN490" s="44" t="str">
        <f t="shared" si="970"/>
        <v/>
      </c>
      <c r="AO490" s="46" t="str">
        <f t="shared" si="971"/>
        <v/>
      </c>
      <c r="AP490" s="29"/>
      <c r="AR490" s="60"/>
      <c r="AS490" s="43"/>
      <c r="AT490" s="61" t="str">
        <f t="shared" si="980"/>
        <v/>
      </c>
      <c r="AU490" s="44"/>
      <c r="AV490" s="44" t="str">
        <f t="shared" si="981"/>
        <v/>
      </c>
      <c r="AW490" s="44"/>
      <c r="AX490" s="44" t="str">
        <f t="shared" si="982"/>
        <v/>
      </c>
      <c r="AY490" s="62"/>
      <c r="AZ490" s="47" t="str">
        <f t="shared" ref="AZ490:BA502" si="991">IF(AS490="","",AZ486)</f>
        <v/>
      </c>
      <c r="BA490" s="61" t="str">
        <f t="shared" si="991"/>
        <v/>
      </c>
      <c r="BB490" s="44" t="str">
        <f t="shared" si="973"/>
        <v/>
      </c>
      <c r="BC490" s="46" t="str">
        <f t="shared" si="974"/>
        <v/>
      </c>
      <c r="BD490" s="29"/>
    </row>
    <row r="491" spans="1:56" ht="15" customHeight="1" thickTop="1" x14ac:dyDescent="0.2">
      <c r="A491" s="49"/>
      <c r="B491" s="26">
        <f>SUM(D491:D494)+SUM(R491:R494)+SUM(AF491:AF494)+SUM(AT491:AT494)</f>
        <v>0</v>
      </c>
      <c r="C491" s="4"/>
      <c r="D491" s="4" t="str">
        <f t="shared" si="961"/>
        <v/>
      </c>
      <c r="E491" s="4"/>
      <c r="F491" s="50" t="str">
        <f t="shared" si="983"/>
        <v/>
      </c>
      <c r="G491" s="4"/>
      <c r="H491" s="4" t="str">
        <f t="shared" si="963"/>
        <v/>
      </c>
      <c r="I491" s="35"/>
      <c r="J491" s="31" t="str">
        <f t="shared" si="988"/>
        <v/>
      </c>
      <c r="K491" s="27" t="str">
        <f t="shared" si="988"/>
        <v/>
      </c>
      <c r="L491" s="50" t="str">
        <f t="shared" si="964"/>
        <v/>
      </c>
      <c r="M491" s="52" t="str">
        <f t="shared" si="965"/>
        <v/>
      </c>
      <c r="N491" s="29"/>
      <c r="P491" s="53" t="str">
        <f>IF($A$491="","",$A$491)</f>
        <v/>
      </c>
      <c r="Q491" s="4"/>
      <c r="R491" s="4" t="str">
        <f t="shared" si="966"/>
        <v/>
      </c>
      <c r="S491" s="4"/>
      <c r="T491" s="50" t="str">
        <f t="shared" si="967"/>
        <v/>
      </c>
      <c r="U491" s="4"/>
      <c r="V491" s="4" t="str">
        <f t="shared" si="968"/>
        <v/>
      </c>
      <c r="W491" s="35"/>
      <c r="X491" s="31" t="str">
        <f t="shared" si="989"/>
        <v/>
      </c>
      <c r="Y491" s="27" t="str">
        <f t="shared" si="989"/>
        <v/>
      </c>
      <c r="Z491" s="50" t="str">
        <f t="shared" si="959"/>
        <v/>
      </c>
      <c r="AA491" s="52" t="str">
        <f t="shared" si="960"/>
        <v/>
      </c>
      <c r="AB491" s="29"/>
      <c r="AD491" s="53" t="str">
        <f>IF($A$491="","",$A$491)</f>
        <v/>
      </c>
      <c r="AE491" s="4"/>
      <c r="AF491" s="4" t="str">
        <f t="shared" si="977"/>
        <v/>
      </c>
      <c r="AG491" s="4"/>
      <c r="AH491" s="50" t="str">
        <f t="shared" si="978"/>
        <v/>
      </c>
      <c r="AI491" s="4"/>
      <c r="AJ491" s="4" t="str">
        <f t="shared" si="979"/>
        <v/>
      </c>
      <c r="AK491" s="35"/>
      <c r="AL491" s="31" t="str">
        <f t="shared" si="990"/>
        <v/>
      </c>
      <c r="AM491" s="27" t="str">
        <f t="shared" si="990"/>
        <v/>
      </c>
      <c r="AN491" s="50" t="str">
        <f t="shared" si="970"/>
        <v/>
      </c>
      <c r="AO491" s="52" t="str">
        <f t="shared" si="971"/>
        <v/>
      </c>
      <c r="AP491" s="29"/>
      <c r="AR491" s="53" t="str">
        <f>IF($A$491="","",$A$491)</f>
        <v/>
      </c>
      <c r="AS491" s="4"/>
      <c r="AT491" s="4" t="str">
        <f t="shared" si="980"/>
        <v/>
      </c>
      <c r="AU491" s="4"/>
      <c r="AV491" s="50" t="str">
        <f t="shared" si="981"/>
        <v/>
      </c>
      <c r="AW491" s="4"/>
      <c r="AX491" s="4" t="str">
        <f t="shared" si="982"/>
        <v/>
      </c>
      <c r="AY491" s="35"/>
      <c r="AZ491" s="31" t="str">
        <f t="shared" si="991"/>
        <v/>
      </c>
      <c r="BA491" s="27" t="str">
        <f t="shared" si="991"/>
        <v/>
      </c>
      <c r="BB491" s="50" t="str">
        <f t="shared" si="973"/>
        <v/>
      </c>
      <c r="BC491" s="52" t="str">
        <f t="shared" si="974"/>
        <v/>
      </c>
      <c r="BD491" s="29"/>
    </row>
    <row r="492" spans="1:56" ht="15" customHeight="1" x14ac:dyDescent="0.2">
      <c r="A492" s="54"/>
      <c r="B492" s="37"/>
      <c r="C492" s="5"/>
      <c r="D492" s="5" t="str">
        <f t="shared" si="961"/>
        <v/>
      </c>
      <c r="E492" s="5"/>
      <c r="F492" s="5" t="str">
        <f t="shared" si="983"/>
        <v/>
      </c>
      <c r="G492" s="5"/>
      <c r="H492" s="5" t="str">
        <f t="shared" si="963"/>
        <v/>
      </c>
      <c r="I492" s="35"/>
      <c r="J492" s="38" t="str">
        <f t="shared" si="988"/>
        <v/>
      </c>
      <c r="K492" s="39" t="str">
        <f t="shared" si="988"/>
        <v/>
      </c>
      <c r="L492" s="5" t="str">
        <f t="shared" si="964"/>
        <v/>
      </c>
      <c r="M492" s="36" t="str">
        <f t="shared" si="965"/>
        <v/>
      </c>
      <c r="N492" s="29"/>
      <c r="P492" s="54"/>
      <c r="Q492" s="5"/>
      <c r="R492" s="5" t="str">
        <f t="shared" si="966"/>
        <v/>
      </c>
      <c r="S492" s="5"/>
      <c r="T492" s="5" t="str">
        <f t="shared" si="967"/>
        <v/>
      </c>
      <c r="U492" s="5"/>
      <c r="V492" s="5" t="str">
        <f t="shared" si="968"/>
        <v/>
      </c>
      <c r="W492" s="35"/>
      <c r="X492" s="38" t="str">
        <f t="shared" si="989"/>
        <v/>
      </c>
      <c r="Y492" s="39" t="str">
        <f t="shared" si="989"/>
        <v/>
      </c>
      <c r="Z492" s="5" t="str">
        <f t="shared" si="959"/>
        <v/>
      </c>
      <c r="AA492" s="36" t="str">
        <f t="shared" si="960"/>
        <v/>
      </c>
      <c r="AB492" s="29"/>
      <c r="AD492" s="54"/>
      <c r="AE492" s="5"/>
      <c r="AF492" s="5" t="str">
        <f t="shared" si="977"/>
        <v/>
      </c>
      <c r="AG492" s="5"/>
      <c r="AH492" s="5" t="str">
        <f t="shared" si="978"/>
        <v/>
      </c>
      <c r="AI492" s="5"/>
      <c r="AJ492" s="5" t="str">
        <f t="shared" si="979"/>
        <v/>
      </c>
      <c r="AK492" s="35"/>
      <c r="AL492" s="38" t="str">
        <f t="shared" si="990"/>
        <v/>
      </c>
      <c r="AM492" s="39" t="str">
        <f t="shared" si="990"/>
        <v/>
      </c>
      <c r="AN492" s="5" t="str">
        <f t="shared" si="970"/>
        <v/>
      </c>
      <c r="AO492" s="36" t="str">
        <f t="shared" si="971"/>
        <v/>
      </c>
      <c r="AP492" s="29"/>
      <c r="AR492" s="54"/>
      <c r="AS492" s="5"/>
      <c r="AT492" s="5" t="str">
        <f t="shared" si="980"/>
        <v/>
      </c>
      <c r="AU492" s="5"/>
      <c r="AV492" s="5" t="str">
        <f t="shared" si="981"/>
        <v/>
      </c>
      <c r="AW492" s="5"/>
      <c r="AX492" s="5" t="str">
        <f t="shared" si="982"/>
        <v/>
      </c>
      <c r="AY492" s="35"/>
      <c r="AZ492" s="38" t="str">
        <f t="shared" si="991"/>
        <v/>
      </c>
      <c r="BA492" s="39" t="str">
        <f t="shared" si="991"/>
        <v/>
      </c>
      <c r="BB492" s="5" t="str">
        <f t="shared" si="973"/>
        <v/>
      </c>
      <c r="BC492" s="36" t="str">
        <f t="shared" si="974"/>
        <v/>
      </c>
      <c r="BD492" s="29"/>
    </row>
    <row r="493" spans="1:56" ht="15" customHeight="1" x14ac:dyDescent="0.2">
      <c r="A493" s="54"/>
      <c r="B493" s="37"/>
      <c r="C493" s="58"/>
      <c r="D493" s="5" t="str">
        <f t="shared" si="961"/>
        <v/>
      </c>
      <c r="E493" s="5"/>
      <c r="F493" s="5" t="str">
        <f t="shared" si="983"/>
        <v/>
      </c>
      <c r="G493" s="58"/>
      <c r="H493" s="5" t="str">
        <f t="shared" si="963"/>
        <v/>
      </c>
      <c r="I493" s="59"/>
      <c r="J493" s="38" t="str">
        <f t="shared" si="988"/>
        <v/>
      </c>
      <c r="K493" s="5" t="str">
        <f t="shared" si="988"/>
        <v/>
      </c>
      <c r="L493" s="5" t="str">
        <f t="shared" si="964"/>
        <v/>
      </c>
      <c r="M493" s="36" t="str">
        <f t="shared" si="965"/>
        <v/>
      </c>
      <c r="N493" s="29"/>
      <c r="P493" s="25"/>
      <c r="Q493" s="58"/>
      <c r="R493" s="5" t="str">
        <f t="shared" si="966"/>
        <v/>
      </c>
      <c r="S493" s="5"/>
      <c r="T493" s="5" t="str">
        <f t="shared" si="967"/>
        <v/>
      </c>
      <c r="U493" s="58"/>
      <c r="V493" s="5" t="str">
        <f t="shared" si="968"/>
        <v/>
      </c>
      <c r="W493" s="35"/>
      <c r="X493" s="38" t="str">
        <f t="shared" si="989"/>
        <v/>
      </c>
      <c r="Y493" s="5" t="str">
        <f t="shared" si="989"/>
        <v/>
      </c>
      <c r="Z493" s="5" t="str">
        <f t="shared" si="959"/>
        <v/>
      </c>
      <c r="AA493" s="36" t="str">
        <f t="shared" si="960"/>
        <v/>
      </c>
      <c r="AB493" s="29"/>
      <c r="AD493" s="25"/>
      <c r="AE493" s="58"/>
      <c r="AF493" s="5" t="str">
        <f t="shared" si="977"/>
        <v/>
      </c>
      <c r="AG493" s="5"/>
      <c r="AH493" s="5" t="str">
        <f t="shared" si="978"/>
        <v/>
      </c>
      <c r="AI493" s="58"/>
      <c r="AJ493" s="5" t="str">
        <f t="shared" si="979"/>
        <v/>
      </c>
      <c r="AK493" s="35"/>
      <c r="AL493" s="38" t="str">
        <f t="shared" si="990"/>
        <v/>
      </c>
      <c r="AM493" s="5" t="str">
        <f t="shared" si="990"/>
        <v/>
      </c>
      <c r="AN493" s="5" t="str">
        <f t="shared" si="970"/>
        <v/>
      </c>
      <c r="AO493" s="36" t="str">
        <f t="shared" si="971"/>
        <v/>
      </c>
      <c r="AP493" s="29"/>
      <c r="AR493" s="25"/>
      <c r="AS493" s="58"/>
      <c r="AT493" s="5" t="str">
        <f t="shared" si="980"/>
        <v/>
      </c>
      <c r="AU493" s="5"/>
      <c r="AV493" s="5" t="str">
        <f t="shared" si="981"/>
        <v/>
      </c>
      <c r="AW493" s="58"/>
      <c r="AX493" s="5" t="str">
        <f t="shared" si="982"/>
        <v/>
      </c>
      <c r="AY493" s="35"/>
      <c r="AZ493" s="38" t="str">
        <f t="shared" si="991"/>
        <v/>
      </c>
      <c r="BA493" s="5" t="str">
        <f t="shared" si="991"/>
        <v/>
      </c>
      <c r="BB493" s="5" t="str">
        <f t="shared" si="973"/>
        <v/>
      </c>
      <c r="BC493" s="36" t="str">
        <f t="shared" si="974"/>
        <v/>
      </c>
      <c r="BD493" s="29"/>
    </row>
    <row r="494" spans="1:56" ht="15" customHeight="1" thickBot="1" x14ac:dyDescent="0.25">
      <c r="A494" s="60"/>
      <c r="B494" s="73"/>
      <c r="C494" s="44"/>
      <c r="D494" s="61" t="str">
        <f t="shared" si="961"/>
        <v/>
      </c>
      <c r="E494" s="44"/>
      <c r="F494" s="44" t="str">
        <f t="shared" si="983"/>
        <v/>
      </c>
      <c r="G494" s="76"/>
      <c r="H494" s="77" t="str">
        <f t="shared" si="963"/>
        <v/>
      </c>
      <c r="I494" s="78"/>
      <c r="J494" s="79" t="str">
        <f t="shared" si="988"/>
        <v/>
      </c>
      <c r="K494" s="61" t="str">
        <f t="shared" si="988"/>
        <v/>
      </c>
      <c r="L494" s="44" t="str">
        <f t="shared" si="964"/>
        <v/>
      </c>
      <c r="M494" s="46" t="str">
        <f t="shared" si="965"/>
        <v/>
      </c>
      <c r="N494" s="29"/>
      <c r="P494" s="41"/>
      <c r="Q494" s="44"/>
      <c r="R494" s="61" t="str">
        <f t="shared" si="966"/>
        <v/>
      </c>
      <c r="S494" s="44"/>
      <c r="T494" s="44" t="str">
        <f t="shared" si="967"/>
        <v/>
      </c>
      <c r="U494" s="76"/>
      <c r="V494" s="44" t="str">
        <f t="shared" si="968"/>
        <v/>
      </c>
      <c r="W494" s="78"/>
      <c r="X494" s="47" t="str">
        <f t="shared" si="989"/>
        <v/>
      </c>
      <c r="Y494" s="61" t="str">
        <f t="shared" si="989"/>
        <v/>
      </c>
      <c r="Z494" s="44" t="str">
        <f t="shared" si="959"/>
        <v/>
      </c>
      <c r="AA494" s="46" t="str">
        <f t="shared" si="960"/>
        <v/>
      </c>
      <c r="AB494" s="29"/>
      <c r="AD494" s="41"/>
      <c r="AE494" s="44"/>
      <c r="AF494" s="61" t="str">
        <f t="shared" si="977"/>
        <v/>
      </c>
      <c r="AG494" s="44"/>
      <c r="AH494" s="44" t="str">
        <f t="shared" si="978"/>
        <v/>
      </c>
      <c r="AI494" s="76"/>
      <c r="AJ494" s="44" t="str">
        <f t="shared" si="979"/>
        <v/>
      </c>
      <c r="AK494" s="78"/>
      <c r="AL494" s="47" t="str">
        <f t="shared" si="990"/>
        <v/>
      </c>
      <c r="AM494" s="61" t="str">
        <f t="shared" si="990"/>
        <v/>
      </c>
      <c r="AN494" s="44" t="str">
        <f t="shared" si="970"/>
        <v/>
      </c>
      <c r="AO494" s="46" t="str">
        <f t="shared" si="971"/>
        <v/>
      </c>
      <c r="AP494" s="29"/>
      <c r="AR494" s="41"/>
      <c r="AS494" s="44"/>
      <c r="AT494" s="61" t="str">
        <f t="shared" si="980"/>
        <v/>
      </c>
      <c r="AU494" s="44"/>
      <c r="AV494" s="44" t="str">
        <f t="shared" si="981"/>
        <v/>
      </c>
      <c r="AW494" s="76"/>
      <c r="AX494" s="44" t="str">
        <f t="shared" si="982"/>
        <v/>
      </c>
      <c r="AY494" s="78"/>
      <c r="AZ494" s="47" t="str">
        <f t="shared" si="991"/>
        <v/>
      </c>
      <c r="BA494" s="61" t="str">
        <f t="shared" si="991"/>
        <v/>
      </c>
      <c r="BB494" s="44" t="str">
        <f t="shared" si="973"/>
        <v/>
      </c>
      <c r="BC494" s="46" t="str">
        <f t="shared" si="974"/>
        <v/>
      </c>
      <c r="BD494" s="29"/>
    </row>
    <row r="495" spans="1:56" ht="15" customHeight="1" thickTop="1" x14ac:dyDescent="0.2">
      <c r="A495" s="49"/>
      <c r="B495" s="26">
        <f>SUM(D495:D498)+SUM(R495:R498)+SUM(AF495:AF498)+SUM(AT495:AT498)</f>
        <v>0</v>
      </c>
      <c r="C495" s="4"/>
      <c r="D495" s="4" t="str">
        <f t="shared" si="961"/>
        <v/>
      </c>
      <c r="E495" s="4"/>
      <c r="F495" s="50" t="str">
        <f t="shared" si="983"/>
        <v/>
      </c>
      <c r="G495" s="4"/>
      <c r="H495" s="4" t="str">
        <f t="shared" si="963"/>
        <v/>
      </c>
      <c r="I495" s="4"/>
      <c r="J495" s="2" t="str">
        <f t="shared" si="988"/>
        <v/>
      </c>
      <c r="K495" s="27" t="str">
        <f t="shared" si="988"/>
        <v/>
      </c>
      <c r="L495" s="50" t="str">
        <f t="shared" si="964"/>
        <v/>
      </c>
      <c r="M495" s="52" t="str">
        <f t="shared" si="965"/>
        <v/>
      </c>
      <c r="N495" s="29"/>
      <c r="P495" s="80" t="str">
        <f>IF($A$495="","",$A$495)</f>
        <v/>
      </c>
      <c r="Q495" s="4"/>
      <c r="R495" s="4" t="str">
        <f t="shared" si="966"/>
        <v/>
      </c>
      <c r="S495" s="4"/>
      <c r="T495" s="50" t="str">
        <f t="shared" si="967"/>
        <v/>
      </c>
      <c r="U495" s="4"/>
      <c r="V495" s="4" t="str">
        <f t="shared" si="968"/>
        <v/>
      </c>
      <c r="W495" s="4"/>
      <c r="X495" s="2" t="str">
        <f t="shared" si="989"/>
        <v/>
      </c>
      <c r="Y495" s="27" t="str">
        <f t="shared" si="989"/>
        <v/>
      </c>
      <c r="Z495" s="50" t="str">
        <f t="shared" si="959"/>
        <v/>
      </c>
      <c r="AA495" s="52" t="str">
        <f t="shared" si="960"/>
        <v/>
      </c>
      <c r="AB495" s="29"/>
      <c r="AD495" s="80" t="str">
        <f>IF($A$495="","",$A$495)</f>
        <v/>
      </c>
      <c r="AE495" s="4"/>
      <c r="AF495" s="4" t="str">
        <f t="shared" si="977"/>
        <v/>
      </c>
      <c r="AG495" s="4"/>
      <c r="AH495" s="50" t="str">
        <f t="shared" si="978"/>
        <v/>
      </c>
      <c r="AI495" s="4"/>
      <c r="AJ495" s="4" t="str">
        <f t="shared" si="979"/>
        <v/>
      </c>
      <c r="AK495" s="4"/>
      <c r="AL495" s="2" t="str">
        <f t="shared" si="990"/>
        <v/>
      </c>
      <c r="AM495" s="27" t="str">
        <f t="shared" si="990"/>
        <v/>
      </c>
      <c r="AN495" s="50" t="str">
        <f t="shared" si="970"/>
        <v/>
      </c>
      <c r="AO495" s="52" t="str">
        <f t="shared" si="971"/>
        <v/>
      </c>
      <c r="AP495" s="29"/>
      <c r="AR495" s="80" t="str">
        <f>IF($A$495="","",$A$495)</f>
        <v/>
      </c>
      <c r="AS495" s="4"/>
      <c r="AT495" s="4" t="str">
        <f t="shared" si="980"/>
        <v/>
      </c>
      <c r="AU495" s="4"/>
      <c r="AV495" s="50" t="str">
        <f t="shared" si="981"/>
        <v/>
      </c>
      <c r="AW495" s="4"/>
      <c r="AX495" s="4" t="str">
        <f t="shared" si="982"/>
        <v/>
      </c>
      <c r="AY495" s="4"/>
      <c r="AZ495" s="2" t="str">
        <f t="shared" si="991"/>
        <v/>
      </c>
      <c r="BA495" s="27" t="str">
        <f t="shared" si="991"/>
        <v/>
      </c>
      <c r="BB495" s="50" t="str">
        <f t="shared" si="973"/>
        <v/>
      </c>
      <c r="BC495" s="52" t="str">
        <f t="shared" si="974"/>
        <v/>
      </c>
      <c r="BD495" s="29"/>
    </row>
    <row r="496" spans="1:56" ht="15" customHeight="1" x14ac:dyDescent="0.2">
      <c r="A496" s="54"/>
      <c r="B496" s="37"/>
      <c r="C496" s="5"/>
      <c r="D496" s="5" t="str">
        <f t="shared" si="961"/>
        <v/>
      </c>
      <c r="E496" s="5"/>
      <c r="F496" s="5" t="str">
        <f t="shared" si="983"/>
        <v/>
      </c>
      <c r="G496" s="5"/>
      <c r="H496" s="5" t="str">
        <f t="shared" si="963"/>
        <v/>
      </c>
      <c r="I496" s="5"/>
      <c r="J496" s="3" t="str">
        <f t="shared" si="988"/>
        <v/>
      </c>
      <c r="K496" s="39" t="str">
        <f t="shared" si="988"/>
        <v/>
      </c>
      <c r="L496" s="5" t="str">
        <f t="shared" si="964"/>
        <v/>
      </c>
      <c r="M496" s="36" t="str">
        <f t="shared" si="965"/>
        <v/>
      </c>
      <c r="N496" s="29"/>
      <c r="P496" s="25"/>
      <c r="Q496" s="5"/>
      <c r="R496" s="5" t="str">
        <f t="shared" si="966"/>
        <v/>
      </c>
      <c r="S496" s="5"/>
      <c r="T496" s="5" t="str">
        <f t="shared" si="967"/>
        <v/>
      </c>
      <c r="U496" s="5"/>
      <c r="V496" s="5" t="str">
        <f t="shared" si="968"/>
        <v/>
      </c>
      <c r="W496" s="5"/>
      <c r="X496" s="3" t="str">
        <f t="shared" si="989"/>
        <v/>
      </c>
      <c r="Y496" s="39" t="str">
        <f t="shared" si="989"/>
        <v/>
      </c>
      <c r="Z496" s="5" t="str">
        <f t="shared" si="959"/>
        <v/>
      </c>
      <c r="AA496" s="36" t="str">
        <f t="shared" si="960"/>
        <v/>
      </c>
      <c r="AB496" s="29"/>
      <c r="AD496" s="25"/>
      <c r="AE496" s="5"/>
      <c r="AF496" s="5" t="str">
        <f t="shared" si="977"/>
        <v/>
      </c>
      <c r="AG496" s="5"/>
      <c r="AH496" s="5" t="str">
        <f t="shared" si="978"/>
        <v/>
      </c>
      <c r="AI496" s="5"/>
      <c r="AJ496" s="5" t="str">
        <f t="shared" si="979"/>
        <v/>
      </c>
      <c r="AK496" s="5"/>
      <c r="AL496" s="3" t="str">
        <f t="shared" si="990"/>
        <v/>
      </c>
      <c r="AM496" s="39" t="str">
        <f t="shared" si="990"/>
        <v/>
      </c>
      <c r="AN496" s="5" t="str">
        <f t="shared" si="970"/>
        <v/>
      </c>
      <c r="AO496" s="36" t="str">
        <f t="shared" si="971"/>
        <v/>
      </c>
      <c r="AP496" s="29"/>
      <c r="AR496" s="25"/>
      <c r="AS496" s="5"/>
      <c r="AT496" s="5" t="str">
        <f t="shared" si="980"/>
        <v/>
      </c>
      <c r="AU496" s="5"/>
      <c r="AV496" s="5" t="str">
        <f t="shared" si="981"/>
        <v/>
      </c>
      <c r="AW496" s="5"/>
      <c r="AX496" s="5" t="str">
        <f t="shared" si="982"/>
        <v/>
      </c>
      <c r="AY496" s="5"/>
      <c r="AZ496" s="3" t="str">
        <f t="shared" si="991"/>
        <v/>
      </c>
      <c r="BA496" s="39" t="str">
        <f t="shared" si="991"/>
        <v/>
      </c>
      <c r="BB496" s="5" t="str">
        <f t="shared" si="973"/>
        <v/>
      </c>
      <c r="BC496" s="36" t="str">
        <f t="shared" si="974"/>
        <v/>
      </c>
      <c r="BD496" s="29"/>
    </row>
    <row r="497" spans="1:56" ht="15" customHeight="1" x14ac:dyDescent="0.2">
      <c r="A497" s="54"/>
      <c r="B497" s="37"/>
      <c r="C497" s="5"/>
      <c r="D497" s="5" t="str">
        <f t="shared" si="961"/>
        <v/>
      </c>
      <c r="E497" s="5"/>
      <c r="F497" s="5" t="str">
        <f t="shared" si="983"/>
        <v/>
      </c>
      <c r="G497" s="5"/>
      <c r="H497" s="5" t="str">
        <f t="shared" si="963"/>
        <v/>
      </c>
      <c r="I497" s="5"/>
      <c r="J497" s="3" t="str">
        <f t="shared" si="988"/>
        <v/>
      </c>
      <c r="K497" s="5" t="str">
        <f t="shared" si="988"/>
        <v/>
      </c>
      <c r="L497" s="5" t="str">
        <f t="shared" si="964"/>
        <v/>
      </c>
      <c r="M497" s="36" t="str">
        <f t="shared" si="965"/>
        <v/>
      </c>
      <c r="N497" s="29"/>
      <c r="P497" s="25"/>
      <c r="Q497" s="5"/>
      <c r="R497" s="5" t="str">
        <f t="shared" si="966"/>
        <v/>
      </c>
      <c r="S497" s="5"/>
      <c r="T497" s="5" t="str">
        <f t="shared" si="967"/>
        <v/>
      </c>
      <c r="U497" s="5"/>
      <c r="V497" s="5" t="str">
        <f t="shared" si="968"/>
        <v/>
      </c>
      <c r="W497" s="5"/>
      <c r="X497" s="3" t="str">
        <f t="shared" si="989"/>
        <v/>
      </c>
      <c r="Y497" s="5" t="str">
        <f t="shared" si="989"/>
        <v/>
      </c>
      <c r="Z497" s="5" t="str">
        <f t="shared" si="959"/>
        <v/>
      </c>
      <c r="AA497" s="36" t="str">
        <f t="shared" si="960"/>
        <v/>
      </c>
      <c r="AB497" s="29"/>
      <c r="AD497" s="25"/>
      <c r="AE497" s="5"/>
      <c r="AF497" s="5" t="str">
        <f t="shared" si="977"/>
        <v/>
      </c>
      <c r="AG497" s="5"/>
      <c r="AH497" s="5" t="str">
        <f t="shared" si="978"/>
        <v/>
      </c>
      <c r="AI497" s="5"/>
      <c r="AJ497" s="5" t="str">
        <f t="shared" si="979"/>
        <v/>
      </c>
      <c r="AK497" s="5"/>
      <c r="AL497" s="3" t="str">
        <f t="shared" si="990"/>
        <v/>
      </c>
      <c r="AM497" s="5" t="str">
        <f t="shared" si="990"/>
        <v/>
      </c>
      <c r="AN497" s="5" t="str">
        <f t="shared" si="970"/>
        <v/>
      </c>
      <c r="AO497" s="36" t="str">
        <f t="shared" si="971"/>
        <v/>
      </c>
      <c r="AP497" s="29"/>
      <c r="AR497" s="25"/>
      <c r="AS497" s="5"/>
      <c r="AT497" s="5" t="str">
        <f t="shared" si="980"/>
        <v/>
      </c>
      <c r="AU497" s="5"/>
      <c r="AV497" s="5" t="str">
        <f t="shared" si="981"/>
        <v/>
      </c>
      <c r="AW497" s="5"/>
      <c r="AX497" s="5" t="str">
        <f t="shared" si="982"/>
        <v/>
      </c>
      <c r="AY497" s="5"/>
      <c r="AZ497" s="3" t="str">
        <f t="shared" si="991"/>
        <v/>
      </c>
      <c r="BA497" s="5" t="str">
        <f t="shared" si="991"/>
        <v/>
      </c>
      <c r="BB497" s="5" t="str">
        <f t="shared" si="973"/>
        <v/>
      </c>
      <c r="BC497" s="36" t="str">
        <f t="shared" si="974"/>
        <v/>
      </c>
      <c r="BD497" s="29"/>
    </row>
    <row r="498" spans="1:56" ht="15" customHeight="1" thickBot="1" x14ac:dyDescent="0.25">
      <c r="A498" s="60"/>
      <c r="B498" s="73"/>
      <c r="C498" s="44"/>
      <c r="D498" s="44" t="str">
        <f t="shared" si="961"/>
        <v/>
      </c>
      <c r="E498" s="44"/>
      <c r="F498" s="44" t="str">
        <f t="shared" si="983"/>
        <v/>
      </c>
      <c r="G498" s="44"/>
      <c r="H498" s="44"/>
      <c r="I498" s="44"/>
      <c r="J498" s="45" t="str">
        <f t="shared" si="988"/>
        <v/>
      </c>
      <c r="K498" s="61" t="str">
        <f t="shared" si="988"/>
        <v/>
      </c>
      <c r="L498" s="44" t="str">
        <f t="shared" si="964"/>
        <v/>
      </c>
      <c r="M498" s="46" t="str">
        <f t="shared" si="965"/>
        <v/>
      </c>
      <c r="N498" s="29"/>
      <c r="P498" s="41"/>
      <c r="Q498" s="44"/>
      <c r="R498" s="44" t="str">
        <f t="shared" si="966"/>
        <v/>
      </c>
      <c r="S498" s="44"/>
      <c r="T498" s="44" t="str">
        <f t="shared" si="967"/>
        <v/>
      </c>
      <c r="U498" s="44"/>
      <c r="V498" s="44" t="str">
        <f t="shared" si="968"/>
        <v/>
      </c>
      <c r="W498" s="44"/>
      <c r="X498" s="45" t="str">
        <f t="shared" si="989"/>
        <v/>
      </c>
      <c r="Y498" s="61" t="str">
        <f t="shared" si="989"/>
        <v/>
      </c>
      <c r="Z498" s="44" t="str">
        <f t="shared" si="959"/>
        <v/>
      </c>
      <c r="AA498" s="46" t="str">
        <f t="shared" si="960"/>
        <v/>
      </c>
      <c r="AB498" s="29"/>
      <c r="AD498" s="41"/>
      <c r="AE498" s="44"/>
      <c r="AF498" s="44" t="str">
        <f t="shared" si="977"/>
        <v/>
      </c>
      <c r="AG498" s="44"/>
      <c r="AH498" s="44" t="str">
        <f t="shared" si="978"/>
        <v/>
      </c>
      <c r="AI498" s="44"/>
      <c r="AJ498" s="44" t="str">
        <f t="shared" si="979"/>
        <v/>
      </c>
      <c r="AK498" s="44"/>
      <c r="AL498" s="45" t="str">
        <f t="shared" si="990"/>
        <v/>
      </c>
      <c r="AM498" s="61" t="str">
        <f t="shared" si="990"/>
        <v/>
      </c>
      <c r="AN498" s="44" t="str">
        <f t="shared" si="970"/>
        <v/>
      </c>
      <c r="AO498" s="46" t="str">
        <f t="shared" si="971"/>
        <v/>
      </c>
      <c r="AP498" s="29"/>
      <c r="AR498" s="41"/>
      <c r="AS498" s="44"/>
      <c r="AT498" s="44" t="str">
        <f t="shared" si="980"/>
        <v/>
      </c>
      <c r="AU498" s="44"/>
      <c r="AV498" s="44" t="str">
        <f t="shared" si="981"/>
        <v/>
      </c>
      <c r="AW498" s="44"/>
      <c r="AX498" s="44" t="str">
        <f t="shared" si="982"/>
        <v/>
      </c>
      <c r="AY498" s="44"/>
      <c r="AZ498" s="45" t="str">
        <f t="shared" si="991"/>
        <v/>
      </c>
      <c r="BA498" s="61" t="str">
        <f t="shared" si="991"/>
        <v/>
      </c>
      <c r="BB498" s="44" t="str">
        <f t="shared" si="973"/>
        <v/>
      </c>
      <c r="BC498" s="46" t="str">
        <f t="shared" si="974"/>
        <v/>
      </c>
      <c r="BD498" s="29"/>
    </row>
    <row r="499" spans="1:56" ht="15" customHeight="1" thickTop="1" x14ac:dyDescent="0.2">
      <c r="A499" s="49"/>
      <c r="B499" s="26">
        <f>SUM(D499:D502)+SUM(R499:R502)+SUM(AF499:AF502)+SUM(AT499:AT502)</f>
        <v>0</v>
      </c>
      <c r="C499" s="4"/>
      <c r="D499" s="4" t="str">
        <f t="shared" si="961"/>
        <v/>
      </c>
      <c r="E499" s="4"/>
      <c r="F499" s="4" t="str">
        <f t="shared" si="983"/>
        <v/>
      </c>
      <c r="G499" s="4"/>
      <c r="H499" s="4" t="str">
        <f>IF(G499="","",G495+I495-G499)</f>
        <v/>
      </c>
      <c r="I499" s="4"/>
      <c r="J499" s="2" t="str">
        <f t="shared" si="988"/>
        <v/>
      </c>
      <c r="K499" s="4" t="str">
        <f t="shared" si="988"/>
        <v/>
      </c>
      <c r="L499" s="4" t="str">
        <f t="shared" si="964"/>
        <v/>
      </c>
      <c r="M499" s="4" t="str">
        <f t="shared" si="965"/>
        <v/>
      </c>
      <c r="N499" s="29"/>
      <c r="P499" s="80" t="str">
        <f>IF($A$499="","",$A$499)</f>
        <v/>
      </c>
      <c r="Q499" s="4"/>
      <c r="R499" s="4" t="str">
        <f t="shared" si="966"/>
        <v/>
      </c>
      <c r="S499" s="4"/>
      <c r="T499" s="4" t="str">
        <f t="shared" si="967"/>
        <v/>
      </c>
      <c r="U499" s="4"/>
      <c r="V499" s="4" t="str">
        <f t="shared" si="968"/>
        <v/>
      </c>
      <c r="W499" s="4"/>
      <c r="X499" s="2" t="str">
        <f t="shared" si="989"/>
        <v/>
      </c>
      <c r="Y499" s="4" t="str">
        <f t="shared" si="989"/>
        <v/>
      </c>
      <c r="Z499" s="4" t="str">
        <f t="shared" si="959"/>
        <v/>
      </c>
      <c r="AA499" s="4" t="str">
        <f t="shared" si="960"/>
        <v/>
      </c>
      <c r="AB499" s="29"/>
      <c r="AD499" s="80" t="str">
        <f>IF($A$499="","",$A$499)</f>
        <v/>
      </c>
      <c r="AE499" s="4"/>
      <c r="AF499" s="4" t="str">
        <f t="shared" si="977"/>
        <v/>
      </c>
      <c r="AG499" s="4"/>
      <c r="AH499" s="4" t="str">
        <f t="shared" si="978"/>
        <v/>
      </c>
      <c r="AI499" s="4"/>
      <c r="AJ499" s="4" t="str">
        <f t="shared" si="979"/>
        <v/>
      </c>
      <c r="AK499" s="4"/>
      <c r="AL499" s="2" t="str">
        <f t="shared" si="990"/>
        <v/>
      </c>
      <c r="AM499" s="4" t="str">
        <f t="shared" si="990"/>
        <v/>
      </c>
      <c r="AN499" s="4" t="str">
        <f t="shared" si="970"/>
        <v/>
      </c>
      <c r="AO499" s="4" t="str">
        <f t="shared" si="971"/>
        <v/>
      </c>
      <c r="AP499" s="29"/>
      <c r="AR499" s="80" t="str">
        <f>IF($A$499="","",$A$499)</f>
        <v/>
      </c>
      <c r="AS499" s="4"/>
      <c r="AT499" s="4" t="str">
        <f t="shared" si="980"/>
        <v/>
      </c>
      <c r="AU499" s="4"/>
      <c r="AV499" s="4" t="str">
        <f t="shared" si="981"/>
        <v/>
      </c>
      <c r="AW499" s="4"/>
      <c r="AX499" s="4" t="str">
        <f t="shared" si="982"/>
        <v/>
      </c>
      <c r="AY499" s="4"/>
      <c r="AZ499" s="2" t="str">
        <f t="shared" si="991"/>
        <v/>
      </c>
      <c r="BA499" s="4" t="str">
        <f t="shared" si="991"/>
        <v/>
      </c>
      <c r="BB499" s="4" t="str">
        <f t="shared" si="973"/>
        <v/>
      </c>
      <c r="BC499" s="4" t="str">
        <f t="shared" si="974"/>
        <v/>
      </c>
      <c r="BD499" s="29"/>
    </row>
    <row r="500" spans="1:56" ht="15" customHeight="1" x14ac:dyDescent="0.2">
      <c r="A500" s="49"/>
      <c r="B500" s="26"/>
      <c r="C500" s="4"/>
      <c r="D500" s="4" t="str">
        <f t="shared" si="961"/>
        <v/>
      </c>
      <c r="E500" s="4"/>
      <c r="F500" s="4" t="str">
        <f t="shared" si="983"/>
        <v/>
      </c>
      <c r="G500" s="4"/>
      <c r="H500" s="4" t="str">
        <f>IF(G500="","",G496+I496-G500)</f>
        <v/>
      </c>
      <c r="I500" s="4"/>
      <c r="J500" s="2" t="str">
        <f t="shared" si="988"/>
        <v/>
      </c>
      <c r="K500" s="4" t="str">
        <f t="shared" si="988"/>
        <v/>
      </c>
      <c r="L500" s="4" t="str">
        <f t="shared" si="964"/>
        <v/>
      </c>
      <c r="M500" s="4" t="str">
        <f t="shared" si="965"/>
        <v/>
      </c>
      <c r="N500" s="29"/>
      <c r="P500" s="33"/>
      <c r="Q500" s="4"/>
      <c r="R500" s="4" t="str">
        <f t="shared" si="966"/>
        <v/>
      </c>
      <c r="S500" s="4"/>
      <c r="T500" s="4" t="str">
        <f t="shared" si="967"/>
        <v/>
      </c>
      <c r="U500" s="4"/>
      <c r="V500" s="4" t="str">
        <f t="shared" si="968"/>
        <v/>
      </c>
      <c r="W500" s="4"/>
      <c r="X500" s="2" t="str">
        <f t="shared" si="989"/>
        <v/>
      </c>
      <c r="Y500" s="4" t="str">
        <f t="shared" si="989"/>
        <v/>
      </c>
      <c r="Z500" s="4" t="str">
        <f t="shared" si="959"/>
        <v/>
      </c>
      <c r="AA500" s="4" t="str">
        <f t="shared" si="960"/>
        <v/>
      </c>
      <c r="AB500" s="29"/>
      <c r="AD500" s="33"/>
      <c r="AE500" s="4"/>
      <c r="AF500" s="4" t="str">
        <f t="shared" si="977"/>
        <v/>
      </c>
      <c r="AG500" s="4"/>
      <c r="AH500" s="4" t="str">
        <f t="shared" si="978"/>
        <v/>
      </c>
      <c r="AI500" s="4"/>
      <c r="AJ500" s="4" t="str">
        <f t="shared" si="979"/>
        <v/>
      </c>
      <c r="AK500" s="4"/>
      <c r="AL500" s="2" t="str">
        <f t="shared" si="990"/>
        <v/>
      </c>
      <c r="AM500" s="4" t="str">
        <f t="shared" si="990"/>
        <v/>
      </c>
      <c r="AN500" s="4" t="str">
        <f t="shared" si="970"/>
        <v/>
      </c>
      <c r="AO500" s="4" t="str">
        <f t="shared" si="971"/>
        <v/>
      </c>
      <c r="AP500" s="29"/>
      <c r="AR500" s="33"/>
      <c r="AS500" s="4"/>
      <c r="AT500" s="4" t="str">
        <f t="shared" si="980"/>
        <v/>
      </c>
      <c r="AU500" s="4"/>
      <c r="AV500" s="4" t="str">
        <f t="shared" si="981"/>
        <v/>
      </c>
      <c r="AW500" s="4"/>
      <c r="AX500" s="4" t="str">
        <f t="shared" si="982"/>
        <v/>
      </c>
      <c r="AY500" s="4"/>
      <c r="AZ500" s="2" t="str">
        <f t="shared" si="991"/>
        <v/>
      </c>
      <c r="BA500" s="4" t="str">
        <f t="shared" si="991"/>
        <v/>
      </c>
      <c r="BB500" s="4" t="str">
        <f t="shared" si="973"/>
        <v/>
      </c>
      <c r="BC500" s="4" t="str">
        <f t="shared" si="974"/>
        <v/>
      </c>
      <c r="BD500" s="29"/>
    </row>
    <row r="501" spans="1:56" ht="15" customHeight="1" x14ac:dyDescent="0.2">
      <c r="A501" s="15"/>
      <c r="B501" s="64"/>
      <c r="C501" s="57"/>
      <c r="D501" s="57" t="str">
        <f t="shared" si="961"/>
        <v/>
      </c>
      <c r="E501" s="57"/>
      <c r="F501" s="57" t="str">
        <f t="shared" si="983"/>
        <v/>
      </c>
      <c r="G501" s="57"/>
      <c r="H501" s="57" t="str">
        <f>IF(G501="","",G497+I497-G501)</f>
        <v/>
      </c>
      <c r="I501" s="57"/>
      <c r="J501" s="81" t="str">
        <f t="shared" si="988"/>
        <v/>
      </c>
      <c r="K501" s="57" t="str">
        <f t="shared" si="988"/>
        <v/>
      </c>
      <c r="L501" s="57" t="str">
        <f t="shared" si="964"/>
        <v/>
      </c>
      <c r="M501" s="57" t="str">
        <f t="shared" si="965"/>
        <v/>
      </c>
      <c r="N501" s="82"/>
      <c r="P501" s="72"/>
      <c r="Q501" s="57"/>
      <c r="R501" s="57" t="str">
        <f t="shared" si="966"/>
        <v/>
      </c>
      <c r="S501" s="57"/>
      <c r="T501" s="57" t="str">
        <f t="shared" si="967"/>
        <v/>
      </c>
      <c r="U501" s="57"/>
      <c r="V501" s="57" t="str">
        <f t="shared" si="968"/>
        <v/>
      </c>
      <c r="W501" s="57"/>
      <c r="X501" s="81" t="str">
        <f t="shared" si="989"/>
        <v/>
      </c>
      <c r="Y501" s="57" t="str">
        <f t="shared" si="989"/>
        <v/>
      </c>
      <c r="Z501" s="57" t="str">
        <f t="shared" si="959"/>
        <v/>
      </c>
      <c r="AA501" s="57" t="str">
        <f t="shared" si="960"/>
        <v/>
      </c>
      <c r="AB501" s="82"/>
      <c r="AD501" s="72"/>
      <c r="AE501" s="57"/>
      <c r="AF501" s="57" t="str">
        <f t="shared" si="977"/>
        <v/>
      </c>
      <c r="AG501" s="57"/>
      <c r="AH501" s="57" t="str">
        <f t="shared" si="978"/>
        <v/>
      </c>
      <c r="AI501" s="57"/>
      <c r="AJ501" s="57" t="str">
        <f t="shared" si="979"/>
        <v/>
      </c>
      <c r="AK501" s="57"/>
      <c r="AL501" s="81" t="str">
        <f t="shared" si="990"/>
        <v/>
      </c>
      <c r="AM501" s="57" t="str">
        <f t="shared" si="990"/>
        <v/>
      </c>
      <c r="AN501" s="57" t="str">
        <f t="shared" si="970"/>
        <v/>
      </c>
      <c r="AO501" s="57" t="str">
        <f t="shared" si="971"/>
        <v/>
      </c>
      <c r="AP501" s="82"/>
      <c r="AR501" s="72"/>
      <c r="AS501" s="57"/>
      <c r="AT501" s="57" t="str">
        <f t="shared" si="980"/>
        <v/>
      </c>
      <c r="AU501" s="57"/>
      <c r="AV501" s="57" t="str">
        <f t="shared" si="981"/>
        <v/>
      </c>
      <c r="AW501" s="57"/>
      <c r="AX501" s="57" t="str">
        <f t="shared" si="982"/>
        <v/>
      </c>
      <c r="AY501" s="57"/>
      <c r="AZ501" s="81" t="str">
        <f t="shared" si="991"/>
        <v/>
      </c>
      <c r="BA501" s="57" t="str">
        <f t="shared" si="991"/>
        <v/>
      </c>
      <c r="BB501" s="57" t="str">
        <f t="shared" si="973"/>
        <v/>
      </c>
      <c r="BC501" s="57" t="str">
        <f t="shared" si="974"/>
        <v/>
      </c>
      <c r="BD501" s="82"/>
    </row>
    <row r="502" spans="1:56" ht="15" customHeight="1" thickBot="1" x14ac:dyDescent="0.25">
      <c r="A502" s="84"/>
      <c r="B502" s="66"/>
      <c r="C502" s="43"/>
      <c r="D502" s="43" t="str">
        <f t="shared" si="961"/>
        <v/>
      </c>
      <c r="E502" s="43"/>
      <c r="F502" s="43" t="str">
        <f t="shared" si="983"/>
        <v/>
      </c>
      <c r="G502" s="43"/>
      <c r="H502" s="43" t="str">
        <f>IF(G502="","",G498+I498-G502)</f>
        <v/>
      </c>
      <c r="I502" s="43"/>
      <c r="J502" s="85" t="str">
        <f t="shared" si="988"/>
        <v/>
      </c>
      <c r="K502" s="43" t="str">
        <f t="shared" si="988"/>
        <v/>
      </c>
      <c r="L502" s="43" t="str">
        <f t="shared" si="964"/>
        <v/>
      </c>
      <c r="M502" s="43" t="str">
        <f t="shared" si="965"/>
        <v/>
      </c>
      <c r="N502" s="86"/>
      <c r="P502" s="87"/>
      <c r="Q502" s="43"/>
      <c r="R502" s="43" t="str">
        <f t="shared" si="966"/>
        <v/>
      </c>
      <c r="S502" s="43"/>
      <c r="T502" s="43" t="str">
        <f t="shared" si="967"/>
        <v/>
      </c>
      <c r="U502" s="43"/>
      <c r="V502" s="43" t="str">
        <f t="shared" si="968"/>
        <v/>
      </c>
      <c r="W502" s="43"/>
      <c r="X502" s="85" t="str">
        <f t="shared" si="989"/>
        <v/>
      </c>
      <c r="Y502" s="43" t="str">
        <f t="shared" si="989"/>
        <v/>
      </c>
      <c r="Z502" s="43" t="str">
        <f t="shared" si="959"/>
        <v/>
      </c>
      <c r="AA502" s="43" t="str">
        <f t="shared" si="960"/>
        <v/>
      </c>
      <c r="AB502" s="86"/>
      <c r="AD502" s="87"/>
      <c r="AE502" s="43"/>
      <c r="AF502" s="43" t="str">
        <f t="shared" si="977"/>
        <v/>
      </c>
      <c r="AG502" s="43"/>
      <c r="AH502" s="43" t="str">
        <f t="shared" si="978"/>
        <v/>
      </c>
      <c r="AI502" s="43"/>
      <c r="AJ502" s="43" t="str">
        <f t="shared" si="979"/>
        <v/>
      </c>
      <c r="AK502" s="43"/>
      <c r="AL502" s="85" t="str">
        <f t="shared" si="990"/>
        <v/>
      </c>
      <c r="AM502" s="43" t="str">
        <f t="shared" si="990"/>
        <v/>
      </c>
      <c r="AN502" s="43" t="str">
        <f t="shared" si="970"/>
        <v/>
      </c>
      <c r="AO502" s="43" t="str">
        <f t="shared" si="971"/>
        <v/>
      </c>
      <c r="AP502" s="86"/>
      <c r="AR502" s="87"/>
      <c r="AS502" s="43"/>
      <c r="AT502" s="43" t="str">
        <f t="shared" si="980"/>
        <v/>
      </c>
      <c r="AU502" s="43"/>
      <c r="AV502" s="43" t="str">
        <f t="shared" si="981"/>
        <v/>
      </c>
      <c r="AW502" s="43"/>
      <c r="AX502" s="43" t="str">
        <f t="shared" si="982"/>
        <v/>
      </c>
      <c r="AY502" s="43"/>
      <c r="AZ502" s="85" t="str">
        <f t="shared" si="991"/>
        <v/>
      </c>
      <c r="BA502" s="43" t="str">
        <f t="shared" si="991"/>
        <v/>
      </c>
      <c r="BB502" s="43" t="str">
        <f t="shared" si="973"/>
        <v/>
      </c>
      <c r="BC502" s="43" t="str">
        <f t="shared" si="974"/>
        <v/>
      </c>
      <c r="BD502" s="86"/>
    </row>
    <row r="503" spans="1:56" ht="15" customHeight="1" thickTop="1" x14ac:dyDescent="0.2">
      <c r="A503" s="33"/>
      <c r="B503" s="26"/>
      <c r="C503" s="89" t="s">
        <v>20</v>
      </c>
      <c r="D503" s="4">
        <f>SUM(D447:D499)*100</f>
        <v>202400</v>
      </c>
      <c r="E503" s="90" t="s">
        <v>284</v>
      </c>
      <c r="F503" s="4"/>
      <c r="G503" s="89"/>
      <c r="H503" s="4"/>
      <c r="I503" s="4"/>
      <c r="J503" s="164" t="s">
        <v>21</v>
      </c>
      <c r="K503" s="164"/>
      <c r="L503" s="4">
        <f>SUM(L447:L499)</f>
        <v>34423</v>
      </c>
      <c r="M503" s="4"/>
      <c r="N503" s="34"/>
      <c r="P503" s="33"/>
      <c r="Q503" s="89" t="s">
        <v>20</v>
      </c>
      <c r="R503" s="4">
        <f>SUM(R447:R499)*100</f>
        <v>190200</v>
      </c>
      <c r="S503" s="90" t="s">
        <v>284</v>
      </c>
      <c r="T503" s="4"/>
      <c r="U503" s="89"/>
      <c r="V503" s="4"/>
      <c r="W503" s="4"/>
      <c r="X503" s="164" t="s">
        <v>21</v>
      </c>
      <c r="Y503" s="164"/>
      <c r="Z503" s="4">
        <f>SUM(Z447:Z499)</f>
        <v>15383</v>
      </c>
      <c r="AA503" s="4"/>
      <c r="AB503" s="34"/>
      <c r="AD503" s="33"/>
      <c r="AE503" s="89" t="s">
        <v>20</v>
      </c>
      <c r="AF503" s="4">
        <f>SUM(AF447:AF499)*100</f>
        <v>7000</v>
      </c>
      <c r="AG503" s="90" t="s">
        <v>284</v>
      </c>
      <c r="AH503" s="4"/>
      <c r="AI503" s="89"/>
      <c r="AJ503" s="4"/>
      <c r="AK503" s="4"/>
      <c r="AL503" s="164" t="s">
        <v>21</v>
      </c>
      <c r="AM503" s="164"/>
      <c r="AN503" s="4">
        <f>SUM(AN447:AN499)</f>
        <v>1986</v>
      </c>
      <c r="AO503" s="4"/>
      <c r="AP503" s="34"/>
      <c r="AR503" s="33"/>
      <c r="AS503" s="89" t="s">
        <v>20</v>
      </c>
      <c r="AT503" s="4">
        <f>SUM(AT447:AT499)*100</f>
        <v>13800</v>
      </c>
      <c r="AU503" s="90" t="s">
        <v>284</v>
      </c>
      <c r="AV503" s="4"/>
      <c r="AW503" s="89"/>
      <c r="AX503" s="4"/>
      <c r="AY503" s="4"/>
      <c r="AZ503" s="164" t="s">
        <v>21</v>
      </c>
      <c r="BA503" s="164"/>
      <c r="BB503" s="4">
        <f>SUM(BB447:BB499)</f>
        <v>2929</v>
      </c>
      <c r="BC503" s="4"/>
      <c r="BD503" s="34"/>
    </row>
    <row r="504" spans="1:56" ht="15" customHeight="1" x14ac:dyDescent="0.2">
      <c r="A504" s="91"/>
      <c r="B504" s="71"/>
      <c r="C504" s="16" t="s">
        <v>22</v>
      </c>
      <c r="D504" s="5">
        <f>D503/A508</f>
        <v>7784.6153846153848</v>
      </c>
      <c r="E504" s="5">
        <f>D504*A507</f>
        <v>202400</v>
      </c>
      <c r="F504" s="5"/>
      <c r="G504" s="16"/>
      <c r="H504" s="5"/>
      <c r="I504" s="5"/>
      <c r="J504" s="161" t="s">
        <v>23</v>
      </c>
      <c r="K504" s="161"/>
      <c r="L504" s="5"/>
      <c r="M504" s="92">
        <f>L503/D503</f>
        <v>0.17007411067193676</v>
      </c>
      <c r="N504" s="29"/>
      <c r="P504" s="93"/>
      <c r="Q504" s="16" t="s">
        <v>22</v>
      </c>
      <c r="R504" s="5">
        <f>R503/A508</f>
        <v>7315.3846153846152</v>
      </c>
      <c r="S504" s="5">
        <f>R504*A507</f>
        <v>190200</v>
      </c>
      <c r="T504" s="5"/>
      <c r="U504" s="16"/>
      <c r="V504" s="5"/>
      <c r="W504" s="5"/>
      <c r="X504" s="161" t="s">
        <v>23</v>
      </c>
      <c r="Y504" s="161"/>
      <c r="Z504" s="5"/>
      <c r="AA504" s="92">
        <f>Z503/R503</f>
        <v>8.0878023133543642E-2</v>
      </c>
      <c r="AB504" s="29"/>
      <c r="AD504" s="93"/>
      <c r="AE504" s="16" t="s">
        <v>22</v>
      </c>
      <c r="AF504" s="5">
        <f>AF503/A508</f>
        <v>269.23076923076923</v>
      </c>
      <c r="AG504" s="5">
        <f>AF504*A507</f>
        <v>7000</v>
      </c>
      <c r="AH504" s="5"/>
      <c r="AI504" s="16"/>
      <c r="AJ504" s="5"/>
      <c r="AK504" s="5"/>
      <c r="AL504" s="161" t="s">
        <v>23</v>
      </c>
      <c r="AM504" s="161"/>
      <c r="AN504" s="5"/>
      <c r="AO504" s="92">
        <f>AN503/AF503</f>
        <v>0.2837142857142857</v>
      </c>
      <c r="AP504" s="29"/>
      <c r="AR504" s="93"/>
      <c r="AS504" s="16" t="s">
        <v>22</v>
      </c>
      <c r="AT504" s="5">
        <f>AT503/A508</f>
        <v>530.76923076923072</v>
      </c>
      <c r="AU504" s="5">
        <f>AT504*A507</f>
        <v>13799.999999999998</v>
      </c>
      <c r="AV504" s="5"/>
      <c r="AW504" s="16"/>
      <c r="AX504" s="5"/>
      <c r="AY504" s="5"/>
      <c r="AZ504" s="161" t="s">
        <v>23</v>
      </c>
      <c r="BA504" s="161"/>
      <c r="BB504" s="5"/>
      <c r="BC504" s="92">
        <f>BB503/AT503</f>
        <v>0.2122463768115942</v>
      </c>
      <c r="BD504" s="29"/>
    </row>
    <row r="505" spans="1:56" ht="15" customHeight="1" x14ac:dyDescent="0.2">
      <c r="A505" s="25"/>
      <c r="B505" s="94"/>
      <c r="C505" s="23" t="s">
        <v>24</v>
      </c>
      <c r="D505" s="5">
        <f>D503*0.6</f>
        <v>121440</v>
      </c>
      <c r="E505" s="5"/>
      <c r="F505" s="5"/>
      <c r="G505" s="16"/>
      <c r="H505" s="5"/>
      <c r="I505" s="5"/>
      <c r="J505" s="161" t="s">
        <v>25</v>
      </c>
      <c r="K505" s="161"/>
      <c r="L505" s="5">
        <f>D505-L503</f>
        <v>87017</v>
      </c>
      <c r="M505" s="92">
        <f>L505/D503</f>
        <v>0.42992588932806325</v>
      </c>
      <c r="N505" s="29"/>
      <c r="P505" s="25"/>
      <c r="Q505" s="23" t="s">
        <v>24</v>
      </c>
      <c r="R505" s="5">
        <f>R503*0.6</f>
        <v>114120</v>
      </c>
      <c r="S505" s="5"/>
      <c r="T505" s="5"/>
      <c r="U505" s="16"/>
      <c r="V505" s="5"/>
      <c r="W505" s="5"/>
      <c r="X505" s="161" t="s">
        <v>25</v>
      </c>
      <c r="Y505" s="161"/>
      <c r="Z505" s="5">
        <f>R505-Z503</f>
        <v>98737</v>
      </c>
      <c r="AA505" s="92">
        <f>Z505/R503</f>
        <v>0.51912197686645634</v>
      </c>
      <c r="AB505" s="29"/>
      <c r="AD505" s="25"/>
      <c r="AE505" s="23" t="s">
        <v>24</v>
      </c>
      <c r="AF505" s="5">
        <f>AF503*0.6</f>
        <v>4200</v>
      </c>
      <c r="AG505" s="5"/>
      <c r="AH505" s="5"/>
      <c r="AI505" s="16"/>
      <c r="AJ505" s="5"/>
      <c r="AK505" s="5"/>
      <c r="AL505" s="161" t="s">
        <v>25</v>
      </c>
      <c r="AM505" s="161"/>
      <c r="AN505" s="5">
        <f>AF505-AN503</f>
        <v>2214</v>
      </c>
      <c r="AO505" s="92">
        <f>AN505/AF503</f>
        <v>0.31628571428571428</v>
      </c>
      <c r="AP505" s="29"/>
      <c r="AR505" s="25"/>
      <c r="AS505" s="23" t="s">
        <v>24</v>
      </c>
      <c r="AT505" s="5">
        <f>AT503*0.6</f>
        <v>8280</v>
      </c>
      <c r="AU505" s="5"/>
      <c r="AV505" s="5"/>
      <c r="AW505" s="16"/>
      <c r="AX505" s="5"/>
      <c r="AY505" s="5"/>
      <c r="AZ505" s="161" t="s">
        <v>25</v>
      </c>
      <c r="BA505" s="161"/>
      <c r="BB505" s="5">
        <f>AT505-BB503</f>
        <v>5351</v>
      </c>
      <c r="BC505" s="92">
        <f>BB505/AT503</f>
        <v>0.38775362318840578</v>
      </c>
      <c r="BD505" s="29"/>
    </row>
    <row r="506" spans="1:56" ht="15" customHeight="1" x14ac:dyDescent="0.2">
      <c r="A506" s="33"/>
      <c r="B506" s="26"/>
      <c r="C506" s="16" t="s">
        <v>26</v>
      </c>
      <c r="D506" s="5"/>
      <c r="E506" s="5"/>
      <c r="F506" s="5"/>
      <c r="G506" s="16"/>
      <c r="H506" s="5"/>
      <c r="I506" s="95"/>
      <c r="J506" s="159" t="s">
        <v>285</v>
      </c>
      <c r="K506" s="159"/>
      <c r="L506" s="4">
        <f>(G459+I459)*K459+(G460+I460)*K460+(G461+I461)*K461+(G462+I462)*K462</f>
        <v>23910</v>
      </c>
      <c r="M506" s="36"/>
      <c r="N506" s="29"/>
      <c r="P506" s="33"/>
      <c r="Q506" s="16" t="s">
        <v>26</v>
      </c>
      <c r="R506" s="5"/>
      <c r="S506" s="5"/>
      <c r="T506" s="5"/>
      <c r="U506" s="16"/>
      <c r="V506" s="5"/>
      <c r="W506" s="95"/>
      <c r="X506" s="159" t="s">
        <v>285</v>
      </c>
      <c r="Y506" s="159"/>
      <c r="Z506" s="4">
        <f>(U459+W459)*Y459+(U460+W460)*Y460+(U461+W461)*Y461+(U462+W462)*Y462</f>
        <v>41832</v>
      </c>
      <c r="AA506" s="36"/>
      <c r="AB506" s="29"/>
      <c r="AD506" s="33"/>
      <c r="AE506" s="16" t="s">
        <v>26</v>
      </c>
      <c r="AF506" s="5"/>
      <c r="AG506" s="5"/>
      <c r="AH506" s="5"/>
      <c r="AI506" s="16"/>
      <c r="AJ506" s="5"/>
      <c r="AK506" s="95"/>
      <c r="AL506" s="159" t="s">
        <v>285</v>
      </c>
      <c r="AM506" s="159"/>
      <c r="AN506" s="4">
        <f>(AI459+AK459)*AM459+(AI460+AK460)*AM460+(AI461+AK461)*AM461+(AI462+AK462)*AM462</f>
        <v>27956</v>
      </c>
      <c r="AO506" s="36"/>
      <c r="AP506" s="29"/>
      <c r="AR506" s="33"/>
      <c r="AS506" s="16" t="s">
        <v>26</v>
      </c>
      <c r="AT506" s="5"/>
      <c r="AU506" s="5"/>
      <c r="AV506" s="5"/>
      <c r="AW506" s="16"/>
      <c r="AX506" s="5"/>
      <c r="AY506" s="95"/>
      <c r="AZ506" s="159" t="s">
        <v>285</v>
      </c>
      <c r="BA506" s="159"/>
      <c r="BB506" s="4">
        <f>(AW459+AY459)*BA459+(AW460+AY460)*BA460+(AW461+AY461)*BA461+(AW462+AY462)*BA462</f>
        <v>30912</v>
      </c>
      <c r="BC506" s="36"/>
      <c r="BD506" s="29"/>
    </row>
    <row r="507" spans="1:56" ht="15" customHeight="1" x14ac:dyDescent="0.2">
      <c r="A507" s="15">
        <v>26</v>
      </c>
      <c r="B507" s="96">
        <f>SUM(B447:B499)*100</f>
        <v>659500</v>
      </c>
      <c r="C507" s="16"/>
      <c r="D507" s="5"/>
      <c r="E507" s="5"/>
      <c r="F507" s="5"/>
      <c r="G507" s="16"/>
      <c r="H507" s="5"/>
      <c r="I507" s="95"/>
      <c r="J507" s="97"/>
      <c r="K507" s="98"/>
      <c r="L507" s="27"/>
      <c r="M507" s="36"/>
      <c r="N507" s="29"/>
      <c r="P507" s="33"/>
      <c r="Q507" s="16"/>
      <c r="R507" s="5"/>
      <c r="S507" s="5"/>
      <c r="T507" s="5"/>
      <c r="U507" s="16"/>
      <c r="V507" s="5"/>
      <c r="W507" s="95"/>
      <c r="X507" s="97"/>
      <c r="Y507" s="98"/>
      <c r="Z507" s="27"/>
      <c r="AA507" s="36"/>
      <c r="AB507" s="29"/>
      <c r="AD507" s="33"/>
      <c r="AE507" s="16"/>
      <c r="AF507" s="5"/>
      <c r="AG507" s="5"/>
      <c r="AH507" s="5"/>
      <c r="AI507" s="16"/>
      <c r="AJ507" s="5"/>
      <c r="AK507" s="95"/>
      <c r="AL507" s="97"/>
      <c r="AM507" s="98"/>
      <c r="AN507" s="27"/>
      <c r="AO507" s="36"/>
      <c r="AP507" s="29"/>
      <c r="AR507" s="33"/>
      <c r="AS507" s="16"/>
      <c r="AT507" s="5"/>
      <c r="AU507" s="5"/>
      <c r="AV507" s="5"/>
      <c r="AW507" s="16"/>
      <c r="AX507" s="5"/>
      <c r="AY507" s="95"/>
      <c r="AZ507" s="97"/>
      <c r="BA507" s="98"/>
      <c r="BB507" s="27"/>
      <c r="BC507" s="36"/>
      <c r="BD507" s="29"/>
    </row>
    <row r="508" spans="1:56" ht="15" customHeight="1" x14ac:dyDescent="0.2">
      <c r="A508" s="100">
        <f>DATEDIF(A$521,A459,"d")</f>
        <v>26</v>
      </c>
      <c r="B508" s="26"/>
      <c r="C508" s="16"/>
      <c r="D508" s="5"/>
      <c r="E508" s="58"/>
      <c r="F508" s="5"/>
      <c r="G508" s="16"/>
      <c r="H508" s="5"/>
      <c r="I508" s="95"/>
      <c r="J508" s="97"/>
      <c r="K508" s="98"/>
      <c r="L508" s="27"/>
      <c r="M508" s="36"/>
      <c r="N508" s="29"/>
      <c r="P508" s="33"/>
      <c r="Q508" s="16"/>
      <c r="R508" s="5"/>
      <c r="S508" s="5"/>
      <c r="T508" s="5"/>
      <c r="U508" s="16"/>
      <c r="V508" s="5"/>
      <c r="W508" s="95"/>
      <c r="X508" s="97"/>
      <c r="Y508" s="98"/>
      <c r="Z508" s="27"/>
      <c r="AA508" s="36"/>
      <c r="AB508" s="29"/>
      <c r="AD508" s="33"/>
      <c r="AE508" s="16"/>
      <c r="AF508" s="5"/>
      <c r="AG508" s="5"/>
      <c r="AH508" s="5"/>
      <c r="AI508" s="16"/>
      <c r="AJ508" s="5"/>
      <c r="AK508" s="95"/>
      <c r="AL508" s="97"/>
      <c r="AM508" s="98"/>
      <c r="AN508" s="27"/>
      <c r="AO508" s="36"/>
      <c r="AP508" s="29"/>
      <c r="AR508" s="33"/>
      <c r="AS508" s="16"/>
      <c r="AT508" s="5"/>
      <c r="AU508" s="5"/>
      <c r="AV508" s="5"/>
      <c r="AW508" s="16"/>
      <c r="AX508" s="5"/>
      <c r="AY508" s="95"/>
      <c r="AZ508" s="97"/>
      <c r="BA508" s="98"/>
      <c r="BB508" s="27"/>
      <c r="BC508" s="36"/>
      <c r="BD508" s="29"/>
    </row>
    <row r="509" spans="1:56" x14ac:dyDescent="0.2">
      <c r="A509" s="157" t="s">
        <v>27</v>
      </c>
      <c r="B509" s="157"/>
      <c r="C509" s="157"/>
      <c r="D509" s="103">
        <f>SUM(D447,D451,D455,D459,D463,D467,D471,D475,D479,D483,D487,D491,D495)*100</f>
        <v>37300</v>
      </c>
      <c r="E509" s="39"/>
      <c r="F509" s="5"/>
      <c r="G509" s="16">
        <f>D509/H509</f>
        <v>3390.909090909091</v>
      </c>
      <c r="H509" s="103">
        <f>SUM(H447,H451,H455,H459,H463,H467,H472,H475,H479,H483,H487,H491,H495)</f>
        <v>11</v>
      </c>
      <c r="I509" s="5"/>
      <c r="J509" s="2" t="str">
        <f t="shared" ref="J509:K512" si="992">J447</f>
        <v>サンリオKC</v>
      </c>
      <c r="K509" s="27">
        <f t="shared" si="992"/>
        <v>1015</v>
      </c>
      <c r="L509" s="103">
        <f>SUM(L447,L451,L455,L459,L463,L467,L472,L475,L479,L483,L487,L491,L495)</f>
        <v>6571</v>
      </c>
      <c r="M509" s="92">
        <f>L509/D509</f>
        <v>0.1761662198391421</v>
      </c>
      <c r="N509" s="29"/>
      <c r="O509" s="104"/>
      <c r="P509" s="157" t="s">
        <v>27</v>
      </c>
      <c r="Q509" s="157"/>
      <c r="R509" s="103">
        <f>SUM(R447,R451,R455,R459,R463,R467,R471,R475,R479,R483,R487,R491,R495)*100</f>
        <v>34300</v>
      </c>
      <c r="S509" s="39"/>
      <c r="T509" s="5"/>
      <c r="U509" s="16">
        <f>R509/V509</f>
        <v>5716.666666666667</v>
      </c>
      <c r="V509" s="103">
        <f>SUM(V447,V451,V455,V459,V463,V467,V472,V475,V479,V483,V487,V491,V495)</f>
        <v>6</v>
      </c>
      <c r="W509" s="5"/>
      <c r="X509" s="31" t="str">
        <f t="shared" ref="X509:Y512" si="993">X447</f>
        <v>香水coach</v>
      </c>
      <c r="Y509" s="27">
        <f t="shared" si="993"/>
        <v>1100</v>
      </c>
      <c r="Z509" s="103">
        <f>SUM(Z447,Z451,Z455,Z459,Z463,Z467,Z472,Z475,Z479,Z483,Z487,Z491,Z495)</f>
        <v>1925</v>
      </c>
      <c r="AA509" s="92">
        <f>Z509/R509</f>
        <v>5.6122448979591837E-2</v>
      </c>
      <c r="AB509" s="29"/>
      <c r="AD509" s="157" t="s">
        <v>27</v>
      </c>
      <c r="AE509" s="157"/>
      <c r="AF509" s="103">
        <f>SUM(AF447,AF451,AF455,AF459,AF463,AF467,AF471,AF475,AF479,AF483,AF487,AF491,AF495)*100</f>
        <v>900</v>
      </c>
      <c r="AG509" s="39"/>
      <c r="AH509" s="5"/>
      <c r="AI509" s="16">
        <f>AF509/AJ509</f>
        <v>900</v>
      </c>
      <c r="AJ509" s="103">
        <f>SUM(AJ447,AJ451,AJ455,AJ459,AJ463,AJ467,AJ472,AJ475,AJ479,AJ483,AJ487,AJ491,AJ495)</f>
        <v>1</v>
      </c>
      <c r="AK509" s="5"/>
      <c r="AL509" s="31" t="str">
        <f t="shared" ref="AL509:AM512" si="994">AL447</f>
        <v>スティッチキーケース</v>
      </c>
      <c r="AM509" s="27">
        <f t="shared" si="994"/>
        <v>490</v>
      </c>
      <c r="AN509" s="103">
        <f>SUM(AN447,AN451,AN455,AN459,AN463,AN467,AN472,AN475,AN479,AN483,AN487,AN491,AN495)</f>
        <v>490</v>
      </c>
      <c r="AO509" s="92">
        <f>AN509/AF509</f>
        <v>0.5444444444444444</v>
      </c>
      <c r="AP509" s="29"/>
      <c r="AR509" s="157" t="s">
        <v>27</v>
      </c>
      <c r="AS509" s="157"/>
      <c r="AT509" s="103">
        <f>SUM(AT447,AT451,AT455,AT459,AT463,AT467,AT471,AT475,AT479,AT483,AT487,AT491,AT495)*100</f>
        <v>8700</v>
      </c>
      <c r="AU509" s="39"/>
      <c r="AV509" s="5"/>
      <c r="AW509" s="16">
        <f>AT509/AX509</f>
        <v>8700</v>
      </c>
      <c r="AX509" s="103">
        <f>SUM(AX447,AX451,AX455,AX459,AX463,AX467,AX472,AX475,AX479,AX483,AX487,AX491,AX495)</f>
        <v>1</v>
      </c>
      <c r="AY509" s="5"/>
      <c r="AZ509" s="31" t="str">
        <f t="shared" ref="AZ509:BA512" si="995">AZ447</f>
        <v>デジタルミニカメラ</v>
      </c>
      <c r="BA509" s="27">
        <f t="shared" si="995"/>
        <v>729</v>
      </c>
      <c r="BB509" s="103">
        <f>SUM(BB447,BB451,BB455,BB459,BB463,BB467,BB472,BB475,BB479,BB483,BB487,BB491,BB495)</f>
        <v>729</v>
      </c>
      <c r="BC509" s="92">
        <f>BB509/AT509</f>
        <v>8.3793103448275869E-2</v>
      </c>
      <c r="BD509" s="29"/>
    </row>
    <row r="510" spans="1:56" x14ac:dyDescent="0.2">
      <c r="A510" s="157" t="s">
        <v>27</v>
      </c>
      <c r="B510" s="157"/>
      <c r="C510" s="157"/>
      <c r="D510" s="103">
        <f>SUM(D448,D452,D456,D460,D464,D468,D472,D476,D480,D484,D488,D492,D496)*100</f>
        <v>40300</v>
      </c>
      <c r="E510" s="39"/>
      <c r="F510" s="5"/>
      <c r="G510" s="16">
        <f>D510/H510</f>
        <v>1259.375</v>
      </c>
      <c r="H510" s="103">
        <f>SUM(H448,H452,H456,H460,H464,H468,H471,H476,H480,H484,H488,H492,H496)</f>
        <v>32</v>
      </c>
      <c r="I510" s="5"/>
      <c r="J510" s="2" t="str">
        <f t="shared" si="992"/>
        <v>電ブル</v>
      </c>
      <c r="K510" s="27">
        <f t="shared" si="992"/>
        <v>275</v>
      </c>
      <c r="L510" s="103">
        <f>SUM(L448,L452,L456,L460,L464,L468,L471,L476,L480,L484,L488,L492,L496)</f>
        <v>8800</v>
      </c>
      <c r="M510" s="92">
        <f>L510/D510</f>
        <v>0.21836228287841192</v>
      </c>
      <c r="N510" s="29"/>
      <c r="O510" s="30"/>
      <c r="P510" s="157" t="s">
        <v>27</v>
      </c>
      <c r="Q510" s="157"/>
      <c r="R510" s="103">
        <f>SUM(R448,R452,R456,R460,R464,R468,R472,R476,R480,R484,R488,R492,R496)*100</f>
        <v>44500</v>
      </c>
      <c r="S510" s="39"/>
      <c r="T510" s="5"/>
      <c r="U510" s="16">
        <f>R510/V510</f>
        <v>8900</v>
      </c>
      <c r="V510" s="103">
        <f>SUM(V448,V452,V456,V460,V464,V468,V471,V476,V480,V484,V488,V492,V496)</f>
        <v>5</v>
      </c>
      <c r="W510" s="5"/>
      <c r="X510" s="31" t="str">
        <f t="shared" si="993"/>
        <v>ギャルキティサンダルサンダル</v>
      </c>
      <c r="Y510" s="27">
        <f t="shared" si="993"/>
        <v>660</v>
      </c>
      <c r="Z510" s="103">
        <f>SUM(Z448,Z452,Z456,Z460,Z464,Z468,Z471,Z476,Z480,Z484,Z488,Z492,Z496)</f>
        <v>2700</v>
      </c>
      <c r="AA510" s="92">
        <f>Z510/R510</f>
        <v>6.0674157303370786E-2</v>
      </c>
      <c r="AB510" s="29"/>
      <c r="AD510" s="157" t="s">
        <v>27</v>
      </c>
      <c r="AE510" s="157"/>
      <c r="AF510" s="103">
        <f>SUM(AF448,AF452,AF456,AF460,AF464,AF468,AF472,AF476,AF480,AF484,AF488,AF492,AF496)*100</f>
        <v>3700</v>
      </c>
      <c r="AG510" s="39"/>
      <c r="AH510" s="5"/>
      <c r="AI510" s="16">
        <f>AF510/AJ510</f>
        <v>3700</v>
      </c>
      <c r="AJ510" s="103">
        <f>SUM(AJ448,AJ452,AJ456,AJ460,AJ464,AJ468,AJ471,AJ476,AJ480,AJ484,AJ488,AJ492,AJ496)</f>
        <v>1</v>
      </c>
      <c r="AK510" s="5"/>
      <c r="AL510" s="31" t="str">
        <f t="shared" si="994"/>
        <v>ジャグラーサウンドフラッシュ</v>
      </c>
      <c r="AM510" s="27">
        <f t="shared" si="994"/>
        <v>748</v>
      </c>
      <c r="AN510" s="103">
        <f>SUM(AN448,AN452,AN456,AN460,AN464,AN468,AN471,AN476,AN480,AN484,AN488,AN492,AN496)</f>
        <v>748</v>
      </c>
      <c r="AO510" s="92">
        <f>AN510/AF510</f>
        <v>0.20216216216216215</v>
      </c>
      <c r="AP510" s="29"/>
      <c r="AR510" s="157" t="s">
        <v>27</v>
      </c>
      <c r="AS510" s="157"/>
      <c r="AT510" s="103">
        <f>SUM(AT448,AT452,AT456,AT460,AT464,AT468,AT472,AT476,AT480,AT484,AT488,AT492,AT496)*100</f>
        <v>2300</v>
      </c>
      <c r="AU510" s="39"/>
      <c r="AV510" s="5"/>
      <c r="AW510" s="16">
        <f>AT510/AX510</f>
        <v>1150</v>
      </c>
      <c r="AX510" s="103">
        <f>SUM(AX448,AX452,AX456,AX460,AX464,AX468,AX471,AX476,AX480,AX484,AX488,AX492,AX496)</f>
        <v>2</v>
      </c>
      <c r="AY510" s="5"/>
      <c r="AZ510" s="31" t="str">
        <f t="shared" si="995"/>
        <v>クーリッシュイヤホン</v>
      </c>
      <c r="BA510" s="27">
        <f t="shared" si="995"/>
        <v>1100</v>
      </c>
      <c r="BB510" s="103">
        <f>SUM(BB448,BB452,BB456,BB460,BB464,BB468,BB471,BB476,BB480,BB484,BB488,BB492,BB496)</f>
        <v>2200</v>
      </c>
      <c r="BC510" s="92">
        <f>BB510/AT510</f>
        <v>0.95652173913043481</v>
      </c>
      <c r="BD510" s="29"/>
    </row>
    <row r="511" spans="1:56" x14ac:dyDescent="0.2">
      <c r="A511" s="157" t="s">
        <v>27</v>
      </c>
      <c r="B511" s="157"/>
      <c r="C511" s="157"/>
      <c r="D511" s="103">
        <f>SUM(D449,D453,D457,D461,D465,D469,D473,D477,D481,D485,D489,D493,D497)*100</f>
        <v>84900</v>
      </c>
      <c r="E511" s="39"/>
      <c r="F511" s="5"/>
      <c r="G511" s="16">
        <f>D511/H511</f>
        <v>7718.181818181818</v>
      </c>
      <c r="H511" s="103">
        <f>SUM(H449,H453,H457,H462,H465,H469,H473,H477,H481,H485,H489,H493,H497)</f>
        <v>11</v>
      </c>
      <c r="I511" s="5"/>
      <c r="J511" s="2" t="str">
        <f t="shared" si="992"/>
        <v>サンリオファン</v>
      </c>
      <c r="K511" s="27">
        <f t="shared" si="992"/>
        <v>1100</v>
      </c>
      <c r="L511" s="103">
        <f>SUM(L449,L453,L457,L462,L465,L469,L473,L477,L481,L485,L489,L493,L497)</f>
        <v>12100</v>
      </c>
      <c r="M511" s="92">
        <f>L511/D511</f>
        <v>0.14252061248527681</v>
      </c>
      <c r="N511" s="29"/>
      <c r="O511" s="30"/>
      <c r="P511" s="157" t="s">
        <v>27</v>
      </c>
      <c r="Q511" s="157"/>
      <c r="R511" s="103">
        <f>SUM(R449,R453,R457,R461,R465,R469,R473,R477,R481,R485,R489,R493,R497)*100</f>
        <v>70500</v>
      </c>
      <c r="S511" s="39"/>
      <c r="T511" s="5"/>
      <c r="U511" s="16">
        <f>R511/V511</f>
        <v>7833.333333333333</v>
      </c>
      <c r="V511" s="103">
        <f>SUM(V449,V453,V457,V462,V465,V469,V473,V477,V481,V485,V489,V493,V497)</f>
        <v>9</v>
      </c>
      <c r="W511" s="5"/>
      <c r="X511" s="31" t="str">
        <f t="shared" si="993"/>
        <v>AIラバー</v>
      </c>
      <c r="Y511" s="27">
        <f t="shared" si="993"/>
        <v>198</v>
      </c>
      <c r="Z511" s="103">
        <f>SUM(Z449,Z453,Z457,Z462,Z465,Z469,Z473,Z477,Z481,Z485,Z489,Z493,Z497)</f>
        <v>2706</v>
      </c>
      <c r="AA511" s="92">
        <f>Z511/R511</f>
        <v>3.8382978723404258E-2</v>
      </c>
      <c r="AB511" s="29"/>
      <c r="AD511" s="157" t="s">
        <v>27</v>
      </c>
      <c r="AE511" s="157"/>
      <c r="AF511" s="103">
        <f>SUM(AF449,AF453,AF457,AF461,AF465,AF469,AF473,AF477,AF481,AF485,AF489,AF493,AF497)*100</f>
        <v>1000</v>
      </c>
      <c r="AG511" s="39"/>
      <c r="AH511" s="5"/>
      <c r="AI511" s="16">
        <f>AF511/AJ511</f>
        <v>1000</v>
      </c>
      <c r="AJ511" s="103">
        <f>SUM(AJ449,AJ453,AJ457,AJ462,AJ465,AJ469,AJ473,AJ477,AJ481,AJ485,AJ489,AJ493,AJ497)</f>
        <v>1</v>
      </c>
      <c r="AK511" s="5"/>
      <c r="AL511" s="31" t="str">
        <f t="shared" si="994"/>
        <v>サンリオギャルキーケース</v>
      </c>
      <c r="AM511" s="27">
        <f t="shared" si="994"/>
        <v>660</v>
      </c>
      <c r="AN511" s="103">
        <f>SUM(AN449,AN453,AN457,AN462,AN465,AN469,AN473,AN477,AN481,AN485,AN489,AN493,AN497)</f>
        <v>748</v>
      </c>
      <c r="AO511" s="92">
        <f>AN511/AF511</f>
        <v>0.748</v>
      </c>
      <c r="AP511" s="29"/>
      <c r="AR511" s="157" t="s">
        <v>27</v>
      </c>
      <c r="AS511" s="157"/>
      <c r="AT511" s="103">
        <f>SUM(AT449,AT453,AT457,AT461,AT465,AT469,AT473,AT477,AT481,AT485,AT489,AT493,AT497)*100</f>
        <v>1200</v>
      </c>
      <c r="AU511" s="39"/>
      <c r="AV511" s="5"/>
      <c r="AW511" s="16" t="e">
        <f>AT511/AX511</f>
        <v>#DIV/0!</v>
      </c>
      <c r="AX511" s="103">
        <f>SUM(AX449,AX453,AX457,AX462,AX465,AX469,AX473,AX477,AX481,AX485,AX489,AX493,AX497)</f>
        <v>0</v>
      </c>
      <c r="AY511" s="5"/>
      <c r="AZ511" s="31" t="str">
        <f t="shared" si="995"/>
        <v>モンチッチマスコット</v>
      </c>
      <c r="BA511" s="27">
        <f t="shared" si="995"/>
        <v>528</v>
      </c>
      <c r="BB511" s="103">
        <f>SUM(BB449,BB453,BB457,BB462,BB465,BB469,BB473,BB477,BB481,BB485,BB489,BB493,BB497)</f>
        <v>0</v>
      </c>
      <c r="BC511" s="92">
        <f>BB511/AT511</f>
        <v>0</v>
      </c>
      <c r="BD511" s="29"/>
    </row>
    <row r="512" spans="1:56" x14ac:dyDescent="0.2">
      <c r="A512" s="157" t="s">
        <v>27</v>
      </c>
      <c r="B512" s="157"/>
      <c r="C512" s="157"/>
      <c r="D512" s="103">
        <f>SUM(D450,D454,D458,D462,D466,D470,D474,D478,D482,D486,D490,D494,D498)*100</f>
        <v>39900</v>
      </c>
      <c r="E512" s="39"/>
      <c r="F512" s="5"/>
      <c r="G512" s="16">
        <f>D512/H512</f>
        <v>1995</v>
      </c>
      <c r="H512" s="103">
        <f>SUM(H450,H454,H458,H461,H466,H470,H474,H478,H482,H486,H490,H494,H498)</f>
        <v>20</v>
      </c>
      <c r="I512" s="5"/>
      <c r="J512" s="2" t="str">
        <f t="shared" si="992"/>
        <v>Pro4</v>
      </c>
      <c r="K512" s="27">
        <f t="shared" si="992"/>
        <v>770</v>
      </c>
      <c r="L512" s="103">
        <f>SUM(L450,L454,L458,L461,L466,L470,L474,L478,L482,L486,L490,L494,L498)</f>
        <v>6952</v>
      </c>
      <c r="M512" s="92">
        <f>L512/D512</f>
        <v>0.17423558897243108</v>
      </c>
      <c r="N512" s="29"/>
      <c r="O512" s="30"/>
      <c r="P512" s="157" t="s">
        <v>27</v>
      </c>
      <c r="Q512" s="157"/>
      <c r="R512" s="103">
        <f>SUM(R450,R454,R458,R462,R466,R470,R474,R478,R482,R486,R490,R494,R498)*100</f>
        <v>40900</v>
      </c>
      <c r="S512" s="39"/>
      <c r="T512" s="5"/>
      <c r="U512" s="16">
        <f>R512/V512</f>
        <v>1363.3333333333333</v>
      </c>
      <c r="V512" s="103">
        <f>SUM(V450,V454,V458,V461,V466,V470,V474,V478,V482,V486,V490,V494,V498)</f>
        <v>30</v>
      </c>
      <c r="W512" s="5"/>
      <c r="X512" s="31" t="str">
        <f t="shared" si="993"/>
        <v>AIマスコット</v>
      </c>
      <c r="Y512" s="27">
        <f t="shared" si="993"/>
        <v>286</v>
      </c>
      <c r="Z512" s="103">
        <f>SUM(Z450,Z454,Z458,Z461,Z466,Z470,Z474,Z478,Z482,Z486,Z490,Z494,Z498)</f>
        <v>8052</v>
      </c>
      <c r="AA512" s="92">
        <f>Z512/R512</f>
        <v>0.19687041564792176</v>
      </c>
      <c r="AB512" s="29"/>
      <c r="AD512" s="157" t="s">
        <v>27</v>
      </c>
      <c r="AE512" s="157"/>
      <c r="AF512" s="103">
        <f>SUM(AF450,AF454,AF458,AF462,AF466,AF470,AF474,AF478,AF482,AF486,AF490,AF494,AF498)*100</f>
        <v>1400</v>
      </c>
      <c r="AG512" s="39"/>
      <c r="AH512" s="5"/>
      <c r="AI512" s="16" t="e">
        <f>AF512/AJ512</f>
        <v>#DIV/0!</v>
      </c>
      <c r="AJ512" s="103">
        <f>SUM(AJ450,AJ454,AJ458,AJ461,AJ466,AJ470,AJ474,AJ478,AJ482,AJ486,AJ490,AJ494,AJ498)</f>
        <v>0</v>
      </c>
      <c r="AK512" s="5"/>
      <c r="AL512" s="31" t="str">
        <f t="shared" si="994"/>
        <v>ピクミンマスコット</v>
      </c>
      <c r="AM512" s="27">
        <f t="shared" si="994"/>
        <v>748</v>
      </c>
      <c r="AN512" s="103">
        <f>SUM(AN450,AN454,AN458,AN461,AN466,AN470,AN474,AN478,AN482,AN486,AN490,AN494,AN498)</f>
        <v>0</v>
      </c>
      <c r="AO512" s="92">
        <f>AN512/AF512</f>
        <v>0</v>
      </c>
      <c r="AP512" s="29"/>
      <c r="AR512" s="157" t="s">
        <v>27</v>
      </c>
      <c r="AS512" s="157"/>
      <c r="AT512" s="103">
        <f>SUM(AT450,AT454,AT458,AT462,AT466,AT470,AT474,AT478,AT482,AT486,AT490,AT494,AT498)*100</f>
        <v>1600</v>
      </c>
      <c r="AU512" s="39"/>
      <c r="AV512" s="5"/>
      <c r="AW512" s="16" t="e">
        <f>AT512/AX512</f>
        <v>#DIV/0!</v>
      </c>
      <c r="AX512" s="103">
        <f>SUM(AX450,AX454,AX458,AX461,AX466,AX470,AX474,AX478,AX482,AX486,AX490,AX494,AX498)</f>
        <v>0</v>
      </c>
      <c r="AY512" s="5"/>
      <c r="AZ512" s="31" t="str">
        <f t="shared" si="995"/>
        <v>ジョージファン</v>
      </c>
      <c r="BA512" s="27">
        <f t="shared" si="995"/>
        <v>1100</v>
      </c>
      <c r="BB512" s="103">
        <f>SUM(BB450,BB454,BB458,BB461,BB466,BB470,BB474,BB478,BB482,BB486,BB490,BB494,BB498)</f>
        <v>0</v>
      </c>
      <c r="BC512" s="92">
        <f>BB512/AT512</f>
        <v>0</v>
      </c>
      <c r="BD512" s="29"/>
    </row>
    <row r="513" spans="1:56" x14ac:dyDescent="0.2">
      <c r="A513" s="25"/>
      <c r="B513" s="37"/>
      <c r="C513" s="16" t="s">
        <v>20</v>
      </c>
      <c r="D513" s="5">
        <f>SUM(D509:D512)</f>
        <v>202400</v>
      </c>
      <c r="E513" s="39"/>
      <c r="F513" s="5"/>
      <c r="G513" s="5"/>
      <c r="H513" s="5">
        <f>SUM(H509:H512)</f>
        <v>74</v>
      </c>
      <c r="I513" s="5"/>
      <c r="J513" s="156" t="s">
        <v>28</v>
      </c>
      <c r="K513" s="156"/>
      <c r="L513" s="4">
        <f>SUM(L509:L512)</f>
        <v>34423</v>
      </c>
      <c r="M513" s="107">
        <f>L513/D513</f>
        <v>0.17007411067193676</v>
      </c>
      <c r="N513" s="34"/>
      <c r="O513" s="30"/>
      <c r="P513" s="25"/>
      <c r="Q513" s="16" t="s">
        <v>20</v>
      </c>
      <c r="R513" s="5">
        <f>SUM(R509:R512)</f>
        <v>190200</v>
      </c>
      <c r="S513" s="39"/>
      <c r="T513" s="5"/>
      <c r="U513" s="5"/>
      <c r="V513" s="5">
        <f>SUM(V509:V512)</f>
        <v>50</v>
      </c>
      <c r="W513" s="5"/>
      <c r="X513" s="156" t="s">
        <v>28</v>
      </c>
      <c r="Y513" s="156"/>
      <c r="Z513" s="4">
        <f>SUM(Z509:Z512)</f>
        <v>15383</v>
      </c>
      <c r="AA513" s="107">
        <f>Z513/R513</f>
        <v>8.0878023133543642E-2</v>
      </c>
      <c r="AB513" s="29"/>
      <c r="AD513" s="25"/>
      <c r="AE513" s="16" t="s">
        <v>20</v>
      </c>
      <c r="AF513" s="5">
        <f>SUM(AF509:AF512)</f>
        <v>7000</v>
      </c>
      <c r="AG513" s="39"/>
      <c r="AH513" s="5"/>
      <c r="AI513" s="5"/>
      <c r="AJ513" s="5">
        <f>SUM(AJ509:AJ512)</f>
        <v>3</v>
      </c>
      <c r="AK513" s="5"/>
      <c r="AL513" s="156" t="s">
        <v>28</v>
      </c>
      <c r="AM513" s="156"/>
      <c r="AN513" s="4">
        <f>SUM(AN509:AN512)</f>
        <v>1986</v>
      </c>
      <c r="AO513" s="107">
        <f>AN513/AF513</f>
        <v>0.2837142857142857</v>
      </c>
      <c r="AP513" s="29"/>
      <c r="AR513" s="25"/>
      <c r="AS513" s="16" t="s">
        <v>20</v>
      </c>
      <c r="AT513" s="5">
        <f>SUM(AT509:AT512)</f>
        <v>13800</v>
      </c>
      <c r="AU513" s="39"/>
      <c r="AV513" s="5"/>
      <c r="AW513" s="5"/>
      <c r="AX513" s="5">
        <f>SUM(AX509:AX512)</f>
        <v>3</v>
      </c>
      <c r="AY513" s="5"/>
      <c r="AZ513" s="156" t="s">
        <v>28</v>
      </c>
      <c r="BA513" s="156"/>
      <c r="BB513" s="4">
        <f>SUM(BB509:BB512)</f>
        <v>2929</v>
      </c>
      <c r="BC513" s="107">
        <f>BB513/AT513</f>
        <v>0.2122463768115942</v>
      </c>
      <c r="BD513" s="29"/>
    </row>
    <row r="514" spans="1:56" x14ac:dyDescent="0.2">
      <c r="A514" s="108"/>
      <c r="J514" s="110"/>
      <c r="K514" s="13"/>
      <c r="N514" s="111"/>
      <c r="O514" s="30"/>
      <c r="P514" s="108"/>
      <c r="X514" s="1"/>
      <c r="AB514" s="111"/>
      <c r="AD514" s="108"/>
      <c r="AL514" s="1"/>
      <c r="AP514" s="111"/>
      <c r="AR514" s="108"/>
      <c r="AZ514" s="1"/>
      <c r="BD514" s="111"/>
    </row>
    <row r="515" spans="1:56" ht="15" customHeight="1" x14ac:dyDescent="0.2">
      <c r="C515" s="169" t="s">
        <v>287</v>
      </c>
      <c r="D515" s="169"/>
      <c r="E515" s="170" t="s">
        <v>288</v>
      </c>
      <c r="F515" s="170"/>
      <c r="G515" s="170" t="s">
        <v>289</v>
      </c>
      <c r="H515" s="170"/>
      <c r="K515" s="13"/>
    </row>
    <row r="516" spans="1:56" x14ac:dyDescent="0.2">
      <c r="C516" s="171">
        <f>E504+S504+AG504+AU504</f>
        <v>413400</v>
      </c>
      <c r="D516" s="171"/>
      <c r="E516" s="172">
        <f>L503+Z503</f>
        <v>49806</v>
      </c>
      <c r="F516" s="172"/>
      <c r="G516" s="172">
        <f>L506+Z506</f>
        <v>65742</v>
      </c>
      <c r="H516" s="172"/>
      <c r="K516" s="13"/>
    </row>
    <row r="517" spans="1:56" x14ac:dyDescent="0.2">
      <c r="C517" s="113"/>
      <c r="D517" s="113"/>
      <c r="E517" s="39" t="s">
        <v>290</v>
      </c>
      <c r="F517" s="114">
        <f>E516/B507</f>
        <v>7.5520849128127371E-2</v>
      </c>
      <c r="G517" s="5"/>
      <c r="H517" s="5"/>
      <c r="K517" s="13"/>
    </row>
    <row r="518" spans="1:56" x14ac:dyDescent="0.2">
      <c r="E518" s="132"/>
      <c r="F518" s="133"/>
      <c r="G518" s="30"/>
      <c r="H518" s="30"/>
      <c r="K518" s="13"/>
    </row>
    <row r="519" spans="1:56" x14ac:dyDescent="0.2">
      <c r="A519" s="167" t="s">
        <v>323</v>
      </c>
      <c r="B519" s="167"/>
      <c r="C519" s="167"/>
      <c r="D519" s="167"/>
      <c r="E519" s="167" t="s">
        <v>0</v>
      </c>
      <c r="F519" s="167"/>
      <c r="G519" s="123"/>
      <c r="H519" s="123"/>
      <c r="I519" s="123"/>
      <c r="J519" s="124"/>
      <c r="K519" s="123"/>
      <c r="L519" s="123"/>
      <c r="M519" s="123"/>
      <c r="N519" s="125"/>
      <c r="O519" s="126"/>
      <c r="P519" s="167" t="s">
        <v>323</v>
      </c>
      <c r="Q519" s="167"/>
      <c r="R519" s="167"/>
      <c r="S519" s="167" t="s">
        <v>1</v>
      </c>
      <c r="T519" s="167"/>
      <c r="U519" s="123"/>
      <c r="V519" s="123"/>
      <c r="W519" s="123"/>
      <c r="X519" s="127"/>
      <c r="Y519" s="123"/>
      <c r="Z519" s="123"/>
      <c r="AA519" s="123"/>
      <c r="AB519" s="125"/>
      <c r="AD519" s="167" t="s">
        <v>323</v>
      </c>
      <c r="AE519" s="167"/>
      <c r="AF519" s="167"/>
      <c r="AG519" s="167" t="s">
        <v>1</v>
      </c>
      <c r="AH519" s="167"/>
      <c r="AI519" s="123"/>
      <c r="AJ519" s="123"/>
      <c r="AK519" s="123"/>
      <c r="AL519" s="127"/>
      <c r="AM519" s="123"/>
      <c r="AN519" s="123"/>
      <c r="AO519" s="123"/>
      <c r="AP519" s="125"/>
      <c r="AR519" s="167" t="s">
        <v>323</v>
      </c>
      <c r="AS519" s="167"/>
      <c r="AT519" s="167"/>
      <c r="AU519" s="167" t="s">
        <v>1</v>
      </c>
      <c r="AV519" s="167"/>
      <c r="AW519" s="123"/>
      <c r="AX519" s="123"/>
      <c r="AY519" s="123"/>
      <c r="AZ519" s="127"/>
      <c r="BA519" s="123"/>
      <c r="BB519" s="123"/>
      <c r="BC519" s="123"/>
      <c r="BD519" s="125"/>
    </row>
    <row r="520" spans="1:56" x14ac:dyDescent="0.2">
      <c r="A520" s="14" t="s">
        <v>2</v>
      </c>
      <c r="B520" s="15" t="s">
        <v>258</v>
      </c>
      <c r="C520" s="16" t="s">
        <v>3</v>
      </c>
      <c r="D520" s="16" t="s">
        <v>4</v>
      </c>
      <c r="E520" s="17" t="s">
        <v>5</v>
      </c>
      <c r="F520" s="16" t="s">
        <v>4</v>
      </c>
      <c r="G520" s="16" t="s">
        <v>6</v>
      </c>
      <c r="H520" s="16" t="s">
        <v>7</v>
      </c>
      <c r="I520" s="16" t="s">
        <v>8</v>
      </c>
      <c r="J520" s="17" t="s">
        <v>9</v>
      </c>
      <c r="K520" s="16" t="s">
        <v>10</v>
      </c>
      <c r="L520" s="16" t="s">
        <v>7</v>
      </c>
      <c r="M520" s="16" t="s">
        <v>11</v>
      </c>
      <c r="N520" s="16" t="s">
        <v>12</v>
      </c>
      <c r="O520" s="18"/>
      <c r="P520" s="14" t="s">
        <v>2</v>
      </c>
      <c r="Q520" s="16" t="s">
        <v>3</v>
      </c>
      <c r="R520" s="16" t="s">
        <v>4</v>
      </c>
      <c r="S520" s="17" t="s">
        <v>5</v>
      </c>
      <c r="T520" s="16" t="s">
        <v>4</v>
      </c>
      <c r="U520" s="16" t="s">
        <v>6</v>
      </c>
      <c r="V520" s="16" t="s">
        <v>7</v>
      </c>
      <c r="W520" s="16" t="s">
        <v>8</v>
      </c>
      <c r="X520" s="19" t="s">
        <v>9</v>
      </c>
      <c r="Y520" s="16" t="s">
        <v>10</v>
      </c>
      <c r="Z520" s="16" t="s">
        <v>7</v>
      </c>
      <c r="AA520" s="16" t="s">
        <v>11</v>
      </c>
      <c r="AB520" s="16" t="s">
        <v>12</v>
      </c>
      <c r="AD520" s="14" t="s">
        <v>2</v>
      </c>
      <c r="AE520" s="16" t="s">
        <v>3</v>
      </c>
      <c r="AF520" s="16" t="s">
        <v>4</v>
      </c>
      <c r="AG520" s="17" t="s">
        <v>5</v>
      </c>
      <c r="AH520" s="16" t="s">
        <v>4</v>
      </c>
      <c r="AI520" s="16" t="s">
        <v>6</v>
      </c>
      <c r="AJ520" s="16" t="s">
        <v>7</v>
      </c>
      <c r="AK520" s="16" t="s">
        <v>8</v>
      </c>
      <c r="AL520" s="19" t="s">
        <v>9</v>
      </c>
      <c r="AM520" s="16" t="s">
        <v>10</v>
      </c>
      <c r="AN520" s="16" t="s">
        <v>7</v>
      </c>
      <c r="AO520" s="16" t="s">
        <v>11</v>
      </c>
      <c r="AP520" s="16" t="s">
        <v>12</v>
      </c>
      <c r="AR520" s="14" t="s">
        <v>2</v>
      </c>
      <c r="AS520" s="16" t="s">
        <v>3</v>
      </c>
      <c r="AT520" s="16" t="s">
        <v>4</v>
      </c>
      <c r="AU520" s="17" t="s">
        <v>5</v>
      </c>
      <c r="AV520" s="16" t="s">
        <v>4</v>
      </c>
      <c r="AW520" s="16" t="s">
        <v>6</v>
      </c>
      <c r="AX520" s="16" t="s">
        <v>7</v>
      </c>
      <c r="AY520" s="16" t="s">
        <v>8</v>
      </c>
      <c r="AZ520" s="19" t="s">
        <v>9</v>
      </c>
      <c r="BA520" s="16" t="s">
        <v>10</v>
      </c>
      <c r="BB520" s="16" t="s">
        <v>7</v>
      </c>
      <c r="BC520" s="16" t="s">
        <v>11</v>
      </c>
      <c r="BD520" s="16" t="s">
        <v>12</v>
      </c>
    </row>
    <row r="521" spans="1:56" x14ac:dyDescent="0.2">
      <c r="A521" s="25">
        <v>45886</v>
      </c>
      <c r="B521" s="26"/>
      <c r="C521" s="4">
        <v>13739</v>
      </c>
      <c r="D521" s="4"/>
      <c r="E521" s="4">
        <v>1009</v>
      </c>
      <c r="F521" s="4"/>
      <c r="G521" s="4">
        <v>5</v>
      </c>
      <c r="H521" s="4"/>
      <c r="I521" s="4">
        <v>0</v>
      </c>
      <c r="J521" s="2" t="s">
        <v>353</v>
      </c>
      <c r="K521" s="27">
        <v>748</v>
      </c>
      <c r="L521" s="4">
        <v>2244</v>
      </c>
      <c r="M521" s="28">
        <v>0.24391304347826087</v>
      </c>
      <c r="N521" s="29"/>
      <c r="O521" s="30"/>
      <c r="P521" s="25">
        <v>45886</v>
      </c>
      <c r="Q521" s="4">
        <v>12860</v>
      </c>
      <c r="R521" s="4"/>
      <c r="S521" s="4">
        <v>1360</v>
      </c>
      <c r="T521" s="4"/>
      <c r="U521" s="4">
        <v>4</v>
      </c>
      <c r="V521" s="4"/>
      <c r="W521" s="4">
        <v>0</v>
      </c>
      <c r="X521" s="31" t="s">
        <v>354</v>
      </c>
      <c r="Y521" s="27">
        <v>957</v>
      </c>
      <c r="Z521" s="4">
        <v>2871</v>
      </c>
      <c r="AA521" s="28">
        <v>0.3417857142857143</v>
      </c>
      <c r="AB521" s="29"/>
      <c r="AD521" s="25">
        <v>45886</v>
      </c>
      <c r="AE521" s="4">
        <v>12860</v>
      </c>
      <c r="AF521" s="4"/>
      <c r="AG521" s="4">
        <v>1360</v>
      </c>
      <c r="AH521" s="4"/>
      <c r="AI521" s="4">
        <v>4</v>
      </c>
      <c r="AJ521" s="4"/>
      <c r="AK521" s="4">
        <v>0</v>
      </c>
      <c r="AL521" s="31" t="s">
        <v>354</v>
      </c>
      <c r="AM521" s="27">
        <v>957</v>
      </c>
      <c r="AN521" s="4">
        <v>2871</v>
      </c>
      <c r="AO521" s="28">
        <v>0.3417857142857143</v>
      </c>
      <c r="AP521" s="29"/>
      <c r="AR521" s="25">
        <v>45886</v>
      </c>
      <c r="AS521" s="4">
        <v>12860</v>
      </c>
      <c r="AT521" s="4"/>
      <c r="AU521" s="4">
        <v>1360</v>
      </c>
      <c r="AV521" s="4"/>
      <c r="AW521" s="4">
        <v>4</v>
      </c>
      <c r="AX521" s="4"/>
      <c r="AY521" s="4">
        <v>0</v>
      </c>
      <c r="AZ521" s="31" t="s">
        <v>354</v>
      </c>
      <c r="BA521" s="27">
        <v>957</v>
      </c>
      <c r="BB521" s="4">
        <v>2871</v>
      </c>
      <c r="BC521" s="28">
        <v>0.3417857142857143</v>
      </c>
      <c r="BD521" s="29"/>
    </row>
    <row r="522" spans="1:56" x14ac:dyDescent="0.2">
      <c r="A522" s="14"/>
      <c r="B522" s="37"/>
      <c r="C522" s="4">
        <v>15415</v>
      </c>
      <c r="D522" s="5"/>
      <c r="E522" s="4">
        <v>481</v>
      </c>
      <c r="F522" s="5"/>
      <c r="G522" s="5">
        <v>24</v>
      </c>
      <c r="H522" s="5"/>
      <c r="I522" s="5">
        <v>0</v>
      </c>
      <c r="J522" s="2" t="s">
        <v>355</v>
      </c>
      <c r="K522" s="4">
        <v>275</v>
      </c>
      <c r="L522" s="5">
        <v>550</v>
      </c>
      <c r="M522" s="36">
        <v>4.7008547008547008E-2</v>
      </c>
      <c r="N522" s="29"/>
      <c r="O522" s="30"/>
      <c r="P522" s="25"/>
      <c r="Q522" s="4">
        <v>12512</v>
      </c>
      <c r="R522" s="5"/>
      <c r="S522" s="4">
        <v>465</v>
      </c>
      <c r="T522" s="5"/>
      <c r="U522" s="5">
        <v>3</v>
      </c>
      <c r="V522" s="5"/>
      <c r="W522" s="5">
        <v>0</v>
      </c>
      <c r="X522" s="38" t="s">
        <v>356</v>
      </c>
      <c r="Y522" s="39">
        <v>1100</v>
      </c>
      <c r="Z522" s="5">
        <v>4400</v>
      </c>
      <c r="AA522" s="36">
        <v>0.25</v>
      </c>
      <c r="AB522" s="29"/>
      <c r="AD522" s="25"/>
      <c r="AE522" s="4">
        <v>12512</v>
      </c>
      <c r="AF522" s="5"/>
      <c r="AG522" s="4">
        <v>465</v>
      </c>
      <c r="AH522" s="5"/>
      <c r="AI522" s="5">
        <v>3</v>
      </c>
      <c r="AJ522" s="5"/>
      <c r="AK522" s="5">
        <v>0</v>
      </c>
      <c r="AL522" s="38" t="s">
        <v>356</v>
      </c>
      <c r="AM522" s="39">
        <v>1100</v>
      </c>
      <c r="AN522" s="5">
        <v>4400</v>
      </c>
      <c r="AO522" s="36">
        <v>0.25</v>
      </c>
      <c r="AP522" s="29"/>
      <c r="AR522" s="25"/>
      <c r="AS522" s="4">
        <v>12512</v>
      </c>
      <c r="AT522" s="5"/>
      <c r="AU522" s="4">
        <v>465</v>
      </c>
      <c r="AV522" s="5"/>
      <c r="AW522" s="5">
        <v>3</v>
      </c>
      <c r="AX522" s="5"/>
      <c r="AY522" s="5">
        <v>0</v>
      </c>
      <c r="AZ522" s="38" t="s">
        <v>356</v>
      </c>
      <c r="BA522" s="39">
        <v>1100</v>
      </c>
      <c r="BB522" s="5">
        <v>4400</v>
      </c>
      <c r="BC522" s="36">
        <v>0.25</v>
      </c>
      <c r="BD522" s="29"/>
    </row>
    <row r="523" spans="1:56" x14ac:dyDescent="0.2">
      <c r="A523" s="25"/>
      <c r="B523" s="37"/>
      <c r="C523" s="4">
        <v>13337</v>
      </c>
      <c r="D523" s="5"/>
      <c r="E523" s="4">
        <v>556</v>
      </c>
      <c r="F523" s="5"/>
      <c r="G523" s="5">
        <v>4</v>
      </c>
      <c r="H523" s="5"/>
      <c r="I523" s="5">
        <v>0</v>
      </c>
      <c r="J523" s="3" t="s">
        <v>15</v>
      </c>
      <c r="K523" s="39">
        <v>110</v>
      </c>
      <c r="L523" s="5">
        <v>660</v>
      </c>
      <c r="M523" s="36">
        <v>5.4098360655737705E-2</v>
      </c>
      <c r="N523" s="29"/>
      <c r="O523" s="30"/>
      <c r="P523" s="25"/>
      <c r="Q523" s="4">
        <v>11667</v>
      </c>
      <c r="R523" s="5"/>
      <c r="S523" s="4">
        <v>827</v>
      </c>
      <c r="T523" s="5"/>
      <c r="U523" s="5">
        <v>7</v>
      </c>
      <c r="V523" s="5"/>
      <c r="W523" s="5">
        <v>0</v>
      </c>
      <c r="X523" s="38" t="s">
        <v>357</v>
      </c>
      <c r="Y523" s="39">
        <v>726</v>
      </c>
      <c r="Z523" s="5">
        <v>726</v>
      </c>
      <c r="AA523" s="36">
        <v>0.11901639344262295</v>
      </c>
      <c r="AB523" s="29"/>
      <c r="AD523" s="25"/>
      <c r="AE523" s="4">
        <v>11667</v>
      </c>
      <c r="AF523" s="5"/>
      <c r="AG523" s="4">
        <v>827</v>
      </c>
      <c r="AH523" s="5"/>
      <c r="AI523" s="5">
        <v>7</v>
      </c>
      <c r="AJ523" s="5"/>
      <c r="AK523" s="5">
        <v>0</v>
      </c>
      <c r="AL523" s="38" t="s">
        <v>357</v>
      </c>
      <c r="AM523" s="39">
        <v>726</v>
      </c>
      <c r="AN523" s="5">
        <v>726</v>
      </c>
      <c r="AO523" s="36">
        <v>0.11901639344262295</v>
      </c>
      <c r="AP523" s="29"/>
      <c r="AR523" s="25"/>
      <c r="AS523" s="4">
        <v>11667</v>
      </c>
      <c r="AT523" s="5"/>
      <c r="AU523" s="4">
        <v>827</v>
      </c>
      <c r="AV523" s="5"/>
      <c r="AW523" s="5">
        <v>7</v>
      </c>
      <c r="AX523" s="5"/>
      <c r="AY523" s="5">
        <v>0</v>
      </c>
      <c r="AZ523" s="38" t="s">
        <v>357</v>
      </c>
      <c r="BA523" s="39">
        <v>726</v>
      </c>
      <c r="BB523" s="5">
        <v>726</v>
      </c>
      <c r="BC523" s="36">
        <v>0.11901639344262295</v>
      </c>
      <c r="BD523" s="29"/>
    </row>
    <row r="524" spans="1:56" ht="15" customHeight="1" thickBot="1" x14ac:dyDescent="0.25">
      <c r="A524" s="41"/>
      <c r="B524" s="42"/>
      <c r="C524" s="43">
        <v>10481</v>
      </c>
      <c r="D524" s="43"/>
      <c r="E524" s="43">
        <v>1126</v>
      </c>
      <c r="F524" s="44"/>
      <c r="G524" s="44">
        <v>6</v>
      </c>
      <c r="H524" s="44"/>
      <c r="I524" s="44">
        <v>0</v>
      </c>
      <c r="J524" s="45" t="s">
        <v>29</v>
      </c>
      <c r="K524" s="44">
        <v>682</v>
      </c>
      <c r="L524" s="44">
        <v>2728</v>
      </c>
      <c r="M524" s="46">
        <v>0.20666666666666667</v>
      </c>
      <c r="N524" s="29"/>
      <c r="O524" s="30"/>
      <c r="P524" s="41"/>
      <c r="Q524" s="43">
        <v>10171</v>
      </c>
      <c r="R524" s="43"/>
      <c r="S524" s="43">
        <v>999</v>
      </c>
      <c r="T524" s="44"/>
      <c r="U524" s="44">
        <v>9</v>
      </c>
      <c r="V524" s="44"/>
      <c r="W524" s="44">
        <v>0</v>
      </c>
      <c r="X524" s="47" t="s">
        <v>292</v>
      </c>
      <c r="Y524" s="44">
        <v>1045</v>
      </c>
      <c r="Z524" s="44">
        <v>2090</v>
      </c>
      <c r="AA524" s="46">
        <v>0.20693069306930692</v>
      </c>
      <c r="AB524" s="29"/>
      <c r="AD524" s="41"/>
      <c r="AE524" s="43">
        <v>10171</v>
      </c>
      <c r="AF524" s="43"/>
      <c r="AG524" s="43">
        <v>999</v>
      </c>
      <c r="AH524" s="44"/>
      <c r="AI524" s="44">
        <v>9</v>
      </c>
      <c r="AJ524" s="44"/>
      <c r="AK524" s="44">
        <v>0</v>
      </c>
      <c r="AL524" s="47" t="s">
        <v>292</v>
      </c>
      <c r="AM524" s="44">
        <v>1045</v>
      </c>
      <c r="AN524" s="44">
        <v>2090</v>
      </c>
      <c r="AO524" s="46">
        <v>0.20693069306930692</v>
      </c>
      <c r="AP524" s="29"/>
      <c r="AR524" s="41"/>
      <c r="AS524" s="43">
        <v>10171</v>
      </c>
      <c r="AT524" s="43"/>
      <c r="AU524" s="43">
        <v>999</v>
      </c>
      <c r="AV524" s="44"/>
      <c r="AW524" s="44">
        <v>9</v>
      </c>
      <c r="AX524" s="44"/>
      <c r="AY524" s="44">
        <v>0</v>
      </c>
      <c r="AZ524" s="47" t="s">
        <v>292</v>
      </c>
      <c r="BA524" s="44">
        <v>1045</v>
      </c>
      <c r="BB524" s="44">
        <v>2090</v>
      </c>
      <c r="BC524" s="46">
        <v>0.20693069306930692</v>
      </c>
      <c r="BD524" s="29"/>
    </row>
    <row r="525" spans="1:56" ht="15" customHeight="1" thickTop="1" x14ac:dyDescent="0.2">
      <c r="K525" s="13"/>
    </row>
    <row r="526" spans="1:56" x14ac:dyDescent="0.2">
      <c r="K526" s="13"/>
    </row>
    <row r="527" spans="1:56" x14ac:dyDescent="0.2">
      <c r="K527" s="13"/>
    </row>
    <row r="528" spans="1:56" ht="15" customHeight="1" x14ac:dyDescent="0.2">
      <c r="K528" s="13"/>
    </row>
    <row r="529" spans="11:11" ht="15" customHeight="1" x14ac:dyDescent="0.2">
      <c r="K529" s="13"/>
    </row>
    <row r="530" spans="11:11" x14ac:dyDescent="0.2">
      <c r="K530" s="13"/>
    </row>
    <row r="531" spans="11:11" ht="15" customHeight="1" x14ac:dyDescent="0.2">
      <c r="K531" s="13"/>
    </row>
    <row r="532" spans="11:11" ht="15" customHeight="1" x14ac:dyDescent="0.2">
      <c r="K532" s="13"/>
    </row>
    <row r="533" spans="11:11" ht="15" customHeight="1" x14ac:dyDescent="0.2">
      <c r="K533" s="13"/>
    </row>
    <row r="534" spans="11:11" ht="15" customHeight="1" x14ac:dyDescent="0.2">
      <c r="K534" s="13"/>
    </row>
    <row r="535" spans="11:11" ht="15" customHeight="1" x14ac:dyDescent="0.2">
      <c r="K535" s="13"/>
    </row>
    <row r="536" spans="11:11" ht="15" customHeight="1" x14ac:dyDescent="0.2">
      <c r="K536" s="13"/>
    </row>
    <row r="537" spans="11:11" ht="15" customHeight="1" x14ac:dyDescent="0.2">
      <c r="K537" s="13"/>
    </row>
    <row r="538" spans="11:11" ht="15" customHeight="1" x14ac:dyDescent="0.2">
      <c r="K538" s="13"/>
    </row>
    <row r="539" spans="11:11" ht="15" customHeight="1" x14ac:dyDescent="0.2">
      <c r="K539" s="13"/>
    </row>
    <row r="540" spans="11:11" ht="15" customHeight="1" x14ac:dyDescent="0.2">
      <c r="K540" s="13"/>
    </row>
    <row r="541" spans="11:11" ht="15" customHeight="1" x14ac:dyDescent="0.2">
      <c r="K541" s="13"/>
    </row>
    <row r="542" spans="11:11" ht="15" customHeight="1" x14ac:dyDescent="0.2">
      <c r="K542" s="13"/>
    </row>
    <row r="543" spans="11:11" ht="15" customHeight="1" x14ac:dyDescent="0.2">
      <c r="K543" s="13"/>
    </row>
    <row r="544" spans="11:11" ht="15" customHeight="1" x14ac:dyDescent="0.2">
      <c r="K544" s="13"/>
    </row>
    <row r="545" spans="11:11" ht="15" customHeight="1" x14ac:dyDescent="0.2">
      <c r="K545" s="13"/>
    </row>
    <row r="546" spans="11:11" ht="15" customHeight="1" x14ac:dyDescent="0.2">
      <c r="K546" s="13"/>
    </row>
    <row r="547" spans="11:11" ht="15" customHeight="1" x14ac:dyDescent="0.2">
      <c r="K547" s="13"/>
    </row>
    <row r="548" spans="11:11" ht="15" customHeight="1" x14ac:dyDescent="0.2">
      <c r="K548" s="13"/>
    </row>
    <row r="549" spans="11:11" ht="15" customHeight="1" x14ac:dyDescent="0.2">
      <c r="K549" s="13"/>
    </row>
    <row r="550" spans="11:11" ht="15" customHeight="1" x14ac:dyDescent="0.2">
      <c r="K550" s="13"/>
    </row>
    <row r="551" spans="11:11" ht="15" customHeight="1" x14ac:dyDescent="0.2">
      <c r="K551" s="13"/>
    </row>
    <row r="552" spans="11:11" ht="15" customHeight="1" x14ac:dyDescent="0.2">
      <c r="K552" s="13"/>
    </row>
    <row r="553" spans="11:11" ht="15" customHeight="1" x14ac:dyDescent="0.2">
      <c r="K553" s="13"/>
    </row>
    <row r="554" spans="11:11" ht="15" customHeight="1" x14ac:dyDescent="0.2">
      <c r="K554" s="13"/>
    </row>
    <row r="555" spans="11:11" ht="15" customHeight="1" x14ac:dyDescent="0.2">
      <c r="K555" s="13"/>
    </row>
    <row r="556" spans="11:11" ht="15" customHeight="1" x14ac:dyDescent="0.2">
      <c r="K556" s="13"/>
    </row>
    <row r="557" spans="11:11" ht="15" customHeight="1" x14ac:dyDescent="0.2">
      <c r="K557" s="13"/>
    </row>
    <row r="558" spans="11:11" ht="15" customHeight="1" x14ac:dyDescent="0.2">
      <c r="K558" s="13"/>
    </row>
    <row r="559" spans="11:11" ht="15" customHeight="1" x14ac:dyDescent="0.2">
      <c r="K559" s="13"/>
    </row>
    <row r="560" spans="11:11" ht="15" customHeight="1" x14ac:dyDescent="0.2">
      <c r="K560" s="13"/>
    </row>
    <row r="561" spans="11:11" ht="15" customHeight="1" x14ac:dyDescent="0.2">
      <c r="K561" s="13"/>
    </row>
    <row r="562" spans="11:11" ht="15" customHeight="1" x14ac:dyDescent="0.2">
      <c r="K562" s="13"/>
    </row>
    <row r="563" spans="11:11" ht="15" customHeight="1" x14ac:dyDescent="0.2">
      <c r="K563" s="13"/>
    </row>
    <row r="564" spans="11:11" ht="15" customHeight="1" x14ac:dyDescent="0.2">
      <c r="K564" s="13"/>
    </row>
    <row r="565" spans="11:11" ht="15" customHeight="1" x14ac:dyDescent="0.2">
      <c r="K565" s="13"/>
    </row>
    <row r="566" spans="11:11" ht="15" customHeight="1" x14ac:dyDescent="0.2">
      <c r="K566" s="13"/>
    </row>
    <row r="567" spans="11:11" ht="15" customHeight="1" x14ac:dyDescent="0.2">
      <c r="K567" s="13"/>
    </row>
    <row r="568" spans="11:11" ht="15" customHeight="1" x14ac:dyDescent="0.2">
      <c r="K568" s="13"/>
    </row>
    <row r="569" spans="11:11" ht="15" customHeight="1" x14ac:dyDescent="0.2">
      <c r="K569" s="13"/>
    </row>
    <row r="570" spans="11:11" ht="15" customHeight="1" x14ac:dyDescent="0.2">
      <c r="K570" s="13"/>
    </row>
    <row r="571" spans="11:11" ht="15" customHeight="1" x14ac:dyDescent="0.2">
      <c r="K571" s="13"/>
    </row>
    <row r="572" spans="11:11" ht="15" customHeight="1" x14ac:dyDescent="0.2">
      <c r="K572" s="13"/>
    </row>
    <row r="573" spans="11:11" ht="15" customHeight="1" x14ac:dyDescent="0.2">
      <c r="K573" s="13"/>
    </row>
    <row r="574" spans="11:11" ht="15" customHeight="1" x14ac:dyDescent="0.2">
      <c r="K574" s="13"/>
    </row>
    <row r="575" spans="11:11" x14ac:dyDescent="0.2">
      <c r="K575" s="13"/>
    </row>
    <row r="576" spans="11:11" x14ac:dyDescent="0.2">
      <c r="K576" s="13"/>
    </row>
    <row r="577" spans="11:11" x14ac:dyDescent="0.2">
      <c r="K577" s="13"/>
    </row>
    <row r="578" spans="11:11" x14ac:dyDescent="0.2">
      <c r="K578" s="13"/>
    </row>
    <row r="579" spans="11:11" x14ac:dyDescent="0.2">
      <c r="K579" s="13"/>
    </row>
    <row r="580" spans="11:11" x14ac:dyDescent="0.2">
      <c r="K580" s="13"/>
    </row>
    <row r="581" spans="11:11" ht="15" customHeight="1" x14ac:dyDescent="0.2">
      <c r="K581" s="13"/>
    </row>
    <row r="582" spans="11:11" x14ac:dyDescent="0.2">
      <c r="K582" s="13"/>
    </row>
    <row r="583" spans="11:11" x14ac:dyDescent="0.2">
      <c r="K583" s="13"/>
    </row>
    <row r="584" spans="11:11" x14ac:dyDescent="0.2">
      <c r="K584" s="13"/>
    </row>
    <row r="585" spans="11:11" x14ac:dyDescent="0.2">
      <c r="K585" s="13"/>
    </row>
    <row r="586" spans="11:11" x14ac:dyDescent="0.2">
      <c r="K586" s="13"/>
    </row>
    <row r="587" spans="11:11" ht="15" customHeight="1" x14ac:dyDescent="0.2">
      <c r="K587" s="13"/>
    </row>
    <row r="588" spans="11:11" ht="15" customHeight="1" x14ac:dyDescent="0.2">
      <c r="K588" s="13"/>
    </row>
    <row r="589" spans="11:11" x14ac:dyDescent="0.2">
      <c r="K589" s="13"/>
    </row>
    <row r="590" spans="11:11" ht="15" customHeight="1" x14ac:dyDescent="0.2">
      <c r="K590" s="13"/>
    </row>
    <row r="591" spans="11:11" ht="15" customHeight="1" x14ac:dyDescent="0.2">
      <c r="K591" s="13"/>
    </row>
    <row r="592" spans="11:11" ht="15" customHeight="1" x14ac:dyDescent="0.2">
      <c r="K592" s="13"/>
    </row>
    <row r="593" spans="11:11" ht="15" customHeight="1" x14ac:dyDescent="0.2">
      <c r="K593" s="13"/>
    </row>
    <row r="594" spans="11:11" ht="15" customHeight="1" x14ac:dyDescent="0.2">
      <c r="K594" s="13"/>
    </row>
    <row r="595" spans="11:11" ht="15" customHeight="1" x14ac:dyDescent="0.2">
      <c r="K595" s="13"/>
    </row>
    <row r="596" spans="11:11" ht="15" customHeight="1" x14ac:dyDescent="0.2">
      <c r="K596" s="13"/>
    </row>
    <row r="597" spans="11:11" ht="15" customHeight="1" x14ac:dyDescent="0.2">
      <c r="K597" s="13"/>
    </row>
    <row r="598" spans="11:11" ht="15" customHeight="1" x14ac:dyDescent="0.2">
      <c r="K598" s="13"/>
    </row>
    <row r="599" spans="11:11" ht="15" customHeight="1" x14ac:dyDescent="0.2">
      <c r="K599" s="13"/>
    </row>
    <row r="600" spans="11:11" ht="15" customHeight="1" x14ac:dyDescent="0.2">
      <c r="K600" s="13"/>
    </row>
    <row r="601" spans="11:11" ht="15" customHeight="1" x14ac:dyDescent="0.2">
      <c r="K601" s="13"/>
    </row>
    <row r="602" spans="11:11" ht="15" customHeight="1" x14ac:dyDescent="0.2">
      <c r="K602" s="13"/>
    </row>
    <row r="603" spans="11:11" ht="15" customHeight="1" x14ac:dyDescent="0.2">
      <c r="K603" s="13"/>
    </row>
    <row r="604" spans="11:11" ht="15" customHeight="1" x14ac:dyDescent="0.2">
      <c r="K604" s="13"/>
    </row>
    <row r="605" spans="11:11" ht="15" customHeight="1" x14ac:dyDescent="0.2">
      <c r="K605" s="13"/>
    </row>
    <row r="606" spans="11:11" ht="15" customHeight="1" x14ac:dyDescent="0.2">
      <c r="K606" s="13"/>
    </row>
    <row r="607" spans="11:11" ht="15" customHeight="1" x14ac:dyDescent="0.2">
      <c r="K607" s="13"/>
    </row>
    <row r="608" spans="11:11" ht="15" customHeight="1" x14ac:dyDescent="0.2">
      <c r="K608" s="13"/>
    </row>
    <row r="609" spans="11:11" ht="15" customHeight="1" x14ac:dyDescent="0.2">
      <c r="K609" s="13"/>
    </row>
    <row r="610" spans="11:11" ht="15" customHeight="1" x14ac:dyDescent="0.2">
      <c r="K610" s="13"/>
    </row>
    <row r="611" spans="11:11" ht="15" customHeight="1" x14ac:dyDescent="0.2">
      <c r="K611" s="13"/>
    </row>
    <row r="612" spans="11:11" ht="15" customHeight="1" x14ac:dyDescent="0.2">
      <c r="K612" s="13"/>
    </row>
    <row r="613" spans="11:11" ht="15" customHeight="1" x14ac:dyDescent="0.2">
      <c r="K613" s="13"/>
    </row>
    <row r="614" spans="11:11" ht="15" customHeight="1" x14ac:dyDescent="0.2">
      <c r="K614" s="13"/>
    </row>
    <row r="615" spans="11:11" ht="15" customHeight="1" x14ac:dyDescent="0.2">
      <c r="K615" s="13"/>
    </row>
    <row r="616" spans="11:11" ht="15" customHeight="1" x14ac:dyDescent="0.2">
      <c r="K616" s="13"/>
    </row>
    <row r="617" spans="11:11" ht="15" customHeight="1" x14ac:dyDescent="0.2">
      <c r="K617" s="13"/>
    </row>
    <row r="618" spans="11:11" ht="15" customHeight="1" x14ac:dyDescent="0.2">
      <c r="K618" s="13"/>
    </row>
    <row r="619" spans="11:11" ht="15" customHeight="1" x14ac:dyDescent="0.2">
      <c r="K619" s="13"/>
    </row>
    <row r="620" spans="11:11" ht="15" customHeight="1" x14ac:dyDescent="0.2">
      <c r="K620" s="13"/>
    </row>
    <row r="621" spans="11:11" ht="15" customHeight="1" x14ac:dyDescent="0.2">
      <c r="K621" s="13"/>
    </row>
    <row r="622" spans="11:11" ht="15" customHeight="1" x14ac:dyDescent="0.2">
      <c r="K622" s="13"/>
    </row>
    <row r="623" spans="11:11" ht="15" customHeight="1" x14ac:dyDescent="0.2">
      <c r="K623" s="13"/>
    </row>
    <row r="624" spans="11:11" ht="15" customHeight="1" x14ac:dyDescent="0.2">
      <c r="K624" s="13"/>
    </row>
    <row r="625" spans="11:11" ht="15" customHeight="1" x14ac:dyDescent="0.2">
      <c r="K625" s="13"/>
    </row>
    <row r="626" spans="11:11" ht="15" customHeight="1" x14ac:dyDescent="0.2">
      <c r="K626" s="13"/>
    </row>
    <row r="627" spans="11:11" ht="15" customHeight="1" x14ac:dyDescent="0.2">
      <c r="K627" s="13"/>
    </row>
    <row r="628" spans="11:11" ht="15" customHeight="1" x14ac:dyDescent="0.2">
      <c r="K628" s="13"/>
    </row>
    <row r="629" spans="11:11" ht="15" customHeight="1" x14ac:dyDescent="0.2">
      <c r="K629" s="13"/>
    </row>
    <row r="630" spans="11:11" ht="15" customHeight="1" x14ac:dyDescent="0.2">
      <c r="K630" s="13"/>
    </row>
    <row r="631" spans="11:11" ht="15" customHeight="1" x14ac:dyDescent="0.2">
      <c r="K631" s="13"/>
    </row>
    <row r="632" spans="11:11" ht="15" customHeight="1" x14ac:dyDescent="0.2">
      <c r="K632" s="13"/>
    </row>
    <row r="633" spans="11:11" x14ac:dyDescent="0.2">
      <c r="K633" s="13"/>
    </row>
    <row r="634" spans="11:11" x14ac:dyDescent="0.2">
      <c r="K634" s="13"/>
    </row>
    <row r="635" spans="11:11" ht="15" customHeight="1" x14ac:dyDescent="0.2">
      <c r="K635" s="13"/>
    </row>
    <row r="636" spans="11:11" ht="15" customHeight="1" x14ac:dyDescent="0.2">
      <c r="K636" s="13"/>
    </row>
    <row r="637" spans="11:11" ht="15" customHeight="1" x14ac:dyDescent="0.2">
      <c r="K637" s="13"/>
    </row>
    <row r="638" spans="11:11" ht="15" customHeight="1" x14ac:dyDescent="0.2">
      <c r="K638" s="13"/>
    </row>
    <row r="639" spans="11:11" ht="15" customHeight="1" x14ac:dyDescent="0.2">
      <c r="K639" s="13"/>
    </row>
    <row r="640" spans="11:11" ht="15" customHeight="1" x14ac:dyDescent="0.2">
      <c r="K640" s="13"/>
    </row>
    <row r="641" spans="11:11" x14ac:dyDescent="0.2">
      <c r="K641" s="13"/>
    </row>
    <row r="642" spans="11:11" x14ac:dyDescent="0.2">
      <c r="K642" s="13"/>
    </row>
    <row r="643" spans="11:11" x14ac:dyDescent="0.2">
      <c r="K643" s="13"/>
    </row>
    <row r="644" spans="11:11" x14ac:dyDescent="0.2">
      <c r="K644" s="13"/>
    </row>
    <row r="645" spans="11:11" ht="15" customHeight="1" x14ac:dyDescent="0.2">
      <c r="K645" s="13"/>
    </row>
    <row r="646" spans="11:11" ht="15" customHeight="1" x14ac:dyDescent="0.2">
      <c r="K646" s="13"/>
    </row>
    <row r="647" spans="11:11" x14ac:dyDescent="0.2">
      <c r="K647" s="13"/>
    </row>
    <row r="648" spans="11:11" x14ac:dyDescent="0.2">
      <c r="K648" s="13"/>
    </row>
    <row r="649" spans="11:11" ht="15" customHeight="1" x14ac:dyDescent="0.2">
      <c r="K649" s="13"/>
    </row>
    <row r="650" spans="11:11" ht="15" customHeight="1" x14ac:dyDescent="0.2">
      <c r="K650" s="13"/>
    </row>
    <row r="651" spans="11:11" x14ac:dyDescent="0.2">
      <c r="K651" s="13"/>
    </row>
    <row r="652" spans="11:11" x14ac:dyDescent="0.2">
      <c r="K652" s="13"/>
    </row>
    <row r="653" spans="11:11" ht="15" customHeight="1" x14ac:dyDescent="0.2">
      <c r="K653" s="13"/>
    </row>
    <row r="654" spans="11:11" ht="15" customHeight="1" x14ac:dyDescent="0.2">
      <c r="K654" s="13"/>
    </row>
    <row r="655" spans="11:11" ht="15" customHeight="1" x14ac:dyDescent="0.2">
      <c r="K655" s="13"/>
    </row>
    <row r="656" spans="11:11" x14ac:dyDescent="0.2">
      <c r="K656" s="13"/>
    </row>
    <row r="657" spans="11:11" ht="15" customHeight="1" x14ac:dyDescent="0.2">
      <c r="K657" s="13"/>
    </row>
    <row r="658" spans="11:11" ht="15" customHeight="1" x14ac:dyDescent="0.2">
      <c r="K658" s="13"/>
    </row>
    <row r="659" spans="11:11" x14ac:dyDescent="0.2">
      <c r="K659" s="13"/>
    </row>
    <row r="660" spans="11:11" ht="15" customHeight="1" x14ac:dyDescent="0.2">
      <c r="K660" s="13"/>
    </row>
    <row r="661" spans="11:11" ht="15" customHeight="1" x14ac:dyDescent="0.2">
      <c r="K661" s="13"/>
    </row>
    <row r="662" spans="11:11" ht="15" customHeight="1" x14ac:dyDescent="0.2">
      <c r="K662" s="13"/>
    </row>
    <row r="663" spans="11:11" ht="15" customHeight="1" x14ac:dyDescent="0.2">
      <c r="K663" s="13"/>
    </row>
    <row r="664" spans="11:11" ht="15" customHeight="1" x14ac:dyDescent="0.2">
      <c r="K664" s="13"/>
    </row>
    <row r="665" spans="11:11" ht="15" customHeight="1" x14ac:dyDescent="0.2">
      <c r="K665" s="13"/>
    </row>
    <row r="666" spans="11:11" ht="15" customHeight="1" x14ac:dyDescent="0.2">
      <c r="K666" s="13"/>
    </row>
    <row r="667" spans="11:11" ht="15" customHeight="1" x14ac:dyDescent="0.2">
      <c r="K667" s="13"/>
    </row>
    <row r="668" spans="11:11" ht="15" customHeight="1" x14ac:dyDescent="0.2">
      <c r="K668" s="13"/>
    </row>
    <row r="669" spans="11:11" ht="15" customHeight="1" x14ac:dyDescent="0.2">
      <c r="K669" s="13"/>
    </row>
    <row r="670" spans="11:11" ht="15" customHeight="1" x14ac:dyDescent="0.2">
      <c r="K670" s="13"/>
    </row>
    <row r="671" spans="11:11" ht="15" customHeight="1" x14ac:dyDescent="0.2">
      <c r="K671" s="13"/>
    </row>
    <row r="672" spans="11:11" ht="15" customHeight="1" x14ac:dyDescent="0.2">
      <c r="K672" s="13"/>
    </row>
    <row r="673" spans="11:11" ht="15" customHeight="1" x14ac:dyDescent="0.2">
      <c r="K673" s="13"/>
    </row>
    <row r="674" spans="11:11" ht="15" customHeight="1" x14ac:dyDescent="0.2">
      <c r="K674" s="13"/>
    </row>
    <row r="675" spans="11:11" ht="15" customHeight="1" x14ac:dyDescent="0.2">
      <c r="K675" s="13"/>
    </row>
    <row r="676" spans="11:11" ht="15" customHeight="1" x14ac:dyDescent="0.2">
      <c r="K676" s="13"/>
    </row>
    <row r="677" spans="11:11" ht="15" customHeight="1" x14ac:dyDescent="0.2">
      <c r="K677" s="13"/>
    </row>
    <row r="678" spans="11:11" ht="15" customHeight="1" x14ac:dyDescent="0.2">
      <c r="K678" s="13"/>
    </row>
    <row r="679" spans="11:11" ht="15" customHeight="1" x14ac:dyDescent="0.2">
      <c r="K679" s="13"/>
    </row>
    <row r="680" spans="11:11" ht="15" customHeight="1" x14ac:dyDescent="0.2">
      <c r="K680" s="13"/>
    </row>
    <row r="681" spans="11:11" ht="15" customHeight="1" x14ac:dyDescent="0.2">
      <c r="K681" s="13"/>
    </row>
    <row r="682" spans="11:11" ht="15" customHeight="1" x14ac:dyDescent="0.2">
      <c r="K682" s="13"/>
    </row>
    <row r="683" spans="11:11" ht="15" customHeight="1" x14ac:dyDescent="0.2">
      <c r="K683" s="13"/>
    </row>
    <row r="684" spans="11:11" ht="15" customHeight="1" x14ac:dyDescent="0.2">
      <c r="K684" s="13"/>
    </row>
    <row r="685" spans="11:11" ht="15" customHeight="1" x14ac:dyDescent="0.2">
      <c r="K685" s="13"/>
    </row>
    <row r="686" spans="11:11" ht="15" customHeight="1" x14ac:dyDescent="0.2">
      <c r="K686" s="13"/>
    </row>
    <row r="687" spans="11:11" ht="15" customHeight="1" x14ac:dyDescent="0.2">
      <c r="K687" s="13"/>
    </row>
    <row r="688" spans="11:11" ht="15" customHeight="1" x14ac:dyDescent="0.2">
      <c r="K688" s="13"/>
    </row>
    <row r="689" spans="11:11" ht="15" customHeight="1" x14ac:dyDescent="0.2">
      <c r="K689" s="13"/>
    </row>
    <row r="690" spans="11:11" ht="15" customHeight="1" x14ac:dyDescent="0.2">
      <c r="K690" s="13"/>
    </row>
    <row r="691" spans="11:11" ht="15" customHeight="1" x14ac:dyDescent="0.2">
      <c r="K691" s="13"/>
    </row>
    <row r="692" spans="11:11" ht="15" customHeight="1" x14ac:dyDescent="0.2">
      <c r="K692" s="13"/>
    </row>
    <row r="693" spans="11:11" ht="15" customHeight="1" x14ac:dyDescent="0.2">
      <c r="K693" s="13"/>
    </row>
    <row r="694" spans="11:11" ht="15" customHeight="1" x14ac:dyDescent="0.2">
      <c r="K694" s="13"/>
    </row>
    <row r="695" spans="11:11" ht="15" customHeight="1" x14ac:dyDescent="0.2">
      <c r="K695" s="13"/>
    </row>
    <row r="696" spans="11:11" ht="15" customHeight="1" x14ac:dyDescent="0.2">
      <c r="K696" s="13"/>
    </row>
    <row r="697" spans="11:11" ht="15" customHeight="1" x14ac:dyDescent="0.2">
      <c r="K697" s="13"/>
    </row>
    <row r="698" spans="11:11" ht="15" customHeight="1" x14ac:dyDescent="0.2">
      <c r="K698" s="13"/>
    </row>
    <row r="699" spans="11:11" ht="15" customHeight="1" x14ac:dyDescent="0.2">
      <c r="K699" s="13"/>
    </row>
    <row r="700" spans="11:11" ht="15" customHeight="1" x14ac:dyDescent="0.2">
      <c r="K700" s="13"/>
    </row>
    <row r="701" spans="11:11" x14ac:dyDescent="0.2">
      <c r="K701" s="13"/>
    </row>
    <row r="702" spans="11:11" ht="15" customHeight="1" x14ac:dyDescent="0.2">
      <c r="K702" s="13"/>
    </row>
    <row r="703" spans="11:11" x14ac:dyDescent="0.2">
      <c r="K703" s="13"/>
    </row>
    <row r="704" spans="11:11" x14ac:dyDescent="0.2">
      <c r="K704" s="13"/>
    </row>
    <row r="705" spans="11:11" ht="15" customHeight="1" x14ac:dyDescent="0.2">
      <c r="K705" s="13"/>
    </row>
    <row r="706" spans="11:11" ht="15" customHeight="1" x14ac:dyDescent="0.2">
      <c r="K706" s="13"/>
    </row>
    <row r="707" spans="11:11" ht="15" customHeight="1" x14ac:dyDescent="0.2">
      <c r="K707" s="13"/>
    </row>
    <row r="708" spans="11:11" ht="15" customHeight="1" x14ac:dyDescent="0.2">
      <c r="K708" s="13"/>
    </row>
    <row r="709" spans="11:11" ht="15" customHeight="1" x14ac:dyDescent="0.2">
      <c r="K709" s="13"/>
    </row>
    <row r="710" spans="11:11" ht="15" customHeight="1" x14ac:dyDescent="0.2">
      <c r="K710" s="13"/>
    </row>
    <row r="711" spans="11:11" x14ac:dyDescent="0.2">
      <c r="K711" s="13"/>
    </row>
    <row r="712" spans="11:11" x14ac:dyDescent="0.2">
      <c r="K712" s="13"/>
    </row>
    <row r="713" spans="11:11" x14ac:dyDescent="0.2">
      <c r="K713" s="13"/>
    </row>
    <row r="714" spans="11:11" x14ac:dyDescent="0.2">
      <c r="K714" s="13"/>
    </row>
    <row r="715" spans="11:11" x14ac:dyDescent="0.2">
      <c r="K715" s="13"/>
    </row>
    <row r="716" spans="11:11" x14ac:dyDescent="0.2">
      <c r="K716" s="13"/>
    </row>
    <row r="717" spans="11:11" x14ac:dyDescent="0.2">
      <c r="K717" s="13"/>
    </row>
    <row r="718" spans="11:11" x14ac:dyDescent="0.2">
      <c r="K718" s="13"/>
    </row>
    <row r="719" spans="11:11" x14ac:dyDescent="0.2">
      <c r="K719" s="13"/>
    </row>
    <row r="720" spans="11:11" x14ac:dyDescent="0.2">
      <c r="K720" s="13"/>
    </row>
    <row r="721" spans="11:11" x14ac:dyDescent="0.2">
      <c r="K721" s="13"/>
    </row>
    <row r="722" spans="11:11" x14ac:dyDescent="0.2">
      <c r="K722" s="13"/>
    </row>
    <row r="723" spans="11:11" x14ac:dyDescent="0.2">
      <c r="K723" s="13"/>
    </row>
    <row r="724" spans="11:11" x14ac:dyDescent="0.2">
      <c r="K724" s="13"/>
    </row>
    <row r="725" spans="11:11" x14ac:dyDescent="0.2">
      <c r="K725" s="13"/>
    </row>
    <row r="726" spans="11:11" ht="16.5" customHeight="1" x14ac:dyDescent="0.2">
      <c r="K726" s="13"/>
    </row>
    <row r="727" spans="11:11" x14ac:dyDescent="0.2">
      <c r="K727" s="13"/>
    </row>
    <row r="728" spans="11:11" x14ac:dyDescent="0.2">
      <c r="K728" s="13"/>
    </row>
    <row r="729" spans="11:11" x14ac:dyDescent="0.2">
      <c r="K729" s="13"/>
    </row>
    <row r="730" spans="11:11" x14ac:dyDescent="0.2">
      <c r="K730" s="13"/>
    </row>
    <row r="731" spans="11:11" ht="15.75" customHeight="1" x14ac:dyDescent="0.2">
      <c r="K731" s="13"/>
    </row>
    <row r="732" spans="11:11" ht="15.75" customHeight="1" x14ac:dyDescent="0.2">
      <c r="K732" s="13"/>
    </row>
    <row r="733" spans="11:11" ht="15.75" customHeight="1" x14ac:dyDescent="0.2">
      <c r="K733" s="13"/>
    </row>
    <row r="734" spans="11:11" ht="15.75" customHeight="1" x14ac:dyDescent="0.2">
      <c r="K734" s="13"/>
    </row>
    <row r="735" spans="11:11" ht="15.75" customHeight="1" x14ac:dyDescent="0.2">
      <c r="K735" s="13"/>
    </row>
    <row r="736" spans="11:11" ht="15.75" customHeight="1" x14ac:dyDescent="0.2">
      <c r="K736" s="13"/>
    </row>
    <row r="737" spans="11:11" ht="15.75" customHeight="1" x14ac:dyDescent="0.2">
      <c r="K737" s="13"/>
    </row>
    <row r="738" spans="11:11" ht="15.75" customHeight="1" x14ac:dyDescent="0.2">
      <c r="K738" s="13"/>
    </row>
    <row r="739" spans="11:11" ht="15.75" customHeight="1" x14ac:dyDescent="0.2">
      <c r="K739" s="13"/>
    </row>
    <row r="740" spans="11:11" ht="15.75" customHeight="1" x14ac:dyDescent="0.2">
      <c r="K740" s="13"/>
    </row>
    <row r="741" spans="11:11" ht="15.75" customHeight="1" x14ac:dyDescent="0.2">
      <c r="K741" s="13"/>
    </row>
    <row r="742" spans="11:11" ht="15.75" customHeight="1" x14ac:dyDescent="0.2">
      <c r="K742" s="13"/>
    </row>
    <row r="743" spans="11:11" ht="15.75" customHeight="1" x14ac:dyDescent="0.2">
      <c r="K743" s="13"/>
    </row>
    <row r="744" spans="11:11" ht="15.75" customHeight="1" x14ac:dyDescent="0.2">
      <c r="K744" s="13"/>
    </row>
    <row r="745" spans="11:11" ht="15.75" customHeight="1" x14ac:dyDescent="0.2">
      <c r="K745" s="13"/>
    </row>
    <row r="746" spans="11:11" ht="15" customHeight="1" x14ac:dyDescent="0.2">
      <c r="K746" s="13"/>
    </row>
    <row r="747" spans="11:11" ht="15.75" customHeight="1" x14ac:dyDescent="0.2">
      <c r="K747" s="13"/>
    </row>
    <row r="748" spans="11:11" ht="15.75" customHeight="1" x14ac:dyDescent="0.2">
      <c r="K748" s="13"/>
    </row>
    <row r="749" spans="11:11" ht="15.75" customHeight="1" x14ac:dyDescent="0.2">
      <c r="K749" s="13"/>
    </row>
    <row r="750" spans="11:11" ht="15.75" customHeight="1" x14ac:dyDescent="0.2">
      <c r="K750" s="13"/>
    </row>
    <row r="751" spans="11:11" ht="15.75" customHeight="1" x14ac:dyDescent="0.2">
      <c r="K751" s="13"/>
    </row>
    <row r="752" spans="11:11" ht="15.75" customHeight="1" x14ac:dyDescent="0.2">
      <c r="K752" s="13"/>
    </row>
    <row r="753" spans="11:11" ht="15.75" customHeight="1" x14ac:dyDescent="0.2">
      <c r="K753" s="13"/>
    </row>
    <row r="754" spans="11:11" ht="15.75" customHeight="1" x14ac:dyDescent="0.2">
      <c r="K754" s="13"/>
    </row>
    <row r="755" spans="11:11" ht="15.75" customHeight="1" x14ac:dyDescent="0.2">
      <c r="K755" s="13"/>
    </row>
    <row r="756" spans="11:11" ht="15.75" customHeight="1" x14ac:dyDescent="0.2">
      <c r="K756" s="13"/>
    </row>
    <row r="757" spans="11:11" ht="15.75" customHeight="1" x14ac:dyDescent="0.2">
      <c r="K757" s="13"/>
    </row>
    <row r="758" spans="11:11" ht="15.75" customHeight="1" x14ac:dyDescent="0.2">
      <c r="K758" s="13"/>
    </row>
    <row r="759" spans="11:11" ht="15.75" customHeight="1" x14ac:dyDescent="0.2">
      <c r="K759" s="13"/>
    </row>
    <row r="760" spans="11:11" ht="15.75" customHeight="1" x14ac:dyDescent="0.2">
      <c r="K760" s="13"/>
    </row>
    <row r="761" spans="11:11" ht="15.75" customHeight="1" x14ac:dyDescent="0.2">
      <c r="K761" s="13"/>
    </row>
    <row r="762" spans="11:11" ht="15.75" customHeight="1" x14ac:dyDescent="0.2">
      <c r="K762" s="13"/>
    </row>
    <row r="763" spans="11:11" ht="15.75" customHeight="1" x14ac:dyDescent="0.2">
      <c r="K763" s="13"/>
    </row>
    <row r="764" spans="11:11" ht="15.75" customHeight="1" x14ac:dyDescent="0.2">
      <c r="K764" s="13"/>
    </row>
    <row r="765" spans="11:11" ht="15.75" customHeight="1" x14ac:dyDescent="0.2">
      <c r="K765" s="13"/>
    </row>
    <row r="766" spans="11:11" ht="15.75" customHeight="1" x14ac:dyDescent="0.2">
      <c r="K766" s="13"/>
    </row>
    <row r="767" spans="11:11" ht="15.75" customHeight="1" x14ac:dyDescent="0.2">
      <c r="K767" s="13"/>
    </row>
    <row r="768" spans="11:11" ht="15.75" customHeight="1" x14ac:dyDescent="0.2">
      <c r="K768" s="13"/>
    </row>
    <row r="769" spans="11:11" ht="15.75" customHeight="1" x14ac:dyDescent="0.2">
      <c r="K769" s="13"/>
    </row>
    <row r="770" spans="11:11" ht="15.75" customHeight="1" x14ac:dyDescent="0.2">
      <c r="K770" s="13"/>
    </row>
    <row r="771" spans="11:11" ht="15.75" customHeight="1" x14ac:dyDescent="0.2">
      <c r="K771" s="13"/>
    </row>
    <row r="772" spans="11:11" ht="15.75" customHeight="1" x14ac:dyDescent="0.2">
      <c r="K772" s="13"/>
    </row>
    <row r="773" spans="11:11" ht="15.75" customHeight="1" x14ac:dyDescent="0.2">
      <c r="K773" s="13"/>
    </row>
    <row r="774" spans="11:11" ht="15.75" customHeight="1" x14ac:dyDescent="0.2">
      <c r="K774" s="13"/>
    </row>
    <row r="775" spans="11:11" ht="15.75" customHeight="1" x14ac:dyDescent="0.2">
      <c r="K775" s="13"/>
    </row>
    <row r="776" spans="11:11" ht="15.75" customHeight="1" x14ac:dyDescent="0.2">
      <c r="K776" s="13"/>
    </row>
    <row r="777" spans="11:11" ht="15.75" customHeight="1" x14ac:dyDescent="0.2">
      <c r="K777" s="13"/>
    </row>
    <row r="778" spans="11:11" ht="15.75" customHeight="1" x14ac:dyDescent="0.2">
      <c r="K778" s="13"/>
    </row>
    <row r="779" spans="11:11" ht="15.75" customHeight="1" x14ac:dyDescent="0.2">
      <c r="K779" s="13"/>
    </row>
    <row r="780" spans="11:11" ht="15.75" customHeight="1" x14ac:dyDescent="0.2">
      <c r="K780" s="13"/>
    </row>
    <row r="781" spans="11:11" ht="15.75" customHeight="1" x14ac:dyDescent="0.2">
      <c r="K781" s="13"/>
    </row>
    <row r="782" spans="11:11" ht="15.75" customHeight="1" x14ac:dyDescent="0.2">
      <c r="K782" s="13"/>
    </row>
    <row r="783" spans="11:11" ht="15.75" customHeight="1" x14ac:dyDescent="0.2">
      <c r="K783" s="13"/>
    </row>
    <row r="784" spans="11:11" ht="15.75" customHeight="1" x14ac:dyDescent="0.2">
      <c r="K784" s="13"/>
    </row>
    <row r="785" spans="11:11" ht="15.75" customHeight="1" x14ac:dyDescent="0.2">
      <c r="K785" s="13"/>
    </row>
    <row r="786" spans="11:11" ht="15.75" customHeight="1" x14ac:dyDescent="0.2">
      <c r="K786" s="13"/>
    </row>
    <row r="787" spans="11:11" ht="15.75" customHeight="1" x14ac:dyDescent="0.2">
      <c r="K787" s="13"/>
    </row>
    <row r="788" spans="11:11" ht="15.75" customHeight="1" x14ac:dyDescent="0.2">
      <c r="K788" s="13"/>
    </row>
    <row r="789" spans="11:11" ht="15.75" customHeight="1" x14ac:dyDescent="0.2">
      <c r="K789" s="13"/>
    </row>
    <row r="790" spans="11:11" ht="15.75" customHeight="1" x14ac:dyDescent="0.2">
      <c r="K790" s="13"/>
    </row>
    <row r="791" spans="11:11" ht="15.75" customHeight="1" x14ac:dyDescent="0.2">
      <c r="K791" s="13"/>
    </row>
    <row r="792" spans="11:11" ht="15.75" customHeight="1" x14ac:dyDescent="0.2">
      <c r="K792" s="13"/>
    </row>
    <row r="793" spans="11:11" ht="15.75" customHeight="1" x14ac:dyDescent="0.2">
      <c r="K793" s="13"/>
    </row>
    <row r="794" spans="11:11" ht="15.75" customHeight="1" x14ac:dyDescent="0.2">
      <c r="K794" s="13"/>
    </row>
    <row r="795" spans="11:11" ht="15.75" customHeight="1" x14ac:dyDescent="0.2">
      <c r="K795" s="13"/>
    </row>
    <row r="796" spans="11:11" ht="15.75" customHeight="1" x14ac:dyDescent="0.2">
      <c r="K796" s="13"/>
    </row>
    <row r="797" spans="11:11" ht="16.5" customHeight="1" x14ac:dyDescent="0.2">
      <c r="K797" s="13"/>
    </row>
    <row r="798" spans="11:11" ht="15.75" customHeight="1" x14ac:dyDescent="0.2">
      <c r="K798" s="13"/>
    </row>
    <row r="799" spans="11:11" ht="15.75" customHeight="1" x14ac:dyDescent="0.2">
      <c r="K799" s="13"/>
    </row>
    <row r="800" spans="11:11" ht="15.75" customHeight="1" x14ac:dyDescent="0.2">
      <c r="K800" s="13"/>
    </row>
    <row r="801" spans="11:11" ht="15.75" customHeight="1" x14ac:dyDescent="0.2">
      <c r="K801" s="13"/>
    </row>
    <row r="802" spans="11:11" ht="15.75" customHeight="1" x14ac:dyDescent="0.2">
      <c r="K802" s="13"/>
    </row>
    <row r="803" spans="11:11" ht="15.75" customHeight="1" x14ac:dyDescent="0.2">
      <c r="K803" s="13"/>
    </row>
    <row r="804" spans="11:11" ht="15.75" customHeight="1" x14ac:dyDescent="0.2">
      <c r="K804" s="13"/>
    </row>
    <row r="805" spans="11:11" ht="15.75" customHeight="1" x14ac:dyDescent="0.2">
      <c r="K805" s="13"/>
    </row>
    <row r="806" spans="11:11" ht="15.75" customHeight="1" x14ac:dyDescent="0.2">
      <c r="K806" s="13"/>
    </row>
    <row r="807" spans="11:11" ht="15.75" customHeight="1" x14ac:dyDescent="0.2">
      <c r="K807" s="13"/>
    </row>
    <row r="808" spans="11:11" ht="15.75" customHeight="1" x14ac:dyDescent="0.2">
      <c r="K808" s="13"/>
    </row>
    <row r="809" spans="11:11" ht="15.75" customHeight="1" x14ac:dyDescent="0.2">
      <c r="K809" s="13"/>
    </row>
    <row r="810" spans="11:11" ht="15.75" customHeight="1" x14ac:dyDescent="0.2">
      <c r="K810" s="13"/>
    </row>
    <row r="811" spans="11:11" ht="15.75" customHeight="1" x14ac:dyDescent="0.2">
      <c r="K811" s="13"/>
    </row>
    <row r="812" spans="11:11" ht="15.75" customHeight="1" x14ac:dyDescent="0.2">
      <c r="K812" s="13"/>
    </row>
    <row r="813" spans="11:11" ht="15.75" customHeight="1" x14ac:dyDescent="0.2">
      <c r="K813" s="13"/>
    </row>
    <row r="814" spans="11:11" ht="15.75" customHeight="1" x14ac:dyDescent="0.2">
      <c r="K814" s="13"/>
    </row>
    <row r="815" spans="11:11" ht="15.75" customHeight="1" x14ac:dyDescent="0.2">
      <c r="K815" s="13"/>
    </row>
    <row r="816" spans="11:11" ht="15.75" customHeight="1" x14ac:dyDescent="0.2">
      <c r="K816" s="13"/>
    </row>
    <row r="817" spans="11:11" ht="15" customHeight="1" x14ac:dyDescent="0.2">
      <c r="K817" s="13"/>
    </row>
    <row r="818" spans="11:11" ht="15.75" customHeight="1" x14ac:dyDescent="0.2">
      <c r="K818" s="13"/>
    </row>
    <row r="819" spans="11:11" ht="15.75" customHeight="1" x14ac:dyDescent="0.2">
      <c r="K819" s="13"/>
    </row>
    <row r="820" spans="11:11" ht="15.75" customHeight="1" x14ac:dyDescent="0.2">
      <c r="K820" s="13"/>
    </row>
    <row r="821" spans="11:11" ht="15.75" customHeight="1" x14ac:dyDescent="0.2">
      <c r="K821" s="13"/>
    </row>
    <row r="822" spans="11:11" ht="15.75" customHeight="1" x14ac:dyDescent="0.2">
      <c r="K822" s="13"/>
    </row>
    <row r="823" spans="11:11" ht="15.75" customHeight="1" x14ac:dyDescent="0.2">
      <c r="K823" s="13"/>
    </row>
    <row r="824" spans="11:11" ht="15.75" customHeight="1" x14ac:dyDescent="0.2">
      <c r="K824" s="13"/>
    </row>
    <row r="825" spans="11:11" ht="15.75" customHeight="1" x14ac:dyDescent="0.2">
      <c r="K825" s="13"/>
    </row>
    <row r="826" spans="11:11" ht="15.75" customHeight="1" x14ac:dyDescent="0.2">
      <c r="K826" s="13"/>
    </row>
    <row r="827" spans="11:11" ht="15.75" customHeight="1" x14ac:dyDescent="0.2">
      <c r="K827" s="13"/>
    </row>
    <row r="828" spans="11:11" ht="15.75" customHeight="1" x14ac:dyDescent="0.2">
      <c r="K828" s="13"/>
    </row>
    <row r="829" spans="11:11" ht="15.75" customHeight="1" x14ac:dyDescent="0.2">
      <c r="K829" s="13"/>
    </row>
    <row r="830" spans="11:11" ht="15.75" customHeight="1" x14ac:dyDescent="0.2">
      <c r="K830" s="13"/>
    </row>
    <row r="831" spans="11:11" ht="15.75" customHeight="1" x14ac:dyDescent="0.2">
      <c r="K831" s="13"/>
    </row>
    <row r="832" spans="11:11" ht="15.75" customHeight="1" x14ac:dyDescent="0.2">
      <c r="K832" s="13"/>
    </row>
    <row r="833" spans="11:11" ht="15.75" customHeight="1" x14ac:dyDescent="0.2">
      <c r="K833" s="13"/>
    </row>
    <row r="834" spans="11:11" ht="15.75" customHeight="1" x14ac:dyDescent="0.2">
      <c r="K834" s="13"/>
    </row>
    <row r="835" spans="11:11" ht="15.75" customHeight="1" x14ac:dyDescent="0.2">
      <c r="K835" s="13"/>
    </row>
    <row r="836" spans="11:11" ht="15.75" customHeight="1" x14ac:dyDescent="0.2">
      <c r="K836" s="13"/>
    </row>
    <row r="837" spans="11:11" ht="15.75" customHeight="1" x14ac:dyDescent="0.2">
      <c r="K837" s="13"/>
    </row>
    <row r="838" spans="11:11" ht="15.75" customHeight="1" x14ac:dyDescent="0.2">
      <c r="K838" s="13"/>
    </row>
    <row r="839" spans="11:11" ht="15.75" customHeight="1" x14ac:dyDescent="0.2">
      <c r="K839" s="13"/>
    </row>
    <row r="840" spans="11:11" ht="15.75" customHeight="1" x14ac:dyDescent="0.2">
      <c r="K840" s="13"/>
    </row>
    <row r="841" spans="11:11" ht="15.75" customHeight="1" x14ac:dyDescent="0.2">
      <c r="K841" s="13"/>
    </row>
    <row r="842" spans="11:11" ht="15.75" customHeight="1" x14ac:dyDescent="0.2">
      <c r="K842" s="13"/>
    </row>
    <row r="843" spans="11:11" ht="15.75" customHeight="1" x14ac:dyDescent="0.2">
      <c r="K843" s="13"/>
    </row>
    <row r="844" spans="11:11" ht="15.75" customHeight="1" x14ac:dyDescent="0.2">
      <c r="K844" s="13"/>
    </row>
    <row r="845" spans="11:11" ht="15.75" customHeight="1" x14ac:dyDescent="0.2">
      <c r="K845" s="13"/>
    </row>
    <row r="846" spans="11:11" ht="15.75" customHeight="1" x14ac:dyDescent="0.2">
      <c r="K846" s="13"/>
    </row>
    <row r="847" spans="11:11" ht="15.75" customHeight="1" x14ac:dyDescent="0.2">
      <c r="K847" s="13"/>
    </row>
    <row r="848" spans="11:11" ht="15.75" customHeight="1" x14ac:dyDescent="0.2">
      <c r="K848" s="13"/>
    </row>
    <row r="849" spans="11:11" ht="15.75" customHeight="1" x14ac:dyDescent="0.2">
      <c r="K849" s="13"/>
    </row>
    <row r="850" spans="11:11" ht="15.75" customHeight="1" x14ac:dyDescent="0.2">
      <c r="K850" s="13"/>
    </row>
    <row r="851" spans="11:11" ht="15.75" customHeight="1" x14ac:dyDescent="0.2">
      <c r="K851" s="13"/>
    </row>
    <row r="852" spans="11:11" ht="15.75" customHeight="1" x14ac:dyDescent="0.2">
      <c r="K852" s="13"/>
    </row>
    <row r="853" spans="11:11" ht="15.75" customHeight="1" x14ac:dyDescent="0.2">
      <c r="K853" s="13"/>
    </row>
    <row r="854" spans="11:11" ht="15.75" customHeight="1" x14ac:dyDescent="0.2">
      <c r="K854" s="13"/>
    </row>
    <row r="855" spans="11:11" ht="15.75" customHeight="1" x14ac:dyDescent="0.2">
      <c r="K855" s="13"/>
    </row>
    <row r="856" spans="11:11" ht="15.75" customHeight="1" x14ac:dyDescent="0.2">
      <c r="K856" s="13"/>
    </row>
    <row r="857" spans="11:11" ht="15.75" customHeight="1" x14ac:dyDescent="0.2">
      <c r="K857" s="13"/>
    </row>
    <row r="858" spans="11:11" ht="15.75" customHeight="1" x14ac:dyDescent="0.2">
      <c r="K858" s="13"/>
    </row>
    <row r="859" spans="11:11" ht="15.75" customHeight="1" x14ac:dyDescent="0.2">
      <c r="K859" s="13"/>
    </row>
    <row r="860" spans="11:11" ht="15.75" customHeight="1" x14ac:dyDescent="0.2">
      <c r="K860" s="13"/>
    </row>
    <row r="861" spans="11:11" ht="15.75" customHeight="1" x14ac:dyDescent="0.2">
      <c r="K861" s="13"/>
    </row>
    <row r="862" spans="11:11" ht="15.75" customHeight="1" x14ac:dyDescent="0.2">
      <c r="K862" s="13"/>
    </row>
    <row r="863" spans="11:11" ht="15.75" customHeight="1" x14ac:dyDescent="0.2">
      <c r="K863" s="13"/>
    </row>
    <row r="864" spans="11:11" ht="15.75" customHeight="1" x14ac:dyDescent="0.2">
      <c r="K864" s="13"/>
    </row>
    <row r="865" spans="11:11" ht="15.75" customHeight="1" x14ac:dyDescent="0.2">
      <c r="K865" s="13"/>
    </row>
    <row r="866" spans="11:11" ht="15.75" customHeight="1" x14ac:dyDescent="0.2">
      <c r="K866" s="13"/>
    </row>
    <row r="867" spans="11:11" ht="15.75" customHeight="1" x14ac:dyDescent="0.2">
      <c r="K867" s="13"/>
    </row>
    <row r="868" spans="11:11" ht="16.5" customHeight="1" x14ac:dyDescent="0.2">
      <c r="K868" s="13"/>
    </row>
    <row r="869" spans="11:11" ht="15.75" customHeight="1" x14ac:dyDescent="0.2">
      <c r="K869" s="13"/>
    </row>
    <row r="870" spans="11:11" ht="15.75" customHeight="1" x14ac:dyDescent="0.2">
      <c r="K870" s="13"/>
    </row>
    <row r="871" spans="11:11" ht="15.75" customHeight="1" x14ac:dyDescent="0.2">
      <c r="K871" s="13"/>
    </row>
    <row r="872" spans="11:11" ht="15.75" customHeight="1" x14ac:dyDescent="0.2">
      <c r="K872" s="13"/>
    </row>
    <row r="873" spans="11:11" ht="15.75" customHeight="1" x14ac:dyDescent="0.2">
      <c r="K873" s="13"/>
    </row>
    <row r="874" spans="11:11" ht="15.75" customHeight="1" x14ac:dyDescent="0.2">
      <c r="K874" s="13"/>
    </row>
    <row r="875" spans="11:11" ht="15.75" customHeight="1" x14ac:dyDescent="0.2">
      <c r="K875" s="13"/>
    </row>
    <row r="876" spans="11:11" ht="15.75" customHeight="1" x14ac:dyDescent="0.2">
      <c r="K876" s="13"/>
    </row>
    <row r="877" spans="11:11" ht="15.75" customHeight="1" x14ac:dyDescent="0.2">
      <c r="K877" s="13"/>
    </row>
    <row r="878" spans="11:11" ht="15.75" customHeight="1" x14ac:dyDescent="0.2">
      <c r="K878" s="13"/>
    </row>
    <row r="879" spans="11:11" ht="15.75" customHeight="1" x14ac:dyDescent="0.2">
      <c r="K879" s="13"/>
    </row>
    <row r="880" spans="11:11" ht="15.75" customHeight="1" x14ac:dyDescent="0.2">
      <c r="K880" s="13"/>
    </row>
    <row r="881" spans="11:11" ht="15.75" customHeight="1" x14ac:dyDescent="0.2">
      <c r="K881" s="13"/>
    </row>
    <row r="882" spans="11:11" ht="15.75" customHeight="1" x14ac:dyDescent="0.2">
      <c r="K882" s="13"/>
    </row>
    <row r="883" spans="11:11" ht="15.75" customHeight="1" x14ac:dyDescent="0.2">
      <c r="K883" s="13"/>
    </row>
    <row r="884" spans="11:11" ht="15.75" customHeight="1" x14ac:dyDescent="0.2">
      <c r="K884" s="13"/>
    </row>
    <row r="885" spans="11:11" ht="15.75" customHeight="1" x14ac:dyDescent="0.2">
      <c r="K885" s="13"/>
    </row>
    <row r="886" spans="11:11" ht="15.75" customHeight="1" x14ac:dyDescent="0.2">
      <c r="K886" s="13"/>
    </row>
    <row r="887" spans="11:11" ht="15.75" customHeight="1" x14ac:dyDescent="0.2">
      <c r="K887" s="13"/>
    </row>
    <row r="888" spans="11:11" ht="15" customHeight="1" x14ac:dyDescent="0.2">
      <c r="K888" s="13"/>
    </row>
    <row r="889" spans="11:11" ht="15.75" customHeight="1" x14ac:dyDescent="0.2">
      <c r="K889" s="13"/>
    </row>
    <row r="890" spans="11:11" ht="15.75" customHeight="1" x14ac:dyDescent="0.2">
      <c r="K890" s="13"/>
    </row>
    <row r="891" spans="11:11" ht="15.75" customHeight="1" x14ac:dyDescent="0.2">
      <c r="K891" s="13"/>
    </row>
    <row r="892" spans="11:11" ht="15.75" customHeight="1" x14ac:dyDescent="0.2">
      <c r="K892" s="13"/>
    </row>
    <row r="893" spans="11:11" ht="15.75" customHeight="1" x14ac:dyDescent="0.2">
      <c r="K893" s="13"/>
    </row>
    <row r="894" spans="11:11" ht="15.75" customHeight="1" x14ac:dyDescent="0.2">
      <c r="K894" s="13"/>
    </row>
    <row r="895" spans="11:11" ht="15.75" customHeight="1" x14ac:dyDescent="0.2">
      <c r="K895" s="13"/>
    </row>
    <row r="896" spans="11:11" ht="15.75" customHeight="1" x14ac:dyDescent="0.2">
      <c r="K896" s="13"/>
    </row>
    <row r="897" spans="11:11" ht="15.75" customHeight="1" x14ac:dyDescent="0.2">
      <c r="K897" s="13"/>
    </row>
    <row r="898" spans="11:11" ht="15.75" customHeight="1" x14ac:dyDescent="0.2">
      <c r="K898" s="13"/>
    </row>
    <row r="899" spans="11:11" ht="15.75" customHeight="1" x14ac:dyDescent="0.2">
      <c r="K899" s="13"/>
    </row>
    <row r="900" spans="11:11" ht="15.75" customHeight="1" x14ac:dyDescent="0.2">
      <c r="K900" s="13"/>
    </row>
    <row r="901" spans="11:11" ht="15.75" customHeight="1" x14ac:dyDescent="0.2">
      <c r="K901" s="13"/>
    </row>
    <row r="902" spans="11:11" ht="15.75" customHeight="1" x14ac:dyDescent="0.2">
      <c r="K902" s="13"/>
    </row>
    <row r="903" spans="11:11" ht="15.75" customHeight="1" x14ac:dyDescent="0.2">
      <c r="K903" s="13"/>
    </row>
    <row r="904" spans="11:11" ht="15.75" customHeight="1" x14ac:dyDescent="0.2">
      <c r="K904" s="13"/>
    </row>
    <row r="905" spans="11:11" ht="15.75" customHeight="1" x14ac:dyDescent="0.2">
      <c r="K905" s="13"/>
    </row>
    <row r="906" spans="11:11" ht="15.75" customHeight="1" x14ac:dyDescent="0.2">
      <c r="K906" s="13"/>
    </row>
    <row r="907" spans="11:11" ht="15.75" customHeight="1" x14ac:dyDescent="0.2">
      <c r="K907" s="13"/>
    </row>
    <row r="908" spans="11:11" ht="15.75" customHeight="1" x14ac:dyDescent="0.2">
      <c r="K908" s="13"/>
    </row>
    <row r="909" spans="11:11" ht="15.75" customHeight="1" x14ac:dyDescent="0.2">
      <c r="K909" s="13"/>
    </row>
    <row r="910" spans="11:11" ht="15.75" customHeight="1" x14ac:dyDescent="0.2">
      <c r="K910" s="13"/>
    </row>
    <row r="911" spans="11:11" ht="15.75" customHeight="1" x14ac:dyDescent="0.2">
      <c r="K911" s="13"/>
    </row>
    <row r="912" spans="11:11" ht="15.75" customHeight="1" x14ac:dyDescent="0.2">
      <c r="K912" s="13"/>
    </row>
    <row r="913" spans="11:11" ht="15.75" customHeight="1" x14ac:dyDescent="0.2">
      <c r="K913" s="13"/>
    </row>
    <row r="914" spans="11:11" ht="15.75" customHeight="1" x14ac:dyDescent="0.2">
      <c r="K914" s="13"/>
    </row>
    <row r="915" spans="11:11" ht="15.75" customHeight="1" x14ac:dyDescent="0.2">
      <c r="K915" s="13"/>
    </row>
    <row r="916" spans="11:11" ht="15.75" customHeight="1" x14ac:dyDescent="0.2">
      <c r="K916" s="13"/>
    </row>
    <row r="917" spans="11:11" ht="15.75" customHeight="1" x14ac:dyDescent="0.2">
      <c r="K917" s="13"/>
    </row>
    <row r="918" spans="11:11" ht="15.75" customHeight="1" x14ac:dyDescent="0.2">
      <c r="K918" s="13"/>
    </row>
    <row r="919" spans="11:11" ht="15.75" customHeight="1" x14ac:dyDescent="0.2">
      <c r="K919" s="13"/>
    </row>
    <row r="920" spans="11:11" ht="15.75" customHeight="1" x14ac:dyDescent="0.2">
      <c r="K920" s="13"/>
    </row>
    <row r="921" spans="11:11" ht="15.75" customHeight="1" x14ac:dyDescent="0.2">
      <c r="K921" s="13"/>
    </row>
    <row r="922" spans="11:11" ht="15.75" customHeight="1" x14ac:dyDescent="0.2">
      <c r="K922" s="13"/>
    </row>
    <row r="923" spans="11:11" ht="15.75" customHeight="1" x14ac:dyDescent="0.2">
      <c r="K923" s="13"/>
    </row>
    <row r="924" spans="11:11" ht="15.75" customHeight="1" x14ac:dyDescent="0.2">
      <c r="K924" s="13"/>
    </row>
    <row r="925" spans="11:11" ht="15.75" customHeight="1" x14ac:dyDescent="0.2">
      <c r="K925" s="13"/>
    </row>
    <row r="926" spans="11:11" ht="14.25" customHeight="1" x14ac:dyDescent="0.2">
      <c r="K926" s="13"/>
    </row>
    <row r="927" spans="11:11" ht="15.75" customHeight="1" x14ac:dyDescent="0.2">
      <c r="K927" s="13"/>
    </row>
    <row r="928" spans="11:11" ht="15.75" customHeight="1" x14ac:dyDescent="0.2">
      <c r="K928" s="13"/>
    </row>
    <row r="929" spans="11:11" ht="15.75" customHeight="1" x14ac:dyDescent="0.2">
      <c r="K929" s="13"/>
    </row>
    <row r="930" spans="11:11" ht="15.75" customHeight="1" x14ac:dyDescent="0.2">
      <c r="K930" s="13"/>
    </row>
    <row r="931" spans="11:11" ht="15.75" customHeight="1" x14ac:dyDescent="0.2">
      <c r="K931" s="13"/>
    </row>
    <row r="932" spans="11:11" ht="15.75" customHeight="1" x14ac:dyDescent="0.2">
      <c r="K932" s="13"/>
    </row>
    <row r="933" spans="11:11" ht="15.75" customHeight="1" x14ac:dyDescent="0.2">
      <c r="K933" s="13"/>
    </row>
    <row r="934" spans="11:11" ht="15.75" customHeight="1" x14ac:dyDescent="0.2">
      <c r="K934" s="13"/>
    </row>
    <row r="935" spans="11:11" ht="15.75" customHeight="1" x14ac:dyDescent="0.2">
      <c r="K935" s="13"/>
    </row>
    <row r="936" spans="11:11" ht="15.75" customHeight="1" x14ac:dyDescent="0.2">
      <c r="K936" s="13"/>
    </row>
    <row r="937" spans="11:11" ht="15.75" customHeight="1" x14ac:dyDescent="0.2">
      <c r="K937" s="13"/>
    </row>
    <row r="938" spans="11:11" ht="15.75" customHeight="1" x14ac:dyDescent="0.2">
      <c r="K938" s="13"/>
    </row>
    <row r="939" spans="11:11" ht="15.75" customHeight="1" x14ac:dyDescent="0.2">
      <c r="K939" s="13"/>
    </row>
    <row r="940" spans="11:11" ht="15.75" customHeight="1" x14ac:dyDescent="0.2">
      <c r="K940" s="13"/>
    </row>
    <row r="941" spans="11:11" ht="15.75" customHeight="1" x14ac:dyDescent="0.2">
      <c r="K941" s="13"/>
    </row>
    <row r="942" spans="11:11" ht="15.75" customHeight="1" x14ac:dyDescent="0.2">
      <c r="K942" s="13"/>
    </row>
    <row r="943" spans="11:11" ht="16.5" customHeight="1" x14ac:dyDescent="0.2">
      <c r="K943" s="13"/>
    </row>
    <row r="944" spans="11:11" ht="15.75" customHeight="1" x14ac:dyDescent="0.2">
      <c r="K944" s="13"/>
    </row>
    <row r="945" spans="11:11" ht="15.75" customHeight="1" x14ac:dyDescent="0.2">
      <c r="K945" s="13"/>
    </row>
    <row r="946" spans="11:11" ht="15.75" customHeight="1" x14ac:dyDescent="0.2">
      <c r="K946" s="13"/>
    </row>
    <row r="947" spans="11:11" ht="15.75" customHeight="1" x14ac:dyDescent="0.2">
      <c r="K947" s="13"/>
    </row>
    <row r="948" spans="11:11" ht="15.75" customHeight="1" x14ac:dyDescent="0.2">
      <c r="K948" s="13"/>
    </row>
    <row r="949" spans="11:11" ht="15.75" customHeight="1" x14ac:dyDescent="0.2">
      <c r="K949" s="13"/>
    </row>
    <row r="950" spans="11:11" ht="15.75" customHeight="1" x14ac:dyDescent="0.2">
      <c r="K950" s="13"/>
    </row>
    <row r="951" spans="11:11" ht="15.75" customHeight="1" x14ac:dyDescent="0.2">
      <c r="K951" s="13"/>
    </row>
    <row r="952" spans="11:11" ht="15.75" customHeight="1" x14ac:dyDescent="0.2">
      <c r="K952" s="13"/>
    </row>
    <row r="953" spans="11:11" ht="15.75" customHeight="1" x14ac:dyDescent="0.2">
      <c r="K953" s="13"/>
    </row>
    <row r="954" spans="11:11" ht="15.75" customHeight="1" x14ac:dyDescent="0.2">
      <c r="K954" s="13"/>
    </row>
    <row r="955" spans="11:11" ht="15.75" customHeight="1" x14ac:dyDescent="0.2">
      <c r="K955" s="13"/>
    </row>
    <row r="956" spans="11:11" ht="15.75" customHeight="1" x14ac:dyDescent="0.2">
      <c r="K956" s="13"/>
    </row>
    <row r="957" spans="11:11" ht="15.75" customHeight="1" x14ac:dyDescent="0.2">
      <c r="K957" s="13"/>
    </row>
    <row r="958" spans="11:11" ht="15.75" customHeight="1" x14ac:dyDescent="0.2">
      <c r="K958" s="13"/>
    </row>
    <row r="959" spans="11:11" ht="15.75" customHeight="1" x14ac:dyDescent="0.2">
      <c r="K959" s="13"/>
    </row>
    <row r="960" spans="11:11" ht="15.75" customHeight="1" x14ac:dyDescent="0.2">
      <c r="K960" s="13"/>
    </row>
    <row r="961" spans="11:11" ht="15.75" customHeight="1" x14ac:dyDescent="0.2">
      <c r="K961" s="13"/>
    </row>
    <row r="962" spans="11:11" ht="15.75" customHeight="1" x14ac:dyDescent="0.2">
      <c r="K962" s="13"/>
    </row>
    <row r="963" spans="11:11" ht="15" customHeight="1" x14ac:dyDescent="0.2">
      <c r="K963" s="13"/>
    </row>
    <row r="964" spans="11:11" ht="15.75" customHeight="1" x14ac:dyDescent="0.2">
      <c r="K964" s="13"/>
    </row>
    <row r="965" spans="11:11" ht="15.75" customHeight="1" x14ac:dyDescent="0.2">
      <c r="K965" s="13"/>
    </row>
    <row r="966" spans="11:11" ht="15.75" customHeight="1" x14ac:dyDescent="0.2">
      <c r="K966" s="13"/>
    </row>
    <row r="967" spans="11:11" ht="15.75" customHeight="1" x14ac:dyDescent="0.2">
      <c r="K967" s="13"/>
    </row>
    <row r="968" spans="11:11" ht="15.75" customHeight="1" x14ac:dyDescent="0.2">
      <c r="K968" s="13"/>
    </row>
    <row r="969" spans="11:11" ht="15.75" customHeight="1" x14ac:dyDescent="0.2">
      <c r="K969" s="13"/>
    </row>
    <row r="970" spans="11:11" ht="15.75" customHeight="1" x14ac:dyDescent="0.2">
      <c r="K970" s="13"/>
    </row>
    <row r="971" spans="11:11" ht="15.75" customHeight="1" x14ac:dyDescent="0.2">
      <c r="K971" s="13"/>
    </row>
    <row r="972" spans="11:11" ht="15.75" customHeight="1" x14ac:dyDescent="0.2">
      <c r="K972" s="13"/>
    </row>
    <row r="973" spans="11:11" ht="15.75" customHeight="1" x14ac:dyDescent="0.2">
      <c r="K973" s="13"/>
    </row>
    <row r="974" spans="11:11" ht="15.75" customHeight="1" x14ac:dyDescent="0.2">
      <c r="K974" s="13"/>
    </row>
    <row r="975" spans="11:11" ht="15.75" customHeight="1" x14ac:dyDescent="0.2">
      <c r="K975" s="13"/>
    </row>
    <row r="976" spans="11:11" ht="15.75" customHeight="1" x14ac:dyDescent="0.2">
      <c r="K976" s="13"/>
    </row>
    <row r="977" spans="11:11" ht="15.75" customHeight="1" x14ac:dyDescent="0.2">
      <c r="K977" s="13"/>
    </row>
    <row r="978" spans="11:11" ht="15.75" customHeight="1" x14ac:dyDescent="0.2">
      <c r="K978" s="13"/>
    </row>
    <row r="979" spans="11:11" ht="15.75" customHeight="1" x14ac:dyDescent="0.2">
      <c r="K979" s="13"/>
    </row>
    <row r="980" spans="11:11" ht="15.75" customHeight="1" x14ac:dyDescent="0.2">
      <c r="K980" s="13"/>
    </row>
    <row r="981" spans="11:11" ht="15.75" customHeight="1" x14ac:dyDescent="0.2">
      <c r="K981" s="13"/>
    </row>
    <row r="982" spans="11:11" ht="15.75" customHeight="1" x14ac:dyDescent="0.2">
      <c r="K982" s="13"/>
    </row>
    <row r="983" spans="11:11" ht="15.75" customHeight="1" x14ac:dyDescent="0.2">
      <c r="K983" s="13"/>
    </row>
    <row r="984" spans="11:11" ht="15.75" customHeight="1" x14ac:dyDescent="0.2">
      <c r="K984" s="13"/>
    </row>
    <row r="985" spans="11:11" ht="15.75" customHeight="1" x14ac:dyDescent="0.2">
      <c r="K985" s="13"/>
    </row>
    <row r="986" spans="11:11" ht="15.75" customHeight="1" x14ac:dyDescent="0.2">
      <c r="K986" s="13"/>
    </row>
    <row r="987" spans="11:11" ht="15.75" customHeight="1" x14ac:dyDescent="0.2">
      <c r="K987" s="13"/>
    </row>
    <row r="988" spans="11:11" ht="15.75" customHeight="1" x14ac:dyDescent="0.2">
      <c r="K988" s="13"/>
    </row>
    <row r="989" spans="11:11" ht="15.75" customHeight="1" x14ac:dyDescent="0.2">
      <c r="K989" s="13"/>
    </row>
    <row r="990" spans="11:11" ht="15.75" customHeight="1" x14ac:dyDescent="0.2">
      <c r="K990" s="13"/>
    </row>
    <row r="991" spans="11:11" ht="15.75" customHeight="1" x14ac:dyDescent="0.2">
      <c r="K991" s="13"/>
    </row>
    <row r="992" spans="11:11" ht="15.75" customHeight="1" x14ac:dyDescent="0.2">
      <c r="K992" s="13"/>
    </row>
    <row r="993" spans="11:11" ht="15.75" customHeight="1" x14ac:dyDescent="0.2">
      <c r="K993" s="13"/>
    </row>
    <row r="994" spans="11:11" ht="15.75" customHeight="1" x14ac:dyDescent="0.2">
      <c r="K994" s="13"/>
    </row>
    <row r="995" spans="11:11" ht="15.75" customHeight="1" x14ac:dyDescent="0.2">
      <c r="K995" s="13"/>
    </row>
    <row r="996" spans="11:11" ht="15.75" customHeight="1" x14ac:dyDescent="0.2">
      <c r="K996" s="13"/>
    </row>
    <row r="997" spans="11:11" ht="15.75" customHeight="1" x14ac:dyDescent="0.2">
      <c r="K997" s="13"/>
    </row>
    <row r="998" spans="11:11" ht="15.75" customHeight="1" x14ac:dyDescent="0.2">
      <c r="K998" s="13"/>
    </row>
    <row r="999" spans="11:11" ht="15.75" customHeight="1" x14ac:dyDescent="0.2">
      <c r="K999" s="13"/>
    </row>
    <row r="1000" spans="11:11" ht="15.75" customHeight="1" x14ac:dyDescent="0.2">
      <c r="K1000" s="13"/>
    </row>
    <row r="1001" spans="11:11" ht="15.75" customHeight="1" x14ac:dyDescent="0.2">
      <c r="K1001" s="13"/>
    </row>
    <row r="1002" spans="11:11" ht="15.75" customHeight="1" x14ac:dyDescent="0.2">
      <c r="K1002" s="13"/>
    </row>
    <row r="1003" spans="11:11" ht="15.75" customHeight="1" x14ac:dyDescent="0.2">
      <c r="K1003" s="13"/>
    </row>
    <row r="1004" spans="11:11" ht="15.75" customHeight="1" x14ac:dyDescent="0.2">
      <c r="K1004" s="13"/>
    </row>
    <row r="1005" spans="11:11" ht="15.75" customHeight="1" x14ac:dyDescent="0.2">
      <c r="K1005" s="13"/>
    </row>
    <row r="1006" spans="11:11" ht="15.75" customHeight="1" x14ac:dyDescent="0.2">
      <c r="K1006" s="13"/>
    </row>
    <row r="1007" spans="11:11" ht="15.75" customHeight="1" x14ac:dyDescent="0.2">
      <c r="K1007" s="13"/>
    </row>
    <row r="1008" spans="11:11" ht="15.75" customHeight="1" x14ac:dyDescent="0.2">
      <c r="K1008" s="13"/>
    </row>
    <row r="1009" spans="11:11" ht="15.75" customHeight="1" x14ac:dyDescent="0.2">
      <c r="K1009" s="13"/>
    </row>
    <row r="1010" spans="11:11" ht="15.75" customHeight="1" x14ac:dyDescent="0.2">
      <c r="K1010" s="13"/>
    </row>
    <row r="1011" spans="11:11" ht="15.75" customHeight="1" x14ac:dyDescent="0.2">
      <c r="K1011" s="13"/>
    </row>
    <row r="1012" spans="11:11" ht="15.75" customHeight="1" x14ac:dyDescent="0.2">
      <c r="K1012" s="13"/>
    </row>
    <row r="1013" spans="11:11" ht="15.75" customHeight="1" x14ac:dyDescent="0.2">
      <c r="K1013" s="13"/>
    </row>
    <row r="1014" spans="11:11" ht="15.75" customHeight="1" x14ac:dyDescent="0.2">
      <c r="K1014" s="13"/>
    </row>
    <row r="1015" spans="11:11" ht="15.75" customHeight="1" x14ac:dyDescent="0.2">
      <c r="K1015" s="13"/>
    </row>
    <row r="1016" spans="11:11" ht="15.75" customHeight="1" x14ac:dyDescent="0.2">
      <c r="K1016" s="13"/>
    </row>
    <row r="1017" spans="11:11" ht="15.75" customHeight="1" x14ac:dyDescent="0.2">
      <c r="K1017" s="13"/>
    </row>
    <row r="1018" spans="11:11" ht="12.75" customHeight="1" x14ac:dyDescent="0.2">
      <c r="K1018" s="13"/>
    </row>
    <row r="1019" spans="11:11" ht="15.75" customHeight="1" x14ac:dyDescent="0.2">
      <c r="K1019" s="13"/>
    </row>
    <row r="1020" spans="11:11" ht="15.75" customHeight="1" x14ac:dyDescent="0.2">
      <c r="K1020" s="13"/>
    </row>
    <row r="1021" spans="11:11" ht="15.75" customHeight="1" x14ac:dyDescent="0.2">
      <c r="K1021" s="13"/>
    </row>
    <row r="1022" spans="11:11" ht="15.75" customHeight="1" x14ac:dyDescent="0.2">
      <c r="K1022" s="13"/>
    </row>
    <row r="1023" spans="11:11" ht="15.75" customHeight="1" x14ac:dyDescent="0.2">
      <c r="K1023" s="13"/>
    </row>
    <row r="1024" spans="11:11" ht="15.75" customHeight="1" x14ac:dyDescent="0.2">
      <c r="K1024" s="13"/>
    </row>
    <row r="1025" spans="11:11" ht="15.75" customHeight="1" x14ac:dyDescent="0.2">
      <c r="K1025" s="13"/>
    </row>
    <row r="1026" spans="11:11" ht="15.75" customHeight="1" x14ac:dyDescent="0.2">
      <c r="K1026" s="13"/>
    </row>
    <row r="1027" spans="11:11" ht="15.75" customHeight="1" x14ac:dyDescent="0.2">
      <c r="K1027" s="13"/>
    </row>
    <row r="1028" spans="11:11" ht="15.75" customHeight="1" x14ac:dyDescent="0.2">
      <c r="K1028" s="13"/>
    </row>
    <row r="1029" spans="11:11" ht="15.75" customHeight="1" x14ac:dyDescent="0.2">
      <c r="K1029" s="13"/>
    </row>
    <row r="1030" spans="11:11" ht="15.75" customHeight="1" x14ac:dyDescent="0.2">
      <c r="K1030" s="13"/>
    </row>
    <row r="1031" spans="11:11" ht="15.75" customHeight="1" x14ac:dyDescent="0.2">
      <c r="K1031" s="13"/>
    </row>
    <row r="1032" spans="11:11" ht="15.75" customHeight="1" x14ac:dyDescent="0.2">
      <c r="K1032" s="13"/>
    </row>
    <row r="1033" spans="11:11" ht="15.75" customHeight="1" x14ac:dyDescent="0.2">
      <c r="K1033" s="13"/>
    </row>
    <row r="1034" spans="11:11" ht="15.75" customHeight="1" x14ac:dyDescent="0.2">
      <c r="K1034" s="13"/>
    </row>
    <row r="1035" spans="11:11" ht="15.75" customHeight="1" x14ac:dyDescent="0.2">
      <c r="K1035" s="13"/>
    </row>
    <row r="1036" spans="11:11" ht="15.75" customHeight="1" x14ac:dyDescent="0.2">
      <c r="K1036" s="13"/>
    </row>
    <row r="1037" spans="11:11" ht="15.75" customHeight="1" x14ac:dyDescent="0.2">
      <c r="K1037" s="13"/>
    </row>
    <row r="1038" spans="11:11" ht="15" customHeight="1" x14ac:dyDescent="0.2">
      <c r="K1038" s="13"/>
    </row>
    <row r="1039" spans="11:11" ht="15.75" customHeight="1" x14ac:dyDescent="0.2">
      <c r="K1039" s="13"/>
    </row>
    <row r="1040" spans="11:11" ht="15.75" customHeight="1" x14ac:dyDescent="0.2">
      <c r="K1040" s="13"/>
    </row>
    <row r="1041" spans="11:11" ht="15.75" customHeight="1" x14ac:dyDescent="0.2">
      <c r="K1041" s="13"/>
    </row>
    <row r="1042" spans="11:11" ht="15.75" customHeight="1" x14ac:dyDescent="0.2">
      <c r="K1042" s="13"/>
    </row>
    <row r="1043" spans="11:11" ht="15.75" customHeight="1" x14ac:dyDescent="0.2">
      <c r="K1043" s="13"/>
    </row>
    <row r="1044" spans="11:11" ht="15.75" customHeight="1" x14ac:dyDescent="0.2">
      <c r="K1044" s="13"/>
    </row>
    <row r="1045" spans="11:11" ht="15.75" customHeight="1" x14ac:dyDescent="0.2">
      <c r="K1045" s="13"/>
    </row>
    <row r="1046" spans="11:11" ht="15.75" customHeight="1" x14ac:dyDescent="0.2">
      <c r="K1046" s="13"/>
    </row>
    <row r="1047" spans="11:11" ht="15.75" customHeight="1" x14ac:dyDescent="0.2">
      <c r="K1047" s="13"/>
    </row>
    <row r="1048" spans="11:11" ht="15.75" customHeight="1" x14ac:dyDescent="0.2">
      <c r="K1048" s="13"/>
    </row>
    <row r="1049" spans="11:11" ht="15.75" customHeight="1" x14ac:dyDescent="0.2">
      <c r="K1049" s="13"/>
    </row>
    <row r="1050" spans="11:11" ht="15.75" customHeight="1" x14ac:dyDescent="0.2">
      <c r="K1050" s="13"/>
    </row>
    <row r="1051" spans="11:11" ht="15.75" customHeight="1" x14ac:dyDescent="0.2">
      <c r="K1051" s="13"/>
    </row>
    <row r="1052" spans="11:11" ht="15.75" customHeight="1" x14ac:dyDescent="0.2">
      <c r="K1052" s="13"/>
    </row>
    <row r="1053" spans="11:11" ht="15.75" customHeight="1" x14ac:dyDescent="0.2">
      <c r="K1053" s="13"/>
    </row>
    <row r="1054" spans="11:11" ht="15.75" customHeight="1" x14ac:dyDescent="0.2">
      <c r="K1054" s="13"/>
    </row>
    <row r="1055" spans="11:11" ht="15.75" customHeight="1" x14ac:dyDescent="0.2">
      <c r="K1055" s="13"/>
    </row>
    <row r="1056" spans="11:11" ht="15.75" customHeight="1" x14ac:dyDescent="0.2">
      <c r="K1056" s="13"/>
    </row>
    <row r="1057" spans="11:11" ht="15.75" customHeight="1" x14ac:dyDescent="0.2">
      <c r="K1057" s="13"/>
    </row>
    <row r="1058" spans="11:11" ht="15.75" customHeight="1" x14ac:dyDescent="0.2">
      <c r="K1058" s="13"/>
    </row>
    <row r="1059" spans="11:11" ht="15.75" customHeight="1" x14ac:dyDescent="0.2">
      <c r="K1059" s="13"/>
    </row>
    <row r="1060" spans="11:11" ht="15.75" customHeight="1" x14ac:dyDescent="0.2">
      <c r="K1060" s="13"/>
    </row>
    <row r="1061" spans="11:11" ht="15.75" customHeight="1" x14ac:dyDescent="0.2">
      <c r="K1061" s="13"/>
    </row>
    <row r="1062" spans="11:11" ht="15.75" customHeight="1" x14ac:dyDescent="0.2">
      <c r="K1062" s="13"/>
    </row>
    <row r="1063" spans="11:11" ht="15.75" customHeight="1" x14ac:dyDescent="0.2">
      <c r="K1063" s="13"/>
    </row>
    <row r="1064" spans="11:11" ht="15.75" customHeight="1" x14ac:dyDescent="0.2">
      <c r="K1064" s="13"/>
    </row>
    <row r="1065" spans="11:11" ht="15.75" customHeight="1" x14ac:dyDescent="0.2">
      <c r="K1065" s="13"/>
    </row>
    <row r="1066" spans="11:11" ht="15.75" customHeight="1" x14ac:dyDescent="0.2">
      <c r="K1066" s="13"/>
    </row>
    <row r="1067" spans="11:11" ht="15.75" customHeight="1" x14ac:dyDescent="0.2">
      <c r="K1067" s="13"/>
    </row>
    <row r="1068" spans="11:11" ht="15.75" customHeight="1" x14ac:dyDescent="0.2">
      <c r="K1068" s="13"/>
    </row>
    <row r="1069" spans="11:11" ht="15.75" customHeight="1" x14ac:dyDescent="0.2">
      <c r="K1069" s="13"/>
    </row>
    <row r="1070" spans="11:11" ht="15.75" customHeight="1" x14ac:dyDescent="0.2">
      <c r="K1070" s="13"/>
    </row>
    <row r="1071" spans="11:11" ht="15.75" customHeight="1" x14ac:dyDescent="0.2">
      <c r="K1071" s="13"/>
    </row>
    <row r="1072" spans="11:11" ht="15.75" customHeight="1" x14ac:dyDescent="0.2">
      <c r="K1072" s="13"/>
    </row>
    <row r="1073" spans="11:11" ht="15.75" customHeight="1" x14ac:dyDescent="0.2">
      <c r="K1073" s="13"/>
    </row>
    <row r="1074" spans="11:11" ht="15.75" customHeight="1" x14ac:dyDescent="0.2">
      <c r="K1074" s="13"/>
    </row>
    <row r="1075" spans="11:11" ht="15.75" customHeight="1" x14ac:dyDescent="0.2">
      <c r="K1075" s="13"/>
    </row>
    <row r="1076" spans="11:11" ht="15.75" customHeight="1" x14ac:dyDescent="0.2">
      <c r="K1076" s="13"/>
    </row>
    <row r="1077" spans="11:11" ht="15.75" customHeight="1" x14ac:dyDescent="0.2">
      <c r="K1077" s="13"/>
    </row>
    <row r="1078" spans="11:11" ht="15.75" customHeight="1" x14ac:dyDescent="0.2">
      <c r="K1078" s="13"/>
    </row>
    <row r="1079" spans="11:11" ht="15.75" customHeight="1" x14ac:dyDescent="0.2">
      <c r="K1079" s="13"/>
    </row>
    <row r="1080" spans="11:11" ht="15.75" customHeight="1" x14ac:dyDescent="0.2">
      <c r="K1080" s="13"/>
    </row>
    <row r="1081" spans="11:11" ht="15.75" customHeight="1" x14ac:dyDescent="0.2">
      <c r="K1081" s="13"/>
    </row>
    <row r="1082" spans="11:11" ht="15.75" customHeight="1" x14ac:dyDescent="0.2">
      <c r="K1082" s="13"/>
    </row>
    <row r="1083" spans="11:11" ht="15.75" customHeight="1" x14ac:dyDescent="0.2">
      <c r="K1083" s="13"/>
    </row>
    <row r="1084" spans="11:11" ht="15.75" customHeight="1" x14ac:dyDescent="0.2">
      <c r="K1084" s="13"/>
    </row>
    <row r="1085" spans="11:11" ht="15.75" customHeight="1" x14ac:dyDescent="0.2">
      <c r="K1085" s="13"/>
    </row>
    <row r="1086" spans="11:11" ht="15.75" customHeight="1" x14ac:dyDescent="0.2">
      <c r="K1086" s="13"/>
    </row>
    <row r="1087" spans="11:11" ht="15.75" customHeight="1" x14ac:dyDescent="0.2">
      <c r="K1087" s="13"/>
    </row>
    <row r="1088" spans="11:11" ht="15.75" customHeight="1" x14ac:dyDescent="0.2">
      <c r="K1088" s="13"/>
    </row>
    <row r="1089" spans="11:11" ht="15.75" customHeight="1" x14ac:dyDescent="0.2">
      <c r="K1089" s="13"/>
    </row>
    <row r="1090" spans="11:11" ht="15.75" customHeight="1" x14ac:dyDescent="0.2">
      <c r="K1090" s="13"/>
    </row>
    <row r="1091" spans="11:11" ht="15.75" customHeight="1" x14ac:dyDescent="0.2">
      <c r="K1091" s="13"/>
    </row>
    <row r="1092" spans="11:11" ht="15.75" customHeight="1" x14ac:dyDescent="0.2">
      <c r="K1092" s="13"/>
    </row>
    <row r="1093" spans="11:11" ht="15.75" customHeight="1" x14ac:dyDescent="0.2">
      <c r="K1093" s="13"/>
    </row>
    <row r="1094" spans="11:11" ht="15.75" customHeight="1" x14ac:dyDescent="0.2">
      <c r="K1094" s="13"/>
    </row>
    <row r="1095" spans="11:11" ht="15.75" customHeight="1" x14ac:dyDescent="0.2">
      <c r="K1095" s="13"/>
    </row>
    <row r="1096" spans="11:11" ht="15.75" customHeight="1" x14ac:dyDescent="0.2">
      <c r="K1096" s="13"/>
    </row>
    <row r="1097" spans="11:11" ht="15.75" customHeight="1" x14ac:dyDescent="0.2">
      <c r="K1097" s="13"/>
    </row>
    <row r="1098" spans="11:11" ht="15.75" customHeight="1" x14ac:dyDescent="0.2">
      <c r="K1098" s="13"/>
    </row>
    <row r="1099" spans="11:11" ht="15.75" customHeight="1" x14ac:dyDescent="0.2">
      <c r="K1099" s="13"/>
    </row>
    <row r="1100" spans="11:11" ht="15.75" customHeight="1" x14ac:dyDescent="0.2">
      <c r="K1100" s="13"/>
    </row>
    <row r="1101" spans="11:11" ht="15.75" customHeight="1" x14ac:dyDescent="0.2">
      <c r="K1101" s="13"/>
    </row>
    <row r="1102" spans="11:11" ht="15.75" customHeight="1" x14ac:dyDescent="0.2">
      <c r="K1102" s="13"/>
    </row>
    <row r="1103" spans="11:11" ht="15.75" customHeight="1" x14ac:dyDescent="0.2">
      <c r="K1103" s="13"/>
    </row>
    <row r="1104" spans="11:11" ht="15.75" customHeight="1" x14ac:dyDescent="0.2">
      <c r="K1104" s="13"/>
    </row>
    <row r="1105" spans="11:11" ht="15.75" customHeight="1" x14ac:dyDescent="0.2">
      <c r="K1105" s="13"/>
    </row>
    <row r="1106" spans="11:11" ht="15.75" customHeight="1" x14ac:dyDescent="0.2">
      <c r="K1106" s="13"/>
    </row>
    <row r="1107" spans="11:11" ht="15.75" customHeight="1" x14ac:dyDescent="0.2">
      <c r="K1107" s="13"/>
    </row>
    <row r="1108" spans="11:11" ht="15.75" customHeight="1" x14ac:dyDescent="0.2">
      <c r="K1108" s="13"/>
    </row>
    <row r="1109" spans="11:11" ht="15.75" customHeight="1" x14ac:dyDescent="0.2">
      <c r="K1109" s="13"/>
    </row>
    <row r="1110" spans="11:11" ht="15.75" customHeight="1" x14ac:dyDescent="0.2">
      <c r="K1110" s="13"/>
    </row>
    <row r="1111" spans="11:11" ht="15.75" customHeight="1" x14ac:dyDescent="0.2">
      <c r="K1111" s="13"/>
    </row>
    <row r="1112" spans="11:11" ht="15.75" customHeight="1" x14ac:dyDescent="0.2">
      <c r="K1112" s="13"/>
    </row>
    <row r="1113" spans="11:11" ht="15.75" customHeight="1" x14ac:dyDescent="0.2">
      <c r="K1113" s="13"/>
    </row>
    <row r="1114" spans="11:11" ht="15.75" customHeight="1" x14ac:dyDescent="0.2">
      <c r="K1114" s="13"/>
    </row>
    <row r="1115" spans="11:11" ht="15.75" customHeight="1" x14ac:dyDescent="0.2">
      <c r="K1115" s="13"/>
    </row>
    <row r="1116" spans="11:11" ht="15.75" customHeight="1" x14ac:dyDescent="0.2">
      <c r="K1116" s="13"/>
    </row>
    <row r="1117" spans="11:11" ht="15.75" customHeight="1" x14ac:dyDescent="0.2">
      <c r="K1117" s="13"/>
    </row>
    <row r="1118" spans="11:11" ht="15.75" customHeight="1" x14ac:dyDescent="0.2">
      <c r="K1118" s="13"/>
    </row>
    <row r="1119" spans="11:11" ht="15.75" customHeight="1" x14ac:dyDescent="0.2">
      <c r="K1119" s="13"/>
    </row>
    <row r="1120" spans="11:11" ht="15.75" customHeight="1" x14ac:dyDescent="0.2">
      <c r="K1120" s="13"/>
    </row>
    <row r="1121" spans="11:11" ht="15.75" customHeight="1" x14ac:dyDescent="0.2">
      <c r="K1121" s="13"/>
    </row>
    <row r="1122" spans="11:11" ht="15.75" customHeight="1" x14ac:dyDescent="0.2">
      <c r="K1122" s="13"/>
    </row>
    <row r="1123" spans="11:11" ht="15.75" customHeight="1" x14ac:dyDescent="0.2">
      <c r="K1123" s="13"/>
    </row>
    <row r="1124" spans="11:11" ht="15.75" customHeight="1" x14ac:dyDescent="0.2">
      <c r="K1124" s="13"/>
    </row>
    <row r="1125" spans="11:11" ht="15.75" customHeight="1" x14ac:dyDescent="0.2">
      <c r="K1125" s="13"/>
    </row>
    <row r="1126" spans="11:11" ht="15.75" customHeight="1" x14ac:dyDescent="0.2">
      <c r="K1126" s="13"/>
    </row>
    <row r="1127" spans="11:11" ht="15.75" customHeight="1" x14ac:dyDescent="0.2">
      <c r="K1127" s="13"/>
    </row>
    <row r="1128" spans="11:11" ht="15.75" customHeight="1" x14ac:dyDescent="0.2">
      <c r="K1128" s="13"/>
    </row>
    <row r="1129" spans="11:11" ht="15.75" customHeight="1" x14ac:dyDescent="0.2">
      <c r="K1129" s="13"/>
    </row>
    <row r="1130" spans="11:11" ht="15.75" customHeight="1" x14ac:dyDescent="0.2">
      <c r="K1130" s="13"/>
    </row>
    <row r="1131" spans="11:11" ht="15.75" customHeight="1" x14ac:dyDescent="0.2">
      <c r="K1131" s="13"/>
    </row>
    <row r="1132" spans="11:11" ht="15.75" customHeight="1" x14ac:dyDescent="0.2">
      <c r="K1132" s="13"/>
    </row>
    <row r="1133" spans="11:11" ht="15.75" customHeight="1" x14ac:dyDescent="0.2">
      <c r="K1133" s="13"/>
    </row>
    <row r="1134" spans="11:11" ht="15.75" customHeight="1" x14ac:dyDescent="0.2">
      <c r="K1134" s="13"/>
    </row>
    <row r="1135" spans="11:11" ht="15.75" customHeight="1" x14ac:dyDescent="0.2">
      <c r="K1135" s="13"/>
    </row>
    <row r="1136" spans="11:11" ht="15.75" customHeight="1" x14ac:dyDescent="0.2">
      <c r="K1136" s="13"/>
    </row>
    <row r="1137" spans="11:11" ht="15.75" customHeight="1" x14ac:dyDescent="0.2">
      <c r="K1137" s="13"/>
    </row>
    <row r="1138" spans="11:11" ht="15.75" customHeight="1" x14ac:dyDescent="0.2">
      <c r="K1138" s="13"/>
    </row>
    <row r="1139" spans="11:11" ht="15.75" customHeight="1" x14ac:dyDescent="0.2">
      <c r="K1139" s="13"/>
    </row>
    <row r="1140" spans="11:11" ht="15.75" customHeight="1" x14ac:dyDescent="0.2">
      <c r="K1140" s="13"/>
    </row>
    <row r="1141" spans="11:11" ht="15.75" customHeight="1" x14ac:dyDescent="0.2">
      <c r="K1141" s="13"/>
    </row>
    <row r="1142" spans="11:11" ht="15.75" customHeight="1" x14ac:dyDescent="0.2">
      <c r="K1142" s="13"/>
    </row>
    <row r="1143" spans="11:11" ht="15.75" customHeight="1" x14ac:dyDescent="0.2">
      <c r="K1143" s="13"/>
    </row>
    <row r="1144" spans="11:11" ht="15.75" customHeight="1" x14ac:dyDescent="0.2">
      <c r="K1144" s="13"/>
    </row>
    <row r="1145" spans="11:11" ht="15.75" customHeight="1" x14ac:dyDescent="0.2">
      <c r="K1145" s="13"/>
    </row>
    <row r="1146" spans="11:11" ht="15.75" customHeight="1" x14ac:dyDescent="0.2">
      <c r="K1146" s="13"/>
    </row>
    <row r="1147" spans="11:11" ht="15.75" customHeight="1" x14ac:dyDescent="0.2">
      <c r="K1147" s="13"/>
    </row>
    <row r="1148" spans="11:11" ht="15.75" customHeight="1" x14ac:dyDescent="0.2">
      <c r="K1148" s="13"/>
    </row>
    <row r="1149" spans="11:11" ht="15.75" customHeight="1" x14ac:dyDescent="0.2">
      <c r="K1149" s="13"/>
    </row>
    <row r="1150" spans="11:11" ht="15.75" customHeight="1" x14ac:dyDescent="0.2">
      <c r="K1150" s="13"/>
    </row>
    <row r="1151" spans="11:11" ht="15.75" customHeight="1" x14ac:dyDescent="0.2">
      <c r="K1151" s="13"/>
    </row>
    <row r="1152" spans="11:11" ht="15.75" customHeight="1" x14ac:dyDescent="0.2">
      <c r="K1152" s="13"/>
    </row>
    <row r="1153" spans="11:11" ht="15.75" customHeight="1" x14ac:dyDescent="0.2">
      <c r="K1153" s="13"/>
    </row>
    <row r="1154" spans="11:11" ht="15.75" customHeight="1" x14ac:dyDescent="0.2">
      <c r="K1154" s="13"/>
    </row>
    <row r="1155" spans="11:11" ht="15.75" customHeight="1" x14ac:dyDescent="0.2">
      <c r="K1155" s="13"/>
    </row>
    <row r="1156" spans="11:11" ht="15.75" customHeight="1" x14ac:dyDescent="0.2">
      <c r="K1156" s="13"/>
    </row>
    <row r="1157" spans="11:11" ht="15.75" customHeight="1" x14ac:dyDescent="0.2">
      <c r="K1157" s="13"/>
    </row>
    <row r="1158" spans="11:11" ht="15.75" customHeight="1" x14ac:dyDescent="0.2">
      <c r="K1158" s="13"/>
    </row>
    <row r="1159" spans="11:11" ht="15.75" customHeight="1" x14ac:dyDescent="0.2">
      <c r="K1159" s="13"/>
    </row>
    <row r="1160" spans="11:11" ht="15.75" customHeight="1" x14ac:dyDescent="0.2">
      <c r="K1160" s="13"/>
    </row>
    <row r="1161" spans="11:11" ht="15.75" customHeight="1" x14ac:dyDescent="0.2">
      <c r="K1161" s="13"/>
    </row>
    <row r="1162" spans="11:11" ht="15.75" customHeight="1" x14ac:dyDescent="0.2">
      <c r="K1162" s="13"/>
    </row>
    <row r="1163" spans="11:11" ht="15.75" customHeight="1" x14ac:dyDescent="0.2">
      <c r="K1163" s="13"/>
    </row>
    <row r="1164" spans="11:11" ht="15.75" customHeight="1" x14ac:dyDescent="0.2">
      <c r="K1164" s="13"/>
    </row>
    <row r="1165" spans="11:11" ht="15.75" customHeight="1" x14ac:dyDescent="0.2">
      <c r="K1165" s="13"/>
    </row>
    <row r="1166" spans="11:11" ht="15.75" customHeight="1" x14ac:dyDescent="0.2">
      <c r="K1166" s="13"/>
    </row>
    <row r="1167" spans="11:11" ht="15.75" customHeight="1" x14ac:dyDescent="0.2">
      <c r="K1167" s="13"/>
    </row>
    <row r="1168" spans="11:11" ht="15.75" customHeight="1" x14ac:dyDescent="0.2">
      <c r="K1168" s="13"/>
    </row>
    <row r="1169" spans="11:11" ht="15.75" customHeight="1" x14ac:dyDescent="0.2">
      <c r="K1169" s="13"/>
    </row>
    <row r="1170" spans="11:11" ht="15.75" customHeight="1" x14ac:dyDescent="0.2">
      <c r="K1170" s="13"/>
    </row>
    <row r="1171" spans="11:11" ht="15.75" customHeight="1" x14ac:dyDescent="0.2">
      <c r="K1171" s="13"/>
    </row>
    <row r="1172" spans="11:11" ht="15.75" customHeight="1" x14ac:dyDescent="0.2">
      <c r="K1172" s="13"/>
    </row>
    <row r="1173" spans="11:11" ht="15.75" customHeight="1" x14ac:dyDescent="0.2">
      <c r="K1173" s="13"/>
    </row>
    <row r="1174" spans="11:11" ht="15.75" customHeight="1" x14ac:dyDescent="0.2">
      <c r="K1174" s="13"/>
    </row>
    <row r="1175" spans="11:11" ht="15.75" customHeight="1" x14ac:dyDescent="0.2">
      <c r="K1175" s="13"/>
    </row>
    <row r="1176" spans="11:11" ht="15.75" customHeight="1" x14ac:dyDescent="0.2">
      <c r="K1176" s="13"/>
    </row>
    <row r="1177" spans="11:11" ht="15.75" customHeight="1" x14ac:dyDescent="0.2">
      <c r="K1177" s="13"/>
    </row>
    <row r="1178" spans="11:11" ht="15.75" customHeight="1" x14ac:dyDescent="0.2">
      <c r="K1178" s="13"/>
    </row>
    <row r="1179" spans="11:11" ht="15.75" customHeight="1" x14ac:dyDescent="0.2">
      <c r="K1179" s="13"/>
    </row>
    <row r="1180" spans="11:11" ht="15.75" customHeight="1" x14ac:dyDescent="0.2">
      <c r="K1180" s="13"/>
    </row>
    <row r="1181" spans="11:11" ht="15.75" customHeight="1" x14ac:dyDescent="0.2">
      <c r="K1181" s="13"/>
    </row>
    <row r="1182" spans="11:11" ht="15.75" customHeight="1" x14ac:dyDescent="0.2">
      <c r="K1182" s="13"/>
    </row>
    <row r="1183" spans="11:11" ht="15.75" customHeight="1" x14ac:dyDescent="0.2">
      <c r="K1183" s="13"/>
    </row>
    <row r="1184" spans="11:11" ht="15.75" customHeight="1" x14ac:dyDescent="0.2">
      <c r="K1184" s="13"/>
    </row>
    <row r="1185" spans="11:11" ht="15.75" customHeight="1" x14ac:dyDescent="0.2">
      <c r="K1185" s="13"/>
    </row>
    <row r="1186" spans="11:11" ht="15.75" customHeight="1" x14ac:dyDescent="0.2">
      <c r="K1186" s="13"/>
    </row>
    <row r="1187" spans="11:11" ht="15.75" customHeight="1" x14ac:dyDescent="0.2">
      <c r="K1187" s="13"/>
    </row>
    <row r="1188" spans="11:11" ht="15.75" customHeight="1" x14ac:dyDescent="0.2">
      <c r="K1188" s="13"/>
    </row>
    <row r="1189" spans="11:11" ht="15.75" customHeight="1" x14ac:dyDescent="0.2">
      <c r="K1189" s="13"/>
    </row>
    <row r="1190" spans="11:11" ht="15.75" customHeight="1" x14ac:dyDescent="0.2">
      <c r="K1190" s="13"/>
    </row>
    <row r="1191" spans="11:11" ht="15.75" customHeight="1" x14ac:dyDescent="0.2">
      <c r="K1191" s="13"/>
    </row>
    <row r="1192" spans="11:11" ht="15.75" customHeight="1" x14ac:dyDescent="0.2">
      <c r="K1192" s="13"/>
    </row>
    <row r="1193" spans="11:11" ht="15.75" customHeight="1" x14ac:dyDescent="0.2">
      <c r="K1193" s="13"/>
    </row>
    <row r="1194" spans="11:11" ht="15.75" customHeight="1" x14ac:dyDescent="0.2">
      <c r="K1194" s="13"/>
    </row>
    <row r="1195" spans="11:11" ht="15.75" customHeight="1" x14ac:dyDescent="0.2">
      <c r="K1195" s="13"/>
    </row>
    <row r="1196" spans="11:11" ht="15.75" customHeight="1" x14ac:dyDescent="0.2">
      <c r="K1196" s="13"/>
    </row>
    <row r="1197" spans="11:11" ht="15.75" customHeight="1" x14ac:dyDescent="0.2">
      <c r="K1197" s="13"/>
    </row>
    <row r="1198" spans="11:11" ht="15.75" customHeight="1" x14ac:dyDescent="0.2">
      <c r="K1198" s="13"/>
    </row>
    <row r="1199" spans="11:11" ht="15.75" customHeight="1" x14ac:dyDescent="0.2">
      <c r="K1199" s="13"/>
    </row>
    <row r="1200" spans="11:11" ht="15.75" customHeight="1" x14ac:dyDescent="0.2">
      <c r="K1200" s="13"/>
    </row>
    <row r="1201" spans="11:11" ht="15.75" customHeight="1" x14ac:dyDescent="0.2">
      <c r="K1201" s="13"/>
    </row>
    <row r="1202" spans="11:11" ht="15.75" customHeight="1" x14ac:dyDescent="0.2">
      <c r="K1202" s="13"/>
    </row>
    <row r="1203" spans="11:11" ht="15.75" customHeight="1" x14ac:dyDescent="0.2">
      <c r="K1203" s="13"/>
    </row>
    <row r="1204" spans="11:11" ht="15.75" customHeight="1" x14ac:dyDescent="0.2">
      <c r="K1204" s="13"/>
    </row>
    <row r="1205" spans="11:11" ht="15.75" customHeight="1" x14ac:dyDescent="0.2">
      <c r="K1205" s="13"/>
    </row>
    <row r="1206" spans="11:11" ht="15.75" customHeight="1" x14ac:dyDescent="0.2">
      <c r="K1206" s="13"/>
    </row>
    <row r="1207" spans="11:11" ht="15.75" customHeight="1" x14ac:dyDescent="0.2">
      <c r="K1207" s="13"/>
    </row>
    <row r="1208" spans="11:11" ht="15.75" customHeight="1" x14ac:dyDescent="0.2">
      <c r="K1208" s="13"/>
    </row>
    <row r="1209" spans="11:11" ht="15.75" customHeight="1" x14ac:dyDescent="0.2">
      <c r="K1209" s="13"/>
    </row>
    <row r="1210" spans="11:11" ht="15.75" customHeight="1" x14ac:dyDescent="0.2">
      <c r="K1210" s="13"/>
    </row>
    <row r="1211" spans="11:11" ht="15.75" customHeight="1" x14ac:dyDescent="0.2">
      <c r="K1211" s="13"/>
    </row>
    <row r="1212" spans="11:11" ht="15.75" customHeight="1" x14ac:dyDescent="0.2">
      <c r="K1212" s="13"/>
    </row>
    <row r="1213" spans="11:11" ht="15.75" customHeight="1" x14ac:dyDescent="0.2">
      <c r="K1213" s="13"/>
    </row>
    <row r="1214" spans="11:11" ht="15.75" customHeight="1" x14ac:dyDescent="0.2">
      <c r="K1214" s="13"/>
    </row>
    <row r="1215" spans="11:11" ht="15.75" customHeight="1" x14ac:dyDescent="0.2">
      <c r="K1215" s="13"/>
    </row>
    <row r="1216" spans="11:11" ht="15.75" customHeight="1" x14ac:dyDescent="0.2">
      <c r="K1216" s="13"/>
    </row>
    <row r="1217" spans="11:11" ht="15.75" customHeight="1" x14ac:dyDescent="0.2">
      <c r="K1217" s="13"/>
    </row>
    <row r="1218" spans="11:11" ht="15.75" customHeight="1" x14ac:dyDescent="0.2">
      <c r="K1218" s="13"/>
    </row>
    <row r="1219" spans="11:11" ht="15.75" customHeight="1" x14ac:dyDescent="0.2">
      <c r="K1219" s="13"/>
    </row>
    <row r="1220" spans="11:11" ht="15.75" customHeight="1" x14ac:dyDescent="0.2">
      <c r="K1220" s="13"/>
    </row>
    <row r="1221" spans="11:11" ht="15.75" customHeight="1" x14ac:dyDescent="0.2">
      <c r="K1221" s="13"/>
    </row>
    <row r="1222" spans="11:11" ht="15.75" customHeight="1" x14ac:dyDescent="0.2">
      <c r="K1222" s="13"/>
    </row>
    <row r="1223" spans="11:11" ht="15.75" customHeight="1" x14ac:dyDescent="0.2">
      <c r="K1223" s="13"/>
    </row>
    <row r="1224" spans="11:11" ht="15.75" customHeight="1" x14ac:dyDescent="0.2">
      <c r="K1224" s="13"/>
    </row>
    <row r="1225" spans="11:11" ht="15.75" customHeight="1" x14ac:dyDescent="0.2">
      <c r="K1225" s="13"/>
    </row>
    <row r="1226" spans="11:11" ht="15.75" customHeight="1" x14ac:dyDescent="0.2">
      <c r="K1226" s="13"/>
    </row>
    <row r="1227" spans="11:11" ht="15.75" customHeight="1" x14ac:dyDescent="0.2">
      <c r="K1227" s="13"/>
    </row>
    <row r="1228" spans="11:11" ht="15.75" customHeight="1" x14ac:dyDescent="0.2">
      <c r="K1228" s="13"/>
    </row>
    <row r="1229" spans="11:11" ht="15.75" customHeight="1" x14ac:dyDescent="0.2">
      <c r="K1229" s="13"/>
    </row>
    <row r="1230" spans="11:11" ht="15.75" customHeight="1" x14ac:dyDescent="0.2">
      <c r="K1230" s="13"/>
    </row>
    <row r="1231" spans="11:11" ht="15.75" customHeight="1" x14ac:dyDescent="0.2">
      <c r="K1231" s="13"/>
    </row>
    <row r="1232" spans="11:11" ht="15.75" customHeight="1" x14ac:dyDescent="0.2">
      <c r="K1232" s="13"/>
    </row>
    <row r="1233" spans="11:11" ht="15.75" customHeight="1" x14ac:dyDescent="0.2">
      <c r="K1233" s="13"/>
    </row>
    <row r="1234" spans="11:11" ht="15.75" customHeight="1" x14ac:dyDescent="0.2">
      <c r="K1234" s="13"/>
    </row>
    <row r="1235" spans="11:11" ht="15.75" customHeight="1" x14ac:dyDescent="0.2">
      <c r="K1235" s="13"/>
    </row>
    <row r="1236" spans="11:11" ht="15.75" customHeight="1" x14ac:dyDescent="0.2">
      <c r="K1236" s="13"/>
    </row>
    <row r="1237" spans="11:11" ht="15.75" customHeight="1" x14ac:dyDescent="0.2">
      <c r="K1237" s="13"/>
    </row>
    <row r="1238" spans="11:11" ht="15.75" customHeight="1" x14ac:dyDescent="0.2">
      <c r="K1238" s="13"/>
    </row>
    <row r="1239" spans="11:11" ht="15.75" customHeight="1" x14ac:dyDescent="0.2">
      <c r="K1239" s="13"/>
    </row>
    <row r="1240" spans="11:11" ht="15.75" customHeight="1" x14ac:dyDescent="0.2">
      <c r="K1240" s="13"/>
    </row>
    <row r="1241" spans="11:11" ht="15.75" customHeight="1" x14ac:dyDescent="0.2">
      <c r="K1241" s="13"/>
    </row>
    <row r="1242" spans="11:11" ht="15.75" customHeight="1" x14ac:dyDescent="0.2">
      <c r="K1242" s="13"/>
    </row>
    <row r="1243" spans="11:11" ht="15.75" customHeight="1" x14ac:dyDescent="0.2">
      <c r="K1243" s="13"/>
    </row>
    <row r="1244" spans="11:11" ht="15.75" customHeight="1" x14ac:dyDescent="0.2">
      <c r="K1244" s="13"/>
    </row>
    <row r="1245" spans="11:11" ht="15.75" customHeight="1" x14ac:dyDescent="0.2">
      <c r="K1245" s="13"/>
    </row>
    <row r="1246" spans="11:11" ht="15.75" customHeight="1" x14ac:dyDescent="0.2">
      <c r="K1246" s="13"/>
    </row>
    <row r="1247" spans="11:11" ht="15.75" customHeight="1" x14ac:dyDescent="0.2">
      <c r="K1247" s="13"/>
    </row>
    <row r="1248" spans="11:11" ht="15.75" customHeight="1" x14ac:dyDescent="0.2">
      <c r="K1248" s="13"/>
    </row>
    <row r="1249" spans="11:11" ht="15.75" customHeight="1" x14ac:dyDescent="0.2">
      <c r="K1249" s="13"/>
    </row>
    <row r="1250" spans="11:11" ht="15.75" customHeight="1" x14ac:dyDescent="0.2">
      <c r="K1250" s="13"/>
    </row>
    <row r="1251" spans="11:11" ht="15.75" customHeight="1" x14ac:dyDescent="0.2">
      <c r="K1251" s="13"/>
    </row>
    <row r="1252" spans="11:11" ht="15.75" customHeight="1" x14ac:dyDescent="0.2">
      <c r="K1252" s="13"/>
    </row>
    <row r="1253" spans="11:11" ht="15.75" customHeight="1" x14ac:dyDescent="0.2">
      <c r="K1253" s="13"/>
    </row>
    <row r="1254" spans="11:11" ht="15.75" customHeight="1" x14ac:dyDescent="0.2">
      <c r="K1254" s="13"/>
    </row>
    <row r="1255" spans="11:11" ht="15.75" customHeight="1" x14ac:dyDescent="0.2">
      <c r="K1255" s="13"/>
    </row>
    <row r="1256" spans="11:11" ht="15.75" customHeight="1" x14ac:dyDescent="0.2">
      <c r="K1256" s="13"/>
    </row>
    <row r="1257" spans="11:11" ht="15.75" customHeight="1" x14ac:dyDescent="0.2">
      <c r="K1257" s="13"/>
    </row>
    <row r="1258" spans="11:11" ht="15.75" customHeight="1" x14ac:dyDescent="0.2">
      <c r="K1258" s="13"/>
    </row>
    <row r="1259" spans="11:11" ht="15.75" customHeight="1" x14ac:dyDescent="0.2">
      <c r="K1259" s="13"/>
    </row>
    <row r="1260" spans="11:11" ht="15.75" customHeight="1" x14ac:dyDescent="0.2">
      <c r="K1260" s="13"/>
    </row>
    <row r="1261" spans="11:11" ht="15.75" customHeight="1" x14ac:dyDescent="0.2">
      <c r="K1261" s="13"/>
    </row>
    <row r="1262" spans="11:11" ht="15.75" customHeight="1" x14ac:dyDescent="0.2">
      <c r="K1262" s="13"/>
    </row>
    <row r="1263" spans="11:11" ht="15.75" customHeight="1" x14ac:dyDescent="0.2">
      <c r="K1263" s="13"/>
    </row>
    <row r="1264" spans="11:11" ht="15.75" customHeight="1" x14ac:dyDescent="0.2">
      <c r="K1264" s="13"/>
    </row>
    <row r="1265" spans="11:11" ht="15.75" customHeight="1" x14ac:dyDescent="0.2">
      <c r="K1265" s="13"/>
    </row>
    <row r="1266" spans="11:11" ht="15.75" customHeight="1" x14ac:dyDescent="0.2">
      <c r="K1266" s="13"/>
    </row>
    <row r="1267" spans="11:11" ht="15.75" customHeight="1" x14ac:dyDescent="0.2">
      <c r="K1267" s="13"/>
    </row>
    <row r="1268" spans="11:11" ht="15.75" customHeight="1" x14ac:dyDescent="0.2">
      <c r="K1268" s="13"/>
    </row>
    <row r="1269" spans="11:11" ht="15.75" customHeight="1" x14ac:dyDescent="0.2">
      <c r="K1269" s="13"/>
    </row>
    <row r="1270" spans="11:11" ht="15.75" customHeight="1" x14ac:dyDescent="0.2">
      <c r="K1270" s="13"/>
    </row>
    <row r="1271" spans="11:11" ht="15.75" customHeight="1" x14ac:dyDescent="0.2">
      <c r="K1271" s="13"/>
    </row>
    <row r="1272" spans="11:11" ht="15.75" customHeight="1" x14ac:dyDescent="0.2">
      <c r="K1272" s="13"/>
    </row>
    <row r="1273" spans="11:11" ht="15.75" customHeight="1" x14ac:dyDescent="0.2">
      <c r="K1273" s="13"/>
    </row>
    <row r="1274" spans="11:11" ht="15.75" customHeight="1" x14ac:dyDescent="0.2">
      <c r="K1274" s="13"/>
    </row>
    <row r="1275" spans="11:11" ht="15.75" customHeight="1" x14ac:dyDescent="0.2">
      <c r="K1275" s="13"/>
    </row>
    <row r="1276" spans="11:11" ht="15.75" customHeight="1" x14ac:dyDescent="0.2">
      <c r="K1276" s="13"/>
    </row>
    <row r="1277" spans="11:11" ht="15.75" customHeight="1" x14ac:dyDescent="0.2">
      <c r="K1277" s="13"/>
    </row>
    <row r="1278" spans="11:11" ht="15.75" customHeight="1" x14ac:dyDescent="0.2">
      <c r="K1278" s="13"/>
    </row>
    <row r="1279" spans="11:11" ht="15.75" customHeight="1" x14ac:dyDescent="0.2">
      <c r="K1279" s="13"/>
    </row>
    <row r="1280" spans="11:11" ht="15.75" customHeight="1" x14ac:dyDescent="0.2">
      <c r="K1280" s="13"/>
    </row>
    <row r="1281" spans="11:11" ht="15.75" customHeight="1" x14ac:dyDescent="0.2">
      <c r="K1281" s="13"/>
    </row>
    <row r="1282" spans="11:11" ht="15.75" customHeight="1" x14ac:dyDescent="0.2">
      <c r="K1282" s="13"/>
    </row>
    <row r="1283" spans="11:11" ht="15.75" customHeight="1" x14ac:dyDescent="0.2">
      <c r="K1283" s="13"/>
    </row>
    <row r="1284" spans="11:11" ht="15.75" customHeight="1" x14ac:dyDescent="0.2">
      <c r="K1284" s="13"/>
    </row>
    <row r="1285" spans="11:11" ht="15.75" customHeight="1" x14ac:dyDescent="0.2">
      <c r="K1285" s="13"/>
    </row>
    <row r="1286" spans="11:11" ht="15.75" customHeight="1" x14ac:dyDescent="0.2">
      <c r="K1286" s="13"/>
    </row>
    <row r="1287" spans="11:11" ht="15.75" customHeight="1" x14ac:dyDescent="0.2">
      <c r="K1287" s="13"/>
    </row>
    <row r="1288" spans="11:11" ht="15.75" customHeight="1" x14ac:dyDescent="0.2">
      <c r="K1288" s="13"/>
    </row>
    <row r="1289" spans="11:11" ht="15.75" customHeight="1" x14ac:dyDescent="0.2">
      <c r="K1289" s="13"/>
    </row>
    <row r="1290" spans="11:11" ht="15.75" customHeight="1" x14ac:dyDescent="0.2">
      <c r="K1290" s="13"/>
    </row>
    <row r="1291" spans="11:11" ht="15.75" customHeight="1" x14ac:dyDescent="0.2">
      <c r="K1291" s="13"/>
    </row>
    <row r="1292" spans="11:11" ht="15.75" customHeight="1" x14ac:dyDescent="0.2">
      <c r="K1292" s="13"/>
    </row>
    <row r="1293" spans="11:11" ht="15.75" customHeight="1" x14ac:dyDescent="0.2">
      <c r="K1293" s="13"/>
    </row>
    <row r="1294" spans="11:11" ht="15.75" customHeight="1" x14ac:dyDescent="0.2">
      <c r="K1294" s="13"/>
    </row>
    <row r="1295" spans="11:11" ht="15.75" customHeight="1" x14ac:dyDescent="0.2">
      <c r="K1295" s="13"/>
    </row>
    <row r="1296" spans="11:11" ht="15.75" customHeight="1" x14ac:dyDescent="0.2">
      <c r="K1296" s="13"/>
    </row>
    <row r="1297" spans="11:11" ht="15.75" customHeight="1" x14ac:dyDescent="0.2">
      <c r="K1297" s="13"/>
    </row>
    <row r="1298" spans="11:11" ht="15.75" customHeight="1" x14ac:dyDescent="0.2">
      <c r="K1298" s="13"/>
    </row>
    <row r="1299" spans="11:11" ht="15.75" customHeight="1" x14ac:dyDescent="0.2">
      <c r="K1299" s="13"/>
    </row>
    <row r="1300" spans="11:11" ht="15.75" customHeight="1" x14ac:dyDescent="0.2">
      <c r="K1300" s="13"/>
    </row>
    <row r="1301" spans="11:11" ht="15.75" customHeight="1" x14ac:dyDescent="0.2">
      <c r="K1301" s="13"/>
    </row>
    <row r="1302" spans="11:11" ht="15.75" customHeight="1" x14ac:dyDescent="0.2">
      <c r="K1302" s="13"/>
    </row>
    <row r="1303" spans="11:11" ht="15.75" customHeight="1" x14ac:dyDescent="0.2">
      <c r="K1303" s="13"/>
    </row>
    <row r="1304" spans="11:11" ht="15.75" customHeight="1" x14ac:dyDescent="0.2">
      <c r="K1304" s="13"/>
    </row>
    <row r="1305" spans="11:11" ht="15.75" customHeight="1" x14ac:dyDescent="0.2">
      <c r="K1305" s="13"/>
    </row>
    <row r="1306" spans="11:11" ht="15.75" customHeight="1" x14ac:dyDescent="0.2">
      <c r="K1306" s="13"/>
    </row>
    <row r="1307" spans="11:11" ht="15.75" customHeight="1" x14ac:dyDescent="0.2">
      <c r="K1307" s="13"/>
    </row>
    <row r="1308" spans="11:11" ht="15.75" customHeight="1" x14ac:dyDescent="0.2">
      <c r="K1308" s="13"/>
    </row>
    <row r="1309" spans="11:11" ht="15.75" customHeight="1" x14ac:dyDescent="0.2">
      <c r="K1309" s="13"/>
    </row>
    <row r="1310" spans="11:11" ht="15.75" customHeight="1" x14ac:dyDescent="0.2">
      <c r="K1310" s="13"/>
    </row>
    <row r="1311" spans="11:11" ht="15.75" customHeight="1" x14ac:dyDescent="0.2">
      <c r="K1311" s="13"/>
    </row>
    <row r="1312" spans="11:11" ht="15.75" customHeight="1" x14ac:dyDescent="0.2">
      <c r="K1312" s="13"/>
    </row>
    <row r="1313" spans="11:11" ht="15.75" customHeight="1" x14ac:dyDescent="0.2">
      <c r="K1313" s="13"/>
    </row>
    <row r="1314" spans="11:11" ht="15.75" customHeight="1" x14ac:dyDescent="0.2">
      <c r="K1314" s="13"/>
    </row>
    <row r="1315" spans="11:11" ht="15.75" customHeight="1" x14ac:dyDescent="0.2">
      <c r="K1315" s="13"/>
    </row>
    <row r="1316" spans="11:11" ht="15.75" customHeight="1" x14ac:dyDescent="0.2">
      <c r="K1316" s="13"/>
    </row>
    <row r="1317" spans="11:11" ht="15.75" customHeight="1" x14ac:dyDescent="0.2">
      <c r="K1317" s="13"/>
    </row>
    <row r="1318" spans="11:11" ht="15.75" customHeight="1" x14ac:dyDescent="0.2">
      <c r="K1318" s="13"/>
    </row>
    <row r="1319" spans="11:11" ht="15.75" customHeight="1" x14ac:dyDescent="0.2">
      <c r="K1319" s="13"/>
    </row>
    <row r="1320" spans="11:11" ht="15.75" customHeight="1" x14ac:dyDescent="0.2">
      <c r="K1320" s="13"/>
    </row>
    <row r="1321" spans="11:11" ht="15.75" customHeight="1" x14ac:dyDescent="0.2">
      <c r="K1321" s="13"/>
    </row>
    <row r="1322" spans="11:11" ht="15.75" customHeight="1" x14ac:dyDescent="0.2">
      <c r="K1322" s="13"/>
    </row>
    <row r="1323" spans="11:11" ht="15.75" customHeight="1" x14ac:dyDescent="0.2">
      <c r="K1323" s="13"/>
    </row>
    <row r="1324" spans="11:11" ht="15.75" customHeight="1" x14ac:dyDescent="0.2">
      <c r="K1324" s="13"/>
    </row>
    <row r="1325" spans="11:11" ht="15.75" customHeight="1" x14ac:dyDescent="0.2">
      <c r="K1325" s="13"/>
    </row>
    <row r="1326" spans="11:11" ht="15.75" customHeight="1" x14ac:dyDescent="0.2">
      <c r="K1326" s="13"/>
    </row>
    <row r="1327" spans="11:11" ht="15.75" customHeight="1" x14ac:dyDescent="0.2">
      <c r="K1327" s="13"/>
    </row>
    <row r="1328" spans="11:11" ht="15.75" customHeight="1" x14ac:dyDescent="0.2">
      <c r="K1328" s="13"/>
    </row>
    <row r="1329" spans="11:11" ht="15.75" customHeight="1" x14ac:dyDescent="0.2">
      <c r="K1329" s="13"/>
    </row>
    <row r="1330" spans="11:11" ht="15.75" customHeight="1" x14ac:dyDescent="0.2">
      <c r="K1330" s="13"/>
    </row>
    <row r="1331" spans="11:11" ht="15.75" customHeight="1" x14ac:dyDescent="0.2">
      <c r="K1331" s="13"/>
    </row>
    <row r="1332" spans="11:11" ht="15.75" customHeight="1" x14ac:dyDescent="0.2">
      <c r="K1332" s="13"/>
    </row>
    <row r="1333" spans="11:11" ht="15.75" customHeight="1" x14ac:dyDescent="0.2">
      <c r="K1333" s="13"/>
    </row>
    <row r="1334" spans="11:11" ht="15.75" customHeight="1" x14ac:dyDescent="0.2">
      <c r="K1334" s="13"/>
    </row>
    <row r="1335" spans="11:11" ht="15.75" customHeight="1" x14ac:dyDescent="0.2">
      <c r="K1335" s="13"/>
    </row>
    <row r="1336" spans="11:11" ht="15.75" customHeight="1" x14ac:dyDescent="0.2">
      <c r="K1336" s="13"/>
    </row>
    <row r="1337" spans="11:11" ht="15.75" customHeight="1" x14ac:dyDescent="0.2">
      <c r="K1337" s="13"/>
    </row>
    <row r="1338" spans="11:11" ht="15.75" customHeight="1" x14ac:dyDescent="0.2">
      <c r="K1338" s="13"/>
    </row>
    <row r="1339" spans="11:11" ht="15.75" customHeight="1" x14ac:dyDescent="0.2">
      <c r="K1339" s="13"/>
    </row>
    <row r="1340" spans="11:11" ht="15.75" customHeight="1" x14ac:dyDescent="0.2">
      <c r="K1340" s="13"/>
    </row>
    <row r="1341" spans="11:11" ht="15.75" customHeight="1" x14ac:dyDescent="0.2">
      <c r="K1341" s="13"/>
    </row>
    <row r="1342" spans="11:11" ht="15.75" customHeight="1" x14ac:dyDescent="0.2">
      <c r="K1342" s="13"/>
    </row>
    <row r="1343" spans="11:11" ht="15.75" customHeight="1" x14ac:dyDescent="0.2">
      <c r="K1343" s="13"/>
    </row>
    <row r="1344" spans="11:11" ht="15.75" customHeight="1" x14ac:dyDescent="0.2">
      <c r="K1344" s="13"/>
    </row>
    <row r="1345" spans="11:11" ht="15.75" customHeight="1" x14ac:dyDescent="0.2">
      <c r="K1345" s="13"/>
    </row>
    <row r="1346" spans="11:11" ht="15.75" customHeight="1" x14ac:dyDescent="0.2">
      <c r="K1346" s="13"/>
    </row>
    <row r="1347" spans="11:11" ht="15.75" customHeight="1" x14ac:dyDescent="0.2">
      <c r="K1347" s="13"/>
    </row>
    <row r="1348" spans="11:11" ht="15.75" customHeight="1" x14ac:dyDescent="0.2">
      <c r="K1348" s="13"/>
    </row>
    <row r="1349" spans="11:11" ht="15.75" customHeight="1" x14ac:dyDescent="0.2">
      <c r="K1349" s="13"/>
    </row>
    <row r="1350" spans="11:11" ht="15.75" customHeight="1" x14ac:dyDescent="0.2">
      <c r="K1350" s="13"/>
    </row>
    <row r="1351" spans="11:11" ht="15.75" customHeight="1" x14ac:dyDescent="0.2">
      <c r="K1351" s="13"/>
    </row>
    <row r="1352" spans="11:11" ht="15.75" customHeight="1" x14ac:dyDescent="0.2">
      <c r="K1352" s="13"/>
    </row>
    <row r="1353" spans="11:11" ht="15.75" customHeight="1" x14ac:dyDescent="0.2">
      <c r="K1353" s="13"/>
    </row>
    <row r="1354" spans="11:11" ht="15.75" customHeight="1" x14ac:dyDescent="0.2">
      <c r="K1354" s="13"/>
    </row>
    <row r="1355" spans="11:11" ht="15.75" customHeight="1" x14ac:dyDescent="0.2">
      <c r="K1355" s="13"/>
    </row>
    <row r="1356" spans="11:11" ht="15.75" customHeight="1" x14ac:dyDescent="0.2">
      <c r="K1356" s="13"/>
    </row>
    <row r="1357" spans="11:11" ht="15.75" customHeight="1" x14ac:dyDescent="0.2">
      <c r="K1357" s="13"/>
    </row>
    <row r="1358" spans="11:11" ht="15.75" customHeight="1" x14ac:dyDescent="0.2">
      <c r="K1358" s="13"/>
    </row>
    <row r="1359" spans="11:11" ht="15.75" customHeight="1" x14ac:dyDescent="0.2">
      <c r="K1359" s="13"/>
    </row>
    <row r="1360" spans="11:11" ht="15.75" customHeight="1" x14ac:dyDescent="0.2">
      <c r="K1360" s="13"/>
    </row>
    <row r="1361" spans="11:11" ht="15.75" customHeight="1" x14ac:dyDescent="0.2">
      <c r="K1361" s="13"/>
    </row>
    <row r="1362" spans="11:11" ht="15.75" customHeight="1" x14ac:dyDescent="0.2">
      <c r="K1362" s="13"/>
    </row>
    <row r="1363" spans="11:11" ht="15.75" customHeight="1" x14ac:dyDescent="0.2">
      <c r="K1363" s="13"/>
    </row>
    <row r="1364" spans="11:11" ht="15.75" customHeight="1" x14ac:dyDescent="0.2">
      <c r="K1364" s="13"/>
    </row>
    <row r="1365" spans="11:11" ht="15.75" customHeight="1" x14ac:dyDescent="0.2">
      <c r="K1365" s="13"/>
    </row>
    <row r="1366" spans="11:11" ht="15.75" customHeight="1" x14ac:dyDescent="0.2">
      <c r="K1366" s="13"/>
    </row>
    <row r="1367" spans="11:11" ht="15.75" customHeight="1" x14ac:dyDescent="0.2">
      <c r="K1367" s="13"/>
    </row>
    <row r="1368" spans="11:11" ht="15.75" customHeight="1" x14ac:dyDescent="0.2">
      <c r="K1368" s="13"/>
    </row>
    <row r="1369" spans="11:11" ht="15.75" customHeight="1" x14ac:dyDescent="0.2">
      <c r="K1369" s="13"/>
    </row>
    <row r="1370" spans="11:11" ht="15.75" customHeight="1" x14ac:dyDescent="0.2">
      <c r="K1370" s="13"/>
    </row>
    <row r="1371" spans="11:11" ht="15.75" customHeight="1" x14ac:dyDescent="0.2">
      <c r="K1371" s="13"/>
    </row>
    <row r="1372" spans="11:11" ht="15.75" customHeight="1" x14ac:dyDescent="0.2">
      <c r="K1372" s="13"/>
    </row>
    <row r="1373" spans="11:11" ht="15.75" customHeight="1" x14ac:dyDescent="0.2">
      <c r="K1373" s="13"/>
    </row>
    <row r="1374" spans="11:11" ht="15.75" customHeight="1" x14ac:dyDescent="0.2">
      <c r="K1374" s="13"/>
    </row>
    <row r="1375" spans="11:11" ht="15.75" customHeight="1" x14ac:dyDescent="0.2">
      <c r="K1375" s="13"/>
    </row>
    <row r="1376" spans="11:11" ht="15.75" customHeight="1" x14ac:dyDescent="0.2">
      <c r="K1376" s="13"/>
    </row>
    <row r="1377" spans="11:11" ht="15.75" customHeight="1" x14ac:dyDescent="0.2">
      <c r="K1377" s="13"/>
    </row>
    <row r="1378" spans="11:11" ht="15.75" customHeight="1" x14ac:dyDescent="0.2">
      <c r="K1378" s="13"/>
    </row>
    <row r="1379" spans="11:11" ht="15.75" customHeight="1" x14ac:dyDescent="0.2">
      <c r="K1379" s="13"/>
    </row>
    <row r="1380" spans="11:11" ht="15.75" customHeight="1" x14ac:dyDescent="0.2">
      <c r="K1380" s="13"/>
    </row>
    <row r="1381" spans="11:11" ht="15.75" customHeight="1" x14ac:dyDescent="0.2">
      <c r="K1381" s="13"/>
    </row>
    <row r="1382" spans="11:11" ht="15.75" customHeight="1" x14ac:dyDescent="0.2">
      <c r="K1382" s="13"/>
    </row>
    <row r="1383" spans="11:11" ht="15.75" customHeight="1" x14ac:dyDescent="0.2">
      <c r="K1383" s="13"/>
    </row>
    <row r="1384" spans="11:11" ht="15.75" customHeight="1" x14ac:dyDescent="0.2">
      <c r="K1384" s="13"/>
    </row>
    <row r="1385" spans="11:11" ht="15.75" customHeight="1" x14ac:dyDescent="0.2">
      <c r="K1385" s="13"/>
    </row>
    <row r="1386" spans="11:11" ht="15.75" customHeight="1" x14ac:dyDescent="0.2">
      <c r="K1386" s="13"/>
    </row>
    <row r="1387" spans="11:11" ht="15.75" customHeight="1" x14ac:dyDescent="0.2">
      <c r="K1387" s="13"/>
    </row>
    <row r="1388" spans="11:11" ht="15.75" customHeight="1" x14ac:dyDescent="0.2">
      <c r="K1388" s="13"/>
    </row>
    <row r="1389" spans="11:11" ht="15.75" customHeight="1" x14ac:dyDescent="0.2">
      <c r="K1389" s="13"/>
    </row>
    <row r="1390" spans="11:11" ht="15.75" customHeight="1" x14ac:dyDescent="0.2">
      <c r="K1390" s="13"/>
    </row>
    <row r="1391" spans="11:11" ht="15.75" customHeight="1" x14ac:dyDescent="0.2">
      <c r="K1391" s="13"/>
    </row>
    <row r="1392" spans="11:11" ht="15.75" customHeight="1" x14ac:dyDescent="0.2">
      <c r="K1392" s="13"/>
    </row>
    <row r="1393" spans="11:11" ht="15.75" customHeight="1" x14ac:dyDescent="0.2">
      <c r="K1393" s="13"/>
    </row>
    <row r="1394" spans="11:11" ht="15.75" customHeight="1" x14ac:dyDescent="0.2">
      <c r="K1394" s="13"/>
    </row>
    <row r="1395" spans="11:11" ht="15.75" customHeight="1" x14ac:dyDescent="0.2">
      <c r="K1395" s="13"/>
    </row>
    <row r="1396" spans="11:11" ht="15.75" customHeight="1" x14ac:dyDescent="0.2">
      <c r="K1396" s="13"/>
    </row>
    <row r="1397" spans="11:11" ht="15.75" customHeight="1" x14ac:dyDescent="0.2">
      <c r="K1397" s="13"/>
    </row>
    <row r="1398" spans="11:11" ht="15.75" customHeight="1" x14ac:dyDescent="0.2">
      <c r="K1398" s="13"/>
    </row>
    <row r="1399" spans="11:11" ht="15.75" customHeight="1" x14ac:dyDescent="0.2">
      <c r="K1399" s="13"/>
    </row>
    <row r="1400" spans="11:11" ht="15.75" customHeight="1" x14ac:dyDescent="0.2">
      <c r="K1400" s="13"/>
    </row>
    <row r="1401" spans="11:11" ht="15.75" customHeight="1" x14ac:dyDescent="0.2">
      <c r="K1401" s="13"/>
    </row>
    <row r="1402" spans="11:11" ht="15.75" customHeight="1" x14ac:dyDescent="0.2">
      <c r="K1402" s="13"/>
    </row>
    <row r="1403" spans="11:11" ht="15.75" customHeight="1" x14ac:dyDescent="0.2">
      <c r="K1403" s="13"/>
    </row>
    <row r="1404" spans="11:11" ht="15.75" customHeight="1" x14ac:dyDescent="0.2">
      <c r="K1404" s="13"/>
    </row>
    <row r="1405" spans="11:11" ht="15.75" customHeight="1" x14ac:dyDescent="0.2">
      <c r="K1405" s="13"/>
    </row>
    <row r="1406" spans="11:11" ht="15.75" customHeight="1" x14ac:dyDescent="0.2">
      <c r="K1406" s="13"/>
    </row>
    <row r="1407" spans="11:11" ht="15.75" customHeight="1" x14ac:dyDescent="0.2">
      <c r="K1407" s="13"/>
    </row>
    <row r="1408" spans="11:11" ht="15.75" customHeight="1" x14ac:dyDescent="0.2">
      <c r="K1408" s="13"/>
    </row>
    <row r="1409" spans="11:11" ht="15.75" customHeight="1" x14ac:dyDescent="0.2">
      <c r="K1409" s="13"/>
    </row>
    <row r="1410" spans="11:11" ht="15.75" customHeight="1" x14ac:dyDescent="0.2">
      <c r="K1410" s="13"/>
    </row>
    <row r="1411" spans="11:11" ht="15.75" customHeight="1" x14ac:dyDescent="0.2">
      <c r="K1411" s="13"/>
    </row>
    <row r="1412" spans="11:11" ht="15.75" customHeight="1" x14ac:dyDescent="0.2">
      <c r="K1412" s="13"/>
    </row>
    <row r="1413" spans="11:11" ht="15.75" customHeight="1" x14ac:dyDescent="0.2">
      <c r="K1413" s="13"/>
    </row>
    <row r="1414" spans="11:11" ht="15.75" customHeight="1" x14ac:dyDescent="0.2">
      <c r="K1414" s="13"/>
    </row>
    <row r="1415" spans="11:11" ht="15.75" customHeight="1" x14ac:dyDescent="0.2">
      <c r="K1415" s="13"/>
    </row>
    <row r="1416" spans="11:11" ht="15.75" customHeight="1" x14ac:dyDescent="0.2">
      <c r="K1416" s="13"/>
    </row>
    <row r="1417" spans="11:11" ht="15.75" customHeight="1" x14ac:dyDescent="0.2">
      <c r="K1417" s="13"/>
    </row>
    <row r="1418" spans="11:11" ht="15.75" customHeight="1" x14ac:dyDescent="0.2">
      <c r="K1418" s="13"/>
    </row>
    <row r="1419" spans="11:11" ht="15.75" customHeight="1" x14ac:dyDescent="0.2">
      <c r="K1419" s="13"/>
    </row>
    <row r="1420" spans="11:11" ht="15.75" customHeight="1" x14ac:dyDescent="0.2">
      <c r="K1420" s="13"/>
    </row>
    <row r="1421" spans="11:11" ht="15.75" customHeight="1" x14ac:dyDescent="0.2">
      <c r="K1421" s="13"/>
    </row>
    <row r="1422" spans="11:11" ht="15.75" customHeight="1" x14ac:dyDescent="0.2">
      <c r="K1422" s="13"/>
    </row>
    <row r="1423" spans="11:11" ht="15.75" customHeight="1" x14ac:dyDescent="0.2">
      <c r="K1423" s="13"/>
    </row>
    <row r="1424" spans="11:11" ht="15.75" customHeight="1" x14ac:dyDescent="0.2">
      <c r="K1424" s="13"/>
    </row>
    <row r="1425" spans="11:11" ht="15.75" customHeight="1" x14ac:dyDescent="0.2">
      <c r="K1425" s="13"/>
    </row>
    <row r="1426" spans="11:11" ht="15.75" customHeight="1" x14ac:dyDescent="0.2">
      <c r="K1426" s="13"/>
    </row>
    <row r="1427" spans="11:11" ht="15.75" customHeight="1" x14ac:dyDescent="0.2">
      <c r="K1427" s="13"/>
    </row>
    <row r="1428" spans="11:11" ht="15.75" customHeight="1" x14ac:dyDescent="0.2">
      <c r="K1428" s="13"/>
    </row>
    <row r="1429" spans="11:11" ht="15.75" customHeight="1" x14ac:dyDescent="0.2">
      <c r="K1429" s="13"/>
    </row>
    <row r="1430" spans="11:11" ht="15.75" customHeight="1" x14ac:dyDescent="0.2">
      <c r="K1430" s="13"/>
    </row>
    <row r="1431" spans="11:11" ht="15.75" customHeight="1" x14ac:dyDescent="0.2">
      <c r="K1431" s="13"/>
    </row>
    <row r="1432" spans="11:11" ht="15.75" customHeight="1" x14ac:dyDescent="0.2">
      <c r="K1432" s="13"/>
    </row>
    <row r="1433" spans="11:11" ht="15.75" customHeight="1" x14ac:dyDescent="0.2">
      <c r="K1433" s="13"/>
    </row>
    <row r="1434" spans="11:11" ht="15.75" customHeight="1" x14ac:dyDescent="0.2">
      <c r="K1434" s="13"/>
    </row>
    <row r="1435" spans="11:11" ht="15.75" customHeight="1" x14ac:dyDescent="0.2">
      <c r="K1435" s="13"/>
    </row>
    <row r="1436" spans="11:11" ht="15.75" customHeight="1" x14ac:dyDescent="0.2">
      <c r="K1436" s="13"/>
    </row>
    <row r="1437" spans="11:11" ht="15.75" customHeight="1" x14ac:dyDescent="0.2">
      <c r="K1437" s="13"/>
    </row>
    <row r="1438" spans="11:11" ht="15.75" customHeight="1" x14ac:dyDescent="0.2">
      <c r="K1438" s="13"/>
    </row>
    <row r="1439" spans="11:11" ht="15.75" customHeight="1" x14ac:dyDescent="0.2">
      <c r="K1439" s="13"/>
    </row>
    <row r="1440" spans="11:11" ht="15.75" customHeight="1" x14ac:dyDescent="0.2">
      <c r="K1440" s="13"/>
    </row>
    <row r="1441" spans="11:11" ht="15.75" customHeight="1" x14ac:dyDescent="0.2">
      <c r="K1441" s="13"/>
    </row>
    <row r="1442" spans="11:11" ht="15.75" customHeight="1" x14ac:dyDescent="0.2">
      <c r="K1442" s="13"/>
    </row>
    <row r="1443" spans="11:11" ht="15.75" customHeight="1" x14ac:dyDescent="0.2">
      <c r="K1443" s="13"/>
    </row>
    <row r="1444" spans="11:11" ht="15.75" customHeight="1" x14ac:dyDescent="0.2">
      <c r="K1444" s="13"/>
    </row>
    <row r="1445" spans="11:11" ht="15.75" customHeight="1" x14ac:dyDescent="0.2">
      <c r="K1445" s="13"/>
    </row>
    <row r="1446" spans="11:11" ht="15.75" customHeight="1" x14ac:dyDescent="0.2">
      <c r="K1446" s="13"/>
    </row>
    <row r="1447" spans="11:11" ht="15.75" customHeight="1" x14ac:dyDescent="0.2">
      <c r="K1447" s="13"/>
    </row>
    <row r="1448" spans="11:11" ht="15.75" customHeight="1" x14ac:dyDescent="0.2">
      <c r="K1448" s="13"/>
    </row>
    <row r="1449" spans="11:11" ht="15.75" customHeight="1" x14ac:dyDescent="0.2">
      <c r="K1449" s="13"/>
    </row>
    <row r="1450" spans="11:11" ht="15.75" customHeight="1" x14ac:dyDescent="0.2">
      <c r="K1450" s="13"/>
    </row>
    <row r="1451" spans="11:11" ht="15.75" customHeight="1" x14ac:dyDescent="0.2">
      <c r="K1451" s="13"/>
    </row>
    <row r="1452" spans="11:11" ht="15.75" customHeight="1" x14ac:dyDescent="0.2">
      <c r="K1452" s="13"/>
    </row>
    <row r="1453" spans="11:11" ht="15.75" customHeight="1" x14ac:dyDescent="0.2">
      <c r="K1453" s="13"/>
    </row>
    <row r="1454" spans="11:11" ht="15.75" customHeight="1" x14ac:dyDescent="0.2">
      <c r="K1454" s="13"/>
    </row>
    <row r="1455" spans="11:11" ht="15.75" customHeight="1" x14ac:dyDescent="0.2">
      <c r="K1455" s="13"/>
    </row>
    <row r="1456" spans="11:11" ht="15.75" customHeight="1" x14ac:dyDescent="0.2">
      <c r="K1456" s="13"/>
    </row>
    <row r="1457" spans="11:11" ht="15.75" customHeight="1" x14ac:dyDescent="0.2">
      <c r="K1457" s="13"/>
    </row>
    <row r="1458" spans="11:11" ht="15.75" customHeight="1" x14ac:dyDescent="0.2">
      <c r="K1458" s="13"/>
    </row>
    <row r="1459" spans="11:11" ht="15.75" customHeight="1" x14ac:dyDescent="0.2">
      <c r="K1459" s="13"/>
    </row>
    <row r="1460" spans="11:11" ht="15.75" customHeight="1" x14ac:dyDescent="0.2">
      <c r="K1460" s="13"/>
    </row>
    <row r="1461" spans="11:11" ht="15.75" customHeight="1" x14ac:dyDescent="0.2">
      <c r="K1461" s="13"/>
    </row>
    <row r="1462" spans="11:11" ht="15.75" customHeight="1" x14ac:dyDescent="0.2">
      <c r="K1462" s="13"/>
    </row>
    <row r="1463" spans="11:11" ht="15.75" customHeight="1" x14ac:dyDescent="0.2">
      <c r="K1463" s="13"/>
    </row>
    <row r="1464" spans="11:11" ht="15.75" customHeight="1" x14ac:dyDescent="0.2">
      <c r="K1464" s="13"/>
    </row>
    <row r="1465" spans="11:11" ht="15.75" customHeight="1" x14ac:dyDescent="0.2">
      <c r="K1465" s="13"/>
    </row>
    <row r="1466" spans="11:11" ht="15.75" customHeight="1" x14ac:dyDescent="0.2">
      <c r="K1466" s="13"/>
    </row>
    <row r="1467" spans="11:11" ht="15.75" customHeight="1" x14ac:dyDescent="0.2">
      <c r="K1467" s="13"/>
    </row>
    <row r="1468" spans="11:11" ht="15.75" customHeight="1" x14ac:dyDescent="0.2">
      <c r="K1468" s="13"/>
    </row>
    <row r="1469" spans="11:11" ht="15.75" customHeight="1" x14ac:dyDescent="0.2">
      <c r="K1469" s="13"/>
    </row>
    <row r="1470" spans="11:11" ht="15.75" customHeight="1" x14ac:dyDescent="0.2">
      <c r="K1470" s="13"/>
    </row>
    <row r="1471" spans="11:11" ht="15.75" customHeight="1" x14ac:dyDescent="0.2">
      <c r="K1471" s="13"/>
    </row>
    <row r="1472" spans="11:11" ht="15.75" customHeight="1" x14ac:dyDescent="0.2">
      <c r="K1472" s="13"/>
    </row>
    <row r="1473" spans="11:11" ht="15.75" customHeight="1" x14ac:dyDescent="0.2">
      <c r="K1473" s="13"/>
    </row>
    <row r="1474" spans="11:11" ht="15.75" customHeight="1" x14ac:dyDescent="0.2">
      <c r="K1474" s="13"/>
    </row>
    <row r="1475" spans="11:11" ht="15.75" customHeight="1" x14ac:dyDescent="0.2">
      <c r="K1475" s="13"/>
    </row>
    <row r="1476" spans="11:11" ht="15.75" customHeight="1" x14ac:dyDescent="0.2">
      <c r="K1476" s="13"/>
    </row>
    <row r="1477" spans="11:11" ht="15.75" customHeight="1" x14ac:dyDescent="0.2">
      <c r="K1477" s="13"/>
    </row>
    <row r="1478" spans="11:11" ht="15.75" customHeight="1" x14ac:dyDescent="0.2">
      <c r="K1478" s="13"/>
    </row>
    <row r="1479" spans="11:11" ht="15.75" customHeight="1" x14ac:dyDescent="0.2">
      <c r="K1479" s="13"/>
    </row>
    <row r="1480" spans="11:11" ht="15.75" customHeight="1" x14ac:dyDescent="0.2">
      <c r="K1480" s="13"/>
    </row>
    <row r="1481" spans="11:11" ht="15.75" customHeight="1" x14ac:dyDescent="0.2">
      <c r="K1481" s="13"/>
    </row>
    <row r="1482" spans="11:11" ht="15.75" customHeight="1" x14ac:dyDescent="0.2">
      <c r="K1482" s="13"/>
    </row>
    <row r="1483" spans="11:11" ht="15.75" customHeight="1" x14ac:dyDescent="0.2">
      <c r="K1483" s="13"/>
    </row>
    <row r="1484" spans="11:11" ht="15.75" customHeight="1" x14ac:dyDescent="0.2">
      <c r="K1484" s="13"/>
    </row>
    <row r="1485" spans="11:11" ht="15.75" customHeight="1" x14ac:dyDescent="0.2">
      <c r="K1485" s="13"/>
    </row>
    <row r="1486" spans="11:11" ht="15.75" customHeight="1" x14ac:dyDescent="0.2">
      <c r="K1486" s="13"/>
    </row>
    <row r="1487" spans="11:11" ht="15.75" customHeight="1" x14ac:dyDescent="0.2">
      <c r="K1487" s="13"/>
    </row>
    <row r="1488" spans="11:11" ht="15.75" customHeight="1" x14ac:dyDescent="0.2">
      <c r="K1488" s="13"/>
    </row>
    <row r="1489" spans="11:11" ht="15.75" customHeight="1" x14ac:dyDescent="0.2">
      <c r="K1489" s="13"/>
    </row>
    <row r="1490" spans="11:11" ht="15.75" customHeight="1" x14ac:dyDescent="0.2">
      <c r="K1490" s="13"/>
    </row>
    <row r="1491" spans="11:11" ht="15.75" customHeight="1" x14ac:dyDescent="0.2">
      <c r="K1491" s="13"/>
    </row>
    <row r="1492" spans="11:11" ht="15.75" customHeight="1" x14ac:dyDescent="0.2">
      <c r="K1492" s="13"/>
    </row>
    <row r="1493" spans="11:11" ht="15.75" customHeight="1" x14ac:dyDescent="0.2">
      <c r="K1493" s="13"/>
    </row>
    <row r="1494" spans="11:11" ht="15.75" customHeight="1" x14ac:dyDescent="0.2">
      <c r="K1494" s="13"/>
    </row>
    <row r="1495" spans="11:11" ht="15.75" customHeight="1" x14ac:dyDescent="0.2">
      <c r="K1495" s="13"/>
    </row>
    <row r="1496" spans="11:11" ht="15.75" customHeight="1" x14ac:dyDescent="0.2">
      <c r="K1496" s="13"/>
    </row>
    <row r="1497" spans="11:11" ht="15.75" customHeight="1" x14ac:dyDescent="0.2">
      <c r="K1497" s="13"/>
    </row>
    <row r="1498" spans="11:11" ht="15.75" customHeight="1" x14ac:dyDescent="0.2">
      <c r="K1498" s="13"/>
    </row>
    <row r="1499" spans="11:11" ht="15.75" customHeight="1" x14ac:dyDescent="0.2">
      <c r="K1499" s="13"/>
    </row>
    <row r="1500" spans="11:11" ht="15.75" customHeight="1" x14ac:dyDescent="0.2">
      <c r="K1500" s="13"/>
    </row>
    <row r="1501" spans="11:11" ht="15.75" customHeight="1" x14ac:dyDescent="0.2">
      <c r="K1501" s="13"/>
    </row>
    <row r="1502" spans="11:11" ht="15.75" customHeight="1" x14ac:dyDescent="0.2">
      <c r="K1502" s="13"/>
    </row>
    <row r="1503" spans="11:11" ht="15.75" customHeight="1" x14ac:dyDescent="0.2">
      <c r="K1503" s="13"/>
    </row>
    <row r="1504" spans="11:11" ht="15.75" customHeight="1" x14ac:dyDescent="0.2">
      <c r="K1504" s="13"/>
    </row>
    <row r="1505" spans="11:11" ht="15.75" customHeight="1" x14ac:dyDescent="0.2">
      <c r="K1505" s="13"/>
    </row>
    <row r="1506" spans="11:11" ht="15.75" customHeight="1" x14ac:dyDescent="0.2">
      <c r="K1506" s="13"/>
    </row>
    <row r="1507" spans="11:11" ht="15.75" customHeight="1" x14ac:dyDescent="0.2">
      <c r="K1507" s="13"/>
    </row>
    <row r="1508" spans="11:11" ht="15.75" customHeight="1" x14ac:dyDescent="0.2">
      <c r="K1508" s="13"/>
    </row>
    <row r="1509" spans="11:11" ht="15.75" customHeight="1" x14ac:dyDescent="0.2">
      <c r="K1509" s="13"/>
    </row>
    <row r="1510" spans="11:11" ht="15.75" customHeight="1" x14ac:dyDescent="0.2">
      <c r="K1510" s="13"/>
    </row>
    <row r="1511" spans="11:11" ht="15.75" customHeight="1" x14ac:dyDescent="0.2">
      <c r="K1511" s="13"/>
    </row>
    <row r="1512" spans="11:11" ht="15.75" customHeight="1" x14ac:dyDescent="0.2">
      <c r="K1512" s="13"/>
    </row>
    <row r="1513" spans="11:11" ht="15.75" customHeight="1" x14ac:dyDescent="0.2">
      <c r="K1513" s="13"/>
    </row>
    <row r="1514" spans="11:11" ht="15.75" customHeight="1" x14ac:dyDescent="0.2">
      <c r="K1514" s="13"/>
    </row>
    <row r="1515" spans="11:11" ht="15.75" customHeight="1" x14ac:dyDescent="0.2">
      <c r="K1515" s="13"/>
    </row>
    <row r="1516" spans="11:11" ht="15.75" customHeight="1" x14ac:dyDescent="0.2">
      <c r="K1516" s="13"/>
    </row>
    <row r="1517" spans="11:11" ht="15.75" customHeight="1" x14ac:dyDescent="0.2">
      <c r="K1517" s="13"/>
    </row>
    <row r="1518" spans="11:11" ht="15.75" customHeight="1" x14ac:dyDescent="0.2">
      <c r="K1518" s="13"/>
    </row>
    <row r="1519" spans="11:11" ht="15.75" customHeight="1" x14ac:dyDescent="0.2">
      <c r="K1519" s="13"/>
    </row>
    <row r="1520" spans="11:11" ht="15.75" customHeight="1" x14ac:dyDescent="0.2">
      <c r="K1520" s="13"/>
    </row>
    <row r="1521" spans="11:11" ht="15.75" customHeight="1" x14ac:dyDescent="0.2">
      <c r="K1521" s="13"/>
    </row>
    <row r="1522" spans="11:11" ht="15.75" customHeight="1" x14ac:dyDescent="0.2">
      <c r="K1522" s="13"/>
    </row>
    <row r="1523" spans="11:11" ht="15.75" customHeight="1" x14ac:dyDescent="0.2">
      <c r="K1523" s="13"/>
    </row>
    <row r="1524" spans="11:11" ht="15.75" customHeight="1" x14ac:dyDescent="0.2">
      <c r="K1524" s="13"/>
    </row>
    <row r="1525" spans="11:11" ht="15.75" customHeight="1" x14ac:dyDescent="0.2">
      <c r="K1525" s="13"/>
    </row>
    <row r="1526" spans="11:11" ht="15.75" customHeight="1" x14ac:dyDescent="0.2">
      <c r="K1526" s="13"/>
    </row>
    <row r="1527" spans="11:11" ht="15.75" customHeight="1" x14ac:dyDescent="0.2">
      <c r="K1527" s="13"/>
    </row>
    <row r="1528" spans="11:11" ht="15.75" customHeight="1" x14ac:dyDescent="0.2">
      <c r="K1528" s="13"/>
    </row>
    <row r="1529" spans="11:11" ht="15.75" customHeight="1" x14ac:dyDescent="0.2">
      <c r="K1529" s="13"/>
    </row>
    <row r="1530" spans="11:11" ht="15.75" customHeight="1" x14ac:dyDescent="0.2">
      <c r="K1530" s="13"/>
    </row>
    <row r="1531" spans="11:11" ht="15.75" customHeight="1" x14ac:dyDescent="0.2">
      <c r="K1531" s="13"/>
    </row>
    <row r="1532" spans="11:11" ht="15.75" customHeight="1" x14ac:dyDescent="0.2">
      <c r="K1532" s="13"/>
    </row>
    <row r="1533" spans="11:11" ht="15.75" customHeight="1" x14ac:dyDescent="0.2">
      <c r="K1533" s="13"/>
    </row>
    <row r="1534" spans="11:11" ht="15.75" customHeight="1" x14ac:dyDescent="0.2">
      <c r="K1534" s="13"/>
    </row>
    <row r="1535" spans="11:11" ht="15.75" customHeight="1" x14ac:dyDescent="0.2">
      <c r="K1535" s="13"/>
    </row>
    <row r="1536" spans="11:11" ht="15.75" customHeight="1" x14ac:dyDescent="0.2">
      <c r="K1536" s="13"/>
    </row>
    <row r="1537" spans="11:11" ht="15.75" customHeight="1" x14ac:dyDescent="0.2">
      <c r="K1537" s="13"/>
    </row>
    <row r="1538" spans="11:11" ht="15.75" customHeight="1" x14ac:dyDescent="0.2">
      <c r="K1538" s="13"/>
    </row>
    <row r="1539" spans="11:11" ht="15.75" customHeight="1" x14ac:dyDescent="0.2">
      <c r="K1539" s="13"/>
    </row>
    <row r="1540" spans="11:11" ht="15.75" customHeight="1" x14ac:dyDescent="0.2">
      <c r="K1540" s="13"/>
    </row>
    <row r="1541" spans="11:11" ht="15.75" customHeight="1" x14ac:dyDescent="0.2">
      <c r="K1541" s="13"/>
    </row>
    <row r="1542" spans="11:11" ht="15.75" customHeight="1" x14ac:dyDescent="0.2">
      <c r="K1542" s="13"/>
    </row>
    <row r="1543" spans="11:11" ht="15.75" customHeight="1" x14ac:dyDescent="0.2">
      <c r="K1543" s="13"/>
    </row>
    <row r="1544" spans="11:11" ht="15.75" customHeight="1" x14ac:dyDescent="0.2">
      <c r="K1544" s="13"/>
    </row>
    <row r="1545" spans="11:11" ht="15.75" customHeight="1" x14ac:dyDescent="0.2">
      <c r="K1545" s="13"/>
    </row>
    <row r="1546" spans="11:11" ht="15.75" customHeight="1" x14ac:dyDescent="0.2">
      <c r="K1546" s="13"/>
    </row>
    <row r="1547" spans="11:11" ht="15.75" customHeight="1" x14ac:dyDescent="0.2">
      <c r="K1547" s="13"/>
    </row>
    <row r="1548" spans="11:11" ht="15.75" customHeight="1" x14ac:dyDescent="0.2">
      <c r="K1548" s="13"/>
    </row>
    <row r="1549" spans="11:11" ht="15.75" customHeight="1" x14ac:dyDescent="0.2">
      <c r="K1549" s="13"/>
    </row>
    <row r="1550" spans="11:11" ht="15.75" customHeight="1" x14ac:dyDescent="0.2">
      <c r="K1550" s="13"/>
    </row>
    <row r="1551" spans="11:11" ht="15.75" customHeight="1" x14ac:dyDescent="0.2">
      <c r="K1551" s="13"/>
    </row>
    <row r="1552" spans="11:11" ht="15.75" customHeight="1" x14ac:dyDescent="0.2">
      <c r="K1552" s="13"/>
    </row>
    <row r="1553" spans="11:11" ht="15.75" customHeight="1" x14ac:dyDescent="0.2">
      <c r="K1553" s="13"/>
    </row>
    <row r="1554" spans="11:11" ht="15.75" customHeight="1" x14ac:dyDescent="0.2">
      <c r="K1554" s="13"/>
    </row>
    <row r="1555" spans="11:11" ht="15.75" customHeight="1" x14ac:dyDescent="0.2">
      <c r="K1555" s="13"/>
    </row>
    <row r="1556" spans="11:11" ht="15.75" customHeight="1" x14ac:dyDescent="0.2">
      <c r="K1556" s="13"/>
    </row>
    <row r="1557" spans="11:11" ht="15.75" customHeight="1" x14ac:dyDescent="0.2">
      <c r="K1557" s="13"/>
    </row>
    <row r="1558" spans="11:11" ht="15.75" customHeight="1" x14ac:dyDescent="0.2">
      <c r="K1558" s="13"/>
    </row>
    <row r="1559" spans="11:11" ht="15.75" customHeight="1" x14ac:dyDescent="0.2">
      <c r="K1559" s="13"/>
    </row>
    <row r="1560" spans="11:11" ht="15.75" customHeight="1" x14ac:dyDescent="0.2">
      <c r="K1560" s="13"/>
    </row>
    <row r="1561" spans="11:11" ht="15.75" customHeight="1" x14ac:dyDescent="0.2">
      <c r="K1561" s="13"/>
    </row>
    <row r="1562" spans="11:11" ht="15.75" customHeight="1" x14ac:dyDescent="0.2">
      <c r="K1562" s="13"/>
    </row>
    <row r="1563" spans="11:11" ht="15.75" customHeight="1" x14ac:dyDescent="0.2">
      <c r="K1563" s="13"/>
    </row>
    <row r="1564" spans="11:11" ht="15.75" customHeight="1" x14ac:dyDescent="0.2">
      <c r="K1564" s="13"/>
    </row>
    <row r="1565" spans="11:11" ht="15.75" customHeight="1" x14ac:dyDescent="0.2">
      <c r="K1565" s="13"/>
    </row>
    <row r="1566" spans="11:11" ht="15.75" customHeight="1" x14ac:dyDescent="0.2">
      <c r="K1566" s="13"/>
    </row>
    <row r="1567" spans="11:11" ht="15.75" customHeight="1" x14ac:dyDescent="0.2">
      <c r="K1567" s="13"/>
    </row>
    <row r="1568" spans="11:11" ht="15.75" customHeight="1" x14ac:dyDescent="0.2">
      <c r="K1568" s="13"/>
    </row>
    <row r="1569" spans="11:11" ht="15.75" customHeight="1" x14ac:dyDescent="0.2">
      <c r="K1569" s="13"/>
    </row>
    <row r="1570" spans="11:11" ht="15.75" customHeight="1" x14ac:dyDescent="0.2">
      <c r="K1570" s="13"/>
    </row>
    <row r="1571" spans="11:11" ht="15.75" customHeight="1" x14ac:dyDescent="0.2">
      <c r="K1571" s="13"/>
    </row>
    <row r="1572" spans="11:11" ht="15.75" customHeight="1" x14ac:dyDescent="0.2">
      <c r="K1572" s="13"/>
    </row>
    <row r="1573" spans="11:11" ht="15.75" customHeight="1" x14ac:dyDescent="0.2">
      <c r="K1573" s="13"/>
    </row>
    <row r="1574" spans="11:11" ht="15.75" customHeight="1" x14ac:dyDescent="0.2">
      <c r="K1574" s="13"/>
    </row>
    <row r="1575" spans="11:11" ht="15.75" customHeight="1" x14ac:dyDescent="0.2">
      <c r="K1575" s="13"/>
    </row>
    <row r="1576" spans="11:11" ht="15.75" customHeight="1" x14ac:dyDescent="0.2">
      <c r="K1576" s="13"/>
    </row>
    <row r="1577" spans="11:11" ht="15.75" customHeight="1" x14ac:dyDescent="0.2">
      <c r="K1577" s="13"/>
    </row>
    <row r="1578" spans="11:11" ht="15.75" customHeight="1" x14ac:dyDescent="0.2">
      <c r="K1578" s="13"/>
    </row>
    <row r="1579" spans="11:11" ht="15.75" customHeight="1" x14ac:dyDescent="0.2">
      <c r="K1579" s="13"/>
    </row>
    <row r="1580" spans="11:11" ht="15.75" customHeight="1" x14ac:dyDescent="0.2">
      <c r="K1580" s="13"/>
    </row>
    <row r="1581" spans="11:11" ht="15.75" customHeight="1" x14ac:dyDescent="0.2">
      <c r="K1581" s="13"/>
    </row>
    <row r="1582" spans="11:11" ht="15.75" customHeight="1" x14ac:dyDescent="0.2">
      <c r="K1582" s="13"/>
    </row>
    <row r="1583" spans="11:11" ht="15.75" customHeight="1" x14ac:dyDescent="0.2">
      <c r="K1583" s="13"/>
    </row>
    <row r="1584" spans="11:11" ht="15.75" customHeight="1" x14ac:dyDescent="0.2">
      <c r="K1584" s="13"/>
    </row>
    <row r="1585" spans="11:11" ht="15.75" customHeight="1" x14ac:dyDescent="0.2">
      <c r="K1585" s="13"/>
    </row>
    <row r="1586" spans="11:11" ht="15.75" customHeight="1" x14ac:dyDescent="0.2">
      <c r="K1586" s="13"/>
    </row>
    <row r="1587" spans="11:11" ht="15.75" customHeight="1" x14ac:dyDescent="0.2">
      <c r="K1587" s="13"/>
    </row>
    <row r="1588" spans="11:11" ht="15.75" customHeight="1" x14ac:dyDescent="0.2">
      <c r="K1588" s="13"/>
    </row>
    <row r="1589" spans="11:11" ht="15.75" customHeight="1" x14ac:dyDescent="0.2">
      <c r="K1589" s="13"/>
    </row>
    <row r="1590" spans="11:11" ht="15.75" customHeight="1" x14ac:dyDescent="0.2">
      <c r="K1590" s="13"/>
    </row>
    <row r="1591" spans="11:11" ht="15.75" customHeight="1" x14ac:dyDescent="0.2">
      <c r="K1591" s="13"/>
    </row>
    <row r="1592" spans="11:11" ht="15.75" customHeight="1" x14ac:dyDescent="0.2">
      <c r="K1592" s="13"/>
    </row>
    <row r="1593" spans="11:11" ht="15.75" customHeight="1" x14ac:dyDescent="0.2">
      <c r="K1593" s="13"/>
    </row>
    <row r="1594" spans="11:11" ht="15.75" customHeight="1" x14ac:dyDescent="0.2">
      <c r="K1594" s="13"/>
    </row>
    <row r="1595" spans="11:11" ht="15.75" customHeight="1" x14ac:dyDescent="0.2">
      <c r="K1595" s="13"/>
    </row>
    <row r="1596" spans="11:11" ht="15.75" customHeight="1" x14ac:dyDescent="0.2">
      <c r="K1596" s="13"/>
    </row>
    <row r="1597" spans="11:11" ht="15.75" customHeight="1" x14ac:dyDescent="0.2">
      <c r="K1597" s="13"/>
    </row>
    <row r="1598" spans="11:11" ht="15.75" customHeight="1" x14ac:dyDescent="0.2">
      <c r="K1598" s="13"/>
    </row>
    <row r="1599" spans="11:11" ht="15.75" customHeight="1" x14ac:dyDescent="0.2">
      <c r="K1599" s="13"/>
    </row>
    <row r="1600" spans="11:11" ht="15.75" customHeight="1" x14ac:dyDescent="0.2">
      <c r="K1600" s="13"/>
    </row>
    <row r="1601" spans="11:11" ht="15.75" customHeight="1" x14ac:dyDescent="0.2">
      <c r="K1601" s="13"/>
    </row>
    <row r="1602" spans="11:11" ht="15.75" customHeight="1" x14ac:dyDescent="0.2">
      <c r="K1602" s="13"/>
    </row>
    <row r="1603" spans="11:11" ht="15.75" customHeight="1" x14ac:dyDescent="0.2">
      <c r="K1603" s="13"/>
    </row>
    <row r="1604" spans="11:11" ht="15.75" customHeight="1" x14ac:dyDescent="0.2">
      <c r="K1604" s="13"/>
    </row>
    <row r="1605" spans="11:11" ht="15.75" customHeight="1" x14ac:dyDescent="0.2">
      <c r="K1605" s="13"/>
    </row>
    <row r="1606" spans="11:11" ht="15.75" customHeight="1" x14ac:dyDescent="0.2">
      <c r="K1606" s="13"/>
    </row>
    <row r="1607" spans="11:11" ht="15.75" customHeight="1" x14ac:dyDescent="0.2">
      <c r="K1607" s="13"/>
    </row>
    <row r="1608" spans="11:11" ht="15.75" customHeight="1" x14ac:dyDescent="0.2">
      <c r="K1608" s="13"/>
    </row>
    <row r="1609" spans="11:11" ht="15.75" customHeight="1" x14ac:dyDescent="0.2">
      <c r="K1609" s="13"/>
    </row>
    <row r="1610" spans="11:11" ht="15.75" customHeight="1" x14ac:dyDescent="0.2">
      <c r="K1610" s="13"/>
    </row>
    <row r="1611" spans="11:11" ht="15.75" customHeight="1" x14ac:dyDescent="0.2">
      <c r="K1611" s="13"/>
    </row>
    <row r="1612" spans="11:11" ht="15.75" customHeight="1" x14ac:dyDescent="0.2">
      <c r="K1612" s="13"/>
    </row>
    <row r="1613" spans="11:11" ht="15.75" customHeight="1" x14ac:dyDescent="0.2">
      <c r="K1613" s="13"/>
    </row>
    <row r="1614" spans="11:11" ht="15.75" customHeight="1" x14ac:dyDescent="0.2">
      <c r="K1614" s="13"/>
    </row>
    <row r="1615" spans="11:11" ht="15.75" customHeight="1" x14ac:dyDescent="0.2">
      <c r="K1615" s="13"/>
    </row>
    <row r="1616" spans="11:11" ht="15.75" customHeight="1" x14ac:dyDescent="0.2">
      <c r="K1616" s="13"/>
    </row>
    <row r="1617" spans="11:11" ht="15.75" customHeight="1" x14ac:dyDescent="0.2">
      <c r="K1617" s="13"/>
    </row>
    <row r="1618" spans="11:11" ht="15.75" customHeight="1" x14ac:dyDescent="0.2">
      <c r="K1618" s="13"/>
    </row>
    <row r="1619" spans="11:11" ht="15.75" customHeight="1" x14ac:dyDescent="0.2">
      <c r="K1619" s="13"/>
    </row>
    <row r="1620" spans="11:11" ht="15.75" customHeight="1" x14ac:dyDescent="0.2">
      <c r="K1620" s="13"/>
    </row>
    <row r="1621" spans="11:11" ht="15.75" customHeight="1" x14ac:dyDescent="0.2">
      <c r="K1621" s="13"/>
    </row>
    <row r="1622" spans="11:11" ht="15.75" customHeight="1" x14ac:dyDescent="0.2">
      <c r="K1622" s="13"/>
    </row>
    <row r="1623" spans="11:11" ht="15.75" customHeight="1" x14ac:dyDescent="0.2">
      <c r="K1623" s="13"/>
    </row>
    <row r="1624" spans="11:11" ht="15.75" customHeight="1" x14ac:dyDescent="0.2">
      <c r="K1624" s="13"/>
    </row>
    <row r="1625" spans="11:11" ht="15.75" customHeight="1" x14ac:dyDescent="0.2">
      <c r="K1625" s="13"/>
    </row>
    <row r="1626" spans="11:11" ht="15.75" customHeight="1" x14ac:dyDescent="0.2">
      <c r="K1626" s="13"/>
    </row>
    <row r="1627" spans="11:11" ht="15.75" customHeight="1" x14ac:dyDescent="0.2">
      <c r="K1627" s="13"/>
    </row>
    <row r="1628" spans="11:11" ht="15.75" customHeight="1" x14ac:dyDescent="0.2">
      <c r="K1628" s="13"/>
    </row>
    <row r="1629" spans="11:11" ht="15.75" customHeight="1" x14ac:dyDescent="0.2">
      <c r="K1629" s="13"/>
    </row>
    <row r="1630" spans="11:11" ht="15.75" customHeight="1" x14ac:dyDescent="0.2">
      <c r="K1630" s="13"/>
    </row>
    <row r="1631" spans="11:11" ht="15.75" customHeight="1" x14ac:dyDescent="0.2">
      <c r="K1631" s="13"/>
    </row>
    <row r="1632" spans="11:11" ht="15.75" customHeight="1" x14ac:dyDescent="0.2">
      <c r="K1632" s="13"/>
    </row>
    <row r="1633" spans="11:11" ht="15.75" customHeight="1" x14ac:dyDescent="0.2">
      <c r="K1633" s="13"/>
    </row>
    <row r="1634" spans="11:11" ht="15.75" customHeight="1" x14ac:dyDescent="0.2">
      <c r="K1634" s="13"/>
    </row>
    <row r="1635" spans="11:11" ht="15.75" customHeight="1" x14ac:dyDescent="0.2">
      <c r="K1635" s="13"/>
    </row>
    <row r="1636" spans="11:11" ht="15.75" customHeight="1" x14ac:dyDescent="0.2">
      <c r="K1636" s="13"/>
    </row>
    <row r="1637" spans="11:11" ht="15.75" customHeight="1" x14ac:dyDescent="0.2">
      <c r="K1637" s="13"/>
    </row>
    <row r="1638" spans="11:11" ht="15.75" customHeight="1" x14ac:dyDescent="0.2">
      <c r="K1638" s="13"/>
    </row>
    <row r="1639" spans="11:11" ht="15.75" customHeight="1" x14ac:dyDescent="0.2">
      <c r="K1639" s="13"/>
    </row>
    <row r="1640" spans="11:11" ht="15.75" customHeight="1" x14ac:dyDescent="0.2">
      <c r="K1640" s="13"/>
    </row>
    <row r="1641" spans="11:11" ht="15.75" customHeight="1" x14ac:dyDescent="0.2">
      <c r="K1641" s="13"/>
    </row>
    <row r="1642" spans="11:11" ht="15.75" customHeight="1" x14ac:dyDescent="0.2">
      <c r="K1642" s="13"/>
    </row>
    <row r="1643" spans="11:11" ht="15.75" customHeight="1" x14ac:dyDescent="0.2">
      <c r="K1643" s="13"/>
    </row>
    <row r="1644" spans="11:11" ht="15.75" customHeight="1" x14ac:dyDescent="0.2">
      <c r="K1644" s="13"/>
    </row>
    <row r="1645" spans="11:11" ht="15.75" customHeight="1" x14ac:dyDescent="0.2">
      <c r="K1645" s="13"/>
    </row>
    <row r="1646" spans="11:11" ht="15.75" customHeight="1" x14ac:dyDescent="0.2">
      <c r="K1646" s="13"/>
    </row>
    <row r="1647" spans="11:11" ht="15.75" customHeight="1" x14ac:dyDescent="0.2">
      <c r="K1647" s="13"/>
    </row>
    <row r="1648" spans="11:11" ht="15.75" customHeight="1" x14ac:dyDescent="0.2">
      <c r="K1648" s="13"/>
    </row>
    <row r="1649" spans="11:11" ht="15.75" customHeight="1" x14ac:dyDescent="0.2">
      <c r="K1649" s="13"/>
    </row>
    <row r="1650" spans="11:11" ht="15.75" customHeight="1" x14ac:dyDescent="0.2">
      <c r="K1650" s="13"/>
    </row>
    <row r="1651" spans="11:11" ht="15.75" customHeight="1" x14ac:dyDescent="0.2">
      <c r="K1651" s="13"/>
    </row>
    <row r="1652" spans="11:11" ht="15.75" customHeight="1" x14ac:dyDescent="0.2">
      <c r="K1652" s="13"/>
    </row>
    <row r="1653" spans="11:11" ht="15.75" customHeight="1" x14ac:dyDescent="0.2">
      <c r="K1653" s="13"/>
    </row>
    <row r="1654" spans="11:11" ht="15.75" customHeight="1" x14ac:dyDescent="0.2">
      <c r="K1654" s="13"/>
    </row>
    <row r="1655" spans="11:11" ht="15.75" customHeight="1" x14ac:dyDescent="0.2">
      <c r="K1655" s="13"/>
    </row>
    <row r="1656" spans="11:11" ht="15.75" customHeight="1" x14ac:dyDescent="0.2">
      <c r="K1656" s="13"/>
    </row>
    <row r="1657" spans="11:11" ht="15.75" customHeight="1" x14ac:dyDescent="0.2">
      <c r="K1657" s="13"/>
    </row>
    <row r="1658" spans="11:11" ht="15.75" customHeight="1" x14ac:dyDescent="0.2">
      <c r="K1658" s="13"/>
    </row>
    <row r="1659" spans="11:11" ht="15.75" customHeight="1" x14ac:dyDescent="0.2">
      <c r="K1659" s="13"/>
    </row>
    <row r="1660" spans="11:11" ht="15.75" customHeight="1" x14ac:dyDescent="0.2">
      <c r="K1660" s="13"/>
    </row>
    <row r="1661" spans="11:11" ht="15.75" customHeight="1" x14ac:dyDescent="0.2">
      <c r="K1661" s="13"/>
    </row>
    <row r="1662" spans="11:11" ht="15.75" customHeight="1" x14ac:dyDescent="0.2">
      <c r="K1662" s="13"/>
    </row>
    <row r="1663" spans="11:11" ht="15.75" customHeight="1" x14ac:dyDescent="0.2">
      <c r="K1663" s="13"/>
    </row>
    <row r="1664" spans="11:11" ht="15.75" customHeight="1" x14ac:dyDescent="0.2">
      <c r="K1664" s="13"/>
    </row>
    <row r="1665" spans="11:11" ht="15.75" customHeight="1" x14ac:dyDescent="0.2">
      <c r="K1665" s="13"/>
    </row>
    <row r="1666" spans="11:11" ht="15.75" customHeight="1" x14ac:dyDescent="0.2">
      <c r="K1666" s="13"/>
    </row>
    <row r="1667" spans="11:11" ht="15.75" customHeight="1" x14ac:dyDescent="0.2">
      <c r="K1667" s="13"/>
    </row>
    <row r="1668" spans="11:11" ht="15.75" customHeight="1" x14ac:dyDescent="0.2">
      <c r="K1668" s="13"/>
    </row>
    <row r="1669" spans="11:11" ht="15.75" customHeight="1" x14ac:dyDescent="0.2">
      <c r="K1669" s="13"/>
    </row>
    <row r="1670" spans="11:11" ht="15.75" customHeight="1" x14ac:dyDescent="0.2">
      <c r="K1670" s="13"/>
    </row>
    <row r="1671" spans="11:11" ht="15.75" customHeight="1" x14ac:dyDescent="0.2">
      <c r="K1671" s="13"/>
    </row>
    <row r="1672" spans="11:11" ht="15.75" customHeight="1" x14ac:dyDescent="0.2">
      <c r="K1672" s="13"/>
    </row>
    <row r="1673" spans="11:11" ht="15.75" customHeight="1" x14ac:dyDescent="0.2">
      <c r="K1673" s="13"/>
    </row>
    <row r="1674" spans="11:11" ht="15.75" customHeight="1" x14ac:dyDescent="0.2">
      <c r="K1674" s="13"/>
    </row>
    <row r="1675" spans="11:11" ht="15.75" customHeight="1" x14ac:dyDescent="0.2">
      <c r="K1675" s="13"/>
    </row>
    <row r="1676" spans="11:11" ht="15.75" customHeight="1" x14ac:dyDescent="0.2">
      <c r="K1676" s="13"/>
    </row>
    <row r="1677" spans="11:11" ht="15.75" customHeight="1" x14ac:dyDescent="0.2">
      <c r="K1677" s="13"/>
    </row>
    <row r="1678" spans="11:11" ht="15.75" customHeight="1" x14ac:dyDescent="0.2">
      <c r="K1678" s="13"/>
    </row>
    <row r="1679" spans="11:11" ht="15.75" customHeight="1" x14ac:dyDescent="0.2">
      <c r="K1679" s="13"/>
    </row>
    <row r="1680" spans="11:11" ht="15.75" customHeight="1" x14ac:dyDescent="0.2">
      <c r="K1680" s="13"/>
    </row>
    <row r="1681" spans="11:11" ht="15.75" customHeight="1" x14ac:dyDescent="0.2">
      <c r="K1681" s="13"/>
    </row>
    <row r="1682" spans="11:11" ht="15.75" customHeight="1" x14ac:dyDescent="0.2">
      <c r="K1682" s="13"/>
    </row>
    <row r="1683" spans="11:11" ht="15.75" customHeight="1" x14ac:dyDescent="0.2">
      <c r="K1683" s="13"/>
    </row>
    <row r="1684" spans="11:11" ht="15.75" customHeight="1" x14ac:dyDescent="0.2">
      <c r="K1684" s="13"/>
    </row>
    <row r="1685" spans="11:11" ht="15.75" customHeight="1" x14ac:dyDescent="0.2">
      <c r="K1685" s="13"/>
    </row>
    <row r="1686" spans="11:11" ht="15.75" customHeight="1" x14ac:dyDescent="0.2">
      <c r="K1686" s="13"/>
    </row>
    <row r="1687" spans="11:11" ht="15.75" customHeight="1" x14ac:dyDescent="0.2">
      <c r="K1687" s="13"/>
    </row>
    <row r="1688" spans="11:11" ht="15.75" customHeight="1" x14ac:dyDescent="0.2">
      <c r="K1688" s="13"/>
    </row>
    <row r="1689" spans="11:11" ht="15.75" customHeight="1" x14ac:dyDescent="0.2">
      <c r="K1689" s="13"/>
    </row>
    <row r="1690" spans="11:11" ht="15.75" customHeight="1" x14ac:dyDescent="0.2">
      <c r="K1690" s="13"/>
    </row>
    <row r="1691" spans="11:11" ht="15.75" customHeight="1" x14ac:dyDescent="0.2">
      <c r="K1691" s="13"/>
    </row>
    <row r="1692" spans="11:11" ht="15.75" customHeight="1" x14ac:dyDescent="0.2">
      <c r="K1692" s="13"/>
    </row>
    <row r="1693" spans="11:11" ht="15.75" customHeight="1" x14ac:dyDescent="0.2">
      <c r="K1693" s="13"/>
    </row>
    <row r="1694" spans="11:11" ht="15.75" customHeight="1" x14ac:dyDescent="0.2">
      <c r="K1694" s="13"/>
    </row>
    <row r="1695" spans="11:11" ht="15.75" customHeight="1" x14ac:dyDescent="0.2">
      <c r="K1695" s="13"/>
    </row>
    <row r="1696" spans="11:11" ht="15.75" customHeight="1" x14ac:dyDescent="0.2">
      <c r="K1696" s="13"/>
    </row>
    <row r="1697" spans="11:11" ht="15.75" customHeight="1" x14ac:dyDescent="0.2">
      <c r="K1697" s="13"/>
    </row>
    <row r="1698" spans="11:11" ht="15.75" customHeight="1" x14ac:dyDescent="0.2">
      <c r="K1698" s="13"/>
    </row>
    <row r="1699" spans="11:11" ht="15.75" customHeight="1" x14ac:dyDescent="0.2">
      <c r="K1699" s="13"/>
    </row>
    <row r="1700" spans="11:11" ht="15.75" customHeight="1" x14ac:dyDescent="0.2">
      <c r="K1700" s="13"/>
    </row>
    <row r="1701" spans="11:11" ht="15.75" customHeight="1" x14ac:dyDescent="0.2">
      <c r="K1701" s="13"/>
    </row>
    <row r="1702" spans="11:11" ht="15.75" customHeight="1" x14ac:dyDescent="0.2">
      <c r="K1702" s="13"/>
    </row>
    <row r="1703" spans="11:11" ht="15.75" customHeight="1" x14ac:dyDescent="0.2">
      <c r="K1703" s="13"/>
    </row>
    <row r="1704" spans="11:11" ht="15.75" customHeight="1" x14ac:dyDescent="0.2">
      <c r="K1704" s="13"/>
    </row>
    <row r="1705" spans="11:11" ht="15.75" customHeight="1" x14ac:dyDescent="0.2">
      <c r="K1705" s="13"/>
    </row>
    <row r="1706" spans="11:11" ht="15.75" customHeight="1" x14ac:dyDescent="0.2">
      <c r="K1706" s="13"/>
    </row>
    <row r="1707" spans="11:11" ht="15.75" customHeight="1" x14ac:dyDescent="0.2">
      <c r="K1707" s="13"/>
    </row>
    <row r="1708" spans="11:11" ht="15.75" customHeight="1" x14ac:dyDescent="0.2">
      <c r="K1708" s="13"/>
    </row>
    <row r="1709" spans="11:11" ht="15.75" customHeight="1" x14ac:dyDescent="0.2">
      <c r="K1709" s="13"/>
    </row>
    <row r="1710" spans="11:11" ht="15.75" customHeight="1" x14ac:dyDescent="0.2">
      <c r="K1710" s="13"/>
    </row>
    <row r="1711" spans="11:11" ht="15.75" customHeight="1" x14ac:dyDescent="0.2">
      <c r="K1711" s="13"/>
    </row>
    <row r="1712" spans="11:11" ht="15.75" customHeight="1" x14ac:dyDescent="0.2">
      <c r="K1712" s="13"/>
    </row>
    <row r="1713" spans="11:11" ht="15.75" customHeight="1" x14ac:dyDescent="0.2">
      <c r="K1713" s="13"/>
    </row>
    <row r="1714" spans="11:11" ht="15.75" customHeight="1" x14ac:dyDescent="0.2">
      <c r="K1714" s="13"/>
    </row>
    <row r="1715" spans="11:11" ht="15.75" customHeight="1" x14ac:dyDescent="0.2">
      <c r="K1715" s="13"/>
    </row>
    <row r="1716" spans="11:11" ht="15.75" customHeight="1" x14ac:dyDescent="0.2">
      <c r="K1716" s="13"/>
    </row>
    <row r="1717" spans="11:11" ht="15.75" customHeight="1" x14ac:dyDescent="0.2">
      <c r="K1717" s="13"/>
    </row>
    <row r="1718" spans="11:11" ht="15.75" customHeight="1" x14ac:dyDescent="0.2">
      <c r="K1718" s="13"/>
    </row>
    <row r="1719" spans="11:11" ht="15.75" customHeight="1" x14ac:dyDescent="0.2">
      <c r="K1719" s="13"/>
    </row>
    <row r="1720" spans="11:11" ht="15.75" customHeight="1" x14ac:dyDescent="0.2">
      <c r="K1720" s="13"/>
    </row>
    <row r="1721" spans="11:11" ht="15.75" customHeight="1" x14ac:dyDescent="0.2">
      <c r="K1721" s="13"/>
    </row>
    <row r="1722" spans="11:11" ht="15.75" customHeight="1" x14ac:dyDescent="0.2">
      <c r="K1722" s="13"/>
    </row>
    <row r="1723" spans="11:11" ht="15.75" customHeight="1" x14ac:dyDescent="0.2">
      <c r="K1723" s="13"/>
    </row>
    <row r="1724" spans="11:11" ht="15.75" customHeight="1" x14ac:dyDescent="0.2">
      <c r="K1724" s="13"/>
    </row>
    <row r="1725" spans="11:11" ht="15.75" customHeight="1" x14ac:dyDescent="0.2">
      <c r="K1725" s="13"/>
    </row>
    <row r="1726" spans="11:11" ht="15.75" customHeight="1" x14ac:dyDescent="0.2">
      <c r="K1726" s="13"/>
    </row>
    <row r="1727" spans="11:11" ht="15.75" customHeight="1" x14ac:dyDescent="0.2">
      <c r="K1727" s="13"/>
    </row>
    <row r="1728" spans="11:11" ht="15.75" customHeight="1" x14ac:dyDescent="0.2">
      <c r="K1728" s="13"/>
    </row>
    <row r="1729" spans="11:11" ht="15.75" customHeight="1" x14ac:dyDescent="0.2">
      <c r="K1729" s="13"/>
    </row>
    <row r="1730" spans="11:11" ht="15.75" customHeight="1" x14ac:dyDescent="0.2">
      <c r="K1730" s="13"/>
    </row>
    <row r="1731" spans="11:11" ht="15.75" customHeight="1" x14ac:dyDescent="0.2">
      <c r="K1731" s="13"/>
    </row>
    <row r="1732" spans="11:11" ht="15.75" customHeight="1" x14ac:dyDescent="0.2">
      <c r="K1732" s="13"/>
    </row>
    <row r="1733" spans="11:11" ht="15.75" customHeight="1" x14ac:dyDescent="0.2">
      <c r="K1733" s="13"/>
    </row>
    <row r="1734" spans="11:11" ht="15.75" customHeight="1" x14ac:dyDescent="0.2">
      <c r="K1734" s="13"/>
    </row>
    <row r="1735" spans="11:11" ht="15.75" customHeight="1" x14ac:dyDescent="0.2">
      <c r="K1735" s="13"/>
    </row>
    <row r="1736" spans="11:11" ht="15.75" customHeight="1" x14ac:dyDescent="0.2">
      <c r="K1736" s="13"/>
    </row>
    <row r="1737" spans="11:11" ht="15.75" customHeight="1" x14ac:dyDescent="0.2">
      <c r="K1737" s="13"/>
    </row>
    <row r="1738" spans="11:11" ht="15.75" customHeight="1" x14ac:dyDescent="0.2">
      <c r="K1738" s="13"/>
    </row>
    <row r="1739" spans="11:11" ht="15.75" customHeight="1" x14ac:dyDescent="0.2">
      <c r="K1739" s="13"/>
    </row>
    <row r="1740" spans="11:11" ht="15.75" customHeight="1" x14ac:dyDescent="0.2">
      <c r="K1740" s="13"/>
    </row>
    <row r="1741" spans="11:11" ht="15.75" customHeight="1" x14ac:dyDescent="0.2">
      <c r="K1741" s="13"/>
    </row>
    <row r="1742" spans="11:11" ht="15.75" customHeight="1" x14ac:dyDescent="0.2">
      <c r="K1742" s="13"/>
    </row>
    <row r="1743" spans="11:11" ht="15.75" customHeight="1" x14ac:dyDescent="0.2">
      <c r="K1743" s="13"/>
    </row>
    <row r="1744" spans="11:11" ht="15.75" customHeight="1" x14ac:dyDescent="0.2">
      <c r="K1744" s="13"/>
    </row>
    <row r="1745" spans="11:11" ht="15.75" customHeight="1" x14ac:dyDescent="0.2">
      <c r="K1745" s="13"/>
    </row>
    <row r="1746" spans="11:11" ht="15.75" customHeight="1" x14ac:dyDescent="0.2">
      <c r="K1746" s="13"/>
    </row>
    <row r="1747" spans="11:11" ht="15.75" customHeight="1" x14ac:dyDescent="0.2">
      <c r="K1747" s="13"/>
    </row>
    <row r="1748" spans="11:11" ht="15.75" customHeight="1" x14ac:dyDescent="0.2">
      <c r="K1748" s="13"/>
    </row>
    <row r="1749" spans="11:11" ht="15.75" customHeight="1" x14ac:dyDescent="0.2">
      <c r="K1749" s="13"/>
    </row>
    <row r="1750" spans="11:11" ht="15.75" customHeight="1" x14ac:dyDescent="0.2">
      <c r="K1750" s="13"/>
    </row>
    <row r="1751" spans="11:11" ht="15.75" customHeight="1" x14ac:dyDescent="0.2">
      <c r="K1751" s="13"/>
    </row>
    <row r="1752" spans="11:11" ht="15.75" customHeight="1" x14ac:dyDescent="0.2">
      <c r="K1752" s="13"/>
    </row>
    <row r="1753" spans="11:11" ht="15.75" customHeight="1" x14ac:dyDescent="0.2">
      <c r="K1753" s="13"/>
    </row>
    <row r="1754" spans="11:11" ht="15.75" customHeight="1" x14ac:dyDescent="0.2">
      <c r="K1754" s="13"/>
    </row>
    <row r="1755" spans="11:11" ht="15.75" customHeight="1" x14ac:dyDescent="0.2">
      <c r="K1755" s="13"/>
    </row>
    <row r="1756" spans="11:11" ht="15.75" customHeight="1" x14ac:dyDescent="0.2">
      <c r="K1756" s="13"/>
    </row>
    <row r="1757" spans="11:11" ht="15.75" customHeight="1" x14ac:dyDescent="0.2">
      <c r="K1757" s="13"/>
    </row>
    <row r="1758" spans="11:11" ht="15.75" customHeight="1" x14ac:dyDescent="0.2">
      <c r="K1758" s="13"/>
    </row>
    <row r="1759" spans="11:11" ht="15.75" customHeight="1" x14ac:dyDescent="0.2">
      <c r="K1759" s="13"/>
    </row>
    <row r="1760" spans="11:11" ht="15.75" customHeight="1" x14ac:dyDescent="0.2">
      <c r="K1760" s="13"/>
    </row>
    <row r="1761" spans="11:11" ht="15.75" customHeight="1" x14ac:dyDescent="0.2">
      <c r="K1761" s="13"/>
    </row>
    <row r="1762" spans="11:11" ht="15.75" customHeight="1" x14ac:dyDescent="0.2">
      <c r="K1762" s="13"/>
    </row>
    <row r="1763" spans="11:11" ht="15.75" customHeight="1" x14ac:dyDescent="0.2">
      <c r="K1763" s="13"/>
    </row>
    <row r="1764" spans="11:11" ht="15.75" customHeight="1" x14ac:dyDescent="0.2">
      <c r="K1764" s="13"/>
    </row>
    <row r="1765" spans="11:11" ht="15.75" customHeight="1" x14ac:dyDescent="0.2">
      <c r="K1765" s="13"/>
    </row>
    <row r="1766" spans="11:11" ht="15.75" customHeight="1" x14ac:dyDescent="0.2">
      <c r="K1766" s="13"/>
    </row>
    <row r="1767" spans="11:11" ht="15.75" customHeight="1" x14ac:dyDescent="0.2">
      <c r="K1767" s="13"/>
    </row>
    <row r="1768" spans="11:11" ht="15.75" customHeight="1" x14ac:dyDescent="0.2">
      <c r="K1768" s="13"/>
    </row>
    <row r="1769" spans="11:11" ht="15.75" customHeight="1" x14ac:dyDescent="0.2">
      <c r="K1769" s="13"/>
    </row>
    <row r="1770" spans="11:11" ht="15.75" customHeight="1" x14ac:dyDescent="0.2">
      <c r="K1770" s="13"/>
    </row>
    <row r="1771" spans="11:11" ht="15.75" customHeight="1" x14ac:dyDescent="0.2">
      <c r="K1771" s="13"/>
    </row>
    <row r="1772" spans="11:11" ht="15.75" customHeight="1" x14ac:dyDescent="0.2">
      <c r="K1772" s="13"/>
    </row>
    <row r="1773" spans="11:11" ht="15.75" customHeight="1" x14ac:dyDescent="0.2">
      <c r="K1773" s="13"/>
    </row>
    <row r="1774" spans="11:11" ht="15.75" customHeight="1" x14ac:dyDescent="0.2">
      <c r="K1774" s="13"/>
    </row>
    <row r="1775" spans="11:11" ht="15.75" customHeight="1" x14ac:dyDescent="0.2">
      <c r="K1775" s="13"/>
    </row>
    <row r="1776" spans="11:11" ht="15.75" customHeight="1" x14ac:dyDescent="0.2">
      <c r="K1776" s="13"/>
    </row>
    <row r="1777" spans="11:11" ht="15.75" customHeight="1" x14ac:dyDescent="0.2">
      <c r="K1777" s="13"/>
    </row>
    <row r="1778" spans="11:11" ht="15.75" customHeight="1" x14ac:dyDescent="0.2">
      <c r="K1778" s="13"/>
    </row>
    <row r="1779" spans="11:11" ht="15.75" customHeight="1" x14ac:dyDescent="0.2">
      <c r="K1779" s="13"/>
    </row>
    <row r="1780" spans="11:11" ht="15.75" customHeight="1" x14ac:dyDescent="0.2">
      <c r="K1780" s="13"/>
    </row>
    <row r="1781" spans="11:11" ht="15.75" customHeight="1" x14ac:dyDescent="0.2">
      <c r="K1781" s="13"/>
    </row>
    <row r="1782" spans="11:11" ht="15.75" customHeight="1" x14ac:dyDescent="0.2">
      <c r="K1782" s="13"/>
    </row>
    <row r="1783" spans="11:11" ht="15.75" customHeight="1" x14ac:dyDescent="0.2">
      <c r="K1783" s="13"/>
    </row>
    <row r="1784" spans="11:11" ht="15.75" customHeight="1" x14ac:dyDescent="0.2">
      <c r="K1784" s="13"/>
    </row>
    <row r="1785" spans="11:11" ht="15.75" customHeight="1" x14ac:dyDescent="0.2">
      <c r="K1785" s="13"/>
    </row>
    <row r="1786" spans="11:11" ht="15.75" customHeight="1" x14ac:dyDescent="0.2">
      <c r="K1786" s="13"/>
    </row>
    <row r="1787" spans="11:11" ht="15.75" customHeight="1" x14ac:dyDescent="0.2">
      <c r="K1787" s="13"/>
    </row>
    <row r="1788" spans="11:11" ht="15.75" customHeight="1" x14ac:dyDescent="0.2">
      <c r="K1788" s="13"/>
    </row>
    <row r="1789" spans="11:11" ht="15.75" customHeight="1" x14ac:dyDescent="0.2">
      <c r="K1789" s="13"/>
    </row>
    <row r="1790" spans="11:11" ht="15.75" customHeight="1" x14ac:dyDescent="0.2">
      <c r="K1790" s="13"/>
    </row>
    <row r="1791" spans="11:11" ht="15.75" customHeight="1" x14ac:dyDescent="0.2">
      <c r="K1791" s="13"/>
    </row>
    <row r="1792" spans="11:11" ht="15.75" customHeight="1" x14ac:dyDescent="0.2">
      <c r="K1792" s="13"/>
    </row>
    <row r="1793" spans="11:11" ht="15.75" customHeight="1" x14ac:dyDescent="0.2">
      <c r="K1793" s="13"/>
    </row>
    <row r="1794" spans="11:11" ht="15.75" customHeight="1" x14ac:dyDescent="0.2">
      <c r="K1794" s="13"/>
    </row>
    <row r="1795" spans="11:11" ht="15.75" customHeight="1" x14ac:dyDescent="0.2">
      <c r="K1795" s="13"/>
    </row>
    <row r="1796" spans="11:11" ht="15.75" customHeight="1" x14ac:dyDescent="0.2">
      <c r="K1796" s="13"/>
    </row>
    <row r="1797" spans="11:11" ht="15.75" customHeight="1" x14ac:dyDescent="0.2">
      <c r="K1797" s="13"/>
    </row>
    <row r="1798" spans="11:11" ht="15.75" customHeight="1" x14ac:dyDescent="0.2">
      <c r="K1798" s="13"/>
    </row>
    <row r="1799" spans="11:11" ht="15.75" customHeight="1" x14ac:dyDescent="0.2">
      <c r="K1799" s="13"/>
    </row>
    <row r="1800" spans="11:11" ht="15.75" customHeight="1" x14ac:dyDescent="0.2">
      <c r="K1800" s="13"/>
    </row>
    <row r="1801" spans="11:11" ht="15.75" customHeight="1" x14ac:dyDescent="0.2">
      <c r="K1801" s="13"/>
    </row>
    <row r="1802" spans="11:11" ht="15.75" customHeight="1" x14ac:dyDescent="0.2">
      <c r="K1802" s="13"/>
    </row>
    <row r="1803" spans="11:11" ht="15.75" customHeight="1" x14ac:dyDescent="0.2">
      <c r="K1803" s="13"/>
    </row>
    <row r="1804" spans="11:11" ht="15.75" customHeight="1" x14ac:dyDescent="0.2">
      <c r="K1804" s="13"/>
    </row>
    <row r="1805" spans="11:11" ht="15.75" customHeight="1" x14ac:dyDescent="0.2">
      <c r="K1805" s="13"/>
    </row>
    <row r="1806" spans="11:11" ht="15.75" customHeight="1" x14ac:dyDescent="0.2">
      <c r="K1806" s="13"/>
    </row>
    <row r="1807" spans="11:11" ht="15.75" customHeight="1" x14ac:dyDescent="0.2">
      <c r="K1807" s="13"/>
    </row>
    <row r="1808" spans="11:11" ht="15.75" customHeight="1" x14ac:dyDescent="0.2">
      <c r="K1808" s="13"/>
    </row>
    <row r="1809" spans="11:11" ht="15.75" customHeight="1" x14ac:dyDescent="0.2">
      <c r="K1809" s="13"/>
    </row>
    <row r="1810" spans="11:11" ht="15.75" customHeight="1" x14ac:dyDescent="0.2">
      <c r="K1810" s="13"/>
    </row>
    <row r="1811" spans="11:11" ht="15.75" customHeight="1" x14ac:dyDescent="0.2">
      <c r="K1811" s="13"/>
    </row>
    <row r="1812" spans="11:11" ht="15.75" customHeight="1" x14ac:dyDescent="0.2">
      <c r="K1812" s="13"/>
    </row>
    <row r="1813" spans="11:11" ht="15.75" customHeight="1" x14ac:dyDescent="0.2">
      <c r="K1813" s="13"/>
    </row>
    <row r="1814" spans="11:11" ht="15.75" customHeight="1" x14ac:dyDescent="0.2">
      <c r="K1814" s="13"/>
    </row>
    <row r="1815" spans="11:11" ht="15.75" customHeight="1" x14ac:dyDescent="0.2">
      <c r="K1815" s="13"/>
    </row>
    <row r="1816" spans="11:11" ht="15.75" customHeight="1" x14ac:dyDescent="0.2">
      <c r="K1816" s="13"/>
    </row>
    <row r="1817" spans="11:11" ht="15.75" customHeight="1" x14ac:dyDescent="0.2">
      <c r="K1817" s="13"/>
    </row>
    <row r="1818" spans="11:11" ht="15.75" customHeight="1" x14ac:dyDescent="0.2">
      <c r="K1818" s="13"/>
    </row>
    <row r="1819" spans="11:11" ht="15.75" customHeight="1" x14ac:dyDescent="0.2">
      <c r="K1819" s="13"/>
    </row>
    <row r="1820" spans="11:11" ht="15.75" customHeight="1" x14ac:dyDescent="0.2">
      <c r="K1820" s="13"/>
    </row>
    <row r="1821" spans="11:11" ht="15.75" customHeight="1" x14ac:dyDescent="0.2">
      <c r="K1821" s="13"/>
    </row>
    <row r="1822" spans="11:11" ht="15.75" customHeight="1" x14ac:dyDescent="0.2">
      <c r="K1822" s="13"/>
    </row>
    <row r="1823" spans="11:11" ht="15.75" customHeight="1" x14ac:dyDescent="0.2">
      <c r="K1823" s="13"/>
    </row>
    <row r="1824" spans="11:11" ht="15.75" customHeight="1" x14ac:dyDescent="0.2">
      <c r="K1824" s="13"/>
    </row>
    <row r="1825" spans="11:11" ht="15.75" customHeight="1" x14ac:dyDescent="0.2">
      <c r="K1825" s="13"/>
    </row>
    <row r="1826" spans="11:11" ht="15.75" customHeight="1" x14ac:dyDescent="0.2">
      <c r="K1826" s="13"/>
    </row>
    <row r="1827" spans="11:11" ht="15.75" customHeight="1" x14ac:dyDescent="0.2">
      <c r="K1827" s="13"/>
    </row>
    <row r="1828" spans="11:11" ht="15.75" customHeight="1" x14ac:dyDescent="0.2">
      <c r="K1828" s="13"/>
    </row>
    <row r="1829" spans="11:11" ht="15.75" customHeight="1" x14ac:dyDescent="0.2">
      <c r="K1829" s="13"/>
    </row>
    <row r="1830" spans="11:11" ht="15.75" customHeight="1" x14ac:dyDescent="0.2">
      <c r="K1830" s="13"/>
    </row>
    <row r="1831" spans="11:11" ht="15.75" customHeight="1" x14ac:dyDescent="0.2">
      <c r="K1831" s="13"/>
    </row>
    <row r="1832" spans="11:11" ht="15.75" customHeight="1" x14ac:dyDescent="0.2">
      <c r="K1832" s="13"/>
    </row>
    <row r="1833" spans="11:11" ht="15.75" customHeight="1" x14ac:dyDescent="0.2">
      <c r="K1833" s="13"/>
    </row>
    <row r="1834" spans="11:11" ht="15.75" customHeight="1" x14ac:dyDescent="0.2">
      <c r="K1834" s="13"/>
    </row>
    <row r="1835" spans="11:11" ht="15.75" customHeight="1" x14ac:dyDescent="0.2">
      <c r="K1835" s="13"/>
    </row>
    <row r="1836" spans="11:11" ht="15.75" customHeight="1" x14ac:dyDescent="0.2">
      <c r="K1836" s="13"/>
    </row>
    <row r="1837" spans="11:11" ht="15.75" customHeight="1" x14ac:dyDescent="0.2">
      <c r="K1837" s="13"/>
    </row>
    <row r="1838" spans="11:11" ht="15.75" customHeight="1" x14ac:dyDescent="0.2">
      <c r="K1838" s="13"/>
    </row>
    <row r="1839" spans="11:11" ht="15.75" customHeight="1" x14ac:dyDescent="0.2">
      <c r="K1839" s="13"/>
    </row>
    <row r="1840" spans="11:11" ht="15.75" customHeight="1" x14ac:dyDescent="0.2">
      <c r="K1840" s="13"/>
    </row>
    <row r="1841" spans="11:11" ht="15.75" customHeight="1" x14ac:dyDescent="0.2">
      <c r="K1841" s="13"/>
    </row>
    <row r="1842" spans="11:11" ht="15.75" customHeight="1" x14ac:dyDescent="0.2">
      <c r="K1842" s="13"/>
    </row>
    <row r="1843" spans="11:11" ht="15.75" customHeight="1" x14ac:dyDescent="0.2">
      <c r="K1843" s="13"/>
    </row>
    <row r="1844" spans="11:11" ht="15.75" customHeight="1" x14ac:dyDescent="0.2">
      <c r="K1844" s="13"/>
    </row>
    <row r="1845" spans="11:11" ht="15.75" customHeight="1" x14ac:dyDescent="0.2">
      <c r="K1845" s="13"/>
    </row>
    <row r="1846" spans="11:11" ht="15.75" customHeight="1" x14ac:dyDescent="0.2">
      <c r="K1846" s="13"/>
    </row>
    <row r="1847" spans="11:11" ht="15.75" customHeight="1" x14ac:dyDescent="0.2">
      <c r="K1847" s="13"/>
    </row>
    <row r="1848" spans="11:11" ht="15.75" customHeight="1" x14ac:dyDescent="0.2">
      <c r="K1848" s="13"/>
    </row>
    <row r="1849" spans="11:11" ht="15.75" customHeight="1" x14ac:dyDescent="0.2">
      <c r="K1849" s="13"/>
    </row>
    <row r="1850" spans="11:11" ht="15.75" customHeight="1" x14ac:dyDescent="0.2">
      <c r="K1850" s="13"/>
    </row>
    <row r="1851" spans="11:11" ht="15.75" customHeight="1" x14ac:dyDescent="0.2">
      <c r="K1851" s="13"/>
    </row>
    <row r="1852" spans="11:11" ht="15.75" customHeight="1" x14ac:dyDescent="0.2">
      <c r="K1852" s="13"/>
    </row>
    <row r="1853" spans="11:11" ht="15.75" customHeight="1" x14ac:dyDescent="0.2">
      <c r="K1853" s="13"/>
    </row>
    <row r="1854" spans="11:11" ht="15.75" customHeight="1" x14ac:dyDescent="0.2">
      <c r="K1854" s="13"/>
    </row>
    <row r="1855" spans="11:11" ht="15.75" customHeight="1" x14ac:dyDescent="0.2">
      <c r="K1855" s="13"/>
    </row>
    <row r="1856" spans="11:11" ht="15.75" customHeight="1" x14ac:dyDescent="0.2">
      <c r="K1856" s="13"/>
    </row>
    <row r="1857" spans="11:11" ht="15.75" customHeight="1" x14ac:dyDescent="0.2">
      <c r="K1857" s="13"/>
    </row>
    <row r="1858" spans="11:11" ht="15.75" customHeight="1" x14ac:dyDescent="0.2">
      <c r="K1858" s="13"/>
    </row>
    <row r="1859" spans="11:11" ht="15.75" customHeight="1" x14ac:dyDescent="0.2">
      <c r="K1859" s="13"/>
    </row>
    <row r="1860" spans="11:11" ht="15.75" customHeight="1" x14ac:dyDescent="0.2">
      <c r="K1860" s="13"/>
    </row>
    <row r="1861" spans="11:11" ht="15.75" customHeight="1" x14ac:dyDescent="0.2">
      <c r="K1861" s="13"/>
    </row>
    <row r="1862" spans="11:11" ht="15.75" customHeight="1" x14ac:dyDescent="0.2">
      <c r="K1862" s="13"/>
    </row>
    <row r="1863" spans="11:11" ht="15.75" customHeight="1" x14ac:dyDescent="0.2">
      <c r="K1863" s="13"/>
    </row>
    <row r="1864" spans="11:11" ht="15.75" customHeight="1" x14ac:dyDescent="0.2">
      <c r="K1864" s="13"/>
    </row>
    <row r="1865" spans="11:11" ht="15.75" customHeight="1" x14ac:dyDescent="0.2">
      <c r="K1865" s="13"/>
    </row>
    <row r="1866" spans="11:11" ht="15.75" customHeight="1" x14ac:dyDescent="0.2">
      <c r="K1866" s="13"/>
    </row>
    <row r="1867" spans="11:11" ht="15.75" customHeight="1" x14ac:dyDescent="0.2">
      <c r="K1867" s="13"/>
    </row>
    <row r="1868" spans="11:11" ht="15.75" customHeight="1" x14ac:dyDescent="0.2">
      <c r="K1868" s="13"/>
    </row>
    <row r="1869" spans="11:11" ht="15.75" customHeight="1" x14ac:dyDescent="0.2">
      <c r="K1869" s="13"/>
    </row>
    <row r="1870" spans="11:11" ht="15.75" customHeight="1" x14ac:dyDescent="0.2">
      <c r="K1870" s="13"/>
    </row>
    <row r="1871" spans="11:11" ht="15.75" customHeight="1" x14ac:dyDescent="0.2">
      <c r="K1871" s="13"/>
    </row>
    <row r="1872" spans="11:11" ht="15.75" customHeight="1" x14ac:dyDescent="0.2">
      <c r="K1872" s="13"/>
    </row>
    <row r="1873" spans="11:11" ht="15.75" customHeight="1" x14ac:dyDescent="0.2">
      <c r="K1873" s="13"/>
    </row>
    <row r="1874" spans="11:11" ht="15.75" customHeight="1" x14ac:dyDescent="0.2">
      <c r="K1874" s="13"/>
    </row>
    <row r="1875" spans="11:11" ht="15.75" customHeight="1" x14ac:dyDescent="0.2">
      <c r="K1875" s="13"/>
    </row>
    <row r="1876" spans="11:11" ht="15.75" customHeight="1" x14ac:dyDescent="0.2">
      <c r="K1876" s="13"/>
    </row>
    <row r="1877" spans="11:11" ht="15.75" customHeight="1" x14ac:dyDescent="0.2">
      <c r="K1877" s="13"/>
    </row>
    <row r="1878" spans="11:11" ht="15.75" customHeight="1" x14ac:dyDescent="0.2">
      <c r="K1878" s="13"/>
    </row>
    <row r="1879" spans="11:11" ht="15.75" customHeight="1" x14ac:dyDescent="0.2">
      <c r="K1879" s="13"/>
    </row>
    <row r="1880" spans="11:11" ht="15.75" customHeight="1" x14ac:dyDescent="0.2">
      <c r="K1880" s="13"/>
    </row>
    <row r="1881" spans="11:11" ht="15.75" customHeight="1" x14ac:dyDescent="0.2">
      <c r="K1881" s="13"/>
    </row>
    <row r="1882" spans="11:11" ht="15.75" customHeight="1" x14ac:dyDescent="0.2">
      <c r="K1882" s="13"/>
    </row>
    <row r="1883" spans="11:11" ht="15.75" customHeight="1" x14ac:dyDescent="0.2">
      <c r="K1883" s="13"/>
    </row>
    <row r="1884" spans="11:11" ht="15.75" customHeight="1" x14ac:dyDescent="0.2">
      <c r="K1884" s="13"/>
    </row>
    <row r="1885" spans="11:11" ht="15.75" customHeight="1" x14ac:dyDescent="0.2">
      <c r="K1885" s="13"/>
    </row>
    <row r="1886" spans="11:11" ht="15.75" customHeight="1" x14ac:dyDescent="0.2">
      <c r="K1886" s="13"/>
    </row>
    <row r="1887" spans="11:11" ht="15.75" customHeight="1" x14ac:dyDescent="0.2">
      <c r="K1887" s="13"/>
    </row>
    <row r="1888" spans="11:11" ht="15.75" customHeight="1" x14ac:dyDescent="0.2">
      <c r="K1888" s="13"/>
    </row>
    <row r="1889" spans="11:11" ht="15.75" customHeight="1" x14ac:dyDescent="0.2">
      <c r="K1889" s="13"/>
    </row>
    <row r="1890" spans="11:11" ht="15.75" customHeight="1" x14ac:dyDescent="0.2">
      <c r="K1890" s="13"/>
    </row>
    <row r="1891" spans="11:11" ht="15.75" customHeight="1" x14ac:dyDescent="0.2">
      <c r="K1891" s="13"/>
    </row>
    <row r="1892" spans="11:11" ht="15.75" customHeight="1" x14ac:dyDescent="0.2">
      <c r="K1892" s="13"/>
    </row>
    <row r="1893" spans="11:11" ht="15.75" customHeight="1" x14ac:dyDescent="0.2">
      <c r="K1893" s="13"/>
    </row>
    <row r="1894" spans="11:11" ht="15.75" customHeight="1" x14ac:dyDescent="0.2">
      <c r="K1894" s="13"/>
    </row>
    <row r="1895" spans="11:11" ht="15.75" customHeight="1" x14ac:dyDescent="0.2">
      <c r="K1895" s="13"/>
    </row>
    <row r="1896" spans="11:11" ht="15.75" customHeight="1" x14ac:dyDescent="0.2">
      <c r="K1896" s="13"/>
    </row>
    <row r="1897" spans="11:11" ht="15.75" customHeight="1" x14ac:dyDescent="0.2">
      <c r="K1897" s="13"/>
    </row>
    <row r="1898" spans="11:11" ht="15.75" customHeight="1" x14ac:dyDescent="0.2">
      <c r="K1898" s="13"/>
    </row>
    <row r="1899" spans="11:11" ht="15.75" customHeight="1" x14ac:dyDescent="0.2">
      <c r="K1899" s="13"/>
    </row>
    <row r="1900" spans="11:11" ht="15.75" customHeight="1" x14ac:dyDescent="0.2">
      <c r="K1900" s="13"/>
    </row>
    <row r="1901" spans="11:11" ht="15.75" customHeight="1" x14ac:dyDescent="0.2">
      <c r="K1901" s="13"/>
    </row>
    <row r="1902" spans="11:11" ht="15.75" customHeight="1" x14ac:dyDescent="0.2">
      <c r="K1902" s="13"/>
    </row>
    <row r="1903" spans="11:11" ht="15.75" customHeight="1" x14ac:dyDescent="0.2">
      <c r="K1903" s="13"/>
    </row>
    <row r="1904" spans="11:11" ht="15.75" customHeight="1" x14ac:dyDescent="0.2">
      <c r="K1904" s="13"/>
    </row>
    <row r="1905" spans="11:11" ht="15.75" customHeight="1" x14ac:dyDescent="0.2">
      <c r="K1905" s="13"/>
    </row>
    <row r="1906" spans="11:11" ht="15.75" customHeight="1" x14ac:dyDescent="0.2">
      <c r="K1906" s="13"/>
    </row>
    <row r="1907" spans="11:11" ht="15.75" customHeight="1" x14ac:dyDescent="0.2">
      <c r="K1907" s="13"/>
    </row>
    <row r="1908" spans="11:11" ht="15.75" customHeight="1" x14ac:dyDescent="0.2">
      <c r="K1908" s="13"/>
    </row>
    <row r="1909" spans="11:11" ht="15.75" customHeight="1" x14ac:dyDescent="0.2">
      <c r="K1909" s="13"/>
    </row>
    <row r="1910" spans="11:11" ht="15.75" customHeight="1" x14ac:dyDescent="0.2">
      <c r="K1910" s="13"/>
    </row>
    <row r="1911" spans="11:11" ht="15.75" customHeight="1" x14ac:dyDescent="0.2">
      <c r="K1911" s="13"/>
    </row>
    <row r="1912" spans="11:11" ht="15.75" customHeight="1" x14ac:dyDescent="0.2">
      <c r="K1912" s="13"/>
    </row>
    <row r="1913" spans="11:11" ht="15.75" customHeight="1" x14ac:dyDescent="0.2">
      <c r="K1913" s="13"/>
    </row>
    <row r="1914" spans="11:11" ht="15.75" customHeight="1" x14ac:dyDescent="0.2">
      <c r="K1914" s="13"/>
    </row>
    <row r="1915" spans="11:11" ht="15.75" customHeight="1" x14ac:dyDescent="0.2">
      <c r="K1915" s="13"/>
    </row>
    <row r="1916" spans="11:11" ht="15.75" customHeight="1" x14ac:dyDescent="0.2">
      <c r="K1916" s="13"/>
    </row>
    <row r="1917" spans="11:11" ht="15.75" customHeight="1" x14ac:dyDescent="0.2">
      <c r="K1917" s="13"/>
    </row>
    <row r="1918" spans="11:11" ht="15.75" customHeight="1" x14ac:dyDescent="0.2">
      <c r="K1918" s="13"/>
    </row>
    <row r="1919" spans="11:11" ht="15.75" customHeight="1" x14ac:dyDescent="0.2">
      <c r="K1919" s="13"/>
    </row>
    <row r="1920" spans="11:11" ht="15.75" customHeight="1" x14ac:dyDescent="0.2">
      <c r="K1920" s="13"/>
    </row>
    <row r="1921" spans="11:11" ht="15.75" customHeight="1" x14ac:dyDescent="0.2">
      <c r="K1921" s="13"/>
    </row>
    <row r="1922" spans="11:11" ht="15.75" customHeight="1" x14ac:dyDescent="0.2">
      <c r="K1922" s="13"/>
    </row>
    <row r="1923" spans="11:11" ht="15.75" customHeight="1" x14ac:dyDescent="0.2">
      <c r="K1923" s="13"/>
    </row>
    <row r="1924" spans="11:11" ht="15.75" customHeight="1" x14ac:dyDescent="0.2">
      <c r="K1924" s="13"/>
    </row>
    <row r="1925" spans="11:11" ht="15.75" customHeight="1" x14ac:dyDescent="0.2">
      <c r="K1925" s="13"/>
    </row>
    <row r="1926" spans="11:11" ht="15.75" customHeight="1" x14ac:dyDescent="0.2">
      <c r="K1926" s="13"/>
    </row>
    <row r="1927" spans="11:11" ht="15.75" customHeight="1" x14ac:dyDescent="0.2">
      <c r="K1927" s="13"/>
    </row>
    <row r="1928" spans="11:11" ht="15.75" customHeight="1" x14ac:dyDescent="0.2">
      <c r="K1928" s="13"/>
    </row>
    <row r="1929" spans="11:11" ht="15.75" customHeight="1" x14ac:dyDescent="0.2">
      <c r="K1929" s="13"/>
    </row>
    <row r="1930" spans="11:11" ht="15.75" customHeight="1" x14ac:dyDescent="0.2">
      <c r="K1930" s="13"/>
    </row>
    <row r="1931" spans="11:11" ht="15.75" customHeight="1" x14ac:dyDescent="0.2">
      <c r="K1931" s="13"/>
    </row>
    <row r="1932" spans="11:11" ht="15.75" customHeight="1" x14ac:dyDescent="0.2">
      <c r="K1932" s="13"/>
    </row>
    <row r="1933" spans="11:11" ht="15.75" customHeight="1" x14ac:dyDescent="0.2">
      <c r="K1933" s="13"/>
    </row>
    <row r="1934" spans="11:11" ht="15.75" customHeight="1" x14ac:dyDescent="0.2">
      <c r="K1934" s="13"/>
    </row>
    <row r="1935" spans="11:11" ht="15.75" customHeight="1" x14ac:dyDescent="0.2">
      <c r="K1935" s="13"/>
    </row>
    <row r="1936" spans="11:11" ht="15.75" customHeight="1" x14ac:dyDescent="0.2">
      <c r="K1936" s="13"/>
    </row>
    <row r="1937" spans="11:11" ht="15.75" customHeight="1" x14ac:dyDescent="0.2">
      <c r="K1937" s="13"/>
    </row>
    <row r="1938" spans="11:11" ht="15.75" customHeight="1" x14ac:dyDescent="0.2">
      <c r="K1938" s="13"/>
    </row>
    <row r="1939" spans="11:11" ht="15.75" customHeight="1" x14ac:dyDescent="0.2">
      <c r="K1939" s="13"/>
    </row>
    <row r="1940" spans="11:11" ht="15.75" customHeight="1" x14ac:dyDescent="0.2">
      <c r="K1940" s="13"/>
    </row>
    <row r="1941" spans="11:11" ht="15.75" customHeight="1" x14ac:dyDescent="0.2">
      <c r="K1941" s="13"/>
    </row>
    <row r="1942" spans="11:11" ht="15.75" customHeight="1" x14ac:dyDescent="0.2">
      <c r="K1942" s="13"/>
    </row>
    <row r="1943" spans="11:11" ht="15.75" customHeight="1" x14ac:dyDescent="0.2">
      <c r="K1943" s="13"/>
    </row>
    <row r="1944" spans="11:11" ht="15.75" customHeight="1" x14ac:dyDescent="0.2">
      <c r="K1944" s="13"/>
    </row>
    <row r="1945" spans="11:11" ht="15.75" customHeight="1" x14ac:dyDescent="0.2">
      <c r="K1945" s="13"/>
    </row>
    <row r="1946" spans="11:11" ht="15.75" customHeight="1" x14ac:dyDescent="0.2">
      <c r="K1946" s="13"/>
    </row>
    <row r="1947" spans="11:11" ht="15.75" customHeight="1" x14ac:dyDescent="0.2">
      <c r="K1947" s="13"/>
    </row>
    <row r="1948" spans="11:11" ht="15.75" customHeight="1" x14ac:dyDescent="0.2">
      <c r="K1948" s="13"/>
    </row>
    <row r="1949" spans="11:11" ht="15.75" customHeight="1" x14ac:dyDescent="0.2">
      <c r="K1949" s="13"/>
    </row>
    <row r="1950" spans="11:11" ht="15.75" customHeight="1" x14ac:dyDescent="0.2">
      <c r="K1950" s="13"/>
    </row>
    <row r="1951" spans="11:11" ht="15.75" customHeight="1" x14ac:dyDescent="0.2">
      <c r="K1951" s="13"/>
    </row>
    <row r="1952" spans="11:11" ht="15.75" customHeight="1" x14ac:dyDescent="0.2">
      <c r="K1952" s="13"/>
    </row>
    <row r="1953" spans="11:11" ht="15.75" customHeight="1" x14ac:dyDescent="0.2">
      <c r="K1953" s="13"/>
    </row>
    <row r="1954" spans="11:11" ht="15.75" customHeight="1" x14ac:dyDescent="0.2">
      <c r="K1954" s="13"/>
    </row>
    <row r="1955" spans="11:11" ht="15.75" customHeight="1" x14ac:dyDescent="0.2">
      <c r="K1955" s="13"/>
    </row>
    <row r="1956" spans="11:11" ht="15.75" customHeight="1" x14ac:dyDescent="0.2">
      <c r="K1956" s="13"/>
    </row>
    <row r="1957" spans="11:11" ht="15.75" customHeight="1" x14ac:dyDescent="0.2">
      <c r="K1957" s="13"/>
    </row>
    <row r="1958" spans="11:11" ht="15.75" customHeight="1" x14ac:dyDescent="0.2">
      <c r="K1958" s="13"/>
    </row>
    <row r="1959" spans="11:11" ht="15.75" customHeight="1" x14ac:dyDescent="0.2">
      <c r="K1959" s="13"/>
    </row>
    <row r="1960" spans="11:11" ht="15.75" customHeight="1" x14ac:dyDescent="0.2">
      <c r="K1960" s="13"/>
    </row>
    <row r="1961" spans="11:11" ht="15.75" customHeight="1" x14ac:dyDescent="0.2">
      <c r="K1961" s="13"/>
    </row>
    <row r="1962" spans="11:11" ht="15.75" customHeight="1" x14ac:dyDescent="0.2">
      <c r="K1962" s="13"/>
    </row>
    <row r="1963" spans="11:11" ht="15.75" customHeight="1" x14ac:dyDescent="0.2">
      <c r="K1963" s="13"/>
    </row>
    <row r="1964" spans="11:11" ht="15.75" customHeight="1" x14ac:dyDescent="0.2">
      <c r="K1964" s="13"/>
    </row>
    <row r="1965" spans="11:11" ht="15.75" customHeight="1" x14ac:dyDescent="0.2">
      <c r="K1965" s="13"/>
    </row>
    <row r="1966" spans="11:11" ht="15.75" customHeight="1" x14ac:dyDescent="0.2">
      <c r="K1966" s="13"/>
    </row>
    <row r="1967" spans="11:11" ht="15.75" customHeight="1" x14ac:dyDescent="0.2">
      <c r="K1967" s="13"/>
    </row>
    <row r="1968" spans="11:11" ht="15.75" customHeight="1" x14ac:dyDescent="0.2">
      <c r="K1968" s="13"/>
    </row>
    <row r="1969" spans="11:11" ht="15.75" customHeight="1" x14ac:dyDescent="0.2">
      <c r="K1969" s="13"/>
    </row>
    <row r="1970" spans="11:11" ht="15.75" customHeight="1" x14ac:dyDescent="0.2">
      <c r="K1970" s="13"/>
    </row>
    <row r="1971" spans="11:11" ht="15.75" customHeight="1" x14ac:dyDescent="0.2">
      <c r="K1971" s="13"/>
    </row>
    <row r="1972" spans="11:11" ht="15.75" customHeight="1" x14ac:dyDescent="0.2">
      <c r="K1972" s="13"/>
    </row>
    <row r="1973" spans="11:11" ht="15.75" customHeight="1" x14ac:dyDescent="0.2">
      <c r="K1973" s="13"/>
    </row>
    <row r="1974" spans="11:11" ht="15.75" customHeight="1" x14ac:dyDescent="0.2">
      <c r="K1974" s="13"/>
    </row>
    <row r="1975" spans="11:11" ht="15.75" customHeight="1" x14ac:dyDescent="0.2">
      <c r="K1975" s="13"/>
    </row>
    <row r="1976" spans="11:11" ht="15.75" customHeight="1" x14ac:dyDescent="0.2">
      <c r="K1976" s="13"/>
    </row>
    <row r="1977" spans="11:11" ht="15.75" customHeight="1" x14ac:dyDescent="0.2">
      <c r="K1977" s="13"/>
    </row>
    <row r="1978" spans="11:11" ht="15.75" customHeight="1" x14ac:dyDescent="0.2">
      <c r="K1978" s="13"/>
    </row>
    <row r="1979" spans="11:11" ht="15.75" customHeight="1" x14ac:dyDescent="0.2">
      <c r="K1979" s="13"/>
    </row>
    <row r="1980" spans="11:11" ht="15.75" customHeight="1" x14ac:dyDescent="0.2">
      <c r="K1980" s="13"/>
    </row>
    <row r="1981" spans="11:11" ht="15.75" customHeight="1" x14ac:dyDescent="0.2">
      <c r="K1981" s="13"/>
    </row>
    <row r="1982" spans="11:11" ht="15.75" customHeight="1" x14ac:dyDescent="0.2">
      <c r="K1982" s="13"/>
    </row>
    <row r="1983" spans="11:11" ht="15.75" customHeight="1" x14ac:dyDescent="0.2">
      <c r="K1983" s="13"/>
    </row>
    <row r="1984" spans="11:11" ht="15.75" customHeight="1" x14ac:dyDescent="0.2">
      <c r="K1984" s="13"/>
    </row>
    <row r="1985" spans="11:11" ht="15.75" customHeight="1" x14ac:dyDescent="0.2">
      <c r="K1985" s="13"/>
    </row>
    <row r="1986" spans="11:11" ht="15.75" customHeight="1" x14ac:dyDescent="0.2">
      <c r="K1986" s="13"/>
    </row>
    <row r="1987" spans="11:11" ht="15.75" customHeight="1" x14ac:dyDescent="0.2">
      <c r="K1987" s="13"/>
    </row>
    <row r="1988" spans="11:11" ht="15.75" customHeight="1" x14ac:dyDescent="0.2">
      <c r="K1988" s="13"/>
    </row>
    <row r="1989" spans="11:11" ht="15.75" customHeight="1" x14ac:dyDescent="0.2">
      <c r="K1989" s="13"/>
    </row>
    <row r="1990" spans="11:11" ht="15.75" customHeight="1" x14ac:dyDescent="0.2">
      <c r="K1990" s="13"/>
    </row>
    <row r="1991" spans="11:11" ht="15.75" customHeight="1" x14ac:dyDescent="0.2">
      <c r="K1991" s="13"/>
    </row>
    <row r="1992" spans="11:11" ht="15.75" customHeight="1" x14ac:dyDescent="0.2">
      <c r="K1992" s="13"/>
    </row>
    <row r="1993" spans="11:11" ht="15.75" customHeight="1" x14ac:dyDescent="0.2">
      <c r="K1993" s="13"/>
    </row>
    <row r="1994" spans="11:11" ht="15.75" customHeight="1" x14ac:dyDescent="0.2">
      <c r="K1994" s="13"/>
    </row>
    <row r="1995" spans="11:11" ht="15.75" customHeight="1" x14ac:dyDescent="0.2">
      <c r="K1995" s="13"/>
    </row>
    <row r="1996" spans="11:11" ht="15.75" customHeight="1" x14ac:dyDescent="0.2">
      <c r="K1996" s="13"/>
    </row>
    <row r="1997" spans="11:11" ht="15.75" customHeight="1" x14ac:dyDescent="0.2">
      <c r="K1997" s="13"/>
    </row>
    <row r="1998" spans="11:11" ht="15.75" customHeight="1" x14ac:dyDescent="0.2">
      <c r="K1998" s="13"/>
    </row>
    <row r="1999" spans="11:11" ht="15.75" customHeight="1" x14ac:dyDescent="0.2">
      <c r="K1999" s="13"/>
    </row>
    <row r="2000" spans="11:11" ht="15.75" customHeight="1" x14ac:dyDescent="0.2">
      <c r="K2000" s="13"/>
    </row>
    <row r="2001" spans="11:11" ht="15.75" customHeight="1" x14ac:dyDescent="0.2">
      <c r="K2001" s="13"/>
    </row>
    <row r="2002" spans="11:11" ht="15.75" customHeight="1" x14ac:dyDescent="0.2">
      <c r="K2002" s="13"/>
    </row>
    <row r="2003" spans="11:11" ht="15.75" customHeight="1" x14ac:dyDescent="0.2">
      <c r="K2003" s="13"/>
    </row>
    <row r="2004" spans="11:11" ht="15.75" customHeight="1" x14ac:dyDescent="0.2">
      <c r="K2004" s="13"/>
    </row>
    <row r="2005" spans="11:11" ht="15.75" customHeight="1" x14ac:dyDescent="0.2">
      <c r="K2005" s="13"/>
    </row>
    <row r="2006" spans="11:11" ht="15.75" customHeight="1" x14ac:dyDescent="0.2">
      <c r="K2006" s="13"/>
    </row>
    <row r="2007" spans="11:11" ht="15.75" customHeight="1" x14ac:dyDescent="0.2">
      <c r="K2007" s="13"/>
    </row>
    <row r="2008" spans="11:11" ht="15.75" customHeight="1" x14ac:dyDescent="0.2">
      <c r="K2008" s="13"/>
    </row>
    <row r="2009" spans="11:11" ht="15.75" customHeight="1" x14ac:dyDescent="0.2">
      <c r="K2009" s="13"/>
    </row>
    <row r="2010" spans="11:11" ht="15.75" customHeight="1" x14ac:dyDescent="0.2">
      <c r="K2010" s="13"/>
    </row>
    <row r="2011" spans="11:11" ht="15.75" customHeight="1" x14ac:dyDescent="0.2">
      <c r="K2011" s="13"/>
    </row>
    <row r="2012" spans="11:11" ht="15.75" customHeight="1" x14ac:dyDescent="0.2">
      <c r="K2012" s="13"/>
    </row>
    <row r="2013" spans="11:11" ht="15.75" customHeight="1" x14ac:dyDescent="0.2">
      <c r="K2013" s="13"/>
    </row>
    <row r="2014" spans="11:11" ht="15.75" customHeight="1" x14ac:dyDescent="0.2">
      <c r="K2014" s="13"/>
    </row>
    <row r="2015" spans="11:11" ht="15.75" customHeight="1" x14ac:dyDescent="0.2">
      <c r="K2015" s="13"/>
    </row>
    <row r="2016" spans="11:11" ht="15.75" customHeight="1" x14ac:dyDescent="0.2">
      <c r="K2016" s="13"/>
    </row>
    <row r="2017" spans="11:11" ht="15.75" customHeight="1" x14ac:dyDescent="0.2">
      <c r="K2017" s="13"/>
    </row>
    <row r="2018" spans="11:11" ht="15.75" customHeight="1" x14ac:dyDescent="0.2">
      <c r="K2018" s="13"/>
    </row>
    <row r="2019" spans="11:11" ht="15.75" customHeight="1" x14ac:dyDescent="0.2">
      <c r="K2019" s="13"/>
    </row>
    <row r="2020" spans="11:11" ht="15.75" customHeight="1" x14ac:dyDescent="0.2">
      <c r="K2020" s="13"/>
    </row>
    <row r="2021" spans="11:11" ht="15.75" customHeight="1" x14ac:dyDescent="0.2">
      <c r="K2021" s="13"/>
    </row>
    <row r="2022" spans="11:11" ht="15.75" customHeight="1" x14ac:dyDescent="0.2">
      <c r="K2022" s="13"/>
    </row>
    <row r="2023" spans="11:11" ht="15.75" customHeight="1" x14ac:dyDescent="0.2">
      <c r="K2023" s="13"/>
    </row>
    <row r="2024" spans="11:11" ht="15.75" customHeight="1" x14ac:dyDescent="0.2">
      <c r="K2024" s="13"/>
    </row>
    <row r="2025" spans="11:11" ht="15.75" customHeight="1" x14ac:dyDescent="0.2">
      <c r="K2025" s="13"/>
    </row>
    <row r="2026" spans="11:11" ht="15.75" customHeight="1" x14ac:dyDescent="0.2">
      <c r="K2026" s="13"/>
    </row>
    <row r="2027" spans="11:11" ht="15.75" customHeight="1" x14ac:dyDescent="0.2">
      <c r="K2027" s="13"/>
    </row>
    <row r="2028" spans="11:11" ht="15.75" customHeight="1" x14ac:dyDescent="0.2">
      <c r="K2028" s="13"/>
    </row>
    <row r="2029" spans="11:11" ht="15.75" customHeight="1" x14ac:dyDescent="0.2">
      <c r="K2029" s="13"/>
    </row>
    <row r="2030" spans="11:11" ht="15.75" customHeight="1" x14ac:dyDescent="0.2">
      <c r="K2030" s="13"/>
    </row>
    <row r="2031" spans="11:11" ht="15.75" customHeight="1" x14ac:dyDescent="0.2">
      <c r="K2031" s="13"/>
    </row>
    <row r="2032" spans="11:11" ht="15.75" customHeight="1" x14ac:dyDescent="0.2">
      <c r="K2032" s="13"/>
    </row>
    <row r="2033" spans="11:11" ht="15.75" customHeight="1" x14ac:dyDescent="0.2">
      <c r="K2033" s="13"/>
    </row>
    <row r="2034" spans="11:11" ht="15.75" customHeight="1" x14ac:dyDescent="0.2">
      <c r="K2034" s="13"/>
    </row>
    <row r="2035" spans="11:11" ht="15.75" customHeight="1" x14ac:dyDescent="0.2">
      <c r="K2035" s="13"/>
    </row>
    <row r="2036" spans="11:11" ht="15.75" customHeight="1" x14ac:dyDescent="0.2">
      <c r="K2036" s="13"/>
    </row>
    <row r="2037" spans="11:11" ht="15.75" customHeight="1" x14ac:dyDescent="0.2">
      <c r="K2037" s="13"/>
    </row>
    <row r="2038" spans="11:11" ht="15.75" customHeight="1" x14ac:dyDescent="0.2">
      <c r="K2038" s="13"/>
    </row>
    <row r="2039" spans="11:11" ht="15.75" customHeight="1" x14ac:dyDescent="0.2">
      <c r="K2039" s="13"/>
    </row>
    <row r="2040" spans="11:11" ht="15.75" customHeight="1" x14ac:dyDescent="0.2">
      <c r="K2040" s="13"/>
    </row>
    <row r="2041" spans="11:11" ht="15.75" customHeight="1" x14ac:dyDescent="0.2">
      <c r="K2041" s="13"/>
    </row>
    <row r="2042" spans="11:11" ht="15.75" customHeight="1" x14ac:dyDescent="0.2">
      <c r="K2042" s="13"/>
    </row>
    <row r="2043" spans="11:11" ht="15.75" customHeight="1" x14ac:dyDescent="0.2">
      <c r="K2043" s="13"/>
    </row>
    <row r="2044" spans="11:11" ht="15.75" customHeight="1" x14ac:dyDescent="0.2">
      <c r="K2044" s="13"/>
    </row>
    <row r="2045" spans="11:11" ht="15.75" customHeight="1" x14ac:dyDescent="0.2">
      <c r="K2045" s="13"/>
    </row>
    <row r="2046" spans="11:11" ht="15.75" customHeight="1" x14ac:dyDescent="0.2">
      <c r="K2046" s="13"/>
    </row>
    <row r="2047" spans="11:11" ht="15.75" customHeight="1" x14ac:dyDescent="0.2">
      <c r="K2047" s="13"/>
    </row>
    <row r="2048" spans="11:11" ht="15.75" customHeight="1" x14ac:dyDescent="0.2">
      <c r="K2048" s="13"/>
    </row>
    <row r="2049" spans="11:11" ht="15.75" customHeight="1" x14ac:dyDescent="0.2">
      <c r="K2049" s="13"/>
    </row>
    <row r="2050" spans="11:11" ht="15.75" customHeight="1" x14ac:dyDescent="0.2">
      <c r="K2050" s="13"/>
    </row>
    <row r="2051" spans="11:11" ht="15.75" customHeight="1" x14ac:dyDescent="0.2">
      <c r="K2051" s="13"/>
    </row>
    <row r="2052" spans="11:11" ht="15.75" customHeight="1" x14ac:dyDescent="0.2">
      <c r="K2052" s="13"/>
    </row>
    <row r="2053" spans="11:11" ht="15.75" customHeight="1" x14ac:dyDescent="0.2">
      <c r="K2053" s="13"/>
    </row>
    <row r="2054" spans="11:11" ht="15.75" customHeight="1" x14ac:dyDescent="0.2">
      <c r="K2054" s="13"/>
    </row>
    <row r="2055" spans="11:11" ht="15.75" customHeight="1" x14ac:dyDescent="0.2">
      <c r="K2055" s="13"/>
    </row>
    <row r="2056" spans="11:11" ht="15.75" customHeight="1" x14ac:dyDescent="0.2">
      <c r="K2056" s="13"/>
    </row>
    <row r="2057" spans="11:11" ht="15.75" customHeight="1" x14ac:dyDescent="0.2">
      <c r="K2057" s="13"/>
    </row>
    <row r="2058" spans="11:11" ht="15.75" customHeight="1" x14ac:dyDescent="0.2">
      <c r="K2058" s="13"/>
    </row>
    <row r="2059" spans="11:11" ht="15.75" customHeight="1" x14ac:dyDescent="0.2">
      <c r="K2059" s="13"/>
    </row>
    <row r="2060" spans="11:11" ht="15.75" customHeight="1" x14ac:dyDescent="0.2">
      <c r="K2060" s="13"/>
    </row>
    <row r="2061" spans="11:11" ht="15.75" customHeight="1" x14ac:dyDescent="0.2">
      <c r="K2061" s="13"/>
    </row>
    <row r="2062" spans="11:11" ht="15.75" customHeight="1" x14ac:dyDescent="0.2">
      <c r="K2062" s="13"/>
    </row>
    <row r="2063" spans="11:11" ht="15.75" customHeight="1" x14ac:dyDescent="0.2">
      <c r="K2063" s="13"/>
    </row>
    <row r="2064" spans="11:11" ht="15.75" customHeight="1" x14ac:dyDescent="0.2">
      <c r="K2064" s="13"/>
    </row>
    <row r="2065" spans="11:11" ht="15.75" customHeight="1" x14ac:dyDescent="0.2">
      <c r="K2065" s="13"/>
    </row>
    <row r="2066" spans="11:11" ht="15.75" customHeight="1" x14ac:dyDescent="0.2">
      <c r="K2066" s="13"/>
    </row>
    <row r="2067" spans="11:11" ht="15.75" customHeight="1" x14ac:dyDescent="0.2">
      <c r="K2067" s="13"/>
    </row>
    <row r="2068" spans="11:11" ht="15.75" customHeight="1" x14ac:dyDescent="0.2">
      <c r="K2068" s="13"/>
    </row>
    <row r="2069" spans="11:11" ht="15.75" customHeight="1" x14ac:dyDescent="0.2">
      <c r="K2069" s="13"/>
    </row>
    <row r="2070" spans="11:11" ht="15.75" customHeight="1" x14ac:dyDescent="0.2">
      <c r="K2070" s="13"/>
    </row>
    <row r="2071" spans="11:11" ht="15.75" customHeight="1" x14ac:dyDescent="0.2">
      <c r="K2071" s="13"/>
    </row>
    <row r="2072" spans="11:11" ht="15.75" customHeight="1" x14ac:dyDescent="0.2">
      <c r="K2072" s="13"/>
    </row>
    <row r="2073" spans="11:11" ht="15.75" customHeight="1" x14ac:dyDescent="0.2">
      <c r="K2073" s="13"/>
    </row>
    <row r="2074" spans="11:11" ht="15.75" customHeight="1" x14ac:dyDescent="0.2">
      <c r="K2074" s="13"/>
    </row>
    <row r="2075" spans="11:11" ht="15.75" customHeight="1" x14ac:dyDescent="0.2">
      <c r="K2075" s="13"/>
    </row>
    <row r="2076" spans="11:11" ht="15.75" customHeight="1" x14ac:dyDescent="0.2">
      <c r="K2076" s="13"/>
    </row>
    <row r="2077" spans="11:11" ht="15.75" customHeight="1" x14ac:dyDescent="0.2">
      <c r="K2077" s="13"/>
    </row>
    <row r="2078" spans="11:11" ht="15.75" customHeight="1" x14ac:dyDescent="0.2">
      <c r="K2078" s="13"/>
    </row>
    <row r="2079" spans="11:11" ht="15.75" customHeight="1" x14ac:dyDescent="0.2">
      <c r="K2079" s="13"/>
    </row>
    <row r="2080" spans="11:11" ht="15.75" customHeight="1" x14ac:dyDescent="0.2">
      <c r="K2080" s="13"/>
    </row>
    <row r="2081" spans="11:11" ht="15.75" customHeight="1" x14ac:dyDescent="0.2">
      <c r="K2081" s="13"/>
    </row>
    <row r="2082" spans="11:11" ht="15.75" customHeight="1" x14ac:dyDescent="0.2">
      <c r="K2082" s="13"/>
    </row>
    <row r="2083" spans="11:11" ht="15.75" customHeight="1" x14ac:dyDescent="0.2">
      <c r="K2083" s="13"/>
    </row>
    <row r="2084" spans="11:11" ht="15.75" customHeight="1" x14ac:dyDescent="0.2">
      <c r="K2084" s="13"/>
    </row>
    <row r="2085" spans="11:11" ht="15.75" customHeight="1" x14ac:dyDescent="0.2">
      <c r="K2085" s="13"/>
    </row>
    <row r="2086" spans="11:11" ht="15.75" customHeight="1" x14ac:dyDescent="0.2">
      <c r="K2086" s="13"/>
    </row>
    <row r="2087" spans="11:11" ht="15.75" customHeight="1" x14ac:dyDescent="0.2">
      <c r="K2087" s="13"/>
    </row>
    <row r="2088" spans="11:11" ht="15.75" customHeight="1" x14ac:dyDescent="0.2">
      <c r="K2088" s="13"/>
    </row>
    <row r="2089" spans="11:11" ht="15.75" customHeight="1" x14ac:dyDescent="0.2">
      <c r="K2089" s="13"/>
    </row>
    <row r="2090" spans="11:11" ht="15.75" customHeight="1" x14ac:dyDescent="0.2">
      <c r="K2090" s="13"/>
    </row>
    <row r="2091" spans="11:11" ht="15.75" customHeight="1" x14ac:dyDescent="0.2">
      <c r="K2091" s="13"/>
    </row>
    <row r="2092" spans="11:11" ht="15.75" customHeight="1" x14ac:dyDescent="0.2">
      <c r="K2092" s="13"/>
    </row>
    <row r="2093" spans="11:11" ht="15.75" customHeight="1" x14ac:dyDescent="0.2">
      <c r="K2093" s="13"/>
    </row>
    <row r="2094" spans="11:11" ht="15.75" customHeight="1" x14ac:dyDescent="0.2">
      <c r="K2094" s="13"/>
    </row>
    <row r="2095" spans="11:11" ht="15.75" customHeight="1" x14ac:dyDescent="0.2">
      <c r="K2095" s="13"/>
    </row>
    <row r="2096" spans="11:11" ht="15.75" customHeight="1" x14ac:dyDescent="0.2">
      <c r="K2096" s="13"/>
    </row>
    <row r="2097" spans="11:11" ht="15.75" customHeight="1" x14ac:dyDescent="0.2">
      <c r="K2097" s="13"/>
    </row>
    <row r="2098" spans="11:11" ht="15.75" customHeight="1" x14ac:dyDescent="0.2">
      <c r="K2098" s="13"/>
    </row>
    <row r="2099" spans="11:11" ht="15.75" customHeight="1" x14ac:dyDescent="0.2">
      <c r="K2099" s="13"/>
    </row>
    <row r="2100" spans="11:11" ht="15.75" customHeight="1" x14ac:dyDescent="0.2">
      <c r="K2100" s="13"/>
    </row>
    <row r="2101" spans="11:11" ht="15.75" customHeight="1" x14ac:dyDescent="0.2">
      <c r="K2101" s="13"/>
    </row>
    <row r="2102" spans="11:11" ht="15.75" customHeight="1" x14ac:dyDescent="0.2">
      <c r="K2102" s="13"/>
    </row>
    <row r="2103" spans="11:11" ht="15.75" customHeight="1" x14ac:dyDescent="0.2">
      <c r="K2103" s="13"/>
    </row>
    <row r="2104" spans="11:11" ht="15.75" customHeight="1" x14ac:dyDescent="0.2">
      <c r="K2104" s="13"/>
    </row>
    <row r="2105" spans="11:11" ht="15.75" customHeight="1" x14ac:dyDescent="0.2">
      <c r="K2105" s="13"/>
    </row>
    <row r="2106" spans="11:11" ht="15.75" customHeight="1" x14ac:dyDescent="0.2">
      <c r="K2106" s="13"/>
    </row>
    <row r="2107" spans="11:11" ht="15.75" customHeight="1" x14ac:dyDescent="0.2">
      <c r="K2107" s="13"/>
    </row>
    <row r="2108" spans="11:11" ht="15.75" customHeight="1" x14ac:dyDescent="0.2">
      <c r="K2108" s="13"/>
    </row>
    <row r="2109" spans="11:11" ht="15.75" customHeight="1" x14ac:dyDescent="0.2">
      <c r="K2109" s="13"/>
    </row>
    <row r="2110" spans="11:11" ht="15.75" customHeight="1" x14ac:dyDescent="0.2">
      <c r="K2110" s="13"/>
    </row>
    <row r="2111" spans="11:11" ht="15.75" customHeight="1" x14ac:dyDescent="0.2">
      <c r="K2111" s="13"/>
    </row>
    <row r="2112" spans="11:11" ht="15.75" customHeight="1" x14ac:dyDescent="0.2">
      <c r="K2112" s="13"/>
    </row>
    <row r="2113" spans="11:11" ht="15.75" customHeight="1" x14ac:dyDescent="0.2">
      <c r="K2113" s="13"/>
    </row>
    <row r="2114" spans="11:11" ht="15.75" customHeight="1" x14ac:dyDescent="0.2">
      <c r="K2114" s="13"/>
    </row>
    <row r="2115" spans="11:11" ht="15.75" customHeight="1" x14ac:dyDescent="0.2">
      <c r="K2115" s="13"/>
    </row>
    <row r="2116" spans="11:11" ht="15.75" customHeight="1" x14ac:dyDescent="0.2">
      <c r="K2116" s="13"/>
    </row>
    <row r="2117" spans="11:11" ht="15.75" customHeight="1" x14ac:dyDescent="0.2">
      <c r="K2117" s="13"/>
    </row>
    <row r="2118" spans="11:11" ht="15.75" customHeight="1" x14ac:dyDescent="0.2">
      <c r="K2118" s="13"/>
    </row>
    <row r="2119" spans="11:11" ht="15.75" customHeight="1" x14ac:dyDescent="0.2">
      <c r="K2119" s="13"/>
    </row>
    <row r="2120" spans="11:11" ht="15.75" customHeight="1" x14ac:dyDescent="0.2">
      <c r="K2120" s="13"/>
    </row>
    <row r="2121" spans="11:11" ht="15.75" customHeight="1" x14ac:dyDescent="0.2">
      <c r="K2121" s="13"/>
    </row>
    <row r="2122" spans="11:11" ht="15.75" customHeight="1" x14ac:dyDescent="0.2">
      <c r="K2122" s="13"/>
    </row>
    <row r="2123" spans="11:11" ht="15.75" customHeight="1" x14ac:dyDescent="0.2">
      <c r="K2123" s="13"/>
    </row>
    <row r="2124" spans="11:11" ht="15.75" customHeight="1" x14ac:dyDescent="0.2">
      <c r="K2124" s="13"/>
    </row>
    <row r="2125" spans="11:11" ht="15.75" customHeight="1" x14ac:dyDescent="0.2">
      <c r="K2125" s="13"/>
    </row>
    <row r="2126" spans="11:11" ht="15.75" customHeight="1" x14ac:dyDescent="0.2">
      <c r="K2126" s="13"/>
    </row>
    <row r="2127" spans="11:11" ht="15.75" customHeight="1" x14ac:dyDescent="0.2">
      <c r="K2127" s="13"/>
    </row>
    <row r="2128" spans="11:11" ht="15.75" customHeight="1" x14ac:dyDescent="0.2">
      <c r="K2128" s="13"/>
    </row>
    <row r="2129" spans="11:11" ht="15.75" customHeight="1" x14ac:dyDescent="0.2">
      <c r="K2129" s="13"/>
    </row>
    <row r="2130" spans="11:11" ht="15.75" customHeight="1" x14ac:dyDescent="0.2">
      <c r="K2130" s="13"/>
    </row>
    <row r="2131" spans="11:11" ht="15.75" customHeight="1" x14ac:dyDescent="0.2">
      <c r="K2131" s="13"/>
    </row>
    <row r="2132" spans="11:11" ht="15.75" customHeight="1" x14ac:dyDescent="0.2">
      <c r="K2132" s="13"/>
    </row>
    <row r="2133" spans="11:11" ht="15.75" customHeight="1" x14ac:dyDescent="0.2">
      <c r="K2133" s="13"/>
    </row>
    <row r="2134" spans="11:11" ht="15.75" customHeight="1" x14ac:dyDescent="0.2">
      <c r="K2134" s="13"/>
    </row>
    <row r="2135" spans="11:11" ht="15.75" customHeight="1" x14ac:dyDescent="0.2">
      <c r="K2135" s="13"/>
    </row>
    <row r="2136" spans="11:11" ht="15.75" customHeight="1" x14ac:dyDescent="0.2">
      <c r="K2136" s="13"/>
    </row>
    <row r="2137" spans="11:11" ht="15.75" customHeight="1" x14ac:dyDescent="0.2">
      <c r="K2137" s="13"/>
    </row>
    <row r="2138" spans="11:11" ht="15.75" customHeight="1" x14ac:dyDescent="0.2">
      <c r="K2138" s="13"/>
    </row>
    <row r="2139" spans="11:11" ht="15.75" customHeight="1" x14ac:dyDescent="0.2">
      <c r="K2139" s="13"/>
    </row>
    <row r="2140" spans="11:11" ht="15.75" customHeight="1" x14ac:dyDescent="0.2">
      <c r="K2140" s="13"/>
    </row>
    <row r="2141" spans="11:11" ht="15.75" customHeight="1" x14ac:dyDescent="0.2">
      <c r="K2141" s="13"/>
    </row>
    <row r="2142" spans="11:11" ht="15.75" customHeight="1" x14ac:dyDescent="0.2">
      <c r="K2142" s="13"/>
    </row>
    <row r="2143" spans="11:11" ht="15.75" customHeight="1" x14ac:dyDescent="0.2">
      <c r="K2143" s="13"/>
    </row>
    <row r="2144" spans="11:11" ht="15.75" customHeight="1" x14ac:dyDescent="0.2">
      <c r="K2144" s="13"/>
    </row>
    <row r="2145" spans="11:11" ht="15.75" customHeight="1" x14ac:dyDescent="0.2">
      <c r="K2145" s="13"/>
    </row>
    <row r="2146" spans="11:11" ht="15.75" customHeight="1" x14ac:dyDescent="0.2">
      <c r="K2146" s="13"/>
    </row>
    <row r="2147" spans="11:11" ht="15.75" customHeight="1" x14ac:dyDescent="0.2">
      <c r="K2147" s="13"/>
    </row>
    <row r="2148" spans="11:11" ht="15.75" customHeight="1" x14ac:dyDescent="0.2">
      <c r="K2148" s="13"/>
    </row>
    <row r="2149" spans="11:11" ht="15.75" customHeight="1" x14ac:dyDescent="0.2">
      <c r="K2149" s="13"/>
    </row>
    <row r="2150" spans="11:11" ht="15.75" customHeight="1" x14ac:dyDescent="0.2">
      <c r="K2150" s="13"/>
    </row>
    <row r="2151" spans="11:11" ht="15.75" customHeight="1" x14ac:dyDescent="0.2">
      <c r="K2151" s="13"/>
    </row>
    <row r="2152" spans="11:11" ht="15.75" customHeight="1" x14ac:dyDescent="0.2">
      <c r="K2152" s="13"/>
    </row>
    <row r="2153" spans="11:11" ht="15.75" customHeight="1" x14ac:dyDescent="0.2">
      <c r="K2153" s="13"/>
    </row>
    <row r="2154" spans="11:11" ht="15.75" customHeight="1" x14ac:dyDescent="0.2">
      <c r="K2154" s="13"/>
    </row>
    <row r="2155" spans="11:11" ht="15.75" customHeight="1" x14ac:dyDescent="0.2">
      <c r="K2155" s="13"/>
    </row>
    <row r="2156" spans="11:11" ht="15.75" customHeight="1" x14ac:dyDescent="0.2">
      <c r="K2156" s="13"/>
    </row>
    <row r="2157" spans="11:11" ht="15.75" customHeight="1" x14ac:dyDescent="0.2">
      <c r="K2157" s="13"/>
    </row>
    <row r="2158" spans="11:11" ht="15.75" customHeight="1" x14ac:dyDescent="0.2">
      <c r="K2158" s="13"/>
    </row>
    <row r="2159" spans="11:11" ht="15.75" customHeight="1" x14ac:dyDescent="0.2">
      <c r="K2159" s="13"/>
    </row>
    <row r="2160" spans="11:11" ht="15.75" customHeight="1" x14ac:dyDescent="0.2">
      <c r="K2160" s="13"/>
    </row>
    <row r="2161" spans="11:11" ht="15.75" customHeight="1" x14ac:dyDescent="0.2">
      <c r="K2161" s="13"/>
    </row>
    <row r="2162" spans="11:11" ht="15.75" customHeight="1" x14ac:dyDescent="0.2">
      <c r="K2162" s="13"/>
    </row>
    <row r="2163" spans="11:11" ht="15.75" customHeight="1" x14ac:dyDescent="0.2">
      <c r="K2163" s="13"/>
    </row>
    <row r="2164" spans="11:11" ht="15.75" customHeight="1" x14ac:dyDescent="0.2">
      <c r="K2164" s="13"/>
    </row>
    <row r="2165" spans="11:11" ht="15.75" customHeight="1" x14ac:dyDescent="0.2">
      <c r="K2165" s="13"/>
    </row>
    <row r="2166" spans="11:11" ht="15.75" customHeight="1" x14ac:dyDescent="0.2">
      <c r="K2166" s="13"/>
    </row>
    <row r="2167" spans="11:11" ht="15.75" customHeight="1" x14ac:dyDescent="0.2">
      <c r="K2167" s="13"/>
    </row>
    <row r="2168" spans="11:11" ht="15.75" customHeight="1" x14ac:dyDescent="0.2">
      <c r="K2168" s="13"/>
    </row>
    <row r="2169" spans="11:11" ht="15.75" customHeight="1" x14ac:dyDescent="0.2">
      <c r="K2169" s="13"/>
    </row>
    <row r="2170" spans="11:11" ht="15.75" customHeight="1" x14ac:dyDescent="0.2">
      <c r="K2170" s="13"/>
    </row>
    <row r="2171" spans="11:11" ht="15.75" customHeight="1" x14ac:dyDescent="0.2">
      <c r="K2171" s="13"/>
    </row>
    <row r="2172" spans="11:11" ht="15.75" customHeight="1" x14ac:dyDescent="0.2">
      <c r="K2172" s="13"/>
    </row>
    <row r="2173" spans="11:11" ht="15.75" customHeight="1" x14ac:dyDescent="0.2">
      <c r="K2173" s="13"/>
    </row>
    <row r="2174" spans="11:11" ht="15.75" customHeight="1" x14ac:dyDescent="0.2">
      <c r="K2174" s="13"/>
    </row>
    <row r="2175" spans="11:11" ht="15.75" customHeight="1" x14ac:dyDescent="0.2">
      <c r="K2175" s="13"/>
    </row>
    <row r="2176" spans="11:11" ht="15.75" customHeight="1" x14ac:dyDescent="0.2">
      <c r="K2176" s="13"/>
    </row>
    <row r="2177" spans="11:11" ht="15.75" customHeight="1" x14ac:dyDescent="0.2">
      <c r="K2177" s="13"/>
    </row>
    <row r="2178" spans="11:11" ht="15.75" customHeight="1" x14ac:dyDescent="0.2">
      <c r="K2178" s="13"/>
    </row>
    <row r="2179" spans="11:11" ht="15.75" customHeight="1" x14ac:dyDescent="0.2">
      <c r="K2179" s="13"/>
    </row>
    <row r="2180" spans="11:11" ht="15.75" customHeight="1" x14ac:dyDescent="0.2">
      <c r="K2180" s="13"/>
    </row>
    <row r="2181" spans="11:11" ht="15.75" customHeight="1" x14ac:dyDescent="0.2">
      <c r="K2181" s="13"/>
    </row>
    <row r="2182" spans="11:11" ht="15.75" customHeight="1" x14ac:dyDescent="0.2">
      <c r="K2182" s="13"/>
    </row>
    <row r="2183" spans="11:11" ht="15.75" customHeight="1" x14ac:dyDescent="0.2">
      <c r="K2183" s="13"/>
    </row>
    <row r="2184" spans="11:11" ht="15.75" customHeight="1" x14ac:dyDescent="0.2">
      <c r="K2184" s="13"/>
    </row>
    <row r="2185" spans="11:11" ht="15.75" customHeight="1" x14ac:dyDescent="0.2">
      <c r="K2185" s="13"/>
    </row>
    <row r="2186" spans="11:11" ht="15.75" customHeight="1" x14ac:dyDescent="0.2">
      <c r="K2186" s="13"/>
    </row>
    <row r="2187" spans="11:11" ht="15.75" customHeight="1" x14ac:dyDescent="0.2">
      <c r="K2187" s="13"/>
    </row>
    <row r="2188" spans="11:11" ht="15.75" customHeight="1" x14ac:dyDescent="0.2">
      <c r="K2188" s="13"/>
    </row>
    <row r="2189" spans="11:11" ht="15.75" customHeight="1" x14ac:dyDescent="0.2">
      <c r="K2189" s="13"/>
    </row>
    <row r="2190" spans="11:11" ht="15.75" customHeight="1" x14ac:dyDescent="0.2">
      <c r="K2190" s="13"/>
    </row>
    <row r="2191" spans="11:11" ht="15.75" customHeight="1" x14ac:dyDescent="0.2">
      <c r="K2191" s="13"/>
    </row>
    <row r="2192" spans="11:11" ht="15.75" customHeight="1" x14ac:dyDescent="0.2">
      <c r="K2192" s="13"/>
    </row>
    <row r="2193" spans="11:11" ht="15.75" customHeight="1" x14ac:dyDescent="0.2">
      <c r="K2193" s="13"/>
    </row>
    <row r="2194" spans="11:11" ht="15.75" customHeight="1" x14ac:dyDescent="0.2">
      <c r="K2194" s="13"/>
    </row>
    <row r="2195" spans="11:11" ht="15.75" customHeight="1" x14ac:dyDescent="0.2">
      <c r="K2195" s="13"/>
    </row>
    <row r="2196" spans="11:11" ht="15.75" customHeight="1" x14ac:dyDescent="0.2">
      <c r="K2196" s="13"/>
    </row>
    <row r="2197" spans="11:11" ht="15.75" customHeight="1" x14ac:dyDescent="0.2">
      <c r="K2197" s="13"/>
    </row>
    <row r="2198" spans="11:11" ht="15.75" customHeight="1" x14ac:dyDescent="0.2">
      <c r="K2198" s="13"/>
    </row>
    <row r="2199" spans="11:11" ht="15.75" customHeight="1" x14ac:dyDescent="0.2">
      <c r="K2199" s="13"/>
    </row>
    <row r="2200" spans="11:11" ht="15.75" customHeight="1" x14ac:dyDescent="0.2">
      <c r="K2200" s="13"/>
    </row>
    <row r="2201" spans="11:11" ht="15.75" customHeight="1" x14ac:dyDescent="0.2">
      <c r="K2201" s="13"/>
    </row>
    <row r="2202" spans="11:11" ht="15.75" customHeight="1" x14ac:dyDescent="0.2">
      <c r="K2202" s="13"/>
    </row>
    <row r="2203" spans="11:11" ht="15.75" customHeight="1" x14ac:dyDescent="0.2">
      <c r="K2203" s="13"/>
    </row>
    <row r="2204" spans="11:11" ht="15.75" customHeight="1" x14ac:dyDescent="0.2">
      <c r="K2204" s="13"/>
    </row>
    <row r="2205" spans="11:11" ht="15.75" customHeight="1" x14ac:dyDescent="0.2">
      <c r="K2205" s="13"/>
    </row>
    <row r="2206" spans="11:11" ht="15.75" customHeight="1" x14ac:dyDescent="0.2">
      <c r="K2206" s="13"/>
    </row>
    <row r="2207" spans="11:11" ht="15.75" customHeight="1" x14ac:dyDescent="0.2">
      <c r="K2207" s="13"/>
    </row>
    <row r="2208" spans="11:11" ht="15.75" customHeight="1" x14ac:dyDescent="0.2">
      <c r="K2208" s="13"/>
    </row>
    <row r="2209" spans="11:11" ht="15.75" customHeight="1" x14ac:dyDescent="0.2">
      <c r="K2209" s="13"/>
    </row>
    <row r="2210" spans="11:11" ht="15.75" customHeight="1" x14ac:dyDescent="0.2">
      <c r="K2210" s="13"/>
    </row>
    <row r="2211" spans="11:11" ht="15.75" customHeight="1" x14ac:dyDescent="0.2">
      <c r="K2211" s="13"/>
    </row>
    <row r="2212" spans="11:11" ht="15.75" customHeight="1" x14ac:dyDescent="0.2">
      <c r="K2212" s="13"/>
    </row>
    <row r="2213" spans="11:11" ht="15.75" customHeight="1" x14ac:dyDescent="0.2">
      <c r="K2213" s="13"/>
    </row>
    <row r="2214" spans="11:11" ht="15.75" customHeight="1" x14ac:dyDescent="0.2">
      <c r="K2214" s="13"/>
    </row>
    <row r="2215" spans="11:11" ht="15.75" customHeight="1" x14ac:dyDescent="0.2">
      <c r="K2215" s="13"/>
    </row>
    <row r="2216" spans="11:11" ht="15.75" customHeight="1" x14ac:dyDescent="0.2">
      <c r="K2216" s="13"/>
    </row>
    <row r="2217" spans="11:11" ht="15.75" customHeight="1" x14ac:dyDescent="0.2">
      <c r="K2217" s="13"/>
    </row>
    <row r="2218" spans="11:11" ht="15.75" customHeight="1" x14ac:dyDescent="0.2">
      <c r="K2218" s="13"/>
    </row>
    <row r="2219" spans="11:11" ht="15.75" customHeight="1" x14ac:dyDescent="0.2">
      <c r="K2219" s="13"/>
    </row>
    <row r="2220" spans="11:11" ht="15.75" customHeight="1" x14ac:dyDescent="0.2">
      <c r="K2220" s="13"/>
    </row>
    <row r="2221" spans="11:11" ht="15.75" customHeight="1" x14ac:dyDescent="0.2">
      <c r="K2221" s="13"/>
    </row>
    <row r="2222" spans="11:11" ht="15.75" customHeight="1" x14ac:dyDescent="0.2">
      <c r="K2222" s="13"/>
    </row>
    <row r="2223" spans="11:11" ht="15.75" customHeight="1" x14ac:dyDescent="0.2">
      <c r="K2223" s="13"/>
    </row>
    <row r="2224" spans="11:11" ht="15.75" customHeight="1" x14ac:dyDescent="0.2">
      <c r="K2224" s="13"/>
    </row>
    <row r="2225" spans="11:11" ht="15.75" customHeight="1" x14ac:dyDescent="0.2">
      <c r="K2225" s="13"/>
    </row>
    <row r="2226" spans="11:11" ht="15.75" customHeight="1" x14ac:dyDescent="0.2">
      <c r="K2226" s="13"/>
    </row>
    <row r="2227" spans="11:11" ht="15.75" customHeight="1" x14ac:dyDescent="0.2">
      <c r="K2227" s="13"/>
    </row>
    <row r="2228" spans="11:11" ht="15.75" customHeight="1" x14ac:dyDescent="0.2">
      <c r="K2228" s="13"/>
    </row>
    <row r="2229" spans="11:11" ht="15.75" customHeight="1" x14ac:dyDescent="0.2">
      <c r="K2229" s="13"/>
    </row>
    <row r="2230" spans="11:11" ht="15.75" customHeight="1" x14ac:dyDescent="0.2">
      <c r="K2230" s="13"/>
    </row>
    <row r="2231" spans="11:11" ht="15.75" customHeight="1" x14ac:dyDescent="0.2">
      <c r="K2231" s="13"/>
    </row>
    <row r="2232" spans="11:11" ht="15.75" customHeight="1" x14ac:dyDescent="0.2">
      <c r="K2232" s="13"/>
    </row>
    <row r="2233" spans="11:11" ht="15.75" customHeight="1" x14ac:dyDescent="0.2">
      <c r="K2233" s="13"/>
    </row>
    <row r="2234" spans="11:11" ht="15.75" customHeight="1" x14ac:dyDescent="0.2">
      <c r="K2234" s="13"/>
    </row>
    <row r="2235" spans="11:11" ht="15.75" customHeight="1" x14ac:dyDescent="0.2">
      <c r="K2235" s="13"/>
    </row>
    <row r="2236" spans="11:11" ht="15.75" customHeight="1" x14ac:dyDescent="0.2">
      <c r="K2236" s="13"/>
    </row>
    <row r="2237" spans="11:11" ht="15.75" customHeight="1" x14ac:dyDescent="0.2">
      <c r="K2237" s="13"/>
    </row>
    <row r="2238" spans="11:11" ht="15.75" customHeight="1" x14ac:dyDescent="0.2">
      <c r="K2238" s="13"/>
    </row>
    <row r="2239" spans="11:11" ht="15.75" customHeight="1" x14ac:dyDescent="0.2">
      <c r="K2239" s="13"/>
    </row>
    <row r="2240" spans="11:11" ht="15.75" customHeight="1" x14ac:dyDescent="0.2">
      <c r="K2240" s="13"/>
    </row>
    <row r="2241" spans="11:11" ht="15.75" customHeight="1" x14ac:dyDescent="0.2">
      <c r="K2241" s="13"/>
    </row>
    <row r="2242" spans="11:11" ht="15.75" customHeight="1" x14ac:dyDescent="0.2">
      <c r="K2242" s="13"/>
    </row>
    <row r="2243" spans="11:11" ht="15.75" customHeight="1" x14ac:dyDescent="0.2">
      <c r="K2243" s="13"/>
    </row>
    <row r="2244" spans="11:11" ht="15.75" customHeight="1" x14ac:dyDescent="0.2">
      <c r="K2244" s="13"/>
    </row>
    <row r="2245" spans="11:11" ht="15.75" customHeight="1" x14ac:dyDescent="0.2">
      <c r="K2245" s="13"/>
    </row>
    <row r="2246" spans="11:11" ht="15.75" customHeight="1" x14ac:dyDescent="0.2">
      <c r="K2246" s="13"/>
    </row>
    <row r="2247" spans="11:11" ht="15.75" customHeight="1" x14ac:dyDescent="0.2">
      <c r="K2247" s="13"/>
    </row>
    <row r="2248" spans="11:11" ht="15.75" customHeight="1" x14ac:dyDescent="0.2">
      <c r="K2248" s="13"/>
    </row>
    <row r="2249" spans="11:11" ht="15.75" customHeight="1" x14ac:dyDescent="0.2">
      <c r="K2249" s="13"/>
    </row>
    <row r="2250" spans="11:11" ht="15.75" customHeight="1" x14ac:dyDescent="0.2">
      <c r="K2250" s="13"/>
    </row>
    <row r="2251" spans="11:11" ht="15.75" customHeight="1" x14ac:dyDescent="0.2">
      <c r="K2251" s="13"/>
    </row>
    <row r="2252" spans="11:11" ht="15.75" customHeight="1" x14ac:dyDescent="0.2">
      <c r="K2252" s="13"/>
    </row>
    <row r="2253" spans="11:11" ht="15.75" customHeight="1" x14ac:dyDescent="0.2">
      <c r="K2253" s="13"/>
    </row>
    <row r="2254" spans="11:11" ht="15.75" customHeight="1" x14ac:dyDescent="0.2">
      <c r="K2254" s="13"/>
    </row>
    <row r="2255" spans="11:11" ht="15.75" customHeight="1" x14ac:dyDescent="0.2">
      <c r="K2255" s="13"/>
    </row>
    <row r="2256" spans="11:11" ht="15.75" customHeight="1" x14ac:dyDescent="0.2">
      <c r="K2256" s="13"/>
    </row>
    <row r="2257" spans="11:11" ht="15.75" customHeight="1" x14ac:dyDescent="0.2">
      <c r="K2257" s="13"/>
    </row>
    <row r="2258" spans="11:11" ht="15.75" customHeight="1" x14ac:dyDescent="0.2">
      <c r="K2258" s="13"/>
    </row>
    <row r="2259" spans="11:11" ht="15.75" customHeight="1" x14ac:dyDescent="0.2">
      <c r="K2259" s="13"/>
    </row>
    <row r="2260" spans="11:11" ht="15.75" customHeight="1" x14ac:dyDescent="0.2">
      <c r="K2260" s="13"/>
    </row>
    <row r="2261" spans="11:11" ht="15.75" customHeight="1" x14ac:dyDescent="0.2">
      <c r="K2261" s="13"/>
    </row>
    <row r="2262" spans="11:11" ht="15.75" customHeight="1" x14ac:dyDescent="0.2">
      <c r="K2262" s="13"/>
    </row>
    <row r="2263" spans="11:11" ht="15.75" customHeight="1" x14ac:dyDescent="0.2">
      <c r="K2263" s="13"/>
    </row>
    <row r="2264" spans="11:11" ht="15.75" customHeight="1" x14ac:dyDescent="0.2">
      <c r="K2264" s="13"/>
    </row>
    <row r="2265" spans="11:11" ht="15.75" customHeight="1" x14ac:dyDescent="0.2">
      <c r="K2265" s="13"/>
    </row>
    <row r="2266" spans="11:11" ht="15.75" customHeight="1" x14ac:dyDescent="0.2">
      <c r="K2266" s="13"/>
    </row>
    <row r="2267" spans="11:11" ht="15.75" customHeight="1" x14ac:dyDescent="0.2">
      <c r="K2267" s="13"/>
    </row>
    <row r="2268" spans="11:11" ht="15.75" customHeight="1" x14ac:dyDescent="0.2">
      <c r="K2268" s="13"/>
    </row>
    <row r="2269" spans="11:11" ht="15.75" customHeight="1" x14ac:dyDescent="0.2">
      <c r="K2269" s="13"/>
    </row>
    <row r="2270" spans="11:11" ht="15.75" customHeight="1" x14ac:dyDescent="0.2">
      <c r="K2270" s="13"/>
    </row>
    <row r="2271" spans="11:11" ht="15.75" customHeight="1" x14ac:dyDescent="0.2">
      <c r="K2271" s="13"/>
    </row>
    <row r="2272" spans="11:11" ht="15.75" customHeight="1" x14ac:dyDescent="0.2">
      <c r="K2272" s="13"/>
    </row>
    <row r="2273" spans="11:11" ht="15.75" customHeight="1" x14ac:dyDescent="0.2">
      <c r="K2273" s="13"/>
    </row>
    <row r="2274" spans="11:11" ht="15.75" customHeight="1" x14ac:dyDescent="0.2">
      <c r="K2274" s="13"/>
    </row>
    <row r="2275" spans="11:11" ht="15.75" customHeight="1" x14ac:dyDescent="0.2">
      <c r="K2275" s="13"/>
    </row>
    <row r="2276" spans="11:11" ht="15.75" customHeight="1" x14ac:dyDescent="0.2">
      <c r="K2276" s="13"/>
    </row>
    <row r="2277" spans="11:11" ht="15.75" customHeight="1" x14ac:dyDescent="0.2">
      <c r="K2277" s="13"/>
    </row>
    <row r="2278" spans="11:11" ht="15.75" customHeight="1" x14ac:dyDescent="0.2">
      <c r="K2278" s="13"/>
    </row>
    <row r="2279" spans="11:11" ht="15.75" customHeight="1" x14ac:dyDescent="0.2">
      <c r="K2279" s="13"/>
    </row>
    <row r="2280" spans="11:11" ht="15.75" customHeight="1" x14ac:dyDescent="0.2">
      <c r="K2280" s="13"/>
    </row>
    <row r="2281" spans="11:11" ht="15.75" customHeight="1" x14ac:dyDescent="0.2">
      <c r="K2281" s="13"/>
    </row>
    <row r="2282" spans="11:11" ht="15.75" customHeight="1" x14ac:dyDescent="0.2">
      <c r="K2282" s="13"/>
    </row>
    <row r="2283" spans="11:11" ht="15.75" customHeight="1" x14ac:dyDescent="0.2">
      <c r="K2283" s="13"/>
    </row>
    <row r="2284" spans="11:11" ht="15.75" customHeight="1" x14ac:dyDescent="0.2">
      <c r="K2284" s="13"/>
    </row>
    <row r="2285" spans="11:11" ht="15.75" customHeight="1" x14ac:dyDescent="0.2">
      <c r="K2285" s="13"/>
    </row>
    <row r="2286" spans="11:11" ht="15.75" customHeight="1" x14ac:dyDescent="0.2">
      <c r="K2286" s="13"/>
    </row>
    <row r="2287" spans="11:11" ht="15.75" customHeight="1" x14ac:dyDescent="0.2">
      <c r="K2287" s="13"/>
    </row>
    <row r="2288" spans="11:11" ht="15.75" customHeight="1" x14ac:dyDescent="0.2">
      <c r="K2288" s="13"/>
    </row>
    <row r="2289" spans="11:11" ht="15.75" customHeight="1" x14ac:dyDescent="0.2">
      <c r="K2289" s="13"/>
    </row>
    <row r="2290" spans="11:11" ht="15.75" customHeight="1" x14ac:dyDescent="0.2">
      <c r="K2290" s="13"/>
    </row>
    <row r="2291" spans="11:11" ht="15.75" customHeight="1" x14ac:dyDescent="0.2">
      <c r="K2291" s="13"/>
    </row>
    <row r="2292" spans="11:11" ht="15.75" customHeight="1" x14ac:dyDescent="0.2">
      <c r="K2292" s="13"/>
    </row>
    <row r="2293" spans="11:11" ht="15.75" customHeight="1" x14ac:dyDescent="0.2">
      <c r="K2293" s="13"/>
    </row>
    <row r="2294" spans="11:11" ht="15.75" customHeight="1" x14ac:dyDescent="0.2">
      <c r="K2294" s="13"/>
    </row>
    <row r="2295" spans="11:11" ht="15.75" customHeight="1" x14ac:dyDescent="0.2">
      <c r="K2295" s="13"/>
    </row>
    <row r="2296" spans="11:11" ht="15.75" customHeight="1" x14ac:dyDescent="0.2">
      <c r="K2296" s="13"/>
    </row>
    <row r="2297" spans="11:11" ht="15.75" customHeight="1" x14ac:dyDescent="0.2">
      <c r="K2297" s="13"/>
    </row>
    <row r="2298" spans="11:11" ht="15.75" customHeight="1" x14ac:dyDescent="0.2">
      <c r="K2298" s="13"/>
    </row>
    <row r="2299" spans="11:11" ht="15.75" customHeight="1" x14ac:dyDescent="0.2">
      <c r="K2299" s="13"/>
    </row>
    <row r="2300" spans="11:11" ht="15.75" customHeight="1" x14ac:dyDescent="0.2">
      <c r="K2300" s="13"/>
    </row>
    <row r="2301" spans="11:11" ht="15.75" customHeight="1" x14ac:dyDescent="0.2">
      <c r="K2301" s="13"/>
    </row>
    <row r="2302" spans="11:11" ht="15.75" customHeight="1" x14ac:dyDescent="0.2">
      <c r="K2302" s="13"/>
    </row>
    <row r="2303" spans="11:11" ht="15.75" customHeight="1" x14ac:dyDescent="0.2">
      <c r="K2303" s="13"/>
    </row>
    <row r="2304" spans="11:11" ht="15.75" customHeight="1" x14ac:dyDescent="0.2">
      <c r="K2304" s="13"/>
    </row>
    <row r="2305" spans="11:11" ht="15.75" customHeight="1" x14ac:dyDescent="0.2">
      <c r="K2305" s="13"/>
    </row>
    <row r="2306" spans="11:11" ht="15.75" customHeight="1" x14ac:dyDescent="0.2">
      <c r="K2306" s="13"/>
    </row>
    <row r="2307" spans="11:11" ht="15.75" customHeight="1" x14ac:dyDescent="0.2">
      <c r="K2307" s="13"/>
    </row>
    <row r="2308" spans="11:11" ht="15.75" customHeight="1" x14ac:dyDescent="0.2">
      <c r="K2308" s="13"/>
    </row>
    <row r="2309" spans="11:11" ht="15.75" customHeight="1" x14ac:dyDescent="0.2">
      <c r="K2309" s="13"/>
    </row>
    <row r="2310" spans="11:11" ht="15.75" customHeight="1" x14ac:dyDescent="0.2">
      <c r="K2310" s="13"/>
    </row>
    <row r="2311" spans="11:11" ht="15.75" customHeight="1" x14ac:dyDescent="0.2">
      <c r="K2311" s="13"/>
    </row>
    <row r="2312" spans="11:11" ht="15.75" customHeight="1" x14ac:dyDescent="0.2">
      <c r="K2312" s="13"/>
    </row>
    <row r="2313" spans="11:11" ht="15.75" customHeight="1" x14ac:dyDescent="0.2">
      <c r="K2313" s="13"/>
    </row>
    <row r="2314" spans="11:11" ht="15.75" customHeight="1" x14ac:dyDescent="0.2">
      <c r="K2314" s="13"/>
    </row>
    <row r="2315" spans="11:11" ht="15.75" customHeight="1" x14ac:dyDescent="0.2">
      <c r="K2315" s="13"/>
    </row>
    <row r="2316" spans="11:11" ht="15.75" customHeight="1" x14ac:dyDescent="0.2">
      <c r="K2316" s="13"/>
    </row>
    <row r="2317" spans="11:11" ht="15.75" customHeight="1" x14ac:dyDescent="0.2">
      <c r="K2317" s="13"/>
    </row>
    <row r="2318" spans="11:11" ht="15.75" customHeight="1" x14ac:dyDescent="0.2">
      <c r="K2318" s="13"/>
    </row>
    <row r="2319" spans="11:11" ht="15.75" customHeight="1" x14ac:dyDescent="0.2">
      <c r="K2319" s="13"/>
    </row>
    <row r="2320" spans="11:11" ht="15.75" customHeight="1" x14ac:dyDescent="0.2">
      <c r="K2320" s="13"/>
    </row>
    <row r="2321" spans="11:11" ht="15.75" customHeight="1" x14ac:dyDescent="0.2">
      <c r="K2321" s="13"/>
    </row>
    <row r="2322" spans="11:11" ht="15.75" customHeight="1" x14ac:dyDescent="0.2">
      <c r="K2322" s="13"/>
    </row>
    <row r="2323" spans="11:11" ht="15.75" customHeight="1" x14ac:dyDescent="0.2">
      <c r="K2323" s="13"/>
    </row>
    <row r="2324" spans="11:11" ht="15.75" customHeight="1" x14ac:dyDescent="0.2">
      <c r="K2324" s="13"/>
    </row>
    <row r="2325" spans="11:11" ht="15.75" customHeight="1" x14ac:dyDescent="0.2">
      <c r="K2325" s="13"/>
    </row>
    <row r="2326" spans="11:11" ht="15.75" customHeight="1" x14ac:dyDescent="0.2">
      <c r="K2326" s="13"/>
    </row>
    <row r="2327" spans="11:11" ht="15.75" customHeight="1" x14ac:dyDescent="0.2">
      <c r="K2327" s="13"/>
    </row>
    <row r="2328" spans="11:11" ht="15.75" customHeight="1" x14ac:dyDescent="0.2">
      <c r="K2328" s="13"/>
    </row>
    <row r="2329" spans="11:11" ht="15.75" customHeight="1" x14ac:dyDescent="0.2">
      <c r="K2329" s="13"/>
    </row>
    <row r="2330" spans="11:11" ht="15.75" customHeight="1" x14ac:dyDescent="0.2">
      <c r="K2330" s="13"/>
    </row>
    <row r="2331" spans="11:11" ht="15.75" customHeight="1" x14ac:dyDescent="0.2">
      <c r="K2331" s="13"/>
    </row>
    <row r="2332" spans="11:11" ht="15.75" customHeight="1" x14ac:dyDescent="0.2">
      <c r="K2332" s="13"/>
    </row>
    <row r="2333" spans="11:11" ht="15.75" customHeight="1" x14ac:dyDescent="0.2">
      <c r="K2333" s="13"/>
    </row>
    <row r="2334" spans="11:11" ht="15.75" customHeight="1" x14ac:dyDescent="0.2">
      <c r="K2334" s="13"/>
    </row>
    <row r="2335" spans="11:11" ht="15.75" customHeight="1" x14ac:dyDescent="0.2">
      <c r="K2335" s="13"/>
    </row>
    <row r="2336" spans="11:11" ht="15.75" customHeight="1" x14ac:dyDescent="0.2">
      <c r="K2336" s="13"/>
    </row>
    <row r="2337" spans="11:11" ht="15.75" customHeight="1" x14ac:dyDescent="0.2">
      <c r="K2337" s="13"/>
    </row>
    <row r="2338" spans="11:11" ht="15.75" customHeight="1" x14ac:dyDescent="0.2">
      <c r="K2338" s="13"/>
    </row>
    <row r="2339" spans="11:11" ht="15.75" customHeight="1" x14ac:dyDescent="0.2">
      <c r="K2339" s="13"/>
    </row>
    <row r="2340" spans="11:11" ht="15.75" customHeight="1" x14ac:dyDescent="0.2">
      <c r="K2340" s="13"/>
    </row>
    <row r="2341" spans="11:11" ht="15.75" customHeight="1" x14ac:dyDescent="0.2">
      <c r="K2341" s="13"/>
    </row>
    <row r="2342" spans="11:11" ht="15.75" customHeight="1" x14ac:dyDescent="0.2">
      <c r="K2342" s="13"/>
    </row>
    <row r="2343" spans="11:11" ht="15.75" customHeight="1" x14ac:dyDescent="0.2">
      <c r="K2343" s="13"/>
    </row>
    <row r="2344" spans="11:11" ht="15.75" customHeight="1" x14ac:dyDescent="0.2">
      <c r="K2344" s="13"/>
    </row>
    <row r="2345" spans="11:11" ht="15.75" customHeight="1" x14ac:dyDescent="0.2">
      <c r="K2345" s="13"/>
    </row>
    <row r="2346" spans="11:11" ht="15.75" customHeight="1" x14ac:dyDescent="0.2">
      <c r="K2346" s="13"/>
    </row>
    <row r="2347" spans="11:11" ht="15.75" customHeight="1" x14ac:dyDescent="0.2">
      <c r="K2347" s="13"/>
    </row>
    <row r="2348" spans="11:11" ht="15.75" customHeight="1" x14ac:dyDescent="0.2">
      <c r="K2348" s="13"/>
    </row>
    <row r="2349" spans="11:11" ht="15.75" customHeight="1" x14ac:dyDescent="0.2">
      <c r="K2349" s="13"/>
    </row>
    <row r="2350" spans="11:11" ht="15.75" customHeight="1" x14ac:dyDescent="0.2">
      <c r="K2350" s="13"/>
    </row>
    <row r="2351" spans="11:11" ht="15.75" customHeight="1" x14ac:dyDescent="0.2">
      <c r="K2351" s="13"/>
    </row>
    <row r="2352" spans="11:11" ht="15.75" customHeight="1" x14ac:dyDescent="0.2">
      <c r="K2352" s="13"/>
    </row>
    <row r="2353" spans="11:11" ht="15.75" customHeight="1" x14ac:dyDescent="0.2">
      <c r="K2353" s="13"/>
    </row>
    <row r="2354" spans="11:11" ht="15.75" customHeight="1" x14ac:dyDescent="0.2">
      <c r="K2354" s="13"/>
    </row>
    <row r="2355" spans="11:11" ht="15.75" customHeight="1" x14ac:dyDescent="0.2">
      <c r="K2355" s="13"/>
    </row>
    <row r="2356" spans="11:11" ht="15.75" customHeight="1" x14ac:dyDescent="0.2">
      <c r="K2356" s="13"/>
    </row>
    <row r="2357" spans="11:11" ht="15.75" customHeight="1" x14ac:dyDescent="0.2">
      <c r="K2357" s="13"/>
    </row>
    <row r="2358" spans="11:11" ht="15.75" customHeight="1" x14ac:dyDescent="0.2">
      <c r="K2358" s="13"/>
    </row>
    <row r="2359" spans="11:11" ht="15.75" customHeight="1" x14ac:dyDescent="0.2">
      <c r="K2359" s="13"/>
    </row>
    <row r="2360" spans="11:11" ht="15.75" customHeight="1" x14ac:dyDescent="0.2">
      <c r="K2360" s="13"/>
    </row>
    <row r="2361" spans="11:11" ht="15.75" customHeight="1" x14ac:dyDescent="0.2">
      <c r="K2361" s="13"/>
    </row>
    <row r="2362" spans="11:11" ht="15.75" customHeight="1" x14ac:dyDescent="0.2">
      <c r="K2362" s="13"/>
    </row>
    <row r="2363" spans="11:11" ht="15.75" customHeight="1" x14ac:dyDescent="0.2">
      <c r="K2363" s="13"/>
    </row>
    <row r="2364" spans="11:11" ht="15.75" customHeight="1" x14ac:dyDescent="0.2">
      <c r="K2364" s="13"/>
    </row>
    <row r="2365" spans="11:11" ht="15.75" customHeight="1" x14ac:dyDescent="0.2">
      <c r="K2365" s="13"/>
    </row>
    <row r="2366" spans="11:11" ht="15.75" customHeight="1" x14ac:dyDescent="0.2">
      <c r="K2366" s="13"/>
    </row>
    <row r="2367" spans="11:11" ht="15.75" customHeight="1" x14ac:dyDescent="0.2">
      <c r="K2367" s="13"/>
    </row>
    <row r="2368" spans="11:11" ht="15.75" customHeight="1" x14ac:dyDescent="0.2">
      <c r="K2368" s="13"/>
    </row>
    <row r="2369" spans="11:11" ht="15.75" customHeight="1" x14ac:dyDescent="0.2">
      <c r="K2369" s="13"/>
    </row>
    <row r="2370" spans="11:11" ht="15.75" customHeight="1" x14ac:dyDescent="0.2">
      <c r="K2370" s="13"/>
    </row>
    <row r="2371" spans="11:11" ht="15.75" customHeight="1" x14ac:dyDescent="0.2">
      <c r="K2371" s="13"/>
    </row>
    <row r="2372" spans="11:11" ht="15.75" customHeight="1" x14ac:dyDescent="0.2">
      <c r="K2372" s="13"/>
    </row>
    <row r="2373" spans="11:11" ht="15.75" customHeight="1" x14ac:dyDescent="0.2">
      <c r="K2373" s="13"/>
    </row>
    <row r="2374" spans="11:11" ht="15.75" customHeight="1" x14ac:dyDescent="0.2">
      <c r="K2374" s="13"/>
    </row>
    <row r="2375" spans="11:11" ht="15.75" customHeight="1" x14ac:dyDescent="0.2">
      <c r="K2375" s="13"/>
    </row>
    <row r="2376" spans="11:11" ht="15.75" customHeight="1" x14ac:dyDescent="0.2">
      <c r="K2376" s="13"/>
    </row>
    <row r="2377" spans="11:11" ht="15.75" customHeight="1" x14ac:dyDescent="0.2">
      <c r="K2377" s="13"/>
    </row>
    <row r="2378" spans="11:11" ht="15.75" customHeight="1" x14ac:dyDescent="0.2">
      <c r="K2378" s="13"/>
    </row>
    <row r="2379" spans="11:11" ht="15.75" customHeight="1" x14ac:dyDescent="0.2">
      <c r="K2379" s="13"/>
    </row>
    <row r="2380" spans="11:11" ht="15.75" customHeight="1" x14ac:dyDescent="0.2">
      <c r="K2380" s="13"/>
    </row>
    <row r="2381" spans="11:11" ht="15.75" customHeight="1" x14ac:dyDescent="0.2">
      <c r="K2381" s="13"/>
    </row>
    <row r="2382" spans="11:11" ht="15.75" customHeight="1" x14ac:dyDescent="0.2">
      <c r="K2382" s="13"/>
    </row>
    <row r="2383" spans="11:11" ht="15.75" customHeight="1" x14ac:dyDescent="0.2">
      <c r="K2383" s="13"/>
    </row>
    <row r="2384" spans="11:11" ht="15.75" customHeight="1" x14ac:dyDescent="0.2">
      <c r="K2384" s="13"/>
    </row>
    <row r="2385" spans="11:11" ht="15.75" customHeight="1" x14ac:dyDescent="0.2">
      <c r="K2385" s="13"/>
    </row>
    <row r="2386" spans="11:11" ht="15.75" customHeight="1" x14ac:dyDescent="0.2">
      <c r="K2386" s="13"/>
    </row>
    <row r="2387" spans="11:11" ht="15.75" customHeight="1" x14ac:dyDescent="0.2">
      <c r="K2387" s="13"/>
    </row>
    <row r="2388" spans="11:11" ht="15.75" customHeight="1" x14ac:dyDescent="0.2">
      <c r="K2388" s="13"/>
    </row>
    <row r="2389" spans="11:11" ht="15.75" customHeight="1" x14ac:dyDescent="0.2">
      <c r="K2389" s="13"/>
    </row>
    <row r="2390" spans="11:11" ht="15.75" customHeight="1" x14ac:dyDescent="0.2">
      <c r="K2390" s="13"/>
    </row>
    <row r="2391" spans="11:11" ht="15.75" customHeight="1" x14ac:dyDescent="0.2">
      <c r="K2391" s="13"/>
    </row>
    <row r="2392" spans="11:11" ht="15.75" customHeight="1" x14ac:dyDescent="0.2">
      <c r="K2392" s="13"/>
    </row>
    <row r="2393" spans="11:11" ht="15.75" customHeight="1" x14ac:dyDescent="0.2">
      <c r="K2393" s="13"/>
    </row>
    <row r="2394" spans="11:11" ht="15.75" customHeight="1" x14ac:dyDescent="0.2">
      <c r="K2394" s="13"/>
    </row>
    <row r="2395" spans="11:11" ht="15.75" customHeight="1" x14ac:dyDescent="0.2">
      <c r="K2395" s="13"/>
    </row>
    <row r="2396" spans="11:11" ht="15.75" customHeight="1" x14ac:dyDescent="0.2">
      <c r="K2396" s="13"/>
    </row>
    <row r="2397" spans="11:11" ht="15.75" customHeight="1" x14ac:dyDescent="0.2">
      <c r="K2397" s="13"/>
    </row>
    <row r="2398" spans="11:11" ht="15.75" customHeight="1" x14ac:dyDescent="0.2">
      <c r="K2398" s="13"/>
    </row>
    <row r="2399" spans="11:11" ht="15.75" customHeight="1" x14ac:dyDescent="0.2">
      <c r="K2399" s="13"/>
    </row>
    <row r="2400" spans="11:11" ht="15.75" customHeight="1" x14ac:dyDescent="0.2">
      <c r="K2400" s="13"/>
    </row>
    <row r="2401" spans="11:11" ht="15.75" customHeight="1" x14ac:dyDescent="0.2">
      <c r="K2401" s="13"/>
    </row>
    <row r="2402" spans="11:11" ht="15.75" customHeight="1" x14ac:dyDescent="0.2">
      <c r="K2402" s="13"/>
    </row>
    <row r="2403" spans="11:11" ht="15.75" customHeight="1" x14ac:dyDescent="0.2">
      <c r="K2403" s="13"/>
    </row>
    <row r="2404" spans="11:11" ht="15.75" customHeight="1" x14ac:dyDescent="0.2">
      <c r="K2404" s="13"/>
    </row>
    <row r="2405" spans="11:11" ht="15.75" customHeight="1" x14ac:dyDescent="0.2">
      <c r="K2405" s="13"/>
    </row>
    <row r="2406" spans="11:11" ht="15.75" customHeight="1" x14ac:dyDescent="0.2">
      <c r="K2406" s="13"/>
    </row>
    <row r="2407" spans="11:11" ht="15.75" customHeight="1" x14ac:dyDescent="0.2">
      <c r="K2407" s="13"/>
    </row>
    <row r="2408" spans="11:11" ht="15.75" customHeight="1" x14ac:dyDescent="0.2">
      <c r="K2408" s="13"/>
    </row>
    <row r="2409" spans="11:11" ht="15.75" customHeight="1" x14ac:dyDescent="0.2">
      <c r="K2409" s="13"/>
    </row>
    <row r="2410" spans="11:11" ht="15.75" customHeight="1" x14ac:dyDescent="0.2">
      <c r="K2410" s="13"/>
    </row>
    <row r="2411" spans="11:11" ht="15.75" customHeight="1" x14ac:dyDescent="0.2">
      <c r="K2411" s="13"/>
    </row>
    <row r="2412" spans="11:11" ht="15.75" customHeight="1" x14ac:dyDescent="0.2">
      <c r="K2412" s="13"/>
    </row>
    <row r="2413" spans="11:11" ht="15.75" customHeight="1" x14ac:dyDescent="0.2">
      <c r="K2413" s="13"/>
    </row>
    <row r="2414" spans="11:11" ht="15.75" customHeight="1" x14ac:dyDescent="0.2">
      <c r="K2414" s="13"/>
    </row>
    <row r="2415" spans="11:11" ht="15.75" customHeight="1" x14ac:dyDescent="0.2">
      <c r="K2415" s="13"/>
    </row>
    <row r="2416" spans="11:11" ht="15.75" customHeight="1" x14ac:dyDescent="0.2">
      <c r="K2416" s="13"/>
    </row>
    <row r="2417" spans="11:11" ht="15.75" customHeight="1" x14ac:dyDescent="0.2">
      <c r="K2417" s="13"/>
    </row>
    <row r="2418" spans="11:11" ht="15.75" customHeight="1" x14ac:dyDescent="0.2">
      <c r="K2418" s="13"/>
    </row>
    <row r="2419" spans="11:11" ht="15.75" customHeight="1" x14ac:dyDescent="0.2">
      <c r="K2419" s="13"/>
    </row>
    <row r="2420" spans="11:11" ht="15.75" customHeight="1" x14ac:dyDescent="0.2">
      <c r="K2420" s="13"/>
    </row>
    <row r="2421" spans="11:11" ht="15.75" customHeight="1" x14ac:dyDescent="0.2">
      <c r="K2421" s="13"/>
    </row>
    <row r="2422" spans="11:11" ht="15.75" customHeight="1" x14ac:dyDescent="0.2">
      <c r="K2422" s="13"/>
    </row>
    <row r="2423" spans="11:11" ht="15.75" customHeight="1" x14ac:dyDescent="0.2">
      <c r="K2423" s="13"/>
    </row>
    <row r="2424" spans="11:11" ht="15.75" customHeight="1" x14ac:dyDescent="0.2">
      <c r="K2424" s="13"/>
    </row>
    <row r="2425" spans="11:11" ht="15.75" customHeight="1" x14ac:dyDescent="0.2">
      <c r="K2425" s="13"/>
    </row>
    <row r="2426" spans="11:11" ht="15.75" customHeight="1" x14ac:dyDescent="0.2">
      <c r="K2426" s="13"/>
    </row>
    <row r="2427" spans="11:11" ht="15.75" customHeight="1" x14ac:dyDescent="0.2">
      <c r="K2427" s="13"/>
    </row>
    <row r="2428" spans="11:11" ht="15.75" customHeight="1" x14ac:dyDescent="0.2">
      <c r="K2428" s="13"/>
    </row>
    <row r="2429" spans="11:11" ht="15.75" customHeight="1" x14ac:dyDescent="0.2">
      <c r="K2429" s="13"/>
    </row>
    <row r="2430" spans="11:11" ht="15.75" customHeight="1" x14ac:dyDescent="0.2">
      <c r="K2430" s="13"/>
    </row>
    <row r="2431" spans="11:11" ht="15.75" customHeight="1" x14ac:dyDescent="0.2">
      <c r="K2431" s="13"/>
    </row>
    <row r="2432" spans="11:11" ht="15.75" customHeight="1" x14ac:dyDescent="0.2">
      <c r="K2432" s="13"/>
    </row>
    <row r="2433" spans="11:11" ht="15.75" customHeight="1" x14ac:dyDescent="0.2">
      <c r="K2433" s="13"/>
    </row>
    <row r="2434" spans="11:11" ht="15.75" customHeight="1" x14ac:dyDescent="0.2">
      <c r="K2434" s="13"/>
    </row>
    <row r="2435" spans="11:11" ht="15.75" customHeight="1" x14ac:dyDescent="0.2">
      <c r="K2435" s="13"/>
    </row>
    <row r="2436" spans="11:11" ht="15.75" customHeight="1" x14ac:dyDescent="0.2">
      <c r="K2436" s="13"/>
    </row>
    <row r="2437" spans="11:11" ht="15.75" customHeight="1" x14ac:dyDescent="0.2">
      <c r="K2437" s="13"/>
    </row>
    <row r="2438" spans="11:11" ht="15.75" customHeight="1" x14ac:dyDescent="0.2">
      <c r="K2438" s="13"/>
    </row>
    <row r="2439" spans="11:11" ht="15.75" customHeight="1" x14ac:dyDescent="0.2">
      <c r="K2439" s="13"/>
    </row>
    <row r="2440" spans="11:11" ht="15.75" customHeight="1" x14ac:dyDescent="0.2">
      <c r="K2440" s="13"/>
    </row>
    <row r="2441" spans="11:11" ht="15.75" customHeight="1" x14ac:dyDescent="0.2">
      <c r="K2441" s="13"/>
    </row>
    <row r="2442" spans="11:11" ht="15.75" customHeight="1" x14ac:dyDescent="0.2">
      <c r="K2442" s="13"/>
    </row>
    <row r="2443" spans="11:11" ht="15.75" customHeight="1" x14ac:dyDescent="0.2">
      <c r="K2443" s="13"/>
    </row>
    <row r="2444" spans="11:11" ht="15.75" customHeight="1" x14ac:dyDescent="0.2">
      <c r="K2444" s="13"/>
    </row>
    <row r="2445" spans="11:11" ht="15.75" customHeight="1" x14ac:dyDescent="0.2">
      <c r="K2445" s="13"/>
    </row>
    <row r="2446" spans="11:11" ht="15.75" customHeight="1" x14ac:dyDescent="0.2">
      <c r="K2446" s="13"/>
    </row>
    <row r="2447" spans="11:11" ht="15.75" customHeight="1" x14ac:dyDescent="0.2">
      <c r="K2447" s="13"/>
    </row>
    <row r="2448" spans="11:11" ht="15.75" customHeight="1" x14ac:dyDescent="0.2">
      <c r="K2448" s="13"/>
    </row>
    <row r="2449" spans="11:11" ht="15.75" customHeight="1" x14ac:dyDescent="0.2">
      <c r="K2449" s="13"/>
    </row>
    <row r="2450" spans="11:11" ht="15.75" customHeight="1" x14ac:dyDescent="0.2">
      <c r="K2450" s="13"/>
    </row>
    <row r="2451" spans="11:11" ht="15.75" customHeight="1" x14ac:dyDescent="0.2">
      <c r="K2451" s="13"/>
    </row>
    <row r="2452" spans="11:11" ht="15.75" customHeight="1" x14ac:dyDescent="0.2">
      <c r="K2452" s="13"/>
    </row>
    <row r="2453" spans="11:11" ht="15.75" customHeight="1" x14ac:dyDescent="0.2">
      <c r="K2453" s="13"/>
    </row>
    <row r="2454" spans="11:11" ht="15.75" customHeight="1" x14ac:dyDescent="0.2">
      <c r="K2454" s="13"/>
    </row>
    <row r="2455" spans="11:11" ht="15.75" customHeight="1" x14ac:dyDescent="0.2">
      <c r="K2455" s="13"/>
    </row>
    <row r="2456" spans="11:11" ht="15.75" customHeight="1" x14ac:dyDescent="0.2">
      <c r="K2456" s="13"/>
    </row>
    <row r="2457" spans="11:11" ht="15.75" customHeight="1" x14ac:dyDescent="0.2">
      <c r="K2457" s="13"/>
    </row>
    <row r="2458" spans="11:11" ht="15.75" customHeight="1" x14ac:dyDescent="0.2">
      <c r="K2458" s="13"/>
    </row>
    <row r="2459" spans="11:11" ht="15.75" customHeight="1" x14ac:dyDescent="0.2">
      <c r="K2459" s="13"/>
    </row>
    <row r="2460" spans="11:11" ht="15.75" customHeight="1" x14ac:dyDescent="0.2">
      <c r="K2460" s="13"/>
    </row>
    <row r="2461" spans="11:11" ht="15.75" customHeight="1" x14ac:dyDescent="0.2">
      <c r="K2461" s="13"/>
    </row>
    <row r="2462" spans="11:11" ht="15.75" customHeight="1" x14ac:dyDescent="0.2">
      <c r="K2462" s="13"/>
    </row>
    <row r="2463" spans="11:11" ht="15.75" customHeight="1" x14ac:dyDescent="0.2">
      <c r="K2463" s="13"/>
    </row>
    <row r="2464" spans="11:11" ht="15.75" customHeight="1" x14ac:dyDescent="0.2">
      <c r="K2464" s="13"/>
    </row>
    <row r="2465" spans="11:11" ht="15.75" customHeight="1" x14ac:dyDescent="0.2">
      <c r="K2465" s="13"/>
    </row>
    <row r="2466" spans="11:11" ht="15.75" customHeight="1" x14ac:dyDescent="0.2">
      <c r="K2466" s="13"/>
    </row>
    <row r="2467" spans="11:11" ht="15.75" customHeight="1" x14ac:dyDescent="0.2">
      <c r="K2467" s="13"/>
    </row>
    <row r="2468" spans="11:11" ht="15.75" customHeight="1" x14ac:dyDescent="0.2">
      <c r="K2468" s="13"/>
    </row>
    <row r="2469" spans="11:11" ht="15.75" customHeight="1" x14ac:dyDescent="0.2">
      <c r="K2469" s="13"/>
    </row>
    <row r="2470" spans="11:11" ht="15.75" customHeight="1" x14ac:dyDescent="0.2">
      <c r="K2470" s="13"/>
    </row>
    <row r="2471" spans="11:11" ht="15.75" customHeight="1" x14ac:dyDescent="0.2">
      <c r="K2471" s="13"/>
    </row>
    <row r="2472" spans="11:11" ht="15.75" customHeight="1" x14ac:dyDescent="0.2">
      <c r="K2472" s="13"/>
    </row>
    <row r="2473" spans="11:11" ht="15.75" customHeight="1" x14ac:dyDescent="0.2">
      <c r="K2473" s="13"/>
    </row>
    <row r="2474" spans="11:11" ht="15.75" customHeight="1" x14ac:dyDescent="0.2">
      <c r="K2474" s="13"/>
    </row>
    <row r="2475" spans="11:11" ht="15.75" customHeight="1" x14ac:dyDescent="0.2">
      <c r="K2475" s="13"/>
    </row>
    <row r="2476" spans="11:11" ht="15.75" customHeight="1" x14ac:dyDescent="0.2">
      <c r="K2476" s="13"/>
    </row>
    <row r="2477" spans="11:11" ht="15.75" customHeight="1" x14ac:dyDescent="0.2">
      <c r="K2477" s="13"/>
    </row>
    <row r="2478" spans="11:11" ht="15.75" customHeight="1" x14ac:dyDescent="0.2">
      <c r="K2478" s="13"/>
    </row>
    <row r="2479" spans="11:11" ht="15.75" customHeight="1" x14ac:dyDescent="0.2">
      <c r="K2479" s="13"/>
    </row>
    <row r="2480" spans="11:11" ht="15.75" customHeight="1" x14ac:dyDescent="0.2">
      <c r="K2480" s="13"/>
    </row>
    <row r="2481" spans="11:11" ht="15.75" customHeight="1" x14ac:dyDescent="0.2">
      <c r="K2481" s="13"/>
    </row>
    <row r="2482" spans="11:11" ht="15.75" customHeight="1" x14ac:dyDescent="0.2">
      <c r="K2482" s="13"/>
    </row>
    <row r="2483" spans="11:11" ht="15.75" customHeight="1" x14ac:dyDescent="0.2">
      <c r="K2483" s="13"/>
    </row>
    <row r="2484" spans="11:11" ht="15.75" customHeight="1" x14ac:dyDescent="0.2">
      <c r="K2484" s="13"/>
    </row>
    <row r="2485" spans="11:11" ht="15.75" customHeight="1" x14ac:dyDescent="0.2">
      <c r="K2485" s="13"/>
    </row>
    <row r="2486" spans="11:11" ht="15.75" customHeight="1" x14ac:dyDescent="0.2">
      <c r="K2486" s="13"/>
    </row>
    <row r="2487" spans="11:11" ht="15.75" customHeight="1" x14ac:dyDescent="0.2">
      <c r="K2487" s="13"/>
    </row>
    <row r="2488" spans="11:11" ht="15.75" customHeight="1" x14ac:dyDescent="0.2">
      <c r="K2488" s="13"/>
    </row>
    <row r="2489" spans="11:11" ht="15.75" customHeight="1" x14ac:dyDescent="0.2">
      <c r="K2489" s="13"/>
    </row>
    <row r="2490" spans="11:11" ht="15.75" customHeight="1" x14ac:dyDescent="0.2">
      <c r="K2490" s="13"/>
    </row>
    <row r="2491" spans="11:11" ht="15.75" customHeight="1" x14ac:dyDescent="0.2">
      <c r="K2491" s="13"/>
    </row>
    <row r="2492" spans="11:11" ht="15.75" customHeight="1" x14ac:dyDescent="0.2">
      <c r="K2492" s="13"/>
    </row>
    <row r="2493" spans="11:11" ht="15.75" customHeight="1" x14ac:dyDescent="0.2">
      <c r="K2493" s="13"/>
    </row>
    <row r="2494" spans="11:11" ht="15.75" customHeight="1" x14ac:dyDescent="0.2">
      <c r="K2494" s="13"/>
    </row>
    <row r="2495" spans="11:11" ht="15.75" customHeight="1" x14ac:dyDescent="0.2">
      <c r="K2495" s="13"/>
    </row>
    <row r="2496" spans="11:11" ht="15.75" customHeight="1" x14ac:dyDescent="0.2">
      <c r="K2496" s="13"/>
    </row>
    <row r="2497" spans="11:11" ht="15.75" customHeight="1" x14ac:dyDescent="0.2">
      <c r="K2497" s="13"/>
    </row>
    <row r="2498" spans="11:11" ht="15.75" customHeight="1" x14ac:dyDescent="0.2">
      <c r="K2498" s="13"/>
    </row>
    <row r="2499" spans="11:11" ht="15.75" customHeight="1" x14ac:dyDescent="0.2">
      <c r="K2499" s="13"/>
    </row>
    <row r="2500" spans="11:11" ht="15.75" customHeight="1" x14ac:dyDescent="0.2">
      <c r="K2500" s="13"/>
    </row>
    <row r="2501" spans="11:11" ht="15.75" customHeight="1" x14ac:dyDescent="0.2">
      <c r="K2501" s="13"/>
    </row>
    <row r="2502" spans="11:11" ht="15.75" customHeight="1" x14ac:dyDescent="0.2">
      <c r="K2502" s="13"/>
    </row>
    <row r="2503" spans="11:11" ht="15.75" customHeight="1" x14ac:dyDescent="0.2">
      <c r="K2503" s="13"/>
    </row>
    <row r="2504" spans="11:11" ht="15.75" customHeight="1" x14ac:dyDescent="0.2">
      <c r="K2504" s="13"/>
    </row>
    <row r="2505" spans="11:11" ht="15.75" customHeight="1" x14ac:dyDescent="0.2">
      <c r="K2505" s="13"/>
    </row>
    <row r="2506" spans="11:11" ht="15.75" customHeight="1" x14ac:dyDescent="0.2">
      <c r="K2506" s="13"/>
    </row>
    <row r="2507" spans="11:11" ht="15.75" customHeight="1" x14ac:dyDescent="0.2">
      <c r="K2507" s="13"/>
    </row>
    <row r="2508" spans="11:11" ht="15.75" customHeight="1" x14ac:dyDescent="0.2">
      <c r="K2508" s="13"/>
    </row>
    <row r="2509" spans="11:11" ht="15.75" customHeight="1" x14ac:dyDescent="0.2">
      <c r="K2509" s="13"/>
    </row>
    <row r="2510" spans="11:11" ht="15.75" customHeight="1" x14ac:dyDescent="0.2">
      <c r="K2510" s="13"/>
    </row>
    <row r="2511" spans="11:11" ht="15.75" customHeight="1" x14ac:dyDescent="0.2">
      <c r="K2511" s="13"/>
    </row>
    <row r="2512" spans="11:11" ht="15.75" customHeight="1" x14ac:dyDescent="0.2">
      <c r="K2512" s="13"/>
    </row>
    <row r="2513" spans="11:11" ht="15.75" customHeight="1" x14ac:dyDescent="0.2">
      <c r="K2513" s="13"/>
    </row>
    <row r="2514" spans="11:11" ht="15.75" customHeight="1" x14ac:dyDescent="0.2">
      <c r="K2514" s="13"/>
    </row>
    <row r="2515" spans="11:11" ht="15.75" customHeight="1" x14ac:dyDescent="0.2">
      <c r="K2515" s="13"/>
    </row>
    <row r="2516" spans="11:11" ht="15.75" customHeight="1" x14ac:dyDescent="0.2">
      <c r="K2516" s="13"/>
    </row>
    <row r="2517" spans="11:11" ht="15.75" customHeight="1" x14ac:dyDescent="0.2">
      <c r="K2517" s="13"/>
    </row>
    <row r="2518" spans="11:11" ht="15.75" customHeight="1" x14ac:dyDescent="0.2">
      <c r="K2518" s="13"/>
    </row>
    <row r="2519" spans="11:11" ht="15.75" customHeight="1" x14ac:dyDescent="0.2">
      <c r="K2519" s="13"/>
    </row>
    <row r="2520" spans="11:11" ht="15.75" customHeight="1" x14ac:dyDescent="0.2">
      <c r="K2520" s="13"/>
    </row>
    <row r="2521" spans="11:11" ht="15.75" customHeight="1" x14ac:dyDescent="0.2">
      <c r="K2521" s="13"/>
    </row>
    <row r="2522" spans="11:11" ht="15.75" customHeight="1" x14ac:dyDescent="0.2">
      <c r="K2522" s="13"/>
    </row>
    <row r="2523" spans="11:11" ht="15.75" customHeight="1" x14ac:dyDescent="0.2">
      <c r="K2523" s="13"/>
    </row>
    <row r="2524" spans="11:11" ht="15.75" customHeight="1" x14ac:dyDescent="0.2">
      <c r="K2524" s="13"/>
    </row>
    <row r="2525" spans="11:11" ht="15.75" customHeight="1" x14ac:dyDescent="0.2">
      <c r="K2525" s="13"/>
    </row>
    <row r="2526" spans="11:11" ht="15.75" customHeight="1" x14ac:dyDescent="0.2">
      <c r="K2526" s="13"/>
    </row>
    <row r="2527" spans="11:11" ht="15.75" customHeight="1" x14ac:dyDescent="0.2">
      <c r="K2527" s="13"/>
    </row>
    <row r="2528" spans="11:11" ht="15.75" customHeight="1" x14ac:dyDescent="0.2">
      <c r="K2528" s="13"/>
    </row>
    <row r="2529" spans="11:11" ht="15.75" customHeight="1" x14ac:dyDescent="0.2">
      <c r="K2529" s="13"/>
    </row>
    <row r="2530" spans="11:11" ht="15.75" customHeight="1" x14ac:dyDescent="0.2">
      <c r="K2530" s="13"/>
    </row>
    <row r="2531" spans="11:11" ht="15.75" customHeight="1" x14ac:dyDescent="0.2">
      <c r="K2531" s="13"/>
    </row>
    <row r="2532" spans="11:11" ht="15.75" customHeight="1" x14ac:dyDescent="0.2">
      <c r="K2532" s="13"/>
    </row>
    <row r="2533" spans="11:11" ht="15.75" customHeight="1" x14ac:dyDescent="0.2">
      <c r="K2533" s="13"/>
    </row>
    <row r="2534" spans="11:11" ht="15.75" customHeight="1" x14ac:dyDescent="0.2">
      <c r="K2534" s="13"/>
    </row>
    <row r="2535" spans="11:11" ht="15.75" customHeight="1" x14ac:dyDescent="0.2">
      <c r="K2535" s="13"/>
    </row>
    <row r="2536" spans="11:11" ht="15.75" customHeight="1" x14ac:dyDescent="0.2">
      <c r="K2536" s="13"/>
    </row>
    <row r="2537" spans="11:11" ht="15.75" customHeight="1" x14ac:dyDescent="0.2">
      <c r="K2537" s="13"/>
    </row>
    <row r="2538" spans="11:11" ht="15.75" customHeight="1" x14ac:dyDescent="0.2">
      <c r="K2538" s="13"/>
    </row>
    <row r="2539" spans="11:11" ht="15.75" customHeight="1" x14ac:dyDescent="0.2">
      <c r="K2539" s="13"/>
    </row>
    <row r="2540" spans="11:11" ht="15.75" customHeight="1" x14ac:dyDescent="0.2">
      <c r="K2540" s="13"/>
    </row>
    <row r="2541" spans="11:11" ht="15.75" customHeight="1" x14ac:dyDescent="0.2">
      <c r="K2541" s="13"/>
    </row>
    <row r="2542" spans="11:11" ht="15.75" customHeight="1" x14ac:dyDescent="0.2">
      <c r="K2542" s="13"/>
    </row>
    <row r="2543" spans="11:11" ht="15.75" customHeight="1" x14ac:dyDescent="0.2">
      <c r="K2543" s="13"/>
    </row>
    <row r="2544" spans="11:11" ht="15.75" customHeight="1" x14ac:dyDescent="0.2">
      <c r="K2544" s="13"/>
    </row>
    <row r="2545" spans="11:11" ht="15.75" customHeight="1" x14ac:dyDescent="0.2">
      <c r="K2545" s="13"/>
    </row>
    <row r="2546" spans="11:11" ht="15.75" customHeight="1" x14ac:dyDescent="0.2">
      <c r="K2546" s="13"/>
    </row>
    <row r="2547" spans="11:11" ht="15.75" customHeight="1" x14ac:dyDescent="0.2">
      <c r="K2547" s="13"/>
    </row>
    <row r="2548" spans="11:11" ht="15.75" customHeight="1" x14ac:dyDescent="0.2">
      <c r="K2548" s="13"/>
    </row>
    <row r="2549" spans="11:11" ht="15.75" customHeight="1" x14ac:dyDescent="0.2">
      <c r="K2549" s="13"/>
    </row>
    <row r="2550" spans="11:11" ht="15.75" customHeight="1" x14ac:dyDescent="0.2">
      <c r="K2550" s="13"/>
    </row>
    <row r="2551" spans="11:11" ht="15.75" customHeight="1" x14ac:dyDescent="0.2">
      <c r="K2551" s="13"/>
    </row>
    <row r="2552" spans="11:11" ht="15.75" customHeight="1" x14ac:dyDescent="0.2">
      <c r="K2552" s="13"/>
    </row>
    <row r="2553" spans="11:11" ht="15.75" customHeight="1" x14ac:dyDescent="0.2">
      <c r="K2553" s="13"/>
    </row>
    <row r="2554" spans="11:11" ht="15.75" customHeight="1" x14ac:dyDescent="0.2">
      <c r="K2554" s="13"/>
    </row>
    <row r="2555" spans="11:11" ht="15.75" customHeight="1" x14ac:dyDescent="0.2">
      <c r="K2555" s="13"/>
    </row>
    <row r="2556" spans="11:11" ht="15.75" customHeight="1" x14ac:dyDescent="0.2">
      <c r="K2556" s="13"/>
    </row>
    <row r="2557" spans="11:11" ht="15.75" customHeight="1" x14ac:dyDescent="0.2">
      <c r="K2557" s="13"/>
    </row>
    <row r="2558" spans="11:11" ht="15.75" customHeight="1" x14ac:dyDescent="0.2">
      <c r="K2558" s="13"/>
    </row>
    <row r="2559" spans="11:11" ht="15.75" customHeight="1" x14ac:dyDescent="0.2">
      <c r="K2559" s="13"/>
    </row>
    <row r="2560" spans="11:11" ht="15.75" customHeight="1" x14ac:dyDescent="0.2">
      <c r="K2560" s="13"/>
    </row>
    <row r="2561" spans="11:11" ht="15.75" customHeight="1" x14ac:dyDescent="0.2">
      <c r="K2561" s="13"/>
    </row>
    <row r="2562" spans="11:11" ht="15.75" customHeight="1" x14ac:dyDescent="0.2">
      <c r="K2562" s="13"/>
    </row>
    <row r="2563" spans="11:11" ht="15.75" customHeight="1" x14ac:dyDescent="0.2">
      <c r="K2563" s="13"/>
    </row>
    <row r="2564" spans="11:11" ht="15.75" customHeight="1" x14ac:dyDescent="0.2">
      <c r="K2564" s="13"/>
    </row>
    <row r="2565" spans="11:11" ht="15.75" customHeight="1" x14ac:dyDescent="0.2">
      <c r="K2565" s="13"/>
    </row>
    <row r="2566" spans="11:11" ht="15.75" customHeight="1" x14ac:dyDescent="0.2">
      <c r="K2566" s="13"/>
    </row>
    <row r="2567" spans="11:11" ht="15.75" customHeight="1" x14ac:dyDescent="0.2">
      <c r="K2567" s="13"/>
    </row>
    <row r="2568" spans="11:11" ht="15.75" customHeight="1" x14ac:dyDescent="0.2">
      <c r="K2568" s="13"/>
    </row>
    <row r="2569" spans="11:11" ht="15.75" customHeight="1" x14ac:dyDescent="0.2">
      <c r="K2569" s="13"/>
    </row>
    <row r="2570" spans="11:11" ht="15.75" customHeight="1" x14ac:dyDescent="0.2">
      <c r="K2570" s="13"/>
    </row>
    <row r="2571" spans="11:11" ht="15.75" customHeight="1" x14ac:dyDescent="0.2">
      <c r="K2571" s="13"/>
    </row>
    <row r="2572" spans="11:11" ht="15.75" customHeight="1" x14ac:dyDescent="0.2">
      <c r="K2572" s="13"/>
    </row>
    <row r="2573" spans="11:11" ht="15.75" customHeight="1" x14ac:dyDescent="0.2">
      <c r="K2573" s="13"/>
    </row>
    <row r="2574" spans="11:11" ht="15.75" customHeight="1" x14ac:dyDescent="0.2">
      <c r="K2574" s="13"/>
    </row>
    <row r="2575" spans="11:11" ht="15.75" customHeight="1" x14ac:dyDescent="0.2">
      <c r="K2575" s="13"/>
    </row>
    <row r="2576" spans="11:11" ht="15.75" customHeight="1" x14ac:dyDescent="0.2">
      <c r="K2576" s="13"/>
    </row>
    <row r="2577" spans="11:11" ht="15.75" customHeight="1" x14ac:dyDescent="0.2">
      <c r="K2577" s="13"/>
    </row>
    <row r="2578" spans="11:11" ht="15.75" customHeight="1" x14ac:dyDescent="0.2">
      <c r="K2578" s="13"/>
    </row>
    <row r="2579" spans="11:11" ht="15.75" customHeight="1" x14ac:dyDescent="0.2">
      <c r="K2579" s="13"/>
    </row>
    <row r="2580" spans="11:11" ht="15.75" customHeight="1" x14ac:dyDescent="0.2">
      <c r="K2580" s="13"/>
    </row>
    <row r="2581" spans="11:11" ht="15.75" customHeight="1" x14ac:dyDescent="0.2">
      <c r="K2581" s="13"/>
    </row>
    <row r="2582" spans="11:11" ht="15.75" customHeight="1" x14ac:dyDescent="0.2">
      <c r="K2582" s="13"/>
    </row>
    <row r="2583" spans="11:11" ht="15.75" customHeight="1" x14ac:dyDescent="0.2">
      <c r="K2583" s="13"/>
    </row>
    <row r="2584" spans="11:11" ht="15.75" customHeight="1" x14ac:dyDescent="0.2">
      <c r="K2584" s="13"/>
    </row>
    <row r="2585" spans="11:11" ht="15.75" customHeight="1" x14ac:dyDescent="0.2">
      <c r="K2585" s="13"/>
    </row>
    <row r="2586" spans="11:11" ht="15.75" customHeight="1" x14ac:dyDescent="0.2">
      <c r="K2586" s="13"/>
    </row>
    <row r="2587" spans="11:11" ht="15.75" customHeight="1" x14ac:dyDescent="0.2">
      <c r="K2587" s="13"/>
    </row>
    <row r="2588" spans="11:11" ht="15.75" customHeight="1" x14ac:dyDescent="0.2">
      <c r="K2588" s="13"/>
    </row>
    <row r="2589" spans="11:11" ht="15.75" customHeight="1" x14ac:dyDescent="0.2">
      <c r="K2589" s="13"/>
    </row>
    <row r="2590" spans="11:11" ht="15.75" customHeight="1" x14ac:dyDescent="0.2">
      <c r="K2590" s="13"/>
    </row>
    <row r="2591" spans="11:11" ht="15.75" customHeight="1" x14ac:dyDescent="0.2">
      <c r="K2591" s="13"/>
    </row>
    <row r="2592" spans="11:11" ht="15.75" customHeight="1" x14ac:dyDescent="0.2">
      <c r="K2592" s="13"/>
    </row>
    <row r="2593" spans="11:11" ht="15.75" customHeight="1" x14ac:dyDescent="0.2">
      <c r="K2593" s="13"/>
    </row>
    <row r="2594" spans="11:11" ht="15.75" customHeight="1" x14ac:dyDescent="0.2">
      <c r="K2594" s="13"/>
    </row>
    <row r="2595" spans="11:11" ht="15.75" customHeight="1" x14ac:dyDescent="0.2">
      <c r="K2595" s="13"/>
    </row>
    <row r="2596" spans="11:11" ht="15.75" customHeight="1" x14ac:dyDescent="0.2">
      <c r="K2596" s="13"/>
    </row>
    <row r="2597" spans="11:11" ht="15.75" customHeight="1" x14ac:dyDescent="0.2">
      <c r="K2597" s="13"/>
    </row>
    <row r="2598" spans="11:11" ht="15.75" customHeight="1" x14ac:dyDescent="0.2">
      <c r="K2598" s="13"/>
    </row>
    <row r="2599" spans="11:11" ht="15.75" customHeight="1" x14ac:dyDescent="0.2">
      <c r="K2599" s="13"/>
    </row>
    <row r="2600" spans="11:11" ht="15.75" customHeight="1" x14ac:dyDescent="0.2">
      <c r="K2600" s="13"/>
    </row>
    <row r="2601" spans="11:11" ht="15.75" customHeight="1" x14ac:dyDescent="0.2">
      <c r="K2601" s="13"/>
    </row>
    <row r="2602" spans="11:11" ht="15.75" customHeight="1" x14ac:dyDescent="0.2">
      <c r="K2602" s="13"/>
    </row>
    <row r="2603" spans="11:11" ht="15.75" customHeight="1" x14ac:dyDescent="0.2">
      <c r="K2603" s="13"/>
    </row>
    <row r="2604" spans="11:11" ht="15.75" customHeight="1" x14ac:dyDescent="0.2">
      <c r="K2604" s="13"/>
    </row>
    <row r="2605" spans="11:11" ht="15.75" customHeight="1" x14ac:dyDescent="0.2">
      <c r="K2605" s="13"/>
    </row>
    <row r="2606" spans="11:11" ht="15.75" customHeight="1" x14ac:dyDescent="0.2">
      <c r="K2606" s="13"/>
    </row>
    <row r="2607" spans="11:11" ht="15.75" customHeight="1" x14ac:dyDescent="0.2">
      <c r="K2607" s="13"/>
    </row>
    <row r="2608" spans="11:11" ht="15.75" customHeight="1" x14ac:dyDescent="0.2">
      <c r="K2608" s="13"/>
    </row>
    <row r="2609" spans="11:11" ht="15.75" customHeight="1" x14ac:dyDescent="0.2">
      <c r="K2609" s="13"/>
    </row>
    <row r="2610" spans="11:11" ht="15.75" customHeight="1" x14ac:dyDescent="0.2">
      <c r="K2610" s="13"/>
    </row>
    <row r="2611" spans="11:11" ht="15.75" customHeight="1" x14ac:dyDescent="0.2">
      <c r="K2611" s="13"/>
    </row>
    <row r="2612" spans="11:11" ht="15.75" customHeight="1" x14ac:dyDescent="0.2">
      <c r="K2612" s="13"/>
    </row>
    <row r="2613" spans="11:11" ht="15.75" customHeight="1" x14ac:dyDescent="0.2">
      <c r="K2613" s="13"/>
    </row>
    <row r="2614" spans="11:11" ht="15.75" customHeight="1" x14ac:dyDescent="0.2">
      <c r="K2614" s="13"/>
    </row>
    <row r="2615" spans="11:11" ht="15.75" customHeight="1" x14ac:dyDescent="0.2">
      <c r="K2615" s="13"/>
    </row>
    <row r="2616" spans="11:11" ht="15.75" customHeight="1" x14ac:dyDescent="0.2">
      <c r="K2616" s="13"/>
    </row>
    <row r="2617" spans="11:11" ht="15.75" customHeight="1" x14ac:dyDescent="0.2">
      <c r="K2617" s="13"/>
    </row>
    <row r="2618" spans="11:11" ht="15.75" customHeight="1" x14ac:dyDescent="0.2">
      <c r="K2618" s="13"/>
    </row>
    <row r="2619" spans="11:11" ht="15.75" customHeight="1" x14ac:dyDescent="0.2">
      <c r="K2619" s="13"/>
    </row>
    <row r="2620" spans="11:11" ht="15.75" customHeight="1" x14ac:dyDescent="0.2">
      <c r="K2620" s="13"/>
    </row>
    <row r="2621" spans="11:11" ht="15.75" customHeight="1" x14ac:dyDescent="0.2">
      <c r="K2621" s="13"/>
    </row>
    <row r="2622" spans="11:11" ht="15.75" customHeight="1" x14ac:dyDescent="0.2">
      <c r="K2622" s="13"/>
    </row>
    <row r="2623" spans="11:11" ht="15.75" customHeight="1" x14ac:dyDescent="0.2">
      <c r="K2623" s="13"/>
    </row>
    <row r="2624" spans="11:11" ht="15.75" customHeight="1" x14ac:dyDescent="0.2">
      <c r="K2624" s="13"/>
    </row>
    <row r="2625" spans="11:11" ht="15.75" customHeight="1" x14ac:dyDescent="0.2">
      <c r="K2625" s="13"/>
    </row>
    <row r="2626" spans="11:11" ht="15.75" customHeight="1" x14ac:dyDescent="0.2">
      <c r="K2626" s="13"/>
    </row>
    <row r="2627" spans="11:11" ht="15.75" customHeight="1" x14ac:dyDescent="0.2">
      <c r="K2627" s="13"/>
    </row>
    <row r="2628" spans="11:11" ht="15.75" customHeight="1" x14ac:dyDescent="0.2">
      <c r="K2628" s="13"/>
    </row>
    <row r="2629" spans="11:11" ht="15.75" customHeight="1" x14ac:dyDescent="0.2">
      <c r="K2629" s="13"/>
    </row>
    <row r="2630" spans="11:11" ht="15.75" customHeight="1" x14ac:dyDescent="0.2">
      <c r="K2630" s="13"/>
    </row>
    <row r="2631" spans="11:11" ht="15.75" customHeight="1" x14ac:dyDescent="0.2">
      <c r="K2631" s="13"/>
    </row>
    <row r="2632" spans="11:11" ht="15.75" customHeight="1" x14ac:dyDescent="0.2">
      <c r="K2632" s="13"/>
    </row>
    <row r="2633" spans="11:11" ht="15.75" customHeight="1" x14ac:dyDescent="0.2">
      <c r="K2633" s="13"/>
    </row>
    <row r="2634" spans="11:11" ht="15.75" customHeight="1" x14ac:dyDescent="0.2">
      <c r="K2634" s="13"/>
    </row>
    <row r="2635" spans="11:11" ht="15.75" customHeight="1" x14ac:dyDescent="0.2">
      <c r="K2635" s="13"/>
    </row>
    <row r="2636" spans="11:11" ht="15.75" customHeight="1" x14ac:dyDescent="0.2">
      <c r="K2636" s="13"/>
    </row>
    <row r="2637" spans="11:11" ht="15.75" customHeight="1" x14ac:dyDescent="0.2">
      <c r="K2637" s="13"/>
    </row>
    <row r="2638" spans="11:11" ht="15.75" customHeight="1" x14ac:dyDescent="0.2">
      <c r="K2638" s="13"/>
    </row>
    <row r="2639" spans="11:11" ht="15.75" customHeight="1" x14ac:dyDescent="0.2">
      <c r="K2639" s="13"/>
    </row>
    <row r="2640" spans="11:11" ht="15.75" customHeight="1" x14ac:dyDescent="0.2">
      <c r="K2640" s="13"/>
    </row>
    <row r="2641" spans="11:11" ht="15.75" customHeight="1" x14ac:dyDescent="0.2">
      <c r="K2641" s="13"/>
    </row>
    <row r="2642" spans="11:11" ht="15.75" customHeight="1" x14ac:dyDescent="0.2">
      <c r="K2642" s="13"/>
    </row>
    <row r="2643" spans="11:11" ht="15.75" customHeight="1" x14ac:dyDescent="0.2">
      <c r="K2643" s="13"/>
    </row>
    <row r="2644" spans="11:11" ht="15.75" customHeight="1" x14ac:dyDescent="0.2">
      <c r="K2644" s="13"/>
    </row>
    <row r="2645" spans="11:11" ht="15.75" customHeight="1" x14ac:dyDescent="0.2">
      <c r="K2645" s="13"/>
    </row>
    <row r="2646" spans="11:11" ht="15.75" customHeight="1" x14ac:dyDescent="0.2">
      <c r="K2646" s="13"/>
    </row>
    <row r="2647" spans="11:11" ht="15.75" customHeight="1" x14ac:dyDescent="0.2">
      <c r="K2647" s="13"/>
    </row>
    <row r="2648" spans="11:11" ht="15.75" customHeight="1" x14ac:dyDescent="0.2">
      <c r="K2648" s="13"/>
    </row>
    <row r="2649" spans="11:11" ht="15.75" customHeight="1" x14ac:dyDescent="0.2">
      <c r="K2649" s="13"/>
    </row>
    <row r="2650" spans="11:11" ht="15.75" customHeight="1" x14ac:dyDescent="0.2">
      <c r="K2650" s="13"/>
    </row>
    <row r="2651" spans="11:11" ht="15.75" customHeight="1" x14ac:dyDescent="0.2">
      <c r="K2651" s="13"/>
    </row>
    <row r="2652" spans="11:11" ht="15.75" customHeight="1" x14ac:dyDescent="0.2">
      <c r="K2652" s="13"/>
    </row>
    <row r="2653" spans="11:11" ht="15.75" customHeight="1" x14ac:dyDescent="0.2">
      <c r="K2653" s="13"/>
    </row>
    <row r="2654" spans="11:11" ht="15.75" customHeight="1" x14ac:dyDescent="0.2">
      <c r="K2654" s="13"/>
    </row>
    <row r="2655" spans="11:11" ht="15.75" customHeight="1" x14ac:dyDescent="0.2">
      <c r="K2655" s="13"/>
    </row>
    <row r="2656" spans="11:11" ht="15.75" customHeight="1" x14ac:dyDescent="0.2">
      <c r="K2656" s="13"/>
    </row>
    <row r="2657" spans="11:11" ht="15.75" customHeight="1" x14ac:dyDescent="0.2">
      <c r="K2657" s="13"/>
    </row>
    <row r="2658" spans="11:11" ht="15.75" customHeight="1" x14ac:dyDescent="0.2">
      <c r="K2658" s="13"/>
    </row>
    <row r="2659" spans="11:11" ht="15.75" customHeight="1" x14ac:dyDescent="0.2">
      <c r="K2659" s="13"/>
    </row>
    <row r="2660" spans="11:11" ht="15.75" customHeight="1" x14ac:dyDescent="0.2">
      <c r="K2660" s="13"/>
    </row>
    <row r="2661" spans="11:11" ht="15.75" customHeight="1" x14ac:dyDescent="0.2">
      <c r="K2661" s="13"/>
    </row>
    <row r="2662" spans="11:11" ht="15.75" customHeight="1" x14ac:dyDescent="0.2">
      <c r="K2662" s="13"/>
    </row>
    <row r="2663" spans="11:11" ht="15.75" customHeight="1" x14ac:dyDescent="0.2">
      <c r="K2663" s="13"/>
    </row>
    <row r="2664" spans="11:11" ht="15.75" customHeight="1" x14ac:dyDescent="0.2">
      <c r="K2664" s="13"/>
    </row>
    <row r="2665" spans="11:11" ht="15.75" customHeight="1" x14ac:dyDescent="0.2">
      <c r="K2665" s="13"/>
    </row>
    <row r="2666" spans="11:11" ht="15.75" customHeight="1" x14ac:dyDescent="0.2">
      <c r="K2666" s="13"/>
    </row>
    <row r="2667" spans="11:11" ht="15.75" customHeight="1" x14ac:dyDescent="0.2">
      <c r="K2667" s="13"/>
    </row>
    <row r="2668" spans="11:11" ht="15.75" customHeight="1" x14ac:dyDescent="0.2">
      <c r="K2668" s="13"/>
    </row>
    <row r="2669" spans="11:11" ht="15.75" customHeight="1" x14ac:dyDescent="0.2">
      <c r="K2669" s="13"/>
    </row>
    <row r="2670" spans="11:11" ht="15.75" customHeight="1" x14ac:dyDescent="0.2">
      <c r="K2670" s="13"/>
    </row>
    <row r="2671" spans="11:11" ht="15.75" customHeight="1" x14ac:dyDescent="0.2">
      <c r="K2671" s="13"/>
    </row>
    <row r="2672" spans="11:11" ht="15.75" customHeight="1" x14ac:dyDescent="0.2">
      <c r="K2672" s="13"/>
    </row>
    <row r="2673" spans="11:11" ht="15.75" customHeight="1" x14ac:dyDescent="0.2">
      <c r="K2673" s="13"/>
    </row>
    <row r="2674" spans="11:11" ht="15.75" customHeight="1" x14ac:dyDescent="0.2">
      <c r="K2674" s="13"/>
    </row>
    <row r="2675" spans="11:11" ht="15.75" customHeight="1" x14ac:dyDescent="0.2">
      <c r="K2675" s="13"/>
    </row>
    <row r="2676" spans="11:11" ht="15.75" customHeight="1" x14ac:dyDescent="0.2">
      <c r="K2676" s="13"/>
    </row>
    <row r="2677" spans="11:11" ht="15.75" customHeight="1" x14ac:dyDescent="0.2">
      <c r="K2677" s="13"/>
    </row>
    <row r="2678" spans="11:11" ht="15.75" customHeight="1" x14ac:dyDescent="0.2">
      <c r="K2678" s="13"/>
    </row>
    <row r="2679" spans="11:11" ht="15.75" customHeight="1" x14ac:dyDescent="0.2">
      <c r="K2679" s="13"/>
    </row>
    <row r="2680" spans="11:11" ht="15.75" customHeight="1" x14ac:dyDescent="0.2">
      <c r="K2680" s="13"/>
    </row>
    <row r="2681" spans="11:11" ht="15.75" customHeight="1" x14ac:dyDescent="0.2">
      <c r="K2681" s="13"/>
    </row>
    <row r="2682" spans="11:11" ht="15.75" customHeight="1" x14ac:dyDescent="0.2">
      <c r="K2682" s="13"/>
    </row>
    <row r="2683" spans="11:11" ht="15.75" customHeight="1" x14ac:dyDescent="0.2">
      <c r="K2683" s="13"/>
    </row>
    <row r="2684" spans="11:11" ht="15.75" customHeight="1" x14ac:dyDescent="0.2">
      <c r="K2684" s="13"/>
    </row>
    <row r="2685" spans="11:11" ht="15.75" customHeight="1" x14ac:dyDescent="0.2">
      <c r="K2685" s="13"/>
    </row>
    <row r="2686" spans="11:11" ht="15.75" customHeight="1" x14ac:dyDescent="0.2">
      <c r="K2686" s="13"/>
    </row>
    <row r="2687" spans="11:11" ht="15.75" customHeight="1" x14ac:dyDescent="0.2">
      <c r="K2687" s="13"/>
    </row>
    <row r="2688" spans="11:11" ht="15.75" customHeight="1" x14ac:dyDescent="0.2">
      <c r="K2688" s="13"/>
    </row>
    <row r="2689" spans="11:11" ht="15.75" customHeight="1" x14ac:dyDescent="0.2">
      <c r="K2689" s="13"/>
    </row>
    <row r="2690" spans="11:11" ht="15.75" customHeight="1" x14ac:dyDescent="0.2">
      <c r="K2690" s="13"/>
    </row>
    <row r="2691" spans="11:11" ht="15.75" customHeight="1" x14ac:dyDescent="0.2">
      <c r="K2691" s="13"/>
    </row>
    <row r="2692" spans="11:11" ht="15.75" customHeight="1" x14ac:dyDescent="0.2">
      <c r="K2692" s="13"/>
    </row>
    <row r="2693" spans="11:11" ht="15.75" customHeight="1" x14ac:dyDescent="0.2">
      <c r="K2693" s="13"/>
    </row>
    <row r="2694" spans="11:11" ht="15.75" customHeight="1" x14ac:dyDescent="0.2">
      <c r="K2694" s="13"/>
    </row>
    <row r="2695" spans="11:11" ht="15.75" customHeight="1" x14ac:dyDescent="0.2">
      <c r="K2695" s="13"/>
    </row>
    <row r="2696" spans="11:11" ht="15.75" customHeight="1" x14ac:dyDescent="0.2">
      <c r="K2696" s="13"/>
    </row>
    <row r="2697" spans="11:11" ht="15.75" customHeight="1" x14ac:dyDescent="0.2">
      <c r="K2697" s="13"/>
    </row>
    <row r="2698" spans="11:11" ht="15.75" customHeight="1" x14ac:dyDescent="0.2">
      <c r="K2698" s="13"/>
    </row>
    <row r="2699" spans="11:11" ht="15.75" customHeight="1" x14ac:dyDescent="0.2">
      <c r="K2699" s="13"/>
    </row>
    <row r="2700" spans="11:11" ht="15.75" customHeight="1" x14ac:dyDescent="0.2">
      <c r="K2700" s="13"/>
    </row>
    <row r="2701" spans="11:11" ht="15.75" customHeight="1" x14ac:dyDescent="0.2">
      <c r="K2701" s="13"/>
    </row>
    <row r="2702" spans="11:11" ht="15.75" customHeight="1" x14ac:dyDescent="0.2">
      <c r="K2702" s="13"/>
    </row>
    <row r="2703" spans="11:11" ht="15.75" customHeight="1" x14ac:dyDescent="0.2">
      <c r="K2703" s="13"/>
    </row>
    <row r="2704" spans="11:11" ht="15.75" customHeight="1" x14ac:dyDescent="0.2">
      <c r="K2704" s="13"/>
    </row>
    <row r="2705" spans="3:11" ht="15.75" customHeight="1" x14ac:dyDescent="0.2">
      <c r="K2705" s="13"/>
    </row>
    <row r="2706" spans="3:11" ht="15.75" customHeight="1" x14ac:dyDescent="0.2">
      <c r="K2706" s="13"/>
    </row>
    <row r="2707" spans="3:11" ht="15.75" customHeight="1" x14ac:dyDescent="0.2">
      <c r="C2707" s="109"/>
    </row>
    <row r="2708" spans="3:11" ht="15.75" customHeight="1" x14ac:dyDescent="0.2">
      <c r="C2708" s="109"/>
    </row>
    <row r="2709" spans="3:11" ht="15.75" customHeight="1" x14ac:dyDescent="0.2">
      <c r="C2709" s="109"/>
    </row>
    <row r="2710" spans="3:11" ht="15.75" customHeight="1" x14ac:dyDescent="0.2">
      <c r="C2710" s="109"/>
    </row>
    <row r="2711" spans="3:11" ht="15.75" customHeight="1" x14ac:dyDescent="0.2">
      <c r="C2711" s="109"/>
    </row>
    <row r="2712" spans="3:11" ht="15.75" customHeight="1" x14ac:dyDescent="0.2">
      <c r="C2712" s="109"/>
    </row>
    <row r="2713" spans="3:11" ht="15.75" customHeight="1" x14ac:dyDescent="0.2">
      <c r="C2713" s="109"/>
    </row>
    <row r="2714" spans="3:11" ht="15.75" customHeight="1" x14ac:dyDescent="0.2">
      <c r="C2714" s="109"/>
    </row>
    <row r="2715" spans="3:11" ht="15.75" customHeight="1" x14ac:dyDescent="0.2">
      <c r="C2715" s="109"/>
    </row>
    <row r="2716" spans="3:11" ht="15.75" customHeight="1" x14ac:dyDescent="0.2">
      <c r="C2716" s="109"/>
    </row>
    <row r="2717" spans="3:11" ht="15.75" customHeight="1" x14ac:dyDescent="0.2">
      <c r="C2717" s="109"/>
    </row>
    <row r="2718" spans="3:11" ht="15.75" customHeight="1" x14ac:dyDescent="0.2">
      <c r="C2718" s="109"/>
    </row>
    <row r="2719" spans="3:11" ht="15.75" customHeight="1" x14ac:dyDescent="0.2">
      <c r="C2719" s="109"/>
    </row>
    <row r="2720" spans="3:11" ht="15.75" customHeight="1" x14ac:dyDescent="0.2">
      <c r="C2720" s="109"/>
    </row>
    <row r="2721" spans="3:3" ht="15.75" customHeight="1" x14ac:dyDescent="0.2">
      <c r="C2721" s="109"/>
    </row>
    <row r="2722" spans="3:3" ht="15.75" customHeight="1" x14ac:dyDescent="0.2">
      <c r="C2722" s="109"/>
    </row>
    <row r="2723" spans="3:3" ht="15.75" customHeight="1" x14ac:dyDescent="0.2">
      <c r="C2723" s="109"/>
    </row>
    <row r="2724" spans="3:3" ht="15.75" customHeight="1" x14ac:dyDescent="0.2">
      <c r="C2724" s="109"/>
    </row>
    <row r="2725" spans="3:3" ht="15.75" customHeight="1" x14ac:dyDescent="0.2">
      <c r="C2725" s="109"/>
    </row>
    <row r="2726" spans="3:3" ht="15.75" customHeight="1" x14ac:dyDescent="0.2">
      <c r="C2726" s="109"/>
    </row>
    <row r="2727" spans="3:3" ht="15.75" customHeight="1" x14ac:dyDescent="0.2">
      <c r="C2727" s="109"/>
    </row>
    <row r="2728" spans="3:3" ht="15.75" customHeight="1" x14ac:dyDescent="0.2">
      <c r="C2728" s="109"/>
    </row>
    <row r="2729" spans="3:3" ht="15.75" customHeight="1" x14ac:dyDescent="0.2">
      <c r="C2729" s="109"/>
    </row>
    <row r="2730" spans="3:3" ht="15.75" customHeight="1" x14ac:dyDescent="0.2">
      <c r="C2730" s="109"/>
    </row>
    <row r="2731" spans="3:3" ht="15.75" customHeight="1" x14ac:dyDescent="0.2">
      <c r="C2731" s="109"/>
    </row>
    <row r="2732" spans="3:3" ht="15.75" customHeight="1" x14ac:dyDescent="0.2">
      <c r="C2732" s="109"/>
    </row>
    <row r="2733" spans="3:3" ht="15.75" customHeight="1" x14ac:dyDescent="0.2">
      <c r="C2733" s="109"/>
    </row>
    <row r="2734" spans="3:3" ht="15.75" customHeight="1" x14ac:dyDescent="0.2">
      <c r="C2734" s="109"/>
    </row>
    <row r="2735" spans="3:3" ht="15.75" customHeight="1" x14ac:dyDescent="0.2">
      <c r="C2735" s="109"/>
    </row>
    <row r="2736" spans="3:3" ht="15.75" customHeight="1" x14ac:dyDescent="0.2">
      <c r="C2736" s="109"/>
    </row>
    <row r="2737" spans="3:3" ht="15.75" customHeight="1" x14ac:dyDescent="0.2">
      <c r="C2737" s="109"/>
    </row>
    <row r="2738" spans="3:3" ht="15.75" customHeight="1" x14ac:dyDescent="0.2">
      <c r="C2738" s="109"/>
    </row>
    <row r="2739" spans="3:3" ht="15.75" customHeight="1" x14ac:dyDescent="0.2">
      <c r="C2739" s="109"/>
    </row>
    <row r="2740" spans="3:3" ht="15.75" customHeight="1" x14ac:dyDescent="0.2">
      <c r="C2740" s="109"/>
    </row>
    <row r="2741" spans="3:3" ht="15.75" customHeight="1" x14ac:dyDescent="0.2">
      <c r="C2741" s="109"/>
    </row>
    <row r="2742" spans="3:3" ht="15.75" customHeight="1" x14ac:dyDescent="0.2">
      <c r="C2742" s="109"/>
    </row>
    <row r="2743" spans="3:3" ht="15.75" customHeight="1" x14ac:dyDescent="0.2">
      <c r="C2743" s="109"/>
    </row>
    <row r="2744" spans="3:3" ht="15.75" customHeight="1" x14ac:dyDescent="0.2">
      <c r="C2744" s="109"/>
    </row>
    <row r="2745" spans="3:3" ht="15.75" customHeight="1" x14ac:dyDescent="0.2">
      <c r="C2745" s="109"/>
    </row>
    <row r="2746" spans="3:3" ht="15.75" customHeight="1" x14ac:dyDescent="0.2">
      <c r="C2746" s="109"/>
    </row>
    <row r="2747" spans="3:3" ht="15.75" customHeight="1" x14ac:dyDescent="0.2">
      <c r="C2747" s="109"/>
    </row>
    <row r="2748" spans="3:3" ht="15.75" customHeight="1" x14ac:dyDescent="0.2">
      <c r="C2748" s="109"/>
    </row>
    <row r="2749" spans="3:3" ht="15.75" customHeight="1" x14ac:dyDescent="0.2">
      <c r="C2749" s="109"/>
    </row>
    <row r="2750" spans="3:3" ht="15.75" customHeight="1" x14ac:dyDescent="0.2">
      <c r="C2750" s="109"/>
    </row>
    <row r="2751" spans="3:3" ht="15.75" customHeight="1" x14ac:dyDescent="0.2">
      <c r="C2751" s="109"/>
    </row>
    <row r="2752" spans="3:3" ht="15.75" customHeight="1" x14ac:dyDescent="0.2">
      <c r="C2752" s="109"/>
    </row>
    <row r="2753" spans="3:3" ht="15.75" customHeight="1" x14ac:dyDescent="0.2">
      <c r="C2753" s="109"/>
    </row>
    <row r="2754" spans="3:3" ht="15.75" customHeight="1" x14ac:dyDescent="0.2">
      <c r="C2754" s="109"/>
    </row>
    <row r="2755" spans="3:3" ht="15.75" customHeight="1" x14ac:dyDescent="0.2">
      <c r="C2755" s="109"/>
    </row>
    <row r="2756" spans="3:3" ht="15.75" customHeight="1" x14ac:dyDescent="0.2"/>
    <row r="2757" spans="3:3" ht="15.75" customHeight="1" x14ac:dyDescent="0.2"/>
    <row r="2758" spans="3:3" ht="15.75" customHeight="1" x14ac:dyDescent="0.2"/>
    <row r="2759" spans="3:3" ht="15.75" customHeight="1" x14ac:dyDescent="0.2"/>
    <row r="2760" spans="3:3" ht="15.75" customHeight="1" x14ac:dyDescent="0.2"/>
    <row r="2761" spans="3:3" ht="15.75" customHeight="1" x14ac:dyDescent="0.2"/>
    <row r="2762" spans="3:3" ht="15.75" customHeight="1" x14ac:dyDescent="0.2"/>
    <row r="2763" spans="3:3" ht="15.75" customHeight="1" x14ac:dyDescent="0.2"/>
    <row r="2764" spans="3:3" ht="15.75" customHeight="1" x14ac:dyDescent="0.2"/>
    <row r="2765" spans="3:3" ht="15.75" customHeight="1" x14ac:dyDescent="0.2"/>
    <row r="2766" spans="3:3" ht="15.75" customHeight="1" x14ac:dyDescent="0.2"/>
    <row r="2767" spans="3:3" ht="15.75" customHeight="1" x14ac:dyDescent="0.2"/>
    <row r="2768" spans="3:3" ht="15.75" customHeight="1" x14ac:dyDescent="0.2"/>
    <row r="2769" ht="15.75" customHeight="1" x14ac:dyDescent="0.2"/>
    <row r="2770" ht="15.75" customHeight="1" x14ac:dyDescent="0.2"/>
    <row r="2771" ht="15.75" customHeight="1" x14ac:dyDescent="0.2"/>
    <row r="2772" ht="15.75" customHeight="1" x14ac:dyDescent="0.2"/>
    <row r="2773" ht="15.75" customHeight="1" x14ac:dyDescent="0.2"/>
    <row r="2774" ht="15.75" customHeight="1" x14ac:dyDescent="0.2"/>
    <row r="2775" ht="15.75" customHeight="1" x14ac:dyDescent="0.2"/>
    <row r="2776" ht="15.75" customHeight="1" x14ac:dyDescent="0.2"/>
    <row r="2777" ht="15.75" customHeight="1" x14ac:dyDescent="0.2"/>
    <row r="2778" ht="15.75" customHeight="1" x14ac:dyDescent="0.2"/>
    <row r="2779" ht="15.75" customHeight="1" x14ac:dyDescent="0.2"/>
    <row r="2780" ht="15.75" customHeight="1" x14ac:dyDescent="0.2"/>
    <row r="2781" ht="15.75" customHeight="1" x14ac:dyDescent="0.2"/>
    <row r="2782" ht="15.75" customHeight="1" x14ac:dyDescent="0.2"/>
    <row r="2783" ht="15.75" customHeight="1" x14ac:dyDescent="0.2"/>
    <row r="2784" ht="15.75" customHeight="1" x14ac:dyDescent="0.2"/>
    <row r="2785" ht="15.75" customHeight="1" x14ac:dyDescent="0.2"/>
    <row r="2786" ht="15.75" customHeight="1" x14ac:dyDescent="0.2"/>
    <row r="2787" ht="15.75" customHeight="1" x14ac:dyDescent="0.2"/>
    <row r="2788" ht="15.75" customHeight="1" x14ac:dyDescent="0.2"/>
    <row r="2789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4" ht="15.75" customHeight="1" x14ac:dyDescent="0.2"/>
    <row r="2795" ht="15.75" customHeight="1" x14ac:dyDescent="0.2"/>
    <row r="2796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1" ht="15.75" customHeight="1" x14ac:dyDescent="0.2"/>
    <row r="2802" ht="15.75" customHeight="1" x14ac:dyDescent="0.2"/>
    <row r="2803" ht="15.75" customHeight="1" x14ac:dyDescent="0.2"/>
    <row r="2804" ht="15.75" customHeight="1" x14ac:dyDescent="0.2"/>
    <row r="2805" ht="15.75" customHeight="1" x14ac:dyDescent="0.2"/>
    <row r="2806" ht="15.75" customHeight="1" x14ac:dyDescent="0.2"/>
    <row r="2807" ht="15.75" customHeight="1" x14ac:dyDescent="0.2"/>
    <row r="2808" ht="15.75" customHeight="1" x14ac:dyDescent="0.2"/>
    <row r="2809" ht="15.75" customHeight="1" x14ac:dyDescent="0.2"/>
    <row r="2810" ht="15.75" customHeight="1" x14ac:dyDescent="0.2"/>
    <row r="2811" ht="15.75" customHeight="1" x14ac:dyDescent="0.2"/>
    <row r="2812" ht="15.75" customHeight="1" x14ac:dyDescent="0.2"/>
    <row r="2813" ht="15.75" customHeight="1" x14ac:dyDescent="0.2"/>
    <row r="2814" ht="15.75" customHeight="1" x14ac:dyDescent="0.2"/>
    <row r="2815" ht="15.75" customHeight="1" x14ac:dyDescent="0.2"/>
    <row r="2816" ht="15.75" customHeight="1" x14ac:dyDescent="0.2"/>
    <row r="2817" ht="15.75" customHeight="1" x14ac:dyDescent="0.2"/>
    <row r="2818" ht="15.75" customHeight="1" x14ac:dyDescent="0.2"/>
    <row r="2819" ht="15.75" customHeight="1" x14ac:dyDescent="0.2"/>
    <row r="2820" ht="15.75" customHeight="1" x14ac:dyDescent="0.2"/>
    <row r="2821" ht="15.75" customHeight="1" x14ac:dyDescent="0.2"/>
    <row r="2822" ht="15.75" customHeight="1" x14ac:dyDescent="0.2"/>
  </sheetData>
  <mergeCells count="722">
    <mergeCell ref="B71:C71"/>
    <mergeCell ref="D71:E71"/>
    <mergeCell ref="F71:G71"/>
    <mergeCell ref="B72:C72"/>
    <mergeCell ref="D72:E72"/>
    <mergeCell ref="F72:G72"/>
    <mergeCell ref="DY69:DZ69"/>
    <mergeCell ref="EM69:EN69"/>
    <mergeCell ref="FA69:FB69"/>
    <mergeCell ref="FO69:FP69"/>
    <mergeCell ref="GC69:GD69"/>
    <mergeCell ref="GQ69:GR69"/>
    <mergeCell ref="HG69:HH69"/>
    <mergeCell ref="HM69:HN69"/>
    <mergeCell ref="HS69:HT69"/>
    <mergeCell ref="J69:K69"/>
    <mergeCell ref="X69:Y69"/>
    <mergeCell ref="AL69:AM69"/>
    <mergeCell ref="AZ69:BA69"/>
    <mergeCell ref="BN69:BO69"/>
    <mergeCell ref="CB69:CC69"/>
    <mergeCell ref="CI69:CJ69"/>
    <mergeCell ref="CW69:CX69"/>
    <mergeCell ref="DK69:DL69"/>
    <mergeCell ref="DY68:DZ68"/>
    <mergeCell ref="EM68:EN68"/>
    <mergeCell ref="FA68:FB68"/>
    <mergeCell ref="FO68:FP68"/>
    <mergeCell ref="GC68:GD68"/>
    <mergeCell ref="GQ68:GR68"/>
    <mergeCell ref="HG68:HH68"/>
    <mergeCell ref="HM68:HN68"/>
    <mergeCell ref="HS68:HT68"/>
    <mergeCell ref="A68:C68"/>
    <mergeCell ref="P68:Q68"/>
    <mergeCell ref="AD68:AE68"/>
    <mergeCell ref="AR68:AS68"/>
    <mergeCell ref="BF68:BG68"/>
    <mergeCell ref="BT68:BU68"/>
    <mergeCell ref="CI68:CJ68"/>
    <mergeCell ref="CW68:CX68"/>
    <mergeCell ref="DK68:DL68"/>
    <mergeCell ref="DY67:DZ67"/>
    <mergeCell ref="EM67:EN67"/>
    <mergeCell ref="FA67:FB67"/>
    <mergeCell ref="FO67:FP67"/>
    <mergeCell ref="GC67:GD67"/>
    <mergeCell ref="GQ67:GR67"/>
    <mergeCell ref="HG67:HH67"/>
    <mergeCell ref="HM67:HN67"/>
    <mergeCell ref="HS67:HT67"/>
    <mergeCell ref="A67:C67"/>
    <mergeCell ref="P67:Q67"/>
    <mergeCell ref="AD67:AE67"/>
    <mergeCell ref="AR67:AS67"/>
    <mergeCell ref="BF67:BG67"/>
    <mergeCell ref="BT67:BU67"/>
    <mergeCell ref="CI67:CJ67"/>
    <mergeCell ref="CW67:CX67"/>
    <mergeCell ref="DK67:DL67"/>
    <mergeCell ref="A65:C65"/>
    <mergeCell ref="P65:Q65"/>
    <mergeCell ref="AD65:AE65"/>
    <mergeCell ref="AR65:AS65"/>
    <mergeCell ref="BF65:BG65"/>
    <mergeCell ref="BT65:BU65"/>
    <mergeCell ref="A66:C66"/>
    <mergeCell ref="P66:Q66"/>
    <mergeCell ref="AD66:AE66"/>
    <mergeCell ref="AR66:AS66"/>
    <mergeCell ref="BF66:BG66"/>
    <mergeCell ref="BT66:BU66"/>
    <mergeCell ref="CM63:CN63"/>
    <mergeCell ref="DA63:DB63"/>
    <mergeCell ref="DO63:DP63"/>
    <mergeCell ref="EC63:ED63"/>
    <mergeCell ref="EQ63:ER63"/>
    <mergeCell ref="FE63:FF63"/>
    <mergeCell ref="FS63:FT63"/>
    <mergeCell ref="GG63:GH63"/>
    <mergeCell ref="GW63:GX63"/>
    <mergeCell ref="J61:K61"/>
    <mergeCell ref="X61:Y61"/>
    <mergeCell ref="AL61:AM61"/>
    <mergeCell ref="AZ61:BA61"/>
    <mergeCell ref="BN61:BO61"/>
    <mergeCell ref="CB61:CC61"/>
    <mergeCell ref="J62:K62"/>
    <mergeCell ref="X62:Y62"/>
    <mergeCell ref="AL62:AM62"/>
    <mergeCell ref="AZ62:BA62"/>
    <mergeCell ref="BN62:BO62"/>
    <mergeCell ref="CB62:CC62"/>
    <mergeCell ref="J59:K59"/>
    <mergeCell ref="X59:Y59"/>
    <mergeCell ref="AL59:AM59"/>
    <mergeCell ref="AZ59:BA59"/>
    <mergeCell ref="BN59:BO59"/>
    <mergeCell ref="CB59:CC59"/>
    <mergeCell ref="J60:K60"/>
    <mergeCell ref="X60:Y60"/>
    <mergeCell ref="AL60:AM60"/>
    <mergeCell ref="AZ60:BA60"/>
    <mergeCell ref="BN60:BO60"/>
    <mergeCell ref="CB60:CC60"/>
    <mergeCell ref="GE1:GH1"/>
    <mergeCell ref="GP1:GR1"/>
    <mergeCell ref="GU1:GX1"/>
    <mergeCell ref="HF1:HG1"/>
    <mergeCell ref="HH1:HJ1"/>
    <mergeCell ref="HL1:HM1"/>
    <mergeCell ref="HN1:HP1"/>
    <mergeCell ref="HR1:HS1"/>
    <mergeCell ref="HT1:HV1"/>
    <mergeCell ref="DX1:DZ1"/>
    <mergeCell ref="EA1:ED1"/>
    <mergeCell ref="EL1:EN1"/>
    <mergeCell ref="EO1:ER1"/>
    <mergeCell ref="EZ1:FB1"/>
    <mergeCell ref="FC1:FF1"/>
    <mergeCell ref="FN1:FP1"/>
    <mergeCell ref="FQ1:FT1"/>
    <mergeCell ref="GB1:GD1"/>
    <mergeCell ref="BI1:BL1"/>
    <mergeCell ref="BT1:BV1"/>
    <mergeCell ref="BW1:BZ1"/>
    <mergeCell ref="CH1:CJ1"/>
    <mergeCell ref="CK1:CN1"/>
    <mergeCell ref="CV1:CX1"/>
    <mergeCell ref="CY1:DB1"/>
    <mergeCell ref="DJ1:DL1"/>
    <mergeCell ref="DM1:DP1"/>
    <mergeCell ref="A1:D1"/>
    <mergeCell ref="E1:H1"/>
    <mergeCell ref="P1:R1"/>
    <mergeCell ref="S1:V1"/>
    <mergeCell ref="AD1:AF1"/>
    <mergeCell ref="AG1:AJ1"/>
    <mergeCell ref="AR1:AT1"/>
    <mergeCell ref="AU1:AX1"/>
    <mergeCell ref="BF1:BH1"/>
    <mergeCell ref="B145:C145"/>
    <mergeCell ref="D145:E145"/>
    <mergeCell ref="F145:G145"/>
    <mergeCell ref="B146:C146"/>
    <mergeCell ref="D146:E146"/>
    <mergeCell ref="F146:G146"/>
    <mergeCell ref="FA143:FB143"/>
    <mergeCell ref="FO143:FP143"/>
    <mergeCell ref="GC143:GD143"/>
    <mergeCell ref="BN143:BO143"/>
    <mergeCell ref="CB143:CC143"/>
    <mergeCell ref="GQ143:GR143"/>
    <mergeCell ref="HG143:HH143"/>
    <mergeCell ref="HM143:HN143"/>
    <mergeCell ref="HS143:HT143"/>
    <mergeCell ref="J143:K143"/>
    <mergeCell ref="X143:Y143"/>
    <mergeCell ref="AL143:AM143"/>
    <mergeCell ref="AZ143:BA143"/>
    <mergeCell ref="CI143:CJ143"/>
    <mergeCell ref="CW143:CX143"/>
    <mergeCell ref="DK143:DL143"/>
    <mergeCell ref="DY143:DZ143"/>
    <mergeCell ref="EM143:EN143"/>
    <mergeCell ref="FA142:FB142"/>
    <mergeCell ref="FO142:FP142"/>
    <mergeCell ref="GC142:GD142"/>
    <mergeCell ref="BF142:BG142"/>
    <mergeCell ref="BT142:BU142"/>
    <mergeCell ref="GQ142:GR142"/>
    <mergeCell ref="HG142:HH142"/>
    <mergeCell ref="HM142:HN142"/>
    <mergeCell ref="HS142:HT142"/>
    <mergeCell ref="A142:C142"/>
    <mergeCell ref="P142:Q142"/>
    <mergeCell ref="AD142:AE142"/>
    <mergeCell ref="AR142:AS142"/>
    <mergeCell ref="CI142:CJ142"/>
    <mergeCell ref="CW142:CX142"/>
    <mergeCell ref="DK142:DL142"/>
    <mergeCell ref="DY142:DZ142"/>
    <mergeCell ref="EM142:EN142"/>
    <mergeCell ref="FA141:FB141"/>
    <mergeCell ref="FO141:FP141"/>
    <mergeCell ref="GC141:GD141"/>
    <mergeCell ref="BF141:BG141"/>
    <mergeCell ref="BT141:BU141"/>
    <mergeCell ref="GQ141:GR141"/>
    <mergeCell ref="HG141:HH141"/>
    <mergeCell ref="HM141:HN141"/>
    <mergeCell ref="HS141:HT141"/>
    <mergeCell ref="A141:C141"/>
    <mergeCell ref="P141:Q141"/>
    <mergeCell ref="AD141:AE141"/>
    <mergeCell ref="AR141:AS141"/>
    <mergeCell ref="CI141:CJ141"/>
    <mergeCell ref="CW141:CX141"/>
    <mergeCell ref="DK141:DL141"/>
    <mergeCell ref="DY141:DZ141"/>
    <mergeCell ref="EM141:EN141"/>
    <mergeCell ref="A139:C139"/>
    <mergeCell ref="P139:Q139"/>
    <mergeCell ref="AD139:AE139"/>
    <mergeCell ref="AR139:AS139"/>
    <mergeCell ref="BF139:BG139"/>
    <mergeCell ref="BT139:BU139"/>
    <mergeCell ref="A140:C140"/>
    <mergeCell ref="P140:Q140"/>
    <mergeCell ref="AD140:AE140"/>
    <mergeCell ref="AR140:AS140"/>
    <mergeCell ref="BF140:BG140"/>
    <mergeCell ref="BT140:BU140"/>
    <mergeCell ref="CM137:CN137"/>
    <mergeCell ref="DA137:DB137"/>
    <mergeCell ref="DO137:DP137"/>
    <mergeCell ref="EC137:ED137"/>
    <mergeCell ref="EQ137:ER137"/>
    <mergeCell ref="FE137:FF137"/>
    <mergeCell ref="FS137:FT137"/>
    <mergeCell ref="GG137:GH137"/>
    <mergeCell ref="GW137:GX137"/>
    <mergeCell ref="J135:K135"/>
    <mergeCell ref="X135:Y135"/>
    <mergeCell ref="AL135:AM135"/>
    <mergeCell ref="AZ135:BA135"/>
    <mergeCell ref="BN135:BO135"/>
    <mergeCell ref="CB135:CC135"/>
    <mergeCell ref="J136:K136"/>
    <mergeCell ref="X136:Y136"/>
    <mergeCell ref="AL136:AM136"/>
    <mergeCell ref="AZ136:BA136"/>
    <mergeCell ref="BN136:BO136"/>
    <mergeCell ref="CB136:CC136"/>
    <mergeCell ref="J133:K133"/>
    <mergeCell ref="X133:Y133"/>
    <mergeCell ref="AL133:AM133"/>
    <mergeCell ref="AZ133:BA133"/>
    <mergeCell ref="BN133:BO133"/>
    <mergeCell ref="CB133:CC133"/>
    <mergeCell ref="J134:K134"/>
    <mergeCell ref="X134:Y134"/>
    <mergeCell ref="AL134:AM134"/>
    <mergeCell ref="AZ134:BA134"/>
    <mergeCell ref="BN134:BO134"/>
    <mergeCell ref="CB134:CC134"/>
    <mergeCell ref="HF75:HG75"/>
    <mergeCell ref="HH75:HJ75"/>
    <mergeCell ref="HL75:HM75"/>
    <mergeCell ref="HN75:HP75"/>
    <mergeCell ref="HR75:HS75"/>
    <mergeCell ref="HT75:HV75"/>
    <mergeCell ref="EZ75:FB75"/>
    <mergeCell ref="FC75:FF75"/>
    <mergeCell ref="FN75:FP75"/>
    <mergeCell ref="FQ75:FT75"/>
    <mergeCell ref="GB75:GD75"/>
    <mergeCell ref="GE75:GH75"/>
    <mergeCell ref="CK75:CN75"/>
    <mergeCell ref="CV75:CX75"/>
    <mergeCell ref="CY75:DB75"/>
    <mergeCell ref="DJ75:DL75"/>
    <mergeCell ref="DM75:DP75"/>
    <mergeCell ref="DX75:DZ75"/>
    <mergeCell ref="BW75:BZ75"/>
    <mergeCell ref="GP75:GR75"/>
    <mergeCell ref="GU75:GX75"/>
    <mergeCell ref="EA75:ED75"/>
    <mergeCell ref="EL75:EN75"/>
    <mergeCell ref="EO75:ER75"/>
    <mergeCell ref="A75:D75"/>
    <mergeCell ref="E75:H75"/>
    <mergeCell ref="P75:R75"/>
    <mergeCell ref="S75:V75"/>
    <mergeCell ref="AD75:AF75"/>
    <mergeCell ref="AG75:AJ75"/>
    <mergeCell ref="AR75:AT75"/>
    <mergeCell ref="AU75:AX75"/>
    <mergeCell ref="CH75:CJ75"/>
    <mergeCell ref="BF75:BH75"/>
    <mergeCell ref="BI75:BL75"/>
    <mergeCell ref="BT75:BV75"/>
    <mergeCell ref="CV223:CX223"/>
    <mergeCell ref="J282:K282"/>
    <mergeCell ref="X282:Y282"/>
    <mergeCell ref="AL282:AM282"/>
    <mergeCell ref="AZ282:BA282"/>
    <mergeCell ref="AR223:AT223"/>
    <mergeCell ref="J281:K281"/>
    <mergeCell ref="X281:Y281"/>
    <mergeCell ref="AL281:AM281"/>
    <mergeCell ref="AZ281:BA281"/>
    <mergeCell ref="CM285:CN285"/>
    <mergeCell ref="A287:C287"/>
    <mergeCell ref="P287:Q287"/>
    <mergeCell ref="AD287:AE287"/>
    <mergeCell ref="AR287:AS287"/>
    <mergeCell ref="AU223:AX223"/>
    <mergeCell ref="A223:D223"/>
    <mergeCell ref="P223:R223"/>
    <mergeCell ref="AD223:AF223"/>
    <mergeCell ref="AG223:AJ223"/>
    <mergeCell ref="S223:V223"/>
    <mergeCell ref="E223:H223"/>
    <mergeCell ref="J283:K283"/>
    <mergeCell ref="X283:Y283"/>
    <mergeCell ref="AL283:AM283"/>
    <mergeCell ref="AZ283:BA283"/>
    <mergeCell ref="J284:K284"/>
    <mergeCell ref="X284:Y284"/>
    <mergeCell ref="AL284:AM284"/>
    <mergeCell ref="AZ284:BA284"/>
    <mergeCell ref="A290:C290"/>
    <mergeCell ref="P290:Q290"/>
    <mergeCell ref="AD290:AE290"/>
    <mergeCell ref="AR290:AS290"/>
    <mergeCell ref="CI290:CJ290"/>
    <mergeCell ref="A288:C288"/>
    <mergeCell ref="P288:Q288"/>
    <mergeCell ref="AD288:AE288"/>
    <mergeCell ref="AR288:AS288"/>
    <mergeCell ref="A289:C289"/>
    <mergeCell ref="P289:Q289"/>
    <mergeCell ref="AD289:AE289"/>
    <mergeCell ref="AR289:AS289"/>
    <mergeCell ref="BF290:BG290"/>
    <mergeCell ref="A297:D297"/>
    <mergeCell ref="E297:F297"/>
    <mergeCell ref="P297:R297"/>
    <mergeCell ref="J291:K291"/>
    <mergeCell ref="X291:Y291"/>
    <mergeCell ref="AL291:AM291"/>
    <mergeCell ref="B293:C293"/>
    <mergeCell ref="D293:E293"/>
    <mergeCell ref="F293:G293"/>
    <mergeCell ref="B294:C294"/>
    <mergeCell ref="D294:E294"/>
    <mergeCell ref="F294:G294"/>
    <mergeCell ref="J355:K355"/>
    <mergeCell ref="X355:Y355"/>
    <mergeCell ref="AL355:AM355"/>
    <mergeCell ref="AZ355:BA355"/>
    <mergeCell ref="J356:K356"/>
    <mergeCell ref="X356:Y356"/>
    <mergeCell ref="AL356:AM356"/>
    <mergeCell ref="AZ356:BA356"/>
    <mergeCell ref="S297:T297"/>
    <mergeCell ref="AD297:AF297"/>
    <mergeCell ref="AG297:AH297"/>
    <mergeCell ref="AR297:AT297"/>
    <mergeCell ref="AU297:AV297"/>
    <mergeCell ref="A361:C361"/>
    <mergeCell ref="P361:Q361"/>
    <mergeCell ref="AD361:AE361"/>
    <mergeCell ref="AR361:AS361"/>
    <mergeCell ref="A362:C362"/>
    <mergeCell ref="P362:Q362"/>
    <mergeCell ref="AD362:AE362"/>
    <mergeCell ref="AR362:AS362"/>
    <mergeCell ref="J357:K357"/>
    <mergeCell ref="X357:Y357"/>
    <mergeCell ref="AL357:AM357"/>
    <mergeCell ref="J358:K358"/>
    <mergeCell ref="X358:Y358"/>
    <mergeCell ref="AL358:AM358"/>
    <mergeCell ref="J365:K365"/>
    <mergeCell ref="X365:Y365"/>
    <mergeCell ref="AL365:AM365"/>
    <mergeCell ref="AZ365:BA365"/>
    <mergeCell ref="C367:D367"/>
    <mergeCell ref="E367:F367"/>
    <mergeCell ref="G367:H367"/>
    <mergeCell ref="A363:C363"/>
    <mergeCell ref="P363:Q363"/>
    <mergeCell ref="AD363:AE363"/>
    <mergeCell ref="AR363:AS363"/>
    <mergeCell ref="A364:C364"/>
    <mergeCell ref="P364:Q364"/>
    <mergeCell ref="AD364:AE364"/>
    <mergeCell ref="AR364:AS364"/>
    <mergeCell ref="S371:T371"/>
    <mergeCell ref="AD371:AF371"/>
    <mergeCell ref="AG371:AH371"/>
    <mergeCell ref="AR371:AT371"/>
    <mergeCell ref="AU371:AV371"/>
    <mergeCell ref="J429:K429"/>
    <mergeCell ref="X429:Y429"/>
    <mergeCell ref="AL429:AM429"/>
    <mergeCell ref="C368:D368"/>
    <mergeCell ref="E368:F368"/>
    <mergeCell ref="G368:H368"/>
    <mergeCell ref="A371:D371"/>
    <mergeCell ref="E371:F371"/>
    <mergeCell ref="P371:R371"/>
    <mergeCell ref="J432:K432"/>
    <mergeCell ref="X432:Y432"/>
    <mergeCell ref="AL432:AM432"/>
    <mergeCell ref="AZ432:BA432"/>
    <mergeCell ref="A435:C435"/>
    <mergeCell ref="P435:Q435"/>
    <mergeCell ref="AD435:AE435"/>
    <mergeCell ref="AR435:AS435"/>
    <mergeCell ref="AZ429:BA429"/>
    <mergeCell ref="J430:K430"/>
    <mergeCell ref="X430:Y430"/>
    <mergeCell ref="AL430:AM430"/>
    <mergeCell ref="AZ430:BA430"/>
    <mergeCell ref="J431:K431"/>
    <mergeCell ref="X431:Y431"/>
    <mergeCell ref="AL431:AM431"/>
    <mergeCell ref="AZ431:BA431"/>
    <mergeCell ref="AL439:AM439"/>
    <mergeCell ref="A436:C436"/>
    <mergeCell ref="P436:Q436"/>
    <mergeCell ref="AD436:AE436"/>
    <mergeCell ref="AR436:AS436"/>
    <mergeCell ref="A437:C437"/>
    <mergeCell ref="P437:Q437"/>
    <mergeCell ref="AD437:AE437"/>
    <mergeCell ref="AR437:AS437"/>
    <mergeCell ref="C441:D441"/>
    <mergeCell ref="E441:F441"/>
    <mergeCell ref="G441:H441"/>
    <mergeCell ref="C442:D442"/>
    <mergeCell ref="E442:F442"/>
    <mergeCell ref="G442:H442"/>
    <mergeCell ref="A438:C438"/>
    <mergeCell ref="P438:Q438"/>
    <mergeCell ref="AD438:AE438"/>
    <mergeCell ref="J439:K439"/>
    <mergeCell ref="X439:Y439"/>
    <mergeCell ref="J503:K503"/>
    <mergeCell ref="X503:Y503"/>
    <mergeCell ref="AL503:AM503"/>
    <mergeCell ref="AZ503:BA503"/>
    <mergeCell ref="A445:D445"/>
    <mergeCell ref="E445:F445"/>
    <mergeCell ref="P445:R445"/>
    <mergeCell ref="S445:T445"/>
    <mergeCell ref="AD445:AF445"/>
    <mergeCell ref="AG445:AH445"/>
    <mergeCell ref="J506:K506"/>
    <mergeCell ref="X506:Y506"/>
    <mergeCell ref="AL506:AM506"/>
    <mergeCell ref="AZ506:BA506"/>
    <mergeCell ref="A509:C509"/>
    <mergeCell ref="P509:Q509"/>
    <mergeCell ref="AD509:AE509"/>
    <mergeCell ref="AR509:AS509"/>
    <mergeCell ref="J504:K504"/>
    <mergeCell ref="X504:Y504"/>
    <mergeCell ref="AL504:AM504"/>
    <mergeCell ref="AZ504:BA504"/>
    <mergeCell ref="J505:K505"/>
    <mergeCell ref="X505:Y505"/>
    <mergeCell ref="AL505:AM505"/>
    <mergeCell ref="AZ505:BA505"/>
    <mergeCell ref="X513:Y513"/>
    <mergeCell ref="AL513:AM513"/>
    <mergeCell ref="A510:C510"/>
    <mergeCell ref="P510:Q510"/>
    <mergeCell ref="AD510:AE510"/>
    <mergeCell ref="AR510:AS510"/>
    <mergeCell ref="A511:C511"/>
    <mergeCell ref="P511:Q511"/>
    <mergeCell ref="AD511:AE511"/>
    <mergeCell ref="AR511:AS511"/>
    <mergeCell ref="CY223:DB223"/>
    <mergeCell ref="DA285:DB285"/>
    <mergeCell ref="CW289:CX289"/>
    <mergeCell ref="CW290:CX290"/>
    <mergeCell ref="CW291:CX291"/>
    <mergeCell ref="CK223:CN223"/>
    <mergeCell ref="A519:D519"/>
    <mergeCell ref="E519:F519"/>
    <mergeCell ref="P519:R519"/>
    <mergeCell ref="S519:T519"/>
    <mergeCell ref="AD519:AF519"/>
    <mergeCell ref="AG519:AH519"/>
    <mergeCell ref="AZ513:BA513"/>
    <mergeCell ref="C515:D515"/>
    <mergeCell ref="E515:F515"/>
    <mergeCell ref="G515:H515"/>
    <mergeCell ref="C516:D516"/>
    <mergeCell ref="E516:F516"/>
    <mergeCell ref="G516:H516"/>
    <mergeCell ref="A512:C512"/>
    <mergeCell ref="P512:Q512"/>
    <mergeCell ref="AD512:AE512"/>
    <mergeCell ref="AR512:AS512"/>
    <mergeCell ref="J513:K513"/>
    <mergeCell ref="EA223:ED223"/>
    <mergeCell ref="EC285:ED285"/>
    <mergeCell ref="DY289:DZ289"/>
    <mergeCell ref="DY290:DZ290"/>
    <mergeCell ref="DY291:DZ291"/>
    <mergeCell ref="DX223:DZ223"/>
    <mergeCell ref="DM223:DP223"/>
    <mergeCell ref="AR519:AT519"/>
    <mergeCell ref="AU519:AV519"/>
    <mergeCell ref="DJ223:DL223"/>
    <mergeCell ref="DO285:DP285"/>
    <mergeCell ref="DK289:DL289"/>
    <mergeCell ref="DK290:DL290"/>
    <mergeCell ref="DK291:DL291"/>
    <mergeCell ref="AR445:AT445"/>
    <mergeCell ref="AU445:AV445"/>
    <mergeCell ref="AZ439:BA439"/>
    <mergeCell ref="AR438:AS438"/>
    <mergeCell ref="AZ357:BA357"/>
    <mergeCell ref="AZ358:BA358"/>
    <mergeCell ref="AZ291:BA291"/>
    <mergeCell ref="CI291:CJ291"/>
    <mergeCell ref="CI289:CJ289"/>
    <mergeCell ref="CH223:CJ223"/>
    <mergeCell ref="FA289:FB289"/>
    <mergeCell ref="FA290:FB290"/>
    <mergeCell ref="FA291:FB291"/>
    <mergeCell ref="EZ223:FB223"/>
    <mergeCell ref="EQ285:ER285"/>
    <mergeCell ref="EM289:EN289"/>
    <mergeCell ref="EM290:EN290"/>
    <mergeCell ref="EM291:EN291"/>
    <mergeCell ref="EL223:EN223"/>
    <mergeCell ref="GC289:GD289"/>
    <mergeCell ref="GC290:GD290"/>
    <mergeCell ref="GC291:GD291"/>
    <mergeCell ref="GB223:GD223"/>
    <mergeCell ref="FS285:FT285"/>
    <mergeCell ref="FO289:FP289"/>
    <mergeCell ref="FO290:FP290"/>
    <mergeCell ref="FO291:FP291"/>
    <mergeCell ref="FN223:FP223"/>
    <mergeCell ref="BN291:BO291"/>
    <mergeCell ref="BI223:BL223"/>
    <mergeCell ref="BT223:BV223"/>
    <mergeCell ref="BW223:BZ223"/>
    <mergeCell ref="GP223:GR223"/>
    <mergeCell ref="GQ291:GR291"/>
    <mergeCell ref="CB284:CC284"/>
    <mergeCell ref="BT287:BU287"/>
    <mergeCell ref="BF287:BG287"/>
    <mergeCell ref="BF288:BG288"/>
    <mergeCell ref="BF223:BH223"/>
    <mergeCell ref="BN283:BO283"/>
    <mergeCell ref="BN284:BO284"/>
    <mergeCell ref="BF289:BG289"/>
    <mergeCell ref="BN281:BO281"/>
    <mergeCell ref="BN282:BO282"/>
    <mergeCell ref="CB281:CC281"/>
    <mergeCell ref="CB282:CC282"/>
    <mergeCell ref="BT288:BU288"/>
    <mergeCell ref="BT289:BU289"/>
    <mergeCell ref="BT290:BU290"/>
    <mergeCell ref="CB283:CC283"/>
    <mergeCell ref="EO223:ER223"/>
    <mergeCell ref="FC223:FF223"/>
    <mergeCell ref="HS289:HT289"/>
    <mergeCell ref="HS290:HT290"/>
    <mergeCell ref="CB291:CC291"/>
    <mergeCell ref="GU223:GX223"/>
    <mergeCell ref="GW285:GX285"/>
    <mergeCell ref="GQ289:GR289"/>
    <mergeCell ref="GQ290:GR290"/>
    <mergeCell ref="HS291:HT291"/>
    <mergeCell ref="HG289:HH289"/>
    <mergeCell ref="HG290:HH290"/>
    <mergeCell ref="HG291:HH291"/>
    <mergeCell ref="HM289:HN289"/>
    <mergeCell ref="HM290:HN290"/>
    <mergeCell ref="HM291:HN291"/>
    <mergeCell ref="HF223:HG223"/>
    <mergeCell ref="HH223:HJ223"/>
    <mergeCell ref="HL223:HM223"/>
    <mergeCell ref="HN223:HP223"/>
    <mergeCell ref="HR223:HS223"/>
    <mergeCell ref="HT223:HV223"/>
    <mergeCell ref="FQ223:FT223"/>
    <mergeCell ref="GE223:GH223"/>
    <mergeCell ref="GG285:GH285"/>
    <mergeCell ref="FE285:FF285"/>
    <mergeCell ref="A149:D149"/>
    <mergeCell ref="E149:H149"/>
    <mergeCell ref="P149:R149"/>
    <mergeCell ref="S149:V149"/>
    <mergeCell ref="AD149:AF149"/>
    <mergeCell ref="AG149:AJ149"/>
    <mergeCell ref="AR149:AT149"/>
    <mergeCell ref="AU149:AX149"/>
    <mergeCell ref="CH149:CJ149"/>
    <mergeCell ref="CK149:CN149"/>
    <mergeCell ref="CV149:CX149"/>
    <mergeCell ref="CY149:DB149"/>
    <mergeCell ref="DJ149:DL149"/>
    <mergeCell ref="DM149:DP149"/>
    <mergeCell ref="DX149:DZ149"/>
    <mergeCell ref="EA149:ED149"/>
    <mergeCell ref="EL149:EN149"/>
    <mergeCell ref="EO149:ER149"/>
    <mergeCell ref="GP149:GR149"/>
    <mergeCell ref="GU149:GX149"/>
    <mergeCell ref="HF149:HG149"/>
    <mergeCell ref="HH149:HJ149"/>
    <mergeCell ref="HL149:HM149"/>
    <mergeCell ref="HN149:HP149"/>
    <mergeCell ref="HR149:HS149"/>
    <mergeCell ref="HT149:HV149"/>
    <mergeCell ref="J207:K207"/>
    <mergeCell ref="X207:Y207"/>
    <mergeCell ref="AL207:AM207"/>
    <mergeCell ref="AZ207:BA207"/>
    <mergeCell ref="BN207:BO207"/>
    <mergeCell ref="CB207:CC207"/>
    <mergeCell ref="EZ149:FB149"/>
    <mergeCell ref="FC149:FF149"/>
    <mergeCell ref="FN149:FP149"/>
    <mergeCell ref="FQ149:FT149"/>
    <mergeCell ref="GB149:GD149"/>
    <mergeCell ref="GE149:GH149"/>
    <mergeCell ref="BF149:BH149"/>
    <mergeCell ref="BI149:BL149"/>
    <mergeCell ref="BT149:BV149"/>
    <mergeCell ref="BW149:BZ149"/>
    <mergeCell ref="J208:K208"/>
    <mergeCell ref="X208:Y208"/>
    <mergeCell ref="AL208:AM208"/>
    <mergeCell ref="AZ208:BA208"/>
    <mergeCell ref="BN208:BO208"/>
    <mergeCell ref="CB208:CC208"/>
    <mergeCell ref="J209:K209"/>
    <mergeCell ref="X209:Y209"/>
    <mergeCell ref="AL209:AM209"/>
    <mergeCell ref="AZ209:BA209"/>
    <mergeCell ref="BN209:BO209"/>
    <mergeCell ref="CB209:CC209"/>
    <mergeCell ref="J210:K210"/>
    <mergeCell ref="X210:Y210"/>
    <mergeCell ref="AL210:AM210"/>
    <mergeCell ref="AZ210:BA210"/>
    <mergeCell ref="BN210:BO210"/>
    <mergeCell ref="CB210:CC210"/>
    <mergeCell ref="CM211:CN211"/>
    <mergeCell ref="DA211:DB211"/>
    <mergeCell ref="DO211:DP211"/>
    <mergeCell ref="EC211:ED211"/>
    <mergeCell ref="EQ211:ER211"/>
    <mergeCell ref="FE211:FF211"/>
    <mergeCell ref="FS211:FT211"/>
    <mergeCell ref="GG211:GH211"/>
    <mergeCell ref="GW211:GX211"/>
    <mergeCell ref="A213:C213"/>
    <mergeCell ref="P213:Q213"/>
    <mergeCell ref="AD213:AE213"/>
    <mergeCell ref="AR213:AS213"/>
    <mergeCell ref="BF213:BG213"/>
    <mergeCell ref="BT213:BU213"/>
    <mergeCell ref="DK215:DL215"/>
    <mergeCell ref="DY215:DZ215"/>
    <mergeCell ref="EM215:EN215"/>
    <mergeCell ref="FA215:FB215"/>
    <mergeCell ref="FO215:FP215"/>
    <mergeCell ref="GC215:GD215"/>
    <mergeCell ref="BF215:BG215"/>
    <mergeCell ref="BT215:BU215"/>
    <mergeCell ref="A214:C214"/>
    <mergeCell ref="P214:Q214"/>
    <mergeCell ref="AD214:AE214"/>
    <mergeCell ref="AR214:AS214"/>
    <mergeCell ref="BF214:BG214"/>
    <mergeCell ref="BT214:BU214"/>
    <mergeCell ref="A215:C215"/>
    <mergeCell ref="P215:Q215"/>
    <mergeCell ref="AD215:AE215"/>
    <mergeCell ref="AR215:AS215"/>
    <mergeCell ref="GQ215:GR215"/>
    <mergeCell ref="HG215:HH215"/>
    <mergeCell ref="HM215:HN215"/>
    <mergeCell ref="HS215:HT215"/>
    <mergeCell ref="A216:C216"/>
    <mergeCell ref="P216:Q216"/>
    <mergeCell ref="AD216:AE216"/>
    <mergeCell ref="AR216:AS216"/>
    <mergeCell ref="CI216:CJ216"/>
    <mergeCell ref="CW216:CX216"/>
    <mergeCell ref="DK216:DL216"/>
    <mergeCell ref="DY216:DZ216"/>
    <mergeCell ref="EM216:EN216"/>
    <mergeCell ref="FA216:FB216"/>
    <mergeCell ref="FO216:FP216"/>
    <mergeCell ref="GC216:GD216"/>
    <mergeCell ref="BF216:BG216"/>
    <mergeCell ref="BT216:BU216"/>
    <mergeCell ref="GQ216:GR216"/>
    <mergeCell ref="HG216:HH216"/>
    <mergeCell ref="HM216:HN216"/>
    <mergeCell ref="HS216:HT216"/>
    <mergeCell ref="CI215:CJ215"/>
    <mergeCell ref="CW215:CX215"/>
    <mergeCell ref="GQ217:GR217"/>
    <mergeCell ref="HG217:HH217"/>
    <mergeCell ref="HM217:HN217"/>
    <mergeCell ref="HS217:HT217"/>
    <mergeCell ref="J217:K217"/>
    <mergeCell ref="X217:Y217"/>
    <mergeCell ref="AL217:AM217"/>
    <mergeCell ref="AZ217:BA217"/>
    <mergeCell ref="CI217:CJ217"/>
    <mergeCell ref="CW217:CX217"/>
    <mergeCell ref="DK217:DL217"/>
    <mergeCell ref="DY217:DZ217"/>
    <mergeCell ref="EM217:EN217"/>
    <mergeCell ref="B219:C219"/>
    <mergeCell ref="D219:E219"/>
    <mergeCell ref="F219:G219"/>
    <mergeCell ref="B220:C220"/>
    <mergeCell ref="D220:E220"/>
    <mergeCell ref="F220:G220"/>
    <mergeCell ref="FA217:FB217"/>
    <mergeCell ref="FO217:FP217"/>
    <mergeCell ref="GC217:GD217"/>
    <mergeCell ref="BN217:BO217"/>
    <mergeCell ref="CB217:CC217"/>
  </mergeCells>
  <phoneticPr fontId="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時津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浩一 坂本</cp:lastModifiedBy>
  <cp:revision/>
  <dcterms:created xsi:type="dcterms:W3CDTF">2022-10-04T13:26:53Z</dcterms:created>
  <dcterms:modified xsi:type="dcterms:W3CDTF">2026-05-23T15:16:23Z</dcterms:modified>
  <cp:category/>
  <cp:contentStatus/>
</cp:coreProperties>
</file>