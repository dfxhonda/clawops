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149" documentId="8_{27D4BB26-F699-4ABA-81CB-07F60328EAD0}" xr6:coauthVersionLast="47" xr6:coauthVersionMax="47" xr10:uidLastSave="{423096A0-7934-FD43-A7B7-ABF53988269C}"/>
  <bookViews>
    <workbookView xWindow="-120" yWindow="-120" windowWidth="29040" windowHeight="15720" xr2:uid="{00000000-000D-0000-FFFF-FFFF00000000}"/>
  </bookViews>
  <sheets>
    <sheet name="西新" sheetId="2" r:id="rId1"/>
  </sheets>
  <definedNames>
    <definedName name="_xlnm._FilterDatabase" localSheetId="0" hidden="1">西新!$J$449:$N$452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4" i="2" l="1"/>
  <c r="D20" i="2"/>
  <c r="Z38" i="2"/>
  <c r="X38" i="2"/>
  <c r="V38" i="2"/>
  <c r="AA38" i="2"/>
  <c r="T38" i="2"/>
  <c r="R38" i="2"/>
  <c r="Y38" i="2"/>
  <c r="Z37" i="2"/>
  <c r="Y37" i="2"/>
  <c r="X37" i="2"/>
  <c r="V37" i="2"/>
  <c r="AA37" i="2"/>
  <c r="T37" i="2"/>
  <c r="R37" i="2"/>
  <c r="Z36" i="2"/>
  <c r="X36" i="2"/>
  <c r="V36" i="2"/>
  <c r="AA36" i="2"/>
  <c r="T36" i="2"/>
  <c r="R36" i="2"/>
  <c r="Y36" i="2"/>
  <c r="AA35" i="2"/>
  <c r="Z35" i="2"/>
  <c r="Y35" i="2"/>
  <c r="X35" i="2"/>
  <c r="V35" i="2"/>
  <c r="T35" i="2"/>
  <c r="R35" i="2"/>
  <c r="Z34" i="2"/>
  <c r="X34" i="2"/>
  <c r="V34" i="2"/>
  <c r="AA34" i="2"/>
  <c r="T34" i="2"/>
  <c r="R34" i="2"/>
  <c r="Y34" i="2"/>
  <c r="AA33" i="2"/>
  <c r="Z33" i="2"/>
  <c r="X33" i="2"/>
  <c r="V33" i="2"/>
  <c r="T33" i="2"/>
  <c r="R33" i="2"/>
  <c r="Y33" i="2"/>
  <c r="Z32" i="2"/>
  <c r="Y32" i="2"/>
  <c r="X32" i="2"/>
  <c r="V32" i="2"/>
  <c r="AA32" i="2"/>
  <c r="T32" i="2"/>
  <c r="R32" i="2"/>
  <c r="Z31" i="2"/>
  <c r="X31" i="2"/>
  <c r="V31" i="2"/>
  <c r="AA31" i="2"/>
  <c r="T31" i="2"/>
  <c r="R31" i="2"/>
  <c r="Y31" i="2"/>
  <c r="AA30" i="2"/>
  <c r="Z30" i="2"/>
  <c r="Y30" i="2"/>
  <c r="X30" i="2"/>
  <c r="V30" i="2"/>
  <c r="T30" i="2"/>
  <c r="R30" i="2"/>
  <c r="Z29" i="2"/>
  <c r="X29" i="2"/>
  <c r="V29" i="2"/>
  <c r="AA29" i="2"/>
  <c r="T29" i="2"/>
  <c r="R29" i="2"/>
  <c r="Y29" i="2"/>
  <c r="AA28" i="2"/>
  <c r="Z28" i="2"/>
  <c r="X28" i="2"/>
  <c r="V28" i="2"/>
  <c r="T28" i="2"/>
  <c r="R28" i="2"/>
  <c r="Y28" i="2"/>
  <c r="Z27" i="2"/>
  <c r="X27" i="2"/>
  <c r="V27" i="2"/>
  <c r="AA27" i="2"/>
  <c r="T27" i="2"/>
  <c r="R27" i="2"/>
  <c r="Y27" i="2"/>
  <c r="Z26" i="2"/>
  <c r="X26" i="2"/>
  <c r="V26" i="2"/>
  <c r="AA26" i="2"/>
  <c r="T26" i="2"/>
  <c r="R26" i="2"/>
  <c r="Y26" i="2"/>
  <c r="Z25" i="2"/>
  <c r="R25" i="2"/>
  <c r="Y25" i="2"/>
  <c r="X25" i="2"/>
  <c r="V25" i="2"/>
  <c r="AA25" i="2"/>
  <c r="T25" i="2"/>
  <c r="Z24" i="2"/>
  <c r="X24" i="2"/>
  <c r="V24" i="2"/>
  <c r="AA24" i="2"/>
  <c r="T24" i="2"/>
  <c r="R24" i="2"/>
  <c r="Y24" i="2"/>
  <c r="V23" i="2"/>
  <c r="AA23" i="2"/>
  <c r="Z23" i="2"/>
  <c r="R23" i="2"/>
  <c r="Y23" i="2"/>
  <c r="X23" i="2"/>
  <c r="T23" i="2"/>
  <c r="V22" i="2"/>
  <c r="Z22" i="2"/>
  <c r="X22" i="2"/>
  <c r="AA22" i="2"/>
  <c r="T22" i="2"/>
  <c r="R22" i="2"/>
  <c r="Y22" i="2"/>
  <c r="V21" i="2"/>
  <c r="Z21" i="2"/>
  <c r="AA21" i="2"/>
  <c r="T21" i="2"/>
  <c r="R21" i="2"/>
  <c r="V20" i="2"/>
  <c r="Z20" i="2"/>
  <c r="R20" i="2"/>
  <c r="Y20" i="2"/>
  <c r="X20" i="2"/>
  <c r="AA20" i="2"/>
  <c r="T20" i="2"/>
  <c r="V19" i="2"/>
  <c r="Z19" i="2"/>
  <c r="X19" i="2"/>
  <c r="AA19" i="2"/>
  <c r="T19" i="2"/>
  <c r="R19" i="2"/>
  <c r="Y19" i="2"/>
  <c r="V18" i="2"/>
  <c r="R18" i="2"/>
  <c r="R14" i="2"/>
  <c r="Y14" i="2"/>
  <c r="Y18" i="2"/>
  <c r="Z18" i="2"/>
  <c r="AA18" i="2"/>
  <c r="X14" i="2"/>
  <c r="X18" i="2"/>
  <c r="T18" i="2"/>
  <c r="V17" i="2"/>
  <c r="R17" i="2"/>
  <c r="R13" i="2"/>
  <c r="Y13" i="2"/>
  <c r="Y17" i="2"/>
  <c r="Z17" i="2"/>
  <c r="X13" i="2"/>
  <c r="X17" i="2"/>
  <c r="AA17" i="2"/>
  <c r="T17" i="2"/>
  <c r="V16" i="2"/>
  <c r="R16" i="2"/>
  <c r="R12" i="2"/>
  <c r="Y12" i="2"/>
  <c r="Y16" i="2"/>
  <c r="Z16" i="2"/>
  <c r="AA16" i="2"/>
  <c r="X12" i="2"/>
  <c r="X16" i="2"/>
  <c r="T16" i="2"/>
  <c r="V15" i="2"/>
  <c r="R15" i="2"/>
  <c r="R11" i="2"/>
  <c r="Y11" i="2"/>
  <c r="Y15" i="2"/>
  <c r="Z15" i="2"/>
  <c r="X11" i="2"/>
  <c r="X15" i="2"/>
  <c r="AA15" i="2"/>
  <c r="T15" i="2"/>
  <c r="V14" i="2"/>
  <c r="Z14" i="2"/>
  <c r="AA14" i="2"/>
  <c r="T14" i="2"/>
  <c r="V13" i="2"/>
  <c r="Z13" i="2"/>
  <c r="AA13" i="2"/>
  <c r="T13" i="2"/>
  <c r="V12" i="2"/>
  <c r="Z12" i="2"/>
  <c r="AA12" i="2"/>
  <c r="T12" i="2"/>
  <c r="V11" i="2"/>
  <c r="Z11" i="2"/>
  <c r="AA11" i="2"/>
  <c r="T11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H26" i="2"/>
  <c r="M26" i="2"/>
  <c r="L26" i="2"/>
  <c r="D26" i="2"/>
  <c r="K26" i="2"/>
  <c r="J26" i="2"/>
  <c r="H25" i="2"/>
  <c r="M25" i="2"/>
  <c r="L25" i="2"/>
  <c r="D25" i="2"/>
  <c r="K25" i="2"/>
  <c r="J25" i="2"/>
  <c r="H24" i="2"/>
  <c r="M24" i="2"/>
  <c r="L24" i="2"/>
  <c r="D24" i="2"/>
  <c r="K24" i="2"/>
  <c r="J24" i="2"/>
  <c r="H23" i="2"/>
  <c r="M23" i="2"/>
  <c r="L23" i="2"/>
  <c r="D23" i="2"/>
  <c r="K23" i="2"/>
  <c r="J23" i="2"/>
  <c r="H18" i="2"/>
  <c r="D18" i="2"/>
  <c r="D14" i="2"/>
  <c r="K14" i="2"/>
  <c r="K18" i="2"/>
  <c r="L18" i="2"/>
  <c r="M18" i="2"/>
  <c r="J14" i="2"/>
  <c r="J18" i="2"/>
  <c r="H17" i="2"/>
  <c r="L17" i="2"/>
  <c r="D17" i="2"/>
  <c r="M17" i="2"/>
  <c r="H16" i="2"/>
  <c r="D16" i="2"/>
  <c r="D12" i="2"/>
  <c r="K12" i="2"/>
  <c r="K16" i="2"/>
  <c r="L16" i="2"/>
  <c r="M16" i="2"/>
  <c r="J12" i="2"/>
  <c r="J16" i="2"/>
  <c r="H15" i="2"/>
  <c r="D15" i="2"/>
  <c r="D11" i="2"/>
  <c r="K11" i="2"/>
  <c r="K15" i="2"/>
  <c r="L15" i="2"/>
  <c r="M15" i="2"/>
  <c r="J11" i="2"/>
  <c r="J15" i="2"/>
  <c r="X10" i="2"/>
  <c r="V10" i="2"/>
  <c r="T10" i="2"/>
  <c r="R10" i="2"/>
  <c r="Y10" i="2"/>
  <c r="K10" i="2"/>
  <c r="J10" i="2"/>
  <c r="H10" i="2"/>
  <c r="L10" i="2"/>
  <c r="M10" i="2"/>
  <c r="F10" i="2"/>
  <c r="D10" i="2"/>
  <c r="Y9" i="2"/>
  <c r="X9" i="2"/>
  <c r="V9" i="2"/>
  <c r="Z9" i="2"/>
  <c r="T9" i="2"/>
  <c r="R9" i="2"/>
  <c r="K9" i="2"/>
  <c r="L9" i="2"/>
  <c r="M9" i="2"/>
  <c r="J9" i="2"/>
  <c r="H9" i="2"/>
  <c r="F9" i="2"/>
  <c r="D9" i="2"/>
  <c r="Y8" i="2"/>
  <c r="Z8" i="2"/>
  <c r="AA8" i="2"/>
  <c r="X8" i="2"/>
  <c r="V8" i="2"/>
  <c r="T8" i="2"/>
  <c r="R8" i="2"/>
  <c r="J8" i="2"/>
  <c r="H8" i="2"/>
  <c r="F8" i="2"/>
  <c r="D8" i="2"/>
  <c r="K8" i="2"/>
  <c r="Z7" i="2"/>
  <c r="AA7" i="2"/>
  <c r="Y7" i="2"/>
  <c r="X7" i="2"/>
  <c r="V7" i="2"/>
  <c r="T7" i="2"/>
  <c r="R7" i="2"/>
  <c r="P7" i="2"/>
  <c r="H7" i="2"/>
  <c r="F7" i="2"/>
  <c r="D7" i="2"/>
  <c r="B7" i="2"/>
  <c r="F72" i="2"/>
  <c r="Y68" i="2"/>
  <c r="X68" i="2"/>
  <c r="K68" i="2"/>
  <c r="J68" i="2"/>
  <c r="Y67" i="2"/>
  <c r="X67" i="2"/>
  <c r="K67" i="2"/>
  <c r="J67" i="2"/>
  <c r="Y66" i="2"/>
  <c r="X66" i="2"/>
  <c r="K66" i="2"/>
  <c r="J66" i="2"/>
  <c r="Y65" i="2"/>
  <c r="X65" i="2"/>
  <c r="K65" i="2"/>
  <c r="J65" i="2"/>
  <c r="Z58" i="2"/>
  <c r="Y58" i="2"/>
  <c r="X58" i="2"/>
  <c r="V58" i="2"/>
  <c r="AA58" i="2"/>
  <c r="T58" i="2"/>
  <c r="R58" i="2"/>
  <c r="M58" i="2"/>
  <c r="L58" i="2"/>
  <c r="K58" i="2"/>
  <c r="J58" i="2"/>
  <c r="H58" i="2"/>
  <c r="F58" i="2"/>
  <c r="D58" i="2"/>
  <c r="AA57" i="2"/>
  <c r="Z57" i="2"/>
  <c r="X57" i="2"/>
  <c r="V57" i="2"/>
  <c r="T57" i="2"/>
  <c r="R57" i="2"/>
  <c r="Y57" i="2"/>
  <c r="M57" i="2"/>
  <c r="L57" i="2"/>
  <c r="J57" i="2"/>
  <c r="H57" i="2"/>
  <c r="F57" i="2"/>
  <c r="D57" i="2"/>
  <c r="K57" i="2"/>
  <c r="Z56" i="2"/>
  <c r="X56" i="2"/>
  <c r="V56" i="2"/>
  <c r="AA56" i="2"/>
  <c r="T56" i="2"/>
  <c r="R56" i="2"/>
  <c r="Y56" i="2"/>
  <c r="L56" i="2"/>
  <c r="K56" i="2"/>
  <c r="J56" i="2"/>
  <c r="H56" i="2"/>
  <c r="M56" i="2"/>
  <c r="F56" i="2"/>
  <c r="D56" i="2"/>
  <c r="Z55" i="2"/>
  <c r="X55" i="2"/>
  <c r="V55" i="2"/>
  <c r="AA55" i="2"/>
  <c r="T55" i="2"/>
  <c r="R55" i="2"/>
  <c r="Y55" i="2"/>
  <c r="P55" i="2"/>
  <c r="M55" i="2"/>
  <c r="L55" i="2"/>
  <c r="K55" i="2"/>
  <c r="J55" i="2"/>
  <c r="H55" i="2"/>
  <c r="F55" i="2"/>
  <c r="D55" i="2"/>
  <c r="Z54" i="2"/>
  <c r="Y54" i="2"/>
  <c r="X54" i="2"/>
  <c r="V54" i="2"/>
  <c r="AA54" i="2"/>
  <c r="T54" i="2"/>
  <c r="R54" i="2"/>
  <c r="M54" i="2"/>
  <c r="L54" i="2"/>
  <c r="J54" i="2"/>
  <c r="F54" i="2"/>
  <c r="D54" i="2"/>
  <c r="K54" i="2"/>
  <c r="Z53" i="2"/>
  <c r="Y53" i="2"/>
  <c r="X53" i="2"/>
  <c r="V53" i="2"/>
  <c r="AA53" i="2"/>
  <c r="T53" i="2"/>
  <c r="R53" i="2"/>
  <c r="L53" i="2"/>
  <c r="J53" i="2"/>
  <c r="H53" i="2"/>
  <c r="M53" i="2"/>
  <c r="F53" i="2"/>
  <c r="D53" i="2"/>
  <c r="K53" i="2"/>
  <c r="Z52" i="2"/>
  <c r="Y52" i="2"/>
  <c r="X52" i="2"/>
  <c r="V52" i="2"/>
  <c r="AA52" i="2"/>
  <c r="T52" i="2"/>
  <c r="R52" i="2"/>
  <c r="L52" i="2"/>
  <c r="K52" i="2"/>
  <c r="J52" i="2"/>
  <c r="H52" i="2"/>
  <c r="M52" i="2"/>
  <c r="F52" i="2"/>
  <c r="D52" i="2"/>
  <c r="AA51" i="2"/>
  <c r="Z51" i="2"/>
  <c r="Y51" i="2"/>
  <c r="X51" i="2"/>
  <c r="V51" i="2"/>
  <c r="T51" i="2"/>
  <c r="R51" i="2"/>
  <c r="P51" i="2"/>
  <c r="L51" i="2"/>
  <c r="K51" i="2"/>
  <c r="J51" i="2"/>
  <c r="H51" i="2"/>
  <c r="M51" i="2"/>
  <c r="F51" i="2"/>
  <c r="D51" i="2"/>
  <c r="B51" i="2"/>
  <c r="AA50" i="2"/>
  <c r="Z50" i="2"/>
  <c r="X50" i="2"/>
  <c r="V50" i="2"/>
  <c r="T50" i="2"/>
  <c r="R50" i="2"/>
  <c r="Y50" i="2"/>
  <c r="L50" i="2"/>
  <c r="J50" i="2"/>
  <c r="H50" i="2"/>
  <c r="M50" i="2"/>
  <c r="F50" i="2"/>
  <c r="D50" i="2"/>
  <c r="K50" i="2"/>
  <c r="Z49" i="2"/>
  <c r="X49" i="2"/>
  <c r="V49" i="2"/>
  <c r="AA49" i="2"/>
  <c r="T49" i="2"/>
  <c r="R49" i="2"/>
  <c r="Y49" i="2"/>
  <c r="L49" i="2"/>
  <c r="K49" i="2"/>
  <c r="J49" i="2"/>
  <c r="H49" i="2"/>
  <c r="M49" i="2"/>
  <c r="F49" i="2"/>
  <c r="D49" i="2"/>
  <c r="Z48" i="2"/>
  <c r="X48" i="2"/>
  <c r="V48" i="2"/>
  <c r="AA48" i="2"/>
  <c r="T48" i="2"/>
  <c r="R48" i="2"/>
  <c r="Y48" i="2"/>
  <c r="L48" i="2"/>
  <c r="K48" i="2"/>
  <c r="J48" i="2"/>
  <c r="H48" i="2"/>
  <c r="M48" i="2"/>
  <c r="F48" i="2"/>
  <c r="D48" i="2"/>
  <c r="Z47" i="2"/>
  <c r="X47" i="2"/>
  <c r="V47" i="2"/>
  <c r="AA47" i="2"/>
  <c r="T47" i="2"/>
  <c r="R47" i="2"/>
  <c r="Y47" i="2"/>
  <c r="P47" i="2"/>
  <c r="M47" i="2"/>
  <c r="L47" i="2"/>
  <c r="J47" i="2"/>
  <c r="H47" i="2"/>
  <c r="F47" i="2"/>
  <c r="D47" i="2"/>
  <c r="AA46" i="2"/>
  <c r="Z46" i="2"/>
  <c r="Y46" i="2"/>
  <c r="X46" i="2"/>
  <c r="V46" i="2"/>
  <c r="T46" i="2"/>
  <c r="R46" i="2"/>
  <c r="L46" i="2"/>
  <c r="K46" i="2"/>
  <c r="J46" i="2"/>
  <c r="H46" i="2"/>
  <c r="M46" i="2"/>
  <c r="F46" i="2"/>
  <c r="D46" i="2"/>
  <c r="AA45" i="2"/>
  <c r="Z45" i="2"/>
  <c r="Y45" i="2"/>
  <c r="X45" i="2"/>
  <c r="V45" i="2"/>
  <c r="T45" i="2"/>
  <c r="R45" i="2"/>
  <c r="M45" i="2"/>
  <c r="L45" i="2"/>
  <c r="K45" i="2"/>
  <c r="J45" i="2"/>
  <c r="H45" i="2"/>
  <c r="F45" i="2"/>
  <c r="D45" i="2"/>
  <c r="AA44" i="2"/>
  <c r="Z44" i="2"/>
  <c r="X44" i="2"/>
  <c r="V44" i="2"/>
  <c r="T44" i="2"/>
  <c r="R44" i="2"/>
  <c r="Y44" i="2"/>
  <c r="L44" i="2"/>
  <c r="K44" i="2"/>
  <c r="J44" i="2"/>
  <c r="H44" i="2"/>
  <c r="M44" i="2"/>
  <c r="F44" i="2"/>
  <c r="D44" i="2"/>
  <c r="Z43" i="2"/>
  <c r="Y43" i="2"/>
  <c r="X43" i="2"/>
  <c r="V43" i="2"/>
  <c r="AA43" i="2"/>
  <c r="T43" i="2"/>
  <c r="R43" i="2"/>
  <c r="P43" i="2"/>
  <c r="M43" i="2"/>
  <c r="L43" i="2"/>
  <c r="K43" i="2"/>
  <c r="J43" i="2"/>
  <c r="H43" i="2"/>
  <c r="F43" i="2"/>
  <c r="D43" i="2"/>
  <c r="Z42" i="2"/>
  <c r="X42" i="2"/>
  <c r="V42" i="2"/>
  <c r="AA42" i="2"/>
  <c r="T42" i="2"/>
  <c r="R42" i="2"/>
  <c r="Y42" i="2"/>
  <c r="L42" i="2"/>
  <c r="J42" i="2"/>
  <c r="H42" i="2"/>
  <c r="M42" i="2"/>
  <c r="F42" i="2"/>
  <c r="D42" i="2"/>
  <c r="K42" i="2"/>
  <c r="Z41" i="2"/>
  <c r="Y41" i="2"/>
  <c r="X41" i="2"/>
  <c r="V41" i="2"/>
  <c r="AA41" i="2"/>
  <c r="T41" i="2"/>
  <c r="R41" i="2"/>
  <c r="L41" i="2"/>
  <c r="J41" i="2"/>
  <c r="H41" i="2"/>
  <c r="M41" i="2"/>
  <c r="F41" i="2"/>
  <c r="D41" i="2"/>
  <c r="K41" i="2"/>
  <c r="Z40" i="2"/>
  <c r="Y40" i="2"/>
  <c r="X40" i="2"/>
  <c r="V40" i="2"/>
  <c r="AA40" i="2"/>
  <c r="T40" i="2"/>
  <c r="R40" i="2"/>
  <c r="L40" i="2"/>
  <c r="J40" i="2"/>
  <c r="H40" i="2"/>
  <c r="M40" i="2"/>
  <c r="F40" i="2"/>
  <c r="D40" i="2"/>
  <c r="K40" i="2"/>
  <c r="Z39" i="2"/>
  <c r="X39" i="2"/>
  <c r="V39" i="2"/>
  <c r="AA39" i="2"/>
  <c r="T39" i="2"/>
  <c r="R39" i="2"/>
  <c r="Y39" i="2"/>
  <c r="P39" i="2"/>
  <c r="L39" i="2"/>
  <c r="J39" i="2"/>
  <c r="H39" i="2"/>
  <c r="M39" i="2"/>
  <c r="F39" i="2"/>
  <c r="D39" i="2"/>
  <c r="K39" i="2"/>
  <c r="H38" i="2"/>
  <c r="F38" i="2"/>
  <c r="D38" i="2"/>
  <c r="H37" i="2"/>
  <c r="F37" i="2"/>
  <c r="D37" i="2"/>
  <c r="H36" i="2"/>
  <c r="F36" i="2"/>
  <c r="D36" i="2"/>
  <c r="P35" i="2"/>
  <c r="H35" i="2"/>
  <c r="F35" i="2"/>
  <c r="D35" i="2"/>
  <c r="H34" i="2"/>
  <c r="F34" i="2"/>
  <c r="D34" i="2"/>
  <c r="H33" i="2"/>
  <c r="F33" i="2"/>
  <c r="D33" i="2"/>
  <c r="H32" i="2"/>
  <c r="F32" i="2"/>
  <c r="D32" i="2"/>
  <c r="P31" i="2"/>
  <c r="H31" i="2"/>
  <c r="F31" i="2"/>
  <c r="D31" i="2"/>
  <c r="H30" i="2"/>
  <c r="F30" i="2"/>
  <c r="D30" i="2"/>
  <c r="H29" i="2"/>
  <c r="F29" i="2"/>
  <c r="D29" i="2"/>
  <c r="J28" i="2"/>
  <c r="H28" i="2"/>
  <c r="F28" i="2"/>
  <c r="D28" i="2"/>
  <c r="P27" i="2"/>
  <c r="H27" i="2"/>
  <c r="F27" i="2"/>
  <c r="D27" i="2"/>
  <c r="F26" i="2"/>
  <c r="J29" i="2"/>
  <c r="F25" i="2"/>
  <c r="F24" i="2"/>
  <c r="P23" i="2"/>
  <c r="F23" i="2"/>
  <c r="H22" i="2"/>
  <c r="F22" i="2"/>
  <c r="D22" i="2"/>
  <c r="J21" i="2"/>
  <c r="H21" i="2"/>
  <c r="F21" i="2"/>
  <c r="D21" i="2"/>
  <c r="K21" i="2"/>
  <c r="L21" i="2"/>
  <c r="H20" i="2"/>
  <c r="F20" i="2"/>
  <c r="P19" i="2"/>
  <c r="H19" i="2"/>
  <c r="F19" i="2"/>
  <c r="D19" i="2"/>
  <c r="F18" i="2"/>
  <c r="F17" i="2"/>
  <c r="F16" i="2"/>
  <c r="P15" i="2"/>
  <c r="F15" i="2"/>
  <c r="H14" i="2"/>
  <c r="F14" i="2"/>
  <c r="H13" i="2"/>
  <c r="F13" i="2"/>
  <c r="D13" i="2"/>
  <c r="J20" i="2"/>
  <c r="H12" i="2"/>
  <c r="F12" i="2"/>
  <c r="P11" i="2"/>
  <c r="J19" i="2"/>
  <c r="J27" i="2"/>
  <c r="H11" i="2"/>
  <c r="F11" i="2"/>
  <c r="J22" i="2"/>
  <c r="J30" i="2"/>
  <c r="J13" i="2"/>
  <c r="A139" i="2"/>
  <c r="X114" i="2"/>
  <c r="J83" i="2"/>
  <c r="J87" i="2"/>
  <c r="J91" i="2"/>
  <c r="D91" i="2"/>
  <c r="D87" i="2"/>
  <c r="D83" i="2"/>
  <c r="K83" i="2"/>
  <c r="H82" i="2"/>
  <c r="J82" i="2"/>
  <c r="J86" i="2"/>
  <c r="J90" i="2"/>
  <c r="V82" i="2"/>
  <c r="R82" i="2"/>
  <c r="Y82" i="2"/>
  <c r="X83" i="2"/>
  <c r="X87" i="2"/>
  <c r="X91" i="2"/>
  <c r="X95" i="2"/>
  <c r="X99" i="2"/>
  <c r="X103" i="2"/>
  <c r="R83" i="2"/>
  <c r="Y83" i="2"/>
  <c r="Z83" i="2"/>
  <c r="X84" i="2"/>
  <c r="X88" i="2"/>
  <c r="X92" i="2"/>
  <c r="X96" i="2"/>
  <c r="R84" i="2"/>
  <c r="X85" i="2"/>
  <c r="R85" i="2"/>
  <c r="Y85" i="2"/>
  <c r="D82" i="2"/>
  <c r="D84" i="2"/>
  <c r="D85" i="2"/>
  <c r="D86" i="2"/>
  <c r="D88" i="2"/>
  <c r="D89" i="2"/>
  <c r="R86" i="2"/>
  <c r="R87" i="2"/>
  <c r="Y87" i="2"/>
  <c r="Z87" i="2"/>
  <c r="AA87" i="2"/>
  <c r="R88" i="2"/>
  <c r="R89" i="2"/>
  <c r="D90" i="2"/>
  <c r="D92" i="2"/>
  <c r="D93" i="2"/>
  <c r="R90" i="2"/>
  <c r="R91" i="2"/>
  <c r="R92" i="2"/>
  <c r="R93" i="2"/>
  <c r="D94" i="2"/>
  <c r="D95" i="2"/>
  <c r="D96" i="2"/>
  <c r="K96" i="2"/>
  <c r="D97" i="2"/>
  <c r="R94" i="2"/>
  <c r="R95" i="2"/>
  <c r="R96" i="2"/>
  <c r="R97" i="2"/>
  <c r="D98" i="2"/>
  <c r="D99" i="2"/>
  <c r="M99" i="2"/>
  <c r="D100" i="2"/>
  <c r="D101" i="2"/>
  <c r="R98" i="2"/>
  <c r="R99" i="2"/>
  <c r="R100" i="2"/>
  <c r="AA100" i="2"/>
  <c r="R101" i="2"/>
  <c r="D102" i="2"/>
  <c r="D103" i="2"/>
  <c r="D104" i="2"/>
  <c r="D105" i="2"/>
  <c r="R102" i="2"/>
  <c r="R103" i="2"/>
  <c r="R104" i="2"/>
  <c r="R105" i="2"/>
  <c r="D114" i="2"/>
  <c r="D140" i="2"/>
  <c r="D115" i="2"/>
  <c r="K115" i="2"/>
  <c r="D116" i="2"/>
  <c r="K116" i="2"/>
  <c r="D117" i="2"/>
  <c r="R114" i="2"/>
  <c r="Y114" i="2"/>
  <c r="R115" i="2"/>
  <c r="Y115" i="2"/>
  <c r="R116" i="2"/>
  <c r="R117" i="2"/>
  <c r="Y117" i="2"/>
  <c r="D118" i="2"/>
  <c r="D119" i="2"/>
  <c r="D120" i="2"/>
  <c r="D121" i="2"/>
  <c r="K121" i="2"/>
  <c r="R118" i="2"/>
  <c r="Y118" i="2"/>
  <c r="R119" i="2"/>
  <c r="R120" i="2"/>
  <c r="Y120" i="2"/>
  <c r="R121" i="2"/>
  <c r="D122" i="2"/>
  <c r="D123" i="2"/>
  <c r="D124" i="2"/>
  <c r="D125" i="2"/>
  <c r="R122" i="2"/>
  <c r="R123" i="2"/>
  <c r="R124" i="2"/>
  <c r="Y124" i="2"/>
  <c r="R125" i="2"/>
  <c r="D126" i="2"/>
  <c r="D127" i="2"/>
  <c r="K127" i="2"/>
  <c r="D128" i="2"/>
  <c r="D129" i="2"/>
  <c r="K129" i="2"/>
  <c r="R126" i="2"/>
  <c r="R127" i="2"/>
  <c r="R128" i="2"/>
  <c r="R129" i="2"/>
  <c r="D130" i="2"/>
  <c r="D131" i="2"/>
  <c r="K131" i="2"/>
  <c r="D132" i="2"/>
  <c r="K132" i="2"/>
  <c r="D133" i="2"/>
  <c r="K133" i="2"/>
  <c r="R130" i="2"/>
  <c r="Y130" i="2"/>
  <c r="R131" i="2"/>
  <c r="Y131" i="2"/>
  <c r="R132" i="2"/>
  <c r="R133" i="2"/>
  <c r="Y133" i="2"/>
  <c r="H83" i="2"/>
  <c r="H84" i="2"/>
  <c r="K84" i="2"/>
  <c r="H85" i="2"/>
  <c r="K85" i="2"/>
  <c r="L85" i="2"/>
  <c r="H86" i="2"/>
  <c r="H87" i="2"/>
  <c r="H88" i="2"/>
  <c r="H89" i="2"/>
  <c r="H90" i="2"/>
  <c r="H91" i="2"/>
  <c r="H92" i="2"/>
  <c r="L92" i="2"/>
  <c r="M92" i="2"/>
  <c r="H93" i="2"/>
  <c r="H94" i="2"/>
  <c r="H95" i="2"/>
  <c r="H96" i="2"/>
  <c r="L96" i="2"/>
  <c r="M96" i="2"/>
  <c r="H97" i="2"/>
  <c r="H98" i="2"/>
  <c r="H99" i="2"/>
  <c r="L99" i="2"/>
  <c r="H100" i="2"/>
  <c r="H101" i="2"/>
  <c r="H102" i="2"/>
  <c r="H103" i="2"/>
  <c r="H104" i="2"/>
  <c r="H105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Z82" i="2"/>
  <c r="V83" i="2"/>
  <c r="V84" i="2"/>
  <c r="V85" i="2"/>
  <c r="Z85" i="2"/>
  <c r="V86" i="2"/>
  <c r="V87" i="2"/>
  <c r="V88" i="2"/>
  <c r="V89" i="2"/>
  <c r="V90" i="2"/>
  <c r="Z90" i="2"/>
  <c r="V91" i="2"/>
  <c r="V92" i="2"/>
  <c r="V93" i="2"/>
  <c r="V94" i="2"/>
  <c r="V95" i="2"/>
  <c r="V96" i="2"/>
  <c r="V97" i="2"/>
  <c r="V98" i="2"/>
  <c r="Y98" i="2"/>
  <c r="V99" i="2"/>
  <c r="V100" i="2"/>
  <c r="Z100" i="2"/>
  <c r="V101" i="2"/>
  <c r="V102" i="2"/>
  <c r="V103" i="2"/>
  <c r="V104" i="2"/>
  <c r="V105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F147" i="2"/>
  <c r="F82" i="2"/>
  <c r="P82" i="2"/>
  <c r="T82" i="2"/>
  <c r="F83" i="2"/>
  <c r="T83" i="2"/>
  <c r="AA83" i="2"/>
  <c r="F84" i="2"/>
  <c r="J84" i="2"/>
  <c r="J88" i="2"/>
  <c r="T84" i="2"/>
  <c r="F85" i="2"/>
  <c r="J85" i="2"/>
  <c r="J89" i="2"/>
  <c r="T85" i="2"/>
  <c r="F86" i="2"/>
  <c r="P86" i="2"/>
  <c r="T86" i="2"/>
  <c r="X86" i="2"/>
  <c r="F87" i="2"/>
  <c r="T87" i="2"/>
  <c r="F88" i="2"/>
  <c r="T88" i="2"/>
  <c r="F89" i="2"/>
  <c r="T89" i="2"/>
  <c r="X89" i="2"/>
  <c r="X93" i="2"/>
  <c r="X97" i="2"/>
  <c r="X101" i="2"/>
  <c r="X105" i="2"/>
  <c r="F90" i="2"/>
  <c r="P90" i="2"/>
  <c r="T90" i="2"/>
  <c r="AA90" i="2"/>
  <c r="F91" i="2"/>
  <c r="T91" i="2"/>
  <c r="F92" i="2"/>
  <c r="T92" i="2"/>
  <c r="F93" i="2"/>
  <c r="J93" i="2"/>
  <c r="T93" i="2"/>
  <c r="F94" i="2"/>
  <c r="J94" i="2"/>
  <c r="P94" i="2"/>
  <c r="T94" i="2"/>
  <c r="X94" i="2"/>
  <c r="X98" i="2"/>
  <c r="F95" i="2"/>
  <c r="J95" i="2"/>
  <c r="T95" i="2"/>
  <c r="F96" i="2"/>
  <c r="J96" i="2"/>
  <c r="J100" i="2"/>
  <c r="T96" i="2"/>
  <c r="F97" i="2"/>
  <c r="J97" i="2"/>
  <c r="J101" i="2"/>
  <c r="J105" i="2"/>
  <c r="T97" i="2"/>
  <c r="F98" i="2"/>
  <c r="J98" i="2"/>
  <c r="J102" i="2"/>
  <c r="P98" i="2"/>
  <c r="T98" i="2"/>
  <c r="F99" i="2"/>
  <c r="T99" i="2"/>
  <c r="F100" i="2"/>
  <c r="T100" i="2"/>
  <c r="F101" i="2"/>
  <c r="T101" i="2"/>
  <c r="F102" i="2"/>
  <c r="P102" i="2"/>
  <c r="T102" i="2"/>
  <c r="X102" i="2"/>
  <c r="Y102" i="2"/>
  <c r="F103" i="2"/>
  <c r="J103" i="2"/>
  <c r="K103" i="2"/>
  <c r="L103" i="2"/>
  <c r="T103" i="2"/>
  <c r="F104" i="2"/>
  <c r="J104" i="2"/>
  <c r="T104" i="2"/>
  <c r="X104" i="2"/>
  <c r="Y104" i="2"/>
  <c r="Z104" i="2"/>
  <c r="F105" i="2"/>
  <c r="T105" i="2"/>
  <c r="F114" i="2"/>
  <c r="H114" i="2"/>
  <c r="J114" i="2"/>
  <c r="M114" i="2"/>
  <c r="P114" i="2"/>
  <c r="T114" i="2"/>
  <c r="V114" i="2"/>
  <c r="AA114" i="2"/>
  <c r="F115" i="2"/>
  <c r="H115" i="2"/>
  <c r="M115" i="2"/>
  <c r="J115" i="2"/>
  <c r="T115" i="2"/>
  <c r="V115" i="2"/>
  <c r="AA115" i="2"/>
  <c r="X115" i="2"/>
  <c r="F116" i="2"/>
  <c r="H116" i="2"/>
  <c r="M116" i="2"/>
  <c r="J116" i="2"/>
  <c r="T116" i="2"/>
  <c r="V116" i="2"/>
  <c r="X116" i="2"/>
  <c r="Y116" i="2"/>
  <c r="AA116" i="2"/>
  <c r="F117" i="2"/>
  <c r="H117" i="2"/>
  <c r="J117" i="2"/>
  <c r="K117" i="2"/>
  <c r="M117" i="2"/>
  <c r="T117" i="2"/>
  <c r="V117" i="2"/>
  <c r="AA117" i="2"/>
  <c r="X117" i="2"/>
  <c r="F118" i="2"/>
  <c r="H118" i="2"/>
  <c r="M118" i="2"/>
  <c r="J118" i="2"/>
  <c r="K118" i="2"/>
  <c r="P118" i="2"/>
  <c r="T118" i="2"/>
  <c r="V118" i="2"/>
  <c r="AA118" i="2"/>
  <c r="X118" i="2"/>
  <c r="F119" i="2"/>
  <c r="H119" i="2"/>
  <c r="J119" i="2"/>
  <c r="K119" i="2"/>
  <c r="M119" i="2"/>
  <c r="T119" i="2"/>
  <c r="V119" i="2"/>
  <c r="X119" i="2"/>
  <c r="Y119" i="2"/>
  <c r="AA119" i="2"/>
  <c r="F120" i="2"/>
  <c r="H120" i="2"/>
  <c r="J120" i="2"/>
  <c r="K120" i="2"/>
  <c r="M120" i="2"/>
  <c r="T120" i="2"/>
  <c r="V120" i="2"/>
  <c r="AA120" i="2"/>
  <c r="X120" i="2"/>
  <c r="F121" i="2"/>
  <c r="H121" i="2"/>
  <c r="M121" i="2"/>
  <c r="J121" i="2"/>
  <c r="T121" i="2"/>
  <c r="V121" i="2"/>
  <c r="AA121" i="2"/>
  <c r="X121" i="2"/>
  <c r="Y121" i="2"/>
  <c r="F122" i="2"/>
  <c r="H122" i="2"/>
  <c r="M122" i="2"/>
  <c r="J122" i="2"/>
  <c r="P122" i="2"/>
  <c r="T122" i="2"/>
  <c r="V122" i="2"/>
  <c r="X122" i="2"/>
  <c r="Y122" i="2"/>
  <c r="AA122" i="2"/>
  <c r="F123" i="2"/>
  <c r="H123" i="2"/>
  <c r="M123" i="2"/>
  <c r="J123" i="2"/>
  <c r="K123" i="2"/>
  <c r="T123" i="2"/>
  <c r="V123" i="2"/>
  <c r="AA123" i="2"/>
  <c r="X123" i="2"/>
  <c r="Y123" i="2"/>
  <c r="F124" i="2"/>
  <c r="H124" i="2"/>
  <c r="J124" i="2"/>
  <c r="K124" i="2"/>
  <c r="M124" i="2"/>
  <c r="T124" i="2"/>
  <c r="V124" i="2"/>
  <c r="X124" i="2"/>
  <c r="AA124" i="2"/>
  <c r="F125" i="2"/>
  <c r="H125" i="2"/>
  <c r="M125" i="2"/>
  <c r="J125" i="2"/>
  <c r="K125" i="2"/>
  <c r="T125" i="2"/>
  <c r="V125" i="2"/>
  <c r="AA125" i="2"/>
  <c r="X125" i="2"/>
  <c r="Y125" i="2"/>
  <c r="F126" i="2"/>
  <c r="H126" i="2"/>
  <c r="M126" i="2"/>
  <c r="J126" i="2"/>
  <c r="P126" i="2"/>
  <c r="T126" i="2"/>
  <c r="V126" i="2"/>
  <c r="X126" i="2"/>
  <c r="Y126" i="2"/>
  <c r="AA126" i="2"/>
  <c r="F127" i="2"/>
  <c r="H127" i="2"/>
  <c r="M127" i="2"/>
  <c r="J127" i="2"/>
  <c r="T127" i="2"/>
  <c r="V127" i="2"/>
  <c r="AA127" i="2"/>
  <c r="X127" i="2"/>
  <c r="Y127" i="2"/>
  <c r="F128" i="2"/>
  <c r="H128" i="2"/>
  <c r="M128" i="2"/>
  <c r="J128" i="2"/>
  <c r="K128" i="2"/>
  <c r="T128" i="2"/>
  <c r="V128" i="2"/>
  <c r="AA128" i="2"/>
  <c r="X128" i="2"/>
  <c r="Y128" i="2"/>
  <c r="F129" i="2"/>
  <c r="J129" i="2"/>
  <c r="M129" i="2"/>
  <c r="T129" i="2"/>
  <c r="V129" i="2"/>
  <c r="AA129" i="2"/>
  <c r="X129" i="2"/>
  <c r="Y129" i="2"/>
  <c r="F130" i="2"/>
  <c r="H130" i="2"/>
  <c r="J130" i="2"/>
  <c r="K130" i="2"/>
  <c r="M130" i="2"/>
  <c r="P130" i="2"/>
  <c r="T130" i="2"/>
  <c r="V130" i="2"/>
  <c r="AA130" i="2"/>
  <c r="X130" i="2"/>
  <c r="F131" i="2"/>
  <c r="H131" i="2"/>
  <c r="J131" i="2"/>
  <c r="L131" i="2"/>
  <c r="M131" i="2"/>
  <c r="T131" i="2"/>
  <c r="V131" i="2"/>
  <c r="X131" i="2"/>
  <c r="Z131" i="2"/>
  <c r="AA131" i="2"/>
  <c r="F132" i="2"/>
  <c r="H132" i="2"/>
  <c r="M132" i="2"/>
  <c r="J132" i="2"/>
  <c r="L132" i="2"/>
  <c r="T132" i="2"/>
  <c r="V132" i="2"/>
  <c r="X132" i="2"/>
  <c r="Y132" i="2"/>
  <c r="Z132" i="2"/>
  <c r="AA132" i="2"/>
  <c r="F133" i="2"/>
  <c r="H133" i="2"/>
  <c r="M133" i="2"/>
  <c r="J133" i="2"/>
  <c r="L133" i="2"/>
  <c r="T133" i="2"/>
  <c r="V133" i="2"/>
  <c r="X133" i="2"/>
  <c r="Z133" i="2"/>
  <c r="AA13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6" i="2"/>
  <c r="D347" i="2"/>
  <c r="D348" i="2"/>
  <c r="D349" i="2"/>
  <c r="K349" i="2"/>
  <c r="D350" i="2"/>
  <c r="D351" i="2"/>
  <c r="D352" i="2"/>
  <c r="D353" i="2"/>
  <c r="D354" i="2"/>
  <c r="D355" i="2"/>
  <c r="D356" i="2"/>
  <c r="K356" i="2"/>
  <c r="D357" i="2"/>
  <c r="D358" i="2"/>
  <c r="R314" i="2"/>
  <c r="Y314" i="2"/>
  <c r="R315" i="2"/>
  <c r="R316" i="2"/>
  <c r="R317" i="2"/>
  <c r="R318" i="2"/>
  <c r="Y318" i="2"/>
  <c r="Z318" i="2"/>
  <c r="AA318" i="2"/>
  <c r="R319" i="2"/>
  <c r="R320" i="2"/>
  <c r="R321" i="2"/>
  <c r="Y321" i="2"/>
  <c r="R322" i="2"/>
  <c r="R323" i="2"/>
  <c r="R324" i="2"/>
  <c r="R325" i="2"/>
  <c r="Y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7" i="2"/>
  <c r="Y347" i="2"/>
  <c r="R348" i="2"/>
  <c r="R349" i="2"/>
  <c r="R350" i="2"/>
  <c r="R351" i="2"/>
  <c r="R352" i="2"/>
  <c r="Y352" i="2"/>
  <c r="R353" i="2"/>
  <c r="R354" i="2"/>
  <c r="Y354" i="2"/>
  <c r="R355" i="2"/>
  <c r="Y355" i="2"/>
  <c r="R356" i="2"/>
  <c r="R357" i="2"/>
  <c r="R358" i="2"/>
  <c r="J140" i="2"/>
  <c r="K140" i="2"/>
  <c r="X140" i="2"/>
  <c r="Y140" i="2"/>
  <c r="D141" i="2"/>
  <c r="J141" i="2"/>
  <c r="K141" i="2"/>
  <c r="X141" i="2"/>
  <c r="Y141" i="2"/>
  <c r="J142" i="2"/>
  <c r="K142" i="2"/>
  <c r="X142" i="2"/>
  <c r="Y142" i="2"/>
  <c r="J143" i="2"/>
  <c r="K143" i="2"/>
  <c r="X143" i="2"/>
  <c r="Y143" i="2"/>
  <c r="A214" i="2"/>
  <c r="P157" i="2"/>
  <c r="D157" i="2"/>
  <c r="D158" i="2"/>
  <c r="D159" i="2"/>
  <c r="D160" i="2"/>
  <c r="K160" i="2"/>
  <c r="R157" i="2"/>
  <c r="R158" i="2"/>
  <c r="R159" i="2"/>
  <c r="R160" i="2"/>
  <c r="T157" i="2"/>
  <c r="X157" i="2"/>
  <c r="X161" i="2"/>
  <c r="X165" i="2"/>
  <c r="X169" i="2"/>
  <c r="X173" i="2"/>
  <c r="T158" i="2"/>
  <c r="T159" i="2"/>
  <c r="T160" i="2"/>
  <c r="V161" i="2"/>
  <c r="R161" i="2"/>
  <c r="V162" i="2"/>
  <c r="R162" i="2"/>
  <c r="Y162" i="2"/>
  <c r="V163" i="2"/>
  <c r="R163" i="2"/>
  <c r="Y163" i="2"/>
  <c r="Y167" i="2"/>
  <c r="Y171" i="2"/>
  <c r="Z171" i="2"/>
  <c r="AA171" i="2"/>
  <c r="V164" i="2"/>
  <c r="R164" i="2"/>
  <c r="Y164" i="2"/>
  <c r="Y168" i="2"/>
  <c r="Z168" i="2"/>
  <c r="AA168" i="2"/>
  <c r="Z164" i="2"/>
  <c r="F157" i="2"/>
  <c r="F158" i="2"/>
  <c r="F159" i="2"/>
  <c r="F160" i="2"/>
  <c r="J159" i="2"/>
  <c r="J163" i="2"/>
  <c r="J167" i="2"/>
  <c r="J171" i="2"/>
  <c r="J175" i="2"/>
  <c r="J179" i="2"/>
  <c r="J183" i="2"/>
  <c r="J160" i="2"/>
  <c r="J164" i="2"/>
  <c r="J168" i="2"/>
  <c r="D168" i="2"/>
  <c r="D164" i="2"/>
  <c r="K164" i="2"/>
  <c r="K168" i="2"/>
  <c r="K157" i="2"/>
  <c r="L157" i="2"/>
  <c r="K158" i="2"/>
  <c r="D161" i="2"/>
  <c r="D162" i="2"/>
  <c r="D163" i="2"/>
  <c r="D165" i="2"/>
  <c r="D166" i="2"/>
  <c r="M166" i="2"/>
  <c r="D167" i="2"/>
  <c r="R165" i="2"/>
  <c r="R166" i="2"/>
  <c r="Y166" i="2"/>
  <c r="R167" i="2"/>
  <c r="R168" i="2"/>
  <c r="D169" i="2"/>
  <c r="D170" i="2"/>
  <c r="D171" i="2"/>
  <c r="D172" i="2"/>
  <c r="R169" i="2"/>
  <c r="R170" i="2"/>
  <c r="R171" i="2"/>
  <c r="R172" i="2"/>
  <c r="D173" i="2"/>
  <c r="D174" i="2"/>
  <c r="D175" i="2"/>
  <c r="D176" i="2"/>
  <c r="R173" i="2"/>
  <c r="R174" i="2"/>
  <c r="R175" i="2"/>
  <c r="R176" i="2"/>
  <c r="D177" i="2"/>
  <c r="D178" i="2"/>
  <c r="D179" i="2"/>
  <c r="D180" i="2"/>
  <c r="R177" i="2"/>
  <c r="R178" i="2"/>
  <c r="R179" i="2"/>
  <c r="R180" i="2"/>
  <c r="D181" i="2"/>
  <c r="D182" i="2"/>
  <c r="D183" i="2"/>
  <c r="D184" i="2"/>
  <c r="R181" i="2"/>
  <c r="R182" i="2"/>
  <c r="R183" i="2"/>
  <c r="R184" i="2"/>
  <c r="D197" i="2"/>
  <c r="D198" i="2"/>
  <c r="D199" i="2"/>
  <c r="D200" i="2"/>
  <c r="R197" i="2"/>
  <c r="R198" i="2"/>
  <c r="R199" i="2"/>
  <c r="Y199" i="2"/>
  <c r="R200" i="2"/>
  <c r="D201" i="2"/>
  <c r="K201" i="2"/>
  <c r="D202" i="2"/>
  <c r="D203" i="2"/>
  <c r="D204" i="2"/>
  <c r="R201" i="2"/>
  <c r="R202" i="2"/>
  <c r="R203" i="2"/>
  <c r="Y203" i="2"/>
  <c r="R204" i="2"/>
  <c r="Y204" i="2"/>
  <c r="B201" i="2"/>
  <c r="D205" i="2"/>
  <c r="K205" i="2"/>
  <c r="D206" i="2"/>
  <c r="D207" i="2"/>
  <c r="K207" i="2"/>
  <c r="D208" i="2"/>
  <c r="K208" i="2"/>
  <c r="R205" i="2"/>
  <c r="R206" i="2"/>
  <c r="R207" i="2"/>
  <c r="R208" i="2"/>
  <c r="H158" i="2"/>
  <c r="H159" i="2"/>
  <c r="H160" i="2"/>
  <c r="L160" i="2"/>
  <c r="M160" i="2"/>
  <c r="H161" i="2"/>
  <c r="K161" i="2"/>
  <c r="H162" i="2"/>
  <c r="H163" i="2"/>
  <c r="H164" i="2"/>
  <c r="H165" i="2"/>
  <c r="H166" i="2"/>
  <c r="L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L197" i="2"/>
  <c r="L198" i="2"/>
  <c r="L199" i="2"/>
  <c r="L200" i="2"/>
  <c r="L201" i="2"/>
  <c r="L202" i="2"/>
  <c r="L203" i="2"/>
  <c r="L204" i="2"/>
  <c r="L205" i="2"/>
  <c r="V158" i="2"/>
  <c r="V159" i="2"/>
  <c r="Z159" i="2"/>
  <c r="V160" i="2"/>
  <c r="V165" i="2"/>
  <c r="V166" i="2"/>
  <c r="Z166" i="2"/>
  <c r="AA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Z197" i="2"/>
  <c r="Z198" i="2"/>
  <c r="Z199" i="2"/>
  <c r="Z200" i="2"/>
  <c r="Z201" i="2"/>
  <c r="Z202" i="2"/>
  <c r="Z203" i="2"/>
  <c r="Z204" i="2"/>
  <c r="Z205" i="2"/>
  <c r="F222" i="2"/>
  <c r="F161" i="2"/>
  <c r="J161" i="2"/>
  <c r="P161" i="2"/>
  <c r="T161" i="2"/>
  <c r="F162" i="2"/>
  <c r="J162" i="2"/>
  <c r="T162" i="2"/>
  <c r="X162" i="2"/>
  <c r="F163" i="2"/>
  <c r="T163" i="2"/>
  <c r="X163" i="2"/>
  <c r="F164" i="2"/>
  <c r="T164" i="2"/>
  <c r="X164" i="2"/>
  <c r="F165" i="2"/>
  <c r="J165" i="2"/>
  <c r="P165" i="2"/>
  <c r="T165" i="2"/>
  <c r="F166" i="2"/>
  <c r="T166" i="2"/>
  <c r="X166" i="2"/>
  <c r="F167" i="2"/>
  <c r="T167" i="2"/>
  <c r="X167" i="2"/>
  <c r="F168" i="2"/>
  <c r="T168" i="2"/>
  <c r="X168" i="2"/>
  <c r="X172" i="2"/>
  <c r="F169" i="2"/>
  <c r="J169" i="2"/>
  <c r="J173" i="2"/>
  <c r="J177" i="2"/>
  <c r="J181" i="2"/>
  <c r="P169" i="2"/>
  <c r="T169" i="2"/>
  <c r="F170" i="2"/>
  <c r="J170" i="2"/>
  <c r="J174" i="2"/>
  <c r="T170" i="2"/>
  <c r="X170" i="2"/>
  <c r="X174" i="2"/>
  <c r="X178" i="2"/>
  <c r="X182" i="2"/>
  <c r="F171" i="2"/>
  <c r="T171" i="2"/>
  <c r="X171" i="2"/>
  <c r="X175" i="2"/>
  <c r="X179" i="2"/>
  <c r="X183" i="2"/>
  <c r="F172" i="2"/>
  <c r="J172" i="2"/>
  <c r="J176" i="2"/>
  <c r="T172" i="2"/>
  <c r="F173" i="2"/>
  <c r="P173" i="2"/>
  <c r="T173" i="2"/>
  <c r="F174" i="2"/>
  <c r="T174" i="2"/>
  <c r="F175" i="2"/>
  <c r="T175" i="2"/>
  <c r="F176" i="2"/>
  <c r="T176" i="2"/>
  <c r="X176" i="2"/>
  <c r="X180" i="2"/>
  <c r="X184" i="2"/>
  <c r="F177" i="2"/>
  <c r="P177" i="2"/>
  <c r="T177" i="2"/>
  <c r="X177" i="2"/>
  <c r="X181" i="2"/>
  <c r="F178" i="2"/>
  <c r="J178" i="2"/>
  <c r="J182" i="2"/>
  <c r="T178" i="2"/>
  <c r="F179" i="2"/>
  <c r="T179" i="2"/>
  <c r="F180" i="2"/>
  <c r="J180" i="2"/>
  <c r="J184" i="2"/>
  <c r="T180" i="2"/>
  <c r="F181" i="2"/>
  <c r="P181" i="2"/>
  <c r="T181" i="2"/>
  <c r="F182" i="2"/>
  <c r="T182" i="2"/>
  <c r="F183" i="2"/>
  <c r="T183" i="2"/>
  <c r="F184" i="2"/>
  <c r="T184" i="2"/>
  <c r="F197" i="2"/>
  <c r="H197" i="2"/>
  <c r="M197" i="2"/>
  <c r="J197" i="2"/>
  <c r="K197" i="2"/>
  <c r="P197" i="2"/>
  <c r="T197" i="2"/>
  <c r="V197" i="2"/>
  <c r="X197" i="2"/>
  <c r="AA197" i="2"/>
  <c r="F198" i="2"/>
  <c r="H198" i="2"/>
  <c r="J198" i="2"/>
  <c r="K198" i="2"/>
  <c r="M198" i="2"/>
  <c r="T198" i="2"/>
  <c r="V198" i="2"/>
  <c r="X198" i="2"/>
  <c r="AA198" i="2"/>
  <c r="F199" i="2"/>
  <c r="H199" i="2"/>
  <c r="M199" i="2"/>
  <c r="J199" i="2"/>
  <c r="K199" i="2"/>
  <c r="T199" i="2"/>
  <c r="V199" i="2"/>
  <c r="AA199" i="2"/>
  <c r="X199" i="2"/>
  <c r="F200" i="2"/>
  <c r="H200" i="2"/>
  <c r="M200" i="2"/>
  <c r="J200" i="2"/>
  <c r="K200" i="2"/>
  <c r="T200" i="2"/>
  <c r="V200" i="2"/>
  <c r="X200" i="2"/>
  <c r="Y200" i="2"/>
  <c r="AA200" i="2"/>
  <c r="F201" i="2"/>
  <c r="H201" i="2"/>
  <c r="M201" i="2"/>
  <c r="J201" i="2"/>
  <c r="P201" i="2"/>
  <c r="T201" i="2"/>
  <c r="V201" i="2"/>
  <c r="AA201" i="2"/>
  <c r="X201" i="2"/>
  <c r="Y201" i="2"/>
  <c r="F202" i="2"/>
  <c r="H202" i="2"/>
  <c r="M202" i="2"/>
  <c r="J202" i="2"/>
  <c r="K202" i="2"/>
  <c r="T202" i="2"/>
  <c r="V202" i="2"/>
  <c r="AA202" i="2"/>
  <c r="X202" i="2"/>
  <c r="Y202" i="2"/>
  <c r="F203" i="2"/>
  <c r="H203" i="2"/>
  <c r="J203" i="2"/>
  <c r="K203" i="2"/>
  <c r="M203" i="2"/>
  <c r="T203" i="2"/>
  <c r="V203" i="2"/>
  <c r="X203" i="2"/>
  <c r="AA203" i="2"/>
  <c r="F204" i="2"/>
  <c r="J204" i="2"/>
  <c r="K204" i="2"/>
  <c r="M204" i="2"/>
  <c r="T204" i="2"/>
  <c r="V204" i="2"/>
  <c r="AA204" i="2"/>
  <c r="X204" i="2"/>
  <c r="F205" i="2"/>
  <c r="H205" i="2"/>
  <c r="M205" i="2"/>
  <c r="J205" i="2"/>
  <c r="P205" i="2"/>
  <c r="T205" i="2"/>
  <c r="V205" i="2"/>
  <c r="X205" i="2"/>
  <c r="Y205" i="2"/>
  <c r="AA205" i="2"/>
  <c r="F206" i="2"/>
  <c r="H206" i="2"/>
  <c r="M206" i="2"/>
  <c r="J206" i="2"/>
  <c r="K206" i="2"/>
  <c r="L206" i="2"/>
  <c r="T206" i="2"/>
  <c r="V206" i="2"/>
  <c r="X206" i="2"/>
  <c r="Y206" i="2"/>
  <c r="Z206" i="2"/>
  <c r="AA206" i="2"/>
  <c r="F207" i="2"/>
  <c r="H207" i="2"/>
  <c r="M207" i="2"/>
  <c r="J207" i="2"/>
  <c r="L207" i="2"/>
  <c r="T207" i="2"/>
  <c r="V207" i="2"/>
  <c r="AA207" i="2"/>
  <c r="X207" i="2"/>
  <c r="Y207" i="2"/>
  <c r="Z207" i="2"/>
  <c r="F208" i="2"/>
  <c r="H208" i="2"/>
  <c r="M208" i="2"/>
  <c r="J208" i="2"/>
  <c r="L208" i="2"/>
  <c r="T208" i="2"/>
  <c r="V208" i="2"/>
  <c r="X208" i="2"/>
  <c r="Y208" i="2"/>
  <c r="Z208" i="2"/>
  <c r="AA208" i="2"/>
  <c r="L212" i="2"/>
  <c r="Z212" i="2"/>
  <c r="J215" i="2"/>
  <c r="K215" i="2"/>
  <c r="X215" i="2"/>
  <c r="Y215" i="2"/>
  <c r="J216" i="2"/>
  <c r="K216" i="2"/>
  <c r="X216" i="2"/>
  <c r="Y216" i="2"/>
  <c r="J217" i="2"/>
  <c r="K217" i="2"/>
  <c r="R217" i="2"/>
  <c r="V217" i="2"/>
  <c r="X217" i="2"/>
  <c r="Y217" i="2"/>
  <c r="D218" i="2"/>
  <c r="J218" i="2"/>
  <c r="K218" i="2"/>
  <c r="X218" i="2"/>
  <c r="Y218" i="2"/>
  <c r="A289" i="2"/>
  <c r="H236" i="2"/>
  <c r="D236" i="2"/>
  <c r="H237" i="2"/>
  <c r="D237" i="2"/>
  <c r="D291" i="2"/>
  <c r="K237" i="2"/>
  <c r="H238" i="2"/>
  <c r="D238" i="2"/>
  <c r="K238" i="2"/>
  <c r="L238" i="2"/>
  <c r="M238" i="2"/>
  <c r="H239" i="2"/>
  <c r="D239" i="2"/>
  <c r="K239" i="2"/>
  <c r="H240" i="2"/>
  <c r="D240" i="2"/>
  <c r="H241" i="2"/>
  <c r="D241" i="2"/>
  <c r="H242" i="2"/>
  <c r="D242" i="2"/>
  <c r="H243" i="2"/>
  <c r="L243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H232" i="2"/>
  <c r="H233" i="2"/>
  <c r="L233" i="2"/>
  <c r="H234" i="2"/>
  <c r="H235" i="2"/>
  <c r="L235" i="2"/>
  <c r="V236" i="2"/>
  <c r="R236" i="2"/>
  <c r="Y236" i="2"/>
  <c r="Y240" i="2"/>
  <c r="Z240" i="2"/>
  <c r="V237" i="2"/>
  <c r="R237" i="2"/>
  <c r="Y237" i="2"/>
  <c r="Z237" i="2"/>
  <c r="V238" i="2"/>
  <c r="R238" i="2"/>
  <c r="Y238" i="2"/>
  <c r="Z238" i="2"/>
  <c r="Z292" i="2"/>
  <c r="V239" i="2"/>
  <c r="Z239" i="2"/>
  <c r="R239" i="2"/>
  <c r="Y239" i="2"/>
  <c r="V240" i="2"/>
  <c r="R240" i="2"/>
  <c r="V241" i="2"/>
  <c r="R241" i="2"/>
  <c r="Y241" i="2"/>
  <c r="Z241" i="2"/>
  <c r="AA241" i="2"/>
  <c r="V242" i="2"/>
  <c r="R242" i="2"/>
  <c r="Y242" i="2"/>
  <c r="V243" i="2"/>
  <c r="R243" i="2"/>
  <c r="Y243" i="2"/>
  <c r="Z243" i="2"/>
  <c r="AA243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V232" i="2"/>
  <c r="Z232" i="2"/>
  <c r="V233" i="2"/>
  <c r="Z233" i="2"/>
  <c r="V234" i="2"/>
  <c r="Z234" i="2"/>
  <c r="V235" i="2"/>
  <c r="Z235" i="2"/>
  <c r="D243" i="2"/>
  <c r="B232" i="2"/>
  <c r="D249" i="2"/>
  <c r="D250" i="2"/>
  <c r="D251" i="2"/>
  <c r="K251" i="2"/>
  <c r="R249" i="2"/>
  <c r="R250" i="2"/>
  <c r="R251" i="2"/>
  <c r="D252" i="2"/>
  <c r="B252" i="2"/>
  <c r="D253" i="2"/>
  <c r="D254" i="2"/>
  <c r="K254" i="2"/>
  <c r="D255" i="2"/>
  <c r="K255" i="2"/>
  <c r="R252" i="2"/>
  <c r="R253" i="2"/>
  <c r="R254" i="2"/>
  <c r="R255" i="2"/>
  <c r="D256" i="2"/>
  <c r="D257" i="2"/>
  <c r="D258" i="2"/>
  <c r="D259" i="2"/>
  <c r="K259" i="2"/>
  <c r="R256" i="2"/>
  <c r="Y256" i="2"/>
  <c r="R257" i="2"/>
  <c r="R258" i="2"/>
  <c r="Y258" i="2"/>
  <c r="R259" i="2"/>
  <c r="D260" i="2"/>
  <c r="K260" i="2"/>
  <c r="D261" i="2"/>
  <c r="D262" i="2"/>
  <c r="D263" i="2"/>
  <c r="R260" i="2"/>
  <c r="Y260" i="2"/>
  <c r="R261" i="2"/>
  <c r="R262" i="2"/>
  <c r="R263" i="2"/>
  <c r="D264" i="2"/>
  <c r="D265" i="2"/>
  <c r="D266" i="2"/>
  <c r="K266" i="2"/>
  <c r="D267" i="2"/>
  <c r="K267" i="2"/>
  <c r="R264" i="2"/>
  <c r="Y264" i="2"/>
  <c r="R265" i="2"/>
  <c r="Y265" i="2"/>
  <c r="R266" i="2"/>
  <c r="R267" i="2"/>
  <c r="D268" i="2"/>
  <c r="K268" i="2"/>
  <c r="D269" i="2"/>
  <c r="K269" i="2"/>
  <c r="D270" i="2"/>
  <c r="K270" i="2"/>
  <c r="D271" i="2"/>
  <c r="K271" i="2"/>
  <c r="R269" i="2"/>
  <c r="R270" i="2"/>
  <c r="R271" i="2"/>
  <c r="Y271" i="2"/>
  <c r="D272" i="2"/>
  <c r="D273" i="2"/>
  <c r="D274" i="2"/>
  <c r="D275" i="2"/>
  <c r="R272" i="2"/>
  <c r="Y272" i="2"/>
  <c r="R273" i="2"/>
  <c r="R274" i="2"/>
  <c r="R292" i="2"/>
  <c r="R275" i="2"/>
  <c r="D276" i="2"/>
  <c r="D277" i="2"/>
  <c r="K277" i="2"/>
  <c r="D278" i="2"/>
  <c r="D279" i="2"/>
  <c r="K279" i="2"/>
  <c r="R276" i="2"/>
  <c r="R277" i="2"/>
  <c r="Y277" i="2"/>
  <c r="R278" i="2"/>
  <c r="R279" i="2"/>
  <c r="D280" i="2"/>
  <c r="K280" i="2"/>
  <c r="D281" i="2"/>
  <c r="D282" i="2"/>
  <c r="D283" i="2"/>
  <c r="R280" i="2"/>
  <c r="R281" i="2"/>
  <c r="R282" i="2"/>
  <c r="R283" i="2"/>
  <c r="AA232" i="2"/>
  <c r="M235" i="2"/>
  <c r="AA234" i="2"/>
  <c r="F297" i="2"/>
  <c r="J280" i="2"/>
  <c r="J281" i="2"/>
  <c r="J282" i="2"/>
  <c r="J283" i="2"/>
  <c r="P232" i="2"/>
  <c r="P236" i="2"/>
  <c r="X239" i="2"/>
  <c r="X243" i="2"/>
  <c r="T239" i="2"/>
  <c r="J239" i="2"/>
  <c r="F239" i="2"/>
  <c r="X238" i="2"/>
  <c r="T238" i="2"/>
  <c r="J238" i="2"/>
  <c r="F238" i="2"/>
  <c r="X237" i="2"/>
  <c r="T237" i="2"/>
  <c r="J237" i="2"/>
  <c r="F237" i="2"/>
  <c r="X236" i="2"/>
  <c r="T236" i="2"/>
  <c r="J236" i="2"/>
  <c r="F236" i="2"/>
  <c r="X267" i="2"/>
  <c r="V267" i="2"/>
  <c r="AA267" i="2"/>
  <c r="T267" i="2"/>
  <c r="Y267" i="2"/>
  <c r="X266" i="2"/>
  <c r="V266" i="2"/>
  <c r="AA266" i="2"/>
  <c r="T266" i="2"/>
  <c r="Y266" i="2"/>
  <c r="X265" i="2"/>
  <c r="V265" i="2"/>
  <c r="AA265" i="2"/>
  <c r="T265" i="2"/>
  <c r="V264" i="2"/>
  <c r="AA264" i="2"/>
  <c r="X264" i="2"/>
  <c r="T264" i="2"/>
  <c r="X263" i="2"/>
  <c r="V263" i="2"/>
  <c r="AA263" i="2"/>
  <c r="T263" i="2"/>
  <c r="V262" i="2"/>
  <c r="AA262" i="2"/>
  <c r="X262" i="2"/>
  <c r="T262" i="2"/>
  <c r="Y262" i="2"/>
  <c r="Y261" i="2"/>
  <c r="X261" i="2"/>
  <c r="V261" i="2"/>
  <c r="AA261" i="2"/>
  <c r="T261" i="2"/>
  <c r="V260" i="2"/>
  <c r="AA260" i="2"/>
  <c r="X260" i="2"/>
  <c r="T260" i="2"/>
  <c r="V259" i="2"/>
  <c r="AA259" i="2"/>
  <c r="X259" i="2"/>
  <c r="T259" i="2"/>
  <c r="Y259" i="2"/>
  <c r="X258" i="2"/>
  <c r="V258" i="2"/>
  <c r="AA258" i="2"/>
  <c r="T258" i="2"/>
  <c r="V257" i="2"/>
  <c r="AA257" i="2"/>
  <c r="X257" i="2"/>
  <c r="T257" i="2"/>
  <c r="Y257" i="2"/>
  <c r="X256" i="2"/>
  <c r="V256" i="2"/>
  <c r="AA256" i="2"/>
  <c r="T256" i="2"/>
  <c r="X255" i="2"/>
  <c r="V255" i="2"/>
  <c r="AA255" i="2"/>
  <c r="T255" i="2"/>
  <c r="Y255" i="2"/>
  <c r="Y254" i="2"/>
  <c r="X254" i="2"/>
  <c r="V254" i="2"/>
  <c r="AA254" i="2"/>
  <c r="T254" i="2"/>
  <c r="X253" i="2"/>
  <c r="V253" i="2"/>
  <c r="AA253" i="2"/>
  <c r="T253" i="2"/>
  <c r="Y253" i="2"/>
  <c r="Y252" i="2"/>
  <c r="X252" i="2"/>
  <c r="V252" i="2"/>
  <c r="AA252" i="2"/>
  <c r="T252" i="2"/>
  <c r="X251" i="2"/>
  <c r="V251" i="2"/>
  <c r="AA251" i="2"/>
  <c r="T251" i="2"/>
  <c r="Y251" i="2"/>
  <c r="Y250" i="2"/>
  <c r="X250" i="2"/>
  <c r="V250" i="2"/>
  <c r="AA250" i="2"/>
  <c r="T250" i="2"/>
  <c r="Y249" i="2"/>
  <c r="X249" i="2"/>
  <c r="V249" i="2"/>
  <c r="AA249" i="2"/>
  <c r="T249" i="2"/>
  <c r="X242" i="2"/>
  <c r="X241" i="2"/>
  <c r="X240" i="2"/>
  <c r="T243" i="2"/>
  <c r="T242" i="2"/>
  <c r="T241" i="2"/>
  <c r="AA240" i="2"/>
  <c r="T240" i="2"/>
  <c r="J267" i="2"/>
  <c r="H267" i="2"/>
  <c r="M267" i="2"/>
  <c r="F267" i="2"/>
  <c r="J266" i="2"/>
  <c r="H266" i="2"/>
  <c r="M266" i="2"/>
  <c r="F266" i="2"/>
  <c r="H265" i="2"/>
  <c r="M265" i="2"/>
  <c r="J265" i="2"/>
  <c r="F265" i="2"/>
  <c r="K265" i="2"/>
  <c r="H264" i="2"/>
  <c r="M264" i="2"/>
  <c r="J264" i="2"/>
  <c r="F264" i="2"/>
  <c r="K264" i="2"/>
  <c r="J263" i="2"/>
  <c r="H263" i="2"/>
  <c r="M263" i="2"/>
  <c r="F263" i="2"/>
  <c r="K263" i="2"/>
  <c r="L287" i="2"/>
  <c r="H262" i="2"/>
  <c r="M262" i="2"/>
  <c r="J262" i="2"/>
  <c r="F262" i="2"/>
  <c r="K262" i="2"/>
  <c r="J261" i="2"/>
  <c r="H261" i="2"/>
  <c r="M261" i="2"/>
  <c r="F261" i="2"/>
  <c r="K261" i="2"/>
  <c r="J260" i="2"/>
  <c r="H260" i="2"/>
  <c r="M260" i="2"/>
  <c r="F260" i="2"/>
  <c r="J259" i="2"/>
  <c r="H259" i="2"/>
  <c r="M259" i="2"/>
  <c r="F259" i="2"/>
  <c r="J258" i="2"/>
  <c r="H258" i="2"/>
  <c r="M258" i="2"/>
  <c r="F258" i="2"/>
  <c r="K258" i="2"/>
  <c r="J257" i="2"/>
  <c r="H257" i="2"/>
  <c r="M257" i="2"/>
  <c r="F257" i="2"/>
  <c r="K257" i="2"/>
  <c r="J256" i="2"/>
  <c r="H256" i="2"/>
  <c r="M256" i="2"/>
  <c r="F256" i="2"/>
  <c r="K256" i="2"/>
  <c r="J255" i="2"/>
  <c r="H255" i="2"/>
  <c r="M255" i="2"/>
  <c r="F255" i="2"/>
  <c r="J254" i="2"/>
  <c r="H254" i="2"/>
  <c r="M254" i="2"/>
  <c r="F254" i="2"/>
  <c r="H253" i="2"/>
  <c r="M253" i="2"/>
  <c r="J253" i="2"/>
  <c r="F253" i="2"/>
  <c r="K253" i="2"/>
  <c r="H252" i="2"/>
  <c r="M252" i="2"/>
  <c r="J252" i="2"/>
  <c r="F252" i="2"/>
  <c r="K252" i="2"/>
  <c r="J251" i="2"/>
  <c r="H251" i="2"/>
  <c r="M251" i="2"/>
  <c r="F251" i="2"/>
  <c r="H250" i="2"/>
  <c r="M250" i="2"/>
  <c r="J250" i="2"/>
  <c r="F250" i="2"/>
  <c r="K250" i="2"/>
  <c r="J249" i="2"/>
  <c r="H249" i="2"/>
  <c r="M249" i="2"/>
  <c r="F249" i="2"/>
  <c r="K249" i="2"/>
  <c r="J241" i="2"/>
  <c r="J240" i="2"/>
  <c r="F243" i="2"/>
  <c r="J242" i="2"/>
  <c r="F242" i="2"/>
  <c r="F241" i="2"/>
  <c r="F240" i="2"/>
  <c r="K274" i="2"/>
  <c r="Y270" i="2"/>
  <c r="Y273" i="2"/>
  <c r="Y276" i="2"/>
  <c r="Y279" i="2"/>
  <c r="K282" i="2"/>
  <c r="P240" i="2"/>
  <c r="P252" i="2"/>
  <c r="P256" i="2"/>
  <c r="P260" i="2"/>
  <c r="P264" i="2"/>
  <c r="F268" i="2"/>
  <c r="H268" i="2"/>
  <c r="M268" i="2"/>
  <c r="J268" i="2"/>
  <c r="P268" i="2"/>
  <c r="T268" i="2"/>
  <c r="V268" i="2"/>
  <c r="AA268" i="2"/>
  <c r="X268" i="2"/>
  <c r="Y268" i="2"/>
  <c r="F269" i="2"/>
  <c r="H269" i="2"/>
  <c r="M269" i="2"/>
  <c r="J269" i="2"/>
  <c r="T269" i="2"/>
  <c r="V269" i="2"/>
  <c r="AA269" i="2"/>
  <c r="X269" i="2"/>
  <c r="Y269" i="2"/>
  <c r="F270" i="2"/>
  <c r="H270" i="2"/>
  <c r="M270" i="2"/>
  <c r="J270" i="2"/>
  <c r="T270" i="2"/>
  <c r="V270" i="2"/>
  <c r="AA270" i="2"/>
  <c r="X270" i="2"/>
  <c r="F271" i="2"/>
  <c r="H271" i="2"/>
  <c r="J271" i="2"/>
  <c r="T271" i="2"/>
  <c r="V271" i="2"/>
  <c r="AA271" i="2"/>
  <c r="X271" i="2"/>
  <c r="F272" i="2"/>
  <c r="H272" i="2"/>
  <c r="M272" i="2"/>
  <c r="J272" i="2"/>
  <c r="P272" i="2"/>
  <c r="T272" i="2"/>
  <c r="V272" i="2"/>
  <c r="X272" i="2"/>
  <c r="AA272" i="2"/>
  <c r="F273" i="2"/>
  <c r="H273" i="2"/>
  <c r="M273" i="2"/>
  <c r="J273" i="2"/>
  <c r="T273" i="2"/>
  <c r="V273" i="2"/>
  <c r="AA273" i="2"/>
  <c r="X273" i="2"/>
  <c r="F274" i="2"/>
  <c r="H274" i="2"/>
  <c r="M274" i="2"/>
  <c r="J274" i="2"/>
  <c r="T274" i="2"/>
  <c r="V274" i="2"/>
  <c r="AA274" i="2"/>
  <c r="X274" i="2"/>
  <c r="F275" i="2"/>
  <c r="H275" i="2"/>
  <c r="M275" i="2"/>
  <c r="J275" i="2"/>
  <c r="K275" i="2"/>
  <c r="T275" i="2"/>
  <c r="V275" i="2"/>
  <c r="AA275" i="2"/>
  <c r="X275" i="2"/>
  <c r="Y275" i="2"/>
  <c r="F276" i="2"/>
  <c r="H276" i="2"/>
  <c r="M276" i="2"/>
  <c r="J276" i="2"/>
  <c r="P276" i="2"/>
  <c r="T276" i="2"/>
  <c r="V276" i="2"/>
  <c r="X276" i="2"/>
  <c r="AA276" i="2"/>
  <c r="F277" i="2"/>
  <c r="H277" i="2"/>
  <c r="M277" i="2"/>
  <c r="J277" i="2"/>
  <c r="T277" i="2"/>
  <c r="V277" i="2"/>
  <c r="AA277" i="2"/>
  <c r="X277" i="2"/>
  <c r="F278" i="2"/>
  <c r="H278" i="2"/>
  <c r="M278" i="2"/>
  <c r="J278" i="2"/>
  <c r="K278" i="2"/>
  <c r="T278" i="2"/>
  <c r="V278" i="2"/>
  <c r="X278" i="2"/>
  <c r="Y278" i="2"/>
  <c r="AA278" i="2"/>
  <c r="F279" i="2"/>
  <c r="J279" i="2"/>
  <c r="M279" i="2"/>
  <c r="T279" i="2"/>
  <c r="V279" i="2"/>
  <c r="AA279" i="2"/>
  <c r="X279" i="2"/>
  <c r="F280" i="2"/>
  <c r="H280" i="2"/>
  <c r="M280" i="2"/>
  <c r="P280" i="2"/>
  <c r="T280" i="2"/>
  <c r="V280" i="2"/>
  <c r="AA280" i="2"/>
  <c r="X280" i="2"/>
  <c r="Y280" i="2"/>
  <c r="F281" i="2"/>
  <c r="H281" i="2"/>
  <c r="M281" i="2"/>
  <c r="L281" i="2"/>
  <c r="T281" i="2"/>
  <c r="V281" i="2"/>
  <c r="AA281" i="2"/>
  <c r="X281" i="2"/>
  <c r="Y281" i="2"/>
  <c r="Z281" i="2"/>
  <c r="F282" i="2"/>
  <c r="H282" i="2"/>
  <c r="M282" i="2"/>
  <c r="L282" i="2"/>
  <c r="T282" i="2"/>
  <c r="V282" i="2"/>
  <c r="AA282" i="2"/>
  <c r="X282" i="2"/>
  <c r="Y282" i="2"/>
  <c r="Z282" i="2"/>
  <c r="F283" i="2"/>
  <c r="H283" i="2"/>
  <c r="M283" i="2"/>
  <c r="L283" i="2"/>
  <c r="T283" i="2"/>
  <c r="V283" i="2"/>
  <c r="AA283" i="2"/>
  <c r="X283" i="2"/>
  <c r="Y283" i="2"/>
  <c r="Z283" i="2"/>
  <c r="K316" i="2"/>
  <c r="K320" i="2"/>
  <c r="B314" i="2"/>
  <c r="H315" i="2"/>
  <c r="H319" i="2"/>
  <c r="H323" i="2"/>
  <c r="H327" i="2"/>
  <c r="H330" i="2"/>
  <c r="H335" i="2"/>
  <c r="H339" i="2"/>
  <c r="H347" i="2"/>
  <c r="M347" i="2"/>
  <c r="H351" i="2"/>
  <c r="M351" i="2"/>
  <c r="H355" i="2"/>
  <c r="K346" i="2"/>
  <c r="K347" i="2"/>
  <c r="K353" i="2"/>
  <c r="K358" i="2"/>
  <c r="Y322" i="2"/>
  <c r="Y316" i="2"/>
  <c r="Y320" i="2"/>
  <c r="Z320" i="2"/>
  <c r="V332" i="2"/>
  <c r="Y315" i="2"/>
  <c r="V317" i="2"/>
  <c r="V320" i="2"/>
  <c r="V325" i="2"/>
  <c r="Z325" i="2"/>
  <c r="V329" i="2"/>
  <c r="V333" i="2"/>
  <c r="V337" i="2"/>
  <c r="V341" i="2"/>
  <c r="V349" i="2"/>
  <c r="V353" i="2"/>
  <c r="V357" i="2"/>
  <c r="AA357" i="2"/>
  <c r="Y348" i="2"/>
  <c r="J290" i="2"/>
  <c r="K290" i="2"/>
  <c r="X290" i="2"/>
  <c r="Y290" i="2"/>
  <c r="J291" i="2"/>
  <c r="K291" i="2"/>
  <c r="X291" i="2"/>
  <c r="Y291" i="2"/>
  <c r="J292" i="2"/>
  <c r="K292" i="2"/>
  <c r="X292" i="2"/>
  <c r="Y292" i="2"/>
  <c r="J293" i="2"/>
  <c r="K293" i="2"/>
  <c r="X293" i="2"/>
  <c r="Y293" i="2"/>
  <c r="A367" i="2"/>
  <c r="H314" i="2"/>
  <c r="H318" i="2"/>
  <c r="H322" i="2"/>
  <c r="H326" i="2"/>
  <c r="H334" i="2"/>
  <c r="H338" i="2"/>
  <c r="L346" i="2"/>
  <c r="L350" i="2"/>
  <c r="L354" i="2"/>
  <c r="L358" i="2"/>
  <c r="K315" i="2"/>
  <c r="H331" i="2"/>
  <c r="L347" i="2"/>
  <c r="L351" i="2"/>
  <c r="L355" i="2"/>
  <c r="H316" i="2"/>
  <c r="H320" i="2"/>
  <c r="H324" i="2"/>
  <c r="H328" i="2"/>
  <c r="H332" i="2"/>
  <c r="H336" i="2"/>
  <c r="H340" i="2"/>
  <c r="L348" i="2"/>
  <c r="L352" i="2"/>
  <c r="L356" i="2"/>
  <c r="H317" i="2"/>
  <c r="L317" i="2"/>
  <c r="H321" i="2"/>
  <c r="K321" i="2"/>
  <c r="K325" i="2"/>
  <c r="K329" i="2"/>
  <c r="K333" i="2"/>
  <c r="K337" i="2"/>
  <c r="L337" i="2"/>
  <c r="H325" i="2"/>
  <c r="H329" i="2"/>
  <c r="H333" i="2"/>
  <c r="L333" i="2"/>
  <c r="H337" i="2"/>
  <c r="H341" i="2"/>
  <c r="H349" i="2"/>
  <c r="M349" i="2"/>
  <c r="H353" i="2"/>
  <c r="L349" i="2"/>
  <c r="L353" i="2"/>
  <c r="L357" i="2"/>
  <c r="V314" i="2"/>
  <c r="V318" i="2"/>
  <c r="V322" i="2"/>
  <c r="Z322" i="2"/>
  <c r="V326" i="2"/>
  <c r="V330" i="2"/>
  <c r="V334" i="2"/>
  <c r="V338" i="2"/>
  <c r="Z346" i="2"/>
  <c r="Z350" i="2"/>
  <c r="Z354" i="2"/>
  <c r="Z358" i="2"/>
  <c r="V315" i="2"/>
  <c r="V319" i="2"/>
  <c r="V323" i="2"/>
  <c r="V327" i="2"/>
  <c r="V335" i="2"/>
  <c r="V339" i="2"/>
  <c r="V347" i="2"/>
  <c r="AA347" i="2"/>
  <c r="V351" i="2"/>
  <c r="AA351" i="2"/>
  <c r="V355" i="2"/>
  <c r="V331" i="2"/>
  <c r="V346" i="2"/>
  <c r="AA346" i="2"/>
  <c r="V350" i="2"/>
  <c r="V354" i="2"/>
  <c r="AA354" i="2"/>
  <c r="Z347" i="2"/>
  <c r="Z351" i="2"/>
  <c r="Z355" i="2"/>
  <c r="V316" i="2"/>
  <c r="V324" i="2"/>
  <c r="V328" i="2"/>
  <c r="V336" i="2"/>
  <c r="V340" i="2"/>
  <c r="Z348" i="2"/>
  <c r="Z352" i="2"/>
  <c r="Z356" i="2"/>
  <c r="Y317" i="2"/>
  <c r="Z317" i="2"/>
  <c r="V321" i="2"/>
  <c r="Y329" i="2"/>
  <c r="Z349" i="2"/>
  <c r="Z353" i="2"/>
  <c r="Z357" i="2"/>
  <c r="B310" i="2"/>
  <c r="D359" i="2"/>
  <c r="K359" i="2"/>
  <c r="D360" i="2"/>
  <c r="K360" i="2"/>
  <c r="D361" i="2"/>
  <c r="R359" i="2"/>
  <c r="R360" i="2"/>
  <c r="R361" i="2"/>
  <c r="X317" i="2"/>
  <c r="X321" i="2"/>
  <c r="X325" i="2"/>
  <c r="X329" i="2"/>
  <c r="X333" i="2"/>
  <c r="X337" i="2"/>
  <c r="X341" i="2"/>
  <c r="T341" i="2"/>
  <c r="T340" i="2"/>
  <c r="X315" i="2"/>
  <c r="X319" i="2"/>
  <c r="X323" i="2"/>
  <c r="X327" i="2"/>
  <c r="X331" i="2"/>
  <c r="X335" i="2"/>
  <c r="X339" i="2"/>
  <c r="T339" i="2"/>
  <c r="X314" i="2"/>
  <c r="X318" i="2"/>
  <c r="X322" i="2"/>
  <c r="X326" i="2"/>
  <c r="X330" i="2"/>
  <c r="X334" i="2"/>
  <c r="X338" i="2"/>
  <c r="T338" i="2"/>
  <c r="T337" i="2"/>
  <c r="X316" i="2"/>
  <c r="X320" i="2"/>
  <c r="X324" i="2"/>
  <c r="X328" i="2"/>
  <c r="X332" i="2"/>
  <c r="X336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AA317" i="2"/>
  <c r="T317" i="2"/>
  <c r="T316" i="2"/>
  <c r="T315" i="2"/>
  <c r="T314" i="2"/>
  <c r="J321" i="2"/>
  <c r="J325" i="2"/>
  <c r="J329" i="2"/>
  <c r="J333" i="2"/>
  <c r="J337" i="2"/>
  <c r="J341" i="2"/>
  <c r="F337" i="2"/>
  <c r="J316" i="2"/>
  <c r="J320" i="2"/>
  <c r="J324" i="2"/>
  <c r="J328" i="2"/>
  <c r="J332" i="2"/>
  <c r="J336" i="2"/>
  <c r="J340" i="2"/>
  <c r="F336" i="2"/>
  <c r="F335" i="2"/>
  <c r="J314" i="2"/>
  <c r="J318" i="2"/>
  <c r="J322" i="2"/>
  <c r="J326" i="2"/>
  <c r="J330" i="2"/>
  <c r="J334" i="2"/>
  <c r="J338" i="2"/>
  <c r="F334" i="2"/>
  <c r="F333" i="2"/>
  <c r="F332" i="2"/>
  <c r="J319" i="2"/>
  <c r="J323" i="2"/>
  <c r="J327" i="2"/>
  <c r="J331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Y371" i="2"/>
  <c r="X371" i="2"/>
  <c r="K371" i="2"/>
  <c r="J371" i="2"/>
  <c r="Y370" i="2"/>
  <c r="X370" i="2"/>
  <c r="K370" i="2"/>
  <c r="J370" i="2"/>
  <c r="Y369" i="2"/>
  <c r="X369" i="2"/>
  <c r="K369" i="2"/>
  <c r="J369" i="2"/>
  <c r="Y368" i="2"/>
  <c r="X368" i="2"/>
  <c r="K368" i="2"/>
  <c r="J368" i="2"/>
  <c r="V361" i="2"/>
  <c r="AA361" i="2"/>
  <c r="Z361" i="2"/>
  <c r="Y361" i="2"/>
  <c r="X361" i="2"/>
  <c r="T361" i="2"/>
  <c r="L361" i="2"/>
  <c r="K361" i="2"/>
  <c r="J361" i="2"/>
  <c r="H361" i="2"/>
  <c r="M361" i="2"/>
  <c r="F361" i="2"/>
  <c r="V360" i="2"/>
  <c r="AA360" i="2"/>
  <c r="Z360" i="2"/>
  <c r="Y360" i="2"/>
  <c r="X360" i="2"/>
  <c r="T360" i="2"/>
  <c r="H360" i="2"/>
  <c r="M360" i="2"/>
  <c r="L360" i="2"/>
  <c r="J360" i="2"/>
  <c r="F360" i="2"/>
  <c r="V359" i="2"/>
  <c r="AA359" i="2"/>
  <c r="Z359" i="2"/>
  <c r="X359" i="2"/>
  <c r="T359" i="2"/>
  <c r="H359" i="2"/>
  <c r="M359" i="2"/>
  <c r="L359" i="2"/>
  <c r="J359" i="2"/>
  <c r="F359" i="2"/>
  <c r="X358" i="2"/>
  <c r="V358" i="2"/>
  <c r="AA358" i="2"/>
  <c r="T358" i="2"/>
  <c r="Y358" i="2"/>
  <c r="P358" i="2"/>
  <c r="H358" i="2"/>
  <c r="M358" i="2"/>
  <c r="J358" i="2"/>
  <c r="F358" i="2"/>
  <c r="Y357" i="2"/>
  <c r="X357" i="2"/>
  <c r="T357" i="2"/>
  <c r="M357" i="2"/>
  <c r="J357" i="2"/>
  <c r="F357" i="2"/>
  <c r="K357" i="2"/>
  <c r="V356" i="2"/>
  <c r="AA356" i="2"/>
  <c r="X356" i="2"/>
  <c r="T356" i="2"/>
  <c r="Y356" i="2"/>
  <c r="J356" i="2"/>
  <c r="H356" i="2"/>
  <c r="M356" i="2"/>
  <c r="F356" i="2"/>
  <c r="X355" i="2"/>
  <c r="AA355" i="2"/>
  <c r="T355" i="2"/>
  <c r="K355" i="2"/>
  <c r="J355" i="2"/>
  <c r="M355" i="2"/>
  <c r="F355" i="2"/>
  <c r="X354" i="2"/>
  <c r="T354" i="2"/>
  <c r="P354" i="2"/>
  <c r="H354" i="2"/>
  <c r="M354" i="2"/>
  <c r="J354" i="2"/>
  <c r="F354" i="2"/>
  <c r="X353" i="2"/>
  <c r="AA353" i="2"/>
  <c r="T353" i="2"/>
  <c r="M353" i="2"/>
  <c r="J353" i="2"/>
  <c r="F353" i="2"/>
  <c r="V352" i="2"/>
  <c r="AA352" i="2"/>
  <c r="X352" i="2"/>
  <c r="T352" i="2"/>
  <c r="H352" i="2"/>
  <c r="M352" i="2"/>
  <c r="J352" i="2"/>
  <c r="F352" i="2"/>
  <c r="K352" i="2"/>
  <c r="X351" i="2"/>
  <c r="T351" i="2"/>
  <c r="Y351" i="2"/>
  <c r="J351" i="2"/>
  <c r="F351" i="2"/>
  <c r="K351" i="2"/>
  <c r="X350" i="2"/>
  <c r="AA350" i="2"/>
  <c r="T350" i="2"/>
  <c r="Y350" i="2"/>
  <c r="P350" i="2"/>
  <c r="H350" i="2"/>
  <c r="M350" i="2"/>
  <c r="K350" i="2"/>
  <c r="J350" i="2"/>
  <c r="F350" i="2"/>
  <c r="X349" i="2"/>
  <c r="AA349" i="2"/>
  <c r="T349" i="2"/>
  <c r="Y349" i="2"/>
  <c r="J349" i="2"/>
  <c r="F349" i="2"/>
  <c r="X348" i="2"/>
  <c r="V348" i="2"/>
  <c r="AA348" i="2"/>
  <c r="T348" i="2"/>
  <c r="K348" i="2"/>
  <c r="J348" i="2"/>
  <c r="H348" i="2"/>
  <c r="M348" i="2"/>
  <c r="F348" i="2"/>
  <c r="X347" i="2"/>
  <c r="T347" i="2"/>
  <c r="J347" i="2"/>
  <c r="F347" i="2"/>
  <c r="Y346" i="2"/>
  <c r="X346" i="2"/>
  <c r="T346" i="2"/>
  <c r="P346" i="2"/>
  <c r="J346" i="2"/>
  <c r="H346" i="2"/>
  <c r="M346" i="2"/>
  <c r="F346" i="2"/>
  <c r="F341" i="2"/>
  <c r="F340" i="2"/>
  <c r="F339" i="2"/>
  <c r="P338" i="2"/>
  <c r="F338" i="2"/>
  <c r="P334" i="2"/>
  <c r="P330" i="2"/>
  <c r="P326" i="2"/>
  <c r="J339" i="2"/>
  <c r="P322" i="2"/>
  <c r="P318" i="2"/>
  <c r="P314" i="2"/>
  <c r="P310" i="2"/>
  <c r="R422" i="2"/>
  <c r="Y422" i="2"/>
  <c r="R423" i="2"/>
  <c r="Y423" i="2"/>
  <c r="R424" i="2"/>
  <c r="Y424" i="2"/>
  <c r="D422" i="2"/>
  <c r="D423" i="2"/>
  <c r="K423" i="2"/>
  <c r="D424" i="2"/>
  <c r="K424" i="2"/>
  <c r="A442" i="2"/>
  <c r="X396" i="2"/>
  <c r="X400" i="2"/>
  <c r="X404" i="2"/>
  <c r="D394" i="2"/>
  <c r="P393" i="2"/>
  <c r="Z396" i="2"/>
  <c r="Z395" i="2"/>
  <c r="R395" i="2"/>
  <c r="D393" i="2"/>
  <c r="D395" i="2"/>
  <c r="D396" i="2"/>
  <c r="R393" i="2"/>
  <c r="R394" i="2"/>
  <c r="R396" i="2"/>
  <c r="AA396" i="2"/>
  <c r="AA395" i="2"/>
  <c r="Z394" i="2"/>
  <c r="Z393" i="2"/>
  <c r="L394" i="2"/>
  <c r="M394" i="2"/>
  <c r="L396" i="2"/>
  <c r="M396" i="2"/>
  <c r="L395" i="2"/>
  <c r="L393" i="2"/>
  <c r="M393" i="2"/>
  <c r="D385" i="2"/>
  <c r="D386" i="2"/>
  <c r="K386" i="2"/>
  <c r="D387" i="2"/>
  <c r="K387" i="2"/>
  <c r="K391" i="2"/>
  <c r="D388" i="2"/>
  <c r="K388" i="2"/>
  <c r="L388" i="2"/>
  <c r="D389" i="2"/>
  <c r="D390" i="2"/>
  <c r="D391" i="2"/>
  <c r="D392" i="2"/>
  <c r="K392" i="2"/>
  <c r="L392" i="2"/>
  <c r="M392" i="2"/>
  <c r="D397" i="2"/>
  <c r="D398" i="2"/>
  <c r="K398" i="2"/>
  <c r="D399" i="2"/>
  <c r="D400" i="2"/>
  <c r="K400" i="2"/>
  <c r="K404" i="2"/>
  <c r="D404" i="2"/>
  <c r="D401" i="2"/>
  <c r="D402" i="2"/>
  <c r="D403" i="2"/>
  <c r="D405" i="2"/>
  <c r="D406" i="2"/>
  <c r="D410" i="2"/>
  <c r="D426" i="2"/>
  <c r="D430" i="2"/>
  <c r="D407" i="2"/>
  <c r="D408" i="2"/>
  <c r="D409" i="2"/>
  <c r="D411" i="2"/>
  <c r="D412" i="2"/>
  <c r="D425" i="2"/>
  <c r="D427" i="2"/>
  <c r="K427" i="2"/>
  <c r="D428" i="2"/>
  <c r="K428" i="2"/>
  <c r="D429" i="2"/>
  <c r="K429" i="2"/>
  <c r="D431" i="2"/>
  <c r="K431" i="2"/>
  <c r="D432" i="2"/>
  <c r="K432" i="2"/>
  <c r="D433" i="2"/>
  <c r="K433" i="2"/>
  <c r="R385" i="2"/>
  <c r="Y385" i="2"/>
  <c r="R386" i="2"/>
  <c r="R387" i="2"/>
  <c r="R388" i="2"/>
  <c r="R389" i="2"/>
  <c r="R390" i="2"/>
  <c r="R391" i="2"/>
  <c r="Y391" i="2"/>
  <c r="V391" i="2"/>
  <c r="R392" i="2"/>
  <c r="R400" i="2"/>
  <c r="Y400" i="2"/>
  <c r="R404" i="2"/>
  <c r="Y404" i="2"/>
  <c r="R408" i="2"/>
  <c r="R412" i="2"/>
  <c r="Y412" i="2"/>
  <c r="R428" i="2"/>
  <c r="R432" i="2"/>
  <c r="Y432" i="2"/>
  <c r="R397" i="2"/>
  <c r="R398" i="2"/>
  <c r="Y398" i="2"/>
  <c r="Z398" i="2"/>
  <c r="R402" i="2"/>
  <c r="R399" i="2"/>
  <c r="R401" i="2"/>
  <c r="R403" i="2"/>
  <c r="Y403" i="2"/>
  <c r="Z403" i="2"/>
  <c r="AA403" i="2"/>
  <c r="R405" i="2"/>
  <c r="R406" i="2"/>
  <c r="R407" i="2"/>
  <c r="Y407" i="2"/>
  <c r="Z407" i="2"/>
  <c r="AA407" i="2"/>
  <c r="V407" i="2"/>
  <c r="R409" i="2"/>
  <c r="R410" i="2"/>
  <c r="R411" i="2"/>
  <c r="R425" i="2"/>
  <c r="R426" i="2"/>
  <c r="R427" i="2"/>
  <c r="Y427" i="2"/>
  <c r="Y428" i="2"/>
  <c r="R429" i="2"/>
  <c r="Y429" i="2"/>
  <c r="R430" i="2"/>
  <c r="Y430" i="2"/>
  <c r="R431" i="2"/>
  <c r="Y431" i="2"/>
  <c r="R433" i="2"/>
  <c r="H385" i="2"/>
  <c r="H386" i="2"/>
  <c r="H387" i="2"/>
  <c r="H388" i="2"/>
  <c r="H389" i="2"/>
  <c r="H390" i="2"/>
  <c r="L390" i="2"/>
  <c r="M390" i="2"/>
  <c r="H391" i="2"/>
  <c r="H392" i="2"/>
  <c r="H397" i="2"/>
  <c r="H398" i="2"/>
  <c r="H399" i="2"/>
  <c r="H400" i="2"/>
  <c r="H401" i="2"/>
  <c r="H402" i="2"/>
  <c r="H403" i="2"/>
  <c r="H404" i="2"/>
  <c r="H405" i="2"/>
  <c r="H410" i="2"/>
  <c r="H422" i="2"/>
  <c r="M422" i="2"/>
  <c r="H426" i="2"/>
  <c r="H430" i="2"/>
  <c r="M430" i="2"/>
  <c r="H406" i="2"/>
  <c r="H407" i="2"/>
  <c r="H408" i="2"/>
  <c r="H409" i="2"/>
  <c r="H411" i="2"/>
  <c r="H412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V385" i="2"/>
  <c r="V386" i="2"/>
  <c r="V387" i="2"/>
  <c r="Z387" i="2"/>
  <c r="V388" i="2"/>
  <c r="Z388" i="2"/>
  <c r="V389" i="2"/>
  <c r="V390" i="2"/>
  <c r="V392" i="2"/>
  <c r="V397" i="2"/>
  <c r="V398" i="2"/>
  <c r="V399" i="2"/>
  <c r="Z399" i="2"/>
  <c r="V400" i="2"/>
  <c r="V401" i="2"/>
  <c r="V402" i="2"/>
  <c r="V404" i="2"/>
  <c r="Z404" i="2"/>
  <c r="V405" i="2"/>
  <c r="V406" i="2"/>
  <c r="V410" i="2"/>
  <c r="V408" i="2"/>
  <c r="Z408" i="2"/>
  <c r="V409" i="2"/>
  <c r="V411" i="2"/>
  <c r="V412" i="2"/>
  <c r="Z412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D434" i="2"/>
  <c r="D435" i="2"/>
  <c r="K435" i="2"/>
  <c r="D436" i="2"/>
  <c r="B433" i="2"/>
  <c r="K436" i="2"/>
  <c r="R434" i="2"/>
  <c r="Y434" i="2"/>
  <c r="R435" i="2"/>
  <c r="Y435" i="2"/>
  <c r="R436" i="2"/>
  <c r="Y436" i="2"/>
  <c r="T385" i="2"/>
  <c r="X385" i="2"/>
  <c r="X389" i="2"/>
  <c r="T386" i="2"/>
  <c r="X386" i="2"/>
  <c r="X390" i="2"/>
  <c r="T387" i="2"/>
  <c r="X387" i="2"/>
  <c r="T388" i="2"/>
  <c r="X388" i="2"/>
  <c r="T389" i="2"/>
  <c r="T390" i="2"/>
  <c r="T391" i="2"/>
  <c r="T392" i="2"/>
  <c r="T397" i="2"/>
  <c r="X397" i="2"/>
  <c r="X401" i="2"/>
  <c r="X405" i="2"/>
  <c r="X409" i="2"/>
  <c r="T398" i="2"/>
  <c r="X398" i="2"/>
  <c r="X402" i="2"/>
  <c r="X406" i="2"/>
  <c r="X410" i="2"/>
  <c r="T399" i="2"/>
  <c r="T400" i="2"/>
  <c r="T401" i="2"/>
  <c r="T402" i="2"/>
  <c r="T403" i="2"/>
  <c r="X403" i="2"/>
  <c r="X407" i="2"/>
  <c r="X411" i="2"/>
  <c r="T404" i="2"/>
  <c r="T405" i="2"/>
  <c r="T406" i="2"/>
  <c r="T407" i="2"/>
  <c r="T408" i="2"/>
  <c r="T409" i="2"/>
  <c r="T410" i="2"/>
  <c r="T411" i="2"/>
  <c r="T412" i="2"/>
  <c r="X412" i="2"/>
  <c r="J400" i="2"/>
  <c r="J404" i="2"/>
  <c r="J408" i="2"/>
  <c r="J412" i="2"/>
  <c r="F385" i="2"/>
  <c r="J385" i="2"/>
  <c r="J389" i="2"/>
  <c r="P385" i="2"/>
  <c r="F386" i="2"/>
  <c r="J386" i="2"/>
  <c r="F387" i="2"/>
  <c r="J387" i="2"/>
  <c r="J391" i="2"/>
  <c r="F388" i="2"/>
  <c r="J388" i="2"/>
  <c r="J392" i="2"/>
  <c r="F389" i="2"/>
  <c r="P389" i="2"/>
  <c r="F390" i="2"/>
  <c r="F391" i="2"/>
  <c r="F392" i="2"/>
  <c r="F397" i="2"/>
  <c r="J397" i="2"/>
  <c r="P397" i="2"/>
  <c r="F398" i="2"/>
  <c r="J398" i="2"/>
  <c r="J402" i="2"/>
  <c r="J406" i="2"/>
  <c r="J410" i="2"/>
  <c r="F399" i="2"/>
  <c r="J399" i="2"/>
  <c r="J403" i="2"/>
  <c r="J407" i="2"/>
  <c r="J411" i="2"/>
  <c r="F400" i="2"/>
  <c r="F401" i="2"/>
  <c r="J401" i="2"/>
  <c r="J405" i="2"/>
  <c r="J409" i="2"/>
  <c r="P401" i="2"/>
  <c r="F402" i="2"/>
  <c r="F403" i="2"/>
  <c r="F404" i="2"/>
  <c r="F405" i="2"/>
  <c r="P405" i="2"/>
  <c r="F406" i="2"/>
  <c r="F407" i="2"/>
  <c r="F408" i="2"/>
  <c r="F409" i="2"/>
  <c r="P409" i="2"/>
  <c r="F410" i="2"/>
  <c r="F411" i="2"/>
  <c r="F412" i="2"/>
  <c r="F422" i="2"/>
  <c r="J422" i="2"/>
  <c r="K422" i="2"/>
  <c r="T422" i="2"/>
  <c r="V422" i="2"/>
  <c r="X422" i="2"/>
  <c r="F423" i="2"/>
  <c r="H423" i="2"/>
  <c r="M423" i="2"/>
  <c r="J423" i="2"/>
  <c r="T423" i="2"/>
  <c r="V423" i="2"/>
  <c r="AA423" i="2"/>
  <c r="X423" i="2"/>
  <c r="F424" i="2"/>
  <c r="H424" i="2"/>
  <c r="M424" i="2"/>
  <c r="J424" i="2"/>
  <c r="T424" i="2"/>
  <c r="V424" i="2"/>
  <c r="AA424" i="2"/>
  <c r="X424" i="2"/>
  <c r="F425" i="2"/>
  <c r="H425" i="2"/>
  <c r="M425" i="2"/>
  <c r="J425" i="2"/>
  <c r="P425" i="2"/>
  <c r="T425" i="2"/>
  <c r="V425" i="2"/>
  <c r="AA425" i="2"/>
  <c r="X425" i="2"/>
  <c r="Y425" i="2"/>
  <c r="F426" i="2"/>
  <c r="M426" i="2"/>
  <c r="J426" i="2"/>
  <c r="T426" i="2"/>
  <c r="V426" i="2"/>
  <c r="AA426" i="2"/>
  <c r="X426" i="2"/>
  <c r="Y426" i="2"/>
  <c r="F427" i="2"/>
  <c r="H427" i="2"/>
  <c r="M427" i="2"/>
  <c r="J427" i="2"/>
  <c r="T427" i="2"/>
  <c r="V427" i="2"/>
  <c r="AA427" i="2"/>
  <c r="X427" i="2"/>
  <c r="F428" i="2"/>
  <c r="H428" i="2"/>
  <c r="M428" i="2"/>
  <c r="J428" i="2"/>
  <c r="T428" i="2"/>
  <c r="V428" i="2"/>
  <c r="AA428" i="2"/>
  <c r="X428" i="2"/>
  <c r="F429" i="2"/>
  <c r="H429" i="2"/>
  <c r="M429" i="2"/>
  <c r="J429" i="2"/>
  <c r="P429" i="2"/>
  <c r="T429" i="2"/>
  <c r="V429" i="2"/>
  <c r="AA429" i="2"/>
  <c r="X429" i="2"/>
  <c r="F430" i="2"/>
  <c r="J430" i="2"/>
  <c r="T430" i="2"/>
  <c r="V430" i="2"/>
  <c r="X430" i="2"/>
  <c r="AA430" i="2"/>
  <c r="F431" i="2"/>
  <c r="H431" i="2"/>
  <c r="M431" i="2"/>
  <c r="J431" i="2"/>
  <c r="T431" i="2"/>
  <c r="V431" i="2"/>
  <c r="AA431" i="2"/>
  <c r="X431" i="2"/>
  <c r="F432" i="2"/>
  <c r="J432" i="2"/>
  <c r="M432" i="2"/>
  <c r="T432" i="2"/>
  <c r="V432" i="2"/>
  <c r="AA432" i="2"/>
  <c r="X432" i="2"/>
  <c r="F433" i="2"/>
  <c r="H433" i="2"/>
  <c r="M433" i="2"/>
  <c r="J433" i="2"/>
  <c r="P433" i="2"/>
  <c r="T433" i="2"/>
  <c r="V433" i="2"/>
  <c r="AA433" i="2"/>
  <c r="X433" i="2"/>
  <c r="Y433" i="2"/>
  <c r="F434" i="2"/>
  <c r="H434" i="2"/>
  <c r="M434" i="2"/>
  <c r="J434" i="2"/>
  <c r="K434" i="2"/>
  <c r="L434" i="2"/>
  <c r="T434" i="2"/>
  <c r="V434" i="2"/>
  <c r="AA434" i="2"/>
  <c r="X434" i="2"/>
  <c r="Z434" i="2"/>
  <c r="F435" i="2"/>
  <c r="H435" i="2"/>
  <c r="M435" i="2"/>
  <c r="J435" i="2"/>
  <c r="L435" i="2"/>
  <c r="T435" i="2"/>
  <c r="V435" i="2"/>
  <c r="AA435" i="2"/>
  <c r="X435" i="2"/>
  <c r="Z435" i="2"/>
  <c r="F436" i="2"/>
  <c r="H436" i="2"/>
  <c r="M436" i="2"/>
  <c r="J436" i="2"/>
  <c r="L436" i="2"/>
  <c r="T436" i="2"/>
  <c r="V436" i="2"/>
  <c r="AA436" i="2"/>
  <c r="X436" i="2"/>
  <c r="Z436" i="2"/>
  <c r="D460" i="2"/>
  <c r="K460" i="2"/>
  <c r="D461" i="2"/>
  <c r="K461" i="2"/>
  <c r="D465" i="2"/>
  <c r="D462" i="2"/>
  <c r="D463" i="2"/>
  <c r="D464" i="2"/>
  <c r="D466" i="2"/>
  <c r="D467" i="2"/>
  <c r="D468" i="2"/>
  <c r="D469" i="2"/>
  <c r="D470" i="2"/>
  <c r="K462" i="2"/>
  <c r="D474" i="2"/>
  <c r="D471" i="2"/>
  <c r="R468" i="2"/>
  <c r="R469" i="2"/>
  <c r="R470" i="2"/>
  <c r="R471" i="2"/>
  <c r="D472" i="2"/>
  <c r="D476" i="2"/>
  <c r="D480" i="2"/>
  <c r="D484" i="2"/>
  <c r="D488" i="2"/>
  <c r="D496" i="2"/>
  <c r="D500" i="2"/>
  <c r="D504" i="2"/>
  <c r="D473" i="2"/>
  <c r="D478" i="2"/>
  <c r="D482" i="2"/>
  <c r="D475" i="2"/>
  <c r="D477" i="2"/>
  <c r="D479" i="2"/>
  <c r="D481" i="2"/>
  <c r="D483" i="2"/>
  <c r="K483" i="2"/>
  <c r="R480" i="2"/>
  <c r="R481" i="2"/>
  <c r="R482" i="2"/>
  <c r="R483" i="2"/>
  <c r="D485" i="2"/>
  <c r="D486" i="2"/>
  <c r="D487" i="2"/>
  <c r="K487" i="2"/>
  <c r="D491" i="2"/>
  <c r="K491" i="2"/>
  <c r="H491" i="2"/>
  <c r="D489" i="2"/>
  <c r="D490" i="2"/>
  <c r="R488" i="2"/>
  <c r="R489" i="2"/>
  <c r="R490" i="2"/>
  <c r="R491" i="2"/>
  <c r="D498" i="2"/>
  <c r="K498" i="2"/>
  <c r="D502" i="2"/>
  <c r="D506" i="2"/>
  <c r="K506" i="2"/>
  <c r="D497" i="2"/>
  <c r="K497" i="2"/>
  <c r="D499" i="2"/>
  <c r="K499" i="2"/>
  <c r="D501" i="2"/>
  <c r="K502" i="2"/>
  <c r="D503" i="2"/>
  <c r="K503" i="2"/>
  <c r="D505" i="2"/>
  <c r="K505" i="2"/>
  <c r="D507" i="2"/>
  <c r="D508" i="2"/>
  <c r="R460" i="2"/>
  <c r="Y460" i="2"/>
  <c r="R464" i="2"/>
  <c r="R472" i="2"/>
  <c r="R476" i="2"/>
  <c r="R484" i="2"/>
  <c r="R496" i="2"/>
  <c r="Y496" i="2"/>
  <c r="R500" i="2"/>
  <c r="R504" i="2"/>
  <c r="R518" i="2"/>
  <c r="R461" i="2"/>
  <c r="R462" i="2"/>
  <c r="Y462" i="2"/>
  <c r="Z462" i="2"/>
  <c r="V462" i="2"/>
  <c r="R463" i="2"/>
  <c r="R465" i="2"/>
  <c r="Y465" i="2"/>
  <c r="Y461" i="2"/>
  <c r="R466" i="2"/>
  <c r="R474" i="2"/>
  <c r="Y474" i="2"/>
  <c r="Z474" i="2"/>
  <c r="R478" i="2"/>
  <c r="Y478" i="2"/>
  <c r="Z478" i="2"/>
  <c r="AA478" i="2"/>
  <c r="R486" i="2"/>
  <c r="R498" i="2"/>
  <c r="R502" i="2"/>
  <c r="Y502" i="2"/>
  <c r="R506" i="2"/>
  <c r="Y506" i="2"/>
  <c r="R467" i="2"/>
  <c r="R473" i="2"/>
  <c r="R475" i="2"/>
  <c r="R477" i="2"/>
  <c r="R485" i="2"/>
  <c r="R497" i="2"/>
  <c r="Y497" i="2"/>
  <c r="R501" i="2"/>
  <c r="Y501" i="2"/>
  <c r="R505" i="2"/>
  <c r="R479" i="2"/>
  <c r="Y483" i="2"/>
  <c r="Z483" i="2"/>
  <c r="AA483" i="2"/>
  <c r="V483" i="2"/>
  <c r="R487" i="2"/>
  <c r="Y498" i="2"/>
  <c r="R499" i="2"/>
  <c r="R503" i="2"/>
  <c r="Y503" i="2"/>
  <c r="Y504" i="2"/>
  <c r="Y505" i="2"/>
  <c r="R507" i="2"/>
  <c r="Y507" i="2"/>
  <c r="R508" i="2"/>
  <c r="Y508" i="2"/>
  <c r="J443" i="2"/>
  <c r="K443" i="2"/>
  <c r="X443" i="2"/>
  <c r="Y443" i="2"/>
  <c r="J444" i="2"/>
  <c r="K444" i="2"/>
  <c r="X444" i="2"/>
  <c r="Y444" i="2"/>
  <c r="J445" i="2"/>
  <c r="K445" i="2"/>
  <c r="X445" i="2"/>
  <c r="Y445" i="2"/>
  <c r="J446" i="2"/>
  <c r="K446" i="2"/>
  <c r="X446" i="2"/>
  <c r="Y446" i="2"/>
  <c r="V460" i="2"/>
  <c r="V461" i="2"/>
  <c r="Z461" i="2"/>
  <c r="AA461" i="2"/>
  <c r="H477" i="2"/>
  <c r="A517" i="2"/>
  <c r="R535" i="2"/>
  <c r="R536" i="2"/>
  <c r="R537" i="2"/>
  <c r="Y537" i="2"/>
  <c r="R538" i="2"/>
  <c r="R596" i="2"/>
  <c r="R539" i="2"/>
  <c r="R540" i="2"/>
  <c r="R541" i="2"/>
  <c r="R545" i="2"/>
  <c r="R542" i="2"/>
  <c r="R546" i="2"/>
  <c r="R550" i="2"/>
  <c r="R554" i="2"/>
  <c r="R558" i="2"/>
  <c r="R562" i="2"/>
  <c r="Y562" i="2"/>
  <c r="R566" i="2"/>
  <c r="R570" i="2"/>
  <c r="R574" i="2"/>
  <c r="R582" i="2"/>
  <c r="Y582" i="2"/>
  <c r="V538" i="2"/>
  <c r="V542" i="2"/>
  <c r="V545" i="2"/>
  <c r="V550" i="2"/>
  <c r="V554" i="2"/>
  <c r="Z554" i="2"/>
  <c r="V558" i="2"/>
  <c r="V562" i="2"/>
  <c r="V566" i="2"/>
  <c r="V570" i="2"/>
  <c r="V574" i="2"/>
  <c r="V582" i="2"/>
  <c r="R543" i="2"/>
  <c r="D543" i="2"/>
  <c r="D544" i="2"/>
  <c r="D545" i="2"/>
  <c r="D546" i="2"/>
  <c r="R544" i="2"/>
  <c r="B543" i="2"/>
  <c r="R547" i="2"/>
  <c r="R548" i="2"/>
  <c r="R549" i="2"/>
  <c r="R551" i="2"/>
  <c r="R552" i="2"/>
  <c r="R553" i="2"/>
  <c r="R555" i="2"/>
  <c r="D555" i="2"/>
  <c r="D556" i="2"/>
  <c r="D557" i="2"/>
  <c r="D558" i="2"/>
  <c r="R556" i="2"/>
  <c r="R557" i="2"/>
  <c r="R559" i="2"/>
  <c r="Y559" i="2"/>
  <c r="R563" i="2"/>
  <c r="Y563" i="2"/>
  <c r="V563" i="2"/>
  <c r="R560" i="2"/>
  <c r="R561" i="2"/>
  <c r="R564" i="2"/>
  <c r="R565" i="2"/>
  <c r="R567" i="2"/>
  <c r="D567" i="2"/>
  <c r="B567" i="2"/>
  <c r="D568" i="2"/>
  <c r="D569" i="2"/>
  <c r="D570" i="2"/>
  <c r="R568" i="2"/>
  <c r="R569" i="2"/>
  <c r="R571" i="2"/>
  <c r="R572" i="2"/>
  <c r="R573" i="2"/>
  <c r="R579" i="2"/>
  <c r="R580" i="2"/>
  <c r="R581" i="2"/>
  <c r="Y581" i="2"/>
  <c r="D579" i="2"/>
  <c r="D580" i="2"/>
  <c r="K580" i="2"/>
  <c r="D581" i="2"/>
  <c r="K581" i="2"/>
  <c r="D582" i="2"/>
  <c r="R583" i="2"/>
  <c r="Y583" i="2"/>
  <c r="D535" i="2"/>
  <c r="K535" i="2"/>
  <c r="D536" i="2"/>
  <c r="K536" i="2"/>
  <c r="D537" i="2"/>
  <c r="D538" i="2"/>
  <c r="D542" i="2"/>
  <c r="D539" i="2"/>
  <c r="D540" i="2"/>
  <c r="D541" i="2"/>
  <c r="D550" i="2"/>
  <c r="D554" i="2"/>
  <c r="D551" i="2"/>
  <c r="D552" i="2"/>
  <c r="D553" i="2"/>
  <c r="D562" i="2"/>
  <c r="D566" i="2"/>
  <c r="D574" i="2"/>
  <c r="D547" i="2"/>
  <c r="D548" i="2"/>
  <c r="D549" i="2"/>
  <c r="D559" i="2"/>
  <c r="D560" i="2"/>
  <c r="K560" i="2"/>
  <c r="D561" i="2"/>
  <c r="K561" i="2"/>
  <c r="D563" i="2"/>
  <c r="D564" i="2"/>
  <c r="D565" i="2"/>
  <c r="K565" i="2"/>
  <c r="D571" i="2"/>
  <c r="D572" i="2"/>
  <c r="D573" i="2"/>
  <c r="D583" i="2"/>
  <c r="A592" i="2"/>
  <c r="H573" i="2"/>
  <c r="K583" i="2"/>
  <c r="H484" i="2"/>
  <c r="H460" i="2"/>
  <c r="H464" i="2"/>
  <c r="H468" i="2"/>
  <c r="H472" i="2"/>
  <c r="H476" i="2"/>
  <c r="H481" i="2"/>
  <c r="H488" i="2"/>
  <c r="H496" i="2"/>
  <c r="M496" i="2"/>
  <c r="H500" i="2"/>
  <c r="H504" i="2"/>
  <c r="L496" i="2"/>
  <c r="L500" i="2"/>
  <c r="L504" i="2"/>
  <c r="L508" i="2"/>
  <c r="H485" i="2"/>
  <c r="H489" i="2"/>
  <c r="L497" i="2"/>
  <c r="L501" i="2"/>
  <c r="L505" i="2"/>
  <c r="H486" i="2"/>
  <c r="H490" i="2"/>
  <c r="L498" i="2"/>
  <c r="L502" i="2"/>
  <c r="L506" i="2"/>
  <c r="H487" i="2"/>
  <c r="L499" i="2"/>
  <c r="L503" i="2"/>
  <c r="L507" i="2"/>
  <c r="H479" i="2"/>
  <c r="H483" i="2"/>
  <c r="V484" i="2"/>
  <c r="V488" i="2"/>
  <c r="Z496" i="2"/>
  <c r="Z500" i="2"/>
  <c r="Z504" i="2"/>
  <c r="Z508" i="2"/>
  <c r="V485" i="2"/>
  <c r="V489" i="2"/>
  <c r="Z497" i="2"/>
  <c r="Z501" i="2"/>
  <c r="Z505" i="2"/>
  <c r="V480" i="2"/>
  <c r="V481" i="2"/>
  <c r="V482" i="2"/>
  <c r="V486" i="2"/>
  <c r="V466" i="2"/>
  <c r="Z466" i="2"/>
  <c r="V471" i="2"/>
  <c r="V474" i="2"/>
  <c r="V478" i="2"/>
  <c r="V498" i="2"/>
  <c r="AA498" i="2"/>
  <c r="V502" i="2"/>
  <c r="AA502" i="2"/>
  <c r="V506" i="2"/>
  <c r="AA506" i="2"/>
  <c r="V487" i="2"/>
  <c r="Z498" i="2"/>
  <c r="Z502" i="2"/>
  <c r="Z506" i="2"/>
  <c r="V491" i="2"/>
  <c r="Z499" i="2"/>
  <c r="Z503" i="2"/>
  <c r="Z507" i="2"/>
  <c r="D509" i="2"/>
  <c r="K509" i="2"/>
  <c r="D510" i="2"/>
  <c r="K510" i="2"/>
  <c r="D511" i="2"/>
  <c r="K511" i="2"/>
  <c r="R509" i="2"/>
  <c r="R510" i="2"/>
  <c r="R511" i="2"/>
  <c r="Y511" i="2"/>
  <c r="Y463" i="2"/>
  <c r="L457" i="2"/>
  <c r="M457" i="2"/>
  <c r="L458" i="2"/>
  <c r="M458" i="2"/>
  <c r="H461" i="2"/>
  <c r="H462" i="2"/>
  <c r="L462" i="2"/>
  <c r="H463" i="2"/>
  <c r="H465" i="2"/>
  <c r="H469" i="2"/>
  <c r="H473" i="2"/>
  <c r="H480" i="2"/>
  <c r="H497" i="2"/>
  <c r="H501" i="2"/>
  <c r="M501" i="2"/>
  <c r="H505" i="2"/>
  <c r="H466" i="2"/>
  <c r="H467" i="2"/>
  <c r="H470" i="2"/>
  <c r="H471" i="2"/>
  <c r="H474" i="2"/>
  <c r="H475" i="2"/>
  <c r="H478" i="2"/>
  <c r="H482" i="2"/>
  <c r="Z459" i="2"/>
  <c r="V463" i="2"/>
  <c r="V464" i="2"/>
  <c r="V465" i="2"/>
  <c r="V467" i="2"/>
  <c r="V468" i="2"/>
  <c r="V469" i="2"/>
  <c r="V473" i="2"/>
  <c r="V477" i="2"/>
  <c r="V497" i="2"/>
  <c r="V501" i="2"/>
  <c r="V505" i="2"/>
  <c r="V519" i="2"/>
  <c r="V470" i="2"/>
  <c r="Y470" i="2"/>
  <c r="Z470" i="2"/>
  <c r="AA470" i="2"/>
  <c r="V475" i="2"/>
  <c r="V476" i="2"/>
  <c r="V479" i="2"/>
  <c r="Z479" i="2"/>
  <c r="AA479" i="2"/>
  <c r="D653" i="2"/>
  <c r="D649" i="2"/>
  <c r="D645" i="2"/>
  <c r="D641" i="2"/>
  <c r="D642" i="2"/>
  <c r="D643" i="2"/>
  <c r="K643" i="2"/>
  <c r="D644" i="2"/>
  <c r="R641" i="2"/>
  <c r="R642" i="2"/>
  <c r="R643" i="2"/>
  <c r="R644" i="2"/>
  <c r="D637" i="2"/>
  <c r="D633" i="2"/>
  <c r="D629" i="2"/>
  <c r="K629" i="2"/>
  <c r="K633" i="2"/>
  <c r="L633" i="2"/>
  <c r="M633" i="2"/>
  <c r="H633" i="2"/>
  <c r="D654" i="2"/>
  <c r="D650" i="2"/>
  <c r="D646" i="2"/>
  <c r="D647" i="2"/>
  <c r="D648" i="2"/>
  <c r="R645" i="2"/>
  <c r="R646" i="2"/>
  <c r="R647" i="2"/>
  <c r="R648" i="2"/>
  <c r="Y648" i="2"/>
  <c r="Y652" i="2"/>
  <c r="Z652" i="2"/>
  <c r="AA652" i="2"/>
  <c r="D610" i="2"/>
  <c r="D614" i="2"/>
  <c r="D618" i="2"/>
  <c r="B617" i="2"/>
  <c r="D622" i="2"/>
  <c r="D626" i="2"/>
  <c r="D630" i="2"/>
  <c r="D634" i="2"/>
  <c r="D638" i="2"/>
  <c r="H626" i="2"/>
  <c r="D655" i="2"/>
  <c r="D656" i="2"/>
  <c r="R653" i="2"/>
  <c r="R654" i="2"/>
  <c r="R655" i="2"/>
  <c r="R656" i="2"/>
  <c r="D651" i="2"/>
  <c r="D652" i="2"/>
  <c r="R649" i="2"/>
  <c r="R650" i="2"/>
  <c r="R651" i="2"/>
  <c r="R652" i="2"/>
  <c r="D640" i="2"/>
  <c r="D636" i="2"/>
  <c r="D632" i="2"/>
  <c r="D628" i="2"/>
  <c r="D624" i="2"/>
  <c r="D620" i="2"/>
  <c r="D616" i="2"/>
  <c r="D612" i="2"/>
  <c r="K612" i="2"/>
  <c r="K616" i="2"/>
  <c r="L616" i="2"/>
  <c r="M616" i="2"/>
  <c r="H616" i="2"/>
  <c r="H620" i="2"/>
  <c r="R637" i="2"/>
  <c r="R633" i="2"/>
  <c r="R629" i="2"/>
  <c r="R638" i="2"/>
  <c r="R634" i="2"/>
  <c r="R630" i="2"/>
  <c r="Y630" i="2"/>
  <c r="Y634" i="2"/>
  <c r="R639" i="2"/>
  <c r="R635" i="2"/>
  <c r="R631" i="2"/>
  <c r="R611" i="2"/>
  <c r="R615" i="2"/>
  <c r="R619" i="2"/>
  <c r="R623" i="2"/>
  <c r="R627" i="2"/>
  <c r="V611" i="2"/>
  <c r="R640" i="2"/>
  <c r="Y640" i="2"/>
  <c r="T460" i="2"/>
  <c r="X460" i="2"/>
  <c r="X464" i="2"/>
  <c r="X468" i="2"/>
  <c r="X472" i="2"/>
  <c r="X476" i="2"/>
  <c r="X480" i="2"/>
  <c r="X484" i="2"/>
  <c r="X488" i="2"/>
  <c r="T461" i="2"/>
  <c r="X461" i="2"/>
  <c r="X465" i="2"/>
  <c r="X469" i="2"/>
  <c r="X473" i="2"/>
  <c r="X477" i="2"/>
  <c r="X481" i="2"/>
  <c r="X485" i="2"/>
  <c r="X489" i="2"/>
  <c r="T462" i="2"/>
  <c r="X462" i="2"/>
  <c r="T463" i="2"/>
  <c r="X463" i="2"/>
  <c r="X467" i="2"/>
  <c r="X471" i="2"/>
  <c r="X475" i="2"/>
  <c r="T464" i="2"/>
  <c r="T465" i="2"/>
  <c r="T466" i="2"/>
  <c r="T467" i="2"/>
  <c r="T468" i="2"/>
  <c r="T469" i="2"/>
  <c r="T470" i="2"/>
  <c r="X470" i="2"/>
  <c r="X474" i="2"/>
  <c r="T471" i="2"/>
  <c r="T472" i="2"/>
  <c r="T473" i="2"/>
  <c r="T474" i="2"/>
  <c r="X478" i="2"/>
  <c r="X482" i="2"/>
  <c r="T475" i="2"/>
  <c r="T476" i="2"/>
  <c r="T477" i="2"/>
  <c r="T478" i="2"/>
  <c r="T479" i="2"/>
  <c r="T480" i="2"/>
  <c r="T481" i="2"/>
  <c r="T482" i="2"/>
  <c r="T483" i="2"/>
  <c r="X483" i="2"/>
  <c r="X487" i="2"/>
  <c r="X491" i="2"/>
  <c r="T484" i="2"/>
  <c r="T485" i="2"/>
  <c r="T486" i="2"/>
  <c r="T487" i="2"/>
  <c r="T488" i="2"/>
  <c r="T489" i="2"/>
  <c r="T490" i="2"/>
  <c r="T491" i="2"/>
  <c r="T496" i="2"/>
  <c r="V496" i="2"/>
  <c r="AA496" i="2"/>
  <c r="X496" i="2"/>
  <c r="T497" i="2"/>
  <c r="AA497" i="2"/>
  <c r="X497" i="2"/>
  <c r="T498" i="2"/>
  <c r="X498" i="2"/>
  <c r="T499" i="2"/>
  <c r="V499" i="2"/>
  <c r="AA499" i="2"/>
  <c r="X499" i="2"/>
  <c r="Y499" i="2"/>
  <c r="T500" i="2"/>
  <c r="V500" i="2"/>
  <c r="AA500" i="2"/>
  <c r="X500" i="2"/>
  <c r="Y500" i="2"/>
  <c r="T501" i="2"/>
  <c r="AA501" i="2"/>
  <c r="X501" i="2"/>
  <c r="T502" i="2"/>
  <c r="X502" i="2"/>
  <c r="T503" i="2"/>
  <c r="V503" i="2"/>
  <c r="AA503" i="2"/>
  <c r="X503" i="2"/>
  <c r="J460" i="2"/>
  <c r="J464" i="2"/>
  <c r="J468" i="2"/>
  <c r="J472" i="2"/>
  <c r="J476" i="2"/>
  <c r="J480" i="2"/>
  <c r="J484" i="2"/>
  <c r="J488" i="2"/>
  <c r="J461" i="2"/>
  <c r="J465" i="2"/>
  <c r="J469" i="2"/>
  <c r="J473" i="2"/>
  <c r="J477" i="2"/>
  <c r="J481" i="2"/>
  <c r="J485" i="2"/>
  <c r="J489" i="2"/>
  <c r="J462" i="2"/>
  <c r="J466" i="2"/>
  <c r="J470" i="2"/>
  <c r="J474" i="2"/>
  <c r="J478" i="2"/>
  <c r="J482" i="2"/>
  <c r="J486" i="2"/>
  <c r="J490" i="2"/>
  <c r="J463" i="2"/>
  <c r="J467" i="2"/>
  <c r="J471" i="2"/>
  <c r="J475" i="2"/>
  <c r="J483" i="2"/>
  <c r="J487" i="2"/>
  <c r="J491" i="2"/>
  <c r="Y536" i="2"/>
  <c r="Z536" i="2"/>
  <c r="H560" i="2"/>
  <c r="H568" i="2"/>
  <c r="H564" i="2"/>
  <c r="K570" i="2"/>
  <c r="K574" i="2"/>
  <c r="L574" i="2"/>
  <c r="M574" i="2"/>
  <c r="H574" i="2"/>
  <c r="M497" i="2"/>
  <c r="H498" i="2"/>
  <c r="M498" i="2"/>
  <c r="H499" i="2"/>
  <c r="M499" i="2"/>
  <c r="M500" i="2"/>
  <c r="K500" i="2"/>
  <c r="H502" i="2"/>
  <c r="M502" i="2"/>
  <c r="H503" i="2"/>
  <c r="M503" i="2"/>
  <c r="F460" i="2"/>
  <c r="P460" i="2"/>
  <c r="F461" i="2"/>
  <c r="F462" i="2"/>
  <c r="F463" i="2"/>
  <c r="F464" i="2"/>
  <c r="P464" i="2"/>
  <c r="F465" i="2"/>
  <c r="F466" i="2"/>
  <c r="F467" i="2"/>
  <c r="F468" i="2"/>
  <c r="P468" i="2"/>
  <c r="F469" i="2"/>
  <c r="F470" i="2"/>
  <c r="F471" i="2"/>
  <c r="F472" i="2"/>
  <c r="P472" i="2"/>
  <c r="F473" i="2"/>
  <c r="F474" i="2"/>
  <c r="F475" i="2"/>
  <c r="F476" i="2"/>
  <c r="P476" i="2"/>
  <c r="F477" i="2"/>
  <c r="F478" i="2"/>
  <c r="F479" i="2"/>
  <c r="F480" i="2"/>
  <c r="P480" i="2"/>
  <c r="F481" i="2"/>
  <c r="F482" i="2"/>
  <c r="F483" i="2"/>
  <c r="F484" i="2"/>
  <c r="P484" i="2"/>
  <c r="F485" i="2"/>
  <c r="F486" i="2"/>
  <c r="F487" i="2"/>
  <c r="F488" i="2"/>
  <c r="P488" i="2"/>
  <c r="F489" i="2"/>
  <c r="F490" i="2"/>
  <c r="F491" i="2"/>
  <c r="F496" i="2"/>
  <c r="J496" i="2"/>
  <c r="P496" i="2"/>
  <c r="F497" i="2"/>
  <c r="J497" i="2"/>
  <c r="F498" i="2"/>
  <c r="J498" i="2"/>
  <c r="F499" i="2"/>
  <c r="J499" i="2"/>
  <c r="F500" i="2"/>
  <c r="J500" i="2"/>
  <c r="P500" i="2"/>
  <c r="F501" i="2"/>
  <c r="J501" i="2"/>
  <c r="F502" i="2"/>
  <c r="J502" i="2"/>
  <c r="F503" i="2"/>
  <c r="J503" i="2"/>
  <c r="F504" i="2"/>
  <c r="M504" i="2"/>
  <c r="J504" i="2"/>
  <c r="P504" i="2"/>
  <c r="T504" i="2"/>
  <c r="V504" i="2"/>
  <c r="AA504" i="2"/>
  <c r="X504" i="2"/>
  <c r="F505" i="2"/>
  <c r="J505" i="2"/>
  <c r="M505" i="2"/>
  <c r="T505" i="2"/>
  <c r="X505" i="2"/>
  <c r="AA505" i="2"/>
  <c r="F506" i="2"/>
  <c r="H506" i="2"/>
  <c r="J506" i="2"/>
  <c r="M506" i="2"/>
  <c r="T506" i="2"/>
  <c r="X506" i="2"/>
  <c r="F507" i="2"/>
  <c r="J507" i="2"/>
  <c r="K507" i="2"/>
  <c r="M507" i="2"/>
  <c r="T507" i="2"/>
  <c r="V507" i="2"/>
  <c r="X507" i="2"/>
  <c r="AA507" i="2"/>
  <c r="F508" i="2"/>
  <c r="H508" i="2"/>
  <c r="M508" i="2"/>
  <c r="J508" i="2"/>
  <c r="P508" i="2"/>
  <c r="T508" i="2"/>
  <c r="V508" i="2"/>
  <c r="AA508" i="2"/>
  <c r="X508" i="2"/>
  <c r="F509" i="2"/>
  <c r="H509" i="2"/>
  <c r="M509" i="2"/>
  <c r="J509" i="2"/>
  <c r="L509" i="2"/>
  <c r="T509" i="2"/>
  <c r="V509" i="2"/>
  <c r="AA509" i="2"/>
  <c r="X509" i="2"/>
  <c r="Y509" i="2"/>
  <c r="Z509" i="2"/>
  <c r="F510" i="2"/>
  <c r="H510" i="2"/>
  <c r="M510" i="2"/>
  <c r="J510" i="2"/>
  <c r="L510" i="2"/>
  <c r="T510" i="2"/>
  <c r="V510" i="2"/>
  <c r="AA510" i="2"/>
  <c r="X510" i="2"/>
  <c r="Z510" i="2"/>
  <c r="F511" i="2"/>
  <c r="H511" i="2"/>
  <c r="J511" i="2"/>
  <c r="L511" i="2"/>
  <c r="M511" i="2"/>
  <c r="T511" i="2"/>
  <c r="V511" i="2"/>
  <c r="AA511" i="2"/>
  <c r="X511" i="2"/>
  <c r="Z511" i="2"/>
  <c r="J518" i="2"/>
  <c r="K518" i="2"/>
  <c r="X518" i="2"/>
  <c r="Y518" i="2"/>
  <c r="J519" i="2"/>
  <c r="K519" i="2"/>
  <c r="X519" i="2"/>
  <c r="Y519" i="2"/>
  <c r="J520" i="2"/>
  <c r="K520" i="2"/>
  <c r="X520" i="2"/>
  <c r="Y520" i="2"/>
  <c r="J521" i="2"/>
  <c r="K521" i="2"/>
  <c r="X521" i="2"/>
  <c r="Y521" i="2"/>
  <c r="P567" i="2"/>
  <c r="X562" i="2"/>
  <c r="X566" i="2"/>
  <c r="X570" i="2"/>
  <c r="X574" i="2"/>
  <c r="V551" i="2"/>
  <c r="K558" i="2"/>
  <c r="H535" i="2"/>
  <c r="H536" i="2"/>
  <c r="L536" i="2"/>
  <c r="K537" i="2"/>
  <c r="V537" i="2"/>
  <c r="V536" i="2"/>
  <c r="V535" i="2"/>
  <c r="V539" i="2"/>
  <c r="V543" i="2"/>
  <c r="V547" i="2"/>
  <c r="V556" i="2"/>
  <c r="V559" i="2"/>
  <c r="V567" i="2"/>
  <c r="V571" i="2"/>
  <c r="V579" i="2"/>
  <c r="AA579" i="2"/>
  <c r="T538" i="2"/>
  <c r="T537" i="2"/>
  <c r="T536" i="2"/>
  <c r="T535" i="2"/>
  <c r="Y535" i="2"/>
  <c r="Z535" i="2"/>
  <c r="AA535" i="2"/>
  <c r="Y539" i="2"/>
  <c r="H538" i="2"/>
  <c r="H537" i="2"/>
  <c r="F538" i="2"/>
  <c r="F537" i="2"/>
  <c r="F536" i="2"/>
  <c r="F535" i="2"/>
  <c r="Z586" i="2"/>
  <c r="X586" i="2"/>
  <c r="V586" i="2"/>
  <c r="AA586" i="2"/>
  <c r="T586" i="2"/>
  <c r="R586" i="2"/>
  <c r="Y586" i="2"/>
  <c r="Z585" i="2"/>
  <c r="R585" i="2"/>
  <c r="Y585" i="2"/>
  <c r="X585" i="2"/>
  <c r="V585" i="2"/>
  <c r="AA585" i="2"/>
  <c r="T585" i="2"/>
  <c r="Z584" i="2"/>
  <c r="X584" i="2"/>
  <c r="V584" i="2"/>
  <c r="AA584" i="2"/>
  <c r="T584" i="2"/>
  <c r="R584" i="2"/>
  <c r="Y584" i="2"/>
  <c r="V583" i="2"/>
  <c r="AA583" i="2"/>
  <c r="Z583" i="2"/>
  <c r="X583" i="2"/>
  <c r="T583" i="2"/>
  <c r="Z582" i="2"/>
  <c r="X582" i="2"/>
  <c r="AA582" i="2"/>
  <c r="T582" i="2"/>
  <c r="V581" i="2"/>
  <c r="AA581" i="2"/>
  <c r="Z581" i="2"/>
  <c r="X581" i="2"/>
  <c r="T581" i="2"/>
  <c r="Z580" i="2"/>
  <c r="Y580" i="2"/>
  <c r="X580" i="2"/>
  <c r="V580" i="2"/>
  <c r="AA580" i="2"/>
  <c r="T580" i="2"/>
  <c r="Z579" i="2"/>
  <c r="X579" i="2"/>
  <c r="T579" i="2"/>
  <c r="Y579" i="2"/>
  <c r="X553" i="2"/>
  <c r="X557" i="2"/>
  <c r="X561" i="2"/>
  <c r="X565" i="2"/>
  <c r="X569" i="2"/>
  <c r="X573" i="2"/>
  <c r="X536" i="2"/>
  <c r="X540" i="2"/>
  <c r="X544" i="2"/>
  <c r="X548" i="2"/>
  <c r="X552" i="2"/>
  <c r="X556" i="2"/>
  <c r="X560" i="2"/>
  <c r="X564" i="2"/>
  <c r="X568" i="2"/>
  <c r="X572" i="2"/>
  <c r="X563" i="2"/>
  <c r="X567" i="2"/>
  <c r="X571" i="2"/>
  <c r="T574" i="2"/>
  <c r="V573" i="2"/>
  <c r="T573" i="2"/>
  <c r="V572" i="2"/>
  <c r="T572" i="2"/>
  <c r="T571" i="2"/>
  <c r="T570" i="2"/>
  <c r="V569" i="2"/>
  <c r="T569" i="2"/>
  <c r="V568" i="2"/>
  <c r="T568" i="2"/>
  <c r="T567" i="2"/>
  <c r="T566" i="2"/>
  <c r="V565" i="2"/>
  <c r="T565" i="2"/>
  <c r="V564" i="2"/>
  <c r="T564" i="2"/>
  <c r="T563" i="2"/>
  <c r="T562" i="2"/>
  <c r="V561" i="2"/>
  <c r="T561" i="2"/>
  <c r="V560" i="2"/>
  <c r="T560" i="2"/>
  <c r="T559" i="2"/>
  <c r="Z558" i="2"/>
  <c r="AA558" i="2"/>
  <c r="T558" i="2"/>
  <c r="V557" i="2"/>
  <c r="T557" i="2"/>
  <c r="T556" i="2"/>
  <c r="V555" i="2"/>
  <c r="Z555" i="2"/>
  <c r="X555" i="2"/>
  <c r="T555" i="2"/>
  <c r="AA554" i="2"/>
  <c r="T554" i="2"/>
  <c r="V553" i="2"/>
  <c r="T553" i="2"/>
  <c r="V552" i="2"/>
  <c r="T552" i="2"/>
  <c r="T551" i="2"/>
  <c r="Y538" i="2"/>
  <c r="Z538" i="2"/>
  <c r="AA538" i="2"/>
  <c r="X538" i="2"/>
  <c r="X542" i="2"/>
  <c r="X546" i="2"/>
  <c r="X550" i="2"/>
  <c r="T550" i="2"/>
  <c r="V549" i="2"/>
  <c r="V548" i="2"/>
  <c r="T548" i="2"/>
  <c r="X535" i="2"/>
  <c r="X539" i="2"/>
  <c r="X543" i="2"/>
  <c r="X547" i="2"/>
  <c r="T547" i="2"/>
  <c r="V546" i="2"/>
  <c r="T546" i="2"/>
  <c r="X537" i="2"/>
  <c r="X541" i="2"/>
  <c r="X545" i="2"/>
  <c r="T545" i="2"/>
  <c r="V544" i="2"/>
  <c r="V540" i="2"/>
  <c r="T544" i="2"/>
  <c r="T543" i="2"/>
  <c r="T542" i="2"/>
  <c r="V541" i="2"/>
  <c r="T541" i="2"/>
  <c r="T540" i="2"/>
  <c r="T539" i="2"/>
  <c r="J570" i="2"/>
  <c r="J574" i="2"/>
  <c r="J537" i="2"/>
  <c r="J541" i="2"/>
  <c r="J545" i="2"/>
  <c r="J549" i="2"/>
  <c r="J553" i="2"/>
  <c r="J557" i="2"/>
  <c r="J561" i="2"/>
  <c r="J565" i="2"/>
  <c r="J569" i="2"/>
  <c r="J573" i="2"/>
  <c r="J560" i="2"/>
  <c r="J564" i="2"/>
  <c r="J568" i="2"/>
  <c r="J572" i="2"/>
  <c r="J535" i="2"/>
  <c r="J539" i="2"/>
  <c r="J543" i="2"/>
  <c r="J547" i="2"/>
  <c r="J551" i="2"/>
  <c r="J555" i="2"/>
  <c r="J559" i="2"/>
  <c r="J563" i="2"/>
  <c r="J567" i="2"/>
  <c r="J571" i="2"/>
  <c r="F574" i="2"/>
  <c r="F573" i="2"/>
  <c r="H572" i="2"/>
  <c r="F572" i="2"/>
  <c r="H571" i="2"/>
  <c r="F571" i="2"/>
  <c r="H570" i="2"/>
  <c r="F570" i="2"/>
  <c r="H569" i="2"/>
  <c r="F569" i="2"/>
  <c r="F568" i="2"/>
  <c r="H567" i="2"/>
  <c r="F567" i="2"/>
  <c r="H566" i="2"/>
  <c r="L566" i="2"/>
  <c r="F566" i="2"/>
  <c r="H565" i="2"/>
  <c r="F565" i="2"/>
  <c r="F564" i="2"/>
  <c r="H563" i="2"/>
  <c r="F563" i="2"/>
  <c r="H562" i="2"/>
  <c r="K562" i="2"/>
  <c r="J558" i="2"/>
  <c r="J562" i="2"/>
  <c r="F562" i="2"/>
  <c r="H561" i="2"/>
  <c r="F561" i="2"/>
  <c r="F560" i="2"/>
  <c r="H559" i="2"/>
  <c r="F559" i="2"/>
  <c r="H558" i="2"/>
  <c r="L558" i="2"/>
  <c r="F558" i="2"/>
  <c r="H557" i="2"/>
  <c r="F557" i="2"/>
  <c r="H556" i="2"/>
  <c r="L556" i="2"/>
  <c r="M556" i="2"/>
  <c r="H539" i="2"/>
  <c r="H543" i="2"/>
  <c r="H547" i="2"/>
  <c r="H551" i="2"/>
  <c r="L579" i="2"/>
  <c r="F556" i="2"/>
  <c r="H555" i="2"/>
  <c r="F555" i="2"/>
  <c r="H554" i="2"/>
  <c r="F554" i="2"/>
  <c r="H553" i="2"/>
  <c r="F553" i="2"/>
  <c r="H552" i="2"/>
  <c r="H540" i="2"/>
  <c r="J536" i="2"/>
  <c r="J540" i="2"/>
  <c r="J544" i="2"/>
  <c r="J548" i="2"/>
  <c r="J552" i="2"/>
  <c r="F552" i="2"/>
  <c r="F551" i="2"/>
  <c r="H550" i="2"/>
  <c r="J538" i="2"/>
  <c r="J542" i="2"/>
  <c r="J546" i="2"/>
  <c r="J550" i="2"/>
  <c r="F550" i="2"/>
  <c r="H549" i="2"/>
  <c r="F549" i="2"/>
  <c r="H548" i="2"/>
  <c r="F548" i="2"/>
  <c r="F547" i="2"/>
  <c r="F546" i="2"/>
  <c r="F545" i="2"/>
  <c r="F544" i="2"/>
  <c r="F543" i="2"/>
  <c r="P535" i="2"/>
  <c r="Y596" i="2"/>
  <c r="X596" i="2"/>
  <c r="K596" i="2"/>
  <c r="J596" i="2"/>
  <c r="Y595" i="2"/>
  <c r="X595" i="2"/>
  <c r="K595" i="2"/>
  <c r="J595" i="2"/>
  <c r="Y594" i="2"/>
  <c r="X594" i="2"/>
  <c r="K594" i="2"/>
  <c r="J594" i="2"/>
  <c r="Y593" i="2"/>
  <c r="X593" i="2"/>
  <c r="K593" i="2"/>
  <c r="J593" i="2"/>
  <c r="H586" i="2"/>
  <c r="M586" i="2"/>
  <c r="F586" i="2"/>
  <c r="D586" i="2"/>
  <c r="K586" i="2"/>
  <c r="L585" i="2"/>
  <c r="J585" i="2"/>
  <c r="H585" i="2"/>
  <c r="M585" i="2"/>
  <c r="F585" i="2"/>
  <c r="D585" i="2"/>
  <c r="K585" i="2"/>
  <c r="H584" i="2"/>
  <c r="M584" i="2"/>
  <c r="F584" i="2"/>
  <c r="D584" i="2"/>
  <c r="P583" i="2"/>
  <c r="J583" i="2"/>
  <c r="H583" i="2"/>
  <c r="M583" i="2"/>
  <c r="F583" i="2"/>
  <c r="L583" i="2"/>
  <c r="F582" i="2"/>
  <c r="H581" i="2"/>
  <c r="M581" i="2"/>
  <c r="F581" i="2"/>
  <c r="H580" i="2"/>
  <c r="F580" i="2"/>
  <c r="P579" i="2"/>
  <c r="H579" i="2"/>
  <c r="M579" i="2"/>
  <c r="F579" i="2"/>
  <c r="P571" i="2"/>
  <c r="J581" i="2"/>
  <c r="P563" i="2"/>
  <c r="P559" i="2"/>
  <c r="J579" i="2"/>
  <c r="P555" i="2"/>
  <c r="P551" i="2"/>
  <c r="P547" i="2"/>
  <c r="H546" i="2"/>
  <c r="H545" i="2"/>
  <c r="H544" i="2"/>
  <c r="P543" i="2"/>
  <c r="H542" i="2"/>
  <c r="F542" i="2"/>
  <c r="H541" i="2"/>
  <c r="F541" i="2"/>
  <c r="F540" i="2"/>
  <c r="P539" i="2"/>
  <c r="F539" i="2"/>
  <c r="J582" i="2"/>
  <c r="J586" i="2"/>
  <c r="J580" i="2"/>
  <c r="J584" i="2"/>
  <c r="B605" i="2"/>
  <c r="D609" i="2"/>
  <c r="D613" i="2"/>
  <c r="D617" i="2"/>
  <c r="D621" i="2"/>
  <c r="H621" i="2"/>
  <c r="D611" i="2"/>
  <c r="D615" i="2"/>
  <c r="R609" i="2"/>
  <c r="R610" i="2"/>
  <c r="Y610" i="2"/>
  <c r="R612" i="2"/>
  <c r="Y612" i="2"/>
  <c r="Z612" i="2"/>
  <c r="V612" i="2"/>
  <c r="R613" i="2"/>
  <c r="R621" i="2"/>
  <c r="R625" i="2"/>
  <c r="AA625" i="2"/>
  <c r="R667" i="2"/>
  <c r="R614" i="2"/>
  <c r="R618" i="2"/>
  <c r="V618" i="2"/>
  <c r="R616" i="2"/>
  <c r="R620" i="2"/>
  <c r="V620" i="2"/>
  <c r="V616" i="2"/>
  <c r="D623" i="2"/>
  <c r="B621" i="2"/>
  <c r="R622" i="2"/>
  <c r="R626" i="2"/>
  <c r="R624" i="2"/>
  <c r="D625" i="2"/>
  <c r="R628" i="2"/>
  <c r="R670" i="2"/>
  <c r="D631" i="2"/>
  <c r="R632" i="2"/>
  <c r="D635" i="2"/>
  <c r="R636" i="2"/>
  <c r="D639" i="2"/>
  <c r="V642" i="2"/>
  <c r="V650" i="2"/>
  <c r="H655" i="2"/>
  <c r="D657" i="2"/>
  <c r="K657" i="2"/>
  <c r="D658" i="2"/>
  <c r="D659" i="2"/>
  <c r="K659" i="2"/>
  <c r="D660" i="2"/>
  <c r="R657" i="2"/>
  <c r="R658" i="2"/>
  <c r="R659" i="2"/>
  <c r="Y659" i="2"/>
  <c r="R660" i="2"/>
  <c r="K660" i="2"/>
  <c r="Y660" i="2"/>
  <c r="A666" i="2"/>
  <c r="H649" i="2"/>
  <c r="F644" i="2"/>
  <c r="V641" i="2"/>
  <c r="V637" i="2"/>
  <c r="V645" i="2"/>
  <c r="V649" i="2"/>
  <c r="V653" i="2"/>
  <c r="Z657" i="2"/>
  <c r="V646" i="2"/>
  <c r="V654" i="2"/>
  <c r="V643" i="2"/>
  <c r="V647" i="2"/>
  <c r="V651" i="2"/>
  <c r="V655" i="2"/>
  <c r="V644" i="2"/>
  <c r="V648" i="2"/>
  <c r="V652" i="2"/>
  <c r="V656" i="2"/>
  <c r="V609" i="2"/>
  <c r="V610" i="2"/>
  <c r="V613" i="2"/>
  <c r="Z613" i="2"/>
  <c r="V617" i="2"/>
  <c r="V621" i="2"/>
  <c r="V625" i="2"/>
  <c r="V630" i="2"/>
  <c r="V633" i="2"/>
  <c r="V614" i="2"/>
  <c r="V615" i="2"/>
  <c r="V619" i="2"/>
  <c r="V622" i="2"/>
  <c r="V623" i="2"/>
  <c r="V624" i="2"/>
  <c r="V626" i="2"/>
  <c r="V627" i="2"/>
  <c r="V628" i="2"/>
  <c r="V631" i="2"/>
  <c r="V632" i="2"/>
  <c r="V634" i="2"/>
  <c r="V635" i="2"/>
  <c r="V636" i="2"/>
  <c r="V638" i="2"/>
  <c r="V639" i="2"/>
  <c r="V640" i="2"/>
  <c r="H641" i="2"/>
  <c r="H645" i="2"/>
  <c r="H653" i="2"/>
  <c r="L657" i="2"/>
  <c r="H642" i="2"/>
  <c r="H610" i="2"/>
  <c r="H614" i="2"/>
  <c r="H618" i="2"/>
  <c r="H622" i="2"/>
  <c r="H629" i="2"/>
  <c r="H634" i="2"/>
  <c r="H638" i="2"/>
  <c r="H646" i="2"/>
  <c r="H650" i="2"/>
  <c r="H654" i="2"/>
  <c r="H643" i="2"/>
  <c r="H647" i="2"/>
  <c r="H651" i="2"/>
  <c r="H644" i="2"/>
  <c r="H648" i="2"/>
  <c r="H652" i="2"/>
  <c r="H656" i="2"/>
  <c r="H609" i="2"/>
  <c r="H613" i="2"/>
  <c r="H617" i="2"/>
  <c r="H625" i="2"/>
  <c r="H667" i="2"/>
  <c r="H630" i="2"/>
  <c r="H637" i="2"/>
  <c r="H611" i="2"/>
  <c r="H612" i="2"/>
  <c r="M612" i="2"/>
  <c r="H619" i="2"/>
  <c r="H624" i="2"/>
  <c r="H628" i="2"/>
  <c r="H632" i="2"/>
  <c r="H636" i="2"/>
  <c r="H640" i="2"/>
  <c r="H615" i="2"/>
  <c r="H623" i="2"/>
  <c r="H627" i="2"/>
  <c r="H631" i="2"/>
  <c r="L631" i="2"/>
  <c r="H635" i="2"/>
  <c r="L635" i="2"/>
  <c r="H639" i="2"/>
  <c r="L625" i="2"/>
  <c r="L627" i="2"/>
  <c r="X612" i="2"/>
  <c r="X616" i="2"/>
  <c r="X620" i="2"/>
  <c r="X624" i="2"/>
  <c r="X628" i="2"/>
  <c r="X632" i="2"/>
  <c r="X629" i="2"/>
  <c r="X633" i="2"/>
  <c r="X637" i="2"/>
  <c r="X641" i="2"/>
  <c r="X645" i="2"/>
  <c r="X649" i="2"/>
  <c r="X653" i="2"/>
  <c r="J610" i="2"/>
  <c r="J614" i="2"/>
  <c r="J618" i="2"/>
  <c r="J622" i="2"/>
  <c r="J626" i="2"/>
  <c r="J630" i="2"/>
  <c r="J634" i="2"/>
  <c r="J638" i="2"/>
  <c r="J642" i="2"/>
  <c r="J646" i="2"/>
  <c r="J650" i="2"/>
  <c r="J654" i="2"/>
  <c r="F618" i="2"/>
  <c r="P613" i="2"/>
  <c r="X630" i="2"/>
  <c r="T630" i="2"/>
  <c r="T629" i="2"/>
  <c r="AA629" i="2"/>
  <c r="P657" i="2"/>
  <c r="P653" i="2"/>
  <c r="P649" i="2"/>
  <c r="P645" i="2"/>
  <c r="P641" i="2"/>
  <c r="P637" i="2"/>
  <c r="P633" i="2"/>
  <c r="P629" i="2"/>
  <c r="P625" i="2"/>
  <c r="P621" i="2"/>
  <c r="P617" i="2"/>
  <c r="P609" i="2"/>
  <c r="V629" i="2"/>
  <c r="T609" i="2"/>
  <c r="X609" i="2"/>
  <c r="X613" i="2"/>
  <c r="X617" i="2"/>
  <c r="X621" i="2"/>
  <c r="T610" i="2"/>
  <c r="X610" i="2"/>
  <c r="X614" i="2"/>
  <c r="X618" i="2"/>
  <c r="X622" i="2"/>
  <c r="T611" i="2"/>
  <c r="X611" i="2"/>
  <c r="X615" i="2"/>
  <c r="X619" i="2"/>
  <c r="X623" i="2"/>
  <c r="X627" i="2"/>
  <c r="X631" i="2"/>
  <c r="X635" i="2"/>
  <c r="X639" i="2"/>
  <c r="X643" i="2"/>
  <c r="X647" i="2"/>
  <c r="X651" i="2"/>
  <c r="X655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31" i="2"/>
  <c r="T632" i="2"/>
  <c r="T633" i="2"/>
  <c r="X634" i="2"/>
  <c r="X638" i="2"/>
  <c r="X642" i="2"/>
  <c r="X646" i="2"/>
  <c r="X650" i="2"/>
  <c r="X654" i="2"/>
  <c r="T635" i="2"/>
  <c r="T636" i="2"/>
  <c r="T637" i="2"/>
  <c r="T638" i="2"/>
  <c r="T639" i="2"/>
  <c r="T640" i="2"/>
  <c r="X640" i="2"/>
  <c r="X644" i="2"/>
  <c r="T641" i="2"/>
  <c r="T642" i="2"/>
  <c r="T643" i="2"/>
  <c r="T644" i="2"/>
  <c r="J629" i="2"/>
  <c r="J633" i="2"/>
  <c r="J637" i="2"/>
  <c r="J641" i="2"/>
  <c r="J645" i="2"/>
  <c r="J649" i="2"/>
  <c r="J653" i="2"/>
  <c r="J612" i="2"/>
  <c r="J616" i="2"/>
  <c r="J620" i="2"/>
  <c r="J624" i="2"/>
  <c r="J628" i="2"/>
  <c r="J632" i="2"/>
  <c r="J636" i="2"/>
  <c r="J640" i="2"/>
  <c r="J644" i="2"/>
  <c r="J648" i="2"/>
  <c r="J652" i="2"/>
  <c r="J656" i="2"/>
  <c r="J609" i="2"/>
  <c r="J613" i="2"/>
  <c r="J617" i="2"/>
  <c r="J621" i="2"/>
  <c r="J611" i="2"/>
  <c r="J615" i="2"/>
  <c r="J619" i="2"/>
  <c r="J623" i="2"/>
  <c r="Y657" i="2"/>
  <c r="J667" i="2"/>
  <c r="K667" i="2"/>
  <c r="X667" i="2"/>
  <c r="Y667" i="2"/>
  <c r="J668" i="2"/>
  <c r="K668" i="2"/>
  <c r="X668" i="2"/>
  <c r="Y668" i="2"/>
  <c r="J669" i="2"/>
  <c r="K669" i="2"/>
  <c r="X669" i="2"/>
  <c r="Y669" i="2"/>
  <c r="J670" i="2"/>
  <c r="K670" i="2"/>
  <c r="X670" i="2"/>
  <c r="Y670" i="2"/>
  <c r="F609" i="2"/>
  <c r="F610" i="2"/>
  <c r="F611" i="2"/>
  <c r="F612" i="2"/>
  <c r="F613" i="2"/>
  <c r="F614" i="2"/>
  <c r="F615" i="2"/>
  <c r="F616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J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J643" i="2"/>
  <c r="J647" i="2"/>
  <c r="J651" i="2"/>
  <c r="J655" i="2"/>
  <c r="F645" i="2"/>
  <c r="T645" i="2"/>
  <c r="F646" i="2"/>
  <c r="T646" i="2"/>
  <c r="T647" i="2"/>
  <c r="F648" i="2"/>
  <c r="T649" i="2"/>
  <c r="F650" i="2"/>
  <c r="T650" i="2"/>
  <c r="F651" i="2"/>
  <c r="T651" i="2"/>
  <c r="F652" i="2"/>
  <c r="T652" i="2"/>
  <c r="X652" i="2"/>
  <c r="X656" i="2"/>
  <c r="F653" i="2"/>
  <c r="T653" i="2"/>
  <c r="F654" i="2"/>
  <c r="T654" i="2"/>
  <c r="F655" i="2"/>
  <c r="T655" i="2"/>
  <c r="F656" i="2"/>
  <c r="T656" i="2"/>
  <c r="F657" i="2"/>
  <c r="H657" i="2"/>
  <c r="M657" i="2"/>
  <c r="J657" i="2"/>
  <c r="T657" i="2"/>
  <c r="V657" i="2"/>
  <c r="AA657" i="2"/>
  <c r="X657" i="2"/>
  <c r="F658" i="2"/>
  <c r="H658" i="2"/>
  <c r="M658" i="2"/>
  <c r="J658" i="2"/>
  <c r="L658" i="2"/>
  <c r="Y658" i="2"/>
  <c r="T658" i="2"/>
  <c r="V658" i="2"/>
  <c r="AA658" i="2"/>
  <c r="X658" i="2"/>
  <c r="Z658" i="2"/>
  <c r="F659" i="2"/>
  <c r="H659" i="2"/>
  <c r="M659" i="2"/>
  <c r="J659" i="2"/>
  <c r="L659" i="2"/>
  <c r="T659" i="2"/>
  <c r="V659" i="2"/>
  <c r="AA659" i="2"/>
  <c r="X659" i="2"/>
  <c r="Z659" i="2"/>
  <c r="F660" i="2"/>
  <c r="H660" i="2"/>
  <c r="M660" i="2"/>
  <c r="J660" i="2"/>
  <c r="L660" i="2"/>
  <c r="T660" i="2"/>
  <c r="V660" i="2"/>
  <c r="AA660" i="2"/>
  <c r="X660" i="2"/>
  <c r="Z660" i="2"/>
  <c r="Y609" i="2"/>
  <c r="Y613" i="2"/>
  <c r="Y617" i="2"/>
  <c r="Z617" i="2"/>
  <c r="AA617" i="2"/>
  <c r="L581" i="2"/>
  <c r="L580" i="2"/>
  <c r="L582" i="2"/>
  <c r="K582" i="2"/>
  <c r="M582" i="2"/>
  <c r="L586" i="2"/>
  <c r="K584" i="2"/>
  <c r="L584" i="2"/>
  <c r="D370" i="2"/>
  <c r="L629" i="2"/>
  <c r="Z539" i="2"/>
  <c r="AA539" i="2"/>
  <c r="AA422" i="2"/>
  <c r="B637" i="2"/>
  <c r="Z551" i="2"/>
  <c r="AA551" i="2"/>
  <c r="K463" i="2"/>
  <c r="K467" i="2"/>
  <c r="K425" i="2"/>
  <c r="D595" i="2"/>
  <c r="H368" i="2"/>
  <c r="L560" i="2"/>
  <c r="M560" i="2"/>
  <c r="D368" i="2"/>
  <c r="D371" i="2"/>
  <c r="AA408" i="2"/>
  <c r="L483" i="2"/>
  <c r="AA474" i="2"/>
  <c r="K471" i="2"/>
  <c r="K475" i="2"/>
  <c r="L475" i="2"/>
  <c r="L440" i="2"/>
  <c r="Z440" i="2"/>
  <c r="K464" i="2"/>
  <c r="Z400" i="2"/>
  <c r="AA400" i="2"/>
  <c r="K324" i="2"/>
  <c r="Y389" i="2"/>
  <c r="Z389" i="2"/>
  <c r="L561" i="2"/>
  <c r="M561" i="2"/>
  <c r="Y543" i="2"/>
  <c r="Y510" i="2"/>
  <c r="AA404" i="2"/>
  <c r="D670" i="2"/>
  <c r="R368" i="2"/>
  <c r="AA555" i="2"/>
  <c r="R290" i="2"/>
  <c r="Y392" i="2"/>
  <c r="M635" i="2"/>
  <c r="L562" i="2"/>
  <c r="M562" i="2"/>
  <c r="K319" i="2"/>
  <c r="M536" i="2"/>
  <c r="D593" i="2"/>
  <c r="M317" i="2"/>
  <c r="L537" i="2"/>
  <c r="M537" i="2"/>
  <c r="L316" i="2"/>
  <c r="Z610" i="2"/>
  <c r="K539" i="2"/>
  <c r="Z625" i="2"/>
  <c r="Z629" i="2"/>
  <c r="K541" i="2"/>
  <c r="M629" i="2"/>
  <c r="AA612" i="2"/>
  <c r="K408" i="2"/>
  <c r="L404" i="2"/>
  <c r="L612" i="2"/>
  <c r="Y644" i="2"/>
  <c r="K609" i="2"/>
  <c r="Z321" i="2"/>
  <c r="AA321" i="2"/>
  <c r="AA412" i="2"/>
  <c r="B326" i="2"/>
  <c r="K314" i="2"/>
  <c r="K318" i="2"/>
  <c r="K322" i="2"/>
  <c r="L329" i="2"/>
  <c r="M329" i="2"/>
  <c r="L400" i="2"/>
  <c r="M395" i="2"/>
  <c r="K281" i="2"/>
  <c r="B346" i="2"/>
  <c r="B318" i="2"/>
  <c r="L325" i="2"/>
  <c r="M325" i="2"/>
  <c r="M558" i="2"/>
  <c r="Y326" i="2"/>
  <c r="Y330" i="2"/>
  <c r="Z326" i="2"/>
  <c r="L391" i="2"/>
  <c r="M391" i="2"/>
  <c r="L387" i="2"/>
  <c r="K273" i="2"/>
  <c r="B350" i="2"/>
  <c r="AA387" i="2"/>
  <c r="AA398" i="2"/>
  <c r="L464" i="2"/>
  <c r="K468" i="2"/>
  <c r="K323" i="2"/>
  <c r="L319" i="2"/>
  <c r="M319" i="2"/>
  <c r="AA322" i="2"/>
  <c r="L609" i="2"/>
  <c r="K341" i="2"/>
  <c r="M337" i="2"/>
  <c r="L323" i="2"/>
  <c r="M323" i="2"/>
  <c r="K327" i="2"/>
  <c r="K331" i="2"/>
  <c r="Y621" i="2"/>
  <c r="L327" i="2"/>
  <c r="M327" i="2"/>
  <c r="Y656" i="2"/>
  <c r="Z656" i="2"/>
  <c r="AA656" i="2"/>
  <c r="K335" i="2"/>
  <c r="K339" i="2"/>
  <c r="L339" i="2"/>
  <c r="M339" i="2"/>
  <c r="Z291" i="2"/>
  <c r="B39" i="2"/>
  <c r="L8" i="2"/>
  <c r="M8" i="2"/>
  <c r="L7" i="2"/>
  <c r="M7" i="2"/>
  <c r="AA9" i="2"/>
  <c r="Z10" i="2"/>
  <c r="AA10" i="2"/>
  <c r="H594" i="2"/>
  <c r="M580" i="2"/>
  <c r="D669" i="2"/>
  <c r="K611" i="2"/>
  <c r="B609" i="2"/>
  <c r="Y547" i="2"/>
  <c r="Z547" i="2"/>
  <c r="AA547" i="2"/>
  <c r="Z543" i="2"/>
  <c r="AA543" i="2"/>
  <c r="AA644" i="2"/>
  <c r="Z644" i="2"/>
  <c r="K658" i="2"/>
  <c r="B657" i="2"/>
  <c r="B625" i="2"/>
  <c r="B665" i="2"/>
  <c r="D667" i="2"/>
  <c r="U667" i="2"/>
  <c r="L639" i="2"/>
  <c r="M639" i="2"/>
  <c r="L315" i="2"/>
  <c r="H369" i="2"/>
  <c r="M315" i="2"/>
  <c r="M271" i="2"/>
  <c r="H293" i="2"/>
  <c r="Z333" i="2"/>
  <c r="AA333" i="2"/>
  <c r="Y334" i="2"/>
  <c r="Y338" i="2"/>
  <c r="Z330" i="2"/>
  <c r="AA330" i="2"/>
  <c r="K162" i="2"/>
  <c r="L162" i="2"/>
  <c r="M162" i="2"/>
  <c r="D216" i="2"/>
  <c r="G216" i="2"/>
  <c r="B161" i="2"/>
  <c r="K159" i="2"/>
  <c r="K163" i="2"/>
  <c r="K167" i="2"/>
  <c r="B157" i="2"/>
  <c r="D209" i="2"/>
  <c r="D217" i="2"/>
  <c r="H372" i="2"/>
  <c r="G368" i="2"/>
  <c r="H593" i="2"/>
  <c r="K474" i="2"/>
  <c r="L331" i="2"/>
  <c r="M331" i="2"/>
  <c r="Y198" i="2"/>
  <c r="R216" i="2"/>
  <c r="U216" i="2"/>
  <c r="B169" i="2"/>
  <c r="K170" i="2"/>
  <c r="K174" i="2"/>
  <c r="L174" i="2"/>
  <c r="M174" i="2"/>
  <c r="L468" i="2"/>
  <c r="M468" i="2"/>
  <c r="K472" i="2"/>
  <c r="B551" i="2"/>
  <c r="U518" i="2"/>
  <c r="K496" i="2"/>
  <c r="B496" i="2"/>
  <c r="Y386" i="2"/>
  <c r="Z386" i="2"/>
  <c r="R444" i="2"/>
  <c r="R437" i="2"/>
  <c r="L170" i="2"/>
  <c r="M170" i="2"/>
  <c r="B197" i="2"/>
  <c r="Y197" i="2"/>
  <c r="B181" i="2"/>
  <c r="D215" i="2"/>
  <c r="M609" i="2"/>
  <c r="M461" i="2"/>
  <c r="H519" i="2"/>
  <c r="B563" i="2"/>
  <c r="K564" i="2"/>
  <c r="L564" i="2"/>
  <c r="M564" i="2"/>
  <c r="Y567" i="2"/>
  <c r="Y571" i="2"/>
  <c r="Z563" i="2"/>
  <c r="AA563" i="2"/>
  <c r="Z574" i="2"/>
  <c r="AA574" i="2"/>
  <c r="L341" i="2"/>
  <c r="M341" i="2"/>
  <c r="R593" i="2"/>
  <c r="K647" i="2"/>
  <c r="K651" i="2"/>
  <c r="K655" i="2"/>
  <c r="L655" i="2"/>
  <c r="M655" i="2"/>
  <c r="B645" i="2"/>
  <c r="Y642" i="2"/>
  <c r="Y646" i="2"/>
  <c r="Y650" i="2"/>
  <c r="L466" i="2"/>
  <c r="M466" i="2"/>
  <c r="L487" i="2"/>
  <c r="M487" i="2"/>
  <c r="H518" i="2"/>
  <c r="H522" i="2"/>
  <c r="L460" i="2"/>
  <c r="M460" i="2"/>
  <c r="K545" i="2"/>
  <c r="L541" i="2"/>
  <c r="M541" i="2"/>
  <c r="AA325" i="2"/>
  <c r="B480" i="2"/>
  <c r="K399" i="2"/>
  <c r="L399" i="2"/>
  <c r="M399" i="2"/>
  <c r="D445" i="2"/>
  <c r="G445" i="2"/>
  <c r="B15" i="2"/>
  <c r="L461" i="2"/>
  <c r="L557" i="2"/>
  <c r="M557" i="2"/>
  <c r="Z562" i="2"/>
  <c r="AA562" i="2"/>
  <c r="B476" i="2"/>
  <c r="K430" i="2"/>
  <c r="B429" i="2"/>
  <c r="Y263" i="2"/>
  <c r="Z287" i="2"/>
  <c r="B260" i="2"/>
  <c r="AA291" i="2"/>
  <c r="Z634" i="2"/>
  <c r="AA634" i="2"/>
  <c r="Y638" i="2"/>
  <c r="Z638" i="2"/>
  <c r="AA638" i="2"/>
  <c r="B641" i="2"/>
  <c r="AA459" i="2"/>
  <c r="D594" i="2"/>
  <c r="G594" i="2"/>
  <c r="D587" i="2"/>
  <c r="B579" i="2"/>
  <c r="K579" i="2"/>
  <c r="Y469" i="2"/>
  <c r="Z465" i="2"/>
  <c r="K283" i="2"/>
  <c r="B280" i="2"/>
  <c r="L234" i="2"/>
  <c r="L292" i="2"/>
  <c r="H292" i="2"/>
  <c r="M234" i="2"/>
  <c r="Y99" i="2"/>
  <c r="Z99" i="2"/>
  <c r="AA99" i="2"/>
  <c r="M387" i="2"/>
  <c r="K615" i="2"/>
  <c r="K619" i="2"/>
  <c r="K623" i="2"/>
  <c r="L623" i="2"/>
  <c r="M623" i="2"/>
  <c r="L570" i="2"/>
  <c r="M570" i="2"/>
  <c r="U292" i="2"/>
  <c r="K540" i="2"/>
  <c r="Y614" i="2"/>
  <c r="Y618" i="2"/>
  <c r="Z618" i="2"/>
  <c r="AA618" i="2"/>
  <c r="R668" i="2"/>
  <c r="R661" i="2"/>
  <c r="B583" i="2"/>
  <c r="D668" i="2"/>
  <c r="K610" i="2"/>
  <c r="K614" i="2"/>
  <c r="M322" i="2"/>
  <c r="D293" i="2"/>
  <c r="G293" i="2"/>
  <c r="AA292" i="2"/>
  <c r="L237" i="2"/>
  <c r="K241" i="2"/>
  <c r="L241" i="2"/>
  <c r="M241" i="2"/>
  <c r="Z162" i="2"/>
  <c r="AA162" i="2"/>
  <c r="H669" i="2"/>
  <c r="B547" i="2"/>
  <c r="L412" i="2"/>
  <c r="L446" i="2"/>
  <c r="M446" i="2"/>
  <c r="M412" i="2"/>
  <c r="Z391" i="2"/>
  <c r="V445" i="2"/>
  <c r="B425" i="2"/>
  <c r="K426" i="2"/>
  <c r="Z98" i="2"/>
  <c r="AA98" i="2"/>
  <c r="AA89" i="2"/>
  <c r="V143" i="2"/>
  <c r="L408" i="2"/>
  <c r="M408" i="2"/>
  <c r="K412" i="2"/>
  <c r="M631" i="2"/>
  <c r="L610" i="2"/>
  <c r="H668" i="2"/>
  <c r="H671" i="2"/>
  <c r="K542" i="2"/>
  <c r="L542" i="2"/>
  <c r="M542" i="2"/>
  <c r="Y542" i="2"/>
  <c r="AA399" i="2"/>
  <c r="K397" i="2"/>
  <c r="K401" i="2"/>
  <c r="B397" i="2"/>
  <c r="B272" i="2"/>
  <c r="K272" i="2"/>
  <c r="Y93" i="2"/>
  <c r="Z93" i="2"/>
  <c r="AA93" i="2"/>
  <c r="D142" i="2"/>
  <c r="D144" i="2"/>
  <c r="K88" i="2"/>
  <c r="L88" i="2"/>
  <c r="D134" i="2"/>
  <c r="V68" i="2"/>
  <c r="R445" i="2"/>
  <c r="U445" i="2"/>
  <c r="L539" i="2"/>
  <c r="M539" i="2"/>
  <c r="M479" i="2"/>
  <c r="L479" i="2"/>
  <c r="B535" i="2"/>
  <c r="K538" i="2"/>
  <c r="L538" i="2"/>
  <c r="D596" i="2"/>
  <c r="G596" i="2"/>
  <c r="B508" i="2"/>
  <c r="K508" i="2"/>
  <c r="Z411" i="2"/>
  <c r="AA411" i="2"/>
  <c r="B405" i="2"/>
  <c r="D444" i="2"/>
  <c r="L611" i="2"/>
  <c r="Z567" i="2"/>
  <c r="AA567" i="2"/>
  <c r="M471" i="2"/>
  <c r="L471" i="2"/>
  <c r="K504" i="2"/>
  <c r="B504" i="2"/>
  <c r="K465" i="2"/>
  <c r="B464" i="2"/>
  <c r="D512" i="2"/>
  <c r="D519" i="2"/>
  <c r="G519" i="2"/>
  <c r="H446" i="2"/>
  <c r="M400" i="2"/>
  <c r="L386" i="2"/>
  <c r="H444" i="2"/>
  <c r="M386" i="2"/>
  <c r="Y411" i="2"/>
  <c r="Y390" i="2"/>
  <c r="Z390" i="2"/>
  <c r="V142" i="2"/>
  <c r="B19" i="2"/>
  <c r="V292" i="2"/>
  <c r="M333" i="2"/>
  <c r="M625" i="2"/>
  <c r="Z642" i="2"/>
  <c r="AA642" i="2"/>
  <c r="AA616" i="2"/>
  <c r="D661" i="2"/>
  <c r="AA536" i="2"/>
  <c r="B649" i="2"/>
  <c r="Y482" i="2"/>
  <c r="Z392" i="2"/>
  <c r="Z446" i="2"/>
  <c r="AA446" i="2"/>
  <c r="H443" i="2"/>
  <c r="H447" i="2"/>
  <c r="B409" i="2"/>
  <c r="R443" i="2"/>
  <c r="Y397" i="2"/>
  <c r="G291" i="2"/>
  <c r="AA172" i="2"/>
  <c r="Z160" i="2"/>
  <c r="AA160" i="2"/>
  <c r="V218" i="2"/>
  <c r="H216" i="2"/>
  <c r="L158" i="2"/>
  <c r="B35" i="2"/>
  <c r="AA320" i="2"/>
  <c r="L565" i="2"/>
  <c r="M565" i="2"/>
  <c r="R446" i="2"/>
  <c r="Z293" i="2"/>
  <c r="AA293" i="2"/>
  <c r="AA235" i="2"/>
  <c r="R140" i="2"/>
  <c r="Y86" i="2"/>
  <c r="Z86" i="2"/>
  <c r="V65" i="2"/>
  <c r="Z648" i="2"/>
  <c r="AA648" i="2"/>
  <c r="L318" i="2"/>
  <c r="M318" i="2"/>
  <c r="AA613" i="2"/>
  <c r="V667" i="2"/>
  <c r="Z621" i="2"/>
  <c r="AA621" i="2"/>
  <c r="Y622" i="2"/>
  <c r="Z622" i="2"/>
  <c r="AA622" i="2"/>
  <c r="B629" i="2"/>
  <c r="Y629" i="2"/>
  <c r="Y633" i="2"/>
  <c r="Z633" i="2"/>
  <c r="AA633" i="2"/>
  <c r="Y546" i="2"/>
  <c r="B500" i="2"/>
  <c r="K501" i="2"/>
  <c r="L397" i="2"/>
  <c r="M397" i="2"/>
  <c r="K403" i="2"/>
  <c r="L403" i="2"/>
  <c r="M403" i="2"/>
  <c r="B401" i="2"/>
  <c r="Z329" i="2"/>
  <c r="AA329" i="2"/>
  <c r="Y333" i="2"/>
  <c r="Z315" i="2"/>
  <c r="Y319" i="2"/>
  <c r="B276" i="2"/>
  <c r="K276" i="2"/>
  <c r="V293" i="2"/>
  <c r="K236" i="2"/>
  <c r="K240" i="2"/>
  <c r="L240" i="2"/>
  <c r="M240" i="2"/>
  <c r="D284" i="2"/>
  <c r="D290" i="2"/>
  <c r="B236" i="2"/>
  <c r="B288" i="2"/>
  <c r="B297" i="2"/>
  <c r="H143" i="2"/>
  <c r="B130" i="2"/>
  <c r="B94" i="2"/>
  <c r="K47" i="2"/>
  <c r="B47" i="2"/>
  <c r="Z616" i="2"/>
  <c r="V670" i="2"/>
  <c r="U670" i="2"/>
  <c r="V595" i="2"/>
  <c r="AA537" i="2"/>
  <c r="Z537" i="2"/>
  <c r="V596" i="2"/>
  <c r="U596" i="2"/>
  <c r="V446" i="2"/>
  <c r="AA388" i="2"/>
  <c r="U217" i="2"/>
  <c r="L164" i="2"/>
  <c r="M164" i="2"/>
  <c r="H218" i="2"/>
  <c r="G218" i="2"/>
  <c r="R67" i="2"/>
  <c r="B31" i="2"/>
  <c r="G371" i="2"/>
  <c r="B385" i="2"/>
  <c r="B441" i="2"/>
  <c r="J450" i="2"/>
  <c r="H596" i="2"/>
  <c r="Y541" i="2"/>
  <c r="Z541" i="2"/>
  <c r="AA541" i="2"/>
  <c r="B472" i="2"/>
  <c r="M163" i="2"/>
  <c r="L163" i="2"/>
  <c r="H217" i="2"/>
  <c r="R134" i="2"/>
  <c r="H142" i="2"/>
  <c r="L84" i="2"/>
  <c r="M84" i="2"/>
  <c r="AA82" i="2"/>
  <c r="V140" i="2"/>
  <c r="D446" i="2"/>
  <c r="G446" i="2"/>
  <c r="V669" i="2"/>
  <c r="L324" i="2"/>
  <c r="M324" i="2"/>
  <c r="K328" i="2"/>
  <c r="G370" i="2"/>
  <c r="R595" i="2"/>
  <c r="U595" i="2"/>
  <c r="Y540" i="2"/>
  <c r="Y544" i="2"/>
  <c r="Y548" i="2"/>
  <c r="R594" i="2"/>
  <c r="U594" i="2"/>
  <c r="Y467" i="2"/>
  <c r="Y471" i="2"/>
  <c r="R521" i="2"/>
  <c r="Y464" i="2"/>
  <c r="Y468" i="2"/>
  <c r="R512" i="2"/>
  <c r="K466" i="2"/>
  <c r="K470" i="2"/>
  <c r="L470" i="2"/>
  <c r="M470" i="2"/>
  <c r="M158" i="2"/>
  <c r="Z167" i="2"/>
  <c r="AA167" i="2"/>
  <c r="Y169" i="2"/>
  <c r="Y173" i="2"/>
  <c r="Y328" i="2"/>
  <c r="Y332" i="2"/>
  <c r="Z332" i="2"/>
  <c r="AA332" i="2"/>
  <c r="R370" i="2"/>
  <c r="U370" i="2"/>
  <c r="R362" i="2"/>
  <c r="D59" i="2"/>
  <c r="D65" i="2"/>
  <c r="L12" i="2"/>
  <c r="M12" i="2"/>
  <c r="Z626" i="2"/>
  <c r="Z630" i="2"/>
  <c r="K613" i="2"/>
  <c r="K617" i="2"/>
  <c r="B613" i="2"/>
  <c r="B555" i="2"/>
  <c r="R519" i="2"/>
  <c r="U519" i="2"/>
  <c r="M388" i="2"/>
  <c r="K543" i="2"/>
  <c r="AA460" i="2"/>
  <c r="V518" i="2"/>
  <c r="Z460" i="2"/>
  <c r="L322" i="2"/>
  <c r="Z163" i="2"/>
  <c r="AA163" i="2"/>
  <c r="D67" i="2"/>
  <c r="Z542" i="2"/>
  <c r="AA542" i="2"/>
  <c r="H670" i="2"/>
  <c r="G670" i="2"/>
  <c r="Y274" i="2"/>
  <c r="Y616" i="2"/>
  <c r="Y620" i="2"/>
  <c r="L554" i="2"/>
  <c r="M554" i="2"/>
  <c r="R669" i="2"/>
  <c r="U669" i="2"/>
  <c r="Y611" i="2"/>
  <c r="Z611" i="2"/>
  <c r="M463" i="2"/>
  <c r="L463" i="2"/>
  <c r="H521" i="2"/>
  <c r="M483" i="2"/>
  <c r="B559" i="2"/>
  <c r="K569" i="2"/>
  <c r="Y574" i="2"/>
  <c r="K385" i="2"/>
  <c r="K389" i="2"/>
  <c r="L389" i="2"/>
  <c r="M389" i="2"/>
  <c r="D437" i="2"/>
  <c r="D443" i="2"/>
  <c r="R293" i="2"/>
  <c r="L239" i="2"/>
  <c r="M239" i="2"/>
  <c r="Y176" i="2"/>
  <c r="B118" i="2"/>
  <c r="K82" i="2"/>
  <c r="K86" i="2"/>
  <c r="L86" i="2"/>
  <c r="M86" i="2"/>
  <c r="B82" i="2"/>
  <c r="AA640" i="2"/>
  <c r="Z640" i="2"/>
  <c r="Z609" i="2"/>
  <c r="V594" i="2"/>
  <c r="B653" i="2"/>
  <c r="AA465" i="2"/>
  <c r="M464" i="2"/>
  <c r="R587" i="2"/>
  <c r="D520" i="2"/>
  <c r="G520" i="2"/>
  <c r="M404" i="2"/>
  <c r="B358" i="2"/>
  <c r="Y359" i="2"/>
  <c r="H371" i="2"/>
  <c r="L320" i="2"/>
  <c r="Z158" i="2"/>
  <c r="V216" i="2"/>
  <c r="B173" i="2"/>
  <c r="Y353" i="2"/>
  <c r="R371" i="2"/>
  <c r="Y324" i="2"/>
  <c r="Z324" i="2"/>
  <c r="AA324" i="2"/>
  <c r="B86" i="2"/>
  <c r="K87" i="2"/>
  <c r="L87" i="2"/>
  <c r="M87" i="2"/>
  <c r="L335" i="2"/>
  <c r="M335" i="2"/>
  <c r="K242" i="2"/>
  <c r="D292" i="2"/>
  <c r="B334" i="2"/>
  <c r="R369" i="2"/>
  <c r="U369" i="2"/>
  <c r="R142" i="2"/>
  <c r="Y84" i="2"/>
  <c r="Y88" i="2"/>
  <c r="V66" i="2"/>
  <c r="M21" i="2"/>
  <c r="Z636" i="2"/>
  <c r="AA636" i="2"/>
  <c r="L467" i="2"/>
  <c r="M467" i="2"/>
  <c r="M462" i="2"/>
  <c r="Z566" i="2"/>
  <c r="AA566" i="2"/>
  <c r="Y566" i="2"/>
  <c r="Y570" i="2"/>
  <c r="Z570" i="2"/>
  <c r="AA570" i="2"/>
  <c r="AA462" i="2"/>
  <c r="V520" i="2"/>
  <c r="H445" i="2"/>
  <c r="Z316" i="2"/>
  <c r="AA316" i="2"/>
  <c r="AA326" i="2"/>
  <c r="Y175" i="2"/>
  <c r="K172" i="2"/>
  <c r="B102" i="2"/>
  <c r="B11" i="2"/>
  <c r="F450" i="2"/>
  <c r="M450" i="2"/>
  <c r="H595" i="2"/>
  <c r="G595" i="2"/>
  <c r="M546" i="2"/>
  <c r="L535" i="2"/>
  <c r="M535" i="2"/>
  <c r="AA464" i="2"/>
  <c r="K546" i="2"/>
  <c r="L546" i="2"/>
  <c r="AA389" i="2"/>
  <c r="L398" i="2"/>
  <c r="M398" i="2"/>
  <c r="V369" i="2"/>
  <c r="V368" i="2"/>
  <c r="U368" i="2"/>
  <c r="Z314" i="2"/>
  <c r="L321" i="2"/>
  <c r="M321" i="2"/>
  <c r="H370" i="2"/>
  <c r="M316" i="2"/>
  <c r="V291" i="2"/>
  <c r="AA233" i="2"/>
  <c r="K354" i="2"/>
  <c r="B354" i="2"/>
  <c r="B338" i="2"/>
  <c r="K326" i="2"/>
  <c r="D362" i="2"/>
  <c r="M88" i="2"/>
  <c r="D68" i="2"/>
  <c r="K22" i="2"/>
  <c r="K29" i="2"/>
  <c r="L29" i="2"/>
  <c r="M29" i="2"/>
  <c r="Z464" i="2"/>
  <c r="H291" i="2"/>
  <c r="H520" i="2"/>
  <c r="V370" i="2"/>
  <c r="AA610" i="2"/>
  <c r="V668" i="2"/>
  <c r="V593" i="2"/>
  <c r="B633" i="2"/>
  <c r="B571" i="2"/>
  <c r="B488" i="2"/>
  <c r="V443" i="2"/>
  <c r="V447" i="2"/>
  <c r="Z385" i="2"/>
  <c r="B264" i="2"/>
  <c r="Z242" i="2"/>
  <c r="AA242" i="2"/>
  <c r="M243" i="2"/>
  <c r="Y337" i="2"/>
  <c r="B330" i="2"/>
  <c r="K100" i="2"/>
  <c r="L100" i="2"/>
  <c r="M100" i="2"/>
  <c r="K13" i="2"/>
  <c r="L13" i="2"/>
  <c r="B256" i="2"/>
  <c r="L232" i="2"/>
  <c r="H290" i="2"/>
  <c r="Y161" i="2"/>
  <c r="Y165" i="2"/>
  <c r="R215" i="2"/>
  <c r="R209" i="2"/>
  <c r="H141" i="2"/>
  <c r="G141" i="2"/>
  <c r="L83" i="2"/>
  <c r="R59" i="2"/>
  <c r="R65" i="2"/>
  <c r="B23" i="2"/>
  <c r="K28" i="2"/>
  <c r="B27" i="2"/>
  <c r="Z463" i="2"/>
  <c r="AA463" i="2"/>
  <c r="Y487" i="2"/>
  <c r="L491" i="2"/>
  <c r="M491" i="2"/>
  <c r="B484" i="2"/>
  <c r="AA390" i="2"/>
  <c r="B393" i="2"/>
  <c r="V371" i="2"/>
  <c r="R284" i="2"/>
  <c r="AA159" i="2"/>
  <c r="M157" i="2"/>
  <c r="B322" i="2"/>
  <c r="B366" i="2"/>
  <c r="J375" i="2"/>
  <c r="B122" i="2"/>
  <c r="K122" i="2"/>
  <c r="L643" i="2"/>
  <c r="M643" i="2"/>
  <c r="M566" i="2"/>
  <c r="M475" i="2"/>
  <c r="AA466" i="2"/>
  <c r="B468" i="2"/>
  <c r="D518" i="2"/>
  <c r="K402" i="2"/>
  <c r="K406" i="2"/>
  <c r="AA393" i="2"/>
  <c r="B268" i="2"/>
  <c r="Z236" i="2"/>
  <c r="Z284" i="2"/>
  <c r="AA285" i="2"/>
  <c r="V290" i="2"/>
  <c r="U290" i="2"/>
  <c r="L169" i="2"/>
  <c r="M169" i="2"/>
  <c r="R218" i="2"/>
  <c r="U218" i="2"/>
  <c r="Y172" i="2"/>
  <c r="Z172" i="2"/>
  <c r="AA85" i="2"/>
  <c r="K126" i="2"/>
  <c r="B126" i="2"/>
  <c r="Y89" i="2"/>
  <c r="Z89" i="2"/>
  <c r="R143" i="2"/>
  <c r="R291" i="2"/>
  <c r="R294" i="2"/>
  <c r="V521" i="2"/>
  <c r="V444" i="2"/>
  <c r="K620" i="2"/>
  <c r="K637" i="2"/>
  <c r="R520" i="2"/>
  <c r="U520" i="2"/>
  <c r="D521" i="2"/>
  <c r="G521" i="2"/>
  <c r="Y402" i="2"/>
  <c r="Y406" i="2"/>
  <c r="Y410" i="2"/>
  <c r="Z410" i="2"/>
  <c r="AA410" i="2"/>
  <c r="B389" i="2"/>
  <c r="AA394" i="2"/>
  <c r="L314" i="2"/>
  <c r="L168" i="2"/>
  <c r="M168" i="2"/>
  <c r="L161" i="2"/>
  <c r="M161" i="2"/>
  <c r="H215" i="2"/>
  <c r="Y182" i="2"/>
  <c r="Z182" i="2"/>
  <c r="AA182" i="2"/>
  <c r="K178" i="2"/>
  <c r="L178" i="2"/>
  <c r="M178" i="2"/>
  <c r="Y157" i="2"/>
  <c r="Z157" i="2"/>
  <c r="M83" i="2"/>
  <c r="V141" i="2"/>
  <c r="M103" i="2"/>
  <c r="B114" i="2"/>
  <c r="K114" i="2"/>
  <c r="H66" i="2"/>
  <c r="B55" i="2"/>
  <c r="Z559" i="2"/>
  <c r="AA559" i="2"/>
  <c r="B460" i="2"/>
  <c r="M233" i="2"/>
  <c r="Z165" i="2"/>
  <c r="AA165" i="2"/>
  <c r="Z95" i="2"/>
  <c r="AA95" i="2"/>
  <c r="K90" i="2"/>
  <c r="H140" i="2"/>
  <c r="D66" i="2"/>
  <c r="H68" i="2"/>
  <c r="H67" i="2"/>
  <c r="B43" i="2"/>
  <c r="M627" i="2"/>
  <c r="B539" i="2"/>
  <c r="L159" i="2"/>
  <c r="M159" i="2"/>
  <c r="B205" i="2"/>
  <c r="Y170" i="2"/>
  <c r="Y174" i="2"/>
  <c r="Y178" i="2"/>
  <c r="Z178" i="2"/>
  <c r="B165" i="2"/>
  <c r="K165" i="2"/>
  <c r="K169" i="2"/>
  <c r="K173" i="2"/>
  <c r="D369" i="2"/>
  <c r="L89" i="2"/>
  <c r="M89" i="2"/>
  <c r="B90" i="2"/>
  <c r="K89" i="2"/>
  <c r="K93" i="2"/>
  <c r="K97" i="2"/>
  <c r="R66" i="2"/>
  <c r="R68" i="2"/>
  <c r="B240" i="2"/>
  <c r="Z94" i="2"/>
  <c r="AA94" i="2"/>
  <c r="B98" i="2"/>
  <c r="L242" i="2"/>
  <c r="M242" i="2"/>
  <c r="V215" i="2"/>
  <c r="AA104" i="2"/>
  <c r="AA178" i="2"/>
  <c r="Z102" i="2"/>
  <c r="AA102" i="2"/>
  <c r="V67" i="2"/>
  <c r="B177" i="2"/>
  <c r="M85" i="2"/>
  <c r="Y91" i="2"/>
  <c r="Y95" i="2"/>
  <c r="R141" i="2"/>
  <c r="U141" i="2"/>
  <c r="H65" i="2"/>
  <c r="D143" i="2"/>
  <c r="G143" i="2"/>
  <c r="AA164" i="2"/>
  <c r="U143" i="2"/>
  <c r="U68" i="2"/>
  <c r="L22" i="2"/>
  <c r="M22" i="2"/>
  <c r="G68" i="2"/>
  <c r="L14" i="2"/>
  <c r="M14" i="2"/>
  <c r="Y177" i="2"/>
  <c r="Z173" i="2"/>
  <c r="AA173" i="2"/>
  <c r="M13" i="2"/>
  <c r="K30" i="2"/>
  <c r="Z571" i="2"/>
  <c r="AA571" i="2"/>
  <c r="AA611" i="2"/>
  <c r="Z88" i="2"/>
  <c r="AA88" i="2"/>
  <c r="Y92" i="2"/>
  <c r="AA86" i="2"/>
  <c r="K621" i="2"/>
  <c r="L621" i="2"/>
  <c r="M621" i="2"/>
  <c r="L617" i="2"/>
  <c r="M617" i="2"/>
  <c r="U140" i="2"/>
  <c r="R144" i="2"/>
  <c r="U142" i="2"/>
  <c r="U65" i="2"/>
  <c r="R69" i="2"/>
  <c r="Y550" i="2"/>
  <c r="Z550" i="2"/>
  <c r="AA550" i="2"/>
  <c r="Z546" i="2"/>
  <c r="AA546" i="2"/>
  <c r="K330" i="2"/>
  <c r="L326" i="2"/>
  <c r="M326" i="2"/>
  <c r="K550" i="2"/>
  <c r="L550" i="2"/>
  <c r="M550" i="2"/>
  <c r="Y486" i="2"/>
  <c r="Z482" i="2"/>
  <c r="AA482" i="2"/>
  <c r="V219" i="2"/>
  <c r="U66" i="2"/>
  <c r="Z544" i="2"/>
  <c r="AA544" i="2"/>
  <c r="R60" i="2"/>
  <c r="S60" i="2"/>
  <c r="R61" i="2"/>
  <c r="Z169" i="2"/>
  <c r="AA169" i="2"/>
  <c r="K568" i="2"/>
  <c r="Z170" i="2"/>
  <c r="AA170" i="2"/>
  <c r="B63" i="2"/>
  <c r="B72" i="2"/>
  <c r="Y545" i="2"/>
  <c r="Z319" i="2"/>
  <c r="AA319" i="2"/>
  <c r="Y323" i="2"/>
  <c r="V671" i="2"/>
  <c r="Z174" i="2"/>
  <c r="AA174" i="2"/>
  <c r="L615" i="2"/>
  <c r="M615" i="2"/>
  <c r="M538" i="2"/>
  <c r="L402" i="2"/>
  <c r="M402" i="2"/>
  <c r="K618" i="2"/>
  <c r="L614" i="2"/>
  <c r="M614" i="2"/>
  <c r="K544" i="2"/>
  <c r="L540" i="2"/>
  <c r="K407" i="2"/>
  <c r="L651" i="2"/>
  <c r="M651" i="2"/>
  <c r="G217" i="2"/>
  <c r="K94" i="2"/>
  <c r="L90" i="2"/>
  <c r="M90" i="2"/>
  <c r="G443" i="2"/>
  <c r="D447" i="2"/>
  <c r="Y552" i="2"/>
  <c r="Z548" i="2"/>
  <c r="AA548" i="2"/>
  <c r="D514" i="2"/>
  <c r="D513" i="2"/>
  <c r="E513" i="2"/>
  <c r="D440" i="2"/>
  <c r="Z445" i="2"/>
  <c r="AA445" i="2"/>
  <c r="U668" i="2"/>
  <c r="Y473" i="2"/>
  <c r="Z469" i="2"/>
  <c r="AA469" i="2"/>
  <c r="D219" i="2"/>
  <c r="G215" i="2"/>
  <c r="Z406" i="2"/>
  <c r="AA406" i="2"/>
  <c r="D365" i="2"/>
  <c r="D438" i="2"/>
  <c r="E438" i="2"/>
  <c r="D439" i="2"/>
  <c r="Z402" i="2"/>
  <c r="AA402" i="2"/>
  <c r="D285" i="2"/>
  <c r="E285" i="2"/>
  <c r="D286" i="2"/>
  <c r="Z328" i="2"/>
  <c r="AA328" i="2"/>
  <c r="Y654" i="2"/>
  <c r="Z654" i="2"/>
  <c r="AA654" i="2"/>
  <c r="Z650" i="2"/>
  <c r="AA650" i="2"/>
  <c r="U215" i="2"/>
  <c r="R219" i="2"/>
  <c r="R589" i="2"/>
  <c r="R588" i="2"/>
  <c r="S588" i="2"/>
  <c r="R515" i="2"/>
  <c r="AA626" i="2"/>
  <c r="AA630" i="2"/>
  <c r="L465" i="2"/>
  <c r="M465" i="2"/>
  <c r="K469" i="2"/>
  <c r="M237" i="2"/>
  <c r="L291" i="2"/>
  <c r="M291" i="2"/>
  <c r="K549" i="2"/>
  <c r="L545" i="2"/>
  <c r="M545" i="2"/>
  <c r="K641" i="2"/>
  <c r="L637" i="2"/>
  <c r="M637" i="2"/>
  <c r="AA385" i="2"/>
  <c r="Y97" i="2"/>
  <c r="L328" i="2"/>
  <c r="M328" i="2"/>
  <c r="K332" i="2"/>
  <c r="M610" i="2"/>
  <c r="D589" i="2"/>
  <c r="D588" i="2"/>
  <c r="E588" i="2"/>
  <c r="C600" i="2"/>
  <c r="D515" i="2"/>
  <c r="D287" i="2"/>
  <c r="D212" i="2"/>
  <c r="D137" i="2"/>
  <c r="D62" i="2"/>
  <c r="D363" i="2"/>
  <c r="E363" i="2"/>
  <c r="D364" i="2"/>
  <c r="U593" i="2"/>
  <c r="R597" i="2"/>
  <c r="G67" i="2"/>
  <c r="R372" i="2"/>
  <c r="U446" i="2"/>
  <c r="L647" i="2"/>
  <c r="M647" i="2"/>
  <c r="Z161" i="2"/>
  <c r="AA161" i="2"/>
  <c r="B516" i="2"/>
  <c r="J525" i="2"/>
  <c r="Z84" i="2"/>
  <c r="Y103" i="2"/>
  <c r="Y341" i="2"/>
  <c r="Z341" i="2"/>
  <c r="AA341" i="2"/>
  <c r="Z337" i="2"/>
  <c r="AA337" i="2"/>
  <c r="M320" i="2"/>
  <c r="L371" i="2"/>
  <c r="M371" i="2"/>
  <c r="Z176" i="2"/>
  <c r="AA176" i="2"/>
  <c r="Y180" i="2"/>
  <c r="Z620" i="2"/>
  <c r="AA620" i="2"/>
  <c r="Y624" i="2"/>
  <c r="R514" i="2"/>
  <c r="R513" i="2"/>
  <c r="S513" i="2"/>
  <c r="R440" i="2"/>
  <c r="AA315" i="2"/>
  <c r="Z397" i="2"/>
  <c r="AA397" i="2"/>
  <c r="Y401" i="2"/>
  <c r="B591" i="2"/>
  <c r="G668" i="2"/>
  <c r="R438" i="2"/>
  <c r="S438" i="2"/>
  <c r="R439" i="2"/>
  <c r="R365" i="2"/>
  <c r="K476" i="2"/>
  <c r="L472" i="2"/>
  <c r="M472" i="2"/>
  <c r="D210" i="2"/>
  <c r="E210" i="2"/>
  <c r="D211" i="2"/>
  <c r="G669" i="2"/>
  <c r="G66" i="2"/>
  <c r="Z91" i="2"/>
  <c r="R285" i="2"/>
  <c r="S285" i="2"/>
  <c r="R286" i="2"/>
  <c r="Z286" i="2"/>
  <c r="AA286" i="2"/>
  <c r="H294" i="2"/>
  <c r="Y637" i="2"/>
  <c r="K104" i="2"/>
  <c r="L165" i="2"/>
  <c r="M165" i="2"/>
  <c r="Y336" i="2"/>
  <c r="AA609" i="2"/>
  <c r="D60" i="2"/>
  <c r="E60" i="2"/>
  <c r="D61" i="2"/>
  <c r="Y472" i="2"/>
  <c r="Z468" i="2"/>
  <c r="AA468" i="2"/>
  <c r="R135" i="2"/>
  <c r="S135" i="2"/>
  <c r="R136" i="2"/>
  <c r="R447" i="2"/>
  <c r="U443" i="2"/>
  <c r="M611" i="2"/>
  <c r="Z540" i="2"/>
  <c r="M292" i="2"/>
  <c r="R522" i="2"/>
  <c r="U444" i="2"/>
  <c r="B213" i="2"/>
  <c r="B222" i="2"/>
  <c r="R210" i="2"/>
  <c r="S210" i="2"/>
  <c r="R211" i="2"/>
  <c r="B138" i="2"/>
  <c r="B147" i="2"/>
  <c r="L543" i="2"/>
  <c r="M543" i="2"/>
  <c r="K547" i="2"/>
  <c r="R671" i="2"/>
  <c r="AA158" i="2"/>
  <c r="L236" i="2"/>
  <c r="M236" i="2"/>
  <c r="H69" i="2"/>
  <c r="L97" i="2"/>
  <c r="M97" i="2"/>
  <c r="K101" i="2"/>
  <c r="H144" i="2"/>
  <c r="M314" i="2"/>
  <c r="L619" i="2"/>
  <c r="K410" i="2"/>
  <c r="L410" i="2"/>
  <c r="M410" i="2"/>
  <c r="L406" i="2"/>
  <c r="M406" i="2"/>
  <c r="L284" i="2"/>
  <c r="M232" i="2"/>
  <c r="AA314" i="2"/>
  <c r="Y615" i="2"/>
  <c r="U371" i="2"/>
  <c r="L293" i="2"/>
  <c r="M293" i="2"/>
  <c r="U521" i="2"/>
  <c r="U67" i="2"/>
  <c r="G444" i="2"/>
  <c r="D136" i="2"/>
  <c r="D135" i="2"/>
  <c r="E135" i="2"/>
  <c r="Z467" i="2"/>
  <c r="AA467" i="2"/>
  <c r="Z338" i="2"/>
  <c r="AA338" i="2"/>
  <c r="AA386" i="2"/>
  <c r="K171" i="2"/>
  <c r="L167" i="2"/>
  <c r="M167" i="2"/>
  <c r="Y179" i="2"/>
  <c r="Z175" i="2"/>
  <c r="D294" i="2"/>
  <c r="G290" i="2"/>
  <c r="K182" i="2"/>
  <c r="L182" i="2"/>
  <c r="M182" i="2"/>
  <c r="H219" i="2"/>
  <c r="G369" i="2"/>
  <c r="D372" i="2"/>
  <c r="K177" i="2"/>
  <c r="L173" i="2"/>
  <c r="M173" i="2"/>
  <c r="L620" i="2"/>
  <c r="M620" i="2"/>
  <c r="K624" i="2"/>
  <c r="L569" i="2"/>
  <c r="M569" i="2"/>
  <c r="K573" i="2"/>
  <c r="L573" i="2"/>
  <c r="M573" i="2"/>
  <c r="AA392" i="2"/>
  <c r="V372" i="2"/>
  <c r="G292" i="2"/>
  <c r="U293" i="2"/>
  <c r="L521" i="2"/>
  <c r="M521" i="2"/>
  <c r="Z471" i="2"/>
  <c r="Y475" i="2"/>
  <c r="Z475" i="2"/>
  <c r="AA475" i="2"/>
  <c r="L613" i="2"/>
  <c r="L93" i="2"/>
  <c r="M93" i="2"/>
  <c r="G140" i="2"/>
  <c r="Z646" i="2"/>
  <c r="AA646" i="2"/>
  <c r="H597" i="2"/>
  <c r="D597" i="2"/>
  <c r="G667" i="2"/>
  <c r="D671" i="2"/>
  <c r="V294" i="2"/>
  <c r="Y491" i="2"/>
  <c r="Z491" i="2"/>
  <c r="AA491" i="2"/>
  <c r="Z487" i="2"/>
  <c r="AA487" i="2"/>
  <c r="K405" i="2"/>
  <c r="L401" i="2"/>
  <c r="M401" i="2"/>
  <c r="D69" i="2"/>
  <c r="G65" i="2"/>
  <c r="K478" i="2"/>
  <c r="L474" i="2"/>
  <c r="K91" i="2"/>
  <c r="L82" i="2"/>
  <c r="AA157" i="2"/>
  <c r="U291" i="2"/>
  <c r="G518" i="2"/>
  <c r="D522" i="2"/>
  <c r="L28" i="2"/>
  <c r="M28" i="2"/>
  <c r="V597" i="2"/>
  <c r="L172" i="2"/>
  <c r="M172" i="2"/>
  <c r="K176" i="2"/>
  <c r="Z290" i="2"/>
  <c r="V522" i="2"/>
  <c r="R287" i="2"/>
  <c r="R212" i="2"/>
  <c r="R137" i="2"/>
  <c r="R62" i="2"/>
  <c r="R363" i="2"/>
  <c r="S363" i="2"/>
  <c r="R364" i="2"/>
  <c r="V144" i="2"/>
  <c r="V69" i="2"/>
  <c r="L385" i="2"/>
  <c r="D662" i="2"/>
  <c r="E662" i="2"/>
  <c r="C674" i="2"/>
  <c r="D663" i="2"/>
  <c r="G142" i="2"/>
  <c r="AA391" i="2"/>
  <c r="R663" i="2"/>
  <c r="R662" i="2"/>
  <c r="S662" i="2"/>
  <c r="Z334" i="2"/>
  <c r="AA334" i="2"/>
  <c r="Z614" i="2"/>
  <c r="G593" i="2"/>
  <c r="L67" i="2"/>
  <c r="M67" i="2"/>
  <c r="K20" i="2"/>
  <c r="L20" i="2"/>
  <c r="M20" i="2"/>
  <c r="L443" i="2"/>
  <c r="M385" i="2"/>
  <c r="L405" i="2"/>
  <c r="K409" i="2"/>
  <c r="L409" i="2"/>
  <c r="M409" i="2"/>
  <c r="K175" i="2"/>
  <c r="L171" i="2"/>
  <c r="L215" i="2"/>
  <c r="B450" i="2"/>
  <c r="J452" i="2"/>
  <c r="K411" i="2"/>
  <c r="L411" i="2"/>
  <c r="M411" i="2"/>
  <c r="L407" i="2"/>
  <c r="M82" i="2"/>
  <c r="AA471" i="2"/>
  <c r="L177" i="2"/>
  <c r="K181" i="2"/>
  <c r="L181" i="2"/>
  <c r="M181" i="2"/>
  <c r="AA540" i="2"/>
  <c r="AA91" i="2"/>
  <c r="Y184" i="2"/>
  <c r="Z184" i="2"/>
  <c r="AA184" i="2"/>
  <c r="Z180" i="2"/>
  <c r="K645" i="2"/>
  <c r="L641" i="2"/>
  <c r="M641" i="2"/>
  <c r="M540" i="2"/>
  <c r="Z545" i="2"/>
  <c r="Y549" i="2"/>
  <c r="AA614" i="2"/>
  <c r="Z668" i="2"/>
  <c r="AA668" i="2"/>
  <c r="Z615" i="2"/>
  <c r="Y619" i="2"/>
  <c r="Z401" i="2"/>
  <c r="Y405" i="2"/>
  <c r="L544" i="2"/>
  <c r="M544" i="2"/>
  <c r="K548" i="2"/>
  <c r="Z521" i="2"/>
  <c r="AA521" i="2"/>
  <c r="L30" i="2"/>
  <c r="Z371" i="2"/>
  <c r="AA371" i="2"/>
  <c r="L549" i="2"/>
  <c r="K553" i="2"/>
  <c r="L553" i="2"/>
  <c r="M553" i="2"/>
  <c r="Z552" i="2"/>
  <c r="AA552" i="2"/>
  <c r="Y556" i="2"/>
  <c r="M619" i="2"/>
  <c r="L176" i="2"/>
  <c r="K180" i="2"/>
  <c r="Z179" i="2"/>
  <c r="AA179" i="2"/>
  <c r="Y183" i="2"/>
  <c r="Z183" i="2"/>
  <c r="AA183" i="2"/>
  <c r="AA290" i="2"/>
  <c r="Z294" i="2"/>
  <c r="AA294" i="2"/>
  <c r="L624" i="2"/>
  <c r="M624" i="2"/>
  <c r="K628" i="2"/>
  <c r="B525" i="2"/>
  <c r="J527" i="2"/>
  <c r="M613" i="2"/>
  <c r="Z472" i="2"/>
  <c r="Y476" i="2"/>
  <c r="Y628" i="2"/>
  <c r="Z624" i="2"/>
  <c r="AA624" i="2"/>
  <c r="Y327" i="2"/>
  <c r="Z323" i="2"/>
  <c r="AA323" i="2"/>
  <c r="L547" i="2"/>
  <c r="M547" i="2"/>
  <c r="K551" i="2"/>
  <c r="K622" i="2"/>
  <c r="L618" i="2"/>
  <c r="Y490" i="2"/>
  <c r="Z490" i="2"/>
  <c r="AA490" i="2"/>
  <c r="Z486" i="2"/>
  <c r="AA486" i="2"/>
  <c r="K105" i="2"/>
  <c r="L101" i="2"/>
  <c r="M101" i="2"/>
  <c r="Z336" i="2"/>
  <c r="Y340" i="2"/>
  <c r="Z340" i="2"/>
  <c r="AA340" i="2"/>
  <c r="K336" i="2"/>
  <c r="L332" i="2"/>
  <c r="Y96" i="2"/>
  <c r="Z96" i="2"/>
  <c r="AA96" i="2"/>
  <c r="Z92" i="2"/>
  <c r="K95" i="2"/>
  <c r="L95" i="2"/>
  <c r="M95" i="2"/>
  <c r="L91" i="2"/>
  <c r="L669" i="2"/>
  <c r="M669" i="2"/>
  <c r="Y477" i="2"/>
  <c r="Z473" i="2"/>
  <c r="L11" i="2"/>
  <c r="M474" i="2"/>
  <c r="L290" i="2"/>
  <c r="L104" i="2"/>
  <c r="M104" i="2"/>
  <c r="L476" i="2"/>
  <c r="K480" i="2"/>
  <c r="Z103" i="2"/>
  <c r="B375" i="2"/>
  <c r="J377" i="2"/>
  <c r="Y101" i="2"/>
  <c r="Z97" i="2"/>
  <c r="AA97" i="2"/>
  <c r="L469" i="2"/>
  <c r="K473" i="2"/>
  <c r="L596" i="2"/>
  <c r="M596" i="2"/>
  <c r="K572" i="2"/>
  <c r="L572" i="2"/>
  <c r="M572" i="2"/>
  <c r="L568" i="2"/>
  <c r="M568" i="2"/>
  <c r="K334" i="2"/>
  <c r="L330" i="2"/>
  <c r="L478" i="2"/>
  <c r="M478" i="2"/>
  <c r="K482" i="2"/>
  <c r="AA175" i="2"/>
  <c r="Z217" i="2"/>
  <c r="AA217" i="2"/>
  <c r="M285" i="2"/>
  <c r="D297" i="2"/>
  <c r="E298" i="2"/>
  <c r="Y641" i="2"/>
  <c r="Z637" i="2"/>
  <c r="AA84" i="2"/>
  <c r="L286" i="2"/>
  <c r="M286" i="2"/>
  <c r="K98" i="2"/>
  <c r="L94" i="2"/>
  <c r="M94" i="2"/>
  <c r="Y181" i="2"/>
  <c r="Z181" i="2"/>
  <c r="Z177" i="2"/>
  <c r="AA177" i="2"/>
  <c r="K477" i="2"/>
  <c r="L473" i="2"/>
  <c r="M473" i="2"/>
  <c r="Y481" i="2"/>
  <c r="Z477" i="2"/>
  <c r="AA477" i="2"/>
  <c r="Y480" i="2"/>
  <c r="Z476" i="2"/>
  <c r="AA476" i="2"/>
  <c r="L551" i="2"/>
  <c r="M551" i="2"/>
  <c r="K555" i="2"/>
  <c r="Z405" i="2"/>
  <c r="Y409" i="2"/>
  <c r="Z409" i="2"/>
  <c r="AA409" i="2"/>
  <c r="K340" i="2"/>
  <c r="L340" i="2"/>
  <c r="M340" i="2"/>
  <c r="L336" i="2"/>
  <c r="M336" i="2"/>
  <c r="M549" i="2"/>
  <c r="L595" i="2"/>
  <c r="M595" i="2"/>
  <c r="Z101" i="2"/>
  <c r="AA101" i="2"/>
  <c r="Y105" i="2"/>
  <c r="Z105" i="2"/>
  <c r="AA105" i="2"/>
  <c r="M171" i="2"/>
  <c r="K102" i="2"/>
  <c r="L98" i="2"/>
  <c r="M98" i="2"/>
  <c r="AA336" i="2"/>
  <c r="Z370" i="2"/>
  <c r="AA370" i="2"/>
  <c r="Z619" i="2"/>
  <c r="Y623" i="2"/>
  <c r="L175" i="2"/>
  <c r="K179" i="2"/>
  <c r="L482" i="2"/>
  <c r="K486" i="2"/>
  <c r="AA103" i="2"/>
  <c r="Z140" i="2"/>
  <c r="Z209" i="2"/>
  <c r="AA615" i="2"/>
  <c r="M177" i="2"/>
  <c r="L216" i="2"/>
  <c r="M216" i="2"/>
  <c r="Z216" i="2"/>
  <c r="AA216" i="2"/>
  <c r="M91" i="2"/>
  <c r="L105" i="2"/>
  <c r="M105" i="2"/>
  <c r="K184" i="2"/>
  <c r="L184" i="2"/>
  <c r="M184" i="2"/>
  <c r="L180" i="2"/>
  <c r="M180" i="2"/>
  <c r="M30" i="2"/>
  <c r="Z520" i="2"/>
  <c r="AA520" i="2"/>
  <c r="M405" i="2"/>
  <c r="L444" i="2"/>
  <c r="M444" i="2"/>
  <c r="M330" i="2"/>
  <c r="L369" i="2"/>
  <c r="M369" i="2"/>
  <c r="Y331" i="2"/>
  <c r="Z327" i="2"/>
  <c r="M176" i="2"/>
  <c r="L218" i="2"/>
  <c r="M218" i="2"/>
  <c r="L645" i="2"/>
  <c r="M645" i="2"/>
  <c r="K649" i="2"/>
  <c r="Y553" i="2"/>
  <c r="Z549" i="2"/>
  <c r="M469" i="2"/>
  <c r="M332" i="2"/>
  <c r="L370" i="2"/>
  <c r="M370" i="2"/>
  <c r="AA472" i="2"/>
  <c r="AA545" i="2"/>
  <c r="Z596" i="2"/>
  <c r="AA596" i="2"/>
  <c r="AA181" i="2"/>
  <c r="Z215" i="2"/>
  <c r="AA401" i="2"/>
  <c r="M215" i="2"/>
  <c r="M290" i="2"/>
  <c r="L294" i="2"/>
  <c r="M294" i="2"/>
  <c r="Z142" i="2"/>
  <c r="AA142" i="2"/>
  <c r="K338" i="2"/>
  <c r="L334" i="2"/>
  <c r="K484" i="2"/>
  <c r="L480" i="2"/>
  <c r="M480" i="2"/>
  <c r="K19" i="2"/>
  <c r="L437" i="2"/>
  <c r="M476" i="2"/>
  <c r="M11" i="2"/>
  <c r="AA180" i="2"/>
  <c r="Z218" i="2"/>
  <c r="AA218" i="2"/>
  <c r="M443" i="2"/>
  <c r="L447" i="2"/>
  <c r="M447" i="2"/>
  <c r="AA637" i="2"/>
  <c r="M618" i="2"/>
  <c r="Y645" i="2"/>
  <c r="Z641" i="2"/>
  <c r="AA641" i="2"/>
  <c r="AA473" i="2"/>
  <c r="AA92" i="2"/>
  <c r="Z143" i="2"/>
  <c r="AA143" i="2"/>
  <c r="K626" i="2"/>
  <c r="L622" i="2"/>
  <c r="M622" i="2"/>
  <c r="Y632" i="2"/>
  <c r="Z632" i="2"/>
  <c r="AA632" i="2"/>
  <c r="Z628" i="2"/>
  <c r="AA628" i="2"/>
  <c r="K632" i="2"/>
  <c r="L628" i="2"/>
  <c r="M628" i="2"/>
  <c r="Y560" i="2"/>
  <c r="Z556" i="2"/>
  <c r="K552" i="2"/>
  <c r="L552" i="2"/>
  <c r="M552" i="2"/>
  <c r="L548" i="2"/>
  <c r="M548" i="2"/>
  <c r="M407" i="2"/>
  <c r="L445" i="2"/>
  <c r="M445" i="2"/>
  <c r="L102" i="2"/>
  <c r="L140" i="2"/>
  <c r="AA556" i="2"/>
  <c r="Z593" i="2"/>
  <c r="L68" i="2"/>
  <c r="M68" i="2"/>
  <c r="L137" i="2"/>
  <c r="Z443" i="2"/>
  <c r="AA327" i="2"/>
  <c r="Y484" i="2"/>
  <c r="Z480" i="2"/>
  <c r="L19" i="2"/>
  <c r="Z331" i="2"/>
  <c r="Y335" i="2"/>
  <c r="L632" i="2"/>
  <c r="M632" i="2"/>
  <c r="K636" i="2"/>
  <c r="Y649" i="2"/>
  <c r="Z645" i="2"/>
  <c r="AA645" i="2"/>
  <c r="AA215" i="2"/>
  <c r="Z219" i="2"/>
  <c r="AA219" i="2"/>
  <c r="Z623" i="2"/>
  <c r="Y627" i="2"/>
  <c r="L594" i="2"/>
  <c r="M594" i="2"/>
  <c r="Y485" i="2"/>
  <c r="Z481" i="2"/>
  <c r="AA481" i="2"/>
  <c r="Z137" i="2"/>
  <c r="M438" i="2"/>
  <c r="L439" i="2"/>
  <c r="M439" i="2"/>
  <c r="L179" i="2"/>
  <c r="K183" i="2"/>
  <c r="L183" i="2"/>
  <c r="M183" i="2"/>
  <c r="K488" i="2"/>
  <c r="L484" i="2"/>
  <c r="M484" i="2"/>
  <c r="AA549" i="2"/>
  <c r="AA619" i="2"/>
  <c r="Z670" i="2"/>
  <c r="AA670" i="2"/>
  <c r="K490" i="2"/>
  <c r="L490" i="2"/>
  <c r="M490" i="2"/>
  <c r="L486" i="2"/>
  <c r="M486" i="2"/>
  <c r="M334" i="2"/>
  <c r="L368" i="2"/>
  <c r="Y557" i="2"/>
  <c r="Z553" i="2"/>
  <c r="AA553" i="2"/>
  <c r="L477" i="2"/>
  <c r="K481" i="2"/>
  <c r="AA140" i="2"/>
  <c r="L555" i="2"/>
  <c r="K559" i="2"/>
  <c r="M482" i="2"/>
  <c r="L520" i="2"/>
  <c r="M520" i="2"/>
  <c r="L338" i="2"/>
  <c r="M338" i="2"/>
  <c r="L365" i="2"/>
  <c r="L362" i="2"/>
  <c r="AA210" i="2"/>
  <c r="Z211" i="2"/>
  <c r="AA211" i="2"/>
  <c r="AA405" i="2"/>
  <c r="Z444" i="2"/>
  <c r="AA444" i="2"/>
  <c r="Z437" i="2"/>
  <c r="Z560" i="2"/>
  <c r="Y564" i="2"/>
  <c r="M175" i="2"/>
  <c r="L62" i="2"/>
  <c r="K653" i="2"/>
  <c r="L649" i="2"/>
  <c r="M649" i="2"/>
  <c r="K630" i="2"/>
  <c r="L626" i="2"/>
  <c r="Z67" i="2"/>
  <c r="AA67" i="2"/>
  <c r="AA443" i="2"/>
  <c r="Z447" i="2"/>
  <c r="AA447" i="2"/>
  <c r="Y568" i="2"/>
  <c r="Z564" i="2"/>
  <c r="AA564" i="2"/>
  <c r="K640" i="2"/>
  <c r="L636" i="2"/>
  <c r="AA560" i="2"/>
  <c r="L559" i="2"/>
  <c r="K563" i="2"/>
  <c r="Z485" i="2"/>
  <c r="AA485" i="2"/>
  <c r="Y489" i="2"/>
  <c r="Z489" i="2"/>
  <c r="AA438" i="2"/>
  <c r="Z439" i="2"/>
  <c r="AA439" i="2"/>
  <c r="Z627" i="2"/>
  <c r="AA627" i="2"/>
  <c r="Y631" i="2"/>
  <c r="AA331" i="2"/>
  <c r="Z368" i="2"/>
  <c r="M626" i="2"/>
  <c r="K485" i="2"/>
  <c r="L481" i="2"/>
  <c r="K27" i="2"/>
  <c r="AA593" i="2"/>
  <c r="K634" i="2"/>
  <c r="L630" i="2"/>
  <c r="M477" i="2"/>
  <c r="D450" i="2"/>
  <c r="M19" i="2"/>
  <c r="AA480" i="2"/>
  <c r="M140" i="2"/>
  <c r="L372" i="2"/>
  <c r="M372" i="2"/>
  <c r="M368" i="2"/>
  <c r="L134" i="2"/>
  <c r="Z335" i="2"/>
  <c r="Y339" i="2"/>
  <c r="AA623" i="2"/>
  <c r="M363" i="2"/>
  <c r="L364" i="2"/>
  <c r="M364" i="2"/>
  <c r="L143" i="2"/>
  <c r="M143" i="2"/>
  <c r="Z68" i="2"/>
  <c r="AA68" i="2"/>
  <c r="Z484" i="2"/>
  <c r="AA484" i="2"/>
  <c r="Y488" i="2"/>
  <c r="L488" i="2"/>
  <c r="M488" i="2"/>
  <c r="Z134" i="2"/>
  <c r="M102" i="2"/>
  <c r="L141" i="2"/>
  <c r="M141" i="2"/>
  <c r="Z557" i="2"/>
  <c r="Y561" i="2"/>
  <c r="Z649" i="2"/>
  <c r="Y653" i="2"/>
  <c r="M555" i="2"/>
  <c r="L142" i="2"/>
  <c r="M142" i="2"/>
  <c r="M179" i="2"/>
  <c r="L217" i="2"/>
  <c r="L653" i="2"/>
  <c r="M653" i="2"/>
  <c r="L209" i="2"/>
  <c r="Z141" i="2"/>
  <c r="K567" i="2"/>
  <c r="L563" i="2"/>
  <c r="AA335" i="2"/>
  <c r="M559" i="2"/>
  <c r="Z653" i="2"/>
  <c r="AA653" i="2"/>
  <c r="AA141" i="2"/>
  <c r="Z144" i="2"/>
  <c r="AA144" i="2"/>
  <c r="M210" i="2"/>
  <c r="D222" i="2"/>
  <c r="E223" i="2"/>
  <c r="L211" i="2"/>
  <c r="M211" i="2"/>
  <c r="Y565" i="2"/>
  <c r="Z561" i="2"/>
  <c r="AA561" i="2"/>
  <c r="AA368" i="2"/>
  <c r="M636" i="2"/>
  <c r="AA557" i="2"/>
  <c r="L144" i="2"/>
  <c r="M144" i="2"/>
  <c r="M630" i="2"/>
  <c r="L667" i="2"/>
  <c r="L640" i="2"/>
  <c r="M640" i="2"/>
  <c r="K644" i="2"/>
  <c r="AA489" i="2"/>
  <c r="Z339" i="2"/>
  <c r="Z369" i="2"/>
  <c r="Z365" i="2"/>
  <c r="F375" i="2"/>
  <c r="M375" i="2"/>
  <c r="D147" i="2"/>
  <c r="E148" i="2"/>
  <c r="M135" i="2"/>
  <c r="L136" i="2"/>
  <c r="M136" i="2"/>
  <c r="L634" i="2"/>
  <c r="K638" i="2"/>
  <c r="Z631" i="2"/>
  <c r="Y635" i="2"/>
  <c r="AA135" i="2"/>
  <c r="Z136" i="2"/>
  <c r="AA136" i="2"/>
  <c r="L27" i="2"/>
  <c r="E451" i="2"/>
  <c r="K450" i="2"/>
  <c r="L451" i="2"/>
  <c r="Z65" i="2"/>
  <c r="Z568" i="2"/>
  <c r="Y572" i="2"/>
  <c r="M481" i="2"/>
  <c r="L518" i="2"/>
  <c r="L485" i="2"/>
  <c r="K489" i="2"/>
  <c r="Z515" i="2"/>
  <c r="Z488" i="2"/>
  <c r="AA488" i="2"/>
  <c r="AA649" i="2"/>
  <c r="Z519" i="2"/>
  <c r="AA519" i="2"/>
  <c r="Z518" i="2"/>
  <c r="M217" i="2"/>
  <c r="L219" i="2"/>
  <c r="M219" i="2"/>
  <c r="AA369" i="2"/>
  <c r="Z372" i="2"/>
  <c r="AA372" i="2"/>
  <c r="Z522" i="2"/>
  <c r="AA522" i="2"/>
  <c r="AA518" i="2"/>
  <c r="M27" i="2"/>
  <c r="L66" i="2"/>
  <c r="M66" i="2"/>
  <c r="Z62" i="2"/>
  <c r="M485" i="2"/>
  <c r="L519" i="2"/>
  <c r="M519" i="2"/>
  <c r="L644" i="2"/>
  <c r="K648" i="2"/>
  <c r="Y569" i="2"/>
  <c r="Z565" i="2"/>
  <c r="AA65" i="2"/>
  <c r="M518" i="2"/>
  <c r="Y639" i="2"/>
  <c r="Z635" i="2"/>
  <c r="AA635" i="2"/>
  <c r="Z667" i="2"/>
  <c r="Z512" i="2"/>
  <c r="L489" i="2"/>
  <c r="L515" i="2"/>
  <c r="F525" i="2"/>
  <c r="M525" i="2"/>
  <c r="AA631" i="2"/>
  <c r="M667" i="2"/>
  <c r="M563" i="2"/>
  <c r="AA339" i="2"/>
  <c r="Z362" i="2"/>
  <c r="L59" i="2"/>
  <c r="Z572" i="2"/>
  <c r="AA572" i="2"/>
  <c r="L638" i="2"/>
  <c r="M638" i="2"/>
  <c r="K642" i="2"/>
  <c r="L567" i="2"/>
  <c r="K571" i="2"/>
  <c r="L65" i="2"/>
  <c r="AA568" i="2"/>
  <c r="M634" i="2"/>
  <c r="Z594" i="2"/>
  <c r="Z59" i="2"/>
  <c r="Z66" i="2"/>
  <c r="L590" i="2"/>
  <c r="L571" i="2"/>
  <c r="AA513" i="2"/>
  <c r="Z514" i="2"/>
  <c r="AA514" i="2"/>
  <c r="AA363" i="2"/>
  <c r="Z364" i="2"/>
  <c r="AA364" i="2"/>
  <c r="D375" i="2"/>
  <c r="L69" i="2"/>
  <c r="M69" i="2"/>
  <c r="M65" i="2"/>
  <c r="M567" i="2"/>
  <c r="L642" i="2"/>
  <c r="K646" i="2"/>
  <c r="Z569" i="2"/>
  <c r="AA569" i="2"/>
  <c r="Y573" i="2"/>
  <c r="M60" i="2"/>
  <c r="D72" i="2"/>
  <c r="E73" i="2"/>
  <c r="L61" i="2"/>
  <c r="M61" i="2"/>
  <c r="Y643" i="2"/>
  <c r="Z639" i="2"/>
  <c r="AA639" i="2"/>
  <c r="L522" i="2"/>
  <c r="M522" i="2"/>
  <c r="K652" i="2"/>
  <c r="L648" i="2"/>
  <c r="M648" i="2"/>
  <c r="AA667" i="2"/>
  <c r="AA565" i="2"/>
  <c r="M489" i="2"/>
  <c r="L512" i="2"/>
  <c r="M644" i="2"/>
  <c r="K375" i="2"/>
  <c r="L376" i="2"/>
  <c r="E376" i="2"/>
  <c r="L646" i="2"/>
  <c r="M646" i="2"/>
  <c r="K650" i="2"/>
  <c r="Z643" i="2"/>
  <c r="AA643" i="2"/>
  <c r="Y647" i="2"/>
  <c r="Z573" i="2"/>
  <c r="Z590" i="2"/>
  <c r="G600" i="2"/>
  <c r="AA66" i="2"/>
  <c r="Z69" i="2"/>
  <c r="AA69" i="2"/>
  <c r="D525" i="2"/>
  <c r="M513" i="2"/>
  <c r="L514" i="2"/>
  <c r="M514" i="2"/>
  <c r="M571" i="2"/>
  <c r="L587" i="2"/>
  <c r="M642" i="2"/>
  <c r="L593" i="2"/>
  <c r="AA60" i="2"/>
  <c r="Z61" i="2"/>
  <c r="AA61" i="2"/>
  <c r="K656" i="2"/>
  <c r="L656" i="2"/>
  <c r="L652" i="2"/>
  <c r="AA594" i="2"/>
  <c r="M656" i="2"/>
  <c r="AA573" i="2"/>
  <c r="Z587" i="2"/>
  <c r="E600" i="2"/>
  <c r="F601" i="2"/>
  <c r="Z595" i="2"/>
  <c r="E526" i="2"/>
  <c r="K525" i="2"/>
  <c r="L526" i="2"/>
  <c r="L597" i="2"/>
  <c r="M597" i="2"/>
  <c r="M593" i="2"/>
  <c r="M652" i="2"/>
  <c r="L670" i="2"/>
  <c r="M670" i="2"/>
  <c r="Z647" i="2"/>
  <c r="AA647" i="2"/>
  <c r="Y651" i="2"/>
  <c r="M588" i="2"/>
  <c r="L589" i="2"/>
  <c r="M589" i="2"/>
  <c r="L650" i="2"/>
  <c r="K654" i="2"/>
  <c r="AA595" i="2"/>
  <c r="Z597" i="2"/>
  <c r="AA597" i="2"/>
  <c r="L654" i="2"/>
  <c r="M654" i="2"/>
  <c r="L664" i="2"/>
  <c r="M650" i="2"/>
  <c r="L668" i="2"/>
  <c r="AA588" i="2"/>
  <c r="Z589" i="2"/>
  <c r="AA589" i="2"/>
  <c r="L661" i="2"/>
  <c r="Y655" i="2"/>
  <c r="Z651" i="2"/>
  <c r="AA651" i="2"/>
  <c r="M662" i="2"/>
  <c r="L663" i="2"/>
  <c r="M663" i="2"/>
  <c r="M668" i="2"/>
  <c r="L671" i="2"/>
  <c r="M671" i="2"/>
  <c r="Z655" i="2"/>
  <c r="Z664" i="2"/>
  <c r="G674" i="2"/>
  <c r="AA655" i="2"/>
  <c r="Z661" i="2"/>
  <c r="Z669" i="2"/>
  <c r="AA669" i="2"/>
  <c r="Z671" i="2"/>
  <c r="AA671" i="2"/>
  <c r="AA662" i="2"/>
  <c r="Z663" i="2"/>
  <c r="AA663" i="2"/>
  <c r="E674" i="2"/>
  <c r="F675" i="2"/>
</calcChain>
</file>

<file path=xl/sharedStrings.xml><?xml version="1.0" encoding="utf-8"?>
<sst xmlns="http://schemas.openxmlformats.org/spreadsheetml/2006/main" count="875" uniqueCount="223">
  <si>
    <t>西新</t>
    <rPh sb="0" eb="2">
      <t>ニシジン</t>
    </rPh>
    <phoneticPr fontId="10"/>
  </si>
  <si>
    <t>BUZZ①</t>
    <phoneticPr fontId="10"/>
  </si>
  <si>
    <t>BUZZ②</t>
    <phoneticPr fontId="10"/>
  </si>
  <si>
    <t>日付</t>
  </si>
  <si>
    <t>合計</t>
    <rPh sb="0" eb="2">
      <t>ゴウケイ</t>
    </rPh>
    <phoneticPr fontId="10"/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</si>
  <si>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</si>
  <si>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</si>
  <si>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</si>
  <si>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</si>
  <si>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</si>
  <si>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</si>
  <si>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</si>
  <si>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</si>
  <si>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</si>
  <si>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</si>
  <si>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t>ジャグラーサウンドボタン</t>
  </si>
  <si>
    <t>電ブル</t>
  </si>
  <si>
    <t>ジャグラーサウンドフラッシュボタンDX</t>
  </si>
  <si>
    <t>サンリオファン</t>
  </si>
  <si>
    <t>ＡＩモンスターラバー</t>
  </si>
  <si>
    <t>ギャルキティサンダル</t>
  </si>
  <si>
    <t>AIマスコット</t>
  </si>
  <si>
    <t>サンリオボアポーチ・ミラー</t>
  </si>
  <si>
    <t>22.9.12.22 パワーアップ</t>
  </si>
  <si>
    <t>サンリオバッグチャーム付22.7.8.22</t>
  </si>
  <si>
    <t>サンリオギャルキティポーチ24.8.9.24</t>
  </si>
  <si>
    <t>サンリオバッグチャーム付</t>
  </si>
  <si>
    <t>22.9.13.22</t>
  </si>
  <si>
    <t>ジャグラーコインケース24.7.11.24</t>
  </si>
  <si>
    <t>AIモンスターマスコット15.8.8.15</t>
  </si>
  <si>
    <t>ジャグラーコインケース</t>
  </si>
  <si>
    <t>AIモンスターマスコット</t>
  </si>
  <si>
    <t>スマスロ北斗の拳イヤホン20.6.9.20</t>
  </si>
  <si>
    <t>スマスロ北斗イヤホン</t>
  </si>
  <si>
    <t>モンチッチマスコット20.8.9.20</t>
  </si>
  <si>
    <t>集金</t>
  </si>
  <si>
    <t>モンチッチマスコット</t>
  </si>
  <si>
    <t>サンリオフェイスポーチ24.8.10.24</t>
  </si>
  <si>
    <t>サンリオフェイスポーチ</t>
  </si>
  <si>
    <t>デジタルミニカメラ液晶付22.8.9.22</t>
  </si>
  <si>
    <t>合計</t>
  </si>
  <si>
    <t>月売予想</t>
    <rPh sb="0" eb="2">
      <t>ツキウ</t>
    </rPh>
    <rPh sb="2" eb="4">
      <t>ヨソウ</t>
    </rPh>
    <phoneticPr fontId="10"/>
  </si>
  <si>
    <t>トータル原価</t>
  </si>
  <si>
    <t>ave</t>
  </si>
  <si>
    <t>トータル出率</t>
  </si>
  <si>
    <t>取得</t>
  </si>
  <si>
    <t>利益</t>
  </si>
  <si>
    <t>前月</t>
  </si>
  <si>
    <t>月末在庫金額</t>
  </si>
  <si>
    <t>ブース計</t>
  </si>
  <si>
    <t>払出合計</t>
  </si>
  <si>
    <t>月間予想</t>
    <rPh sb="0" eb="2">
      <t>ゲッカン</t>
    </rPh>
    <rPh sb="2" eb="4">
      <t>ヨソウ</t>
    </rPh>
    <phoneticPr fontId="10"/>
  </si>
  <si>
    <t>月間原価</t>
    <rPh sb="0" eb="2">
      <t>ゲッカン</t>
    </rPh>
    <rPh sb="2" eb="4">
      <t>ゲンカ</t>
    </rPh>
    <phoneticPr fontId="10"/>
  </si>
  <si>
    <t>月末棚卸</t>
    <rPh sb="0" eb="2">
      <t>ゲツマツ</t>
    </rPh>
    <rPh sb="2" eb="4">
      <t>タナオロシ</t>
    </rPh>
    <phoneticPr fontId="10"/>
  </si>
  <si>
    <t>３店舗　月間合計</t>
    <rPh sb="4" eb="6">
      <t>ゲッカン</t>
    </rPh>
    <rPh sb="6" eb="8">
      <t>ゴウケイ</t>
    </rPh>
    <phoneticPr fontId="10"/>
  </si>
  <si>
    <t>３店舗 月間原価</t>
    <rPh sb="4" eb="6">
      <t>ゲッカン</t>
    </rPh>
    <rPh sb="6" eb="8">
      <t>ゲンカ</t>
    </rPh>
    <phoneticPr fontId="10"/>
  </si>
  <si>
    <t>３店舗　月末棚卸</t>
    <rPh sb="4" eb="6">
      <t>ゲツマツ</t>
    </rPh>
    <rPh sb="6" eb="8">
      <t>タナオロシ</t>
    </rPh>
    <phoneticPr fontId="10"/>
  </si>
  <si>
    <t>原価率</t>
    <rPh sb="0" eb="3">
      <t>ゲンカリツ</t>
    </rPh>
    <phoneticPr fontId="10"/>
  </si>
  <si>
    <t>３店舗　月間予想</t>
    <rPh sb="1" eb="3">
      <t>テンポ</t>
    </rPh>
    <rPh sb="4" eb="6">
      <t>ゲッカン</t>
    </rPh>
    <rPh sb="6" eb="8">
      <t>ヨソウ</t>
    </rPh>
    <phoneticPr fontId="10"/>
  </si>
  <si>
    <t>電ブルキュート</t>
  </si>
  <si>
    <t>サンリオスマートキーケース</t>
  </si>
  <si>
    <t>NICI</t>
  </si>
  <si>
    <t>デジタルミニカメラ</t>
  </si>
  <si>
    <t>20.6.8.20.80　ギャルキティサンダル</t>
  </si>
  <si>
    <t>サンリオポーチミラー24.16.18.24</t>
  </si>
  <si>
    <t>18.6.8.18</t>
  </si>
  <si>
    <t>デジタルミニカメラ 20.7.9.20</t>
  </si>
  <si>
    <t>サンリオフェイスポーチ20.7.8.20</t>
  </si>
  <si>
    <t>サンリオボアポーチミラー</t>
  </si>
  <si>
    <t>電ブル20.9.12.20</t>
  </si>
  <si>
    <t>サンリオポーチ・ミラー24.7.824</t>
  </si>
  <si>
    <t>AIマスコット20.6.9.20</t>
  </si>
  <si>
    <t>シリコン外した</t>
  </si>
  <si>
    <t>24.7.10停止0.1スピード2ノーマルアーム</t>
  </si>
  <si>
    <t>ズーシーアニマル</t>
    <phoneticPr fontId="10"/>
  </si>
  <si>
    <t>22.11.13.22</t>
    <phoneticPr fontId="10"/>
  </si>
  <si>
    <t>ジャグラーイヤホン</t>
    <phoneticPr fontId="10"/>
  </si>
  <si>
    <t>20.8.10.20</t>
    <phoneticPr fontId="10"/>
  </si>
  <si>
    <t>設置</t>
    <rPh sb="0" eb="2">
      <t>セッチ</t>
    </rPh>
    <phoneticPr fontId="10"/>
  </si>
  <si>
    <t>電ブルキュート</t>
    <rPh sb="0" eb="1">
      <t>デン</t>
    </rPh>
    <phoneticPr fontId="10"/>
  </si>
  <si>
    <t>22.10.12.221</t>
    <phoneticPr fontId="10"/>
  </si>
  <si>
    <t>ジャグラーボタン</t>
    <phoneticPr fontId="10"/>
  </si>
  <si>
    <t>20.7.8.20</t>
    <phoneticPr fontId="10"/>
  </si>
  <si>
    <t>24.6.8.24</t>
    <phoneticPr fontId="10"/>
  </si>
  <si>
    <t>サンリオスマートキーケース</t>
    <phoneticPr fontId="10"/>
  </si>
  <si>
    <t>NICI</t>
    <phoneticPr fontId="10"/>
  </si>
  <si>
    <t>14.6.8.15</t>
    <phoneticPr fontId="10"/>
  </si>
  <si>
    <t>サンリオファン</t>
    <phoneticPr fontId="10"/>
  </si>
  <si>
    <t>20.6.8.20</t>
    <phoneticPr fontId="10"/>
  </si>
  <si>
    <t>20.7.1020</t>
  </si>
  <si>
    <t>14.5.9.14</t>
  </si>
  <si>
    <t>20.5.8.20</t>
  </si>
  <si>
    <t>ジャグラーサウンド 20.7.8.20</t>
  </si>
  <si>
    <r>
      <rPr>
        <sz val="6"/>
        <color theme="1"/>
        <rFont val="ＭＳ ゴシック"/>
        <family val="3"/>
        <charset val="128"/>
      </rPr>
      <t>サンリオフェイスポーチ</t>
    </r>
    <r>
      <rPr>
        <sz val="6"/>
        <color theme="1"/>
        <rFont val="Calibri"/>
        <family val="2"/>
      </rPr>
      <t>20.7.8.20</t>
    </r>
    <phoneticPr fontId="10"/>
  </si>
  <si>
    <t>サンリオファン　20.5.820</t>
  </si>
  <si>
    <t>ジャグラーサウンド</t>
    <phoneticPr fontId="10"/>
  </si>
  <si>
    <t>20.6.8.20</t>
  </si>
  <si>
    <t>サンリオフェイスポーチ</t>
    <phoneticPr fontId="10"/>
  </si>
  <si>
    <t>20.5.7.20</t>
  </si>
  <si>
    <t>しなこセボンスター70.20.10.11.20</t>
  </si>
  <si>
    <t>ジョージファン20.5.9.20sp4</t>
  </si>
  <si>
    <t>しなこセボンスター</t>
  </si>
  <si>
    <t>AIモンスター80.24.8.10.24</t>
  </si>
  <si>
    <t>ジョージファン</t>
  </si>
  <si>
    <t>20.6.7.20シリコン2</t>
  </si>
  <si>
    <t>22.9.12.22</t>
  </si>
  <si>
    <t>sp5→4</t>
  </si>
  <si>
    <t>24.5.9.24sp4アーム1号</t>
  </si>
  <si>
    <t>14.6.7.14sp2</t>
  </si>
  <si>
    <t xml:space="preserve">デジタルミニカメラ　70.20.7.9.20 </t>
  </si>
  <si>
    <t>シリコン一つ外し</t>
  </si>
  <si>
    <t>ＡＩマスコット</t>
    <phoneticPr fontId="10"/>
  </si>
  <si>
    <r>
      <rPr>
        <sz val="6"/>
        <color theme="1"/>
        <rFont val="ＭＳ ゴシック"/>
        <family val="3"/>
        <charset val="128"/>
      </rPr>
      <t>キティちゃんマスコット</t>
    </r>
    <r>
      <rPr>
        <sz val="6"/>
        <color theme="1"/>
        <rFont val="Calibri"/>
        <family val="2"/>
      </rPr>
      <t>6</t>
    </r>
    <r>
      <rPr>
        <sz val="6"/>
        <color theme="1"/>
        <rFont val="ＭＳ ゴシック"/>
        <family val="3"/>
        <charset val="128"/>
      </rPr>
      <t>色</t>
    </r>
    <r>
      <rPr>
        <sz val="6"/>
        <color theme="1"/>
        <rFont val="Calibri"/>
        <family val="2"/>
      </rPr>
      <t>24.7.8.24</t>
    </r>
    <phoneticPr fontId="10"/>
  </si>
  <si>
    <t>ラブブマスコット16.6.7.16</t>
  </si>
  <si>
    <t>ラブブマスコット</t>
  </si>
  <si>
    <t>ラブブキーホルダー</t>
  </si>
  <si>
    <t>キティマスコット</t>
  </si>
  <si>
    <t>デジタルミニカメラ液晶付</t>
  </si>
  <si>
    <t>15.6.7.15</t>
  </si>
  <si>
    <t>ラブブキーホルダー18.7.8.18</t>
  </si>
  <si>
    <t>11.5.7.11</t>
  </si>
  <si>
    <t>12.5.7.12</t>
  </si>
  <si>
    <t>20.7.7.20sp4→3</t>
  </si>
  <si>
    <t>ジャグラーボタン24.7.8.24</t>
  </si>
  <si>
    <r>
      <t>SPG</t>
    </r>
    <r>
      <rPr>
        <sz val="7"/>
        <color theme="1"/>
        <rFont val="ＭＳ Ｐゴシック"/>
        <family val="2"/>
        <charset val="128"/>
      </rPr>
      <t>ラバー</t>
    </r>
    <phoneticPr fontId="10"/>
  </si>
  <si>
    <t>20.7.8.20</t>
  </si>
  <si>
    <t>押忍番長ボイスボタン</t>
  </si>
  <si>
    <t>サンリオがま口ポーチ24.7.8.24</t>
  </si>
  <si>
    <t>がま口ポーチ</t>
  </si>
  <si>
    <t>ジャグラーサウンドフラッシュ</t>
  </si>
  <si>
    <t>番長ボタン</t>
  </si>
  <si>
    <t>ボアバンスクリップ</t>
  </si>
  <si>
    <t>ヒョウ柄サンリオフェイスポーチ</t>
  </si>
  <si>
    <t>しばこ</t>
  </si>
  <si>
    <t>サンリオファー付きフェイスポーチ</t>
  </si>
  <si>
    <t>24.6.7.24</t>
  </si>
  <si>
    <t>液晶付デジタルミニカメラ24.8.9</t>
  </si>
  <si>
    <t>バタースクイーズ24.7.8.24</t>
  </si>
  <si>
    <t>たまごっちマスコット19.6.7.19</t>
  </si>
  <si>
    <t>24.8.9.24</t>
  </si>
  <si>
    <t>サンリオファー付きフェイスポーチ24.7824</t>
  </si>
  <si>
    <t>海外製シール17.6.7.17</t>
  </si>
  <si>
    <t>たまごっちマスコット</t>
  </si>
  <si>
    <t>サンリオボアバンスクリップ20.8.9.20sp3</t>
  </si>
  <si>
    <t>バタースクイーズ</t>
  </si>
  <si>
    <t>18.8.9 SP2.2.2→3.3.3</t>
  </si>
  <si>
    <t>ギャルキティフェイスポーチ20.8.9</t>
  </si>
  <si>
    <t>11.7.7ボンドロ</t>
  </si>
  <si>
    <t>18.7.9</t>
  </si>
  <si>
    <t>ゲームプロ4イヤホン22.3 9.10.22</t>
  </si>
  <si>
    <t>たまごっちブロックシール13.8.7</t>
  </si>
  <si>
    <t/>
  </si>
  <si>
    <t>サンリオボアバンスクリップ</t>
  </si>
  <si>
    <t>ギャルキティフェイスポーチ</t>
  </si>
  <si>
    <t>ゲームプロ4イヤホン</t>
  </si>
  <si>
    <t>たまごっちブロックシール</t>
  </si>
  <si>
    <t>ボンドロ</t>
  </si>
  <si>
    <t>10.7.7スピード落とした</t>
  </si>
  <si>
    <t>20.8.10液晶デジカメシリコン2個</t>
  </si>
  <si>
    <t>18.8.9シリコン3個スピード上げた　5個置き</t>
  </si>
  <si>
    <t>山積み</t>
  </si>
  <si>
    <t>5個置き</t>
  </si>
  <si>
    <t>4個置き</t>
  </si>
  <si>
    <t>8個くらい置く</t>
  </si>
  <si>
    <t>液晶デジカメ</t>
  </si>
  <si>
    <t>4個おき</t>
  </si>
  <si>
    <t>20.8.9</t>
  </si>
  <si>
    <t>石増やした</t>
  </si>
  <si>
    <t>20.7.9 石増やした</t>
  </si>
  <si>
    <t>SP2→3 石増やした</t>
  </si>
  <si>
    <t>10.6.7</t>
  </si>
  <si>
    <t>SP3→4</t>
  </si>
  <si>
    <t>20.8.10 上部停止0.1</t>
  </si>
  <si>
    <t>20.8.10 上部停止0.1→0次カラビナ入れる</t>
  </si>
  <si>
    <t>上部停止0.1→0</t>
  </si>
  <si>
    <t>14.7.7</t>
  </si>
  <si>
    <t>20.11.12.20水感スクイーズ</t>
  </si>
  <si>
    <t>要調整！</t>
  </si>
  <si>
    <t>パンケーキスクイーズ</t>
  </si>
  <si>
    <t>20.9.10</t>
  </si>
  <si>
    <t>20.14.11.20</t>
  </si>
  <si>
    <t>シリコン1 24.9.11</t>
  </si>
  <si>
    <t>20.7.9 SP3→2 アシスト60→70</t>
  </si>
  <si>
    <t>石追加する！</t>
  </si>
  <si>
    <t>上部停止0→0.1</t>
  </si>
  <si>
    <t>20.11.12</t>
  </si>
  <si>
    <t>ベアブリック14.7.8 シリコン3 次パケ入れる</t>
  </si>
  <si>
    <t>ベアブリック</t>
  </si>
  <si>
    <t>ノーマルアームに変える</t>
  </si>
  <si>
    <t>石追加した</t>
  </si>
  <si>
    <t>ノーマルアームに変えた14.7.7</t>
  </si>
  <si>
    <t>バタースクイーズ16.7.8</t>
  </si>
  <si>
    <t>ジャグラー3連ボタン20.7.8</t>
  </si>
  <si>
    <t>エラー停止</t>
  </si>
  <si>
    <t>ジャグラーサウンドボタンDX</t>
  </si>
  <si>
    <t>他のスクイーズ入れたい</t>
  </si>
  <si>
    <t>たまごっちキーリング入れる</t>
  </si>
  <si>
    <t>次入れ替え！サンリオファン</t>
  </si>
  <si>
    <t>次補充！！　サンリオ引き出しに箱で入ってるよ</t>
  </si>
  <si>
    <t>たまごっちキーリング14.8.7 SP3</t>
  </si>
  <si>
    <t>パンケーキスクイーズ20.8.9シリコン3</t>
  </si>
  <si>
    <t>次サンリオファン！！</t>
  </si>
  <si>
    <t>たまごっちキーリング</t>
  </si>
  <si>
    <t>20.7.8 サンリオファンに入れ替え</t>
  </si>
  <si>
    <t>AIラバー入れる</t>
  </si>
  <si>
    <t>量増やした24.8.9</t>
  </si>
  <si>
    <t>AIラバー　18.7.7 ノーマルアーム</t>
  </si>
  <si>
    <t>24.10.12</t>
  </si>
  <si>
    <t>AIラバー</t>
  </si>
  <si>
    <t>SP2→1</t>
  </si>
  <si>
    <t>サンリオファン18.6.8.18 シリコン3 POPいる</t>
  </si>
  <si>
    <t>24.7.8 次3号アームに変える</t>
  </si>
  <si>
    <t>キティボールペン22.7.8.20 シリコン3</t>
  </si>
  <si>
    <t>フィールドの数減らして点置きにした</t>
  </si>
  <si>
    <t>サンリオボールペン</t>
  </si>
  <si>
    <t>20.7.8 SP4→3</t>
  </si>
  <si>
    <t>SP5→6</t>
  </si>
  <si>
    <t>スンスンがま口　14.7.7</t>
  </si>
  <si>
    <t>22.8.8</t>
  </si>
  <si>
    <t>スンスンがま口</t>
  </si>
  <si>
    <t>16.8.9 SP1→4</t>
  </si>
  <si>
    <t>18.7.8 緩和0.1→0.2</t>
  </si>
  <si>
    <t>16.7.8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</si>
</sst>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_);[Red]\(0\)"/>
    <numFmt numFmtId="177" formatCode="m/d/aaa"/>
    <numFmt numFmtId="178" formatCode="0.0%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6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MS PGothic"/>
      <family val="3"/>
      <charset val="128"/>
    </font>
    <font>
      <b/>
      <sz val="11"/>
      <color theme="1"/>
      <name val="Calibri"/>
      <family val="2"/>
    </font>
    <font>
      <sz val="11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7"/>
      <color theme="1"/>
      <name val="Calibri"/>
      <family val="2"/>
    </font>
    <font>
      <sz val="7"/>
      <color theme="1"/>
      <name val="Calibri"/>
      <family val="2"/>
      <scheme val="minor"/>
    </font>
    <font>
      <sz val="11"/>
      <color theme="1"/>
      <name val="ＭＳ Ｐゴシック"/>
      <family val="2"/>
      <charset val="128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ＭＳ Ｐゴシック"/>
      <family val="2"/>
      <charset val="128"/>
    </font>
    <font>
      <sz val="9"/>
      <color theme="1"/>
      <name val="ＭＳ Ｐゴシック"/>
      <family val="2"/>
      <charset val="128"/>
    </font>
    <font>
      <sz val="6"/>
      <color theme="1"/>
      <name val="ＭＳ ゴシック"/>
      <family val="3"/>
      <charset val="128"/>
    </font>
    <font>
      <sz val="6"/>
      <color theme="1"/>
      <name val="Calibri"/>
      <family val="3"/>
      <charset val="128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4"/>
      <color theme="1"/>
      <name val="Calibri"/>
      <family val="2"/>
    </font>
    <font>
      <sz val="7"/>
      <color theme="1"/>
      <name val="ＭＳ ゴシック"/>
      <family val="3"/>
      <charset val="128"/>
    </font>
    <font>
      <sz val="7"/>
      <color theme="1"/>
      <name val="MS PGothic"/>
      <family val="3"/>
      <charset val="128"/>
    </font>
    <font>
      <sz val="7"/>
      <color theme="1"/>
      <name val="Calibri"/>
      <family val="2"/>
      <scheme val="minor"/>
    </font>
    <font>
      <sz val="7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0" fontId="14" fillId="0" borderId="0" applyNumberFormat="0" applyFill="0" applyBorder="0" applyAlignment="0" applyProtection="0"/>
    <xf numFmtId="6" fontId="1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0" fontId="23" fillId="0" borderId="0"/>
  </cellStyleXfs>
  <cellXfs count="223">
    <xf numFmtId="0" fontId="0" fillId="0" borderId="0" xfId="0" applyAlignment="1">
      <alignment vertical="center"/>
    </xf>
    <xf numFmtId="3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8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4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horizontal="right" vertical="center"/>
    </xf>
    <xf numFmtId="38" fontId="4" fillId="0" borderId="1" xfId="0" applyNumberFormat="1" applyFont="1" applyBorder="1" applyAlignment="1">
      <alignment vertical="center"/>
    </xf>
    <xf numFmtId="9" fontId="1" fillId="0" borderId="0" xfId="0" applyNumberFormat="1" applyFont="1" applyAlignment="1">
      <alignment vertical="center"/>
    </xf>
    <xf numFmtId="38" fontId="1" fillId="0" borderId="4" xfId="0" applyNumberFormat="1" applyFont="1" applyBorder="1" applyAlignment="1">
      <alignment vertical="center"/>
    </xf>
    <xf numFmtId="177" fontId="1" fillId="0" borderId="5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38" fontId="1" fillId="0" borderId="6" xfId="0" applyNumberFormat="1" applyFont="1" applyBorder="1" applyAlignment="1">
      <alignment vertical="center"/>
    </xf>
    <xf numFmtId="38" fontId="4" fillId="0" borderId="5" xfId="0" applyNumberFormat="1" applyFont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vertical="center"/>
    </xf>
    <xf numFmtId="177" fontId="1" fillId="0" borderId="2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vertical="center"/>
    </xf>
    <xf numFmtId="38" fontId="6" fillId="0" borderId="1" xfId="0" applyNumberFormat="1" applyFont="1" applyBorder="1" applyAlignment="1">
      <alignment vertical="center"/>
    </xf>
    <xf numFmtId="38" fontId="2" fillId="0" borderId="2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38" fontId="1" fillId="0" borderId="5" xfId="0" applyNumberFormat="1" applyFont="1" applyBorder="1" applyAlignment="1">
      <alignment horizontal="right" vertical="center"/>
    </xf>
    <xf numFmtId="38" fontId="1" fillId="0" borderId="2" xfId="0" applyNumberFormat="1" applyFont="1" applyBorder="1" applyAlignment="1">
      <alignment horizontal="right" vertical="center"/>
    </xf>
    <xf numFmtId="38" fontId="8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38" fontId="1" fillId="0" borderId="8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vertical="center"/>
    </xf>
    <xf numFmtId="38" fontId="11" fillId="0" borderId="1" xfId="0" applyNumberFormat="1" applyFont="1" applyBorder="1" applyAlignment="1">
      <alignment horizontal="center" vertical="center"/>
    </xf>
    <xf numFmtId="38" fontId="11" fillId="0" borderId="1" xfId="0" applyNumberFormat="1" applyFont="1" applyBorder="1" applyAlignment="1">
      <alignment vertical="center"/>
    </xf>
    <xf numFmtId="38" fontId="11" fillId="0" borderId="5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" fillId="0" borderId="15" xfId="0" applyNumberFormat="1" applyFont="1" applyBorder="1" applyAlignment="1">
      <alignment vertical="center"/>
    </xf>
    <xf numFmtId="38" fontId="1" fillId="0" borderId="10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38" fontId="1" fillId="0" borderId="16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38" fontId="1" fillId="0" borderId="9" xfId="0" applyNumberFormat="1" applyFont="1" applyBorder="1" applyAlignment="1">
      <alignment horizontal="center" vertical="center"/>
    </xf>
    <xf numFmtId="38" fontId="11" fillId="0" borderId="8" xfId="0" applyNumberFormat="1" applyFont="1" applyBorder="1" applyAlignment="1">
      <alignment vertical="center"/>
    </xf>
    <xf numFmtId="38" fontId="1" fillId="0" borderId="11" xfId="0" applyNumberFormat="1" applyFont="1" applyBorder="1" applyAlignment="1">
      <alignment vertical="center"/>
    </xf>
    <xf numFmtId="9" fontId="1" fillId="0" borderId="8" xfId="0" applyNumberFormat="1" applyFont="1" applyBorder="1" applyAlignment="1">
      <alignment vertical="center"/>
    </xf>
    <xf numFmtId="38" fontId="4" fillId="0" borderId="8" xfId="0" applyNumberFormat="1" applyFont="1" applyBorder="1" applyAlignment="1">
      <alignment vertical="center"/>
    </xf>
    <xf numFmtId="177" fontId="1" fillId="0" borderId="8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horizontal="right" vertical="center"/>
    </xf>
    <xf numFmtId="178" fontId="1" fillId="0" borderId="8" xfId="0" applyNumberFormat="1" applyFont="1" applyBorder="1" applyAlignment="1">
      <alignment vertical="center"/>
    </xf>
    <xf numFmtId="38" fontId="2" fillId="0" borderId="8" xfId="0" applyNumberFormat="1" applyFont="1" applyBorder="1" applyAlignment="1">
      <alignment vertical="center"/>
    </xf>
    <xf numFmtId="176" fontId="0" fillId="0" borderId="0" xfId="0" applyNumberFormat="1" applyAlignment="1">
      <alignment vertical="center"/>
    </xf>
    <xf numFmtId="177" fontId="1" fillId="0" borderId="3" xfId="0" applyNumberFormat="1" applyFont="1" applyBorder="1" applyAlignment="1">
      <alignment vertical="center"/>
    </xf>
    <xf numFmtId="177" fontId="1" fillId="0" borderId="4" xfId="0" applyNumberFormat="1" applyFont="1" applyBorder="1" applyAlignment="1">
      <alignment vertical="center"/>
    </xf>
    <xf numFmtId="177" fontId="1" fillId="0" borderId="6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vertical="center"/>
    </xf>
    <xf numFmtId="38" fontId="4" fillId="0" borderId="15" xfId="0" applyNumberFormat="1" applyFont="1" applyBorder="1" applyAlignment="1">
      <alignment vertical="center"/>
    </xf>
    <xf numFmtId="38" fontId="2" fillId="0" borderId="15" xfId="0" applyNumberFormat="1" applyFont="1" applyBorder="1" applyAlignment="1">
      <alignment vertical="center"/>
    </xf>
    <xf numFmtId="177" fontId="1" fillId="0" borderId="12" xfId="0" applyNumberFormat="1" applyFont="1" applyBorder="1" applyAlignment="1">
      <alignment vertical="center"/>
    </xf>
    <xf numFmtId="38" fontId="4" fillId="0" borderId="12" xfId="0" applyNumberFormat="1" applyFont="1" applyBorder="1" applyAlignment="1">
      <alignment vertical="center"/>
    </xf>
    <xf numFmtId="38" fontId="11" fillId="0" borderId="15" xfId="0" applyNumberFormat="1" applyFont="1" applyBorder="1" applyAlignment="1">
      <alignment vertical="center"/>
    </xf>
    <xf numFmtId="38" fontId="11" fillId="0" borderId="12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8" fontId="7" fillId="0" borderId="3" xfId="0" applyNumberFormat="1" applyFont="1" applyBorder="1" applyAlignment="1">
      <alignment horizontal="center" vertical="center"/>
    </xf>
    <xf numFmtId="38" fontId="7" fillId="0" borderId="13" xfId="0" applyNumberFormat="1" applyFont="1" applyBorder="1" applyAlignment="1">
      <alignment horizontal="center" vertical="center"/>
    </xf>
    <xf numFmtId="178" fontId="1" fillId="0" borderId="1" xfId="3" applyNumberFormat="1" applyFont="1" applyBorder="1" applyAlignment="1">
      <alignment vertical="center"/>
    </xf>
    <xf numFmtId="38" fontId="1" fillId="0" borderId="10" xfId="0" applyNumberFormat="1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38" fontId="1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77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176" fontId="1" fillId="0" borderId="15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176" fontId="1" fillId="0" borderId="9" xfId="0" applyNumberFormat="1" applyFont="1" applyBorder="1" applyAlignment="1">
      <alignment vertical="center"/>
    </xf>
    <xf numFmtId="38" fontId="17" fillId="0" borderId="8" xfId="0" applyNumberFormat="1" applyFont="1" applyBorder="1" applyAlignment="1">
      <alignment vertical="center"/>
    </xf>
    <xf numFmtId="38" fontId="17" fillId="0" borderId="1" xfId="0" applyNumberFormat="1" applyFont="1" applyBorder="1" applyAlignment="1">
      <alignment vertical="center"/>
    </xf>
    <xf numFmtId="38" fontId="17" fillId="0" borderId="5" xfId="0" applyNumberFormat="1" applyFont="1" applyBorder="1" applyAlignment="1">
      <alignment vertical="center"/>
    </xf>
    <xf numFmtId="38" fontId="13" fillId="0" borderId="9" xfId="0" applyNumberFormat="1" applyFont="1" applyBorder="1" applyAlignment="1">
      <alignment vertical="center"/>
    </xf>
    <xf numFmtId="38" fontId="18" fillId="0" borderId="8" xfId="0" applyNumberFormat="1" applyFont="1" applyBorder="1" applyAlignment="1">
      <alignment horizontal="center" vertical="center"/>
    </xf>
    <xf numFmtId="9" fontId="1" fillId="4" borderId="7" xfId="0" applyNumberFormat="1" applyFont="1" applyFill="1" applyBorder="1" applyAlignment="1">
      <alignment vertical="center"/>
    </xf>
    <xf numFmtId="9" fontId="1" fillId="4" borderId="5" xfId="0" applyNumberFormat="1" applyFont="1" applyFill="1" applyBorder="1" applyAlignment="1">
      <alignment vertical="center"/>
    </xf>
    <xf numFmtId="177" fontId="1" fillId="0" borderId="8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7" fontId="1" fillId="0" borderId="6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  <xf numFmtId="177" fontId="1" fillId="0" borderId="5" xfId="0" applyNumberFormat="1" applyFont="1" applyBorder="1" applyAlignment="1">
      <alignment horizontal="right" vertical="center"/>
    </xf>
    <xf numFmtId="9" fontId="1" fillId="5" borderId="7" xfId="0" applyNumberFormat="1" applyFont="1" applyFill="1" applyBorder="1" applyAlignment="1">
      <alignment vertical="center"/>
    </xf>
    <xf numFmtId="9" fontId="1" fillId="5" borderId="5" xfId="0" applyNumberFormat="1" applyFont="1" applyFill="1" applyBorder="1" applyAlignment="1">
      <alignment vertical="center"/>
    </xf>
    <xf numFmtId="9" fontId="1" fillId="5" borderId="1" xfId="0" applyNumberFormat="1" applyFont="1" applyFill="1" applyBorder="1" applyAlignment="1">
      <alignment vertical="top"/>
    </xf>
    <xf numFmtId="177" fontId="1" fillId="0" borderId="3" xfId="0" applyNumberFormat="1" applyFont="1" applyBorder="1" applyAlignment="1">
      <alignment horizontal="right" vertical="center"/>
    </xf>
    <xf numFmtId="9" fontId="1" fillId="5" borderId="5" xfId="0" applyNumberFormat="1" applyFont="1" applyFill="1" applyBorder="1" applyAlignment="1">
      <alignment vertical="top"/>
    </xf>
    <xf numFmtId="9" fontId="1" fillId="6" borderId="5" xfId="0" applyNumberFormat="1" applyFont="1" applyFill="1" applyBorder="1" applyAlignment="1">
      <alignment vertical="center"/>
    </xf>
    <xf numFmtId="38" fontId="20" fillId="0" borderId="1" xfId="0" applyNumberFormat="1" applyFont="1" applyBorder="1" applyAlignment="1">
      <alignment vertical="center"/>
    </xf>
    <xf numFmtId="38" fontId="1" fillId="4" borderId="1" xfId="0" applyNumberFormat="1" applyFont="1" applyFill="1" applyBorder="1" applyAlignment="1">
      <alignment vertical="center"/>
    </xf>
    <xf numFmtId="38" fontId="1" fillId="5" borderId="8" xfId="0" applyNumberFormat="1" applyFont="1" applyFill="1" applyBorder="1" applyAlignment="1">
      <alignment vertical="center"/>
    </xf>
    <xf numFmtId="38" fontId="1" fillId="5" borderId="1" xfId="0" applyNumberFormat="1" applyFont="1" applyFill="1" applyBorder="1" applyAlignment="1">
      <alignment vertical="center"/>
    </xf>
    <xf numFmtId="9" fontId="21" fillId="4" borderId="7" xfId="0" applyNumberFormat="1" applyFont="1" applyFill="1" applyBorder="1" applyAlignment="1">
      <alignment vertical="center"/>
    </xf>
    <xf numFmtId="38" fontId="1" fillId="0" borderId="18" xfId="0" applyNumberFormat="1" applyFont="1" applyBorder="1" applyAlignment="1">
      <alignment vertical="center"/>
    </xf>
    <xf numFmtId="38" fontId="1" fillId="0" borderId="8" xfId="4" applyFont="1" applyBorder="1" applyAlignment="1">
      <alignment vertical="center"/>
    </xf>
    <xf numFmtId="9" fontId="1" fillId="4" borderId="1" xfId="0" applyNumberFormat="1" applyFont="1" applyFill="1" applyBorder="1" applyAlignment="1">
      <alignment vertical="center"/>
    </xf>
    <xf numFmtId="38" fontId="13" fillId="0" borderId="13" xfId="0" applyNumberFormat="1" applyFont="1" applyBorder="1" applyAlignment="1">
      <alignment vertical="center"/>
    </xf>
    <xf numFmtId="178" fontId="1" fillId="0" borderId="13" xfId="3" applyNumberFormat="1" applyFont="1" applyBorder="1" applyAlignment="1">
      <alignment vertical="center"/>
    </xf>
    <xf numFmtId="38" fontId="1" fillId="4" borderId="10" xfId="0" applyNumberFormat="1" applyFont="1" applyFill="1" applyBorder="1" applyAlignment="1">
      <alignment vertical="center"/>
    </xf>
    <xf numFmtId="9" fontId="1" fillId="7" borderId="5" xfId="0" applyNumberFormat="1" applyFont="1" applyFill="1" applyBorder="1" applyAlignment="1">
      <alignment vertical="center"/>
    </xf>
    <xf numFmtId="9" fontId="1" fillId="8" borderId="7" xfId="0" applyNumberFormat="1" applyFont="1" applyFill="1" applyBorder="1" applyAlignment="1">
      <alignment vertical="center"/>
    </xf>
    <xf numFmtId="9" fontId="1" fillId="8" borderId="1" xfId="0" applyNumberFormat="1" applyFont="1" applyFill="1" applyBorder="1" applyAlignment="1">
      <alignment vertical="center"/>
    </xf>
    <xf numFmtId="38" fontId="1" fillId="0" borderId="5" xfId="0" applyNumberFormat="1" applyFont="1" applyBorder="1" applyAlignment="1">
      <alignment vertical="top"/>
    </xf>
    <xf numFmtId="38" fontId="1" fillId="0" borderId="15" xfId="0" applyNumberFormat="1" applyFont="1" applyBorder="1" applyAlignment="1">
      <alignment horizontal="right" vertical="center"/>
    </xf>
    <xf numFmtId="38" fontId="11" fillId="0" borderId="10" xfId="0" applyNumberFormat="1" applyFont="1" applyBorder="1" applyAlignment="1">
      <alignment vertical="center"/>
    </xf>
    <xf numFmtId="38" fontId="13" fillId="0" borderId="0" xfId="0" applyNumberFormat="1" applyFont="1" applyAlignment="1">
      <alignment vertical="center"/>
    </xf>
    <xf numFmtId="178" fontId="1" fillId="0" borderId="0" xfId="3" applyNumberFormat="1" applyFont="1" applyBorder="1" applyAlignment="1">
      <alignment vertical="center"/>
    </xf>
    <xf numFmtId="38" fontId="13" fillId="0" borderId="9" xfId="0" applyNumberFormat="1" applyFont="1" applyBorder="1" applyAlignment="1">
      <alignment horizontal="center" vertical="center"/>
    </xf>
    <xf numFmtId="38" fontId="1" fillId="4" borderId="8" xfId="0" applyNumberFormat="1" applyFont="1" applyFill="1" applyBorder="1" applyAlignment="1">
      <alignment vertical="center"/>
    </xf>
    <xf numFmtId="38" fontId="13" fillId="0" borderId="11" xfId="0" applyNumberFormat="1" applyFont="1" applyBorder="1" applyAlignment="1">
      <alignment horizontal="center" vertical="center"/>
    </xf>
    <xf numFmtId="178" fontId="1" fillId="0" borderId="8" xfId="3" applyNumberFormat="1" applyFont="1" applyBorder="1" applyAlignment="1">
      <alignment vertical="center"/>
    </xf>
    <xf numFmtId="177" fontId="1" fillId="5" borderId="2" xfId="0" applyNumberFormat="1" applyFont="1" applyFill="1" applyBorder="1" applyAlignment="1">
      <alignment horizontal="right" vertical="center"/>
    </xf>
    <xf numFmtId="9" fontId="1" fillId="10" borderId="7" xfId="0" applyNumberFormat="1" applyFont="1" applyFill="1" applyBorder="1" applyAlignment="1">
      <alignment vertical="center"/>
    </xf>
    <xf numFmtId="178" fontId="1" fillId="0" borderId="0" xfId="3" applyNumberFormat="1" applyFont="1" applyAlignment="1">
      <alignment vertical="center"/>
    </xf>
    <xf numFmtId="38" fontId="1" fillId="6" borderId="10" xfId="0" applyNumberFormat="1" applyFont="1" applyFill="1" applyBorder="1" applyAlignment="1">
      <alignment vertical="center"/>
    </xf>
    <xf numFmtId="38" fontId="1" fillId="12" borderId="1" xfId="0" applyNumberFormat="1" applyFont="1" applyFill="1" applyBorder="1" applyAlignment="1">
      <alignment vertical="center"/>
    </xf>
    <xf numFmtId="9" fontId="1" fillId="5" borderId="1" xfId="0" applyNumberFormat="1" applyFont="1" applyFill="1" applyBorder="1" applyAlignment="1">
      <alignment vertical="center"/>
    </xf>
    <xf numFmtId="9" fontId="1" fillId="10" borderId="1" xfId="0" applyNumberFormat="1" applyFont="1" applyFill="1" applyBorder="1" applyAlignment="1">
      <alignment vertical="center"/>
    </xf>
    <xf numFmtId="38" fontId="1" fillId="10" borderId="1" xfId="0" applyNumberFormat="1" applyFont="1" applyFill="1" applyBorder="1" applyAlignment="1">
      <alignment vertical="center"/>
    </xf>
    <xf numFmtId="38" fontId="11" fillId="0" borderId="2" xfId="0" applyNumberFormat="1" applyFont="1" applyBorder="1" applyAlignment="1">
      <alignment vertical="center"/>
    </xf>
    <xf numFmtId="38" fontId="26" fillId="0" borderId="15" xfId="0" applyNumberFormat="1" applyFont="1" applyBorder="1" applyAlignment="1">
      <alignment vertical="center"/>
    </xf>
    <xf numFmtId="38" fontId="27" fillId="0" borderId="3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38" fontId="26" fillId="0" borderId="1" xfId="0" applyNumberFormat="1" applyFont="1" applyBorder="1" applyAlignment="1">
      <alignment vertical="center"/>
    </xf>
    <xf numFmtId="38" fontId="29" fillId="0" borderId="1" xfId="0" applyNumberFormat="1" applyFont="1" applyBorder="1" applyAlignment="1">
      <alignment vertical="center"/>
    </xf>
    <xf numFmtId="38" fontId="15" fillId="2" borderId="17" xfId="4" applyFont="1" applyFill="1" applyBorder="1" applyAlignment="1">
      <alignment horizontal="center" vertical="center"/>
    </xf>
    <xf numFmtId="176" fontId="15" fillId="2" borderId="14" xfId="0" applyNumberFormat="1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38" fontId="15" fillId="9" borderId="14" xfId="0" applyNumberFormat="1" applyFont="1" applyFill="1" applyBorder="1" applyAlignment="1">
      <alignment horizontal="center" vertical="center"/>
    </xf>
    <xf numFmtId="176" fontId="15" fillId="2" borderId="14" xfId="0" applyNumberFormat="1" applyFont="1" applyFill="1" applyBorder="1" applyAlignment="1">
      <alignment vertical="center"/>
    </xf>
    <xf numFmtId="177" fontId="1" fillId="5" borderId="8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vertical="center"/>
    </xf>
    <xf numFmtId="38" fontId="1" fillId="0" borderId="8" xfId="0" applyNumberFormat="1" applyFont="1" applyBorder="1" applyAlignment="1">
      <alignment horizontal="left" vertical="center"/>
    </xf>
    <xf numFmtId="38" fontId="1" fillId="0" borderId="1" xfId="0" applyNumberFormat="1" applyFont="1" applyBorder="1" applyAlignment="1">
      <alignment horizontal="left" vertical="center"/>
    </xf>
    <xf numFmtId="38" fontId="11" fillId="0" borderId="10" xfId="0" applyNumberFormat="1" applyFont="1" applyBorder="1" applyAlignment="1">
      <alignment horizontal="left" vertical="center"/>
    </xf>
    <xf numFmtId="38" fontId="11" fillId="0" borderId="8" xfId="0" applyNumberFormat="1" applyFont="1" applyBorder="1" applyAlignment="1">
      <alignment horizontal="left" vertical="center"/>
    </xf>
    <xf numFmtId="38" fontId="11" fillId="0" borderId="1" xfId="0" applyNumberFormat="1" applyFont="1" applyBorder="1" applyAlignment="1">
      <alignment horizontal="left" vertical="center"/>
    </xf>
    <xf numFmtId="38" fontId="11" fillId="0" borderId="5" xfId="0" applyNumberFormat="1" applyFont="1" applyBorder="1" applyAlignment="1">
      <alignment horizontal="left" vertical="center"/>
    </xf>
    <xf numFmtId="38" fontId="4" fillId="0" borderId="8" xfId="0" applyNumberFormat="1" applyFont="1" applyBorder="1" applyAlignment="1">
      <alignment horizontal="left" vertical="center"/>
    </xf>
    <xf numFmtId="38" fontId="4" fillId="0" borderId="1" xfId="0" applyNumberFormat="1" applyFont="1" applyBorder="1" applyAlignment="1">
      <alignment horizontal="left" vertical="center"/>
    </xf>
    <xf numFmtId="38" fontId="4" fillId="0" borderId="5" xfId="0" applyNumberFormat="1" applyFont="1" applyBorder="1" applyAlignment="1">
      <alignment horizontal="left" vertical="center"/>
    </xf>
    <xf numFmtId="38" fontId="4" fillId="0" borderId="12" xfId="0" applyNumberFormat="1" applyFont="1" applyBorder="1" applyAlignment="1">
      <alignment horizontal="left" vertical="center"/>
    </xf>
    <xf numFmtId="38" fontId="4" fillId="0" borderId="15" xfId="0" applyNumberFormat="1" applyFont="1" applyBorder="1" applyAlignment="1">
      <alignment horizontal="left" vertical="center"/>
    </xf>
    <xf numFmtId="9" fontId="2" fillId="0" borderId="7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9" fontId="2" fillId="0" borderId="5" xfId="0" applyNumberFormat="1" applyFont="1" applyBorder="1" applyAlignment="1">
      <alignment vertical="center"/>
    </xf>
    <xf numFmtId="38" fontId="18" fillId="0" borderId="8" xfId="0" applyNumberFormat="1" applyFont="1" applyBorder="1" applyAlignment="1">
      <alignment horizontal="left" vertical="center"/>
    </xf>
    <xf numFmtId="38" fontId="18" fillId="0" borderId="1" xfId="0" applyNumberFormat="1" applyFont="1" applyBorder="1" applyAlignment="1">
      <alignment horizontal="left" vertical="center"/>
    </xf>
    <xf numFmtId="38" fontId="18" fillId="0" borderId="5" xfId="0" applyNumberFormat="1" applyFont="1" applyBorder="1" applyAlignment="1">
      <alignment horizontal="left" vertical="center"/>
    </xf>
    <xf numFmtId="38" fontId="3" fillId="0" borderId="8" xfId="0" applyNumberFormat="1" applyFont="1" applyBorder="1" applyAlignment="1">
      <alignment horizontal="left" vertical="center"/>
    </xf>
    <xf numFmtId="38" fontId="3" fillId="0" borderId="1" xfId="0" applyNumberFormat="1" applyFont="1" applyBorder="1" applyAlignment="1">
      <alignment horizontal="left" vertical="center"/>
    </xf>
    <xf numFmtId="38" fontId="3" fillId="0" borderId="5" xfId="0" applyNumberFormat="1" applyFont="1" applyBorder="1" applyAlignment="1">
      <alignment horizontal="left" vertical="center"/>
    </xf>
    <xf numFmtId="38" fontId="3" fillId="0" borderId="2" xfId="0" applyNumberFormat="1" applyFont="1" applyBorder="1" applyAlignment="1">
      <alignment horizontal="left" vertical="center"/>
    </xf>
    <xf numFmtId="38" fontId="30" fillId="0" borderId="15" xfId="0" applyNumberFormat="1" applyFont="1" applyBorder="1" applyAlignment="1">
      <alignment horizontal="left" vertical="center"/>
    </xf>
    <xf numFmtId="38" fontId="2" fillId="10" borderId="1" xfId="0" applyNumberFormat="1" applyFont="1" applyFill="1" applyBorder="1" applyAlignment="1">
      <alignment vertical="center"/>
    </xf>
    <xf numFmtId="38" fontId="5" fillId="3" borderId="1" xfId="0" applyNumberFormat="1" applyFont="1" applyFill="1" applyBorder="1" applyAlignment="1">
      <alignment vertical="center"/>
    </xf>
    <xf numFmtId="177" fontId="1" fillId="5" borderId="1" xfId="0" applyNumberFormat="1" applyFont="1" applyFill="1" applyBorder="1" applyAlignment="1">
      <alignment horizontal="right" vertical="center"/>
    </xf>
    <xf numFmtId="38" fontId="2" fillId="13" borderId="1" xfId="0" applyNumberFormat="1" applyFont="1" applyFill="1" applyBorder="1" applyAlignment="1">
      <alignment vertical="center"/>
    </xf>
    <xf numFmtId="38" fontId="1" fillId="5" borderId="2" xfId="0" applyNumberFormat="1" applyFont="1" applyFill="1" applyBorder="1" applyAlignment="1">
      <alignment vertical="center"/>
    </xf>
    <xf numFmtId="38" fontId="2" fillId="3" borderId="1" xfId="0" applyNumberFormat="1" applyFont="1" applyFill="1" applyBorder="1" applyAlignment="1">
      <alignment vertical="center"/>
    </xf>
    <xf numFmtId="177" fontId="1" fillId="6" borderId="1" xfId="0" applyNumberFormat="1" applyFont="1" applyFill="1" applyBorder="1" applyAlignment="1">
      <alignment horizontal="right" vertical="center"/>
    </xf>
    <xf numFmtId="38" fontId="2" fillId="14" borderId="1" xfId="0" applyNumberFormat="1" applyFont="1" applyFill="1" applyBorder="1" applyAlignment="1">
      <alignment vertical="center"/>
    </xf>
    <xf numFmtId="177" fontId="1" fillId="0" borderId="8" xfId="0" applyNumberFormat="1" applyFont="1" applyFill="1" applyBorder="1" applyAlignment="1">
      <alignment horizontal="right" vertical="center"/>
    </xf>
    <xf numFmtId="176" fontId="1" fillId="0" borderId="12" xfId="0" applyNumberFormat="1" applyFont="1" applyFill="1" applyBorder="1" applyAlignment="1">
      <alignment vertical="center"/>
    </xf>
    <xf numFmtId="38" fontId="1" fillId="0" borderId="12" xfId="0" applyNumberFormat="1" applyFont="1" applyFill="1" applyBorder="1" applyAlignment="1">
      <alignment vertical="center"/>
    </xf>
    <xf numFmtId="38" fontId="1" fillId="0" borderId="1" xfId="0" applyNumberFormat="1" applyFont="1" applyFill="1" applyBorder="1" applyAlignment="1">
      <alignment vertical="center"/>
    </xf>
    <xf numFmtId="177" fontId="1" fillId="0" borderId="5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vertical="center"/>
    </xf>
    <xf numFmtId="38" fontId="1" fillId="0" borderId="15" xfId="0" applyNumberFormat="1" applyFont="1" applyFill="1" applyBorder="1" applyAlignment="1">
      <alignment vertical="center"/>
    </xf>
    <xf numFmtId="38" fontId="1" fillId="0" borderId="10" xfId="0" applyNumberFormat="1" applyFont="1" applyFill="1" applyBorder="1" applyAlignment="1">
      <alignment vertical="center"/>
    </xf>
    <xf numFmtId="176" fontId="1" fillId="0" borderId="8" xfId="0" applyNumberFormat="1" applyFont="1" applyFill="1" applyBorder="1" applyAlignment="1">
      <alignment vertical="center"/>
    </xf>
    <xf numFmtId="38" fontId="1" fillId="0" borderId="8" xfId="0" applyNumberFormat="1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vertical="center"/>
    </xf>
    <xf numFmtId="38" fontId="1" fillId="0" borderId="2" xfId="0" applyNumberFormat="1" applyFont="1" applyFill="1" applyBorder="1" applyAlignment="1">
      <alignment vertical="center"/>
    </xf>
    <xf numFmtId="38" fontId="1" fillId="0" borderId="5" xfId="0" applyNumberFormat="1" applyFont="1" applyFill="1" applyBorder="1" applyAlignment="1">
      <alignment vertical="center"/>
    </xf>
    <xf numFmtId="38" fontId="5" fillId="0" borderId="4" xfId="0" applyNumberFormat="1" applyFont="1" applyBorder="1" applyAlignment="1">
      <alignment horizontal="right" vertical="center"/>
    </xf>
    <xf numFmtId="38" fontId="13" fillId="0" borderId="19" xfId="0" applyNumberFormat="1" applyFont="1" applyBorder="1" applyAlignment="1">
      <alignment horizontal="center" vertical="center"/>
    </xf>
    <xf numFmtId="38" fontId="13" fillId="0" borderId="20" xfId="0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38" fontId="1" fillId="11" borderId="19" xfId="0" applyNumberFormat="1" applyFont="1" applyFill="1" applyBorder="1" applyAlignment="1">
      <alignment horizontal="center" vertical="center"/>
    </xf>
    <xf numFmtId="38" fontId="1" fillId="11" borderId="20" xfId="0" applyNumberFormat="1" applyFont="1" applyFill="1" applyBorder="1" applyAlignment="1">
      <alignment horizontal="center" vertical="center"/>
    </xf>
    <xf numFmtId="38" fontId="1" fillId="0" borderId="21" xfId="2" applyNumberFormat="1" applyFont="1" applyBorder="1" applyAlignment="1">
      <alignment horizontal="center" vertical="center"/>
    </xf>
    <xf numFmtId="38" fontId="1" fillId="0" borderId="22" xfId="2" applyNumberFormat="1" applyFont="1" applyBorder="1" applyAlignment="1">
      <alignment horizontal="center" vertical="center"/>
    </xf>
    <xf numFmtId="38" fontId="7" fillId="0" borderId="4" xfId="0" applyNumberFormat="1" applyFont="1" applyBorder="1" applyAlignment="1">
      <alignment horizontal="center" vertical="center"/>
    </xf>
    <xf numFmtId="38" fontId="1" fillId="0" borderId="4" xfId="0" applyNumberFormat="1" applyFont="1" applyBorder="1" applyAlignment="1">
      <alignment horizontal="right" vertical="center"/>
    </xf>
    <xf numFmtId="0" fontId="9" fillId="3" borderId="13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38" fontId="3" fillId="0" borderId="3" xfId="0" applyNumberFormat="1" applyFont="1" applyBorder="1" applyAlignment="1">
      <alignment horizontal="center" vertical="center"/>
    </xf>
    <xf numFmtId="38" fontId="3" fillId="0" borderId="4" xfId="0" applyNumberFormat="1" applyFont="1" applyBorder="1" applyAlignment="1">
      <alignment horizontal="center" vertical="center"/>
    </xf>
    <xf numFmtId="38" fontId="1" fillId="11" borderId="17" xfId="0" applyNumberFormat="1" applyFont="1" applyFill="1" applyBorder="1" applyAlignment="1">
      <alignment horizontal="center" vertical="center"/>
    </xf>
    <xf numFmtId="38" fontId="1" fillId="0" borderId="14" xfId="2" applyNumberFormat="1" applyFont="1" applyBorder="1" applyAlignment="1">
      <alignment horizontal="center" vertical="center"/>
    </xf>
    <xf numFmtId="38" fontId="0" fillId="0" borderId="14" xfId="4" applyFont="1" applyBorder="1" applyAlignment="1">
      <alignment horizontal="center" vertical="center"/>
    </xf>
    <xf numFmtId="38" fontId="1" fillId="0" borderId="14" xfId="4" applyFont="1" applyBorder="1" applyAlignment="1">
      <alignment horizontal="center" vertical="center"/>
    </xf>
    <xf numFmtId="38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6" fontId="9" fillId="0" borderId="14" xfId="0" applyNumberFormat="1" applyFon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38" fontId="1" fillId="0" borderId="17" xfId="0" applyNumberFormat="1" applyFont="1" applyBorder="1" applyAlignment="1">
      <alignment horizontal="center" vertical="center"/>
    </xf>
  </cellXfs>
  <cellStyles count="6">
    <cellStyle name="Hyperlink" xfId="1" xr:uid="{00000000-000B-0000-0000-000008000000}"/>
    <cellStyle name="パーセント" xfId="3" builtinId="5"/>
    <cellStyle name="桁区切り" xfId="4" builtinId="6"/>
    <cellStyle name="通貨" xfId="2" builtinId="7"/>
    <cellStyle name="標準" xfId="0" builtinId="0"/>
    <cellStyle name="標準 2 2 2" xfId="5" xr:uid="{F8540B52-7F22-4ECA-851E-56D76D368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34"/>
  <sheetViews>
    <sheetView tabSelected="1" zoomScale="80" zoomScaleNormal="80" workbookViewId="0">
      <pane xSplit="1" ySplit="2" topLeftCell="B202" activePane="bottomRight" state="frozen"/>
      <selection pane="bottomLeft" activeCell="A3" sqref="A3"/>
      <selection pane="topRight" activeCell="B1" sqref="B1"/>
      <selection pane="bottomRight" activeCell="Y21" sqref="Y21"/>
    </sheetView>
  </sheetViews>
  <sheetFormatPr defaultColWidth="14.390625" defaultRowHeight="15" customHeight="1" x14ac:dyDescent="0.2"/>
  <cols>
    <col min="1" max="1" width="9.4140625" bestFit="1" customWidth="1"/>
    <col min="2" max="2" width="9.4140625" style="56" bestFit="1" customWidth="1"/>
    <col min="3" max="3" width="10.89453125" bestFit="1" customWidth="1"/>
    <col min="4" max="4" width="9.28125" bestFit="1" customWidth="1"/>
    <col min="5" max="5" width="10.89453125" bestFit="1" customWidth="1"/>
    <col min="6" max="6" width="7.53125" bestFit="1" customWidth="1"/>
    <col min="7" max="7" width="8.7421875" bestFit="1" customWidth="1"/>
    <col min="8" max="9" width="6.45703125" bestFit="1" customWidth="1"/>
    <col min="10" max="10" width="24.75" style="141" bestFit="1" customWidth="1"/>
    <col min="11" max="11" width="8.7421875" style="41" bestFit="1" customWidth="1"/>
    <col min="12" max="13" width="9.28125" bestFit="1" customWidth="1"/>
    <col min="14" max="14" width="30.53515625" customWidth="1"/>
    <col min="15" max="15" width="3.09375" customWidth="1"/>
    <col min="16" max="16" width="10.22265625" bestFit="1" customWidth="1"/>
    <col min="17" max="17" width="10.89453125" bestFit="1" customWidth="1"/>
    <col min="18" max="18" width="9.28125" bestFit="1" customWidth="1"/>
    <col min="19" max="19" width="10.89453125" bestFit="1" customWidth="1"/>
    <col min="20" max="20" width="4.4375" bestFit="1" customWidth="1"/>
    <col min="21" max="21" width="8.7421875" bestFit="1" customWidth="1"/>
    <col min="22" max="23" width="6.45703125" bestFit="1" customWidth="1"/>
    <col min="24" max="24" width="27.84375" bestFit="1" customWidth="1"/>
    <col min="25" max="25" width="7.12890625" bestFit="1" customWidth="1"/>
    <col min="26" max="27" width="9.28125" bestFit="1" customWidth="1"/>
    <col min="28" max="28" width="26.5" bestFit="1" customWidth="1"/>
  </cols>
  <sheetData>
    <row r="1" spans="1:28" ht="15" customHeight="1" x14ac:dyDescent="0.2">
      <c r="A1" s="207" t="s">
        <v>0</v>
      </c>
      <c r="B1" s="207"/>
      <c r="C1" s="207"/>
      <c r="D1" s="207"/>
      <c r="E1" s="208" t="s">
        <v>1</v>
      </c>
      <c r="F1" s="208"/>
      <c r="G1" s="75"/>
      <c r="H1" s="75"/>
      <c r="I1" s="75"/>
      <c r="J1" s="78"/>
      <c r="K1" s="75"/>
      <c r="L1" s="75"/>
      <c r="M1" s="75"/>
      <c r="N1" s="76"/>
      <c r="O1" s="77"/>
      <c r="P1" s="207" t="s">
        <v>0</v>
      </c>
      <c r="Q1" s="207"/>
      <c r="R1" s="207"/>
      <c r="S1" s="208" t="s">
        <v>2</v>
      </c>
      <c r="T1" s="208"/>
      <c r="U1" s="75"/>
      <c r="V1" s="75"/>
      <c r="W1" s="75"/>
      <c r="X1" s="78"/>
      <c r="Y1" s="75"/>
      <c r="Z1" s="75"/>
      <c r="AA1" s="75"/>
      <c r="AB1" s="76"/>
    </row>
    <row r="2" spans="1:28" x14ac:dyDescent="0.2">
      <c r="A2" s="7" t="s">
        <v>3</v>
      </c>
      <c r="B2" s="80" t="s">
        <v>4</v>
      </c>
      <c r="C2" s="5" t="s">
        <v>5</v>
      </c>
      <c r="D2" s="5" t="s">
        <v>6</v>
      </c>
      <c r="E2" s="6" t="s">
        <v>7</v>
      </c>
      <c r="F2" s="5" t="s">
        <v>6</v>
      </c>
      <c r="G2" s="5" t="s">
        <v>8</v>
      </c>
      <c r="H2" s="5" t="s">
        <v>9</v>
      </c>
      <c r="I2" s="5" t="s">
        <v>10</v>
      </c>
      <c r="J2" s="38" t="s">
        <v>11</v>
      </c>
      <c r="K2" s="5" t="s">
        <v>12</v>
      </c>
      <c r="L2" s="5" t="s">
        <v>9</v>
      </c>
      <c r="M2" s="5" t="s">
        <v>13</v>
      </c>
      <c r="N2" s="5" t="s">
        <v>14</v>
      </c>
      <c r="O2" s="3"/>
      <c r="P2" s="7" t="s">
        <v>3</v>
      </c>
      <c r="Q2" s="5" t="s">
        <v>5</v>
      </c>
      <c r="R2" s="5" t="s">
        <v>6</v>
      </c>
      <c r="S2" s="6" t="s">
        <v>7</v>
      </c>
      <c r="T2" s="5" t="s">
        <v>6</v>
      </c>
      <c r="U2" s="5" t="s">
        <v>8</v>
      </c>
      <c r="V2" s="5" t="s">
        <v>9</v>
      </c>
      <c r="W2" s="5" t="s">
        <v>10</v>
      </c>
      <c r="X2" s="38" t="s">
        <v>11</v>
      </c>
      <c r="Y2" s="5" t="s">
        <v>12</v>
      </c>
      <c r="Z2" s="5" t="s">
        <v>9</v>
      </c>
      <c r="AA2" s="5" t="s">
        <v>13</v>
      </c>
      <c r="AB2" s="5" t="s">
        <v>14</v>
      </c>
    </row>
    <row r="3" spans="1:28" x14ac:dyDescent="0.2">
      <c r="A3" s="12">
        <v>46157</v>
      </c>
      <c r="B3" s="81">
        <v>321</v>
      </c>
      <c r="C3" s="36">
        <v>7086</v>
      </c>
      <c r="D3" s="36">
        <v>33</v>
      </c>
      <c r="E3" s="36">
        <v>158</v>
      </c>
      <c r="F3" s="36">
        <v>1</v>
      </c>
      <c r="G3" s="36">
        <v>9</v>
      </c>
      <c r="H3" s="36">
        <v>0</v>
      </c>
      <c r="I3" s="36">
        <v>1</v>
      </c>
      <c r="J3" s="165" t="s">
        <v>152</v>
      </c>
      <c r="K3" s="49">
        <v>748</v>
      </c>
      <c r="L3" s="36">
        <v>0</v>
      </c>
      <c r="M3" s="50">
        <v>0</v>
      </c>
      <c r="N3" s="11" t="s">
        <v>210</v>
      </c>
      <c r="O3" s="1"/>
      <c r="P3" s="12">
        <v>46157</v>
      </c>
      <c r="Q3" s="36">
        <v>7124</v>
      </c>
      <c r="R3" s="36">
        <v>57</v>
      </c>
      <c r="S3" s="36">
        <v>183</v>
      </c>
      <c r="T3" s="36">
        <v>0</v>
      </c>
      <c r="U3" s="36">
        <v>11</v>
      </c>
      <c r="V3" s="36">
        <v>0</v>
      </c>
      <c r="W3" s="36"/>
      <c r="X3" s="165" t="s">
        <v>194</v>
      </c>
      <c r="Y3" s="49">
        <v>1100</v>
      </c>
      <c r="Z3" s="36">
        <v>0</v>
      </c>
      <c r="AA3" s="50">
        <v>0</v>
      </c>
      <c r="AB3" s="11"/>
    </row>
    <row r="4" spans="1:28" x14ac:dyDescent="0.2">
      <c r="A4" s="79"/>
      <c r="B4" s="8"/>
      <c r="C4" s="36">
        <v>6643</v>
      </c>
      <c r="D4" s="9">
        <v>27</v>
      </c>
      <c r="E4" s="36">
        <v>252</v>
      </c>
      <c r="F4" s="9">
        <v>2</v>
      </c>
      <c r="G4" s="9">
        <v>8</v>
      </c>
      <c r="H4" s="9">
        <v>2</v>
      </c>
      <c r="I4" s="9">
        <v>2</v>
      </c>
      <c r="J4" s="165" t="s">
        <v>202</v>
      </c>
      <c r="K4" s="36">
        <v>650</v>
      </c>
      <c r="L4" s="9">
        <v>1300</v>
      </c>
      <c r="M4" s="10">
        <v>0.48148148148148145</v>
      </c>
      <c r="N4" s="11"/>
      <c r="O4" s="1"/>
      <c r="P4" s="12"/>
      <c r="Q4" s="36">
        <v>8549</v>
      </c>
      <c r="R4" s="9">
        <v>73</v>
      </c>
      <c r="S4" s="36">
        <v>153</v>
      </c>
      <c r="T4" s="9">
        <v>1</v>
      </c>
      <c r="U4" s="9">
        <v>23</v>
      </c>
      <c r="V4" s="9">
        <v>0</v>
      </c>
      <c r="W4" s="9"/>
      <c r="X4" s="166" t="s">
        <v>154</v>
      </c>
      <c r="Y4" s="37">
        <v>770</v>
      </c>
      <c r="Z4" s="9">
        <v>0</v>
      </c>
      <c r="AA4" s="10">
        <v>0</v>
      </c>
      <c r="AB4" s="11"/>
    </row>
    <row r="5" spans="1:28" x14ac:dyDescent="0.2">
      <c r="A5" s="12"/>
      <c r="B5" s="8"/>
      <c r="C5" s="36">
        <v>7051</v>
      </c>
      <c r="D5" s="9">
        <v>7</v>
      </c>
      <c r="E5" s="36">
        <v>174</v>
      </c>
      <c r="F5" s="9">
        <v>0</v>
      </c>
      <c r="G5" s="9">
        <v>124</v>
      </c>
      <c r="H5" s="9">
        <v>0</v>
      </c>
      <c r="I5" s="9">
        <v>0</v>
      </c>
      <c r="J5" s="171" t="s">
        <v>208</v>
      </c>
      <c r="K5" s="37">
        <v>300</v>
      </c>
      <c r="L5" s="9">
        <v>0</v>
      </c>
      <c r="M5" s="10">
        <v>0</v>
      </c>
      <c r="N5" s="11" t="s">
        <v>211</v>
      </c>
      <c r="O5" s="1"/>
      <c r="P5" s="12"/>
      <c r="Q5" s="36">
        <v>5070</v>
      </c>
      <c r="R5" s="9">
        <v>46</v>
      </c>
      <c r="S5" s="36">
        <v>125</v>
      </c>
      <c r="T5" s="9">
        <v>0</v>
      </c>
      <c r="U5" s="9">
        <v>21</v>
      </c>
      <c r="V5" s="9">
        <v>0</v>
      </c>
      <c r="W5" s="9"/>
      <c r="X5" s="166" t="s">
        <v>178</v>
      </c>
      <c r="Y5" s="37">
        <v>400</v>
      </c>
      <c r="Z5" s="9">
        <v>0</v>
      </c>
      <c r="AA5" s="10">
        <v>0</v>
      </c>
      <c r="AB5" s="107" t="s">
        <v>207</v>
      </c>
    </row>
    <row r="6" spans="1:28" ht="15" customHeight="1" thickBot="1" x14ac:dyDescent="0.25">
      <c r="A6" s="17"/>
      <c r="B6" s="82"/>
      <c r="C6" s="42">
        <v>6043</v>
      </c>
      <c r="D6" s="42">
        <v>36</v>
      </c>
      <c r="E6" s="42">
        <v>135</v>
      </c>
      <c r="F6" s="18">
        <v>1</v>
      </c>
      <c r="G6" s="18">
        <v>19</v>
      </c>
      <c r="H6" s="18">
        <v>1</v>
      </c>
      <c r="I6" s="20">
        <v>1</v>
      </c>
      <c r="J6" s="172" t="s">
        <v>142</v>
      </c>
      <c r="K6" s="43">
        <v>1430</v>
      </c>
      <c r="L6" s="18">
        <v>1430</v>
      </c>
      <c r="M6" s="19">
        <v>0.3972222222222222</v>
      </c>
      <c r="N6" s="11" t="s">
        <v>209</v>
      </c>
      <c r="O6" s="1"/>
      <c r="P6" s="17"/>
      <c r="Q6" s="42">
        <v>6184</v>
      </c>
      <c r="R6" s="42">
        <v>42</v>
      </c>
      <c r="S6" s="42">
        <v>198</v>
      </c>
      <c r="T6" s="18">
        <v>0</v>
      </c>
      <c r="U6" s="18">
        <v>14</v>
      </c>
      <c r="V6" s="18">
        <v>0</v>
      </c>
      <c r="W6" s="18"/>
      <c r="X6" s="167" t="s">
        <v>144</v>
      </c>
      <c r="Y6" s="18">
        <v>290</v>
      </c>
      <c r="Z6" s="18">
        <v>0</v>
      </c>
      <c r="AA6" s="19">
        <v>0</v>
      </c>
      <c r="AB6" s="11"/>
    </row>
    <row r="7" spans="1:28" ht="15" customHeight="1" thickTop="1" x14ac:dyDescent="0.2">
      <c r="A7" s="96">
        <v>46159</v>
      </c>
      <c r="B7" s="81">
        <f>SUM(D7:D10)+SUM(R7:R10)</f>
        <v>441</v>
      </c>
      <c r="C7" s="36">
        <v>7141</v>
      </c>
      <c r="D7" s="36">
        <f t="shared" ref="D7:D10" si="0">IF(C7="","",C7-C3)</f>
        <v>55</v>
      </c>
      <c r="E7" s="36">
        <v>158</v>
      </c>
      <c r="F7" s="22">
        <f t="shared" ref="F7:F10" si="1">IF(E7="","",E7-E3)</f>
        <v>0</v>
      </c>
      <c r="G7" s="36">
        <v>10</v>
      </c>
      <c r="H7" s="36">
        <f t="shared" ref="H7:H10" si="2">IF(G7="","",G3+I3-G7)</f>
        <v>0</v>
      </c>
      <c r="I7" s="53">
        <v>0</v>
      </c>
      <c r="J7" s="168" t="s">
        <v>18</v>
      </c>
      <c r="K7" s="49">
        <v>1100</v>
      </c>
      <c r="L7" s="22">
        <f t="shared" ref="L7:L10" si="3">IF(G7="","",H7*K7)</f>
        <v>0</v>
      </c>
      <c r="M7" s="23">
        <f t="shared" ref="M7:M10" si="4">IF(H7="","",L7/(D7*100))</f>
        <v>0</v>
      </c>
      <c r="N7" s="9"/>
      <c r="P7" s="104">
        <f>IF(A7="","",A7)</f>
        <v>46159</v>
      </c>
      <c r="Q7" s="36">
        <v>7275</v>
      </c>
      <c r="R7" s="36">
        <f t="shared" ref="R7:R38" si="5">IF(Q7="","",Q7-Q3)</f>
        <v>151</v>
      </c>
      <c r="S7" s="36">
        <v>183</v>
      </c>
      <c r="T7" s="22">
        <f t="shared" ref="T7:T38" si="6">IF(S7="","",S7-S3)</f>
        <v>0</v>
      </c>
      <c r="U7" s="36">
        <v>10</v>
      </c>
      <c r="V7" s="36">
        <f t="shared" ref="V7:V38" si="7">IF(U7="","",U3+W3-U7)</f>
        <v>1</v>
      </c>
      <c r="W7" s="53">
        <v>0</v>
      </c>
      <c r="X7" s="168" t="str">
        <f t="shared" ref="X7:X38" si="8">IF(Q7="","",X3)</f>
        <v>ジャグラーサウンドボタンDX</v>
      </c>
      <c r="Y7" s="49">
        <f t="shared" ref="Y7:Y38" si="9">IF(R7="","",Y3)</f>
        <v>1100</v>
      </c>
      <c r="Z7" s="22">
        <f t="shared" ref="Z7:Z38" si="10">IF(U7="","",V7*Y7)</f>
        <v>1100</v>
      </c>
      <c r="AA7" s="23">
        <f t="shared" ref="AA7:AA38" si="11">IF(V7="","",Z7/(R7*100))</f>
        <v>7.2847682119205295E-2</v>
      </c>
      <c r="AB7" s="9"/>
    </row>
    <row r="8" spans="1:28" x14ac:dyDescent="0.2">
      <c r="A8" s="97"/>
      <c r="B8" s="81"/>
      <c r="C8" s="36">
        <v>6696</v>
      </c>
      <c r="D8" s="9">
        <f t="shared" si="0"/>
        <v>53</v>
      </c>
      <c r="E8" s="9">
        <v>253</v>
      </c>
      <c r="F8" s="9">
        <f t="shared" si="1"/>
        <v>1</v>
      </c>
      <c r="G8" s="9">
        <v>9</v>
      </c>
      <c r="H8" s="9">
        <f t="shared" si="2"/>
        <v>1</v>
      </c>
      <c r="I8" s="13">
        <v>0</v>
      </c>
      <c r="J8" s="169" t="str">
        <f t="shared" ref="J8:J10" si="12">IF(C8="","",J4)</f>
        <v>たまごっちキーリング</v>
      </c>
      <c r="K8" s="37">
        <f t="shared" ref="K8:K10" si="13">IF(D8="","",K4)</f>
        <v>650</v>
      </c>
      <c r="L8" s="9">
        <f t="shared" si="3"/>
        <v>650</v>
      </c>
      <c r="M8" s="10">
        <f t="shared" si="4"/>
        <v>0.12264150943396226</v>
      </c>
      <c r="N8" s="9"/>
      <c r="P8" s="97"/>
      <c r="Q8" s="36">
        <v>8647</v>
      </c>
      <c r="R8" s="9">
        <f t="shared" si="5"/>
        <v>98</v>
      </c>
      <c r="S8" s="9">
        <v>155</v>
      </c>
      <c r="T8" s="9">
        <f t="shared" si="6"/>
        <v>2</v>
      </c>
      <c r="U8" s="9">
        <v>22</v>
      </c>
      <c r="V8" s="9">
        <f t="shared" si="7"/>
        <v>1</v>
      </c>
      <c r="W8" s="13">
        <v>0</v>
      </c>
      <c r="X8" s="169" t="str">
        <f t="shared" si="8"/>
        <v>ゲームプロ4イヤホン</v>
      </c>
      <c r="Y8" s="37">
        <f t="shared" si="9"/>
        <v>770</v>
      </c>
      <c r="Z8" s="9">
        <f t="shared" si="10"/>
        <v>770</v>
      </c>
      <c r="AA8" s="10">
        <f t="shared" si="11"/>
        <v>7.857142857142857E-2</v>
      </c>
      <c r="AB8" s="9"/>
    </row>
    <row r="9" spans="1:28" x14ac:dyDescent="0.2">
      <c r="A9" s="99"/>
      <c r="B9" s="8"/>
      <c r="C9" s="44">
        <v>7066</v>
      </c>
      <c r="D9" s="108">
        <f t="shared" si="0"/>
        <v>15</v>
      </c>
      <c r="E9" s="9">
        <v>175</v>
      </c>
      <c r="F9" s="9">
        <f t="shared" si="1"/>
        <v>1</v>
      </c>
      <c r="G9" s="9">
        <v>122</v>
      </c>
      <c r="H9" s="9">
        <f t="shared" si="2"/>
        <v>2</v>
      </c>
      <c r="I9" s="13">
        <v>0</v>
      </c>
      <c r="J9" s="169" t="str">
        <f t="shared" si="12"/>
        <v>AIラバー</v>
      </c>
      <c r="K9" s="9">
        <f t="shared" si="13"/>
        <v>300</v>
      </c>
      <c r="L9" s="9">
        <f t="shared" si="3"/>
        <v>600</v>
      </c>
      <c r="M9" s="10">
        <f t="shared" si="4"/>
        <v>0.4</v>
      </c>
      <c r="N9" s="14"/>
      <c r="P9" s="97"/>
      <c r="Q9" s="44">
        <v>5094</v>
      </c>
      <c r="R9" s="108">
        <f t="shared" si="5"/>
        <v>24</v>
      </c>
      <c r="S9" s="9">
        <v>128</v>
      </c>
      <c r="T9" s="9">
        <f t="shared" si="6"/>
        <v>3</v>
      </c>
      <c r="U9" s="9">
        <v>18</v>
      </c>
      <c r="V9" s="9">
        <f t="shared" si="7"/>
        <v>3</v>
      </c>
      <c r="W9" s="13">
        <v>0</v>
      </c>
      <c r="X9" s="169" t="str">
        <f t="shared" si="8"/>
        <v>パンケーキスクイーズ</v>
      </c>
      <c r="Y9" s="9">
        <f t="shared" si="9"/>
        <v>400</v>
      </c>
      <c r="Z9" s="9">
        <f t="shared" si="10"/>
        <v>1200</v>
      </c>
      <c r="AA9" s="10">
        <f t="shared" si="11"/>
        <v>0.5</v>
      </c>
      <c r="AB9" s="14"/>
    </row>
    <row r="10" spans="1:28" ht="15" customHeight="1" thickBot="1" x14ac:dyDescent="0.25">
      <c r="A10" s="100"/>
      <c r="B10" s="87"/>
      <c r="C10" s="42">
        <v>6056</v>
      </c>
      <c r="D10" s="117">
        <f t="shared" si="0"/>
        <v>13</v>
      </c>
      <c r="E10" s="18">
        <v>135</v>
      </c>
      <c r="F10" s="18">
        <f t="shared" si="1"/>
        <v>0</v>
      </c>
      <c r="G10" s="18">
        <v>20</v>
      </c>
      <c r="H10" s="18">
        <f t="shared" si="2"/>
        <v>0</v>
      </c>
      <c r="I10" s="31">
        <v>0</v>
      </c>
      <c r="J10" s="170" t="str">
        <f t="shared" si="12"/>
        <v>たまごっちマスコット</v>
      </c>
      <c r="K10" s="43">
        <f t="shared" si="13"/>
        <v>1430</v>
      </c>
      <c r="L10" s="18">
        <f t="shared" si="3"/>
        <v>0</v>
      </c>
      <c r="M10" s="19">
        <f t="shared" si="4"/>
        <v>0</v>
      </c>
      <c r="N10" s="14"/>
      <c r="P10" s="100"/>
      <c r="Q10" s="42">
        <v>6216</v>
      </c>
      <c r="R10" s="117">
        <f t="shared" si="5"/>
        <v>32</v>
      </c>
      <c r="S10" s="18">
        <v>199</v>
      </c>
      <c r="T10" s="18">
        <f t="shared" si="6"/>
        <v>1</v>
      </c>
      <c r="U10" s="18">
        <v>13</v>
      </c>
      <c r="V10" s="18">
        <f t="shared" si="7"/>
        <v>1</v>
      </c>
      <c r="W10" s="31">
        <v>0</v>
      </c>
      <c r="X10" s="170" t="str">
        <f t="shared" si="8"/>
        <v>バタースクイーズ</v>
      </c>
      <c r="Y10" s="43">
        <f t="shared" si="9"/>
        <v>290</v>
      </c>
      <c r="Z10" s="18">
        <f t="shared" si="10"/>
        <v>290</v>
      </c>
      <c r="AA10" s="19">
        <f t="shared" si="11"/>
        <v>9.0624999999999997E-2</v>
      </c>
      <c r="AB10" s="14"/>
    </row>
    <row r="11" spans="1:28" ht="15" customHeight="1" thickTop="1" x14ac:dyDescent="0.2">
      <c r="A11" s="96">
        <v>46161</v>
      </c>
      <c r="B11" s="81">
        <f>SUM(D11:D14)+SUM(R11:R14)</f>
        <v>466</v>
      </c>
      <c r="C11" s="36">
        <v>7198</v>
      </c>
      <c r="D11" s="36">
        <f t="shared" ref="D7:D58" si="14">IF(C11="","",C11-C7)</f>
        <v>57</v>
      </c>
      <c r="E11" s="36">
        <v>160</v>
      </c>
      <c r="F11" s="22">
        <f t="shared" ref="F7:F58" si="15">IF(E11="","",E11-E7)</f>
        <v>2</v>
      </c>
      <c r="G11" s="36">
        <v>9</v>
      </c>
      <c r="H11" s="36">
        <f t="shared" ref="H7:H53" si="16">IF(G11="","",G7+I7-G11)</f>
        <v>1</v>
      </c>
      <c r="I11" s="53">
        <v>2</v>
      </c>
      <c r="J11" s="168" t="str">
        <f t="shared" ref="J7:J16" si="17">IF(C11="","",J7)</f>
        <v>サンリオファン</v>
      </c>
      <c r="K11" s="49">
        <f t="shared" ref="K7:K16" si="18">IF(D11="","",K7)</f>
        <v>1100</v>
      </c>
      <c r="L11" s="22">
        <f t="shared" ref="L7:L58" si="19">IF(G11="","",H11*K11)</f>
        <v>1100</v>
      </c>
      <c r="M11" s="23">
        <f t="shared" ref="M7:M58" si="20">IF(H11="","",L11/(D11*100))</f>
        <v>0.19298245614035087</v>
      </c>
      <c r="N11" s="14"/>
      <c r="P11" s="104">
        <f>IF(A11="","",A11)</f>
        <v>46161</v>
      </c>
      <c r="Q11" s="36">
        <v>7401</v>
      </c>
      <c r="R11" s="36">
        <f t="shared" si="5"/>
        <v>126</v>
      </c>
      <c r="S11" s="36">
        <v>184</v>
      </c>
      <c r="T11" s="22">
        <f t="shared" si="6"/>
        <v>1</v>
      </c>
      <c r="U11" s="36">
        <v>9</v>
      </c>
      <c r="V11" s="36">
        <f t="shared" si="7"/>
        <v>1</v>
      </c>
      <c r="W11" s="53">
        <v>2</v>
      </c>
      <c r="X11" s="168" t="str">
        <f t="shared" si="8"/>
        <v>ジャグラーサウンドボタンDX</v>
      </c>
      <c r="Y11" s="49">
        <f t="shared" si="9"/>
        <v>1100</v>
      </c>
      <c r="Z11" s="22">
        <f t="shared" si="10"/>
        <v>1100</v>
      </c>
      <c r="AA11" s="23">
        <f t="shared" si="11"/>
        <v>8.7301587301587297E-2</v>
      </c>
      <c r="AB11" s="14"/>
    </row>
    <row r="12" spans="1:28" x14ac:dyDescent="0.2">
      <c r="A12" s="97"/>
      <c r="B12" s="8"/>
      <c r="C12" s="36">
        <v>6724</v>
      </c>
      <c r="D12" s="9">
        <f t="shared" si="14"/>
        <v>28</v>
      </c>
      <c r="E12" s="9">
        <v>254</v>
      </c>
      <c r="F12" s="9">
        <f t="shared" si="15"/>
        <v>1</v>
      </c>
      <c r="G12" s="9">
        <v>8</v>
      </c>
      <c r="H12" s="9">
        <f t="shared" si="16"/>
        <v>1</v>
      </c>
      <c r="I12" s="13">
        <v>3</v>
      </c>
      <c r="J12" s="169" t="str">
        <f t="shared" si="17"/>
        <v>たまごっちキーリング</v>
      </c>
      <c r="K12" s="37">
        <f t="shared" si="18"/>
        <v>650</v>
      </c>
      <c r="L12" s="9">
        <f t="shared" si="19"/>
        <v>650</v>
      </c>
      <c r="M12" s="10">
        <f t="shared" si="20"/>
        <v>0.23214285714285715</v>
      </c>
      <c r="N12" s="14"/>
      <c r="P12" s="97"/>
      <c r="Q12" s="36">
        <v>8715</v>
      </c>
      <c r="R12" s="9">
        <f t="shared" si="5"/>
        <v>68</v>
      </c>
      <c r="S12" s="9">
        <v>156</v>
      </c>
      <c r="T12" s="9">
        <f t="shared" si="6"/>
        <v>1</v>
      </c>
      <c r="U12" s="9">
        <v>21</v>
      </c>
      <c r="V12" s="9">
        <f t="shared" si="7"/>
        <v>1</v>
      </c>
      <c r="W12" s="13">
        <v>3</v>
      </c>
      <c r="X12" s="169" t="str">
        <f t="shared" si="8"/>
        <v>ゲームプロ4イヤホン</v>
      </c>
      <c r="Y12" s="37">
        <f t="shared" si="9"/>
        <v>770</v>
      </c>
      <c r="Z12" s="9">
        <f t="shared" si="10"/>
        <v>770</v>
      </c>
      <c r="AA12" s="10">
        <f t="shared" si="11"/>
        <v>0.11323529411764706</v>
      </c>
      <c r="AB12" s="14"/>
    </row>
    <row r="13" spans="1:28" x14ac:dyDescent="0.2">
      <c r="A13" s="97"/>
      <c r="B13" s="8"/>
      <c r="C13" s="44">
        <v>7073</v>
      </c>
      <c r="D13" s="9">
        <f t="shared" si="14"/>
        <v>7</v>
      </c>
      <c r="E13" s="9">
        <v>175</v>
      </c>
      <c r="F13" s="9">
        <f t="shared" si="15"/>
        <v>0</v>
      </c>
      <c r="G13" s="9">
        <v>122</v>
      </c>
      <c r="H13" s="9">
        <f t="shared" si="16"/>
        <v>0</v>
      </c>
      <c r="I13" s="13">
        <v>-17</v>
      </c>
      <c r="J13" s="169" t="str">
        <f t="shared" si="17"/>
        <v>AIラバー</v>
      </c>
      <c r="K13" s="9">
        <f t="shared" si="18"/>
        <v>300</v>
      </c>
      <c r="L13" s="9">
        <f t="shared" si="19"/>
        <v>0</v>
      </c>
      <c r="M13" s="10">
        <f t="shared" si="20"/>
        <v>0</v>
      </c>
      <c r="N13" s="14" t="s">
        <v>212</v>
      </c>
      <c r="P13" s="97"/>
      <c r="Q13" s="44">
        <v>5123</v>
      </c>
      <c r="R13" s="9">
        <f t="shared" si="5"/>
        <v>29</v>
      </c>
      <c r="S13" s="9">
        <v>129</v>
      </c>
      <c r="T13" s="9">
        <f t="shared" si="6"/>
        <v>1</v>
      </c>
      <c r="U13" s="9">
        <v>17</v>
      </c>
      <c r="V13" s="9">
        <f t="shared" si="7"/>
        <v>1</v>
      </c>
      <c r="W13" s="13">
        <v>0</v>
      </c>
      <c r="X13" s="169" t="str">
        <f t="shared" si="8"/>
        <v>パンケーキスクイーズ</v>
      </c>
      <c r="Y13" s="9">
        <f t="shared" si="9"/>
        <v>400</v>
      </c>
      <c r="Z13" s="9">
        <f t="shared" si="10"/>
        <v>400</v>
      </c>
      <c r="AA13" s="10">
        <f t="shared" si="11"/>
        <v>0.13793103448275862</v>
      </c>
      <c r="AB13" s="14" t="s">
        <v>213</v>
      </c>
    </row>
    <row r="14" spans="1:28" ht="15" customHeight="1" thickBot="1" x14ac:dyDescent="0.25">
      <c r="A14" s="100"/>
      <c r="B14" s="82"/>
      <c r="C14" s="42">
        <v>6174</v>
      </c>
      <c r="D14" s="43">
        <f t="shared" si="14"/>
        <v>118</v>
      </c>
      <c r="E14" s="18">
        <v>138</v>
      </c>
      <c r="F14" s="18">
        <f t="shared" si="15"/>
        <v>3</v>
      </c>
      <c r="G14" s="18">
        <v>17</v>
      </c>
      <c r="H14" s="18">
        <f t="shared" si="16"/>
        <v>3</v>
      </c>
      <c r="I14" s="31">
        <v>3</v>
      </c>
      <c r="J14" s="170" t="str">
        <f t="shared" si="17"/>
        <v>たまごっちマスコット</v>
      </c>
      <c r="K14" s="43">
        <f t="shared" si="18"/>
        <v>1430</v>
      </c>
      <c r="L14" s="18">
        <f t="shared" si="19"/>
        <v>4290</v>
      </c>
      <c r="M14" s="19">
        <f t="shared" si="20"/>
        <v>0.36355932203389829</v>
      </c>
      <c r="N14" s="14"/>
      <c r="P14" s="100"/>
      <c r="Q14" s="42">
        <v>6249</v>
      </c>
      <c r="R14" s="43">
        <f t="shared" si="5"/>
        <v>33</v>
      </c>
      <c r="S14" s="18">
        <v>200</v>
      </c>
      <c r="T14" s="18">
        <f t="shared" si="6"/>
        <v>1</v>
      </c>
      <c r="U14" s="18">
        <v>14</v>
      </c>
      <c r="V14" s="18">
        <f t="shared" si="7"/>
        <v>-1</v>
      </c>
      <c r="W14" s="31">
        <v>0</v>
      </c>
      <c r="X14" s="170" t="str">
        <f t="shared" si="8"/>
        <v>バタースクイーズ</v>
      </c>
      <c r="Y14" s="43">
        <f t="shared" si="9"/>
        <v>290</v>
      </c>
      <c r="Z14" s="18">
        <f t="shared" si="10"/>
        <v>-290</v>
      </c>
      <c r="AA14" s="19">
        <f t="shared" si="11"/>
        <v>-8.7878787878787876E-2</v>
      </c>
      <c r="AB14" s="14"/>
    </row>
    <row r="15" spans="1:28" ht="15" customHeight="1" thickTop="1" x14ac:dyDescent="0.2">
      <c r="A15" s="96">
        <v>46164</v>
      </c>
      <c r="B15" s="81">
        <f>SUM(D15:D18)+SUM(R15:R18)</f>
        <v>413</v>
      </c>
      <c r="C15" s="36">
        <v>7221</v>
      </c>
      <c r="D15" s="36">
        <f t="shared" si="14"/>
        <v>23</v>
      </c>
      <c r="E15" s="36">
        <v>160</v>
      </c>
      <c r="F15" s="22">
        <f t="shared" si="15"/>
        <v>0</v>
      </c>
      <c r="G15" s="36">
        <v>10</v>
      </c>
      <c r="H15" s="36">
        <f t="shared" si="16"/>
        <v>1</v>
      </c>
      <c r="I15" s="53">
        <v>1</v>
      </c>
      <c r="J15" s="168" t="str">
        <f t="shared" ref="J15:J18" si="21">IF(C15="","",J11)</f>
        <v>サンリオファン</v>
      </c>
      <c r="K15" s="49">
        <f t="shared" ref="K15:K18" si="22">IF(D15="","",K11)</f>
        <v>1100</v>
      </c>
      <c r="L15" s="22">
        <f t="shared" ref="L15:L18" si="23">IF(G15="","",H15*K15)</f>
        <v>1100</v>
      </c>
      <c r="M15" s="23">
        <f t="shared" ref="M15:M18" si="24">IF(H15="","",L15/(D15*100))</f>
        <v>0.47826086956521741</v>
      </c>
      <c r="N15" s="14"/>
      <c r="O15" s="1"/>
      <c r="P15" s="57">
        <f>IF(A15="","",A15)</f>
        <v>46164</v>
      </c>
      <c r="Q15" s="36">
        <v>7466</v>
      </c>
      <c r="R15" s="36">
        <f t="shared" si="5"/>
        <v>65</v>
      </c>
      <c r="S15" s="36">
        <v>185</v>
      </c>
      <c r="T15" s="22">
        <f t="shared" si="6"/>
        <v>1</v>
      </c>
      <c r="U15" s="36">
        <v>10</v>
      </c>
      <c r="V15" s="36">
        <f t="shared" si="7"/>
        <v>1</v>
      </c>
      <c r="W15" s="53">
        <v>1</v>
      </c>
      <c r="X15" s="168" t="str">
        <f t="shared" si="8"/>
        <v>ジャグラーサウンドボタンDX</v>
      </c>
      <c r="Y15" s="49">
        <f t="shared" si="9"/>
        <v>1100</v>
      </c>
      <c r="Z15" s="22">
        <f t="shared" si="10"/>
        <v>1100</v>
      </c>
      <c r="AA15" s="23">
        <f t="shared" si="11"/>
        <v>0.16923076923076924</v>
      </c>
      <c r="AB15" s="14"/>
    </row>
    <row r="16" spans="1:28" x14ac:dyDescent="0.2">
      <c r="A16" s="97"/>
      <c r="B16" s="8"/>
      <c r="C16" s="9">
        <v>6861</v>
      </c>
      <c r="D16" s="9">
        <f t="shared" si="14"/>
        <v>137</v>
      </c>
      <c r="E16" s="9">
        <v>257</v>
      </c>
      <c r="F16" s="9">
        <f t="shared" si="15"/>
        <v>3</v>
      </c>
      <c r="G16" s="9">
        <v>8</v>
      </c>
      <c r="H16" s="9">
        <f t="shared" si="16"/>
        <v>3</v>
      </c>
      <c r="I16" s="13">
        <v>3</v>
      </c>
      <c r="J16" s="169" t="str">
        <f t="shared" si="21"/>
        <v>たまごっちキーリング</v>
      </c>
      <c r="K16" s="37">
        <f t="shared" si="22"/>
        <v>650</v>
      </c>
      <c r="L16" s="9">
        <f t="shared" si="23"/>
        <v>1950</v>
      </c>
      <c r="M16" s="10">
        <f t="shared" si="24"/>
        <v>0.14233576642335766</v>
      </c>
      <c r="N16" s="14"/>
      <c r="O16" s="1"/>
      <c r="P16" s="97"/>
      <c r="Q16" s="9">
        <v>8754</v>
      </c>
      <c r="R16" s="9">
        <f t="shared" si="5"/>
        <v>39</v>
      </c>
      <c r="S16" s="9">
        <v>157</v>
      </c>
      <c r="T16" s="9">
        <f t="shared" si="6"/>
        <v>1</v>
      </c>
      <c r="U16" s="9">
        <v>24</v>
      </c>
      <c r="V16" s="9">
        <f t="shared" si="7"/>
        <v>0</v>
      </c>
      <c r="W16" s="13">
        <v>0</v>
      </c>
      <c r="X16" s="169" t="str">
        <f t="shared" si="8"/>
        <v>ゲームプロ4イヤホン</v>
      </c>
      <c r="Y16" s="37">
        <f t="shared" si="9"/>
        <v>770</v>
      </c>
      <c r="Z16" s="9">
        <f t="shared" si="10"/>
        <v>0</v>
      </c>
      <c r="AA16" s="10">
        <f t="shared" si="11"/>
        <v>0</v>
      </c>
      <c r="AB16" s="14" t="s">
        <v>216</v>
      </c>
    </row>
    <row r="17" spans="1:28" x14ac:dyDescent="0.2">
      <c r="A17" s="99"/>
      <c r="B17" s="86"/>
      <c r="C17" s="25">
        <v>7150</v>
      </c>
      <c r="D17" s="9">
        <f t="shared" si="14"/>
        <v>77</v>
      </c>
      <c r="E17" s="9">
        <v>188</v>
      </c>
      <c r="F17" s="9">
        <f t="shared" si="15"/>
        <v>13</v>
      </c>
      <c r="G17" s="25">
        <v>92</v>
      </c>
      <c r="H17" s="9">
        <f t="shared" si="16"/>
        <v>13</v>
      </c>
      <c r="I17" s="32">
        <v>0</v>
      </c>
      <c r="J17" s="169" t="s">
        <v>214</v>
      </c>
      <c r="K17" s="9">
        <v>283</v>
      </c>
      <c r="L17" s="9">
        <f t="shared" si="23"/>
        <v>3679</v>
      </c>
      <c r="M17" s="10">
        <f t="shared" si="24"/>
        <v>0.47779220779220777</v>
      </c>
      <c r="N17" s="14" t="s">
        <v>215</v>
      </c>
      <c r="P17" s="99"/>
      <c r="Q17" s="25">
        <v>5139</v>
      </c>
      <c r="R17" s="9">
        <f t="shared" si="5"/>
        <v>16</v>
      </c>
      <c r="S17" s="9">
        <v>130</v>
      </c>
      <c r="T17" s="9">
        <f t="shared" si="6"/>
        <v>1</v>
      </c>
      <c r="U17" s="25">
        <v>16</v>
      </c>
      <c r="V17" s="9">
        <f t="shared" si="7"/>
        <v>1</v>
      </c>
      <c r="W17" s="32">
        <v>-3</v>
      </c>
      <c r="X17" s="169" t="str">
        <f t="shared" si="8"/>
        <v>パンケーキスクイーズ</v>
      </c>
      <c r="Y17" s="9">
        <f t="shared" si="9"/>
        <v>400</v>
      </c>
      <c r="Z17" s="9">
        <f t="shared" si="10"/>
        <v>400</v>
      </c>
      <c r="AA17" s="10">
        <f t="shared" si="11"/>
        <v>0.25</v>
      </c>
      <c r="AB17" s="14" t="s">
        <v>217</v>
      </c>
    </row>
    <row r="18" spans="1:28" ht="15" customHeight="1" thickBot="1" x14ac:dyDescent="0.25">
      <c r="A18" s="100"/>
      <c r="B18" s="87"/>
      <c r="C18" s="18">
        <v>6220</v>
      </c>
      <c r="D18" s="43">
        <f t="shared" si="14"/>
        <v>46</v>
      </c>
      <c r="E18" s="18">
        <v>140</v>
      </c>
      <c r="F18" s="18">
        <f t="shared" si="15"/>
        <v>2</v>
      </c>
      <c r="G18" s="18">
        <v>18</v>
      </c>
      <c r="H18" s="18">
        <f t="shared" si="16"/>
        <v>2</v>
      </c>
      <c r="I18" s="31">
        <v>4</v>
      </c>
      <c r="J18" s="170" t="str">
        <f t="shared" si="21"/>
        <v>たまごっちマスコット</v>
      </c>
      <c r="K18" s="43">
        <f t="shared" si="22"/>
        <v>1430</v>
      </c>
      <c r="L18" s="18">
        <f t="shared" si="23"/>
        <v>2860</v>
      </c>
      <c r="M18" s="19">
        <f t="shared" si="24"/>
        <v>0.62173913043478257</v>
      </c>
      <c r="N18" s="14"/>
      <c r="P18" s="100"/>
      <c r="Q18" s="18">
        <v>6259</v>
      </c>
      <c r="R18" s="43">
        <f t="shared" si="5"/>
        <v>10</v>
      </c>
      <c r="S18" s="18">
        <v>200</v>
      </c>
      <c r="T18" s="18">
        <f t="shared" si="6"/>
        <v>0</v>
      </c>
      <c r="U18" s="18">
        <v>14</v>
      </c>
      <c r="V18" s="18">
        <f t="shared" si="7"/>
        <v>0</v>
      </c>
      <c r="W18" s="31">
        <v>1</v>
      </c>
      <c r="X18" s="170" t="str">
        <f t="shared" si="8"/>
        <v>バタースクイーズ</v>
      </c>
      <c r="Y18" s="43">
        <f t="shared" si="9"/>
        <v>290</v>
      </c>
      <c r="Z18" s="18">
        <f t="shared" si="10"/>
        <v>0</v>
      </c>
      <c r="AA18" s="19">
        <f t="shared" si="11"/>
        <v>0</v>
      </c>
      <c r="AB18" s="14"/>
    </row>
    <row r="19" spans="1:28" ht="15" customHeight="1" thickTop="1" x14ac:dyDescent="0.2">
      <c r="A19" s="96">
        <v>46168</v>
      </c>
      <c r="B19" s="81">
        <f>SUM(D19:D22)+SUM(R19:R22)</f>
        <v>1104</v>
      </c>
      <c r="C19" s="36">
        <v>7316</v>
      </c>
      <c r="D19" s="36">
        <f t="shared" si="14"/>
        <v>95</v>
      </c>
      <c r="E19" s="36">
        <v>163</v>
      </c>
      <c r="F19" s="22">
        <f t="shared" si="15"/>
        <v>3</v>
      </c>
      <c r="G19" s="36">
        <v>8</v>
      </c>
      <c r="H19" s="36">
        <f t="shared" si="16"/>
        <v>3</v>
      </c>
      <c r="I19" s="53">
        <v>2</v>
      </c>
      <c r="J19" s="168" t="str">
        <f t="shared" ref="J18:J26" si="25">IF(C19="","",J15)</f>
        <v>サンリオファン</v>
      </c>
      <c r="K19" s="49">
        <f t="shared" ref="K18:K26" si="26">IF(D19="","",K15)</f>
        <v>1100</v>
      </c>
      <c r="L19" s="22">
        <f t="shared" si="19"/>
        <v>3300</v>
      </c>
      <c r="M19" s="23">
        <f t="shared" si="20"/>
        <v>0.3473684210526316</v>
      </c>
      <c r="N19" s="14" t="s">
        <v>221</v>
      </c>
      <c r="P19" s="104">
        <f>IF(A19="","",A19)</f>
        <v>46168</v>
      </c>
      <c r="Q19" s="36">
        <v>7753</v>
      </c>
      <c r="R19" s="36">
        <f t="shared" si="5"/>
        <v>287</v>
      </c>
      <c r="S19" s="36">
        <v>185</v>
      </c>
      <c r="T19" s="22">
        <f t="shared" si="6"/>
        <v>0</v>
      </c>
      <c r="U19" s="36">
        <v>10</v>
      </c>
      <c r="V19" s="36">
        <f t="shared" si="7"/>
        <v>1</v>
      </c>
      <c r="W19" s="53">
        <v>1</v>
      </c>
      <c r="X19" s="168" t="str">
        <f t="shared" si="8"/>
        <v>ジャグラーサウンドボタンDX</v>
      </c>
      <c r="Y19" s="49">
        <f t="shared" si="9"/>
        <v>1100</v>
      </c>
      <c r="Z19" s="22">
        <f t="shared" si="10"/>
        <v>1100</v>
      </c>
      <c r="AA19" s="23">
        <f t="shared" si="11"/>
        <v>3.8327526132404179E-2</v>
      </c>
      <c r="AB19" s="14" t="s">
        <v>218</v>
      </c>
    </row>
    <row r="20" spans="1:28" x14ac:dyDescent="0.2">
      <c r="A20" s="96"/>
      <c r="B20" s="81"/>
      <c r="C20" s="36">
        <v>7078</v>
      </c>
      <c r="D20" s="9">
        <f>IF(C20="","",C20-C16)</f>
        <v>217</v>
      </c>
      <c r="E20" s="9">
        <v>261</v>
      </c>
      <c r="F20" s="9">
        <f t="shared" si="15"/>
        <v>4</v>
      </c>
      <c r="G20" s="9">
        <v>6</v>
      </c>
      <c r="H20" s="9">
        <f t="shared" si="16"/>
        <v>5</v>
      </c>
      <c r="I20" s="13">
        <v>3</v>
      </c>
      <c r="J20" s="169" t="str">
        <f t="shared" si="25"/>
        <v>たまごっちキーリング</v>
      </c>
      <c r="K20" s="37">
        <f t="shared" si="26"/>
        <v>650</v>
      </c>
      <c r="L20" s="9">
        <f t="shared" si="19"/>
        <v>3250</v>
      </c>
      <c r="M20" s="10">
        <f t="shared" si="20"/>
        <v>0.14976958525345621</v>
      </c>
      <c r="N20" s="14"/>
      <c r="P20" s="96"/>
      <c r="Q20" s="36">
        <v>8878</v>
      </c>
      <c r="R20" s="9">
        <f t="shared" si="5"/>
        <v>124</v>
      </c>
      <c r="S20" s="9">
        <v>159</v>
      </c>
      <c r="T20" s="9">
        <f t="shared" si="6"/>
        <v>2</v>
      </c>
      <c r="U20" s="9">
        <v>22</v>
      </c>
      <c r="V20" s="9">
        <f t="shared" si="7"/>
        <v>2</v>
      </c>
      <c r="W20" s="13">
        <v>1</v>
      </c>
      <c r="X20" s="169" t="str">
        <f t="shared" si="8"/>
        <v>ゲームプロ4イヤホン</v>
      </c>
      <c r="Y20" s="37">
        <f t="shared" si="9"/>
        <v>770</v>
      </c>
      <c r="Z20" s="9">
        <f t="shared" si="10"/>
        <v>1540</v>
      </c>
      <c r="AA20" s="10">
        <f t="shared" si="11"/>
        <v>0.12419354838709677</v>
      </c>
      <c r="AB20" s="14" t="s">
        <v>174</v>
      </c>
    </row>
    <row r="21" spans="1:28" ht="15" customHeight="1" x14ac:dyDescent="0.2">
      <c r="A21" s="181"/>
      <c r="B21" s="182"/>
      <c r="C21" s="183">
        <v>7216</v>
      </c>
      <c r="D21" s="184">
        <f t="shared" si="14"/>
        <v>66</v>
      </c>
      <c r="E21" s="9">
        <v>196</v>
      </c>
      <c r="F21" s="9">
        <f t="shared" si="15"/>
        <v>8</v>
      </c>
      <c r="G21" s="9">
        <v>84</v>
      </c>
      <c r="H21" s="9">
        <f t="shared" si="16"/>
        <v>8</v>
      </c>
      <c r="I21" s="13">
        <v>23</v>
      </c>
      <c r="J21" s="169" t="str">
        <f t="shared" si="25"/>
        <v>サンリオボールペン</v>
      </c>
      <c r="K21" s="9">
        <f t="shared" si="26"/>
        <v>283</v>
      </c>
      <c r="L21" s="9">
        <f t="shared" si="19"/>
        <v>2264</v>
      </c>
      <c r="M21" s="10">
        <f t="shared" si="20"/>
        <v>0.34303030303030302</v>
      </c>
      <c r="N21" s="14"/>
      <c r="P21" s="96"/>
      <c r="Q21" s="183">
        <v>5234</v>
      </c>
      <c r="R21" s="184">
        <f t="shared" si="5"/>
        <v>95</v>
      </c>
      <c r="S21" s="9">
        <v>130</v>
      </c>
      <c r="T21" s="9">
        <f t="shared" si="6"/>
        <v>0</v>
      </c>
      <c r="U21" s="9">
        <v>13</v>
      </c>
      <c r="V21" s="9">
        <f t="shared" si="7"/>
        <v>0</v>
      </c>
      <c r="W21" s="13">
        <v>2</v>
      </c>
      <c r="X21" s="169" t="s">
        <v>219</v>
      </c>
      <c r="Y21" s="9">
        <v>396</v>
      </c>
      <c r="Z21" s="9">
        <f t="shared" si="10"/>
        <v>0</v>
      </c>
      <c r="AA21" s="10">
        <f t="shared" si="11"/>
        <v>0</v>
      </c>
      <c r="AB21" s="14" t="s">
        <v>222</v>
      </c>
    </row>
    <row r="22" spans="1:28" ht="15" customHeight="1" thickBot="1" x14ac:dyDescent="0.25">
      <c r="A22" s="185"/>
      <c r="B22" s="186"/>
      <c r="C22" s="187">
        <v>6327</v>
      </c>
      <c r="D22" s="188">
        <f t="shared" si="14"/>
        <v>107</v>
      </c>
      <c r="E22" s="18">
        <v>142</v>
      </c>
      <c r="F22" s="18">
        <f t="shared" si="15"/>
        <v>2</v>
      </c>
      <c r="G22" s="18">
        <v>20</v>
      </c>
      <c r="H22" s="18">
        <f t="shared" si="16"/>
        <v>2</v>
      </c>
      <c r="I22" s="31">
        <v>2</v>
      </c>
      <c r="J22" s="170" t="str">
        <f t="shared" si="25"/>
        <v>たまごっちマスコット</v>
      </c>
      <c r="K22" s="43">
        <f t="shared" si="26"/>
        <v>1430</v>
      </c>
      <c r="L22" s="18">
        <f t="shared" si="19"/>
        <v>2860</v>
      </c>
      <c r="M22" s="19">
        <f t="shared" si="20"/>
        <v>0.26728971962616821</v>
      </c>
      <c r="N22" s="14"/>
      <c r="P22" s="100"/>
      <c r="Q22" s="187">
        <v>6372</v>
      </c>
      <c r="R22" s="188">
        <f t="shared" si="5"/>
        <v>113</v>
      </c>
      <c r="S22" s="18">
        <v>202</v>
      </c>
      <c r="T22" s="18">
        <f t="shared" si="6"/>
        <v>2</v>
      </c>
      <c r="U22" s="18">
        <v>13</v>
      </c>
      <c r="V22" s="18">
        <f t="shared" si="7"/>
        <v>2</v>
      </c>
      <c r="W22" s="31">
        <v>0</v>
      </c>
      <c r="X22" s="170" t="str">
        <f t="shared" si="8"/>
        <v>バタースクイーズ</v>
      </c>
      <c r="Y22" s="43">
        <f t="shared" si="9"/>
        <v>290</v>
      </c>
      <c r="Z22" s="18">
        <f t="shared" si="10"/>
        <v>580</v>
      </c>
      <c r="AA22" s="19">
        <f t="shared" si="11"/>
        <v>5.1327433628318583E-2</v>
      </c>
      <c r="AB22" s="14" t="s">
        <v>220</v>
      </c>
    </row>
    <row r="23" spans="1:28" ht="15" customHeight="1" thickTop="1" x14ac:dyDescent="0.2">
      <c r="A23" s="181"/>
      <c r="B23" s="189">
        <f>SUM(D23:D26)+SUM(R23:R26)</f>
        <v>0</v>
      </c>
      <c r="C23" s="190"/>
      <c r="D23" s="190" t="str">
        <f t="shared" si="14"/>
        <v/>
      </c>
      <c r="E23" s="36"/>
      <c r="F23" s="22" t="str">
        <f t="shared" si="15"/>
        <v/>
      </c>
      <c r="G23" s="36"/>
      <c r="H23" s="36" t="str">
        <f t="shared" si="16"/>
        <v/>
      </c>
      <c r="I23" s="53"/>
      <c r="J23" s="168" t="str">
        <f t="shared" si="25"/>
        <v/>
      </c>
      <c r="K23" s="49" t="str">
        <f t="shared" si="26"/>
        <v/>
      </c>
      <c r="L23" s="22" t="str">
        <f t="shared" ref="L23:L26" si="27">IF(G23="","",H23*K23)</f>
        <v/>
      </c>
      <c r="M23" s="23" t="str">
        <f t="shared" ref="M23:M26" si="28">IF(H23="","",L23/(D23*100))</f>
        <v/>
      </c>
      <c r="N23" s="14"/>
      <c r="P23" s="104" t="str">
        <f>IF(A23="","",A23)</f>
        <v/>
      </c>
      <c r="Q23" s="190"/>
      <c r="R23" s="190" t="str">
        <f t="shared" si="5"/>
        <v/>
      </c>
      <c r="S23" s="36"/>
      <c r="T23" s="22" t="str">
        <f t="shared" si="6"/>
        <v/>
      </c>
      <c r="U23" s="36"/>
      <c r="V23" s="36" t="str">
        <f t="shared" si="7"/>
        <v/>
      </c>
      <c r="W23" s="53"/>
      <c r="X23" s="168" t="str">
        <f t="shared" si="8"/>
        <v/>
      </c>
      <c r="Y23" s="49" t="str">
        <f t="shared" si="9"/>
        <v/>
      </c>
      <c r="Z23" s="22" t="str">
        <f t="shared" si="10"/>
        <v/>
      </c>
      <c r="AA23" s="23" t="str">
        <f t="shared" si="11"/>
        <v/>
      </c>
      <c r="AB23" s="14"/>
    </row>
    <row r="24" spans="1:28" ht="15" customHeight="1" x14ac:dyDescent="0.2">
      <c r="A24" s="191"/>
      <c r="B24" s="192"/>
      <c r="C24" s="184"/>
      <c r="D24" s="184" t="str">
        <f t="shared" si="14"/>
        <v/>
      </c>
      <c r="E24" s="9"/>
      <c r="F24" s="9" t="str">
        <f t="shared" si="15"/>
        <v/>
      </c>
      <c r="G24" s="9"/>
      <c r="H24" s="9" t="str">
        <f t="shared" si="16"/>
        <v/>
      </c>
      <c r="I24" s="13"/>
      <c r="J24" s="169" t="str">
        <f t="shared" si="25"/>
        <v/>
      </c>
      <c r="K24" s="37" t="str">
        <f t="shared" si="26"/>
        <v/>
      </c>
      <c r="L24" s="9" t="str">
        <f t="shared" si="27"/>
        <v/>
      </c>
      <c r="M24" s="10" t="str">
        <f t="shared" si="28"/>
        <v/>
      </c>
      <c r="N24" s="14"/>
      <c r="P24" s="97"/>
      <c r="Q24" s="184"/>
      <c r="R24" s="184" t="str">
        <f t="shared" si="5"/>
        <v/>
      </c>
      <c r="S24" s="9"/>
      <c r="T24" s="9" t="str">
        <f t="shared" si="6"/>
        <v/>
      </c>
      <c r="U24" s="9"/>
      <c r="V24" s="9" t="str">
        <f t="shared" si="7"/>
        <v/>
      </c>
      <c r="W24" s="13"/>
      <c r="X24" s="169" t="str">
        <f t="shared" si="8"/>
        <v/>
      </c>
      <c r="Y24" s="37" t="str">
        <f t="shared" si="9"/>
        <v/>
      </c>
      <c r="Z24" s="9" t="str">
        <f t="shared" si="10"/>
        <v/>
      </c>
      <c r="AA24" s="10" t="str">
        <f t="shared" si="11"/>
        <v/>
      </c>
      <c r="AB24" s="14"/>
    </row>
    <row r="25" spans="1:28" ht="15" customHeight="1" x14ac:dyDescent="0.2">
      <c r="A25" s="191"/>
      <c r="B25" s="193"/>
      <c r="C25" s="194"/>
      <c r="D25" s="184" t="str">
        <f t="shared" si="14"/>
        <v/>
      </c>
      <c r="E25" s="9"/>
      <c r="F25" s="9" t="str">
        <f t="shared" si="15"/>
        <v/>
      </c>
      <c r="G25" s="25"/>
      <c r="H25" s="9" t="str">
        <f t="shared" si="16"/>
        <v/>
      </c>
      <c r="I25" s="32"/>
      <c r="J25" s="169" t="str">
        <f t="shared" si="25"/>
        <v/>
      </c>
      <c r="K25" s="9" t="str">
        <f t="shared" si="26"/>
        <v/>
      </c>
      <c r="L25" s="9" t="str">
        <f t="shared" si="27"/>
        <v/>
      </c>
      <c r="M25" s="10" t="str">
        <f t="shared" si="28"/>
        <v/>
      </c>
      <c r="N25" s="14"/>
      <c r="P25" s="97"/>
      <c r="Q25" s="194"/>
      <c r="R25" s="184" t="str">
        <f t="shared" si="5"/>
        <v/>
      </c>
      <c r="S25" s="9"/>
      <c r="T25" s="9" t="str">
        <f t="shared" si="6"/>
        <v/>
      </c>
      <c r="U25" s="25"/>
      <c r="V25" s="9" t="str">
        <f t="shared" si="7"/>
        <v/>
      </c>
      <c r="W25" s="32"/>
      <c r="X25" s="169" t="str">
        <f t="shared" si="8"/>
        <v/>
      </c>
      <c r="Y25" s="9" t="str">
        <f t="shared" si="9"/>
        <v/>
      </c>
      <c r="Z25" s="9" t="str">
        <f t="shared" si="10"/>
        <v/>
      </c>
      <c r="AA25" s="10" t="str">
        <f t="shared" si="11"/>
        <v/>
      </c>
      <c r="AB25" s="14"/>
    </row>
    <row r="26" spans="1:28" ht="15" customHeight="1" thickBot="1" x14ac:dyDescent="0.25">
      <c r="A26" s="185"/>
      <c r="B26" s="186"/>
      <c r="C26" s="195"/>
      <c r="D26" s="188" t="str">
        <f t="shared" si="14"/>
        <v/>
      </c>
      <c r="E26" s="18"/>
      <c r="F26" s="18" t="str">
        <f t="shared" si="15"/>
        <v/>
      </c>
      <c r="G26" s="18"/>
      <c r="H26" s="18" t="str">
        <f t="shared" si="16"/>
        <v/>
      </c>
      <c r="I26" s="31"/>
      <c r="J26" s="170" t="str">
        <f t="shared" si="25"/>
        <v/>
      </c>
      <c r="K26" s="43" t="str">
        <f t="shared" si="26"/>
        <v/>
      </c>
      <c r="L26" s="18" t="str">
        <f t="shared" si="27"/>
        <v/>
      </c>
      <c r="M26" s="19" t="str">
        <f t="shared" si="28"/>
        <v/>
      </c>
      <c r="N26" s="14"/>
      <c r="P26" s="100"/>
      <c r="Q26" s="195"/>
      <c r="R26" s="188" t="str">
        <f t="shared" si="5"/>
        <v/>
      </c>
      <c r="S26" s="18"/>
      <c r="T26" s="18" t="str">
        <f t="shared" si="6"/>
        <v/>
      </c>
      <c r="U26" s="18"/>
      <c r="V26" s="18" t="str">
        <f t="shared" si="7"/>
        <v/>
      </c>
      <c r="W26" s="31"/>
      <c r="X26" s="170" t="str">
        <f t="shared" si="8"/>
        <v/>
      </c>
      <c r="Y26" s="43" t="str">
        <f t="shared" si="9"/>
        <v/>
      </c>
      <c r="Z26" s="18" t="str">
        <f t="shared" si="10"/>
        <v/>
      </c>
      <c r="AA26" s="19" t="str">
        <f t="shared" si="11"/>
        <v/>
      </c>
      <c r="AB26" s="14"/>
    </row>
    <row r="27" spans="1:28" ht="15" customHeight="1" thickTop="1" x14ac:dyDescent="0.2">
      <c r="A27" s="181"/>
      <c r="B27" s="189">
        <f>SUM(D27:D30)+SUM(R27:R30)</f>
        <v>0</v>
      </c>
      <c r="C27" s="190"/>
      <c r="D27" s="190" t="str">
        <f t="shared" si="14"/>
        <v/>
      </c>
      <c r="E27" s="36"/>
      <c r="F27" s="22" t="str">
        <f t="shared" si="15"/>
        <v/>
      </c>
      <c r="G27" s="36"/>
      <c r="H27" s="36" t="str">
        <f t="shared" si="16"/>
        <v/>
      </c>
      <c r="I27" s="53"/>
      <c r="J27" s="168" t="str">
        <f t="shared" ref="J25:J38" si="29">IF(C27="","",J23)</f>
        <v/>
      </c>
      <c r="K27" s="49" t="str">
        <f t="shared" ref="K25:K38" si="30">IF(D27="","",K23)</f>
        <v/>
      </c>
      <c r="L27" s="22" t="str">
        <f t="shared" si="19"/>
        <v/>
      </c>
      <c r="M27" s="23" t="str">
        <f t="shared" si="20"/>
        <v/>
      </c>
      <c r="N27" s="14"/>
      <c r="P27" s="104" t="str">
        <f>IF(A27="","",A27)</f>
        <v/>
      </c>
      <c r="Q27" s="190"/>
      <c r="R27" s="190" t="str">
        <f t="shared" si="5"/>
        <v/>
      </c>
      <c r="S27" s="36"/>
      <c r="T27" s="22" t="str">
        <f t="shared" si="6"/>
        <v/>
      </c>
      <c r="U27" s="36"/>
      <c r="V27" s="36" t="str">
        <f t="shared" si="7"/>
        <v/>
      </c>
      <c r="W27" s="53"/>
      <c r="X27" s="168" t="str">
        <f t="shared" si="8"/>
        <v/>
      </c>
      <c r="Y27" s="49" t="str">
        <f t="shared" si="9"/>
        <v/>
      </c>
      <c r="Z27" s="22" t="str">
        <f t="shared" si="10"/>
        <v/>
      </c>
      <c r="AA27" s="23" t="str">
        <f t="shared" si="11"/>
        <v/>
      </c>
      <c r="AB27" s="14"/>
    </row>
    <row r="28" spans="1:28" ht="15" customHeight="1" x14ac:dyDescent="0.2">
      <c r="A28" s="181"/>
      <c r="B28" s="189"/>
      <c r="C28" s="190"/>
      <c r="D28" s="184" t="str">
        <f t="shared" si="14"/>
        <v/>
      </c>
      <c r="E28" s="9"/>
      <c r="F28" s="9" t="str">
        <f t="shared" si="15"/>
        <v/>
      </c>
      <c r="G28" s="9"/>
      <c r="H28" s="9" t="str">
        <f t="shared" si="16"/>
        <v/>
      </c>
      <c r="I28" s="13"/>
      <c r="J28" s="169" t="str">
        <f t="shared" si="29"/>
        <v/>
      </c>
      <c r="K28" s="37" t="str">
        <f t="shared" si="30"/>
        <v/>
      </c>
      <c r="L28" s="9" t="str">
        <f t="shared" si="19"/>
        <v/>
      </c>
      <c r="M28" s="10" t="str">
        <f t="shared" si="20"/>
        <v/>
      </c>
      <c r="N28" s="14"/>
      <c r="P28" s="96"/>
      <c r="Q28" s="190"/>
      <c r="R28" s="184" t="str">
        <f t="shared" si="5"/>
        <v/>
      </c>
      <c r="S28" s="9"/>
      <c r="T28" s="9" t="str">
        <f t="shared" si="6"/>
        <v/>
      </c>
      <c r="U28" s="9"/>
      <c r="V28" s="9" t="str">
        <f t="shared" si="7"/>
        <v/>
      </c>
      <c r="W28" s="13"/>
      <c r="X28" s="169" t="str">
        <f t="shared" si="8"/>
        <v/>
      </c>
      <c r="Y28" s="37" t="str">
        <f t="shared" si="9"/>
        <v/>
      </c>
      <c r="Z28" s="9" t="str">
        <f t="shared" si="10"/>
        <v/>
      </c>
      <c r="AA28" s="10" t="str">
        <f t="shared" si="11"/>
        <v/>
      </c>
      <c r="AB28" s="14"/>
    </row>
    <row r="29" spans="1:28" ht="15" customHeight="1" x14ac:dyDescent="0.2">
      <c r="A29" s="191"/>
      <c r="B29" s="192"/>
      <c r="C29" s="183"/>
      <c r="D29" s="184" t="str">
        <f t="shared" si="14"/>
        <v/>
      </c>
      <c r="E29" s="9"/>
      <c r="F29" s="9" t="str">
        <f t="shared" si="15"/>
        <v/>
      </c>
      <c r="G29" s="9"/>
      <c r="H29" s="9" t="str">
        <f t="shared" si="16"/>
        <v/>
      </c>
      <c r="I29" s="13"/>
      <c r="J29" s="169" t="str">
        <f t="shared" si="29"/>
        <v/>
      </c>
      <c r="K29" s="9" t="str">
        <f t="shared" si="30"/>
        <v/>
      </c>
      <c r="L29" s="9" t="str">
        <f t="shared" si="19"/>
        <v/>
      </c>
      <c r="M29" s="10" t="str">
        <f t="shared" si="20"/>
        <v/>
      </c>
      <c r="N29" s="14"/>
      <c r="P29" s="97"/>
      <c r="Q29" s="183"/>
      <c r="R29" s="184" t="str">
        <f t="shared" si="5"/>
        <v/>
      </c>
      <c r="S29" s="9"/>
      <c r="T29" s="9" t="str">
        <f t="shared" si="6"/>
        <v/>
      </c>
      <c r="U29" s="9"/>
      <c r="V29" s="9" t="str">
        <f t="shared" si="7"/>
        <v/>
      </c>
      <c r="W29" s="13"/>
      <c r="X29" s="169" t="str">
        <f t="shared" si="8"/>
        <v/>
      </c>
      <c r="Y29" s="9" t="str">
        <f t="shared" si="9"/>
        <v/>
      </c>
      <c r="Z29" s="9" t="str">
        <f t="shared" si="10"/>
        <v/>
      </c>
      <c r="AA29" s="10" t="str">
        <f t="shared" si="11"/>
        <v/>
      </c>
      <c r="AB29" s="14"/>
    </row>
    <row r="30" spans="1:28" ht="15" customHeight="1" thickBot="1" x14ac:dyDescent="0.25">
      <c r="A30" s="185"/>
      <c r="B30" s="186"/>
      <c r="C30" s="187"/>
      <c r="D30" s="188" t="str">
        <f t="shared" si="14"/>
        <v/>
      </c>
      <c r="E30" s="18"/>
      <c r="F30" s="18" t="str">
        <f t="shared" si="15"/>
        <v/>
      </c>
      <c r="G30" s="18"/>
      <c r="H30" s="18" t="str">
        <f t="shared" si="16"/>
        <v/>
      </c>
      <c r="I30" s="31"/>
      <c r="J30" s="170" t="str">
        <f t="shared" si="29"/>
        <v/>
      </c>
      <c r="K30" s="43" t="str">
        <f t="shared" si="30"/>
        <v/>
      </c>
      <c r="L30" s="18" t="str">
        <f t="shared" si="19"/>
        <v/>
      </c>
      <c r="M30" s="19" t="str">
        <f t="shared" si="20"/>
        <v/>
      </c>
      <c r="N30" s="14"/>
      <c r="P30" s="100"/>
      <c r="Q30" s="187"/>
      <c r="R30" s="188" t="str">
        <f t="shared" si="5"/>
        <v/>
      </c>
      <c r="S30" s="18"/>
      <c r="T30" s="18" t="str">
        <f t="shared" si="6"/>
        <v/>
      </c>
      <c r="U30" s="18"/>
      <c r="V30" s="18" t="str">
        <f t="shared" si="7"/>
        <v/>
      </c>
      <c r="W30" s="31"/>
      <c r="X30" s="170" t="str">
        <f t="shared" si="8"/>
        <v/>
      </c>
      <c r="Y30" s="43" t="str">
        <f t="shared" si="9"/>
        <v/>
      </c>
      <c r="Z30" s="18" t="str">
        <f t="shared" si="10"/>
        <v/>
      </c>
      <c r="AA30" s="19" t="str">
        <f t="shared" si="11"/>
        <v/>
      </c>
      <c r="AB30" s="14"/>
    </row>
    <row r="31" spans="1:28" ht="15" customHeight="1" thickTop="1" x14ac:dyDescent="0.2">
      <c r="A31" s="181"/>
      <c r="B31" s="189">
        <f>SUM(D31:D34)+SUM(R31:R34)</f>
        <v>0</v>
      </c>
      <c r="C31" s="190"/>
      <c r="D31" s="190" t="str">
        <f t="shared" si="14"/>
        <v/>
      </c>
      <c r="E31" s="36"/>
      <c r="F31" s="22" t="str">
        <f t="shared" si="15"/>
        <v/>
      </c>
      <c r="G31" s="36"/>
      <c r="H31" s="36" t="str">
        <f t="shared" si="16"/>
        <v/>
      </c>
      <c r="I31" s="53"/>
      <c r="J31" s="168" t="str">
        <f t="shared" si="29"/>
        <v/>
      </c>
      <c r="K31" s="49" t="str">
        <f t="shared" si="30"/>
        <v/>
      </c>
      <c r="L31" s="22" t="str">
        <f t="shared" ref="L31:L38" si="31">IF(G31="","",H31*K31)</f>
        <v/>
      </c>
      <c r="M31" s="23" t="str">
        <f t="shared" ref="M31:M38" si="32">IF(H31="","",L31/(D31*100))</f>
        <v/>
      </c>
      <c r="N31" s="14"/>
      <c r="P31" s="104" t="str">
        <f>IF(A31="","",A31)</f>
        <v/>
      </c>
      <c r="Q31" s="190"/>
      <c r="R31" s="190" t="str">
        <f t="shared" si="5"/>
        <v/>
      </c>
      <c r="S31" s="36"/>
      <c r="T31" s="22" t="str">
        <f t="shared" si="6"/>
        <v/>
      </c>
      <c r="U31" s="36"/>
      <c r="V31" s="36" t="str">
        <f t="shared" si="7"/>
        <v/>
      </c>
      <c r="W31" s="53"/>
      <c r="X31" s="168" t="str">
        <f t="shared" si="8"/>
        <v/>
      </c>
      <c r="Y31" s="49" t="str">
        <f t="shared" si="9"/>
        <v/>
      </c>
      <c r="Z31" s="22" t="str">
        <f t="shared" si="10"/>
        <v/>
      </c>
      <c r="AA31" s="23" t="str">
        <f t="shared" si="11"/>
        <v/>
      </c>
      <c r="AB31" s="14"/>
    </row>
    <row r="32" spans="1:28" ht="15" customHeight="1" x14ac:dyDescent="0.2">
      <c r="A32" s="191"/>
      <c r="B32" s="189"/>
      <c r="C32" s="184"/>
      <c r="D32" s="184" t="str">
        <f t="shared" si="14"/>
        <v/>
      </c>
      <c r="E32" s="9"/>
      <c r="F32" s="9" t="str">
        <f t="shared" si="15"/>
        <v/>
      </c>
      <c r="G32" s="9"/>
      <c r="H32" s="9" t="str">
        <f t="shared" si="16"/>
        <v/>
      </c>
      <c r="I32" s="13"/>
      <c r="J32" s="169" t="str">
        <f t="shared" si="29"/>
        <v/>
      </c>
      <c r="K32" s="37" t="str">
        <f t="shared" si="30"/>
        <v/>
      </c>
      <c r="L32" s="9" t="str">
        <f t="shared" si="31"/>
        <v/>
      </c>
      <c r="M32" s="10" t="str">
        <f t="shared" si="32"/>
        <v/>
      </c>
      <c r="N32" s="14"/>
      <c r="P32" s="97"/>
      <c r="Q32" s="184"/>
      <c r="R32" s="184" t="str">
        <f t="shared" si="5"/>
        <v/>
      </c>
      <c r="S32" s="9"/>
      <c r="T32" s="9" t="str">
        <f t="shared" si="6"/>
        <v/>
      </c>
      <c r="U32" s="9"/>
      <c r="V32" s="9" t="str">
        <f t="shared" si="7"/>
        <v/>
      </c>
      <c r="W32" s="13"/>
      <c r="X32" s="169" t="str">
        <f t="shared" si="8"/>
        <v/>
      </c>
      <c r="Y32" s="37" t="str">
        <f t="shared" si="9"/>
        <v/>
      </c>
      <c r="Z32" s="9" t="str">
        <f t="shared" si="10"/>
        <v/>
      </c>
      <c r="AA32" s="10" t="str">
        <f t="shared" si="11"/>
        <v/>
      </c>
      <c r="AB32" s="14"/>
    </row>
    <row r="33" spans="1:28" ht="15" customHeight="1" x14ac:dyDescent="0.2">
      <c r="A33" s="191"/>
      <c r="B33" s="192"/>
      <c r="C33" s="194"/>
      <c r="D33" s="184" t="str">
        <f t="shared" si="14"/>
        <v/>
      </c>
      <c r="E33" s="9"/>
      <c r="F33" s="9" t="str">
        <f t="shared" si="15"/>
        <v/>
      </c>
      <c r="G33" s="25"/>
      <c r="H33" s="9" t="str">
        <f t="shared" si="16"/>
        <v/>
      </c>
      <c r="I33" s="32"/>
      <c r="J33" s="169" t="str">
        <f t="shared" si="29"/>
        <v/>
      </c>
      <c r="K33" s="9" t="str">
        <f t="shared" si="30"/>
        <v/>
      </c>
      <c r="L33" s="9" t="str">
        <f t="shared" si="31"/>
        <v/>
      </c>
      <c r="M33" s="10" t="str">
        <f t="shared" si="32"/>
        <v/>
      </c>
      <c r="N33" s="14"/>
      <c r="P33" s="97"/>
      <c r="Q33" s="194"/>
      <c r="R33" s="184" t="str">
        <f t="shared" si="5"/>
        <v/>
      </c>
      <c r="S33" s="9"/>
      <c r="T33" s="9" t="str">
        <f t="shared" si="6"/>
        <v/>
      </c>
      <c r="U33" s="25"/>
      <c r="V33" s="9" t="str">
        <f t="shared" si="7"/>
        <v/>
      </c>
      <c r="W33" s="32"/>
      <c r="X33" s="169" t="str">
        <f t="shared" si="8"/>
        <v/>
      </c>
      <c r="Y33" s="9" t="str">
        <f t="shared" si="9"/>
        <v/>
      </c>
      <c r="Z33" s="9" t="str">
        <f t="shared" si="10"/>
        <v/>
      </c>
      <c r="AA33" s="10" t="str">
        <f t="shared" si="11"/>
        <v/>
      </c>
      <c r="AB33" s="14"/>
    </row>
    <row r="34" spans="1:28" ht="15" customHeight="1" thickBot="1" x14ac:dyDescent="0.25">
      <c r="A34" s="100"/>
      <c r="B34" s="87"/>
      <c r="C34" s="18"/>
      <c r="D34" s="43" t="str">
        <f t="shared" si="14"/>
        <v/>
      </c>
      <c r="E34" s="18"/>
      <c r="F34" s="18" t="str">
        <f t="shared" si="15"/>
        <v/>
      </c>
      <c r="G34" s="18"/>
      <c r="H34" s="18" t="str">
        <f t="shared" si="16"/>
        <v/>
      </c>
      <c r="I34" s="31"/>
      <c r="J34" s="170" t="str">
        <f t="shared" si="29"/>
        <v/>
      </c>
      <c r="K34" s="43" t="str">
        <f t="shared" si="30"/>
        <v/>
      </c>
      <c r="L34" s="18" t="str">
        <f t="shared" si="31"/>
        <v/>
      </c>
      <c r="M34" s="19" t="str">
        <f t="shared" si="32"/>
        <v/>
      </c>
      <c r="N34" s="14"/>
      <c r="P34" s="100"/>
      <c r="Q34" s="18"/>
      <c r="R34" s="43" t="str">
        <f t="shared" si="5"/>
        <v/>
      </c>
      <c r="S34" s="18"/>
      <c r="T34" s="18" t="str">
        <f t="shared" si="6"/>
        <v/>
      </c>
      <c r="U34" s="18"/>
      <c r="V34" s="18" t="str">
        <f t="shared" si="7"/>
        <v/>
      </c>
      <c r="W34" s="31"/>
      <c r="X34" s="170" t="str">
        <f t="shared" si="8"/>
        <v/>
      </c>
      <c r="Y34" s="43" t="str">
        <f t="shared" si="9"/>
        <v/>
      </c>
      <c r="Z34" s="18" t="str">
        <f t="shared" si="10"/>
        <v/>
      </c>
      <c r="AA34" s="19" t="str">
        <f t="shared" si="11"/>
        <v/>
      </c>
      <c r="AB34" s="14"/>
    </row>
    <row r="35" spans="1:28" ht="15" customHeight="1" thickTop="1" x14ac:dyDescent="0.2">
      <c r="A35" s="96"/>
      <c r="B35" s="81">
        <f>SUM(D35:D38)+SUM(R35:R38)</f>
        <v>0</v>
      </c>
      <c r="C35" s="36"/>
      <c r="D35" s="36" t="str">
        <f t="shared" si="14"/>
        <v/>
      </c>
      <c r="E35" s="36"/>
      <c r="F35" s="22" t="str">
        <f t="shared" si="15"/>
        <v/>
      </c>
      <c r="G35" s="36"/>
      <c r="H35" s="36" t="str">
        <f t="shared" si="16"/>
        <v/>
      </c>
      <c r="I35" s="53"/>
      <c r="J35" s="168" t="str">
        <f t="shared" si="29"/>
        <v/>
      </c>
      <c r="K35" s="49" t="str">
        <f t="shared" si="30"/>
        <v/>
      </c>
      <c r="L35" s="22" t="str">
        <f t="shared" si="31"/>
        <v/>
      </c>
      <c r="M35" s="23" t="str">
        <f t="shared" si="32"/>
        <v/>
      </c>
      <c r="N35" s="14"/>
      <c r="P35" s="104" t="str">
        <f>IF(A35="","",A35)</f>
        <v/>
      </c>
      <c r="Q35" s="36"/>
      <c r="R35" s="36" t="str">
        <f t="shared" si="5"/>
        <v/>
      </c>
      <c r="S35" s="36"/>
      <c r="T35" s="22" t="str">
        <f t="shared" si="6"/>
        <v/>
      </c>
      <c r="U35" s="36"/>
      <c r="V35" s="36" t="str">
        <f t="shared" si="7"/>
        <v/>
      </c>
      <c r="W35" s="53"/>
      <c r="X35" s="168" t="str">
        <f t="shared" si="8"/>
        <v/>
      </c>
      <c r="Y35" s="49" t="str">
        <f t="shared" si="9"/>
        <v/>
      </c>
      <c r="Z35" s="22" t="str">
        <f t="shared" si="10"/>
        <v/>
      </c>
      <c r="AA35" s="23" t="str">
        <f t="shared" si="11"/>
        <v/>
      </c>
      <c r="AB35" s="14"/>
    </row>
    <row r="36" spans="1:28" ht="15" customHeight="1" x14ac:dyDescent="0.2">
      <c r="A36" s="97"/>
      <c r="B36" s="81"/>
      <c r="C36" s="36"/>
      <c r="D36" s="9" t="str">
        <f t="shared" si="14"/>
        <v/>
      </c>
      <c r="E36" s="9"/>
      <c r="F36" s="9" t="str">
        <f t="shared" si="15"/>
        <v/>
      </c>
      <c r="G36" s="9"/>
      <c r="H36" s="9" t="str">
        <f t="shared" si="16"/>
        <v/>
      </c>
      <c r="I36" s="13"/>
      <c r="J36" s="169" t="str">
        <f t="shared" si="29"/>
        <v/>
      </c>
      <c r="K36" s="37" t="str">
        <f t="shared" si="30"/>
        <v/>
      </c>
      <c r="L36" s="9" t="str">
        <f t="shared" si="31"/>
        <v/>
      </c>
      <c r="M36" s="10" t="str">
        <f t="shared" si="32"/>
        <v/>
      </c>
      <c r="N36" s="9"/>
      <c r="P36" s="97"/>
      <c r="Q36" s="36"/>
      <c r="R36" s="9" t="str">
        <f t="shared" si="5"/>
        <v/>
      </c>
      <c r="S36" s="9"/>
      <c r="T36" s="9" t="str">
        <f t="shared" si="6"/>
        <v/>
      </c>
      <c r="U36" s="9"/>
      <c r="V36" s="9" t="str">
        <f t="shared" si="7"/>
        <v/>
      </c>
      <c r="W36" s="13"/>
      <c r="X36" s="169" t="str">
        <f t="shared" si="8"/>
        <v/>
      </c>
      <c r="Y36" s="37" t="str">
        <f t="shared" si="9"/>
        <v/>
      </c>
      <c r="Z36" s="9" t="str">
        <f t="shared" si="10"/>
        <v/>
      </c>
      <c r="AA36" s="10" t="str">
        <f t="shared" si="11"/>
        <v/>
      </c>
      <c r="AB36" s="9"/>
    </row>
    <row r="37" spans="1:28" ht="15" customHeight="1" x14ac:dyDescent="0.2">
      <c r="A37" s="99"/>
      <c r="B37" s="8"/>
      <c r="C37" s="44"/>
      <c r="D37" s="9" t="str">
        <f t="shared" si="14"/>
        <v/>
      </c>
      <c r="E37" s="9"/>
      <c r="F37" s="9" t="str">
        <f t="shared" si="15"/>
        <v/>
      </c>
      <c r="G37" s="9"/>
      <c r="H37" s="9" t="str">
        <f t="shared" si="16"/>
        <v/>
      </c>
      <c r="I37" s="13"/>
      <c r="J37" s="169" t="str">
        <f t="shared" si="29"/>
        <v/>
      </c>
      <c r="K37" s="9" t="str">
        <f t="shared" si="30"/>
        <v/>
      </c>
      <c r="L37" s="9" t="str">
        <f t="shared" si="31"/>
        <v/>
      </c>
      <c r="M37" s="10" t="str">
        <f t="shared" si="32"/>
        <v/>
      </c>
      <c r="N37" s="14"/>
      <c r="P37" s="97"/>
      <c r="Q37" s="44"/>
      <c r="R37" s="9" t="str">
        <f t="shared" si="5"/>
        <v/>
      </c>
      <c r="S37" s="9"/>
      <c r="T37" s="9" t="str">
        <f t="shared" si="6"/>
        <v/>
      </c>
      <c r="U37" s="9"/>
      <c r="V37" s="9" t="str">
        <f t="shared" si="7"/>
        <v/>
      </c>
      <c r="W37" s="13"/>
      <c r="X37" s="169" t="str">
        <f t="shared" si="8"/>
        <v/>
      </c>
      <c r="Y37" s="9" t="str">
        <f t="shared" si="9"/>
        <v/>
      </c>
      <c r="Z37" s="9" t="str">
        <f t="shared" si="10"/>
        <v/>
      </c>
      <c r="AA37" s="10" t="str">
        <f t="shared" si="11"/>
        <v/>
      </c>
      <c r="AB37" s="14"/>
    </row>
    <row r="38" spans="1:28" ht="15" customHeight="1" thickBot="1" x14ac:dyDescent="0.25">
      <c r="A38" s="100"/>
      <c r="B38" s="87"/>
      <c r="C38" s="42"/>
      <c r="D38" s="43" t="str">
        <f t="shared" si="14"/>
        <v/>
      </c>
      <c r="E38" s="18"/>
      <c r="F38" s="18" t="str">
        <f t="shared" si="15"/>
        <v/>
      </c>
      <c r="G38" s="18"/>
      <c r="H38" s="18" t="str">
        <f t="shared" si="16"/>
        <v/>
      </c>
      <c r="I38" s="31"/>
      <c r="J38" s="170" t="str">
        <f t="shared" si="29"/>
        <v/>
      </c>
      <c r="K38" s="43" t="str">
        <f t="shared" si="30"/>
        <v/>
      </c>
      <c r="L38" s="18" t="str">
        <f t="shared" si="31"/>
        <v/>
      </c>
      <c r="M38" s="19" t="str">
        <f t="shared" si="32"/>
        <v/>
      </c>
      <c r="N38" s="14"/>
      <c r="P38" s="100"/>
      <c r="Q38" s="42"/>
      <c r="R38" s="43" t="str">
        <f t="shared" si="5"/>
        <v/>
      </c>
      <c r="S38" s="18"/>
      <c r="T38" s="18" t="str">
        <f t="shared" si="6"/>
        <v/>
      </c>
      <c r="U38" s="18"/>
      <c r="V38" s="18" t="str">
        <f t="shared" si="7"/>
        <v/>
      </c>
      <c r="W38" s="31"/>
      <c r="X38" s="170" t="str">
        <f t="shared" si="8"/>
        <v/>
      </c>
      <c r="Y38" s="43" t="str">
        <f t="shared" si="9"/>
        <v/>
      </c>
      <c r="Z38" s="18" t="str">
        <f t="shared" si="10"/>
        <v/>
      </c>
      <c r="AA38" s="19" t="str">
        <f t="shared" si="11"/>
        <v/>
      </c>
      <c r="AB38" s="14"/>
    </row>
    <row r="39" spans="1:28" ht="15" customHeight="1" thickTop="1" x14ac:dyDescent="0.2">
      <c r="A39" s="96"/>
      <c r="B39" s="81">
        <f>SUM(D39:D42)+SUM(R39:R42)</f>
        <v>0</v>
      </c>
      <c r="C39" s="36"/>
      <c r="D39" s="36" t="str">
        <f t="shared" si="14"/>
        <v/>
      </c>
      <c r="E39" s="36"/>
      <c r="F39" s="22" t="str">
        <f t="shared" si="15"/>
        <v/>
      </c>
      <c r="G39" s="36"/>
      <c r="H39" s="36" t="str">
        <f t="shared" si="16"/>
        <v/>
      </c>
      <c r="I39" s="53"/>
      <c r="J39" s="168" t="str">
        <f t="shared" ref="J36:J58" si="33">IF(C39="","",J35)</f>
        <v/>
      </c>
      <c r="K39" s="49" t="str">
        <f t="shared" ref="K36:K58" si="34">IF(D39="","",K35)</f>
        <v/>
      </c>
      <c r="L39" s="22" t="str">
        <f t="shared" si="19"/>
        <v/>
      </c>
      <c r="M39" s="23" t="str">
        <f t="shared" si="20"/>
        <v/>
      </c>
      <c r="N39" s="9"/>
      <c r="P39" s="104" t="str">
        <f>IF(A39="","",A39)</f>
        <v/>
      </c>
      <c r="Q39" s="36"/>
      <c r="R39" s="36" t="str">
        <f t="shared" ref="R7:R58" si="35">IF(Q39="","",Q39-Q35)</f>
        <v/>
      </c>
      <c r="S39" s="36"/>
      <c r="T39" s="22" t="str">
        <f t="shared" ref="T7:T58" si="36">IF(S39="","",S39-S35)</f>
        <v/>
      </c>
      <c r="U39" s="36"/>
      <c r="V39" s="36" t="str">
        <f t="shared" ref="V7:V58" si="37">IF(U39="","",U35+W35-U39)</f>
        <v/>
      </c>
      <c r="W39" s="53"/>
      <c r="X39" s="168" t="str">
        <f t="shared" ref="X35:X58" si="38">IF(Q39="","",X35)</f>
        <v/>
      </c>
      <c r="Y39" s="49" t="str">
        <f t="shared" ref="Y35:Y58" si="39">IF(R39="","",Y35)</f>
        <v/>
      </c>
      <c r="Z39" s="22" t="str">
        <f t="shared" ref="Z7:Z58" si="40">IF(U39="","",V39*Y39)</f>
        <v/>
      </c>
      <c r="AA39" s="23" t="str">
        <f t="shared" ref="AA7:AA58" si="41">IF(V39="","",Z39/(R39*100))</f>
        <v/>
      </c>
      <c r="AB39" s="9"/>
    </row>
    <row r="40" spans="1:28" ht="15" customHeight="1" x14ac:dyDescent="0.2">
      <c r="A40" s="97"/>
      <c r="B40" s="8"/>
      <c r="C40" s="9"/>
      <c r="D40" s="9" t="str">
        <f t="shared" si="14"/>
        <v/>
      </c>
      <c r="E40" s="9"/>
      <c r="F40" s="9" t="str">
        <f t="shared" si="15"/>
        <v/>
      </c>
      <c r="G40" s="9"/>
      <c r="H40" s="9" t="str">
        <f t="shared" si="16"/>
        <v/>
      </c>
      <c r="I40" s="13"/>
      <c r="J40" s="169" t="str">
        <f t="shared" si="33"/>
        <v/>
      </c>
      <c r="K40" s="37" t="str">
        <f t="shared" si="34"/>
        <v/>
      </c>
      <c r="L40" s="9" t="str">
        <f t="shared" si="19"/>
        <v/>
      </c>
      <c r="M40" s="10" t="str">
        <f t="shared" si="20"/>
        <v/>
      </c>
      <c r="N40" s="9"/>
      <c r="P40" s="97"/>
      <c r="Q40" s="9"/>
      <c r="R40" s="9" t="str">
        <f t="shared" si="35"/>
        <v/>
      </c>
      <c r="S40" s="9"/>
      <c r="T40" s="9" t="str">
        <f t="shared" si="36"/>
        <v/>
      </c>
      <c r="U40" s="9"/>
      <c r="V40" s="9" t="str">
        <f t="shared" si="37"/>
        <v/>
      </c>
      <c r="W40" s="13"/>
      <c r="X40" s="169" t="str">
        <f t="shared" si="38"/>
        <v/>
      </c>
      <c r="Y40" s="37" t="str">
        <f t="shared" si="39"/>
        <v/>
      </c>
      <c r="Z40" s="9" t="str">
        <f t="shared" si="40"/>
        <v/>
      </c>
      <c r="AA40" s="10" t="str">
        <f t="shared" si="41"/>
        <v/>
      </c>
      <c r="AB40" s="9"/>
    </row>
    <row r="41" spans="1:28" ht="15" customHeight="1" x14ac:dyDescent="0.2">
      <c r="A41" s="97"/>
      <c r="B41" s="8"/>
      <c r="C41" s="25"/>
      <c r="D41" s="9" t="str">
        <f t="shared" si="14"/>
        <v/>
      </c>
      <c r="E41" s="9"/>
      <c r="F41" s="9" t="str">
        <f t="shared" si="15"/>
        <v/>
      </c>
      <c r="G41" s="25"/>
      <c r="H41" s="9" t="str">
        <f t="shared" si="16"/>
        <v/>
      </c>
      <c r="I41" s="32"/>
      <c r="J41" s="169" t="str">
        <f t="shared" si="33"/>
        <v/>
      </c>
      <c r="K41" s="9" t="str">
        <f t="shared" si="34"/>
        <v/>
      </c>
      <c r="L41" s="9" t="str">
        <f t="shared" si="19"/>
        <v/>
      </c>
      <c r="M41" s="10" t="str">
        <f t="shared" si="20"/>
        <v/>
      </c>
      <c r="N41" s="9"/>
      <c r="P41" s="97"/>
      <c r="Q41" s="25"/>
      <c r="R41" s="9" t="str">
        <f t="shared" si="35"/>
        <v/>
      </c>
      <c r="S41" s="9"/>
      <c r="T41" s="9" t="str">
        <f t="shared" si="36"/>
        <v/>
      </c>
      <c r="U41" s="25"/>
      <c r="V41" s="9" t="str">
        <f t="shared" si="37"/>
        <v/>
      </c>
      <c r="W41" s="32"/>
      <c r="X41" s="169" t="str">
        <f t="shared" si="38"/>
        <v/>
      </c>
      <c r="Y41" s="9" t="str">
        <f t="shared" si="39"/>
        <v/>
      </c>
      <c r="Z41" s="9" t="str">
        <f t="shared" si="40"/>
        <v/>
      </c>
      <c r="AA41" s="10" t="str">
        <f t="shared" si="41"/>
        <v/>
      </c>
      <c r="AB41" s="9"/>
    </row>
    <row r="42" spans="1:28" ht="15" customHeight="1" thickBot="1" x14ac:dyDescent="0.25">
      <c r="A42" s="100"/>
      <c r="B42" s="82"/>
      <c r="C42" s="18"/>
      <c r="D42" s="43" t="str">
        <f t="shared" si="14"/>
        <v/>
      </c>
      <c r="E42" s="18"/>
      <c r="F42" s="18" t="str">
        <f t="shared" si="15"/>
        <v/>
      </c>
      <c r="G42" s="18"/>
      <c r="H42" s="18" t="str">
        <f t="shared" si="16"/>
        <v/>
      </c>
      <c r="I42" s="31"/>
      <c r="J42" s="170" t="str">
        <f t="shared" si="33"/>
        <v/>
      </c>
      <c r="K42" s="43" t="str">
        <f t="shared" si="34"/>
        <v/>
      </c>
      <c r="L42" s="18" t="str">
        <f t="shared" si="19"/>
        <v/>
      </c>
      <c r="M42" s="19" t="str">
        <f t="shared" si="20"/>
        <v/>
      </c>
      <c r="N42" s="9"/>
      <c r="P42" s="100"/>
      <c r="Q42" s="18"/>
      <c r="R42" s="43" t="str">
        <f t="shared" si="35"/>
        <v/>
      </c>
      <c r="S42" s="18"/>
      <c r="T42" s="18" t="str">
        <f t="shared" si="36"/>
        <v/>
      </c>
      <c r="U42" s="18"/>
      <c r="V42" s="18" t="str">
        <f t="shared" si="37"/>
        <v/>
      </c>
      <c r="W42" s="31"/>
      <c r="X42" s="170" t="str">
        <f t="shared" si="38"/>
        <v/>
      </c>
      <c r="Y42" s="43" t="str">
        <f t="shared" si="39"/>
        <v/>
      </c>
      <c r="Z42" s="18" t="str">
        <f t="shared" si="40"/>
        <v/>
      </c>
      <c r="AA42" s="19" t="str">
        <f t="shared" si="41"/>
        <v/>
      </c>
      <c r="AB42" s="9"/>
    </row>
    <row r="43" spans="1:28" ht="15" customHeight="1" thickTop="1" x14ac:dyDescent="0.2">
      <c r="A43" s="96"/>
      <c r="B43" s="81">
        <f>SUM(D43:D46)+SUM(R43:R46)</f>
        <v>0</v>
      </c>
      <c r="C43" s="36"/>
      <c r="D43" s="36" t="str">
        <f t="shared" si="14"/>
        <v/>
      </c>
      <c r="E43" s="36"/>
      <c r="F43" s="22" t="str">
        <f t="shared" si="15"/>
        <v/>
      </c>
      <c r="G43" s="36"/>
      <c r="H43" s="36" t="str">
        <f t="shared" si="16"/>
        <v/>
      </c>
      <c r="I43" s="53"/>
      <c r="J43" s="168" t="str">
        <f t="shared" si="33"/>
        <v/>
      </c>
      <c r="K43" s="49" t="str">
        <f t="shared" si="34"/>
        <v/>
      </c>
      <c r="L43" s="22" t="str">
        <f t="shared" si="19"/>
        <v/>
      </c>
      <c r="M43" s="23" t="str">
        <f t="shared" si="20"/>
        <v/>
      </c>
      <c r="N43" s="9"/>
      <c r="P43" s="104" t="str">
        <f>IF(A43="","",A43)</f>
        <v/>
      </c>
      <c r="Q43" s="36"/>
      <c r="R43" s="36" t="str">
        <f t="shared" si="35"/>
        <v/>
      </c>
      <c r="S43" s="36"/>
      <c r="T43" s="22" t="str">
        <f t="shared" si="36"/>
        <v/>
      </c>
      <c r="U43" s="36"/>
      <c r="V43" s="36" t="str">
        <f t="shared" si="37"/>
        <v/>
      </c>
      <c r="W43" s="53"/>
      <c r="X43" s="168" t="str">
        <f t="shared" si="38"/>
        <v/>
      </c>
      <c r="Y43" s="49" t="str">
        <f t="shared" si="39"/>
        <v/>
      </c>
      <c r="Z43" s="22" t="str">
        <f t="shared" si="40"/>
        <v/>
      </c>
      <c r="AA43" s="23" t="str">
        <f t="shared" si="41"/>
        <v/>
      </c>
      <c r="AB43" s="9"/>
    </row>
    <row r="44" spans="1:28" ht="15" customHeight="1" x14ac:dyDescent="0.2">
      <c r="A44" s="97"/>
      <c r="B44" s="8"/>
      <c r="C44" s="36"/>
      <c r="D44" s="9" t="str">
        <f t="shared" si="14"/>
        <v/>
      </c>
      <c r="E44" s="9"/>
      <c r="F44" s="9" t="str">
        <f t="shared" si="15"/>
        <v/>
      </c>
      <c r="G44" s="9"/>
      <c r="H44" s="9" t="str">
        <f t="shared" si="16"/>
        <v/>
      </c>
      <c r="I44" s="13"/>
      <c r="J44" s="169" t="str">
        <f t="shared" si="33"/>
        <v/>
      </c>
      <c r="K44" s="37" t="str">
        <f t="shared" si="34"/>
        <v/>
      </c>
      <c r="L44" s="9" t="str">
        <f t="shared" si="19"/>
        <v/>
      </c>
      <c r="M44" s="10" t="str">
        <f t="shared" si="20"/>
        <v/>
      </c>
      <c r="N44" s="9"/>
      <c r="P44" s="97"/>
      <c r="Q44" s="36"/>
      <c r="R44" s="9" t="str">
        <f t="shared" si="35"/>
        <v/>
      </c>
      <c r="S44" s="9"/>
      <c r="T44" s="9" t="str">
        <f t="shared" si="36"/>
        <v/>
      </c>
      <c r="U44" s="9"/>
      <c r="V44" s="9" t="str">
        <f t="shared" si="37"/>
        <v/>
      </c>
      <c r="W44" s="13"/>
      <c r="X44" s="169" t="str">
        <f t="shared" si="38"/>
        <v/>
      </c>
      <c r="Y44" s="37" t="str">
        <f t="shared" si="39"/>
        <v/>
      </c>
      <c r="Z44" s="9" t="str">
        <f t="shared" si="40"/>
        <v/>
      </c>
      <c r="AA44" s="10" t="str">
        <f t="shared" si="41"/>
        <v/>
      </c>
      <c r="AB44" s="9"/>
    </row>
    <row r="45" spans="1:28" ht="15" customHeight="1" x14ac:dyDescent="0.2">
      <c r="A45" s="97"/>
      <c r="B45" s="8"/>
      <c r="C45" s="44"/>
      <c r="D45" s="9" t="str">
        <f t="shared" si="14"/>
        <v/>
      </c>
      <c r="E45" s="9"/>
      <c r="F45" s="9" t="str">
        <f t="shared" si="15"/>
        <v/>
      </c>
      <c r="G45" s="9"/>
      <c r="H45" s="9" t="str">
        <f t="shared" si="16"/>
        <v/>
      </c>
      <c r="I45" s="13"/>
      <c r="J45" s="169" t="str">
        <f t="shared" si="33"/>
        <v/>
      </c>
      <c r="K45" s="9" t="str">
        <f t="shared" si="34"/>
        <v/>
      </c>
      <c r="L45" s="9" t="str">
        <f t="shared" si="19"/>
        <v/>
      </c>
      <c r="M45" s="10" t="str">
        <f t="shared" si="20"/>
        <v/>
      </c>
      <c r="N45" s="9"/>
      <c r="P45" s="97"/>
      <c r="Q45" s="44"/>
      <c r="R45" s="9" t="str">
        <f t="shared" si="35"/>
        <v/>
      </c>
      <c r="S45" s="9"/>
      <c r="T45" s="9" t="str">
        <f t="shared" si="36"/>
        <v/>
      </c>
      <c r="U45" s="9"/>
      <c r="V45" s="9" t="str">
        <f t="shared" si="37"/>
        <v/>
      </c>
      <c r="W45" s="13"/>
      <c r="X45" s="169" t="str">
        <f t="shared" si="38"/>
        <v/>
      </c>
      <c r="Y45" s="9" t="str">
        <f t="shared" si="39"/>
        <v/>
      </c>
      <c r="Z45" s="9" t="str">
        <f t="shared" si="40"/>
        <v/>
      </c>
      <c r="AA45" s="10" t="str">
        <f t="shared" si="41"/>
        <v/>
      </c>
      <c r="AB45" s="9"/>
    </row>
    <row r="46" spans="1:28" ht="15" customHeight="1" thickBot="1" x14ac:dyDescent="0.25">
      <c r="A46" s="100"/>
      <c r="B46" s="82"/>
      <c r="C46" s="42"/>
      <c r="D46" s="43" t="str">
        <f t="shared" si="14"/>
        <v/>
      </c>
      <c r="E46" s="18"/>
      <c r="F46" s="18" t="str">
        <f t="shared" si="15"/>
        <v/>
      </c>
      <c r="G46" s="18"/>
      <c r="H46" s="18" t="str">
        <f t="shared" si="16"/>
        <v/>
      </c>
      <c r="I46" s="31"/>
      <c r="J46" s="170" t="str">
        <f t="shared" si="33"/>
        <v/>
      </c>
      <c r="K46" s="43" t="str">
        <f t="shared" si="34"/>
        <v/>
      </c>
      <c r="L46" s="18" t="str">
        <f t="shared" si="19"/>
        <v/>
      </c>
      <c r="M46" s="19" t="str">
        <f t="shared" si="20"/>
        <v/>
      </c>
      <c r="N46" s="9"/>
      <c r="P46" s="100"/>
      <c r="Q46" s="42"/>
      <c r="R46" s="43" t="str">
        <f t="shared" si="35"/>
        <v/>
      </c>
      <c r="S46" s="18"/>
      <c r="T46" s="18" t="str">
        <f t="shared" si="36"/>
        <v/>
      </c>
      <c r="U46" s="18"/>
      <c r="V46" s="18" t="str">
        <f t="shared" si="37"/>
        <v/>
      </c>
      <c r="W46" s="31"/>
      <c r="X46" s="170" t="str">
        <f t="shared" si="38"/>
        <v/>
      </c>
      <c r="Y46" s="43" t="str">
        <f t="shared" si="39"/>
        <v/>
      </c>
      <c r="Z46" s="18" t="str">
        <f t="shared" si="40"/>
        <v/>
      </c>
      <c r="AA46" s="19" t="str">
        <f t="shared" si="41"/>
        <v/>
      </c>
      <c r="AB46" s="9"/>
    </row>
    <row r="47" spans="1:28" ht="15" customHeight="1" thickTop="1" x14ac:dyDescent="0.2">
      <c r="A47" s="96"/>
      <c r="B47" s="81">
        <f>SUM(D47:D50)+SUM(R47:R50)</f>
        <v>0</v>
      </c>
      <c r="C47" s="36"/>
      <c r="D47" s="36" t="str">
        <f t="shared" si="14"/>
        <v/>
      </c>
      <c r="E47" s="36"/>
      <c r="F47" s="22" t="str">
        <f t="shared" si="15"/>
        <v/>
      </c>
      <c r="G47" s="36"/>
      <c r="H47" s="36" t="str">
        <f t="shared" si="16"/>
        <v/>
      </c>
      <c r="I47" s="13"/>
      <c r="J47" s="168" t="str">
        <f t="shared" si="33"/>
        <v/>
      </c>
      <c r="K47" s="49" t="str">
        <f t="shared" si="34"/>
        <v/>
      </c>
      <c r="L47" s="22" t="str">
        <f t="shared" si="19"/>
        <v/>
      </c>
      <c r="M47" s="23" t="str">
        <f t="shared" si="20"/>
        <v/>
      </c>
      <c r="N47" s="9"/>
      <c r="P47" s="104" t="str">
        <f>IF(A47="","",A47)</f>
        <v/>
      </c>
      <c r="Q47" s="36"/>
      <c r="R47" s="36" t="str">
        <f t="shared" si="35"/>
        <v/>
      </c>
      <c r="S47" s="36"/>
      <c r="T47" s="22" t="str">
        <f t="shared" si="36"/>
        <v/>
      </c>
      <c r="U47" s="36"/>
      <c r="V47" s="36" t="str">
        <f t="shared" si="37"/>
        <v/>
      </c>
      <c r="W47" s="13"/>
      <c r="X47" s="151" t="str">
        <f t="shared" si="38"/>
        <v/>
      </c>
      <c r="Y47" s="49" t="str">
        <f t="shared" si="39"/>
        <v/>
      </c>
      <c r="Z47" s="22" t="str">
        <f t="shared" si="40"/>
        <v/>
      </c>
      <c r="AA47" s="23" t="str">
        <f t="shared" si="41"/>
        <v/>
      </c>
      <c r="AB47" s="11"/>
    </row>
    <row r="48" spans="1:28" ht="15" customHeight="1" x14ac:dyDescent="0.2">
      <c r="A48" s="97"/>
      <c r="B48" s="8"/>
      <c r="C48" s="9"/>
      <c r="D48" s="9" t="str">
        <f t="shared" si="14"/>
        <v/>
      </c>
      <c r="E48" s="9"/>
      <c r="F48" s="9" t="str">
        <f t="shared" si="15"/>
        <v/>
      </c>
      <c r="G48" s="9"/>
      <c r="H48" s="9" t="str">
        <f t="shared" si="16"/>
        <v/>
      </c>
      <c r="I48" s="13"/>
      <c r="J48" s="169" t="str">
        <f t="shared" si="33"/>
        <v/>
      </c>
      <c r="K48" s="37" t="str">
        <f t="shared" si="34"/>
        <v/>
      </c>
      <c r="L48" s="9" t="str">
        <f t="shared" si="19"/>
        <v/>
      </c>
      <c r="M48" s="10" t="str">
        <f t="shared" si="20"/>
        <v/>
      </c>
      <c r="N48" s="9"/>
      <c r="P48" s="97"/>
      <c r="Q48" s="9"/>
      <c r="R48" s="9" t="str">
        <f t="shared" si="35"/>
        <v/>
      </c>
      <c r="S48" s="9"/>
      <c r="T48" s="9" t="str">
        <f t="shared" si="36"/>
        <v/>
      </c>
      <c r="U48" s="9"/>
      <c r="V48" s="9" t="str">
        <f t="shared" si="37"/>
        <v/>
      </c>
      <c r="W48" s="13"/>
      <c r="X48" s="152" t="str">
        <f t="shared" si="38"/>
        <v/>
      </c>
      <c r="Y48" s="37" t="str">
        <f t="shared" si="39"/>
        <v/>
      </c>
      <c r="Z48" s="9" t="str">
        <f t="shared" si="40"/>
        <v/>
      </c>
      <c r="AA48" s="10" t="str">
        <f t="shared" si="41"/>
        <v/>
      </c>
      <c r="AB48" s="11"/>
    </row>
    <row r="49" spans="1:28" ht="15" customHeight="1" x14ac:dyDescent="0.2">
      <c r="A49" s="97"/>
      <c r="B49" s="8"/>
      <c r="C49" s="25"/>
      <c r="D49" s="9" t="str">
        <f t="shared" si="14"/>
        <v/>
      </c>
      <c r="E49" s="9"/>
      <c r="F49" s="9" t="str">
        <f t="shared" si="15"/>
        <v/>
      </c>
      <c r="G49" s="25"/>
      <c r="H49" s="9" t="str">
        <f t="shared" si="16"/>
        <v/>
      </c>
      <c r="I49" s="32"/>
      <c r="J49" s="169" t="str">
        <f t="shared" si="33"/>
        <v/>
      </c>
      <c r="K49" s="9" t="str">
        <f t="shared" si="34"/>
        <v/>
      </c>
      <c r="L49" s="9" t="str">
        <f t="shared" si="19"/>
        <v/>
      </c>
      <c r="M49" s="10" t="str">
        <f t="shared" si="20"/>
        <v/>
      </c>
      <c r="N49" s="9"/>
      <c r="P49" s="12"/>
      <c r="Q49" s="25"/>
      <c r="R49" s="9" t="str">
        <f t="shared" si="35"/>
        <v/>
      </c>
      <c r="S49" s="9"/>
      <c r="T49" s="9" t="str">
        <f t="shared" si="36"/>
        <v/>
      </c>
      <c r="U49" s="25"/>
      <c r="V49" s="9" t="str">
        <f t="shared" si="37"/>
        <v/>
      </c>
      <c r="W49" s="13"/>
      <c r="X49" s="152" t="str">
        <f t="shared" si="38"/>
        <v/>
      </c>
      <c r="Y49" s="9" t="str">
        <f t="shared" si="39"/>
        <v/>
      </c>
      <c r="Z49" s="9" t="str">
        <f t="shared" si="40"/>
        <v/>
      </c>
      <c r="AA49" s="10" t="str">
        <f t="shared" si="41"/>
        <v/>
      </c>
      <c r="AB49" s="11"/>
    </row>
    <row r="50" spans="1:28" ht="15" customHeight="1" thickBot="1" x14ac:dyDescent="0.25">
      <c r="A50" s="100"/>
      <c r="B50" s="87"/>
      <c r="C50" s="18"/>
      <c r="D50" s="43" t="str">
        <f t="shared" si="14"/>
        <v/>
      </c>
      <c r="E50" s="18"/>
      <c r="F50" s="18" t="str">
        <f t="shared" si="15"/>
        <v/>
      </c>
      <c r="G50" s="121"/>
      <c r="H50" s="20" t="str">
        <f t="shared" si="16"/>
        <v/>
      </c>
      <c r="I50" s="122"/>
      <c r="J50" s="153" t="str">
        <f t="shared" si="33"/>
        <v/>
      </c>
      <c r="K50" s="43" t="str">
        <f t="shared" si="34"/>
        <v/>
      </c>
      <c r="L50" s="18" t="str">
        <f t="shared" si="19"/>
        <v/>
      </c>
      <c r="M50" s="19" t="str">
        <f t="shared" si="20"/>
        <v/>
      </c>
      <c r="N50" s="11"/>
      <c r="P50" s="17"/>
      <c r="Q50" s="18"/>
      <c r="R50" s="43" t="str">
        <f t="shared" si="35"/>
        <v/>
      </c>
      <c r="S50" s="18"/>
      <c r="T50" s="18" t="str">
        <f t="shared" si="36"/>
        <v/>
      </c>
      <c r="U50" s="121"/>
      <c r="V50" s="18" t="str">
        <f t="shared" si="37"/>
        <v/>
      </c>
      <c r="W50" s="122"/>
      <c r="X50" s="156" t="str">
        <f t="shared" si="38"/>
        <v/>
      </c>
      <c r="Y50" s="43" t="str">
        <f t="shared" si="39"/>
        <v/>
      </c>
      <c r="Z50" s="18" t="str">
        <f t="shared" si="40"/>
        <v/>
      </c>
      <c r="AA50" s="19" t="str">
        <f t="shared" si="41"/>
        <v/>
      </c>
      <c r="AB50" s="11"/>
    </row>
    <row r="51" spans="1:28" ht="15" customHeight="1" thickTop="1" x14ac:dyDescent="0.2">
      <c r="A51" s="96"/>
      <c r="B51" s="81">
        <f>SUM(D51:D54)+SUM(R51:R54)</f>
        <v>0</v>
      </c>
      <c r="C51" s="36"/>
      <c r="D51" s="36" t="str">
        <f t="shared" si="14"/>
        <v/>
      </c>
      <c r="E51" s="36"/>
      <c r="F51" s="22" t="str">
        <f t="shared" si="15"/>
        <v/>
      </c>
      <c r="G51" s="36"/>
      <c r="H51" s="36" t="str">
        <f t="shared" si="16"/>
        <v/>
      </c>
      <c r="I51" s="36"/>
      <c r="J51" s="154" t="str">
        <f t="shared" si="33"/>
        <v/>
      </c>
      <c r="K51" s="49" t="str">
        <f t="shared" si="34"/>
        <v/>
      </c>
      <c r="L51" s="22" t="str">
        <f t="shared" si="19"/>
        <v/>
      </c>
      <c r="M51" s="23" t="str">
        <f t="shared" si="20"/>
        <v/>
      </c>
      <c r="N51" s="11"/>
      <c r="P51" s="57" t="str">
        <f>IF(A51="","",A51)</f>
        <v/>
      </c>
      <c r="Q51" s="36"/>
      <c r="R51" s="36" t="str">
        <f t="shared" si="35"/>
        <v/>
      </c>
      <c r="S51" s="36"/>
      <c r="T51" s="22" t="str">
        <f t="shared" si="36"/>
        <v/>
      </c>
      <c r="U51" s="36"/>
      <c r="V51" s="36" t="str">
        <f t="shared" si="37"/>
        <v/>
      </c>
      <c r="W51" s="36"/>
      <c r="X51" s="157" t="str">
        <f t="shared" si="38"/>
        <v/>
      </c>
      <c r="Y51" s="49" t="str">
        <f t="shared" si="39"/>
        <v/>
      </c>
      <c r="Z51" s="22" t="str">
        <f t="shared" si="40"/>
        <v/>
      </c>
      <c r="AA51" s="23" t="str">
        <f t="shared" si="41"/>
        <v/>
      </c>
      <c r="AB51" s="11"/>
    </row>
    <row r="52" spans="1:28" ht="15" customHeight="1" x14ac:dyDescent="0.2">
      <c r="A52" s="97"/>
      <c r="B52" s="8"/>
      <c r="C52" s="9"/>
      <c r="D52" s="9" t="str">
        <f t="shared" si="14"/>
        <v/>
      </c>
      <c r="E52" s="9"/>
      <c r="F52" s="9" t="str">
        <f t="shared" si="15"/>
        <v/>
      </c>
      <c r="G52" s="9"/>
      <c r="H52" s="9" t="str">
        <f t="shared" si="16"/>
        <v/>
      </c>
      <c r="I52" s="9"/>
      <c r="J52" s="155" t="str">
        <f t="shared" si="33"/>
        <v/>
      </c>
      <c r="K52" s="37" t="str">
        <f t="shared" si="34"/>
        <v/>
      </c>
      <c r="L52" s="9" t="str">
        <f t="shared" si="19"/>
        <v/>
      </c>
      <c r="M52" s="10" t="str">
        <f t="shared" si="20"/>
        <v/>
      </c>
      <c r="N52" s="11"/>
      <c r="P52" s="12"/>
      <c r="Q52" s="9"/>
      <c r="R52" s="9" t="str">
        <f t="shared" si="35"/>
        <v/>
      </c>
      <c r="S52" s="9"/>
      <c r="T52" s="9" t="str">
        <f t="shared" si="36"/>
        <v/>
      </c>
      <c r="U52" s="9"/>
      <c r="V52" s="9" t="str">
        <f t="shared" si="37"/>
        <v/>
      </c>
      <c r="W52" s="9"/>
      <c r="X52" s="158" t="str">
        <f t="shared" si="38"/>
        <v/>
      </c>
      <c r="Y52" s="37" t="str">
        <f t="shared" si="39"/>
        <v/>
      </c>
      <c r="Z52" s="9" t="str">
        <f t="shared" si="40"/>
        <v/>
      </c>
      <c r="AA52" s="10" t="str">
        <f t="shared" si="41"/>
        <v/>
      </c>
      <c r="AB52" s="11"/>
    </row>
    <row r="53" spans="1:28" ht="15" customHeight="1" x14ac:dyDescent="0.2">
      <c r="A53" s="97"/>
      <c r="B53" s="8"/>
      <c r="C53" s="9"/>
      <c r="D53" s="9" t="str">
        <f t="shared" si="14"/>
        <v/>
      </c>
      <c r="E53" s="9"/>
      <c r="F53" s="9" t="str">
        <f t="shared" si="15"/>
        <v/>
      </c>
      <c r="G53" s="9"/>
      <c r="H53" s="9" t="str">
        <f t="shared" si="16"/>
        <v/>
      </c>
      <c r="I53" s="9"/>
      <c r="J53" s="155" t="str">
        <f t="shared" si="33"/>
        <v/>
      </c>
      <c r="K53" s="9" t="str">
        <f t="shared" si="34"/>
        <v/>
      </c>
      <c r="L53" s="9" t="str">
        <f t="shared" si="19"/>
        <v/>
      </c>
      <c r="M53" s="10" t="str">
        <f t="shared" si="20"/>
        <v/>
      </c>
      <c r="N53" s="11"/>
      <c r="P53" s="12"/>
      <c r="Q53" s="9"/>
      <c r="R53" s="9" t="str">
        <f t="shared" si="35"/>
        <v/>
      </c>
      <c r="S53" s="9"/>
      <c r="T53" s="9" t="str">
        <f t="shared" si="36"/>
        <v/>
      </c>
      <c r="U53" s="9"/>
      <c r="V53" s="9" t="str">
        <f t="shared" si="37"/>
        <v/>
      </c>
      <c r="W53" s="9"/>
      <c r="X53" s="158" t="str">
        <f t="shared" si="38"/>
        <v/>
      </c>
      <c r="Y53" s="9" t="str">
        <f t="shared" si="39"/>
        <v/>
      </c>
      <c r="Z53" s="9" t="str">
        <f t="shared" si="40"/>
        <v/>
      </c>
      <c r="AA53" s="10" t="str">
        <f t="shared" si="41"/>
        <v/>
      </c>
      <c r="AB53" s="11"/>
    </row>
    <row r="54" spans="1:28" ht="15" customHeight="1" thickBot="1" x14ac:dyDescent="0.25">
      <c r="A54" s="100"/>
      <c r="B54" s="87"/>
      <c r="C54" s="18"/>
      <c r="D54" s="18" t="str">
        <f t="shared" si="14"/>
        <v/>
      </c>
      <c r="E54" s="18"/>
      <c r="F54" s="18" t="str">
        <f t="shared" si="15"/>
        <v/>
      </c>
      <c r="G54" s="18"/>
      <c r="H54" s="18"/>
      <c r="I54" s="18"/>
      <c r="J54" s="156" t="str">
        <f t="shared" si="33"/>
        <v/>
      </c>
      <c r="K54" s="43" t="str">
        <f t="shared" si="34"/>
        <v/>
      </c>
      <c r="L54" s="18" t="str">
        <f t="shared" si="19"/>
        <v/>
      </c>
      <c r="M54" s="19" t="str">
        <f t="shared" si="20"/>
        <v/>
      </c>
      <c r="N54" s="11"/>
      <c r="P54" s="17"/>
      <c r="Q54" s="18"/>
      <c r="R54" s="18" t="str">
        <f t="shared" si="35"/>
        <v/>
      </c>
      <c r="S54" s="18"/>
      <c r="T54" s="18" t="str">
        <f t="shared" si="36"/>
        <v/>
      </c>
      <c r="U54" s="18"/>
      <c r="V54" s="18" t="str">
        <f t="shared" si="37"/>
        <v/>
      </c>
      <c r="W54" s="18"/>
      <c r="X54" s="159" t="str">
        <f t="shared" si="38"/>
        <v/>
      </c>
      <c r="Y54" s="43" t="str">
        <f t="shared" si="39"/>
        <v/>
      </c>
      <c r="Z54" s="18" t="str">
        <f t="shared" si="40"/>
        <v/>
      </c>
      <c r="AA54" s="19" t="str">
        <f t="shared" si="41"/>
        <v/>
      </c>
      <c r="AB54" s="11"/>
    </row>
    <row r="55" spans="1:28" ht="15" customHeight="1" thickTop="1" x14ac:dyDescent="0.2">
      <c r="A55" s="96"/>
      <c r="B55" s="81">
        <f>SUM(D55:D58)+SUM(R55:R58)</f>
        <v>0</v>
      </c>
      <c r="C55" s="36"/>
      <c r="D55" s="36" t="str">
        <f t="shared" si="14"/>
        <v/>
      </c>
      <c r="E55" s="36"/>
      <c r="F55" s="36" t="str">
        <f t="shared" si="15"/>
        <v/>
      </c>
      <c r="G55" s="36"/>
      <c r="H55" s="36" t="str">
        <f>IF(G55="","",G51+I51-G55)</f>
        <v/>
      </c>
      <c r="I55" s="36"/>
      <c r="J55" s="154" t="str">
        <f t="shared" si="33"/>
        <v/>
      </c>
      <c r="K55" s="36" t="str">
        <f t="shared" si="34"/>
        <v/>
      </c>
      <c r="L55" s="36" t="str">
        <f t="shared" si="19"/>
        <v/>
      </c>
      <c r="M55" s="36" t="str">
        <f t="shared" si="20"/>
        <v/>
      </c>
      <c r="N55" s="11"/>
      <c r="P55" s="57" t="str">
        <f>IF(A55="","",A55)</f>
        <v/>
      </c>
      <c r="Q55" s="36"/>
      <c r="R55" s="36" t="str">
        <f t="shared" si="35"/>
        <v/>
      </c>
      <c r="S55" s="36"/>
      <c r="T55" s="36" t="str">
        <f t="shared" si="36"/>
        <v/>
      </c>
      <c r="U55" s="36"/>
      <c r="V55" s="36" t="str">
        <f t="shared" si="37"/>
        <v/>
      </c>
      <c r="W55" s="36"/>
      <c r="X55" s="157" t="str">
        <f t="shared" si="38"/>
        <v/>
      </c>
      <c r="Y55" s="36" t="str">
        <f t="shared" si="39"/>
        <v/>
      </c>
      <c r="Z55" s="36" t="str">
        <f t="shared" si="40"/>
        <v/>
      </c>
      <c r="AA55" s="36" t="str">
        <f t="shared" si="41"/>
        <v/>
      </c>
      <c r="AB55" s="11"/>
    </row>
    <row r="56" spans="1:28" ht="15" customHeight="1" x14ac:dyDescent="0.2">
      <c r="A56" s="96"/>
      <c r="B56" s="81"/>
      <c r="C56" s="36"/>
      <c r="D56" s="36" t="str">
        <f t="shared" si="14"/>
        <v/>
      </c>
      <c r="E56" s="36"/>
      <c r="F56" s="36" t="str">
        <f t="shared" si="15"/>
        <v/>
      </c>
      <c r="G56" s="36"/>
      <c r="H56" s="36" t="str">
        <f>IF(G56="","",G52+I52-G56)</f>
        <v/>
      </c>
      <c r="I56" s="36"/>
      <c r="J56" s="155" t="str">
        <f t="shared" si="33"/>
        <v/>
      </c>
      <c r="K56" s="36" t="str">
        <f t="shared" si="34"/>
        <v/>
      </c>
      <c r="L56" s="36" t="str">
        <f t="shared" si="19"/>
        <v/>
      </c>
      <c r="M56" s="36" t="str">
        <f t="shared" si="20"/>
        <v/>
      </c>
      <c r="N56" s="11"/>
      <c r="P56" s="52"/>
      <c r="Q56" s="36"/>
      <c r="R56" s="36" t="str">
        <f t="shared" si="35"/>
        <v/>
      </c>
      <c r="S56" s="36"/>
      <c r="T56" s="36" t="str">
        <f t="shared" si="36"/>
        <v/>
      </c>
      <c r="U56" s="36"/>
      <c r="V56" s="36" t="str">
        <f t="shared" si="37"/>
        <v/>
      </c>
      <c r="W56" s="36"/>
      <c r="X56" s="157" t="str">
        <f t="shared" si="38"/>
        <v/>
      </c>
      <c r="Y56" s="36" t="str">
        <f t="shared" si="39"/>
        <v/>
      </c>
      <c r="Z56" s="36" t="str">
        <f t="shared" si="40"/>
        <v/>
      </c>
      <c r="AA56" s="36" t="str">
        <f t="shared" si="41"/>
        <v/>
      </c>
      <c r="AB56" s="11"/>
    </row>
    <row r="57" spans="1:28" ht="15" customHeight="1" x14ac:dyDescent="0.2">
      <c r="A57" s="4"/>
      <c r="B57" s="84"/>
      <c r="C57" s="44"/>
      <c r="D57" s="44" t="str">
        <f t="shared" si="14"/>
        <v/>
      </c>
      <c r="E57" s="44"/>
      <c r="F57" s="44" t="str">
        <f t="shared" si="15"/>
        <v/>
      </c>
      <c r="G57" s="44"/>
      <c r="H57" s="44" t="str">
        <f>IF(G57="","",G53+I53-G57)</f>
        <v/>
      </c>
      <c r="I57" s="44"/>
      <c r="J57" s="155" t="str">
        <f t="shared" si="33"/>
        <v/>
      </c>
      <c r="K57" s="44" t="str">
        <f t="shared" si="34"/>
        <v/>
      </c>
      <c r="L57" s="44" t="str">
        <f t="shared" si="19"/>
        <v/>
      </c>
      <c r="M57" s="44" t="str">
        <f t="shared" si="20"/>
        <v/>
      </c>
      <c r="N57" s="28"/>
      <c r="P57" s="64"/>
      <c r="Q57" s="44"/>
      <c r="R57" s="44" t="str">
        <f t="shared" si="35"/>
        <v/>
      </c>
      <c r="S57" s="44"/>
      <c r="T57" s="44" t="str">
        <f t="shared" si="36"/>
        <v/>
      </c>
      <c r="U57" s="44"/>
      <c r="V57" s="44" t="str">
        <f t="shared" si="37"/>
        <v/>
      </c>
      <c r="W57" s="44"/>
      <c r="X57" s="160" t="str">
        <f t="shared" si="38"/>
        <v/>
      </c>
      <c r="Y57" s="44" t="str">
        <f t="shared" si="39"/>
        <v/>
      </c>
      <c r="Z57" s="44" t="str">
        <f t="shared" si="40"/>
        <v/>
      </c>
      <c r="AA57" s="44" t="str">
        <f t="shared" si="41"/>
        <v/>
      </c>
      <c r="AB57" s="28"/>
    </row>
    <row r="58" spans="1:28" ht="15" customHeight="1" thickBot="1" x14ac:dyDescent="0.25">
      <c r="A58" s="74"/>
      <c r="B58" s="85"/>
      <c r="C58" s="42"/>
      <c r="D58" s="42" t="str">
        <f t="shared" si="14"/>
        <v/>
      </c>
      <c r="E58" s="42"/>
      <c r="F58" s="42" t="str">
        <f t="shared" si="15"/>
        <v/>
      </c>
      <c r="G58" s="42"/>
      <c r="H58" s="42" t="str">
        <f>IF(G58="","",G54+I54-G58)</f>
        <v/>
      </c>
      <c r="I58" s="42"/>
      <c r="J58" s="156" t="str">
        <f t="shared" si="33"/>
        <v/>
      </c>
      <c r="K58" s="42" t="str">
        <f t="shared" si="34"/>
        <v/>
      </c>
      <c r="L58" s="42" t="str">
        <f t="shared" si="19"/>
        <v/>
      </c>
      <c r="M58" s="42" t="str">
        <f t="shared" si="20"/>
        <v/>
      </c>
      <c r="N58" s="63"/>
      <c r="P58" s="61"/>
      <c r="Q58" s="42"/>
      <c r="R58" s="42" t="str">
        <f t="shared" si="35"/>
        <v/>
      </c>
      <c r="S58" s="42"/>
      <c r="T58" s="42" t="str">
        <f t="shared" si="36"/>
        <v/>
      </c>
      <c r="U58" s="42"/>
      <c r="V58" s="42" t="str">
        <f t="shared" si="37"/>
        <v/>
      </c>
      <c r="W58" s="42"/>
      <c r="X58" s="161" t="str">
        <f t="shared" si="38"/>
        <v/>
      </c>
      <c r="Y58" s="42" t="str">
        <f t="shared" si="39"/>
        <v/>
      </c>
      <c r="Z58" s="42" t="str">
        <f t="shared" si="40"/>
        <v/>
      </c>
      <c r="AA58" s="42" t="str">
        <f t="shared" si="41"/>
        <v/>
      </c>
      <c r="AB58" s="63"/>
    </row>
    <row r="59" spans="1:28" ht="15" customHeight="1" thickTop="1" x14ac:dyDescent="0.2">
      <c r="A59" s="52"/>
      <c r="B59" s="81"/>
      <c r="C59" s="60" t="s">
        <v>40</v>
      </c>
      <c r="D59" s="36">
        <f>SUM(D3:D55)*100</f>
        <v>121700</v>
      </c>
      <c r="E59" s="93" t="s">
        <v>41</v>
      </c>
      <c r="F59" s="36"/>
      <c r="G59" s="60"/>
      <c r="H59" s="36"/>
      <c r="I59" s="36"/>
      <c r="J59" s="209" t="s">
        <v>42</v>
      </c>
      <c r="K59" s="209"/>
      <c r="L59" s="36">
        <f>SUM(L3:L55)</f>
        <v>31283</v>
      </c>
      <c r="M59" s="36"/>
      <c r="N59" s="55"/>
      <c r="P59" s="52"/>
      <c r="Q59" s="60" t="s">
        <v>40</v>
      </c>
      <c r="R59" s="36">
        <f>SUM(R3:R55)*100</f>
        <v>152800</v>
      </c>
      <c r="S59" s="93" t="s">
        <v>41</v>
      </c>
      <c r="T59" s="36"/>
      <c r="U59" s="60"/>
      <c r="V59" s="36"/>
      <c r="W59" s="36"/>
      <c r="X59" s="209" t="s">
        <v>42</v>
      </c>
      <c r="Y59" s="209"/>
      <c r="Z59" s="36">
        <f>SUM(Z3:Z55)</f>
        <v>10060</v>
      </c>
      <c r="AA59" s="36"/>
      <c r="AB59" s="55"/>
    </row>
    <row r="60" spans="1:28" ht="15" customHeight="1" x14ac:dyDescent="0.2">
      <c r="A60" s="24"/>
      <c r="B60" s="86"/>
      <c r="C60" s="5" t="s">
        <v>43</v>
      </c>
      <c r="D60" s="9">
        <f>D59/A64</f>
        <v>8692.8571428571431</v>
      </c>
      <c r="E60" s="9">
        <f>D60*A63</f>
        <v>260785.71428571429</v>
      </c>
      <c r="F60" s="9"/>
      <c r="G60" s="5"/>
      <c r="H60" s="9"/>
      <c r="I60" s="9"/>
      <c r="J60" s="210" t="s">
        <v>44</v>
      </c>
      <c r="K60" s="210"/>
      <c r="L60" s="9"/>
      <c r="M60" s="26">
        <f>L59/D59</f>
        <v>0.25705012325390303</v>
      </c>
      <c r="N60" s="11"/>
      <c r="P60" s="34"/>
      <c r="Q60" s="5" t="s">
        <v>43</v>
      </c>
      <c r="R60" s="9">
        <f>R59/A64</f>
        <v>10914.285714285714</v>
      </c>
      <c r="S60" s="9">
        <f>R60*A63</f>
        <v>327428.57142857142</v>
      </c>
      <c r="T60" s="9"/>
      <c r="U60" s="5"/>
      <c r="V60" s="9"/>
      <c r="W60" s="9"/>
      <c r="X60" s="210" t="s">
        <v>44</v>
      </c>
      <c r="Y60" s="210"/>
      <c r="Z60" s="9"/>
      <c r="AA60" s="26">
        <f>Z59/R59</f>
        <v>6.5837696335078535E-2</v>
      </c>
      <c r="AB60" s="11"/>
    </row>
    <row r="61" spans="1:28" ht="15" customHeight="1" x14ac:dyDescent="0.2">
      <c r="A61" s="12"/>
      <c r="B61" s="88"/>
      <c r="C61" s="47" t="s">
        <v>45</v>
      </c>
      <c r="D61" s="9">
        <f>D59*0.6</f>
        <v>73020</v>
      </c>
      <c r="E61" s="9"/>
      <c r="F61" s="9"/>
      <c r="G61" s="5"/>
      <c r="H61" s="9"/>
      <c r="I61" s="9"/>
      <c r="J61" s="210" t="s">
        <v>46</v>
      </c>
      <c r="K61" s="210"/>
      <c r="L61" s="9">
        <f>D61-L59</f>
        <v>41737</v>
      </c>
      <c r="M61" s="26">
        <f>L61/D59</f>
        <v>0.34294987674609695</v>
      </c>
      <c r="N61" s="11"/>
      <c r="P61" s="12"/>
      <c r="Q61" s="47" t="s">
        <v>45</v>
      </c>
      <c r="R61" s="9">
        <f>R59*0.6</f>
        <v>91680</v>
      </c>
      <c r="S61" s="9"/>
      <c r="T61" s="9"/>
      <c r="U61" s="5"/>
      <c r="V61" s="9"/>
      <c r="W61" s="9"/>
      <c r="X61" s="210" t="s">
        <v>46</v>
      </c>
      <c r="Y61" s="210"/>
      <c r="Z61" s="9">
        <f>R61-Z59</f>
        <v>81620</v>
      </c>
      <c r="AA61" s="26">
        <f>Z61/R59</f>
        <v>0.53416230366492146</v>
      </c>
      <c r="AB61" s="11"/>
    </row>
    <row r="62" spans="1:28" ht="15" customHeight="1" x14ac:dyDescent="0.2">
      <c r="A62" s="52"/>
      <c r="B62" s="81"/>
      <c r="C62" s="5" t="s">
        <v>47</v>
      </c>
      <c r="D62" s="9">
        <f>D137</f>
        <v>296400</v>
      </c>
      <c r="E62" s="9"/>
      <c r="F62" s="9"/>
      <c r="G62" s="5"/>
      <c r="H62" s="9"/>
      <c r="I62" s="16"/>
      <c r="J62" s="205" t="s">
        <v>48</v>
      </c>
      <c r="K62" s="205"/>
      <c r="L62" s="36" t="e">
        <f>(G35+I35)*K35+(G36+I36)*K36+(G37+I37)*K37+(G38+I38)*K38</f>
        <v>#VALUE!</v>
      </c>
      <c r="M62" s="10"/>
      <c r="N62" s="11"/>
      <c r="P62" s="52"/>
      <c r="Q62" s="5" t="s">
        <v>47</v>
      </c>
      <c r="R62" s="9">
        <f>R137</f>
        <v>275000</v>
      </c>
      <c r="S62" s="9"/>
      <c r="T62" s="9"/>
      <c r="U62" s="5"/>
      <c r="V62" s="9"/>
      <c r="W62" s="16"/>
      <c r="X62" s="205" t="s">
        <v>48</v>
      </c>
      <c r="Y62" s="205"/>
      <c r="Z62" s="36" t="e">
        <f>(U35+W35)*Y35+(U36+W36)*Y36+(U37+W37)*Y37+(U38+W38)*Y38</f>
        <v>#VALUE!</v>
      </c>
      <c r="AA62" s="10"/>
      <c r="AB62" s="11"/>
    </row>
    <row r="63" spans="1:28" ht="15" customHeight="1" x14ac:dyDescent="0.2">
      <c r="A63" s="4">
        <v>30</v>
      </c>
      <c r="B63" s="113">
        <f>SUM(B3:B55)*100</f>
        <v>274500</v>
      </c>
      <c r="C63" s="5"/>
      <c r="D63" s="9"/>
      <c r="E63" s="9"/>
      <c r="F63" s="9"/>
      <c r="G63" s="5"/>
      <c r="H63" s="9"/>
      <c r="I63" s="16"/>
      <c r="J63" s="140"/>
      <c r="K63" s="71"/>
      <c r="L63" s="49"/>
      <c r="M63" s="10"/>
      <c r="N63" s="11"/>
      <c r="P63" s="52"/>
      <c r="Q63" s="5"/>
      <c r="R63" s="9"/>
      <c r="S63" s="9"/>
      <c r="T63" s="9"/>
      <c r="U63" s="5"/>
      <c r="V63" s="9"/>
      <c r="W63" s="16"/>
      <c r="X63" s="70"/>
      <c r="Y63" s="71"/>
      <c r="Z63" s="49"/>
      <c r="AA63" s="10"/>
      <c r="AB63" s="11"/>
    </row>
    <row r="64" spans="1:28" ht="15" customHeight="1" x14ac:dyDescent="0.2">
      <c r="A64" s="69">
        <f>DATEDIF(A$102,A19,"d")</f>
        <v>14</v>
      </c>
      <c r="B64" s="81"/>
      <c r="C64" s="5"/>
      <c r="D64" s="9"/>
      <c r="E64" s="25">
        <v>353000</v>
      </c>
      <c r="F64" s="9"/>
      <c r="G64" s="5"/>
      <c r="H64" s="9"/>
      <c r="I64" s="16"/>
      <c r="J64" s="140"/>
      <c r="K64" s="71"/>
      <c r="L64" s="49"/>
      <c r="M64" s="10"/>
      <c r="N64" s="11"/>
      <c r="P64" s="52"/>
      <c r="Q64" s="5"/>
      <c r="R64" s="9"/>
      <c r="S64" s="9"/>
      <c r="T64" s="9"/>
      <c r="U64" s="5"/>
      <c r="V64" s="9"/>
      <c r="W64" s="16"/>
      <c r="X64" s="70"/>
      <c r="Y64" s="71"/>
      <c r="Z64" s="49"/>
      <c r="AA64" s="10"/>
      <c r="AB64" s="11"/>
    </row>
    <row r="65" spans="1:28" x14ac:dyDescent="0.2">
      <c r="A65" s="206" t="s">
        <v>49</v>
      </c>
      <c r="B65" s="206"/>
      <c r="C65" s="206"/>
      <c r="D65" s="27">
        <f>SUM(D3,D7,D11,D15,D19,D23,D27,D31,D35,D39,D43,D47,D51)*100</f>
        <v>26300</v>
      </c>
      <c r="E65" s="37">
        <v>111400</v>
      </c>
      <c r="F65" s="9"/>
      <c r="G65" s="5">
        <f>D65/H65</f>
        <v>5260</v>
      </c>
      <c r="H65" s="27">
        <f>SUM(H3,H7,H11,H15,H19,H23,H28,H31,H35,H39,H43,H47,H51)</f>
        <v>5</v>
      </c>
      <c r="I65" s="9"/>
      <c r="J65" s="48" t="str">
        <f t="shared" ref="J65:K65" si="42">J3</f>
        <v>サンリオボアバンスクリップ</v>
      </c>
      <c r="K65" s="49">
        <f t="shared" si="42"/>
        <v>748</v>
      </c>
      <c r="L65" s="27">
        <f>SUM(L3,L7,L11,L15,L19,L23,L28,L31,L35,L39,L43,L47,L51)</f>
        <v>5500</v>
      </c>
      <c r="M65" s="26">
        <f>L65/D65</f>
        <v>0.20912547528517111</v>
      </c>
      <c r="N65" s="11"/>
      <c r="O65" s="15"/>
      <c r="P65" s="206" t="s">
        <v>49</v>
      </c>
      <c r="Q65" s="206"/>
      <c r="R65" s="27">
        <f>SUM(R3,R7,R11,R15,R19,R23,R27,R31,R35,R39,R43,R47,R51)*100</f>
        <v>68600</v>
      </c>
      <c r="S65" s="37"/>
      <c r="T65" s="9"/>
      <c r="U65" s="5">
        <f>R65/V65</f>
        <v>17150</v>
      </c>
      <c r="V65" s="27">
        <f>SUM(V3,V7,V11,V15,V19,V23,V28,V31,V35,V39,V43,V47,V51)</f>
        <v>4</v>
      </c>
      <c r="W65" s="9"/>
      <c r="X65" s="48" t="str">
        <f t="shared" ref="X65:Y65" si="43">X3</f>
        <v>ジャグラーサウンドボタンDX</v>
      </c>
      <c r="Y65" s="49">
        <f t="shared" si="43"/>
        <v>1100</v>
      </c>
      <c r="Z65" s="27">
        <f>SUM(Z3,Z7,Z11,Z15,Z19,Z23,Z28,Z31,Z35,Z39,Z43,Z47,Z51)</f>
        <v>4400</v>
      </c>
      <c r="AA65" s="26">
        <f>Z65/R65</f>
        <v>6.4139941690962099E-2</v>
      </c>
      <c r="AB65" s="11"/>
    </row>
    <row r="66" spans="1:28" x14ac:dyDescent="0.2">
      <c r="A66" s="206" t="s">
        <v>49</v>
      </c>
      <c r="B66" s="206"/>
      <c r="C66" s="206"/>
      <c r="D66" s="27">
        <f>SUM(D4,D8,D12,D16,D20,D24,D28,D32,D36,D40,D44,D48,D52)*100</f>
        <v>46200</v>
      </c>
      <c r="E66" s="37">
        <v>107000</v>
      </c>
      <c r="F66" s="9"/>
      <c r="G66" s="5">
        <f>D66/H66</f>
        <v>3850</v>
      </c>
      <c r="H66" s="27">
        <f>SUM(H4,H8,H12,H16,H20,H24,H27,H32,H36,H40,H44,H48,H52)</f>
        <v>12</v>
      </c>
      <c r="I66" s="9"/>
      <c r="J66" s="48" t="str">
        <f t="shared" ref="J66:K66" si="44">J4</f>
        <v>たまごっちキーリング</v>
      </c>
      <c r="K66" s="49">
        <f t="shared" si="44"/>
        <v>650</v>
      </c>
      <c r="L66" s="27">
        <f>SUM(L4,L8,L12,L16,L20,L24,L27,L32,L36,L40,L44,L48,L52)</f>
        <v>7800</v>
      </c>
      <c r="M66" s="26">
        <f>L66/D66</f>
        <v>0.16883116883116883</v>
      </c>
      <c r="N66" s="11"/>
      <c r="O66" s="1"/>
      <c r="P66" s="206" t="s">
        <v>49</v>
      </c>
      <c r="Q66" s="206"/>
      <c r="R66" s="27">
        <f>SUM(R4,R8,R12,R16,R20,R24,R28,R32,R36,R40,R44,R48,R52)*100</f>
        <v>40200</v>
      </c>
      <c r="S66" s="37"/>
      <c r="T66" s="9"/>
      <c r="U66" s="5">
        <f>R66/V66</f>
        <v>10050</v>
      </c>
      <c r="V66" s="27">
        <f>SUM(V4,V8,V12,V16,V20,V24,V27,V32,V36,V40,V44,V48,V52)</f>
        <v>4</v>
      </c>
      <c r="W66" s="9"/>
      <c r="X66" s="48" t="str">
        <f t="shared" ref="X66:Y66" si="45">X4</f>
        <v>ゲームプロ4イヤホン</v>
      </c>
      <c r="Y66" s="49">
        <f t="shared" si="45"/>
        <v>770</v>
      </c>
      <c r="Z66" s="27">
        <f>SUM(Z4,Z8,Z12,Z16,Z20,Z24,Z27,Z32,Z36,Z40,Z44,Z48,Z52)</f>
        <v>3080</v>
      </c>
      <c r="AA66" s="26">
        <f>Z66/R66</f>
        <v>7.6616915422885568E-2</v>
      </c>
      <c r="AB66" s="11"/>
    </row>
    <row r="67" spans="1:28" x14ac:dyDescent="0.2">
      <c r="A67" s="206" t="s">
        <v>49</v>
      </c>
      <c r="B67" s="206"/>
      <c r="C67" s="206"/>
      <c r="D67" s="27">
        <f>SUM(D5,D9,D13,D17,D21,D25,D29,D33,D37,D41,D45,D49,D53)*100</f>
        <v>17200</v>
      </c>
      <c r="E67" s="37"/>
      <c r="F67" s="9"/>
      <c r="G67" s="5">
        <f>D67/H67</f>
        <v>1433.3333333333333</v>
      </c>
      <c r="H67" s="27">
        <f>SUM(H5,H9,H13,H18,H21,H25,H29,H33,H37,H41,H45,H49,H53)</f>
        <v>12</v>
      </c>
      <c r="I67" s="9"/>
      <c r="J67" s="48" t="str">
        <f t="shared" ref="J67:K67" si="46">J5</f>
        <v>AIラバー</v>
      </c>
      <c r="K67" s="49">
        <f t="shared" si="46"/>
        <v>300</v>
      </c>
      <c r="L67" s="27">
        <f>SUM(L5,L9,L13,L18,L21,L25,L29,L33,L37,L41,L45,L49,L53)</f>
        <v>5724</v>
      </c>
      <c r="M67" s="26">
        <f>L67/D67</f>
        <v>0.3327906976744186</v>
      </c>
      <c r="N67" s="11"/>
      <c r="O67" s="1"/>
      <c r="P67" s="206" t="s">
        <v>49</v>
      </c>
      <c r="Q67" s="206"/>
      <c r="R67" s="27">
        <f>SUM(R5,R9,R13,R17,R21,R25,R29,R33,R37,R41,R45,R49,R53)*100</f>
        <v>21000</v>
      </c>
      <c r="S67" s="37"/>
      <c r="T67" s="9"/>
      <c r="U67" s="5">
        <f>R67/V67</f>
        <v>5250</v>
      </c>
      <c r="V67" s="27">
        <f>SUM(V5,V9,V13,V18,V21,V25,V29,V33,V37,V41,V45,V49,V53)</f>
        <v>4</v>
      </c>
      <c r="W67" s="9"/>
      <c r="X67" s="48" t="str">
        <f t="shared" ref="X67:Y67" si="47">X5</f>
        <v>パンケーキスクイーズ</v>
      </c>
      <c r="Y67" s="49">
        <f t="shared" si="47"/>
        <v>400</v>
      </c>
      <c r="Z67" s="27">
        <f>SUM(Z5,Z9,Z13,Z18,Z21,Z25,Z29,Z33,Z37,Z41,Z45,Z49,Z53)</f>
        <v>1600</v>
      </c>
      <c r="AA67" s="26">
        <f>Z67/R67</f>
        <v>7.6190476190476197E-2</v>
      </c>
      <c r="AB67" s="11"/>
    </row>
    <row r="68" spans="1:28" x14ac:dyDescent="0.2">
      <c r="A68" s="206" t="s">
        <v>49</v>
      </c>
      <c r="B68" s="206"/>
      <c r="C68" s="206"/>
      <c r="D68" s="27">
        <f>SUM(D6,D10,D14,D18,D22,D26,D30,D34,D38,D42,D46,D50,D54)*100</f>
        <v>32000</v>
      </c>
      <c r="E68" s="37"/>
      <c r="F68" s="9"/>
      <c r="G68" s="5">
        <f>D68/H68</f>
        <v>1684.2105263157894</v>
      </c>
      <c r="H68" s="27">
        <f>SUM(H6,H10,H14,H17,H22,H26,H30,H34,H38,H42,H46,H50,H54)</f>
        <v>19</v>
      </c>
      <c r="I68" s="9"/>
      <c r="J68" s="48" t="str">
        <f t="shared" ref="J68:K68" si="48">J6</f>
        <v>たまごっちマスコット</v>
      </c>
      <c r="K68" s="49">
        <f t="shared" si="48"/>
        <v>1430</v>
      </c>
      <c r="L68" s="27">
        <f>SUM(L6,L10,L14,L17,L22,L26,L30,L34,L38,L42,L46,L50,L54)</f>
        <v>12259</v>
      </c>
      <c r="M68" s="26">
        <f>L68/D68</f>
        <v>0.38309375000000001</v>
      </c>
      <c r="N68" s="11"/>
      <c r="O68" s="1"/>
      <c r="P68" s="206" t="s">
        <v>49</v>
      </c>
      <c r="Q68" s="206"/>
      <c r="R68" s="27">
        <f>SUM(R6,R10,R14,R18,R22,R26,R30,R34,R38,R42,R46,R50,R54)*100</f>
        <v>23000</v>
      </c>
      <c r="S68" s="37"/>
      <c r="T68" s="9"/>
      <c r="U68" s="5">
        <f>R68/V68</f>
        <v>7666.666666666667</v>
      </c>
      <c r="V68" s="27">
        <f>SUM(V6,V10,V14,V17,V22,V26,V30,V34,V38,V42,V46,V50,V54)</f>
        <v>3</v>
      </c>
      <c r="W68" s="9"/>
      <c r="X68" s="48" t="str">
        <f t="shared" ref="X68:Y68" si="49">X6</f>
        <v>バタースクイーズ</v>
      </c>
      <c r="Y68" s="49">
        <f t="shared" si="49"/>
        <v>290</v>
      </c>
      <c r="Z68" s="27">
        <f>SUM(Z6,Z10,Z14,Z17,Z22,Z26,Z30,Z34,Z38,Z42,Z46,Z50,Z54)</f>
        <v>980</v>
      </c>
      <c r="AA68" s="26">
        <f>Z68/R68</f>
        <v>4.2608695652173914E-2</v>
      </c>
      <c r="AB68" s="11"/>
    </row>
    <row r="69" spans="1:28" x14ac:dyDescent="0.2">
      <c r="A69" s="12"/>
      <c r="B69" s="8"/>
      <c r="C69" s="5" t="s">
        <v>40</v>
      </c>
      <c r="D69" s="9">
        <f>SUM(D65:D68)</f>
        <v>121700</v>
      </c>
      <c r="E69" s="37"/>
      <c r="F69" s="9"/>
      <c r="G69" s="9"/>
      <c r="H69" s="9">
        <f>SUM(H65:H68)</f>
        <v>48</v>
      </c>
      <c r="I69" s="9"/>
      <c r="J69" s="196" t="s">
        <v>50</v>
      </c>
      <c r="K69" s="196"/>
      <c r="L69" s="36">
        <f>SUM(L65:L68)</f>
        <v>31283</v>
      </c>
      <c r="M69" s="54">
        <f>L69/D69</f>
        <v>0.25705012325390303</v>
      </c>
      <c r="N69" s="55"/>
      <c r="O69" s="1"/>
      <c r="P69" s="12"/>
      <c r="Q69" s="5" t="s">
        <v>40</v>
      </c>
      <c r="R69" s="9">
        <f>SUM(R65:R68)</f>
        <v>152800</v>
      </c>
      <c r="S69" s="37"/>
      <c r="T69" s="9"/>
      <c r="U69" s="9"/>
      <c r="V69" s="9">
        <f>SUM(V65:V68)</f>
        <v>15</v>
      </c>
      <c r="W69" s="9"/>
      <c r="X69" s="196" t="s">
        <v>50</v>
      </c>
      <c r="Y69" s="196"/>
      <c r="Z69" s="36">
        <f>SUM(Z65:Z68)</f>
        <v>10060</v>
      </c>
      <c r="AA69" s="54">
        <f>Z69/R69</f>
        <v>6.5837696335078535E-2</v>
      </c>
      <c r="AB69" s="11"/>
    </row>
    <row r="70" spans="1:28" x14ac:dyDescent="0.2">
      <c r="A70" s="30"/>
      <c r="B70" s="29"/>
      <c r="C70" s="2"/>
      <c r="D70" s="2"/>
      <c r="E70" s="2"/>
      <c r="F70" s="2"/>
      <c r="G70" s="2"/>
      <c r="H70" s="2"/>
      <c r="I70" s="2"/>
      <c r="J70" s="46"/>
      <c r="K70" s="2"/>
      <c r="L70" s="2"/>
      <c r="M70" s="2"/>
      <c r="N70" s="35"/>
      <c r="O70" s="1"/>
      <c r="P70" s="30"/>
      <c r="Q70" s="2"/>
      <c r="R70" s="2"/>
      <c r="S70" s="2"/>
      <c r="T70" s="2"/>
      <c r="U70" s="2"/>
      <c r="V70" s="2"/>
      <c r="W70" s="2"/>
      <c r="X70" s="46"/>
      <c r="Y70" s="2"/>
      <c r="Z70" s="2"/>
      <c r="AA70" s="2"/>
      <c r="AB70" s="35"/>
    </row>
    <row r="71" spans="1:28" x14ac:dyDescent="0.2">
      <c r="A71" s="30"/>
      <c r="B71" s="197" t="s">
        <v>51</v>
      </c>
      <c r="C71" s="198"/>
      <c r="D71" s="199" t="s">
        <v>52</v>
      </c>
      <c r="E71" s="200"/>
      <c r="F71" s="199" t="s">
        <v>53</v>
      </c>
      <c r="G71" s="200"/>
      <c r="H71" s="2"/>
      <c r="I71" s="2"/>
      <c r="J71" s="46"/>
      <c r="K71" s="2"/>
      <c r="L71" s="2"/>
      <c r="M71" s="2"/>
      <c r="N71" s="35"/>
      <c r="O71" s="1"/>
      <c r="P71" s="30"/>
      <c r="Q71" s="2"/>
      <c r="R71" s="2"/>
      <c r="S71" s="2"/>
      <c r="T71" s="2"/>
      <c r="U71" s="2"/>
      <c r="V71" s="2"/>
      <c r="W71" s="2"/>
      <c r="X71" s="46"/>
      <c r="Y71" s="2"/>
      <c r="Z71" s="2"/>
      <c r="AA71" s="2"/>
      <c r="AB71" s="35"/>
    </row>
    <row r="72" spans="1:28" x14ac:dyDescent="0.2">
      <c r="A72" s="30"/>
      <c r="B72" s="201">
        <f>B63/A64*A63</f>
        <v>588214.2857142858</v>
      </c>
      <c r="C72" s="202"/>
      <c r="D72" s="203">
        <f>L59+Z59</f>
        <v>41343</v>
      </c>
      <c r="E72" s="204"/>
      <c r="F72" s="203">
        <f>K62+Y62</f>
        <v>0</v>
      </c>
      <c r="G72" s="204"/>
      <c r="H72" s="2"/>
      <c r="I72" s="2"/>
      <c r="J72" s="46"/>
      <c r="K72" s="2"/>
      <c r="L72" s="2"/>
      <c r="M72" s="2"/>
      <c r="N72" s="35"/>
      <c r="O72" s="1"/>
      <c r="P72" s="30"/>
      <c r="Q72" s="2"/>
      <c r="R72" s="2"/>
      <c r="S72" s="2"/>
      <c r="T72" s="2"/>
      <c r="U72" s="2"/>
      <c r="V72" s="2"/>
      <c r="W72" s="2"/>
      <c r="X72" s="46"/>
      <c r="Y72" s="2"/>
      <c r="Z72" s="2"/>
      <c r="AA72" s="2"/>
      <c r="AB72" s="35"/>
    </row>
    <row r="73" spans="1:28" x14ac:dyDescent="0.2">
      <c r="A73" s="30"/>
      <c r="B73" s="68"/>
      <c r="C73" s="68"/>
      <c r="D73" s="92" t="s">
        <v>57</v>
      </c>
      <c r="E73" s="72">
        <f>D72/B63</f>
        <v>0.15061202185792349</v>
      </c>
      <c r="F73" s="9"/>
      <c r="G73" s="9"/>
      <c r="H73" s="2"/>
      <c r="I73" s="2"/>
      <c r="J73" s="46"/>
      <c r="K73" s="2"/>
      <c r="L73" s="2"/>
      <c r="M73" s="2"/>
      <c r="N73" s="35"/>
      <c r="O73" s="1"/>
      <c r="P73" s="30"/>
      <c r="Q73" s="2"/>
      <c r="R73" s="2"/>
      <c r="S73" s="2"/>
      <c r="T73" s="2"/>
      <c r="U73" s="2"/>
      <c r="V73" s="2"/>
      <c r="W73" s="2"/>
      <c r="X73" s="46"/>
      <c r="Y73" s="2"/>
      <c r="Z73" s="2"/>
      <c r="AA73" s="2"/>
      <c r="AB73" s="35"/>
    </row>
    <row r="74" spans="1:28" x14ac:dyDescent="0.2">
      <c r="A74" s="30"/>
      <c r="B74" s="29"/>
      <c r="C74" s="2"/>
      <c r="D74" s="2"/>
      <c r="E74" s="2"/>
      <c r="F74" s="2"/>
      <c r="G74" s="2"/>
      <c r="H74" s="2"/>
      <c r="I74" s="2"/>
      <c r="J74" s="46"/>
      <c r="K74" s="2"/>
      <c r="L74" s="2"/>
      <c r="M74" s="2"/>
      <c r="N74" s="35"/>
      <c r="O74" s="1"/>
      <c r="P74" s="30"/>
      <c r="Q74" s="2"/>
      <c r="R74" s="2"/>
      <c r="S74" s="2"/>
      <c r="T74" s="2"/>
      <c r="U74" s="2"/>
      <c r="V74" s="2"/>
      <c r="W74" s="2"/>
      <c r="X74" s="46"/>
      <c r="Y74" s="2"/>
      <c r="Z74" s="2"/>
      <c r="AA74" s="2"/>
      <c r="AB74" s="35"/>
    </row>
    <row r="75" spans="1:28" x14ac:dyDescent="0.2">
      <c r="A75" s="30"/>
      <c r="B75" s="29"/>
      <c r="C75" s="2"/>
      <c r="D75" s="2"/>
      <c r="E75" s="2"/>
      <c r="F75" s="2"/>
      <c r="G75" s="2"/>
      <c r="H75" s="2"/>
      <c r="I75" s="2"/>
      <c r="J75" s="46"/>
      <c r="K75" s="2"/>
      <c r="L75" s="2"/>
      <c r="M75" s="2"/>
      <c r="N75" s="35"/>
      <c r="O75" s="1"/>
      <c r="P75" s="30"/>
      <c r="Q75" s="2"/>
      <c r="R75" s="2"/>
      <c r="S75" s="2"/>
      <c r="T75" s="2"/>
      <c r="U75" s="2"/>
      <c r="V75" s="2"/>
      <c r="W75" s="2"/>
      <c r="X75" s="46"/>
      <c r="Y75" s="2"/>
      <c r="Z75" s="2"/>
      <c r="AA75" s="2"/>
      <c r="AB75" s="35"/>
    </row>
    <row r="76" spans="1:28" ht="15" customHeight="1" x14ac:dyDescent="0.2">
      <c r="A76" s="207" t="s">
        <v>0</v>
      </c>
      <c r="B76" s="207"/>
      <c r="C76" s="207"/>
      <c r="D76" s="207"/>
      <c r="E76" s="208" t="s">
        <v>1</v>
      </c>
      <c r="F76" s="208"/>
      <c r="G76" s="75"/>
      <c r="H76" s="75"/>
      <c r="I76" s="75"/>
      <c r="J76" s="78"/>
      <c r="K76" s="75"/>
      <c r="L76" s="75"/>
      <c r="M76" s="75"/>
      <c r="N76" s="76"/>
      <c r="O76" s="77"/>
      <c r="P76" s="207" t="s">
        <v>0</v>
      </c>
      <c r="Q76" s="207"/>
      <c r="R76" s="207"/>
      <c r="S76" s="208" t="s">
        <v>2</v>
      </c>
      <c r="T76" s="208"/>
      <c r="U76" s="75"/>
      <c r="V76" s="75"/>
      <c r="W76" s="75"/>
      <c r="X76" s="78"/>
      <c r="Y76" s="75"/>
      <c r="Z76" s="75"/>
      <c r="AA76" s="75"/>
      <c r="AB76" s="76"/>
    </row>
    <row r="77" spans="1:28" x14ac:dyDescent="0.2">
      <c r="A77" s="7" t="s">
        <v>3</v>
      </c>
      <c r="B77" s="80" t="s">
        <v>4</v>
      </c>
      <c r="C77" s="5" t="s">
        <v>5</v>
      </c>
      <c r="D77" s="5" t="s">
        <v>6</v>
      </c>
      <c r="E77" s="6" t="s">
        <v>7</v>
      </c>
      <c r="F77" s="5" t="s">
        <v>6</v>
      </c>
      <c r="G77" s="5" t="s">
        <v>8</v>
      </c>
      <c r="H77" s="5" t="s">
        <v>9</v>
      </c>
      <c r="I77" s="5" t="s">
        <v>10</v>
      </c>
      <c r="J77" s="38" t="s">
        <v>11</v>
      </c>
      <c r="K77" s="5" t="s">
        <v>12</v>
      </c>
      <c r="L77" s="5" t="s">
        <v>9</v>
      </c>
      <c r="M77" s="5" t="s">
        <v>13</v>
      </c>
      <c r="N77" s="5" t="s">
        <v>14</v>
      </c>
      <c r="O77" s="3"/>
      <c r="P77" s="7" t="s">
        <v>3</v>
      </c>
      <c r="Q77" s="5" t="s">
        <v>5</v>
      </c>
      <c r="R77" s="5" t="s">
        <v>6</v>
      </c>
      <c r="S77" s="6" t="s">
        <v>7</v>
      </c>
      <c r="T77" s="5" t="s">
        <v>6</v>
      </c>
      <c r="U77" s="5" t="s">
        <v>8</v>
      </c>
      <c r="V77" s="5" t="s">
        <v>9</v>
      </c>
      <c r="W77" s="5" t="s">
        <v>10</v>
      </c>
      <c r="X77" s="38" t="s">
        <v>11</v>
      </c>
      <c r="Y77" s="5" t="s">
        <v>12</v>
      </c>
      <c r="Z77" s="5" t="s">
        <v>9</v>
      </c>
      <c r="AA77" s="5" t="s">
        <v>13</v>
      </c>
      <c r="AB77" s="5" t="s">
        <v>14</v>
      </c>
    </row>
    <row r="78" spans="1:28" x14ac:dyDescent="0.2">
      <c r="A78" s="12">
        <v>46133</v>
      </c>
      <c r="B78" s="81">
        <v>752</v>
      </c>
      <c r="C78" s="36">
        <v>6645</v>
      </c>
      <c r="D78" s="36">
        <v>88</v>
      </c>
      <c r="E78" s="36">
        <v>147</v>
      </c>
      <c r="F78" s="36">
        <v>1</v>
      </c>
      <c r="G78" s="36">
        <v>9</v>
      </c>
      <c r="H78" s="36">
        <v>1</v>
      </c>
      <c r="I78" s="36">
        <v>0</v>
      </c>
      <c r="J78" s="165" t="s">
        <v>152</v>
      </c>
      <c r="K78" s="49">
        <v>748</v>
      </c>
      <c r="L78" s="36">
        <v>748</v>
      </c>
      <c r="M78" s="50">
        <v>8.5000000000000006E-2</v>
      </c>
      <c r="N78" s="11"/>
      <c r="O78" s="1"/>
      <c r="P78" s="12">
        <v>46133</v>
      </c>
      <c r="Q78" s="36">
        <v>6272</v>
      </c>
      <c r="R78" s="36">
        <v>41</v>
      </c>
      <c r="S78" s="36">
        <v>171</v>
      </c>
      <c r="T78" s="36">
        <v>1</v>
      </c>
      <c r="U78" s="36">
        <v>58</v>
      </c>
      <c r="V78" s="36">
        <v>1</v>
      </c>
      <c r="W78" s="36">
        <v>-44</v>
      </c>
      <c r="X78" s="165" t="s">
        <v>16</v>
      </c>
      <c r="Y78" s="49">
        <v>275</v>
      </c>
      <c r="Z78" s="36">
        <v>275</v>
      </c>
      <c r="AA78" s="50">
        <v>6.7073170731707321E-2</v>
      </c>
      <c r="AB78" s="11" t="s">
        <v>181</v>
      </c>
    </row>
    <row r="79" spans="1:28" x14ac:dyDescent="0.2">
      <c r="A79" s="79"/>
      <c r="B79" s="8"/>
      <c r="C79" s="36">
        <v>6124</v>
      </c>
      <c r="D79" s="9">
        <v>103</v>
      </c>
      <c r="E79" s="36">
        <v>242</v>
      </c>
      <c r="F79" s="9">
        <v>2</v>
      </c>
      <c r="G79" s="9">
        <v>13</v>
      </c>
      <c r="H79" s="9">
        <v>2</v>
      </c>
      <c r="I79" s="9">
        <v>0</v>
      </c>
      <c r="J79" s="165" t="s">
        <v>164</v>
      </c>
      <c r="K79" s="36">
        <v>1075</v>
      </c>
      <c r="L79" s="9">
        <v>2150</v>
      </c>
      <c r="M79" s="10">
        <v>0.20873786407766989</v>
      </c>
      <c r="N79" s="11"/>
      <c r="O79" s="1"/>
      <c r="P79" s="12"/>
      <c r="Q79" s="36">
        <v>7903</v>
      </c>
      <c r="R79" s="9">
        <v>69</v>
      </c>
      <c r="S79" s="36">
        <v>144</v>
      </c>
      <c r="T79" s="9">
        <v>1</v>
      </c>
      <c r="U79" s="9">
        <v>19</v>
      </c>
      <c r="V79" s="9">
        <v>1</v>
      </c>
      <c r="W79" s="9">
        <v>1</v>
      </c>
      <c r="X79" s="166" t="s">
        <v>154</v>
      </c>
      <c r="Y79" s="37">
        <v>770</v>
      </c>
      <c r="Z79" s="9">
        <v>770</v>
      </c>
      <c r="AA79" s="10">
        <v>0.11159420289855072</v>
      </c>
      <c r="AB79" s="11" t="s">
        <v>179</v>
      </c>
    </row>
    <row r="80" spans="1:28" x14ac:dyDescent="0.2">
      <c r="A80" s="12"/>
      <c r="B80" s="8"/>
      <c r="C80" s="36">
        <v>6634</v>
      </c>
      <c r="D80" s="9">
        <v>119</v>
      </c>
      <c r="E80" s="36">
        <v>166</v>
      </c>
      <c r="F80" s="9">
        <v>6</v>
      </c>
      <c r="G80" s="9">
        <v>7</v>
      </c>
      <c r="H80" s="9">
        <v>5</v>
      </c>
      <c r="I80" s="9">
        <v>0</v>
      </c>
      <c r="J80" s="171" t="s">
        <v>178</v>
      </c>
      <c r="K80" s="37">
        <v>440</v>
      </c>
      <c r="L80" s="9">
        <v>2200</v>
      </c>
      <c r="M80" s="10">
        <v>0.18487394957983194</v>
      </c>
      <c r="N80" s="11" t="s">
        <v>180</v>
      </c>
      <c r="O80" s="1"/>
      <c r="P80" s="12"/>
      <c r="Q80" s="36">
        <v>4514</v>
      </c>
      <c r="R80" s="9">
        <v>149</v>
      </c>
      <c r="S80" s="36">
        <v>116</v>
      </c>
      <c r="T80" s="9">
        <v>2</v>
      </c>
      <c r="U80" s="9">
        <v>7</v>
      </c>
      <c r="V80" s="9">
        <v>2</v>
      </c>
      <c r="W80" s="9">
        <v>3</v>
      </c>
      <c r="X80" s="166" t="s">
        <v>155</v>
      </c>
      <c r="Y80" s="37">
        <v>600</v>
      </c>
      <c r="Z80" s="9">
        <v>1200</v>
      </c>
      <c r="AA80" s="10">
        <v>8.0536912751677847E-2</v>
      </c>
      <c r="AB80" s="107"/>
    </row>
    <row r="81" spans="1:28" ht="15" customHeight="1" thickBot="1" x14ac:dyDescent="0.25">
      <c r="A81" s="17"/>
      <c r="B81" s="82"/>
      <c r="C81" s="42">
        <v>5545</v>
      </c>
      <c r="D81" s="42">
        <v>57</v>
      </c>
      <c r="E81" s="42">
        <v>126</v>
      </c>
      <c r="F81" s="18">
        <v>1</v>
      </c>
      <c r="G81" s="18">
        <v>17</v>
      </c>
      <c r="H81" s="18">
        <v>1</v>
      </c>
      <c r="I81" s="20">
        <v>3</v>
      </c>
      <c r="J81" s="172" t="s">
        <v>142</v>
      </c>
      <c r="K81" s="43">
        <v>1430</v>
      </c>
      <c r="L81" s="18">
        <v>1430</v>
      </c>
      <c r="M81" s="19">
        <v>0.25087719298245614</v>
      </c>
      <c r="N81" s="11" t="s">
        <v>182</v>
      </c>
      <c r="O81" s="1"/>
      <c r="P81" s="17"/>
      <c r="Q81" s="42">
        <v>5664</v>
      </c>
      <c r="R81" s="42">
        <v>126</v>
      </c>
      <c r="S81" s="42">
        <v>167</v>
      </c>
      <c r="T81" s="18">
        <v>8</v>
      </c>
      <c r="U81" s="18">
        <v>23</v>
      </c>
      <c r="V81" s="18">
        <v>11</v>
      </c>
      <c r="W81" s="18">
        <v>12</v>
      </c>
      <c r="X81" s="167" t="s">
        <v>156</v>
      </c>
      <c r="Y81" s="18">
        <v>150</v>
      </c>
      <c r="Z81" s="18">
        <v>1650</v>
      </c>
      <c r="AA81" s="19">
        <v>0.13095238095238096</v>
      </c>
      <c r="AB81" s="11"/>
    </row>
    <row r="82" spans="1:28" ht="15" customHeight="1" thickTop="1" x14ac:dyDescent="0.2">
      <c r="A82" s="96">
        <v>46137</v>
      </c>
      <c r="B82" s="81">
        <f>SUM(D82:D85)+SUM(R82:R85)</f>
        <v>769</v>
      </c>
      <c r="C82" s="36">
        <v>6714</v>
      </c>
      <c r="D82" s="36">
        <f t="shared" ref="D82:D113" si="50">IF(C82="","",C82-C78)</f>
        <v>69</v>
      </c>
      <c r="E82" s="36">
        <v>148</v>
      </c>
      <c r="F82" s="22">
        <f t="shared" ref="F82:F113" si="51">IF(E82="","",E82-E78)</f>
        <v>1</v>
      </c>
      <c r="G82" s="36">
        <v>8</v>
      </c>
      <c r="H82" s="36">
        <f t="shared" ref="H82:H128" si="52">IF(G82="","",G78+I78-G82)</f>
        <v>1</v>
      </c>
      <c r="I82" s="53">
        <v>0</v>
      </c>
      <c r="J82" s="168" t="str">
        <f t="shared" ref="J82:J91" si="53">IF(C82="","",J78)</f>
        <v>サンリオボアバンスクリップ</v>
      </c>
      <c r="K82" s="49">
        <f t="shared" ref="K82:K91" si="54">IF(D82="","",K78)</f>
        <v>748</v>
      </c>
      <c r="L82" s="22">
        <f t="shared" ref="L82:L113" si="55">IF(G82="","",H82*K82)</f>
        <v>748</v>
      </c>
      <c r="M82" s="23">
        <f t="shared" ref="M82:M113" si="56">IF(H82="","",L82/(D82*100))</f>
        <v>0.10840579710144928</v>
      </c>
      <c r="N82" s="11"/>
      <c r="P82" s="104">
        <f>IF(A82="","",A82)</f>
        <v>46137</v>
      </c>
      <c r="Q82" s="36">
        <v>6309</v>
      </c>
      <c r="R82" s="36">
        <f t="shared" ref="R82:R113" si="57">IF(Q82="","",Q82-Q78)</f>
        <v>37</v>
      </c>
      <c r="S82" s="36">
        <v>173</v>
      </c>
      <c r="T82" s="22">
        <f t="shared" ref="T82:T113" si="58">IF(S82="","",S82-S78)</f>
        <v>2</v>
      </c>
      <c r="U82" s="36">
        <v>12</v>
      </c>
      <c r="V82" s="36">
        <f t="shared" ref="V82:V113" si="59">IF(U82="","",U78+W78-U82)</f>
        <v>2</v>
      </c>
      <c r="W82" s="53">
        <v>0</v>
      </c>
      <c r="X82" s="168" t="s">
        <v>187</v>
      </c>
      <c r="Y82" s="49">
        <f t="shared" ref="Y82:Y89" si="60">IF(R82="","",Y78)</f>
        <v>275</v>
      </c>
      <c r="Z82" s="22">
        <f t="shared" ref="Z82:Z113" si="61">IF(U82="","",V82*Y82)</f>
        <v>550</v>
      </c>
      <c r="AA82" s="23">
        <f t="shared" ref="AA82:AA113" si="62">IF(V82="","",Z82/(R82*100))</f>
        <v>0.14864864864864866</v>
      </c>
      <c r="AB82" s="11" t="s">
        <v>186</v>
      </c>
    </row>
    <row r="83" spans="1:28" x14ac:dyDescent="0.2">
      <c r="A83" s="97"/>
      <c r="B83" s="8"/>
      <c r="C83" s="9">
        <v>6186</v>
      </c>
      <c r="D83" s="9">
        <f t="shared" si="50"/>
        <v>62</v>
      </c>
      <c r="E83" s="9">
        <v>245</v>
      </c>
      <c r="F83" s="9">
        <f t="shared" si="51"/>
        <v>3</v>
      </c>
      <c r="G83" s="9">
        <v>12</v>
      </c>
      <c r="H83" s="9">
        <f t="shared" si="52"/>
        <v>1</v>
      </c>
      <c r="I83" s="13">
        <v>0</v>
      </c>
      <c r="J83" s="169" t="str">
        <f t="shared" si="53"/>
        <v>液晶デジカメ</v>
      </c>
      <c r="K83" s="37">
        <f t="shared" si="54"/>
        <v>1075</v>
      </c>
      <c r="L83" s="9">
        <f t="shared" si="55"/>
        <v>1075</v>
      </c>
      <c r="M83" s="10">
        <f t="shared" si="56"/>
        <v>0.17338709677419356</v>
      </c>
      <c r="N83" s="11" t="s">
        <v>184</v>
      </c>
      <c r="P83" s="97"/>
      <c r="Q83" s="9">
        <v>8052</v>
      </c>
      <c r="R83" s="9">
        <f t="shared" si="57"/>
        <v>149</v>
      </c>
      <c r="S83" s="9">
        <v>145</v>
      </c>
      <c r="T83" s="9">
        <f t="shared" si="58"/>
        <v>1</v>
      </c>
      <c r="U83" s="9">
        <v>19</v>
      </c>
      <c r="V83" s="9">
        <f t="shared" si="59"/>
        <v>1</v>
      </c>
      <c r="W83" s="13">
        <v>0</v>
      </c>
      <c r="X83" s="169" t="str">
        <f t="shared" ref="X83:X89" si="63">IF(Q83="","",X79)</f>
        <v>ゲームプロ4イヤホン</v>
      </c>
      <c r="Y83" s="37">
        <f t="shared" si="60"/>
        <v>770</v>
      </c>
      <c r="Z83" s="9">
        <f t="shared" si="61"/>
        <v>770</v>
      </c>
      <c r="AA83" s="10">
        <f t="shared" si="62"/>
        <v>5.1677852348993289E-2</v>
      </c>
      <c r="AB83" s="176" t="s">
        <v>183</v>
      </c>
    </row>
    <row r="84" spans="1:28" x14ac:dyDescent="0.2">
      <c r="A84" s="97"/>
      <c r="B84" s="8"/>
      <c r="C84" s="25">
        <v>6684</v>
      </c>
      <c r="D84" s="9">
        <f t="shared" si="50"/>
        <v>50</v>
      </c>
      <c r="E84" s="9">
        <v>166</v>
      </c>
      <c r="F84" s="9">
        <f t="shared" si="51"/>
        <v>0</v>
      </c>
      <c r="G84" s="25">
        <v>7</v>
      </c>
      <c r="H84" s="9">
        <f t="shared" si="52"/>
        <v>0</v>
      </c>
      <c r="I84" s="32">
        <v>5</v>
      </c>
      <c r="J84" s="169" t="str">
        <f t="shared" si="53"/>
        <v>パンケーキスクイーズ</v>
      </c>
      <c r="K84" s="9">
        <f t="shared" si="54"/>
        <v>440</v>
      </c>
      <c r="L84" s="9">
        <f t="shared" si="55"/>
        <v>0</v>
      </c>
      <c r="M84" s="10">
        <f t="shared" si="56"/>
        <v>0</v>
      </c>
      <c r="N84" s="11" t="s">
        <v>185</v>
      </c>
      <c r="P84" s="97"/>
      <c r="Q84" s="25">
        <v>4744</v>
      </c>
      <c r="R84" s="9">
        <f t="shared" si="57"/>
        <v>230</v>
      </c>
      <c r="S84" s="110">
        <v>120</v>
      </c>
      <c r="T84" s="9">
        <f t="shared" si="58"/>
        <v>4</v>
      </c>
      <c r="U84" s="177">
        <v>4</v>
      </c>
      <c r="V84" s="9">
        <f t="shared" si="59"/>
        <v>6</v>
      </c>
      <c r="W84" s="32">
        <v>0</v>
      </c>
      <c r="X84" s="169" t="str">
        <f t="shared" si="63"/>
        <v>たまごっちブロックシール</v>
      </c>
      <c r="Y84" s="9">
        <f t="shared" si="60"/>
        <v>600</v>
      </c>
      <c r="Z84" s="9">
        <f t="shared" si="61"/>
        <v>3600</v>
      </c>
      <c r="AA84" s="10">
        <f t="shared" si="62"/>
        <v>0.15652173913043479</v>
      </c>
      <c r="AB84" s="11"/>
    </row>
    <row r="85" spans="1:28" ht="15" customHeight="1" thickBot="1" x14ac:dyDescent="0.25">
      <c r="A85" s="100"/>
      <c r="B85" s="82"/>
      <c r="C85" s="18">
        <v>5634</v>
      </c>
      <c r="D85" s="43">
        <f t="shared" si="50"/>
        <v>89</v>
      </c>
      <c r="E85" s="18">
        <v>126</v>
      </c>
      <c r="F85" s="18">
        <f t="shared" si="51"/>
        <v>0</v>
      </c>
      <c r="G85" s="18">
        <v>20</v>
      </c>
      <c r="H85" s="18">
        <f t="shared" si="52"/>
        <v>0</v>
      </c>
      <c r="I85" s="31">
        <v>0</v>
      </c>
      <c r="J85" s="170" t="str">
        <f t="shared" si="53"/>
        <v>たまごっちマスコット</v>
      </c>
      <c r="K85" s="43">
        <f t="shared" si="54"/>
        <v>1430</v>
      </c>
      <c r="L85" s="18">
        <f t="shared" si="55"/>
        <v>0</v>
      </c>
      <c r="M85" s="19">
        <f t="shared" si="56"/>
        <v>0</v>
      </c>
      <c r="N85" s="11" t="s">
        <v>188</v>
      </c>
      <c r="P85" s="100"/>
      <c r="Q85" s="18">
        <v>5747</v>
      </c>
      <c r="R85" s="43">
        <f t="shared" si="57"/>
        <v>83</v>
      </c>
      <c r="S85" s="18">
        <v>170</v>
      </c>
      <c r="T85" s="18">
        <f t="shared" si="58"/>
        <v>3</v>
      </c>
      <c r="U85" s="18">
        <v>30</v>
      </c>
      <c r="V85" s="18">
        <f t="shared" si="59"/>
        <v>5</v>
      </c>
      <c r="W85" s="31">
        <v>0</v>
      </c>
      <c r="X85" s="170" t="str">
        <f t="shared" si="63"/>
        <v>ボンドロ</v>
      </c>
      <c r="Y85" s="43">
        <f t="shared" si="60"/>
        <v>150</v>
      </c>
      <c r="Z85" s="18">
        <f t="shared" si="61"/>
        <v>750</v>
      </c>
      <c r="AA85" s="19">
        <f t="shared" si="62"/>
        <v>9.036144578313253E-2</v>
      </c>
      <c r="AB85" s="11"/>
    </row>
    <row r="86" spans="1:28" ht="15" customHeight="1" thickTop="1" x14ac:dyDescent="0.2">
      <c r="A86" s="96">
        <v>46140</v>
      </c>
      <c r="B86" s="81">
        <f>SUM(D86:D89)+SUM(R86:R89)</f>
        <v>483</v>
      </c>
      <c r="C86" s="36">
        <v>6750</v>
      </c>
      <c r="D86" s="36">
        <f t="shared" si="50"/>
        <v>36</v>
      </c>
      <c r="E86" s="36">
        <v>149</v>
      </c>
      <c r="F86" s="22">
        <f t="shared" si="51"/>
        <v>1</v>
      </c>
      <c r="G86" s="36">
        <v>7</v>
      </c>
      <c r="H86" s="36">
        <f t="shared" si="52"/>
        <v>1</v>
      </c>
      <c r="I86" s="53">
        <v>3</v>
      </c>
      <c r="J86" s="168" t="str">
        <f t="shared" si="53"/>
        <v>サンリオボアバンスクリップ</v>
      </c>
      <c r="K86" s="49">
        <f t="shared" si="54"/>
        <v>748</v>
      </c>
      <c r="L86" s="22">
        <f t="shared" si="55"/>
        <v>748</v>
      </c>
      <c r="M86" s="23">
        <f t="shared" si="56"/>
        <v>0.20777777777777778</v>
      </c>
      <c r="N86" s="173" t="s">
        <v>193</v>
      </c>
      <c r="P86" s="104">
        <f>IF(A86="","",A86)</f>
        <v>46140</v>
      </c>
      <c r="Q86" s="36">
        <v>6346</v>
      </c>
      <c r="R86" s="36">
        <f t="shared" si="57"/>
        <v>37</v>
      </c>
      <c r="S86" s="36">
        <v>174</v>
      </c>
      <c r="T86" s="22">
        <f t="shared" si="58"/>
        <v>1</v>
      </c>
      <c r="U86" s="36">
        <v>11</v>
      </c>
      <c r="V86" s="36">
        <f t="shared" si="59"/>
        <v>1</v>
      </c>
      <c r="W86" s="53">
        <v>-1</v>
      </c>
      <c r="X86" s="168" t="str">
        <f t="shared" si="63"/>
        <v>ベアブリック</v>
      </c>
      <c r="Y86" s="49">
        <f t="shared" si="60"/>
        <v>275</v>
      </c>
      <c r="Z86" s="22">
        <f t="shared" si="61"/>
        <v>275</v>
      </c>
      <c r="AA86" s="23">
        <f t="shared" si="62"/>
        <v>7.4324324324324328E-2</v>
      </c>
      <c r="AB86" s="11" t="s">
        <v>192</v>
      </c>
    </row>
    <row r="87" spans="1:28" x14ac:dyDescent="0.2">
      <c r="A87" s="97"/>
      <c r="B87" s="8"/>
      <c r="C87" s="36">
        <v>6256</v>
      </c>
      <c r="D87" s="9">
        <f t="shared" si="50"/>
        <v>70</v>
      </c>
      <c r="E87" s="9">
        <v>246</v>
      </c>
      <c r="F87" s="9">
        <f t="shared" si="51"/>
        <v>1</v>
      </c>
      <c r="G87" s="9">
        <v>11</v>
      </c>
      <c r="H87" s="9">
        <f t="shared" si="52"/>
        <v>1</v>
      </c>
      <c r="I87" s="13">
        <v>0</v>
      </c>
      <c r="J87" s="169" t="str">
        <f t="shared" si="53"/>
        <v>液晶デジカメ</v>
      </c>
      <c r="K87" s="37">
        <f t="shared" si="54"/>
        <v>1075</v>
      </c>
      <c r="L87" s="9">
        <f t="shared" si="55"/>
        <v>1075</v>
      </c>
      <c r="M87" s="10">
        <f t="shared" si="56"/>
        <v>0.15357142857142858</v>
      </c>
      <c r="N87" s="11"/>
      <c r="P87" s="97"/>
      <c r="Q87" s="36">
        <v>8182</v>
      </c>
      <c r="R87" s="9">
        <f t="shared" si="57"/>
        <v>130</v>
      </c>
      <c r="S87" s="9">
        <v>146</v>
      </c>
      <c r="T87" s="9">
        <f t="shared" si="58"/>
        <v>1</v>
      </c>
      <c r="U87" s="9">
        <v>18</v>
      </c>
      <c r="V87" s="9">
        <f t="shared" si="59"/>
        <v>1</v>
      </c>
      <c r="W87" s="13">
        <v>2</v>
      </c>
      <c r="X87" s="169" t="str">
        <f t="shared" si="63"/>
        <v>ゲームプロ4イヤホン</v>
      </c>
      <c r="Y87" s="37">
        <f t="shared" si="60"/>
        <v>770</v>
      </c>
      <c r="Z87" s="9">
        <f t="shared" si="61"/>
        <v>770</v>
      </c>
      <c r="AA87" s="10">
        <f t="shared" si="62"/>
        <v>5.9230769230769233E-2</v>
      </c>
      <c r="AB87" s="11" t="s">
        <v>189</v>
      </c>
    </row>
    <row r="88" spans="1:28" x14ac:dyDescent="0.2">
      <c r="A88" s="97"/>
      <c r="B88" s="8"/>
      <c r="C88" s="44">
        <v>6752</v>
      </c>
      <c r="D88" s="9">
        <f t="shared" si="50"/>
        <v>68</v>
      </c>
      <c r="E88" s="9">
        <v>170</v>
      </c>
      <c r="F88" s="9">
        <f t="shared" si="51"/>
        <v>4</v>
      </c>
      <c r="G88" s="9">
        <v>4</v>
      </c>
      <c r="H88" s="9">
        <f t="shared" si="52"/>
        <v>8</v>
      </c>
      <c r="I88" s="13">
        <v>14</v>
      </c>
      <c r="J88" s="169" t="str">
        <f t="shared" si="53"/>
        <v>パンケーキスクイーズ</v>
      </c>
      <c r="K88" s="9">
        <f t="shared" si="54"/>
        <v>440</v>
      </c>
      <c r="L88" s="9">
        <f t="shared" si="55"/>
        <v>3520</v>
      </c>
      <c r="M88" s="10">
        <f t="shared" si="56"/>
        <v>0.51764705882352946</v>
      </c>
      <c r="N88" s="11" t="s">
        <v>191</v>
      </c>
      <c r="P88" s="97"/>
      <c r="Q88" s="44">
        <v>4772</v>
      </c>
      <c r="R88" s="9">
        <f t="shared" si="57"/>
        <v>28</v>
      </c>
      <c r="S88" s="9">
        <v>120</v>
      </c>
      <c r="T88" s="9">
        <f t="shared" si="58"/>
        <v>0</v>
      </c>
      <c r="U88" s="9">
        <v>4</v>
      </c>
      <c r="V88" s="9">
        <f t="shared" si="59"/>
        <v>0</v>
      </c>
      <c r="W88" s="13">
        <v>5</v>
      </c>
      <c r="X88" s="169" t="str">
        <f t="shared" si="63"/>
        <v>たまごっちブロックシール</v>
      </c>
      <c r="Y88" s="9">
        <f t="shared" si="60"/>
        <v>600</v>
      </c>
      <c r="Z88" s="9">
        <f t="shared" si="61"/>
        <v>0</v>
      </c>
      <c r="AA88" s="10">
        <f t="shared" si="62"/>
        <v>0</v>
      </c>
      <c r="AB88" s="11"/>
    </row>
    <row r="89" spans="1:28" ht="15" customHeight="1" thickBot="1" x14ac:dyDescent="0.25">
      <c r="A89" s="100"/>
      <c r="B89" s="82"/>
      <c r="C89" s="42">
        <v>5668</v>
      </c>
      <c r="D89" s="43">
        <f t="shared" si="50"/>
        <v>34</v>
      </c>
      <c r="E89" s="18">
        <v>127</v>
      </c>
      <c r="F89" s="18">
        <f t="shared" si="51"/>
        <v>1</v>
      </c>
      <c r="G89" s="18">
        <v>19</v>
      </c>
      <c r="H89" s="18">
        <f t="shared" si="52"/>
        <v>1</v>
      </c>
      <c r="I89" s="31">
        <v>0</v>
      </c>
      <c r="J89" s="170" t="str">
        <f t="shared" si="53"/>
        <v>たまごっちマスコット</v>
      </c>
      <c r="K89" s="43">
        <f t="shared" si="54"/>
        <v>1430</v>
      </c>
      <c r="L89" s="18">
        <f t="shared" si="55"/>
        <v>1430</v>
      </c>
      <c r="M89" s="19">
        <f t="shared" si="56"/>
        <v>0.42058823529411765</v>
      </c>
      <c r="N89" s="11" t="s">
        <v>190</v>
      </c>
      <c r="P89" s="100"/>
      <c r="Q89" s="42">
        <v>5827</v>
      </c>
      <c r="R89" s="43">
        <f t="shared" si="57"/>
        <v>80</v>
      </c>
      <c r="S89" s="18">
        <v>183</v>
      </c>
      <c r="T89" s="18">
        <f t="shared" si="58"/>
        <v>13</v>
      </c>
      <c r="U89" s="18">
        <v>20</v>
      </c>
      <c r="V89" s="18">
        <f t="shared" si="59"/>
        <v>10</v>
      </c>
      <c r="W89" s="31">
        <v>10</v>
      </c>
      <c r="X89" s="170" t="str">
        <f t="shared" si="63"/>
        <v>ボンドロ</v>
      </c>
      <c r="Y89" s="43">
        <f t="shared" si="60"/>
        <v>150</v>
      </c>
      <c r="Z89" s="18">
        <f t="shared" si="61"/>
        <v>1500</v>
      </c>
      <c r="AA89" s="19">
        <f t="shared" si="62"/>
        <v>0.1875</v>
      </c>
      <c r="AB89" s="11"/>
    </row>
    <row r="90" spans="1:28" ht="15" customHeight="1" thickTop="1" x14ac:dyDescent="0.2">
      <c r="A90" s="96">
        <v>46143</v>
      </c>
      <c r="B90" s="81">
        <f>SUM(D90:D93)+SUM(R90:R93)</f>
        <v>592</v>
      </c>
      <c r="C90" s="36">
        <v>6830</v>
      </c>
      <c r="D90" s="36">
        <f t="shared" si="50"/>
        <v>80</v>
      </c>
      <c r="E90" s="36">
        <v>149</v>
      </c>
      <c r="F90" s="22">
        <f t="shared" si="51"/>
        <v>0</v>
      </c>
      <c r="G90" s="36">
        <v>10</v>
      </c>
      <c r="H90" s="36">
        <f t="shared" si="52"/>
        <v>0</v>
      </c>
      <c r="I90" s="53">
        <v>0</v>
      </c>
      <c r="J90" s="168" t="str">
        <f t="shared" si="53"/>
        <v>サンリオボアバンスクリップ</v>
      </c>
      <c r="K90" s="49">
        <f t="shared" si="54"/>
        <v>748</v>
      </c>
      <c r="L90" s="22">
        <f t="shared" si="55"/>
        <v>0</v>
      </c>
      <c r="M90" s="23">
        <f t="shared" si="56"/>
        <v>0</v>
      </c>
      <c r="N90" s="11"/>
      <c r="O90" s="1"/>
      <c r="P90" s="57">
        <f>IF(A90="","",A90)</f>
        <v>46143</v>
      </c>
      <c r="Q90" s="36">
        <v>6479</v>
      </c>
      <c r="R90" s="36">
        <f t="shared" si="57"/>
        <v>133</v>
      </c>
      <c r="S90" s="36">
        <v>179</v>
      </c>
      <c r="T90" s="22">
        <f t="shared" si="58"/>
        <v>5</v>
      </c>
      <c r="U90" s="36">
        <v>5</v>
      </c>
      <c r="V90" s="36">
        <f t="shared" si="59"/>
        <v>5</v>
      </c>
      <c r="W90" s="53">
        <v>6</v>
      </c>
      <c r="X90" s="168" t="s">
        <v>194</v>
      </c>
      <c r="Y90" s="49"/>
      <c r="Z90" s="22">
        <f t="shared" si="61"/>
        <v>0</v>
      </c>
      <c r="AA90" s="23">
        <f t="shared" si="62"/>
        <v>0</v>
      </c>
      <c r="AB90" s="11"/>
    </row>
    <row r="91" spans="1:28" x14ac:dyDescent="0.2">
      <c r="A91" s="97"/>
      <c r="B91" s="8"/>
      <c r="C91" s="9">
        <v>6293</v>
      </c>
      <c r="D91" s="9">
        <f t="shared" si="50"/>
        <v>37</v>
      </c>
      <c r="E91" s="9">
        <v>247</v>
      </c>
      <c r="F91" s="9">
        <f t="shared" si="51"/>
        <v>1</v>
      </c>
      <c r="G91" s="9">
        <v>10</v>
      </c>
      <c r="H91" s="9">
        <f t="shared" si="52"/>
        <v>1</v>
      </c>
      <c r="I91" s="13">
        <v>3</v>
      </c>
      <c r="J91" s="169" t="str">
        <f t="shared" si="53"/>
        <v>液晶デジカメ</v>
      </c>
      <c r="K91" s="37">
        <f t="shared" si="54"/>
        <v>1075</v>
      </c>
      <c r="L91" s="9">
        <f t="shared" si="55"/>
        <v>1075</v>
      </c>
      <c r="M91" s="10">
        <f t="shared" si="56"/>
        <v>0.29054054054054052</v>
      </c>
      <c r="N91" s="178" t="s">
        <v>197</v>
      </c>
      <c r="O91" s="1"/>
      <c r="P91" s="97"/>
      <c r="Q91" s="9">
        <v>8255</v>
      </c>
      <c r="R91" s="9">
        <f t="shared" si="57"/>
        <v>73</v>
      </c>
      <c r="S91" s="9">
        <v>147</v>
      </c>
      <c r="T91" s="9">
        <f t="shared" si="58"/>
        <v>1</v>
      </c>
      <c r="U91" s="9">
        <v>19</v>
      </c>
      <c r="V91" s="9">
        <f t="shared" si="59"/>
        <v>1</v>
      </c>
      <c r="W91" s="13">
        <v>0</v>
      </c>
      <c r="X91" s="169" t="str">
        <f t="shared" ref="X91:Y93" si="64">IF(Q91="","",X87)</f>
        <v>ゲームプロ4イヤホン</v>
      </c>
      <c r="Y91" s="37">
        <f t="shared" si="64"/>
        <v>770</v>
      </c>
      <c r="Z91" s="9">
        <f t="shared" si="61"/>
        <v>770</v>
      </c>
      <c r="AA91" s="10">
        <f t="shared" si="62"/>
        <v>0.10547945205479452</v>
      </c>
      <c r="AB91" s="11"/>
    </row>
    <row r="92" spans="1:28" x14ac:dyDescent="0.2">
      <c r="A92" s="99"/>
      <c r="B92" s="86"/>
      <c r="C92" s="25">
        <v>6807</v>
      </c>
      <c r="D92" s="9">
        <f t="shared" si="50"/>
        <v>55</v>
      </c>
      <c r="E92" s="9">
        <v>171</v>
      </c>
      <c r="F92" s="9">
        <f t="shared" si="51"/>
        <v>1</v>
      </c>
      <c r="G92" s="25">
        <v>15</v>
      </c>
      <c r="H92" s="9">
        <f t="shared" si="52"/>
        <v>3</v>
      </c>
      <c r="I92" s="32">
        <v>2</v>
      </c>
      <c r="J92" s="169" t="s">
        <v>144</v>
      </c>
      <c r="K92" s="9">
        <v>300</v>
      </c>
      <c r="L92" s="9">
        <f t="shared" si="55"/>
        <v>900</v>
      </c>
      <c r="M92" s="10">
        <f t="shared" si="56"/>
        <v>0.16363636363636364</v>
      </c>
      <c r="N92" s="11" t="s">
        <v>195</v>
      </c>
      <c r="P92" s="99"/>
      <c r="Q92" s="25">
        <v>4822</v>
      </c>
      <c r="R92" s="9">
        <f t="shared" si="57"/>
        <v>50</v>
      </c>
      <c r="S92" s="9">
        <v>120</v>
      </c>
      <c r="T92" s="9">
        <f t="shared" si="58"/>
        <v>0</v>
      </c>
      <c r="U92" s="25">
        <v>8</v>
      </c>
      <c r="V92" s="9">
        <f t="shared" si="59"/>
        <v>1</v>
      </c>
      <c r="W92" s="32">
        <v>4</v>
      </c>
      <c r="X92" s="169" t="str">
        <f t="shared" si="64"/>
        <v>たまごっちブロックシール</v>
      </c>
      <c r="Y92" s="9">
        <f t="shared" si="64"/>
        <v>600</v>
      </c>
      <c r="Z92" s="9">
        <f t="shared" si="61"/>
        <v>600</v>
      </c>
      <c r="AA92" s="10">
        <f t="shared" si="62"/>
        <v>0.12</v>
      </c>
      <c r="AB92" s="11"/>
    </row>
    <row r="93" spans="1:28" ht="15" customHeight="1" thickBot="1" x14ac:dyDescent="0.25">
      <c r="A93" s="100"/>
      <c r="B93" s="87"/>
      <c r="C93" s="18">
        <v>5716</v>
      </c>
      <c r="D93" s="43">
        <f t="shared" si="50"/>
        <v>48</v>
      </c>
      <c r="E93" s="18">
        <v>127</v>
      </c>
      <c r="F93" s="18">
        <f t="shared" si="51"/>
        <v>0</v>
      </c>
      <c r="G93" s="18">
        <v>19</v>
      </c>
      <c r="H93" s="18">
        <f t="shared" si="52"/>
        <v>0</v>
      </c>
      <c r="I93" s="31">
        <v>1</v>
      </c>
      <c r="J93" s="170" t="str">
        <f t="shared" ref="J93:K98" si="65">IF(C93="","",J89)</f>
        <v>たまごっちマスコット</v>
      </c>
      <c r="K93" s="43">
        <f t="shared" si="65"/>
        <v>1430</v>
      </c>
      <c r="L93" s="18">
        <f t="shared" si="55"/>
        <v>0</v>
      </c>
      <c r="M93" s="19">
        <f t="shared" si="56"/>
        <v>0</v>
      </c>
      <c r="N93" s="11" t="s">
        <v>196</v>
      </c>
      <c r="P93" s="100"/>
      <c r="Q93" s="18">
        <v>5943</v>
      </c>
      <c r="R93" s="43">
        <f t="shared" si="57"/>
        <v>116</v>
      </c>
      <c r="S93" s="18">
        <v>186</v>
      </c>
      <c r="T93" s="18">
        <f t="shared" si="58"/>
        <v>3</v>
      </c>
      <c r="U93" s="18">
        <v>27</v>
      </c>
      <c r="V93" s="18">
        <f t="shared" si="59"/>
        <v>3</v>
      </c>
      <c r="W93" s="31">
        <v>10</v>
      </c>
      <c r="X93" s="170" t="str">
        <f t="shared" si="64"/>
        <v>ボンドロ</v>
      </c>
      <c r="Y93" s="43">
        <f t="shared" si="64"/>
        <v>150</v>
      </c>
      <c r="Z93" s="18">
        <f t="shared" si="61"/>
        <v>450</v>
      </c>
      <c r="AA93" s="19">
        <f t="shared" si="62"/>
        <v>3.8793103448275863E-2</v>
      </c>
      <c r="AB93" s="11"/>
    </row>
    <row r="94" spans="1:28" ht="15" customHeight="1" thickTop="1" x14ac:dyDescent="0.2">
      <c r="A94" s="96">
        <v>46146</v>
      </c>
      <c r="B94" s="81">
        <f>SUM(D94:D97)+SUM(R94:R97)</f>
        <v>728</v>
      </c>
      <c r="C94" s="36">
        <v>6868</v>
      </c>
      <c r="D94" s="36">
        <f t="shared" si="50"/>
        <v>38</v>
      </c>
      <c r="E94" s="36">
        <v>152</v>
      </c>
      <c r="F94" s="22">
        <f t="shared" si="51"/>
        <v>3</v>
      </c>
      <c r="G94" s="36">
        <v>9</v>
      </c>
      <c r="H94" s="36">
        <f t="shared" si="52"/>
        <v>1</v>
      </c>
      <c r="I94" s="53">
        <v>1</v>
      </c>
      <c r="J94" s="168" t="str">
        <f t="shared" si="65"/>
        <v>サンリオボアバンスクリップ</v>
      </c>
      <c r="K94" s="49">
        <f t="shared" si="65"/>
        <v>748</v>
      </c>
      <c r="L94" s="22">
        <f t="shared" si="55"/>
        <v>748</v>
      </c>
      <c r="M94" s="23">
        <f t="shared" si="56"/>
        <v>0.1968421052631579</v>
      </c>
      <c r="N94" s="178" t="s">
        <v>201</v>
      </c>
      <c r="P94" s="104">
        <f>IF(A94="","",A94)</f>
        <v>46146</v>
      </c>
      <c r="Q94" s="36">
        <v>6679</v>
      </c>
      <c r="R94" s="36">
        <f t="shared" si="57"/>
        <v>200</v>
      </c>
      <c r="S94" s="36">
        <v>181</v>
      </c>
      <c r="T94" s="22">
        <f t="shared" si="58"/>
        <v>2</v>
      </c>
      <c r="U94" s="36">
        <v>8</v>
      </c>
      <c r="V94" s="36">
        <f t="shared" si="59"/>
        <v>3</v>
      </c>
      <c r="W94" s="53">
        <v>0</v>
      </c>
      <c r="X94" s="168" t="str">
        <f t="shared" ref="X94:X99" si="66">IF(Q94="","",X90)</f>
        <v>ジャグラーサウンドボタンDX</v>
      </c>
      <c r="Y94" s="49">
        <v>1100</v>
      </c>
      <c r="Z94" s="22">
        <f t="shared" si="61"/>
        <v>3300</v>
      </c>
      <c r="AA94" s="23">
        <f t="shared" si="62"/>
        <v>0.16500000000000001</v>
      </c>
      <c r="AB94" s="178" t="s">
        <v>198</v>
      </c>
    </row>
    <row r="95" spans="1:28" x14ac:dyDescent="0.2">
      <c r="A95" s="96"/>
      <c r="B95" s="81"/>
      <c r="C95" s="36">
        <v>6356</v>
      </c>
      <c r="D95" s="9">
        <f t="shared" si="50"/>
        <v>63</v>
      </c>
      <c r="E95" s="9">
        <v>248</v>
      </c>
      <c r="F95" s="9">
        <f t="shared" si="51"/>
        <v>1</v>
      </c>
      <c r="G95" s="9">
        <v>12</v>
      </c>
      <c r="H95" s="9">
        <f t="shared" si="52"/>
        <v>1</v>
      </c>
      <c r="I95" s="13">
        <v>-2</v>
      </c>
      <c r="J95" s="169" t="str">
        <f t="shared" si="65"/>
        <v>液晶デジカメ</v>
      </c>
      <c r="K95" s="37">
        <f t="shared" si="65"/>
        <v>1075</v>
      </c>
      <c r="L95" s="9">
        <f t="shared" si="55"/>
        <v>1075</v>
      </c>
      <c r="M95" s="10">
        <f t="shared" si="56"/>
        <v>0.17063492063492064</v>
      </c>
      <c r="N95" s="11" t="s">
        <v>199</v>
      </c>
      <c r="P95" s="96"/>
      <c r="Q95" s="36">
        <v>8336</v>
      </c>
      <c r="R95" s="9">
        <f t="shared" si="57"/>
        <v>81</v>
      </c>
      <c r="S95" s="9">
        <v>150</v>
      </c>
      <c r="T95" s="9">
        <f t="shared" si="58"/>
        <v>3</v>
      </c>
      <c r="U95" s="9">
        <v>16</v>
      </c>
      <c r="V95" s="9">
        <f t="shared" si="59"/>
        <v>3</v>
      </c>
      <c r="W95" s="13">
        <v>0</v>
      </c>
      <c r="X95" s="169" t="str">
        <f t="shared" si="66"/>
        <v>ゲームプロ4イヤホン</v>
      </c>
      <c r="Y95" s="37">
        <f>IF(R95="","",Y91)</f>
        <v>770</v>
      </c>
      <c r="Z95" s="9">
        <f t="shared" si="61"/>
        <v>2310</v>
      </c>
      <c r="AA95" s="10">
        <f t="shared" si="62"/>
        <v>0.28518518518518521</v>
      </c>
      <c r="AB95" s="11"/>
    </row>
    <row r="96" spans="1:28" ht="15" customHeight="1" x14ac:dyDescent="0.2">
      <c r="A96" s="96"/>
      <c r="B96" s="84"/>
      <c r="C96" s="44">
        <v>6915</v>
      </c>
      <c r="D96" s="9">
        <f t="shared" si="50"/>
        <v>108</v>
      </c>
      <c r="E96" s="9">
        <v>171</v>
      </c>
      <c r="F96" s="9">
        <f t="shared" si="51"/>
        <v>0</v>
      </c>
      <c r="G96" s="9">
        <v>17</v>
      </c>
      <c r="H96" s="9">
        <f t="shared" si="52"/>
        <v>0</v>
      </c>
      <c r="I96" s="13">
        <v>0</v>
      </c>
      <c r="J96" s="169" t="str">
        <f t="shared" si="65"/>
        <v>バタースクイーズ</v>
      </c>
      <c r="K96" s="9">
        <f t="shared" si="65"/>
        <v>300</v>
      </c>
      <c r="L96" s="9">
        <f t="shared" si="55"/>
        <v>0</v>
      </c>
      <c r="M96" s="10">
        <f t="shared" si="56"/>
        <v>0</v>
      </c>
      <c r="N96" s="11"/>
      <c r="P96" s="96"/>
      <c r="Q96" s="44">
        <v>4871</v>
      </c>
      <c r="R96" s="9">
        <f t="shared" si="57"/>
        <v>49</v>
      </c>
      <c r="S96" s="9">
        <v>120</v>
      </c>
      <c r="T96" s="9">
        <f t="shared" si="58"/>
        <v>0</v>
      </c>
      <c r="U96" s="9">
        <v>12</v>
      </c>
      <c r="V96" s="9">
        <f t="shared" si="59"/>
        <v>0</v>
      </c>
      <c r="W96" s="13">
        <v>-2</v>
      </c>
      <c r="X96" s="169" t="str">
        <f t="shared" si="66"/>
        <v>たまごっちブロックシール</v>
      </c>
      <c r="Y96" s="9">
        <f>IF(R96="","",Y92)</f>
        <v>600</v>
      </c>
      <c r="Z96" s="9">
        <f t="shared" si="61"/>
        <v>0</v>
      </c>
      <c r="AA96" s="10">
        <f t="shared" si="62"/>
        <v>0</v>
      </c>
      <c r="AB96" s="11" t="s">
        <v>200</v>
      </c>
    </row>
    <row r="97" spans="1:28" ht="15" customHeight="1" thickBot="1" x14ac:dyDescent="0.25">
      <c r="A97" s="100"/>
      <c r="B97" s="87"/>
      <c r="C97" s="42">
        <v>5815</v>
      </c>
      <c r="D97" s="43">
        <f t="shared" si="50"/>
        <v>99</v>
      </c>
      <c r="E97" s="18">
        <v>128</v>
      </c>
      <c r="F97" s="18">
        <f t="shared" si="51"/>
        <v>1</v>
      </c>
      <c r="G97" s="18">
        <v>19</v>
      </c>
      <c r="H97" s="18">
        <f t="shared" si="52"/>
        <v>1</v>
      </c>
      <c r="I97" s="31">
        <v>1</v>
      </c>
      <c r="J97" s="170" t="str">
        <f t="shared" si="65"/>
        <v>たまごっちマスコット</v>
      </c>
      <c r="K97" s="43">
        <f t="shared" si="65"/>
        <v>1430</v>
      </c>
      <c r="L97" s="18">
        <f t="shared" si="55"/>
        <v>1430</v>
      </c>
      <c r="M97" s="19">
        <f t="shared" si="56"/>
        <v>0.14444444444444443</v>
      </c>
      <c r="N97" s="11"/>
      <c r="P97" s="100"/>
      <c r="Q97" s="42">
        <v>6033</v>
      </c>
      <c r="R97" s="43">
        <f t="shared" si="57"/>
        <v>90</v>
      </c>
      <c r="S97" s="18">
        <v>191</v>
      </c>
      <c r="T97" s="18">
        <f t="shared" si="58"/>
        <v>5</v>
      </c>
      <c r="U97" s="18">
        <v>32</v>
      </c>
      <c r="V97" s="18">
        <f t="shared" si="59"/>
        <v>5</v>
      </c>
      <c r="W97" s="31">
        <v>0</v>
      </c>
      <c r="X97" s="170" t="str">
        <f t="shared" si="66"/>
        <v>ボンドロ</v>
      </c>
      <c r="Y97" s="43">
        <f>IF(R97="","",Y93)</f>
        <v>150</v>
      </c>
      <c r="Z97" s="18">
        <f t="shared" si="61"/>
        <v>750</v>
      </c>
      <c r="AA97" s="19">
        <f t="shared" si="62"/>
        <v>8.3333333333333329E-2</v>
      </c>
      <c r="AB97" s="11"/>
    </row>
    <row r="98" spans="1:28" ht="15" customHeight="1" thickTop="1" x14ac:dyDescent="0.2">
      <c r="A98" s="96">
        <v>46149</v>
      </c>
      <c r="B98" s="81">
        <f>SUM(D98:D101)+SUM(R98:R101)</f>
        <v>714</v>
      </c>
      <c r="C98" s="36">
        <v>6883</v>
      </c>
      <c r="D98" s="127">
        <f t="shared" si="50"/>
        <v>15</v>
      </c>
      <c r="E98" s="36">
        <v>155</v>
      </c>
      <c r="F98" s="22">
        <f t="shared" si="51"/>
        <v>3</v>
      </c>
      <c r="G98" s="36">
        <v>8</v>
      </c>
      <c r="H98" s="36">
        <f t="shared" si="52"/>
        <v>2</v>
      </c>
      <c r="I98" s="53">
        <v>3</v>
      </c>
      <c r="J98" s="168" t="str">
        <f t="shared" si="65"/>
        <v>サンリオボアバンスクリップ</v>
      </c>
      <c r="K98" s="37">
        <f t="shared" si="65"/>
        <v>748</v>
      </c>
      <c r="L98" s="22">
        <f t="shared" si="55"/>
        <v>1496</v>
      </c>
      <c r="M98" s="23">
        <f t="shared" si="56"/>
        <v>0.99733333333333329</v>
      </c>
      <c r="N98" s="178" t="s">
        <v>203</v>
      </c>
      <c r="P98" s="104">
        <f>IF(A98="","",A98)</f>
        <v>46149</v>
      </c>
      <c r="Q98" s="36">
        <v>6911</v>
      </c>
      <c r="R98" s="36">
        <f t="shared" si="57"/>
        <v>232</v>
      </c>
      <c r="S98" s="36">
        <v>182</v>
      </c>
      <c r="T98" s="22">
        <f t="shared" si="58"/>
        <v>1</v>
      </c>
      <c r="U98" s="36">
        <v>7</v>
      </c>
      <c r="V98" s="36">
        <f t="shared" si="59"/>
        <v>1</v>
      </c>
      <c r="W98" s="53">
        <v>2</v>
      </c>
      <c r="X98" s="168" t="str">
        <f t="shared" si="66"/>
        <v>ジャグラーサウンドボタンDX</v>
      </c>
      <c r="Y98" s="37">
        <f>IF(R98="","",Y94)</f>
        <v>1100</v>
      </c>
      <c r="Z98" s="22">
        <f t="shared" si="61"/>
        <v>1100</v>
      </c>
      <c r="AA98" s="23">
        <f t="shared" si="62"/>
        <v>4.7413793103448273E-2</v>
      </c>
      <c r="AB98" s="11"/>
    </row>
    <row r="99" spans="1:28" ht="15" customHeight="1" x14ac:dyDescent="0.2">
      <c r="A99" s="97"/>
      <c r="B99" s="8"/>
      <c r="C99" s="9">
        <v>6506</v>
      </c>
      <c r="D99" s="9">
        <f t="shared" si="50"/>
        <v>150</v>
      </c>
      <c r="E99" s="9">
        <v>249</v>
      </c>
      <c r="F99" s="9">
        <f t="shared" si="51"/>
        <v>1</v>
      </c>
      <c r="G99" s="9">
        <v>9</v>
      </c>
      <c r="H99" s="9">
        <f t="shared" si="52"/>
        <v>1</v>
      </c>
      <c r="I99" s="13">
        <v>1</v>
      </c>
      <c r="J99" s="169" t="s">
        <v>202</v>
      </c>
      <c r="K99" s="37">
        <v>650</v>
      </c>
      <c r="L99" s="9">
        <f t="shared" si="55"/>
        <v>650</v>
      </c>
      <c r="M99" s="10">
        <f t="shared" si="56"/>
        <v>4.3333333333333335E-2</v>
      </c>
      <c r="N99" s="11"/>
      <c r="P99" s="97"/>
      <c r="Q99" s="9">
        <v>8391</v>
      </c>
      <c r="R99" s="9">
        <f t="shared" si="57"/>
        <v>55</v>
      </c>
      <c r="S99" s="9">
        <v>150</v>
      </c>
      <c r="T99" s="9">
        <f t="shared" si="58"/>
        <v>0</v>
      </c>
      <c r="U99" s="9">
        <v>16</v>
      </c>
      <c r="V99" s="9">
        <f t="shared" si="59"/>
        <v>0</v>
      </c>
      <c r="W99" s="13">
        <v>4</v>
      </c>
      <c r="X99" s="169" t="str">
        <f t="shared" si="66"/>
        <v>ゲームプロ4イヤホン</v>
      </c>
      <c r="Y99" s="37">
        <f>IF(R99="","",Y95)</f>
        <v>770</v>
      </c>
      <c r="Z99" s="9">
        <f t="shared" si="61"/>
        <v>0</v>
      </c>
      <c r="AA99" s="10">
        <f t="shared" si="62"/>
        <v>0</v>
      </c>
      <c r="AB99" s="11"/>
    </row>
    <row r="100" spans="1:28" ht="15" customHeight="1" x14ac:dyDescent="0.2">
      <c r="A100" s="97"/>
      <c r="B100" s="86"/>
      <c r="C100" s="25">
        <v>6986</v>
      </c>
      <c r="D100" s="9">
        <f t="shared" si="50"/>
        <v>71</v>
      </c>
      <c r="E100" s="9">
        <v>172</v>
      </c>
      <c r="F100" s="9">
        <f t="shared" si="51"/>
        <v>1</v>
      </c>
      <c r="G100" s="25">
        <v>16</v>
      </c>
      <c r="H100" s="9">
        <f t="shared" si="52"/>
        <v>1</v>
      </c>
      <c r="I100" s="32">
        <v>0</v>
      </c>
      <c r="J100" s="169" t="str">
        <f t="shared" ref="J100:J133" si="67">IF(C100="","",J96)</f>
        <v>バタースクイーズ</v>
      </c>
      <c r="K100" s="37">
        <f t="shared" ref="K100:K133" si="68">IF(D100="","",K96)</f>
        <v>300</v>
      </c>
      <c r="L100" s="9">
        <f t="shared" si="55"/>
        <v>300</v>
      </c>
      <c r="M100" s="10">
        <f t="shared" si="56"/>
        <v>4.2253521126760563E-2</v>
      </c>
      <c r="N100" s="11"/>
      <c r="P100" s="97"/>
      <c r="Q100" s="25">
        <v>4941</v>
      </c>
      <c r="R100" s="9">
        <f t="shared" si="57"/>
        <v>70</v>
      </c>
      <c r="S100" s="9">
        <v>122</v>
      </c>
      <c r="T100" s="9">
        <f t="shared" si="58"/>
        <v>2</v>
      </c>
      <c r="U100" s="25">
        <v>8</v>
      </c>
      <c r="V100" s="9">
        <f t="shared" si="59"/>
        <v>2</v>
      </c>
      <c r="W100" s="32">
        <v>4</v>
      </c>
      <c r="X100" s="169" t="s">
        <v>178</v>
      </c>
      <c r="Y100" s="37">
        <v>400</v>
      </c>
      <c r="Z100" s="9">
        <f t="shared" si="61"/>
        <v>800</v>
      </c>
      <c r="AA100" s="10">
        <f t="shared" si="62"/>
        <v>0.11428571428571428</v>
      </c>
      <c r="AB100" s="11"/>
    </row>
    <row r="101" spans="1:28" ht="15" customHeight="1" thickBot="1" x14ac:dyDescent="0.25">
      <c r="A101" s="100"/>
      <c r="B101" s="87"/>
      <c r="C101" s="18">
        <v>5903</v>
      </c>
      <c r="D101" s="43">
        <f t="shared" si="50"/>
        <v>88</v>
      </c>
      <c r="E101" s="18">
        <v>132</v>
      </c>
      <c r="F101" s="18">
        <f t="shared" si="51"/>
        <v>4</v>
      </c>
      <c r="G101" s="18">
        <v>16</v>
      </c>
      <c r="H101" s="18">
        <f t="shared" si="52"/>
        <v>4</v>
      </c>
      <c r="I101" s="31">
        <v>4</v>
      </c>
      <c r="J101" s="170" t="str">
        <f t="shared" si="67"/>
        <v>たまごっちマスコット</v>
      </c>
      <c r="K101" s="43">
        <f t="shared" si="68"/>
        <v>1430</v>
      </c>
      <c r="L101" s="18">
        <f t="shared" si="55"/>
        <v>5720</v>
      </c>
      <c r="M101" s="19">
        <f t="shared" si="56"/>
        <v>0.65</v>
      </c>
      <c r="N101" s="11"/>
      <c r="P101" s="100"/>
      <c r="Q101" s="18">
        <v>6066</v>
      </c>
      <c r="R101" s="117">
        <f t="shared" si="57"/>
        <v>33</v>
      </c>
      <c r="S101" s="18">
        <v>194</v>
      </c>
      <c r="T101" s="18">
        <f t="shared" si="58"/>
        <v>3</v>
      </c>
      <c r="U101" s="18">
        <v>29</v>
      </c>
      <c r="V101" s="18">
        <f t="shared" si="59"/>
        <v>3</v>
      </c>
      <c r="W101" s="31">
        <v>0</v>
      </c>
      <c r="X101" s="170" t="str">
        <f t="shared" ref="X101:X133" si="69">IF(Q101="","",X97)</f>
        <v>ボンドロ</v>
      </c>
      <c r="Y101" s="43">
        <f t="shared" ref="Y101:Y133" si="70">IF(R101="","",Y97)</f>
        <v>150</v>
      </c>
      <c r="Z101" s="18">
        <f t="shared" si="61"/>
        <v>450</v>
      </c>
      <c r="AA101" s="19">
        <f t="shared" si="62"/>
        <v>0.13636363636363635</v>
      </c>
      <c r="AB101" s="180" t="s">
        <v>204</v>
      </c>
    </row>
    <row r="102" spans="1:28" ht="15" customHeight="1" thickTop="1" x14ac:dyDescent="0.2">
      <c r="A102" s="96">
        <v>46154</v>
      </c>
      <c r="B102" s="81">
        <f>SUM(D102:D105)+SUM(R102:R105)</f>
        <v>842</v>
      </c>
      <c r="C102" s="36">
        <v>7053</v>
      </c>
      <c r="D102" s="36">
        <f t="shared" si="50"/>
        <v>170</v>
      </c>
      <c r="E102" s="36">
        <v>157</v>
      </c>
      <c r="F102" s="22">
        <f t="shared" si="51"/>
        <v>2</v>
      </c>
      <c r="G102" s="36">
        <v>9</v>
      </c>
      <c r="H102" s="36">
        <f t="shared" si="52"/>
        <v>2</v>
      </c>
      <c r="I102" s="53">
        <v>0</v>
      </c>
      <c r="J102" s="168" t="str">
        <f t="shared" si="67"/>
        <v>サンリオボアバンスクリップ</v>
      </c>
      <c r="K102" s="49">
        <f t="shared" si="68"/>
        <v>748</v>
      </c>
      <c r="L102" s="22">
        <f t="shared" si="55"/>
        <v>1496</v>
      </c>
      <c r="M102" s="23">
        <f t="shared" si="56"/>
        <v>8.7999999999999995E-2</v>
      </c>
      <c r="N102" s="11"/>
      <c r="P102" s="104">
        <f>IF(A102="","",A102)</f>
        <v>46154</v>
      </c>
      <c r="Q102" s="36">
        <v>7067</v>
      </c>
      <c r="R102" s="36">
        <f t="shared" si="57"/>
        <v>156</v>
      </c>
      <c r="S102" s="36">
        <v>183</v>
      </c>
      <c r="T102" s="22">
        <f t="shared" si="58"/>
        <v>1</v>
      </c>
      <c r="U102" s="36">
        <v>7</v>
      </c>
      <c r="V102" s="36">
        <f t="shared" si="59"/>
        <v>2</v>
      </c>
      <c r="W102" s="53">
        <v>4</v>
      </c>
      <c r="X102" s="168" t="str">
        <f t="shared" si="69"/>
        <v>ジャグラーサウンドボタンDX</v>
      </c>
      <c r="Y102" s="49">
        <f t="shared" si="70"/>
        <v>1100</v>
      </c>
      <c r="Z102" s="22">
        <f t="shared" si="61"/>
        <v>2200</v>
      </c>
      <c r="AA102" s="23">
        <f t="shared" si="62"/>
        <v>0.14102564102564102</v>
      </c>
      <c r="AB102" s="11"/>
    </row>
    <row r="103" spans="1:28" ht="15" customHeight="1" x14ac:dyDescent="0.2">
      <c r="A103" s="96"/>
      <c r="B103" s="81"/>
      <c r="C103" s="36">
        <v>6616</v>
      </c>
      <c r="D103" s="9">
        <f t="shared" si="50"/>
        <v>110</v>
      </c>
      <c r="E103" s="9">
        <v>250</v>
      </c>
      <c r="F103" s="9">
        <f t="shared" si="51"/>
        <v>1</v>
      </c>
      <c r="G103" s="9">
        <v>9</v>
      </c>
      <c r="H103" s="9">
        <f t="shared" si="52"/>
        <v>1</v>
      </c>
      <c r="I103" s="13">
        <v>1</v>
      </c>
      <c r="J103" s="169" t="str">
        <f t="shared" si="67"/>
        <v>たまごっちキーリング</v>
      </c>
      <c r="K103" s="37">
        <f t="shared" si="68"/>
        <v>650</v>
      </c>
      <c r="L103" s="9">
        <f t="shared" si="55"/>
        <v>650</v>
      </c>
      <c r="M103" s="10">
        <f t="shared" si="56"/>
        <v>5.909090909090909E-2</v>
      </c>
      <c r="N103" s="11"/>
      <c r="P103" s="96"/>
      <c r="Q103" s="36">
        <v>8476</v>
      </c>
      <c r="R103" s="9">
        <f t="shared" si="57"/>
        <v>85</v>
      </c>
      <c r="S103" s="9">
        <v>152</v>
      </c>
      <c r="T103" s="9">
        <f t="shared" si="58"/>
        <v>2</v>
      </c>
      <c r="U103" s="9">
        <v>18</v>
      </c>
      <c r="V103" s="9">
        <f t="shared" si="59"/>
        <v>2</v>
      </c>
      <c r="W103" s="13">
        <v>5</v>
      </c>
      <c r="X103" s="169" t="str">
        <f t="shared" si="69"/>
        <v>ゲームプロ4イヤホン</v>
      </c>
      <c r="Y103" s="37">
        <f t="shared" si="70"/>
        <v>770</v>
      </c>
      <c r="Z103" s="9">
        <f t="shared" si="61"/>
        <v>1540</v>
      </c>
      <c r="AA103" s="10">
        <f t="shared" si="62"/>
        <v>0.1811764705882353</v>
      </c>
      <c r="AB103" s="11"/>
    </row>
    <row r="104" spans="1:28" ht="15" customHeight="1" x14ac:dyDescent="0.2">
      <c r="A104" s="175" t="s">
        <v>35</v>
      </c>
      <c r="B104" s="8"/>
      <c r="C104" s="44">
        <v>7044</v>
      </c>
      <c r="D104" s="9">
        <f t="shared" si="50"/>
        <v>58</v>
      </c>
      <c r="E104" s="9">
        <v>174</v>
      </c>
      <c r="F104" s="9">
        <f t="shared" si="51"/>
        <v>2</v>
      </c>
      <c r="G104" s="9">
        <v>14</v>
      </c>
      <c r="H104" s="9">
        <f t="shared" si="52"/>
        <v>2</v>
      </c>
      <c r="I104" s="13">
        <v>110</v>
      </c>
      <c r="J104" s="169" t="str">
        <f t="shared" si="67"/>
        <v>バタースクイーズ</v>
      </c>
      <c r="K104" s="9">
        <f t="shared" si="68"/>
        <v>300</v>
      </c>
      <c r="L104" s="9">
        <f t="shared" si="55"/>
        <v>600</v>
      </c>
      <c r="M104" s="10">
        <f t="shared" si="56"/>
        <v>0.10344827586206896</v>
      </c>
      <c r="N104" s="11" t="s">
        <v>206</v>
      </c>
      <c r="P104" s="97"/>
      <c r="Q104" s="44">
        <v>5024</v>
      </c>
      <c r="R104" s="9">
        <f t="shared" si="57"/>
        <v>83</v>
      </c>
      <c r="S104" s="9">
        <v>125</v>
      </c>
      <c r="T104" s="9">
        <f t="shared" si="58"/>
        <v>3</v>
      </c>
      <c r="U104" s="9">
        <v>9</v>
      </c>
      <c r="V104" s="9">
        <f t="shared" si="59"/>
        <v>3</v>
      </c>
      <c r="W104" s="13">
        <v>12</v>
      </c>
      <c r="X104" s="169" t="str">
        <f t="shared" si="69"/>
        <v>パンケーキスクイーズ</v>
      </c>
      <c r="Y104" s="9">
        <f t="shared" si="70"/>
        <v>400</v>
      </c>
      <c r="Z104" s="9">
        <f t="shared" si="61"/>
        <v>1200</v>
      </c>
      <c r="AA104" s="10">
        <f t="shared" si="62"/>
        <v>0.14457831325301204</v>
      </c>
      <c r="AB104" s="11" t="s">
        <v>205</v>
      </c>
    </row>
    <row r="105" spans="1:28" ht="15" customHeight="1" thickBot="1" x14ac:dyDescent="0.25">
      <c r="A105" s="100"/>
      <c r="B105" s="87"/>
      <c r="C105" s="42">
        <v>6007</v>
      </c>
      <c r="D105" s="43">
        <f t="shared" si="50"/>
        <v>104</v>
      </c>
      <c r="E105" s="18">
        <v>134</v>
      </c>
      <c r="F105" s="18">
        <f t="shared" si="51"/>
        <v>2</v>
      </c>
      <c r="G105" s="18">
        <v>18</v>
      </c>
      <c r="H105" s="18">
        <f t="shared" si="52"/>
        <v>2</v>
      </c>
      <c r="I105" s="31">
        <v>2</v>
      </c>
      <c r="J105" s="170" t="str">
        <f t="shared" si="67"/>
        <v>たまごっちマスコット</v>
      </c>
      <c r="K105" s="43">
        <f t="shared" si="68"/>
        <v>1430</v>
      </c>
      <c r="L105" s="18">
        <f t="shared" si="55"/>
        <v>2860</v>
      </c>
      <c r="M105" s="19">
        <f t="shared" si="56"/>
        <v>0.27500000000000002</v>
      </c>
      <c r="N105" s="11"/>
      <c r="P105" s="100"/>
      <c r="Q105" s="42">
        <v>6142</v>
      </c>
      <c r="R105" s="43">
        <f t="shared" si="57"/>
        <v>76</v>
      </c>
      <c r="S105" s="18">
        <v>198</v>
      </c>
      <c r="T105" s="18">
        <f t="shared" si="58"/>
        <v>4</v>
      </c>
      <c r="U105" s="18">
        <v>25</v>
      </c>
      <c r="V105" s="18">
        <f t="shared" si="59"/>
        <v>4</v>
      </c>
      <c r="W105" s="31">
        <v>-11</v>
      </c>
      <c r="X105" s="170" t="str">
        <f t="shared" si="69"/>
        <v>ボンドロ</v>
      </c>
      <c r="Y105" s="43">
        <f t="shared" si="70"/>
        <v>150</v>
      </c>
      <c r="Z105" s="18">
        <f t="shared" si="61"/>
        <v>600</v>
      </c>
      <c r="AA105" s="19">
        <f t="shared" si="62"/>
        <v>7.8947368421052627E-2</v>
      </c>
      <c r="AB105" s="11" t="s">
        <v>191</v>
      </c>
    </row>
    <row r="106" spans="1:28" ht="15" customHeight="1" thickTop="1" x14ac:dyDescent="0.2">
      <c r="A106" s="96"/>
      <c r="B106" s="81"/>
      <c r="C106" s="36"/>
      <c r="D106" s="36"/>
      <c r="E106" s="36"/>
      <c r="F106" s="22"/>
      <c r="G106" s="36"/>
      <c r="H106" s="36"/>
      <c r="I106" s="53"/>
      <c r="J106" s="168"/>
      <c r="K106" s="49"/>
      <c r="L106" s="22"/>
      <c r="M106" s="23"/>
      <c r="N106" s="11"/>
      <c r="P106" s="104"/>
      <c r="Q106" s="36"/>
      <c r="R106" s="36"/>
      <c r="S106" s="36"/>
      <c r="T106" s="22"/>
      <c r="U106" s="36"/>
      <c r="V106" s="36"/>
      <c r="W106" s="53"/>
      <c r="X106" s="168"/>
      <c r="Y106" s="49"/>
      <c r="Z106" s="22"/>
      <c r="AA106" s="23"/>
      <c r="AB106" s="11"/>
    </row>
    <row r="107" spans="1:28" ht="15" customHeight="1" x14ac:dyDescent="0.2">
      <c r="A107" s="97"/>
      <c r="B107" s="81"/>
      <c r="C107" s="9"/>
      <c r="D107" s="9"/>
      <c r="E107" s="9"/>
      <c r="F107" s="9"/>
      <c r="G107" s="9"/>
      <c r="H107" s="9"/>
      <c r="I107" s="13"/>
      <c r="J107" s="169"/>
      <c r="K107" s="37"/>
      <c r="L107" s="9"/>
      <c r="M107" s="10"/>
      <c r="N107" s="11"/>
      <c r="P107" s="97"/>
      <c r="Q107" s="9"/>
      <c r="R107" s="9"/>
      <c r="S107" s="9"/>
      <c r="T107" s="9"/>
      <c r="U107" s="9"/>
      <c r="V107" s="9"/>
      <c r="W107" s="13"/>
      <c r="X107" s="169"/>
      <c r="Y107" s="37"/>
      <c r="Z107" s="9"/>
      <c r="AA107" s="10"/>
      <c r="AB107" s="11"/>
    </row>
    <row r="108" spans="1:28" ht="15" customHeight="1" x14ac:dyDescent="0.2">
      <c r="A108" s="179"/>
      <c r="B108" s="8"/>
      <c r="C108" s="25"/>
      <c r="D108" s="9"/>
      <c r="E108" s="9"/>
      <c r="F108" s="9"/>
      <c r="G108" s="25"/>
      <c r="H108" s="9"/>
      <c r="I108" s="32"/>
      <c r="J108" s="169"/>
      <c r="K108" s="9"/>
      <c r="L108" s="9"/>
      <c r="M108" s="10"/>
      <c r="N108" s="11"/>
      <c r="P108" s="97"/>
      <c r="Q108" s="25"/>
      <c r="R108" s="9"/>
      <c r="S108" s="9"/>
      <c r="T108" s="9"/>
      <c r="U108" s="25"/>
      <c r="V108" s="9"/>
      <c r="W108" s="32"/>
      <c r="X108" s="169"/>
      <c r="Y108" s="9"/>
      <c r="Z108" s="9"/>
      <c r="AA108" s="10"/>
      <c r="AB108" s="11"/>
    </row>
    <row r="109" spans="1:28" ht="15" customHeight="1" thickBot="1" x14ac:dyDescent="0.25">
      <c r="A109" s="100"/>
      <c r="B109" s="87"/>
      <c r="C109" s="18"/>
      <c r="D109" s="43"/>
      <c r="E109" s="18"/>
      <c r="F109" s="18"/>
      <c r="G109" s="18"/>
      <c r="H109" s="18"/>
      <c r="I109" s="31"/>
      <c r="J109" s="170"/>
      <c r="K109" s="43"/>
      <c r="L109" s="18"/>
      <c r="M109" s="19"/>
      <c r="N109" s="11"/>
      <c r="P109" s="100"/>
      <c r="Q109" s="18"/>
      <c r="R109" s="43"/>
      <c r="S109" s="18"/>
      <c r="T109" s="18"/>
      <c r="U109" s="18"/>
      <c r="V109" s="18"/>
      <c r="W109" s="31"/>
      <c r="X109" s="170"/>
      <c r="Y109" s="43"/>
      <c r="Z109" s="18"/>
      <c r="AA109" s="19"/>
      <c r="AB109" s="11"/>
    </row>
    <row r="110" spans="1:28" ht="15" customHeight="1" thickTop="1" x14ac:dyDescent="0.2">
      <c r="A110" s="96"/>
      <c r="B110" s="81"/>
      <c r="C110" s="36"/>
      <c r="D110" s="36"/>
      <c r="E110" s="36"/>
      <c r="F110" s="22"/>
      <c r="G110" s="36"/>
      <c r="H110" s="36"/>
      <c r="I110" s="53"/>
      <c r="J110" s="168"/>
      <c r="K110" s="49"/>
      <c r="L110" s="22"/>
      <c r="M110" s="23"/>
      <c r="N110" s="9"/>
      <c r="P110" s="104"/>
      <c r="Q110" s="36"/>
      <c r="R110" s="36"/>
      <c r="S110" s="36"/>
      <c r="T110" s="22"/>
      <c r="U110" s="36"/>
      <c r="V110" s="36"/>
      <c r="W110" s="53"/>
      <c r="X110" s="168"/>
      <c r="Y110" s="49"/>
      <c r="Z110" s="22"/>
      <c r="AA110" s="23"/>
      <c r="AB110" s="9"/>
    </row>
    <row r="111" spans="1:28" ht="15" customHeight="1" x14ac:dyDescent="0.2">
      <c r="A111" s="97"/>
      <c r="B111" s="81"/>
      <c r="C111" s="36"/>
      <c r="D111" s="9"/>
      <c r="E111" s="9"/>
      <c r="F111" s="9"/>
      <c r="G111" s="9"/>
      <c r="H111" s="9"/>
      <c r="I111" s="13"/>
      <c r="J111" s="169"/>
      <c r="K111" s="37"/>
      <c r="L111" s="9"/>
      <c r="M111" s="10"/>
      <c r="N111" s="9"/>
      <c r="P111" s="97"/>
      <c r="Q111" s="36"/>
      <c r="R111" s="9"/>
      <c r="S111" s="9"/>
      <c r="T111" s="9"/>
      <c r="U111" s="9"/>
      <c r="V111" s="9"/>
      <c r="W111" s="13"/>
      <c r="X111" s="169"/>
      <c r="Y111" s="37"/>
      <c r="Z111" s="9"/>
      <c r="AA111" s="10"/>
      <c r="AB111" s="9"/>
    </row>
    <row r="112" spans="1:28" ht="15" customHeight="1" x14ac:dyDescent="0.2">
      <c r="A112" s="99"/>
      <c r="B112" s="8"/>
      <c r="C112" s="44"/>
      <c r="D112" s="9"/>
      <c r="E112" s="9"/>
      <c r="F112" s="9"/>
      <c r="G112" s="9"/>
      <c r="H112" s="9"/>
      <c r="I112" s="13"/>
      <c r="J112" s="169"/>
      <c r="K112" s="9"/>
      <c r="L112" s="9"/>
      <c r="M112" s="10"/>
      <c r="N112" s="14"/>
      <c r="P112" s="97"/>
      <c r="Q112" s="44"/>
      <c r="R112" s="9"/>
      <c r="S112" s="9"/>
      <c r="T112" s="9"/>
      <c r="U112" s="9"/>
      <c r="V112" s="9"/>
      <c r="W112" s="13"/>
      <c r="X112" s="169"/>
      <c r="Y112" s="9"/>
      <c r="Z112" s="9"/>
      <c r="AA112" s="10"/>
      <c r="AB112" s="14"/>
    </row>
    <row r="113" spans="1:28" ht="15" customHeight="1" thickBot="1" x14ac:dyDescent="0.25">
      <c r="A113" s="100"/>
      <c r="B113" s="87"/>
      <c r="C113" s="42"/>
      <c r="D113" s="43"/>
      <c r="E113" s="18"/>
      <c r="F113" s="18"/>
      <c r="G113" s="18"/>
      <c r="H113" s="18"/>
      <c r="I113" s="31"/>
      <c r="J113" s="170"/>
      <c r="K113" s="43"/>
      <c r="L113" s="18"/>
      <c r="M113" s="19"/>
      <c r="N113" s="14"/>
      <c r="P113" s="100"/>
      <c r="Q113" s="42"/>
      <c r="R113" s="43"/>
      <c r="S113" s="18"/>
      <c r="T113" s="18"/>
      <c r="U113" s="18"/>
      <c r="V113" s="18"/>
      <c r="W113" s="31"/>
      <c r="X113" s="170"/>
      <c r="Y113" s="43"/>
      <c r="Z113" s="18"/>
      <c r="AA113" s="19"/>
      <c r="AB113" s="14"/>
    </row>
    <row r="114" spans="1:28" ht="15" customHeight="1" thickTop="1" x14ac:dyDescent="0.2">
      <c r="A114" s="96"/>
      <c r="B114" s="81">
        <f>SUM(D114:D117)+SUM(R114:R117)</f>
        <v>0</v>
      </c>
      <c r="C114" s="36"/>
      <c r="D114" s="36" t="str">
        <f t="shared" ref="D114:D133" si="71">IF(C114="","",C114-C110)</f>
        <v/>
      </c>
      <c r="E114" s="36"/>
      <c r="F114" s="22" t="str">
        <f t="shared" ref="F114:F133" si="72">IF(E114="","",E114-E110)</f>
        <v/>
      </c>
      <c r="G114" s="36"/>
      <c r="H114" s="36" t="str">
        <f t="shared" si="52"/>
        <v/>
      </c>
      <c r="I114" s="53"/>
      <c r="J114" s="168" t="str">
        <f t="shared" si="67"/>
        <v/>
      </c>
      <c r="K114" s="49" t="str">
        <f t="shared" si="68"/>
        <v/>
      </c>
      <c r="L114" s="22" t="str">
        <f t="shared" ref="L114:L133" si="73">IF(G114="","",H114*K114)</f>
        <v/>
      </c>
      <c r="M114" s="23" t="str">
        <f t="shared" ref="M114:M133" si="74">IF(H114="","",L114/(D114*100))</f>
        <v/>
      </c>
      <c r="N114" s="9"/>
      <c r="P114" s="104" t="str">
        <f>IF(A114="","",A114)</f>
        <v/>
      </c>
      <c r="Q114" s="36"/>
      <c r="R114" s="36" t="str">
        <f t="shared" ref="R114:R133" si="75">IF(Q114="","",Q114-Q110)</f>
        <v/>
      </c>
      <c r="S114" s="36"/>
      <c r="T114" s="22" t="str">
        <f t="shared" ref="T114:T133" si="76">IF(S114="","",S114-S110)</f>
        <v/>
      </c>
      <c r="U114" s="36"/>
      <c r="V114" s="36" t="str">
        <f t="shared" ref="V114:V133" si="77">IF(U114="","",U110+W110-U114)</f>
        <v/>
      </c>
      <c r="W114" s="53"/>
      <c r="X114" s="168" t="str">
        <f t="shared" si="69"/>
        <v/>
      </c>
      <c r="Y114" s="49" t="str">
        <f t="shared" si="70"/>
        <v/>
      </c>
      <c r="Z114" s="22" t="str">
        <f t="shared" ref="Z114:Z133" si="78">IF(U114="","",V114*Y114)</f>
        <v/>
      </c>
      <c r="AA114" s="23" t="str">
        <f t="shared" ref="AA114:AA133" si="79">IF(V114="","",Z114/(R114*100))</f>
        <v/>
      </c>
      <c r="AB114" s="9"/>
    </row>
    <row r="115" spans="1:28" ht="15" customHeight="1" x14ac:dyDescent="0.2">
      <c r="A115" s="97"/>
      <c r="B115" s="8"/>
      <c r="C115" s="9"/>
      <c r="D115" s="9" t="str">
        <f t="shared" si="71"/>
        <v/>
      </c>
      <c r="E115" s="9"/>
      <c r="F115" s="9" t="str">
        <f t="shared" si="72"/>
        <v/>
      </c>
      <c r="G115" s="9"/>
      <c r="H115" s="9" t="str">
        <f t="shared" si="52"/>
        <v/>
      </c>
      <c r="I115" s="13"/>
      <c r="J115" s="169" t="str">
        <f t="shared" si="67"/>
        <v/>
      </c>
      <c r="K115" s="37" t="str">
        <f t="shared" si="68"/>
        <v/>
      </c>
      <c r="L115" s="9" t="str">
        <f t="shared" si="73"/>
        <v/>
      </c>
      <c r="M115" s="10" t="str">
        <f t="shared" si="74"/>
        <v/>
      </c>
      <c r="N115" s="9"/>
      <c r="P115" s="97"/>
      <c r="Q115" s="9"/>
      <c r="R115" s="9" t="str">
        <f t="shared" si="75"/>
        <v/>
      </c>
      <c r="S115" s="9"/>
      <c r="T115" s="9" t="str">
        <f t="shared" si="76"/>
        <v/>
      </c>
      <c r="U115" s="9"/>
      <c r="V115" s="9" t="str">
        <f t="shared" si="77"/>
        <v/>
      </c>
      <c r="W115" s="13"/>
      <c r="X115" s="169" t="str">
        <f t="shared" si="69"/>
        <v/>
      </c>
      <c r="Y115" s="37" t="str">
        <f t="shared" si="70"/>
        <v/>
      </c>
      <c r="Z115" s="9" t="str">
        <f t="shared" si="78"/>
        <v/>
      </c>
      <c r="AA115" s="10" t="str">
        <f t="shared" si="79"/>
        <v/>
      </c>
      <c r="AB115" s="9"/>
    </row>
    <row r="116" spans="1:28" ht="15" customHeight="1" x14ac:dyDescent="0.2">
      <c r="A116" s="97"/>
      <c r="B116" s="8"/>
      <c r="C116" s="25"/>
      <c r="D116" s="9" t="str">
        <f t="shared" si="71"/>
        <v/>
      </c>
      <c r="E116" s="9"/>
      <c r="F116" s="9" t="str">
        <f t="shared" si="72"/>
        <v/>
      </c>
      <c r="G116" s="25"/>
      <c r="H116" s="9" t="str">
        <f t="shared" si="52"/>
        <v/>
      </c>
      <c r="I116" s="32"/>
      <c r="J116" s="169" t="str">
        <f t="shared" si="67"/>
        <v/>
      </c>
      <c r="K116" s="9" t="str">
        <f t="shared" si="68"/>
        <v/>
      </c>
      <c r="L116" s="9" t="str">
        <f t="shared" si="73"/>
        <v/>
      </c>
      <c r="M116" s="10" t="str">
        <f t="shared" si="74"/>
        <v/>
      </c>
      <c r="N116" s="9"/>
      <c r="P116" s="97"/>
      <c r="Q116" s="25"/>
      <c r="R116" s="9" t="str">
        <f t="shared" si="75"/>
        <v/>
      </c>
      <c r="S116" s="9"/>
      <c r="T116" s="9" t="str">
        <f t="shared" si="76"/>
        <v/>
      </c>
      <c r="U116" s="25"/>
      <c r="V116" s="9" t="str">
        <f t="shared" si="77"/>
        <v/>
      </c>
      <c r="W116" s="32"/>
      <c r="X116" s="169" t="str">
        <f t="shared" si="69"/>
        <v/>
      </c>
      <c r="Y116" s="9" t="str">
        <f t="shared" si="70"/>
        <v/>
      </c>
      <c r="Z116" s="9" t="str">
        <f t="shared" si="78"/>
        <v/>
      </c>
      <c r="AA116" s="10" t="str">
        <f t="shared" si="79"/>
        <v/>
      </c>
      <c r="AB116" s="9"/>
    </row>
    <row r="117" spans="1:28" ht="15" customHeight="1" thickBot="1" x14ac:dyDescent="0.25">
      <c r="A117" s="100"/>
      <c r="B117" s="82"/>
      <c r="C117" s="18"/>
      <c r="D117" s="43" t="str">
        <f t="shared" si="71"/>
        <v/>
      </c>
      <c r="E117" s="18"/>
      <c r="F117" s="18" t="str">
        <f t="shared" si="72"/>
        <v/>
      </c>
      <c r="G117" s="18"/>
      <c r="H117" s="18" t="str">
        <f t="shared" si="52"/>
        <v/>
      </c>
      <c r="I117" s="31"/>
      <c r="J117" s="170" t="str">
        <f t="shared" si="67"/>
        <v/>
      </c>
      <c r="K117" s="43" t="str">
        <f t="shared" si="68"/>
        <v/>
      </c>
      <c r="L117" s="18" t="str">
        <f t="shared" si="73"/>
        <v/>
      </c>
      <c r="M117" s="19" t="str">
        <f t="shared" si="74"/>
        <v/>
      </c>
      <c r="N117" s="9"/>
      <c r="P117" s="100"/>
      <c r="Q117" s="18"/>
      <c r="R117" s="43" t="str">
        <f t="shared" si="75"/>
        <v/>
      </c>
      <c r="S117" s="18"/>
      <c r="T117" s="18" t="str">
        <f t="shared" si="76"/>
        <v/>
      </c>
      <c r="U117" s="18"/>
      <c r="V117" s="18" t="str">
        <f t="shared" si="77"/>
        <v/>
      </c>
      <c r="W117" s="31"/>
      <c r="X117" s="170" t="str">
        <f t="shared" si="69"/>
        <v/>
      </c>
      <c r="Y117" s="43" t="str">
        <f t="shared" si="70"/>
        <v/>
      </c>
      <c r="Z117" s="18" t="str">
        <f t="shared" si="78"/>
        <v/>
      </c>
      <c r="AA117" s="19" t="str">
        <f t="shared" si="79"/>
        <v/>
      </c>
      <c r="AB117" s="9"/>
    </row>
    <row r="118" spans="1:28" ht="15" customHeight="1" thickTop="1" x14ac:dyDescent="0.2">
      <c r="A118" s="96"/>
      <c r="B118" s="81">
        <f>SUM(D118:D121)+SUM(R118:R121)</f>
        <v>0</v>
      </c>
      <c r="C118" s="36"/>
      <c r="D118" s="36" t="str">
        <f t="shared" si="71"/>
        <v/>
      </c>
      <c r="E118" s="36"/>
      <c r="F118" s="22" t="str">
        <f t="shared" si="72"/>
        <v/>
      </c>
      <c r="G118" s="36"/>
      <c r="H118" s="36" t="str">
        <f t="shared" si="52"/>
        <v/>
      </c>
      <c r="I118" s="53"/>
      <c r="J118" s="168" t="str">
        <f t="shared" si="67"/>
        <v/>
      </c>
      <c r="K118" s="49" t="str">
        <f t="shared" si="68"/>
        <v/>
      </c>
      <c r="L118" s="22" t="str">
        <f t="shared" si="73"/>
        <v/>
      </c>
      <c r="M118" s="23" t="str">
        <f t="shared" si="74"/>
        <v/>
      </c>
      <c r="N118" s="9"/>
      <c r="P118" s="104" t="str">
        <f>IF(A118="","",A118)</f>
        <v/>
      </c>
      <c r="Q118" s="36"/>
      <c r="R118" s="36" t="str">
        <f t="shared" si="75"/>
        <v/>
      </c>
      <c r="S118" s="36"/>
      <c r="T118" s="22" t="str">
        <f t="shared" si="76"/>
        <v/>
      </c>
      <c r="U118" s="36"/>
      <c r="V118" s="36" t="str">
        <f t="shared" si="77"/>
        <v/>
      </c>
      <c r="W118" s="53"/>
      <c r="X118" s="168" t="str">
        <f t="shared" si="69"/>
        <v/>
      </c>
      <c r="Y118" s="49" t="str">
        <f t="shared" si="70"/>
        <v/>
      </c>
      <c r="Z118" s="22" t="str">
        <f t="shared" si="78"/>
        <v/>
      </c>
      <c r="AA118" s="23" t="str">
        <f t="shared" si="79"/>
        <v/>
      </c>
      <c r="AB118" s="9"/>
    </row>
    <row r="119" spans="1:28" ht="15" customHeight="1" x14ac:dyDescent="0.2">
      <c r="A119" s="97"/>
      <c r="B119" s="8"/>
      <c r="C119" s="36"/>
      <c r="D119" s="9" t="str">
        <f t="shared" si="71"/>
        <v/>
      </c>
      <c r="E119" s="9"/>
      <c r="F119" s="9" t="str">
        <f t="shared" si="72"/>
        <v/>
      </c>
      <c r="G119" s="9"/>
      <c r="H119" s="9" t="str">
        <f t="shared" si="52"/>
        <v/>
      </c>
      <c r="I119" s="13"/>
      <c r="J119" s="169" t="str">
        <f t="shared" si="67"/>
        <v/>
      </c>
      <c r="K119" s="37" t="str">
        <f t="shared" si="68"/>
        <v/>
      </c>
      <c r="L119" s="9" t="str">
        <f t="shared" si="73"/>
        <v/>
      </c>
      <c r="M119" s="10" t="str">
        <f t="shared" si="74"/>
        <v/>
      </c>
      <c r="N119" s="9"/>
      <c r="P119" s="97"/>
      <c r="Q119" s="36"/>
      <c r="R119" s="9" t="str">
        <f t="shared" si="75"/>
        <v/>
      </c>
      <c r="S119" s="9"/>
      <c r="T119" s="9" t="str">
        <f t="shared" si="76"/>
        <v/>
      </c>
      <c r="U119" s="9"/>
      <c r="V119" s="9" t="str">
        <f t="shared" si="77"/>
        <v/>
      </c>
      <c r="W119" s="13"/>
      <c r="X119" s="169" t="str">
        <f t="shared" si="69"/>
        <v/>
      </c>
      <c r="Y119" s="37" t="str">
        <f t="shared" si="70"/>
        <v/>
      </c>
      <c r="Z119" s="9" t="str">
        <f t="shared" si="78"/>
        <v/>
      </c>
      <c r="AA119" s="10" t="str">
        <f t="shared" si="79"/>
        <v/>
      </c>
      <c r="AB119" s="9"/>
    </row>
    <row r="120" spans="1:28" ht="15" customHeight="1" x14ac:dyDescent="0.2">
      <c r="A120" s="97"/>
      <c r="B120" s="8"/>
      <c r="C120" s="44"/>
      <c r="D120" s="9" t="str">
        <f t="shared" si="71"/>
        <v/>
      </c>
      <c r="E120" s="9"/>
      <c r="F120" s="9" t="str">
        <f t="shared" si="72"/>
        <v/>
      </c>
      <c r="G120" s="9"/>
      <c r="H120" s="9" t="str">
        <f t="shared" si="52"/>
        <v/>
      </c>
      <c r="I120" s="13"/>
      <c r="J120" s="169" t="str">
        <f t="shared" si="67"/>
        <v/>
      </c>
      <c r="K120" s="9" t="str">
        <f t="shared" si="68"/>
        <v/>
      </c>
      <c r="L120" s="9" t="str">
        <f t="shared" si="73"/>
        <v/>
      </c>
      <c r="M120" s="10" t="str">
        <f t="shared" si="74"/>
        <v/>
      </c>
      <c r="N120" s="9"/>
      <c r="P120" s="97"/>
      <c r="Q120" s="44"/>
      <c r="R120" s="9" t="str">
        <f t="shared" si="75"/>
        <v/>
      </c>
      <c r="S120" s="9"/>
      <c r="T120" s="9" t="str">
        <f t="shared" si="76"/>
        <v/>
      </c>
      <c r="U120" s="9"/>
      <c r="V120" s="9" t="str">
        <f t="shared" si="77"/>
        <v/>
      </c>
      <c r="W120" s="13"/>
      <c r="X120" s="169" t="str">
        <f t="shared" si="69"/>
        <v/>
      </c>
      <c r="Y120" s="9" t="str">
        <f t="shared" si="70"/>
        <v/>
      </c>
      <c r="Z120" s="9" t="str">
        <f t="shared" si="78"/>
        <v/>
      </c>
      <c r="AA120" s="10" t="str">
        <f t="shared" si="79"/>
        <v/>
      </c>
      <c r="AB120" s="9"/>
    </row>
    <row r="121" spans="1:28" ht="15" customHeight="1" thickBot="1" x14ac:dyDescent="0.25">
      <c r="A121" s="100"/>
      <c r="B121" s="82"/>
      <c r="C121" s="42"/>
      <c r="D121" s="43" t="str">
        <f t="shared" si="71"/>
        <v/>
      </c>
      <c r="E121" s="18"/>
      <c r="F121" s="18" t="str">
        <f t="shared" si="72"/>
        <v/>
      </c>
      <c r="G121" s="18"/>
      <c r="H121" s="18" t="str">
        <f t="shared" si="52"/>
        <v/>
      </c>
      <c r="I121" s="31"/>
      <c r="J121" s="170" t="str">
        <f t="shared" si="67"/>
        <v/>
      </c>
      <c r="K121" s="43" t="str">
        <f t="shared" si="68"/>
        <v/>
      </c>
      <c r="L121" s="18" t="str">
        <f t="shared" si="73"/>
        <v/>
      </c>
      <c r="M121" s="19" t="str">
        <f t="shared" si="74"/>
        <v/>
      </c>
      <c r="N121" s="9"/>
      <c r="P121" s="100"/>
      <c r="Q121" s="42"/>
      <c r="R121" s="43" t="str">
        <f t="shared" si="75"/>
        <v/>
      </c>
      <c r="S121" s="18"/>
      <c r="T121" s="18" t="str">
        <f t="shared" si="76"/>
        <v/>
      </c>
      <c r="U121" s="18"/>
      <c r="V121" s="18" t="str">
        <f t="shared" si="77"/>
        <v/>
      </c>
      <c r="W121" s="31"/>
      <c r="X121" s="170" t="str">
        <f t="shared" si="69"/>
        <v/>
      </c>
      <c r="Y121" s="43" t="str">
        <f t="shared" si="70"/>
        <v/>
      </c>
      <c r="Z121" s="18" t="str">
        <f t="shared" si="78"/>
        <v/>
      </c>
      <c r="AA121" s="19" t="str">
        <f t="shared" si="79"/>
        <v/>
      </c>
      <c r="AB121" s="9"/>
    </row>
    <row r="122" spans="1:28" ht="15" customHeight="1" thickTop="1" x14ac:dyDescent="0.2">
      <c r="A122" s="96"/>
      <c r="B122" s="81">
        <f>SUM(D122:D125)+SUM(R122:R125)</f>
        <v>0</v>
      </c>
      <c r="C122" s="36"/>
      <c r="D122" s="36" t="str">
        <f t="shared" si="71"/>
        <v/>
      </c>
      <c r="E122" s="36"/>
      <c r="F122" s="22" t="str">
        <f t="shared" si="72"/>
        <v/>
      </c>
      <c r="G122" s="36"/>
      <c r="H122" s="36" t="str">
        <f t="shared" si="52"/>
        <v/>
      </c>
      <c r="I122" s="13"/>
      <c r="J122" s="168" t="str">
        <f t="shared" si="67"/>
        <v/>
      </c>
      <c r="K122" s="49" t="str">
        <f t="shared" si="68"/>
        <v/>
      </c>
      <c r="L122" s="22" t="str">
        <f t="shared" si="73"/>
        <v/>
      </c>
      <c r="M122" s="23" t="str">
        <f t="shared" si="74"/>
        <v/>
      </c>
      <c r="N122" s="9"/>
      <c r="P122" s="104" t="str">
        <f>IF(A122="","",A122)</f>
        <v/>
      </c>
      <c r="Q122" s="36"/>
      <c r="R122" s="36" t="str">
        <f t="shared" si="75"/>
        <v/>
      </c>
      <c r="S122" s="36"/>
      <c r="T122" s="22" t="str">
        <f t="shared" si="76"/>
        <v/>
      </c>
      <c r="U122" s="36"/>
      <c r="V122" s="36" t="str">
        <f t="shared" si="77"/>
        <v/>
      </c>
      <c r="W122" s="13"/>
      <c r="X122" s="151" t="str">
        <f t="shared" si="69"/>
        <v/>
      </c>
      <c r="Y122" s="49" t="str">
        <f t="shared" si="70"/>
        <v/>
      </c>
      <c r="Z122" s="22" t="str">
        <f t="shared" si="78"/>
        <v/>
      </c>
      <c r="AA122" s="23" t="str">
        <f t="shared" si="79"/>
        <v/>
      </c>
      <c r="AB122" s="11"/>
    </row>
    <row r="123" spans="1:28" ht="15" customHeight="1" x14ac:dyDescent="0.2">
      <c r="A123" s="97"/>
      <c r="B123" s="8"/>
      <c r="C123" s="9"/>
      <c r="D123" s="9" t="str">
        <f t="shared" si="71"/>
        <v/>
      </c>
      <c r="E123" s="9"/>
      <c r="F123" s="9" t="str">
        <f t="shared" si="72"/>
        <v/>
      </c>
      <c r="G123" s="9"/>
      <c r="H123" s="9" t="str">
        <f t="shared" si="52"/>
        <v/>
      </c>
      <c r="I123" s="13"/>
      <c r="J123" s="169" t="str">
        <f t="shared" si="67"/>
        <v/>
      </c>
      <c r="K123" s="37" t="str">
        <f t="shared" si="68"/>
        <v/>
      </c>
      <c r="L123" s="9" t="str">
        <f t="shared" si="73"/>
        <v/>
      </c>
      <c r="M123" s="10" t="str">
        <f t="shared" si="74"/>
        <v/>
      </c>
      <c r="N123" s="9"/>
      <c r="P123" s="97"/>
      <c r="Q123" s="9"/>
      <c r="R123" s="9" t="str">
        <f t="shared" si="75"/>
        <v/>
      </c>
      <c r="S123" s="9"/>
      <c r="T123" s="9" t="str">
        <f t="shared" si="76"/>
        <v/>
      </c>
      <c r="U123" s="9"/>
      <c r="V123" s="9" t="str">
        <f t="shared" si="77"/>
        <v/>
      </c>
      <c r="W123" s="13"/>
      <c r="X123" s="152" t="str">
        <f t="shared" si="69"/>
        <v/>
      </c>
      <c r="Y123" s="37" t="str">
        <f t="shared" si="70"/>
        <v/>
      </c>
      <c r="Z123" s="9" t="str">
        <f t="shared" si="78"/>
        <v/>
      </c>
      <c r="AA123" s="10" t="str">
        <f t="shared" si="79"/>
        <v/>
      </c>
      <c r="AB123" s="11"/>
    </row>
    <row r="124" spans="1:28" ht="15" customHeight="1" x14ac:dyDescent="0.2">
      <c r="A124" s="97"/>
      <c r="B124" s="8"/>
      <c r="C124" s="25"/>
      <c r="D124" s="9" t="str">
        <f t="shared" si="71"/>
        <v/>
      </c>
      <c r="E124" s="9"/>
      <c r="F124" s="9" t="str">
        <f t="shared" si="72"/>
        <v/>
      </c>
      <c r="G124" s="25"/>
      <c r="H124" s="9" t="str">
        <f t="shared" si="52"/>
        <v/>
      </c>
      <c r="I124" s="32"/>
      <c r="J124" s="169" t="str">
        <f t="shared" si="67"/>
        <v/>
      </c>
      <c r="K124" s="9" t="str">
        <f t="shared" si="68"/>
        <v/>
      </c>
      <c r="L124" s="9" t="str">
        <f t="shared" si="73"/>
        <v/>
      </c>
      <c r="M124" s="10" t="str">
        <f t="shared" si="74"/>
        <v/>
      </c>
      <c r="N124" s="9"/>
      <c r="P124" s="12"/>
      <c r="Q124" s="25"/>
      <c r="R124" s="9" t="str">
        <f t="shared" si="75"/>
        <v/>
      </c>
      <c r="S124" s="9"/>
      <c r="T124" s="9" t="str">
        <f t="shared" si="76"/>
        <v/>
      </c>
      <c r="U124" s="25"/>
      <c r="V124" s="9" t="str">
        <f t="shared" si="77"/>
        <v/>
      </c>
      <c r="W124" s="13"/>
      <c r="X124" s="152" t="str">
        <f t="shared" si="69"/>
        <v/>
      </c>
      <c r="Y124" s="9" t="str">
        <f t="shared" si="70"/>
        <v/>
      </c>
      <c r="Z124" s="9" t="str">
        <f t="shared" si="78"/>
        <v/>
      </c>
      <c r="AA124" s="10" t="str">
        <f t="shared" si="79"/>
        <v/>
      </c>
      <c r="AB124" s="11"/>
    </row>
    <row r="125" spans="1:28" ht="15" customHeight="1" thickBot="1" x14ac:dyDescent="0.25">
      <c r="A125" s="100"/>
      <c r="B125" s="87"/>
      <c r="C125" s="18"/>
      <c r="D125" s="43" t="str">
        <f t="shared" si="71"/>
        <v/>
      </c>
      <c r="E125" s="18"/>
      <c r="F125" s="18" t="str">
        <f t="shared" si="72"/>
        <v/>
      </c>
      <c r="G125" s="121"/>
      <c r="H125" s="20" t="str">
        <f t="shared" si="52"/>
        <v/>
      </c>
      <c r="I125" s="122"/>
      <c r="J125" s="153" t="str">
        <f t="shared" si="67"/>
        <v/>
      </c>
      <c r="K125" s="43" t="str">
        <f t="shared" si="68"/>
        <v/>
      </c>
      <c r="L125" s="18" t="str">
        <f t="shared" si="73"/>
        <v/>
      </c>
      <c r="M125" s="19" t="str">
        <f t="shared" si="74"/>
        <v/>
      </c>
      <c r="N125" s="11"/>
      <c r="P125" s="17"/>
      <c r="Q125" s="18"/>
      <c r="R125" s="43" t="str">
        <f t="shared" si="75"/>
        <v/>
      </c>
      <c r="S125" s="18"/>
      <c r="T125" s="18" t="str">
        <f t="shared" si="76"/>
        <v/>
      </c>
      <c r="U125" s="121"/>
      <c r="V125" s="18" t="str">
        <f t="shared" si="77"/>
        <v/>
      </c>
      <c r="W125" s="122"/>
      <c r="X125" s="156" t="str">
        <f t="shared" si="69"/>
        <v/>
      </c>
      <c r="Y125" s="43" t="str">
        <f t="shared" si="70"/>
        <v/>
      </c>
      <c r="Z125" s="18" t="str">
        <f t="shared" si="78"/>
        <v/>
      </c>
      <c r="AA125" s="19" t="str">
        <f t="shared" si="79"/>
        <v/>
      </c>
      <c r="AB125" s="11"/>
    </row>
    <row r="126" spans="1:28" ht="15" customHeight="1" thickTop="1" x14ac:dyDescent="0.2">
      <c r="A126" s="96"/>
      <c r="B126" s="81">
        <f>SUM(D126:D129)+SUM(R126:R129)</f>
        <v>0</v>
      </c>
      <c r="C126" s="36"/>
      <c r="D126" s="36" t="str">
        <f t="shared" si="71"/>
        <v/>
      </c>
      <c r="E126" s="36"/>
      <c r="F126" s="22" t="str">
        <f t="shared" si="72"/>
        <v/>
      </c>
      <c r="G126" s="36"/>
      <c r="H126" s="36" t="str">
        <f t="shared" si="52"/>
        <v/>
      </c>
      <c r="I126" s="36"/>
      <c r="J126" s="154" t="str">
        <f t="shared" si="67"/>
        <v/>
      </c>
      <c r="K126" s="49" t="str">
        <f t="shared" si="68"/>
        <v/>
      </c>
      <c r="L126" s="22" t="str">
        <f t="shared" si="73"/>
        <v/>
      </c>
      <c r="M126" s="23" t="str">
        <f t="shared" si="74"/>
        <v/>
      </c>
      <c r="N126" s="11"/>
      <c r="P126" s="57" t="str">
        <f>IF(A126="","",A126)</f>
        <v/>
      </c>
      <c r="Q126" s="36"/>
      <c r="R126" s="36" t="str">
        <f t="shared" si="75"/>
        <v/>
      </c>
      <c r="S126" s="36"/>
      <c r="T126" s="22" t="str">
        <f t="shared" si="76"/>
        <v/>
      </c>
      <c r="U126" s="36"/>
      <c r="V126" s="36" t="str">
        <f t="shared" si="77"/>
        <v/>
      </c>
      <c r="W126" s="36"/>
      <c r="X126" s="157" t="str">
        <f t="shared" si="69"/>
        <v/>
      </c>
      <c r="Y126" s="49" t="str">
        <f t="shared" si="70"/>
        <v/>
      </c>
      <c r="Z126" s="22" t="str">
        <f t="shared" si="78"/>
        <v/>
      </c>
      <c r="AA126" s="23" t="str">
        <f t="shared" si="79"/>
        <v/>
      </c>
      <c r="AB126" s="11"/>
    </row>
    <row r="127" spans="1:28" ht="15" customHeight="1" x14ac:dyDescent="0.2">
      <c r="A127" s="97"/>
      <c r="B127" s="8"/>
      <c r="C127" s="9"/>
      <c r="D127" s="9" t="str">
        <f t="shared" si="71"/>
        <v/>
      </c>
      <c r="E127" s="9"/>
      <c r="F127" s="9" t="str">
        <f t="shared" si="72"/>
        <v/>
      </c>
      <c r="G127" s="9"/>
      <c r="H127" s="9" t="str">
        <f t="shared" si="52"/>
        <v/>
      </c>
      <c r="I127" s="9"/>
      <c r="J127" s="155" t="str">
        <f t="shared" si="67"/>
        <v/>
      </c>
      <c r="K127" s="37" t="str">
        <f t="shared" si="68"/>
        <v/>
      </c>
      <c r="L127" s="9" t="str">
        <f t="shared" si="73"/>
        <v/>
      </c>
      <c r="M127" s="10" t="str">
        <f t="shared" si="74"/>
        <v/>
      </c>
      <c r="N127" s="11"/>
      <c r="P127" s="12"/>
      <c r="Q127" s="9"/>
      <c r="R127" s="9" t="str">
        <f t="shared" si="75"/>
        <v/>
      </c>
      <c r="S127" s="9"/>
      <c r="T127" s="9" t="str">
        <f t="shared" si="76"/>
        <v/>
      </c>
      <c r="U127" s="9"/>
      <c r="V127" s="9" t="str">
        <f t="shared" si="77"/>
        <v/>
      </c>
      <c r="W127" s="9"/>
      <c r="X127" s="158" t="str">
        <f t="shared" si="69"/>
        <v/>
      </c>
      <c r="Y127" s="37" t="str">
        <f t="shared" si="70"/>
        <v/>
      </c>
      <c r="Z127" s="9" t="str">
        <f t="shared" si="78"/>
        <v/>
      </c>
      <c r="AA127" s="10" t="str">
        <f t="shared" si="79"/>
        <v/>
      </c>
      <c r="AB127" s="11"/>
    </row>
    <row r="128" spans="1:28" ht="15" customHeight="1" x14ac:dyDescent="0.2">
      <c r="A128" s="97"/>
      <c r="B128" s="8"/>
      <c r="C128" s="9"/>
      <c r="D128" s="9" t="str">
        <f t="shared" si="71"/>
        <v/>
      </c>
      <c r="E128" s="9"/>
      <c r="F128" s="9" t="str">
        <f t="shared" si="72"/>
        <v/>
      </c>
      <c r="G128" s="9"/>
      <c r="H128" s="9" t="str">
        <f t="shared" si="52"/>
        <v/>
      </c>
      <c r="I128" s="9"/>
      <c r="J128" s="155" t="str">
        <f t="shared" si="67"/>
        <v/>
      </c>
      <c r="K128" s="9" t="str">
        <f t="shared" si="68"/>
        <v/>
      </c>
      <c r="L128" s="9" t="str">
        <f t="shared" si="73"/>
        <v/>
      </c>
      <c r="M128" s="10" t="str">
        <f t="shared" si="74"/>
        <v/>
      </c>
      <c r="N128" s="11"/>
      <c r="P128" s="12"/>
      <c r="Q128" s="9"/>
      <c r="R128" s="9" t="str">
        <f t="shared" si="75"/>
        <v/>
      </c>
      <c r="S128" s="9"/>
      <c r="T128" s="9" t="str">
        <f t="shared" si="76"/>
        <v/>
      </c>
      <c r="U128" s="9"/>
      <c r="V128" s="9" t="str">
        <f t="shared" si="77"/>
        <v/>
      </c>
      <c r="W128" s="9"/>
      <c r="X128" s="158" t="str">
        <f t="shared" si="69"/>
        <v/>
      </c>
      <c r="Y128" s="9" t="str">
        <f t="shared" si="70"/>
        <v/>
      </c>
      <c r="Z128" s="9" t="str">
        <f t="shared" si="78"/>
        <v/>
      </c>
      <c r="AA128" s="10" t="str">
        <f t="shared" si="79"/>
        <v/>
      </c>
      <c r="AB128" s="11"/>
    </row>
    <row r="129" spans="1:28" ht="15" customHeight="1" thickBot="1" x14ac:dyDescent="0.25">
      <c r="A129" s="100"/>
      <c r="B129" s="87"/>
      <c r="C129" s="18"/>
      <c r="D129" s="18" t="str">
        <f t="shared" si="71"/>
        <v/>
      </c>
      <c r="E129" s="18"/>
      <c r="F129" s="18" t="str">
        <f t="shared" si="72"/>
        <v/>
      </c>
      <c r="G129" s="18"/>
      <c r="H129" s="18"/>
      <c r="I129" s="18"/>
      <c r="J129" s="156" t="str">
        <f t="shared" si="67"/>
        <v/>
      </c>
      <c r="K129" s="43" t="str">
        <f t="shared" si="68"/>
        <v/>
      </c>
      <c r="L129" s="18" t="str">
        <f t="shared" si="73"/>
        <v/>
      </c>
      <c r="M129" s="19" t="str">
        <f t="shared" si="74"/>
        <v/>
      </c>
      <c r="N129" s="11"/>
      <c r="P129" s="17"/>
      <c r="Q129" s="18"/>
      <c r="R129" s="18" t="str">
        <f t="shared" si="75"/>
        <v/>
      </c>
      <c r="S129" s="18"/>
      <c r="T129" s="18" t="str">
        <f t="shared" si="76"/>
        <v/>
      </c>
      <c r="U129" s="18"/>
      <c r="V129" s="18" t="str">
        <f t="shared" si="77"/>
        <v/>
      </c>
      <c r="W129" s="18"/>
      <c r="X129" s="159" t="str">
        <f t="shared" si="69"/>
        <v/>
      </c>
      <c r="Y129" s="43" t="str">
        <f t="shared" si="70"/>
        <v/>
      </c>
      <c r="Z129" s="18" t="str">
        <f t="shared" si="78"/>
        <v/>
      </c>
      <c r="AA129" s="19" t="str">
        <f t="shared" si="79"/>
        <v/>
      </c>
      <c r="AB129" s="11"/>
    </row>
    <row r="130" spans="1:28" ht="15" customHeight="1" thickTop="1" x14ac:dyDescent="0.2">
      <c r="A130" s="96"/>
      <c r="B130" s="81">
        <f>SUM(D130:D133)+SUM(R130:R133)</f>
        <v>0</v>
      </c>
      <c r="C130" s="36"/>
      <c r="D130" s="36" t="str">
        <f t="shared" si="71"/>
        <v/>
      </c>
      <c r="E130" s="36"/>
      <c r="F130" s="36" t="str">
        <f t="shared" si="72"/>
        <v/>
      </c>
      <c r="G130" s="36"/>
      <c r="H130" s="36" t="str">
        <f>IF(G130="","",G126+I126-G130)</f>
        <v/>
      </c>
      <c r="I130" s="36"/>
      <c r="J130" s="154" t="str">
        <f t="shared" si="67"/>
        <v/>
      </c>
      <c r="K130" s="36" t="str">
        <f t="shared" si="68"/>
        <v/>
      </c>
      <c r="L130" s="36" t="str">
        <f t="shared" si="73"/>
        <v/>
      </c>
      <c r="M130" s="36" t="str">
        <f t="shared" si="74"/>
        <v/>
      </c>
      <c r="N130" s="11"/>
      <c r="P130" s="57" t="str">
        <f>IF(A130="","",A130)</f>
        <v/>
      </c>
      <c r="Q130" s="36"/>
      <c r="R130" s="36" t="str">
        <f t="shared" si="75"/>
        <v/>
      </c>
      <c r="S130" s="36"/>
      <c r="T130" s="36" t="str">
        <f t="shared" si="76"/>
        <v/>
      </c>
      <c r="U130" s="36"/>
      <c r="V130" s="36" t="str">
        <f t="shared" si="77"/>
        <v/>
      </c>
      <c r="W130" s="36"/>
      <c r="X130" s="157" t="str">
        <f t="shared" si="69"/>
        <v/>
      </c>
      <c r="Y130" s="36" t="str">
        <f t="shared" si="70"/>
        <v/>
      </c>
      <c r="Z130" s="36" t="str">
        <f t="shared" si="78"/>
        <v/>
      </c>
      <c r="AA130" s="36" t="str">
        <f t="shared" si="79"/>
        <v/>
      </c>
      <c r="AB130" s="11"/>
    </row>
    <row r="131" spans="1:28" ht="15" customHeight="1" x14ac:dyDescent="0.2">
      <c r="A131" s="96"/>
      <c r="B131" s="81"/>
      <c r="C131" s="36"/>
      <c r="D131" s="36" t="str">
        <f t="shared" si="71"/>
        <v/>
      </c>
      <c r="E131" s="36"/>
      <c r="F131" s="36" t="str">
        <f t="shared" si="72"/>
        <v/>
      </c>
      <c r="G131" s="36"/>
      <c r="H131" s="36" t="str">
        <f>IF(G131="","",G127+I127-G131)</f>
        <v/>
      </c>
      <c r="I131" s="36"/>
      <c r="J131" s="155" t="str">
        <f t="shared" si="67"/>
        <v/>
      </c>
      <c r="K131" s="36" t="str">
        <f t="shared" si="68"/>
        <v/>
      </c>
      <c r="L131" s="36" t="str">
        <f t="shared" si="73"/>
        <v/>
      </c>
      <c r="M131" s="36" t="str">
        <f t="shared" si="74"/>
        <v/>
      </c>
      <c r="N131" s="11"/>
      <c r="P131" s="52"/>
      <c r="Q131" s="36"/>
      <c r="R131" s="36" t="str">
        <f t="shared" si="75"/>
        <v/>
      </c>
      <c r="S131" s="36"/>
      <c r="T131" s="36" t="str">
        <f t="shared" si="76"/>
        <v/>
      </c>
      <c r="U131" s="36"/>
      <c r="V131" s="36" t="str">
        <f t="shared" si="77"/>
        <v/>
      </c>
      <c r="W131" s="36"/>
      <c r="X131" s="157" t="str">
        <f t="shared" si="69"/>
        <v/>
      </c>
      <c r="Y131" s="36" t="str">
        <f t="shared" si="70"/>
        <v/>
      </c>
      <c r="Z131" s="36" t="str">
        <f t="shared" si="78"/>
        <v/>
      </c>
      <c r="AA131" s="36" t="str">
        <f t="shared" si="79"/>
        <v/>
      </c>
      <c r="AB131" s="11"/>
    </row>
    <row r="132" spans="1:28" ht="15" customHeight="1" x14ac:dyDescent="0.2">
      <c r="A132" s="4"/>
      <c r="B132" s="84"/>
      <c r="C132" s="44"/>
      <c r="D132" s="44" t="str">
        <f t="shared" si="71"/>
        <v/>
      </c>
      <c r="E132" s="44"/>
      <c r="F132" s="44" t="str">
        <f t="shared" si="72"/>
        <v/>
      </c>
      <c r="G132" s="44"/>
      <c r="H132" s="44" t="str">
        <f>IF(G132="","",G128+I128-G132)</f>
        <v/>
      </c>
      <c r="I132" s="44"/>
      <c r="J132" s="155" t="str">
        <f t="shared" si="67"/>
        <v/>
      </c>
      <c r="K132" s="44" t="str">
        <f t="shared" si="68"/>
        <v/>
      </c>
      <c r="L132" s="44" t="str">
        <f t="shared" si="73"/>
        <v/>
      </c>
      <c r="M132" s="44" t="str">
        <f t="shared" si="74"/>
        <v/>
      </c>
      <c r="N132" s="28"/>
      <c r="P132" s="64"/>
      <c r="Q132" s="44"/>
      <c r="R132" s="44" t="str">
        <f t="shared" si="75"/>
        <v/>
      </c>
      <c r="S132" s="44"/>
      <c r="T132" s="44" t="str">
        <f t="shared" si="76"/>
        <v/>
      </c>
      <c r="U132" s="44"/>
      <c r="V132" s="44" t="str">
        <f t="shared" si="77"/>
        <v/>
      </c>
      <c r="W132" s="44"/>
      <c r="X132" s="160" t="str">
        <f t="shared" si="69"/>
        <v/>
      </c>
      <c r="Y132" s="44" t="str">
        <f t="shared" si="70"/>
        <v/>
      </c>
      <c r="Z132" s="44" t="str">
        <f t="shared" si="78"/>
        <v/>
      </c>
      <c r="AA132" s="44" t="str">
        <f t="shared" si="79"/>
        <v/>
      </c>
      <c r="AB132" s="28"/>
    </row>
    <row r="133" spans="1:28" ht="15" customHeight="1" thickBot="1" x14ac:dyDescent="0.25">
      <c r="A133" s="74"/>
      <c r="B133" s="85"/>
      <c r="C133" s="42"/>
      <c r="D133" s="42" t="str">
        <f t="shared" si="71"/>
        <v/>
      </c>
      <c r="E133" s="42"/>
      <c r="F133" s="42" t="str">
        <f t="shared" si="72"/>
        <v/>
      </c>
      <c r="G133" s="42"/>
      <c r="H133" s="42" t="str">
        <f>IF(G133="","",G129+I129-G133)</f>
        <v/>
      </c>
      <c r="I133" s="42"/>
      <c r="J133" s="156" t="str">
        <f t="shared" si="67"/>
        <v/>
      </c>
      <c r="K133" s="42" t="str">
        <f t="shared" si="68"/>
        <v/>
      </c>
      <c r="L133" s="42" t="str">
        <f t="shared" si="73"/>
        <v/>
      </c>
      <c r="M133" s="42" t="str">
        <f t="shared" si="74"/>
        <v/>
      </c>
      <c r="N133" s="63"/>
      <c r="P133" s="61"/>
      <c r="Q133" s="42"/>
      <c r="R133" s="42" t="str">
        <f t="shared" si="75"/>
        <v/>
      </c>
      <c r="S133" s="42"/>
      <c r="T133" s="42" t="str">
        <f t="shared" si="76"/>
        <v/>
      </c>
      <c r="U133" s="42"/>
      <c r="V133" s="42" t="str">
        <f t="shared" si="77"/>
        <v/>
      </c>
      <c r="W133" s="42"/>
      <c r="X133" s="161" t="str">
        <f t="shared" si="69"/>
        <v/>
      </c>
      <c r="Y133" s="42" t="str">
        <f t="shared" si="70"/>
        <v/>
      </c>
      <c r="Z133" s="42" t="str">
        <f t="shared" si="78"/>
        <v/>
      </c>
      <c r="AA133" s="42" t="str">
        <f t="shared" si="79"/>
        <v/>
      </c>
      <c r="AB133" s="63"/>
    </row>
    <row r="134" spans="1:28" ht="15" customHeight="1" thickTop="1" x14ac:dyDescent="0.2">
      <c r="A134" s="52"/>
      <c r="B134" s="81"/>
      <c r="C134" s="60" t="s">
        <v>40</v>
      </c>
      <c r="D134" s="36">
        <f>SUM(D78:D130)*100</f>
        <v>213900</v>
      </c>
      <c r="E134" s="93" t="s">
        <v>41</v>
      </c>
      <c r="F134" s="36"/>
      <c r="G134" s="60"/>
      <c r="H134" s="36"/>
      <c r="I134" s="36"/>
      <c r="J134" s="209" t="s">
        <v>42</v>
      </c>
      <c r="K134" s="209"/>
      <c r="L134" s="36">
        <f>SUM(L78:L130)</f>
        <v>34124</v>
      </c>
      <c r="M134" s="36"/>
      <c r="N134" s="55"/>
      <c r="P134" s="52"/>
      <c r="Q134" s="60" t="s">
        <v>40</v>
      </c>
      <c r="R134" s="36">
        <f>SUM(R78:R130)*100</f>
        <v>274100</v>
      </c>
      <c r="S134" s="93" t="s">
        <v>41</v>
      </c>
      <c r="T134" s="36"/>
      <c r="U134" s="60"/>
      <c r="V134" s="36"/>
      <c r="W134" s="36"/>
      <c r="X134" s="209" t="s">
        <v>42</v>
      </c>
      <c r="Y134" s="209"/>
      <c r="Z134" s="36">
        <f>SUM(Z78:Z130)</f>
        <v>28180</v>
      </c>
      <c r="AA134" s="36"/>
      <c r="AB134" s="55"/>
    </row>
    <row r="135" spans="1:28" ht="15" customHeight="1" x14ac:dyDescent="0.2">
      <c r="A135" s="24"/>
      <c r="B135" s="86"/>
      <c r="C135" s="5" t="s">
        <v>43</v>
      </c>
      <c r="D135" s="9">
        <f>D134/A139</f>
        <v>8226.9230769230762</v>
      </c>
      <c r="E135" s="9">
        <f>D135*A138</f>
        <v>213899.99999999997</v>
      </c>
      <c r="F135" s="9"/>
      <c r="G135" s="5"/>
      <c r="H135" s="9"/>
      <c r="I135" s="9"/>
      <c r="J135" s="210" t="s">
        <v>44</v>
      </c>
      <c r="K135" s="210"/>
      <c r="L135" s="9"/>
      <c r="M135" s="26">
        <f>L134/D134</f>
        <v>0.15953249181860682</v>
      </c>
      <c r="N135" s="11"/>
      <c r="P135" s="34"/>
      <c r="Q135" s="5" t="s">
        <v>43</v>
      </c>
      <c r="R135" s="9">
        <f>R134/A139</f>
        <v>10542.307692307691</v>
      </c>
      <c r="S135" s="9">
        <f>R135*A138</f>
        <v>274100</v>
      </c>
      <c r="T135" s="9"/>
      <c r="U135" s="5"/>
      <c r="V135" s="9"/>
      <c r="W135" s="9"/>
      <c r="X135" s="210" t="s">
        <v>44</v>
      </c>
      <c r="Y135" s="210"/>
      <c r="Z135" s="9"/>
      <c r="AA135" s="26">
        <f>Z134/R134</f>
        <v>0.10280919372491791</v>
      </c>
      <c r="AB135" s="11"/>
    </row>
    <row r="136" spans="1:28" ht="15" customHeight="1" x14ac:dyDescent="0.2">
      <c r="A136" s="12"/>
      <c r="B136" s="88"/>
      <c r="C136" s="47" t="s">
        <v>45</v>
      </c>
      <c r="D136" s="9">
        <f>D134*0.6</f>
        <v>128340</v>
      </c>
      <c r="E136" s="9"/>
      <c r="F136" s="9"/>
      <c r="G136" s="5"/>
      <c r="H136" s="9"/>
      <c r="I136" s="9"/>
      <c r="J136" s="210" t="s">
        <v>46</v>
      </c>
      <c r="K136" s="210"/>
      <c r="L136" s="9">
        <f>D136-L134</f>
        <v>94216</v>
      </c>
      <c r="M136" s="26">
        <f>L136/D134</f>
        <v>0.44046750818139319</v>
      </c>
      <c r="N136" s="11"/>
      <c r="P136" s="12"/>
      <c r="Q136" s="47" t="s">
        <v>45</v>
      </c>
      <c r="R136" s="9">
        <f>R134*0.6</f>
        <v>164460</v>
      </c>
      <c r="S136" s="9"/>
      <c r="T136" s="9"/>
      <c r="U136" s="5"/>
      <c r="V136" s="9"/>
      <c r="W136" s="9"/>
      <c r="X136" s="210" t="s">
        <v>46</v>
      </c>
      <c r="Y136" s="210"/>
      <c r="Z136" s="9">
        <f>R136-Z134</f>
        <v>136280</v>
      </c>
      <c r="AA136" s="26">
        <f>Z136/R134</f>
        <v>0.49719080627508211</v>
      </c>
      <c r="AB136" s="11"/>
    </row>
    <row r="137" spans="1:28" ht="15" customHeight="1" x14ac:dyDescent="0.2">
      <c r="A137" s="52"/>
      <c r="B137" s="81"/>
      <c r="C137" s="5" t="s">
        <v>47</v>
      </c>
      <c r="D137" s="9">
        <f>D212</f>
        <v>296400</v>
      </c>
      <c r="E137" s="9"/>
      <c r="F137" s="9"/>
      <c r="G137" s="5"/>
      <c r="H137" s="9"/>
      <c r="I137" s="16"/>
      <c r="J137" s="205" t="s">
        <v>48</v>
      </c>
      <c r="K137" s="205"/>
      <c r="L137" s="36">
        <f>(G110+I110)*K110+(G111+I111)*K111+(G112+I112)*K112+(G113+I113)*K113</f>
        <v>0</v>
      </c>
      <c r="M137" s="10"/>
      <c r="N137" s="11"/>
      <c r="P137" s="52"/>
      <c r="Q137" s="5" t="s">
        <v>47</v>
      </c>
      <c r="R137" s="9">
        <f>R212</f>
        <v>275000</v>
      </c>
      <c r="S137" s="9"/>
      <c r="T137" s="9"/>
      <c r="U137" s="5"/>
      <c r="V137" s="9"/>
      <c r="W137" s="16"/>
      <c r="X137" s="205" t="s">
        <v>48</v>
      </c>
      <c r="Y137" s="205"/>
      <c r="Z137" s="36">
        <f>(U110+W110)*Y110+(U111+W111)*Y111+(U112+W112)*Y112+(U113+W113)*Y113</f>
        <v>0</v>
      </c>
      <c r="AA137" s="10"/>
      <c r="AB137" s="11"/>
    </row>
    <row r="138" spans="1:28" ht="15" customHeight="1" x14ac:dyDescent="0.2">
      <c r="A138" s="4">
        <v>26</v>
      </c>
      <c r="B138" s="113">
        <f>SUM(B78:B130)*100</f>
        <v>488000</v>
      </c>
      <c r="C138" s="5"/>
      <c r="D138" s="9"/>
      <c r="E138" s="9"/>
      <c r="F138" s="9"/>
      <c r="G138" s="5"/>
      <c r="H138" s="9"/>
      <c r="I138" s="16"/>
      <c r="J138" s="140"/>
      <c r="K138" s="71"/>
      <c r="L138" s="49"/>
      <c r="M138" s="10"/>
      <c r="N138" s="11"/>
      <c r="P138" s="52"/>
      <c r="Q138" s="5"/>
      <c r="R138" s="9"/>
      <c r="S138" s="9"/>
      <c r="T138" s="9"/>
      <c r="U138" s="5"/>
      <c r="V138" s="9"/>
      <c r="W138" s="16"/>
      <c r="X138" s="70"/>
      <c r="Y138" s="71"/>
      <c r="Z138" s="49"/>
      <c r="AA138" s="10"/>
      <c r="AB138" s="11"/>
    </row>
    <row r="139" spans="1:28" ht="15" customHeight="1" x14ac:dyDescent="0.2">
      <c r="A139" s="69">
        <f>DATEDIF(A$181,A102,"d")</f>
        <v>26</v>
      </c>
      <c r="B139" s="81"/>
      <c r="C139" s="5"/>
      <c r="D139" s="9"/>
      <c r="E139" s="25">
        <v>353000</v>
      </c>
      <c r="F139" s="9"/>
      <c r="G139" s="5"/>
      <c r="H139" s="9"/>
      <c r="I139" s="16"/>
      <c r="J139" s="140"/>
      <c r="K139" s="71"/>
      <c r="L139" s="49"/>
      <c r="M139" s="10"/>
      <c r="N139" s="11"/>
      <c r="P139" s="52"/>
      <c r="Q139" s="5"/>
      <c r="R139" s="9"/>
      <c r="S139" s="9"/>
      <c r="T139" s="9"/>
      <c r="U139" s="5"/>
      <c r="V139" s="9"/>
      <c r="W139" s="16"/>
      <c r="X139" s="70"/>
      <c r="Y139" s="71"/>
      <c r="Z139" s="49"/>
      <c r="AA139" s="10"/>
      <c r="AB139" s="11"/>
    </row>
    <row r="140" spans="1:28" x14ac:dyDescent="0.2">
      <c r="A140" s="206" t="s">
        <v>49</v>
      </c>
      <c r="B140" s="206"/>
      <c r="C140" s="206"/>
      <c r="D140" s="27">
        <f>SUM(D78,D82,D86,D90,D94,D98,D102,D106,D110,D114,D118,D122,D126)*100</f>
        <v>49600</v>
      </c>
      <c r="E140" s="37">
        <v>111400</v>
      </c>
      <c r="F140" s="9"/>
      <c r="G140" s="5">
        <f>D140/H140</f>
        <v>7085.7142857142853</v>
      </c>
      <c r="H140" s="27">
        <f>SUM(H78,H82,H86,H90,H94,H98,H103,H106,H110,H114,H118,H122,H126)</f>
        <v>7</v>
      </c>
      <c r="I140" s="9"/>
      <c r="J140" s="48" t="str">
        <f t="shared" ref="J140:K143" si="80">J78</f>
        <v>サンリオボアバンスクリップ</v>
      </c>
      <c r="K140" s="49">
        <f t="shared" si="80"/>
        <v>748</v>
      </c>
      <c r="L140" s="27">
        <f>SUM(L78,L82,L86,L90,L94,L98,L103,L106,L110,L114,L118,L122,L126)</f>
        <v>5138</v>
      </c>
      <c r="M140" s="26">
        <f>L140/D140</f>
        <v>0.10358870967741936</v>
      </c>
      <c r="N140" s="11"/>
      <c r="O140" s="15"/>
      <c r="P140" s="206" t="s">
        <v>49</v>
      </c>
      <c r="Q140" s="206"/>
      <c r="R140" s="27">
        <f>SUM(R78,R82,R86,R90,R94,R98,R102,R106,R110,R114,R118,R122,R126)*100</f>
        <v>83600</v>
      </c>
      <c r="S140" s="37"/>
      <c r="T140" s="9"/>
      <c r="U140" s="5">
        <f>R140/V140</f>
        <v>5573.333333333333</v>
      </c>
      <c r="V140" s="27">
        <f>SUM(V78,V82,V86,V90,V94,V98,V103,V106,V110,V114,V118,V122,V126)</f>
        <v>15</v>
      </c>
      <c r="W140" s="9"/>
      <c r="X140" s="48" t="str">
        <f t="shared" ref="X140:Y143" si="81">X78</f>
        <v>電ブル</v>
      </c>
      <c r="Y140" s="49">
        <f t="shared" si="81"/>
        <v>275</v>
      </c>
      <c r="Z140" s="27">
        <f>SUM(Z78,Z82,Z86,Z90,Z94,Z98,Z103,Z106,Z110,Z114,Z118,Z122,Z126)</f>
        <v>7040</v>
      </c>
      <c r="AA140" s="26">
        <f>Z140/R140</f>
        <v>8.4210526315789472E-2</v>
      </c>
      <c r="AB140" s="11"/>
    </row>
    <row r="141" spans="1:28" x14ac:dyDescent="0.2">
      <c r="A141" s="206" t="s">
        <v>49</v>
      </c>
      <c r="B141" s="206"/>
      <c r="C141" s="206"/>
      <c r="D141" s="27">
        <f>SUM(D79,D83,D87,D91,D95,D99,D103,D107,D111,D115,D119,D123,D127)*100</f>
        <v>59500</v>
      </c>
      <c r="E141" s="37">
        <v>107000</v>
      </c>
      <c r="F141" s="9"/>
      <c r="G141" s="5">
        <f>D141/H141</f>
        <v>6611.1111111111113</v>
      </c>
      <c r="H141" s="27">
        <f>SUM(H79,H83,H87,H91,H95,H99,H102,H107,H111,H115,H119,H123,H127)</f>
        <v>9</v>
      </c>
      <c r="I141" s="9"/>
      <c r="J141" s="48" t="str">
        <f t="shared" si="80"/>
        <v>液晶デジカメ</v>
      </c>
      <c r="K141" s="49">
        <f t="shared" si="80"/>
        <v>1075</v>
      </c>
      <c r="L141" s="27">
        <f>SUM(L79,L83,L87,L91,L95,L99,L102,L107,L111,L115,L119,L123,L127)</f>
        <v>8596</v>
      </c>
      <c r="M141" s="26">
        <f>L141/D141</f>
        <v>0.14447058823529413</v>
      </c>
      <c r="N141" s="11"/>
      <c r="O141" s="1"/>
      <c r="P141" s="206" t="s">
        <v>49</v>
      </c>
      <c r="Q141" s="206"/>
      <c r="R141" s="27">
        <f>SUM(R79,R83,R87,R91,R95,R99,R103,R107,R111,R115,R119,R123,R127)*100</f>
        <v>64200</v>
      </c>
      <c r="S141" s="37"/>
      <c r="T141" s="9"/>
      <c r="U141" s="5">
        <f>R141/V141</f>
        <v>7133.333333333333</v>
      </c>
      <c r="V141" s="27">
        <f>SUM(V79,V83,V87,V91,V95,V99,V102,V107,V111,V115,V119,V123,V127)</f>
        <v>9</v>
      </c>
      <c r="W141" s="9"/>
      <c r="X141" s="48" t="str">
        <f t="shared" si="81"/>
        <v>ゲームプロ4イヤホン</v>
      </c>
      <c r="Y141" s="49">
        <f t="shared" si="81"/>
        <v>770</v>
      </c>
      <c r="Z141" s="27">
        <f>SUM(Z79,Z83,Z87,Z91,Z95,Z99,Z102,Z107,Z111,Z115,Z119,Z123,Z127)</f>
        <v>7590</v>
      </c>
      <c r="AA141" s="26">
        <f>Z141/R141</f>
        <v>0.11822429906542056</v>
      </c>
      <c r="AB141" s="11"/>
    </row>
    <row r="142" spans="1:28" x14ac:dyDescent="0.2">
      <c r="A142" s="206" t="s">
        <v>49</v>
      </c>
      <c r="B142" s="206"/>
      <c r="C142" s="206"/>
      <c r="D142" s="27">
        <f>SUM(D80,D84,D88,D92,D96,D100,D104,D108,D112,D116,D120,D124,D128)*100</f>
        <v>52900</v>
      </c>
      <c r="E142" s="37"/>
      <c r="F142" s="9"/>
      <c r="G142" s="5">
        <f>D142/H142</f>
        <v>3306.25</v>
      </c>
      <c r="H142" s="27">
        <f>SUM(H80,H84,H88,H93,H96,H100,H104,H108,H112,H116,H120,H124,H128)</f>
        <v>16</v>
      </c>
      <c r="I142" s="9"/>
      <c r="J142" s="48" t="str">
        <f t="shared" si="80"/>
        <v>パンケーキスクイーズ</v>
      </c>
      <c r="K142" s="49">
        <f t="shared" si="80"/>
        <v>440</v>
      </c>
      <c r="L142" s="27">
        <f>SUM(L80,L84,L88,L93,L96,L100,L104,L108,L112,L116,L120,L124,L128)</f>
        <v>6620</v>
      </c>
      <c r="M142" s="26">
        <f>L142/D142</f>
        <v>0.12514177693761816</v>
      </c>
      <c r="N142" s="11"/>
      <c r="O142" s="1"/>
      <c r="P142" s="206" t="s">
        <v>49</v>
      </c>
      <c r="Q142" s="206"/>
      <c r="R142" s="27">
        <f>SUM(R80,R84,R88,R92,R96,R100,R104,R108,R112,R116,R120,R124,R128)*100</f>
        <v>65900</v>
      </c>
      <c r="S142" s="37"/>
      <c r="T142" s="9"/>
      <c r="U142" s="5">
        <f>R142/V142</f>
        <v>4118.75</v>
      </c>
      <c r="V142" s="27">
        <f>SUM(V80,V84,V88,V93,V96,V100,V104,V108,V112,V116,V120,V124,V128)</f>
        <v>16</v>
      </c>
      <c r="W142" s="9"/>
      <c r="X142" s="48" t="str">
        <f t="shared" si="81"/>
        <v>たまごっちブロックシール</v>
      </c>
      <c r="Y142" s="49">
        <f t="shared" si="81"/>
        <v>600</v>
      </c>
      <c r="Z142" s="27">
        <f>SUM(Z80,Z84,Z88,Z93,Z96,Z100,Z104,Z108,Z112,Z116,Z120,Z124,Z128)</f>
        <v>7250</v>
      </c>
      <c r="AA142" s="26">
        <f>Z142/R142</f>
        <v>0.11001517450682853</v>
      </c>
      <c r="AB142" s="11"/>
    </row>
    <row r="143" spans="1:28" x14ac:dyDescent="0.2">
      <c r="A143" s="206" t="s">
        <v>49</v>
      </c>
      <c r="B143" s="206"/>
      <c r="C143" s="206"/>
      <c r="D143" s="27">
        <f>SUM(D81,D85,D89,D93,D97,D101,D105,D109,D113,D117,D121,D125,D129)*100</f>
        <v>51900</v>
      </c>
      <c r="E143" s="37"/>
      <c r="F143" s="9"/>
      <c r="G143" s="5">
        <f>D143/H143</f>
        <v>4325</v>
      </c>
      <c r="H143" s="27">
        <f>SUM(H81,H85,H89,H92,H97,H101,H105,H109,H113,H117,H121,H125,H129)</f>
        <v>12</v>
      </c>
      <c r="I143" s="9"/>
      <c r="J143" s="48" t="str">
        <f t="shared" si="80"/>
        <v>たまごっちマスコット</v>
      </c>
      <c r="K143" s="49">
        <f t="shared" si="80"/>
        <v>1430</v>
      </c>
      <c r="L143" s="27">
        <f>SUM(L81,L85,L89,L92,L97,L101,L105,L109,L113,L117,L121,L125,L129)</f>
        <v>13770</v>
      </c>
      <c r="M143" s="26">
        <f>L143/D143</f>
        <v>0.26531791907514451</v>
      </c>
      <c r="N143" s="11"/>
      <c r="O143" s="1"/>
      <c r="P143" s="206" t="s">
        <v>49</v>
      </c>
      <c r="Q143" s="206"/>
      <c r="R143" s="27">
        <f>SUM(R81,R85,R89,R93,R97,R101,R105,R109,R113,R117,R121,R125,R129)*100</f>
        <v>60400</v>
      </c>
      <c r="S143" s="37"/>
      <c r="T143" s="9"/>
      <c r="U143" s="5">
        <f>R143/V143</f>
        <v>1548.7179487179487</v>
      </c>
      <c r="V143" s="27">
        <f>SUM(V81,V85,V89,V92,V97,V101,V105,V109,V113,V117,V121,V125,V129)</f>
        <v>39</v>
      </c>
      <c r="W143" s="9"/>
      <c r="X143" s="48" t="str">
        <f t="shared" si="81"/>
        <v>ボンドロ</v>
      </c>
      <c r="Y143" s="49">
        <f t="shared" si="81"/>
        <v>150</v>
      </c>
      <c r="Z143" s="27">
        <f>SUM(Z81,Z85,Z89,Z92,Z97,Z101,Z105,Z109,Z113,Z117,Z121,Z125,Z129)</f>
        <v>6300</v>
      </c>
      <c r="AA143" s="26">
        <f>Z143/R143</f>
        <v>0.10430463576158941</v>
      </c>
      <c r="AB143" s="11"/>
    </row>
    <row r="144" spans="1:28" x14ac:dyDescent="0.2">
      <c r="A144" s="12"/>
      <c r="B144" s="8"/>
      <c r="C144" s="5" t="s">
        <v>40</v>
      </c>
      <c r="D144" s="9">
        <f>SUM(D140:D143)</f>
        <v>213900</v>
      </c>
      <c r="E144" s="37"/>
      <c r="F144" s="9"/>
      <c r="G144" s="9"/>
      <c r="H144" s="9">
        <f>SUM(H140:H143)</f>
        <v>44</v>
      </c>
      <c r="I144" s="9"/>
      <c r="J144" s="196" t="s">
        <v>50</v>
      </c>
      <c r="K144" s="196"/>
      <c r="L144" s="36">
        <f>SUM(L140:L143)</f>
        <v>34124</v>
      </c>
      <c r="M144" s="54">
        <f>L144/D144</f>
        <v>0.15953249181860682</v>
      </c>
      <c r="N144" s="55"/>
      <c r="O144" s="1"/>
      <c r="P144" s="12"/>
      <c r="Q144" s="5" t="s">
        <v>40</v>
      </c>
      <c r="R144" s="9">
        <f>SUM(R140:R143)</f>
        <v>274100</v>
      </c>
      <c r="S144" s="37"/>
      <c r="T144" s="9"/>
      <c r="U144" s="9"/>
      <c r="V144" s="9">
        <f>SUM(V140:V143)</f>
        <v>79</v>
      </c>
      <c r="W144" s="9"/>
      <c r="X144" s="196" t="s">
        <v>50</v>
      </c>
      <c r="Y144" s="196"/>
      <c r="Z144" s="36">
        <f>SUM(Z140:Z143)</f>
        <v>28180</v>
      </c>
      <c r="AA144" s="54">
        <f>Z144/R144</f>
        <v>0.10280919372491791</v>
      </c>
      <c r="AB144" s="11"/>
    </row>
    <row r="145" spans="1:28" x14ac:dyDescent="0.2">
      <c r="A145" s="30"/>
      <c r="B145" s="29"/>
      <c r="C145" s="2"/>
      <c r="D145" s="2"/>
      <c r="E145" s="2"/>
      <c r="F145" s="2"/>
      <c r="G145" s="2"/>
      <c r="H145" s="2"/>
      <c r="I145" s="2"/>
      <c r="J145" s="46"/>
      <c r="K145" s="2"/>
      <c r="L145" s="2"/>
      <c r="M145" s="2"/>
      <c r="N145" s="35"/>
      <c r="O145" s="1"/>
      <c r="P145" s="30"/>
      <c r="Q145" s="2"/>
      <c r="R145" s="2"/>
      <c r="S145" s="2"/>
      <c r="T145" s="2"/>
      <c r="U145" s="2"/>
      <c r="V145" s="2"/>
      <c r="W145" s="2"/>
      <c r="X145" s="46"/>
      <c r="Y145" s="2"/>
      <c r="Z145" s="2"/>
      <c r="AA145" s="2"/>
      <c r="AB145" s="35"/>
    </row>
    <row r="146" spans="1:28" x14ac:dyDescent="0.2">
      <c r="A146" s="30"/>
      <c r="B146" s="197" t="s">
        <v>51</v>
      </c>
      <c r="C146" s="198"/>
      <c r="D146" s="199" t="s">
        <v>52</v>
      </c>
      <c r="E146" s="200"/>
      <c r="F146" s="199" t="s">
        <v>53</v>
      </c>
      <c r="G146" s="200"/>
      <c r="H146" s="2"/>
      <c r="I146" s="2"/>
      <c r="J146" s="46"/>
      <c r="K146" s="2"/>
      <c r="L146" s="2"/>
      <c r="M146" s="2"/>
      <c r="N146" s="35"/>
      <c r="O146" s="1"/>
      <c r="P146" s="30"/>
      <c r="Q146" s="2"/>
      <c r="R146" s="2"/>
      <c r="S146" s="2"/>
      <c r="T146" s="2"/>
      <c r="U146" s="2"/>
      <c r="V146" s="2"/>
      <c r="W146" s="2"/>
      <c r="X146" s="46"/>
      <c r="Y146" s="2"/>
      <c r="Z146" s="2"/>
      <c r="AA146" s="2"/>
      <c r="AB146" s="35"/>
    </row>
    <row r="147" spans="1:28" x14ac:dyDescent="0.2">
      <c r="A147" s="30"/>
      <c r="B147" s="201">
        <f>B138/A139*A138</f>
        <v>488000</v>
      </c>
      <c r="C147" s="202"/>
      <c r="D147" s="203">
        <f>L134+Z134</f>
        <v>62304</v>
      </c>
      <c r="E147" s="204"/>
      <c r="F147" s="203">
        <f>K137+Y137</f>
        <v>0</v>
      </c>
      <c r="G147" s="204"/>
      <c r="H147" s="2"/>
      <c r="I147" s="2"/>
      <c r="J147" s="46"/>
      <c r="K147" s="2"/>
      <c r="L147" s="2"/>
      <c r="M147" s="2"/>
      <c r="N147" s="35"/>
      <c r="O147" s="1"/>
      <c r="P147" s="30"/>
      <c r="Q147" s="2"/>
      <c r="R147" s="2"/>
      <c r="S147" s="2"/>
      <c r="T147" s="2"/>
      <c r="U147" s="2"/>
      <c r="V147" s="2"/>
      <c r="W147" s="2"/>
      <c r="X147" s="46"/>
      <c r="Y147" s="2"/>
      <c r="Z147" s="2"/>
      <c r="AA147" s="2"/>
      <c r="AB147" s="35"/>
    </row>
    <row r="148" spans="1:28" x14ac:dyDescent="0.2">
      <c r="A148" s="30"/>
      <c r="B148" s="68"/>
      <c r="C148" s="68"/>
      <c r="D148" s="92" t="s">
        <v>57</v>
      </c>
      <c r="E148" s="72">
        <f>D147/B138</f>
        <v>0.12767213114754097</v>
      </c>
      <c r="F148" s="9"/>
      <c r="G148" s="9"/>
      <c r="H148" s="2"/>
      <c r="I148" s="2"/>
      <c r="J148" s="46"/>
      <c r="K148" s="2"/>
      <c r="L148" s="2"/>
      <c r="M148" s="2"/>
      <c r="N148" s="35"/>
      <c r="O148" s="1"/>
      <c r="P148" s="30"/>
      <c r="Q148" s="2"/>
      <c r="R148" s="2"/>
      <c r="S148" s="2"/>
      <c r="T148" s="2"/>
      <c r="U148" s="2"/>
      <c r="V148" s="2"/>
      <c r="W148" s="2"/>
      <c r="X148" s="46"/>
      <c r="Y148" s="2"/>
      <c r="Z148" s="2"/>
      <c r="AA148" s="2"/>
      <c r="AB148" s="35"/>
    </row>
    <row r="149" spans="1:28" x14ac:dyDescent="0.2">
      <c r="A149" s="30"/>
      <c r="B149" s="29"/>
      <c r="C149" s="2"/>
      <c r="D149" s="2"/>
      <c r="E149" s="2"/>
      <c r="F149" s="2"/>
      <c r="G149" s="2"/>
      <c r="H149" s="2"/>
      <c r="I149" s="2"/>
      <c r="J149" s="46"/>
      <c r="K149" s="2"/>
      <c r="L149" s="2"/>
      <c r="M149" s="2"/>
      <c r="N149" s="35"/>
      <c r="O149" s="1"/>
      <c r="P149" s="30"/>
      <c r="Q149" s="2"/>
      <c r="R149" s="2"/>
      <c r="S149" s="2"/>
      <c r="T149" s="2"/>
      <c r="U149" s="2"/>
      <c r="V149" s="2"/>
      <c r="W149" s="2"/>
      <c r="X149" s="46"/>
      <c r="Y149" s="2"/>
      <c r="Z149" s="2"/>
      <c r="AA149" s="2"/>
      <c r="AB149" s="35"/>
    </row>
    <row r="150" spans="1:28" x14ac:dyDescent="0.2">
      <c r="A150" s="30"/>
      <c r="B150" s="29"/>
      <c r="C150" s="2"/>
      <c r="D150" s="2"/>
      <c r="E150" s="2"/>
      <c r="F150" s="2"/>
      <c r="G150" s="2"/>
      <c r="H150" s="2"/>
      <c r="I150" s="2"/>
      <c r="J150" s="46"/>
      <c r="K150" s="2"/>
      <c r="L150" s="2"/>
      <c r="M150" s="2"/>
      <c r="N150" s="35"/>
      <c r="O150" s="1"/>
      <c r="P150" s="30"/>
      <c r="Q150" s="2"/>
      <c r="R150" s="2"/>
      <c r="S150" s="2"/>
      <c r="T150" s="2"/>
      <c r="U150" s="2"/>
      <c r="V150" s="2"/>
      <c r="W150" s="2"/>
      <c r="X150" s="46"/>
      <c r="Y150" s="2"/>
      <c r="Z150" s="2"/>
      <c r="AA150" s="2"/>
      <c r="AB150" s="35"/>
    </row>
    <row r="151" spans="1:28" ht="15" customHeight="1" x14ac:dyDescent="0.2">
      <c r="A151" s="207" t="s">
        <v>0</v>
      </c>
      <c r="B151" s="207"/>
      <c r="C151" s="207"/>
      <c r="D151" s="207"/>
      <c r="E151" s="208" t="s">
        <v>1</v>
      </c>
      <c r="F151" s="208"/>
      <c r="G151" s="75"/>
      <c r="H151" s="75"/>
      <c r="I151" s="75"/>
      <c r="J151" s="78"/>
      <c r="K151" s="75"/>
      <c r="L151" s="75"/>
      <c r="M151" s="75"/>
      <c r="N151" s="76"/>
      <c r="O151" s="77"/>
      <c r="P151" s="207" t="s">
        <v>0</v>
      </c>
      <c r="Q151" s="207"/>
      <c r="R151" s="207"/>
      <c r="S151" s="208" t="s">
        <v>2</v>
      </c>
      <c r="T151" s="208"/>
      <c r="U151" s="75"/>
      <c r="V151" s="75"/>
      <c r="W151" s="75"/>
      <c r="X151" s="78"/>
      <c r="Y151" s="75"/>
      <c r="Z151" s="75"/>
      <c r="AA151" s="75"/>
      <c r="AB151" s="76"/>
    </row>
    <row r="152" spans="1:28" x14ac:dyDescent="0.2">
      <c r="A152" s="7" t="s">
        <v>3</v>
      </c>
      <c r="B152" s="80" t="s">
        <v>4</v>
      </c>
      <c r="C152" s="5" t="s">
        <v>5</v>
      </c>
      <c r="D152" s="5" t="s">
        <v>6</v>
      </c>
      <c r="E152" s="6" t="s">
        <v>7</v>
      </c>
      <c r="F152" s="5" t="s">
        <v>6</v>
      </c>
      <c r="G152" s="5" t="s">
        <v>8</v>
      </c>
      <c r="H152" s="5" t="s">
        <v>9</v>
      </c>
      <c r="I152" s="5" t="s">
        <v>10</v>
      </c>
      <c r="J152" s="38" t="s">
        <v>11</v>
      </c>
      <c r="K152" s="5" t="s">
        <v>12</v>
      </c>
      <c r="L152" s="5" t="s">
        <v>9</v>
      </c>
      <c r="M152" s="5" t="s">
        <v>13</v>
      </c>
      <c r="N152" s="5" t="s">
        <v>14</v>
      </c>
      <c r="O152" s="3"/>
      <c r="P152" s="7" t="s">
        <v>3</v>
      </c>
      <c r="Q152" s="5" t="s">
        <v>5</v>
      </c>
      <c r="R152" s="5" t="s">
        <v>6</v>
      </c>
      <c r="S152" s="6" t="s">
        <v>7</v>
      </c>
      <c r="T152" s="5" t="s">
        <v>6</v>
      </c>
      <c r="U152" s="5" t="s">
        <v>8</v>
      </c>
      <c r="V152" s="5" t="s">
        <v>9</v>
      </c>
      <c r="W152" s="5" t="s">
        <v>10</v>
      </c>
      <c r="X152" s="38" t="s">
        <v>11</v>
      </c>
      <c r="Y152" s="5" t="s">
        <v>12</v>
      </c>
      <c r="Z152" s="5" t="s">
        <v>9</v>
      </c>
      <c r="AA152" s="5" t="s">
        <v>13</v>
      </c>
      <c r="AB152" s="5" t="s">
        <v>14</v>
      </c>
    </row>
    <row r="153" spans="1:28" x14ac:dyDescent="0.2">
      <c r="A153" s="12">
        <v>46107</v>
      </c>
      <c r="B153" s="81">
        <v>367</v>
      </c>
      <c r="C153" s="36">
        <v>6071</v>
      </c>
      <c r="D153" s="36">
        <v>6</v>
      </c>
      <c r="E153" s="36">
        <v>140</v>
      </c>
      <c r="F153" s="36">
        <v>-15</v>
      </c>
      <c r="G153" s="36">
        <v>4</v>
      </c>
      <c r="H153" s="36">
        <v>11</v>
      </c>
      <c r="I153" s="36">
        <v>4</v>
      </c>
      <c r="J153" s="165" t="s">
        <v>129</v>
      </c>
      <c r="K153" s="49">
        <v>748</v>
      </c>
      <c r="L153" s="36">
        <v>8228</v>
      </c>
      <c r="M153" s="50">
        <v>13.713333333333333</v>
      </c>
      <c r="N153" s="11" t="s">
        <v>143</v>
      </c>
      <c r="O153" s="1"/>
      <c r="P153" s="12">
        <v>46107</v>
      </c>
      <c r="Q153" s="36">
        <v>5772</v>
      </c>
      <c r="R153" s="36">
        <v>193</v>
      </c>
      <c r="S153" s="36">
        <v>154</v>
      </c>
      <c r="T153" s="36">
        <v>2</v>
      </c>
      <c r="U153" s="36"/>
      <c r="V153" s="36" t="s">
        <v>151</v>
      </c>
      <c r="W153" s="36">
        <v>10</v>
      </c>
      <c r="X153" s="165" t="s">
        <v>16</v>
      </c>
      <c r="Y153" s="49">
        <v>275</v>
      </c>
      <c r="Z153" s="36" t="s">
        <v>151</v>
      </c>
      <c r="AA153" s="50" t="s">
        <v>151</v>
      </c>
      <c r="AB153" s="11"/>
    </row>
    <row r="154" spans="1:28" x14ac:dyDescent="0.2">
      <c r="A154" s="79"/>
      <c r="B154" s="8"/>
      <c r="C154" s="36">
        <v>5599</v>
      </c>
      <c r="D154" s="9">
        <v>-106</v>
      </c>
      <c r="E154" s="36">
        <v>227</v>
      </c>
      <c r="F154" s="9">
        <v>-16</v>
      </c>
      <c r="G154" s="9">
        <v>0</v>
      </c>
      <c r="H154" s="9">
        <v>8</v>
      </c>
      <c r="I154" s="9">
        <v>9</v>
      </c>
      <c r="J154" s="165" t="s">
        <v>130</v>
      </c>
      <c r="K154" s="36">
        <v>358</v>
      </c>
      <c r="L154" s="9">
        <v>2864</v>
      </c>
      <c r="M154" s="10">
        <v>-0.270188679245283</v>
      </c>
      <c r="N154" s="11" t="s">
        <v>146</v>
      </c>
      <c r="O154" s="1"/>
      <c r="P154" s="12"/>
      <c r="Q154" s="36">
        <v>7351</v>
      </c>
      <c r="R154" s="9">
        <v>20</v>
      </c>
      <c r="S154" s="36">
        <v>141</v>
      </c>
      <c r="T154" s="9">
        <v>0</v>
      </c>
      <c r="U154" s="9">
        <v>2</v>
      </c>
      <c r="V154" s="9">
        <v>7</v>
      </c>
      <c r="W154" s="9">
        <v>10</v>
      </c>
      <c r="X154" s="166" t="s">
        <v>131</v>
      </c>
      <c r="Y154" s="37">
        <v>1100</v>
      </c>
      <c r="Z154" s="9">
        <v>7700</v>
      </c>
      <c r="AA154" s="10">
        <v>3.85</v>
      </c>
      <c r="AB154" s="11" t="s">
        <v>149</v>
      </c>
    </row>
    <row r="155" spans="1:28" x14ac:dyDescent="0.2">
      <c r="A155" s="12"/>
      <c r="B155" s="8"/>
      <c r="C155" s="36">
        <v>5857</v>
      </c>
      <c r="D155" s="9">
        <v>-4</v>
      </c>
      <c r="E155" s="36">
        <v>139</v>
      </c>
      <c r="F155" s="9">
        <v>1</v>
      </c>
      <c r="G155" s="9">
        <v>0</v>
      </c>
      <c r="H155" s="9">
        <v>8</v>
      </c>
      <c r="I155" s="9">
        <v>12</v>
      </c>
      <c r="J155" s="171" t="s">
        <v>144</v>
      </c>
      <c r="K155" s="37">
        <v>400</v>
      </c>
      <c r="L155" s="9">
        <v>6336</v>
      </c>
      <c r="M155" s="10">
        <v>-15.84</v>
      </c>
      <c r="N155" s="11" t="s">
        <v>145</v>
      </c>
      <c r="O155" s="1"/>
      <c r="P155" s="12"/>
      <c r="Q155" s="36">
        <v>3696</v>
      </c>
      <c r="R155" s="9">
        <v>-35</v>
      </c>
      <c r="S155" s="36">
        <v>93</v>
      </c>
      <c r="T155" s="9">
        <v>0</v>
      </c>
      <c r="U155" s="9">
        <v>0</v>
      </c>
      <c r="V155" s="9">
        <v>7</v>
      </c>
      <c r="W155" s="9">
        <v>6</v>
      </c>
      <c r="X155" s="166" t="s">
        <v>132</v>
      </c>
      <c r="Y155" s="37">
        <v>792</v>
      </c>
      <c r="Z155" s="9">
        <v>5544</v>
      </c>
      <c r="AA155" s="10">
        <v>-1.5840000000000001</v>
      </c>
      <c r="AB155" s="107" t="s">
        <v>150</v>
      </c>
    </row>
    <row r="156" spans="1:28" ht="15" customHeight="1" thickBot="1" x14ac:dyDescent="0.25">
      <c r="A156" s="17"/>
      <c r="B156" s="82"/>
      <c r="C156" s="42">
        <v>4906</v>
      </c>
      <c r="D156" s="42">
        <v>284</v>
      </c>
      <c r="E156" s="42">
        <v>121</v>
      </c>
      <c r="F156" s="18">
        <v>-4</v>
      </c>
      <c r="G156" s="18">
        <v>5</v>
      </c>
      <c r="H156" s="18">
        <v>5</v>
      </c>
      <c r="I156" s="20">
        <v>15</v>
      </c>
      <c r="J156" s="172" t="s">
        <v>142</v>
      </c>
      <c r="K156" s="43">
        <v>1430</v>
      </c>
      <c r="L156" s="18">
        <v>7150</v>
      </c>
      <c r="M156" s="19">
        <v>0.25176056338028169</v>
      </c>
      <c r="N156" s="11" t="s">
        <v>148</v>
      </c>
      <c r="O156" s="1"/>
      <c r="P156" s="17"/>
      <c r="Q156" s="42">
        <v>5006</v>
      </c>
      <c r="R156" s="42">
        <v>9</v>
      </c>
      <c r="S156" s="42">
        <v>111</v>
      </c>
      <c r="T156" s="18">
        <v>17</v>
      </c>
      <c r="U156" s="18">
        <v>3</v>
      </c>
      <c r="V156" s="18">
        <v>17</v>
      </c>
      <c r="W156" s="18">
        <v>37</v>
      </c>
      <c r="X156" s="167" t="s">
        <v>134</v>
      </c>
      <c r="Y156" s="18">
        <v>825</v>
      </c>
      <c r="Z156" s="18">
        <v>14025</v>
      </c>
      <c r="AA156" s="19">
        <v>15.583333333333334</v>
      </c>
      <c r="AB156" s="11" t="s">
        <v>147</v>
      </c>
    </row>
    <row r="157" spans="1:28" ht="15" customHeight="1" thickTop="1" x14ac:dyDescent="0.2">
      <c r="A157" s="96">
        <v>46109</v>
      </c>
      <c r="B157" s="81">
        <f>SUM(D157:D160)+SUM(R157:R160)</f>
        <v>594</v>
      </c>
      <c r="C157" s="81">
        <v>6139</v>
      </c>
      <c r="D157" s="36">
        <f t="shared" ref="D157:D184" si="82">IF(C157="","",C157-C153)</f>
        <v>68</v>
      </c>
      <c r="E157" s="36">
        <v>140</v>
      </c>
      <c r="F157" s="22">
        <f t="shared" ref="F157:F184" si="83">IF(E157="","",E157-E153)</f>
        <v>0</v>
      </c>
      <c r="G157" s="22">
        <v>8</v>
      </c>
      <c r="H157" s="36">
        <v>0</v>
      </c>
      <c r="I157" s="36">
        <v>0</v>
      </c>
      <c r="J157" s="168" t="s">
        <v>152</v>
      </c>
      <c r="K157" s="37">
        <f t="shared" ref="K157:K165" si="84">IF(D157="","",K153)</f>
        <v>748</v>
      </c>
      <c r="L157" s="22">
        <f t="shared" ref="L157:L184" si="85">IF(G157="","",H157*K157)</f>
        <v>0</v>
      </c>
      <c r="M157" s="23">
        <f t="shared" ref="M157:M184" si="86">IF(H157="","",L157/(D157*100))</f>
        <v>0</v>
      </c>
      <c r="N157" s="162"/>
      <c r="O157" s="9"/>
      <c r="P157" s="57">
        <f>IF(A157="","",A157)</f>
        <v>46109</v>
      </c>
      <c r="Q157" s="81">
        <v>5799</v>
      </c>
      <c r="R157" s="127">
        <f t="shared" ref="R157:R184" si="87">IF(Q157="","",Q157-Q153)</f>
        <v>27</v>
      </c>
      <c r="S157" s="36">
        <v>155</v>
      </c>
      <c r="T157" s="22">
        <f t="shared" ref="T157:T184" si="88">IF(S157="","",S157-S153)</f>
        <v>1</v>
      </c>
      <c r="U157" s="22">
        <v>40</v>
      </c>
      <c r="V157" s="36">
        <v>1</v>
      </c>
      <c r="W157" s="36">
        <v>0</v>
      </c>
      <c r="X157" s="168" t="str">
        <f>IF(Q157="","",X153)</f>
        <v>電ブル</v>
      </c>
      <c r="Y157" s="37">
        <f>IF(R157="","",Y153)</f>
        <v>275</v>
      </c>
      <c r="Z157" s="22">
        <f t="shared" ref="Z157:Z184" si="89">IF(U157="","",V157*Y157)</f>
        <v>275</v>
      </c>
      <c r="AA157" s="23">
        <f t="shared" ref="AA157:AA184" si="90">IF(V157="","",Z157/(R157*100))</f>
        <v>0.10185185185185185</v>
      </c>
      <c r="AB157" s="162"/>
    </row>
    <row r="158" spans="1:28" x14ac:dyDescent="0.2">
      <c r="A158" s="58"/>
      <c r="B158" s="83"/>
      <c r="C158" s="81">
        <v>5626</v>
      </c>
      <c r="D158" s="108">
        <f t="shared" si="82"/>
        <v>27</v>
      </c>
      <c r="E158" s="9">
        <v>228</v>
      </c>
      <c r="F158" s="9">
        <f t="shared" si="83"/>
        <v>1</v>
      </c>
      <c r="G158" s="9">
        <v>9</v>
      </c>
      <c r="H158" s="9">
        <f t="shared" ref="H158:H184" si="91">IF(G158="","",G154+I154-G158)</f>
        <v>0</v>
      </c>
      <c r="I158" s="9">
        <v>0</v>
      </c>
      <c r="J158" s="169" t="s">
        <v>153</v>
      </c>
      <c r="K158" s="37">
        <f t="shared" si="84"/>
        <v>358</v>
      </c>
      <c r="L158" s="9">
        <f t="shared" si="85"/>
        <v>0</v>
      </c>
      <c r="M158" s="10">
        <f t="shared" si="86"/>
        <v>0</v>
      </c>
      <c r="N158" s="163"/>
      <c r="O158" s="9"/>
      <c r="P158" s="97"/>
      <c r="Q158" s="81">
        <v>7394</v>
      </c>
      <c r="R158" s="9">
        <f t="shared" si="87"/>
        <v>43</v>
      </c>
      <c r="S158" s="9">
        <v>141</v>
      </c>
      <c r="T158" s="9">
        <f t="shared" si="88"/>
        <v>0</v>
      </c>
      <c r="U158" s="9">
        <v>12</v>
      </c>
      <c r="V158" s="9">
        <f t="shared" ref="V158:V184" si="92">IF(U158="","",U154+W154-U158)</f>
        <v>0</v>
      </c>
      <c r="W158" s="9">
        <v>0</v>
      </c>
      <c r="X158" s="169" t="s">
        <v>154</v>
      </c>
      <c r="Y158" s="37">
        <v>770</v>
      </c>
      <c r="Z158" s="9">
        <f t="shared" si="89"/>
        <v>0</v>
      </c>
      <c r="AA158" s="10">
        <f t="shared" si="90"/>
        <v>0</v>
      </c>
      <c r="AB158" s="163"/>
    </row>
    <row r="159" spans="1:28" x14ac:dyDescent="0.2">
      <c r="A159" s="58"/>
      <c r="B159" s="83"/>
      <c r="C159" s="84">
        <v>6020</v>
      </c>
      <c r="D159" s="9">
        <f t="shared" si="82"/>
        <v>163</v>
      </c>
      <c r="E159" s="9">
        <v>142</v>
      </c>
      <c r="F159" s="9">
        <f t="shared" si="83"/>
        <v>3</v>
      </c>
      <c r="G159" s="9">
        <v>11</v>
      </c>
      <c r="H159" s="9">
        <f t="shared" si="91"/>
        <v>1</v>
      </c>
      <c r="I159" s="9">
        <v>3</v>
      </c>
      <c r="J159" s="169" t="str">
        <f t="shared" ref="J159:J165" si="93">IF(C159="","",J155)</f>
        <v>バタースクイーズ</v>
      </c>
      <c r="K159" s="37">
        <f t="shared" si="84"/>
        <v>400</v>
      </c>
      <c r="L159" s="9">
        <f t="shared" si="85"/>
        <v>400</v>
      </c>
      <c r="M159" s="10">
        <f t="shared" si="86"/>
        <v>2.4539877300613498E-2</v>
      </c>
      <c r="N159" s="163"/>
      <c r="O159" s="9"/>
      <c r="P159" s="99"/>
      <c r="Q159" s="84">
        <v>3799</v>
      </c>
      <c r="R159" s="9">
        <f t="shared" si="87"/>
        <v>103</v>
      </c>
      <c r="S159" s="9">
        <v>93</v>
      </c>
      <c r="T159" s="9">
        <f t="shared" si="88"/>
        <v>0</v>
      </c>
      <c r="U159" s="9">
        <v>5</v>
      </c>
      <c r="V159" s="9">
        <f t="shared" si="92"/>
        <v>1</v>
      </c>
      <c r="W159" s="9">
        <v>1</v>
      </c>
      <c r="X159" s="169" t="s">
        <v>155</v>
      </c>
      <c r="Y159" s="37">
        <v>600</v>
      </c>
      <c r="Z159" s="9">
        <f t="shared" si="89"/>
        <v>600</v>
      </c>
      <c r="AA159" s="10">
        <f t="shared" si="90"/>
        <v>5.8252427184466021E-2</v>
      </c>
      <c r="AB159" s="163"/>
    </row>
    <row r="160" spans="1:28" ht="15" customHeight="1" thickBot="1" x14ac:dyDescent="0.25">
      <c r="A160" s="59"/>
      <c r="B160" s="82"/>
      <c r="C160" s="85">
        <v>4960</v>
      </c>
      <c r="D160" s="43">
        <f t="shared" si="82"/>
        <v>54</v>
      </c>
      <c r="E160" s="18">
        <v>122</v>
      </c>
      <c r="F160" s="18">
        <f t="shared" si="83"/>
        <v>1</v>
      </c>
      <c r="G160" s="18">
        <v>19</v>
      </c>
      <c r="H160" s="18">
        <f t="shared" si="91"/>
        <v>1</v>
      </c>
      <c r="I160" s="18">
        <v>0</v>
      </c>
      <c r="J160" s="170" t="str">
        <f t="shared" si="93"/>
        <v>たまごっちマスコット</v>
      </c>
      <c r="K160" s="43">
        <f t="shared" si="84"/>
        <v>1430</v>
      </c>
      <c r="L160" s="18">
        <f t="shared" si="85"/>
        <v>1430</v>
      </c>
      <c r="M160" s="19">
        <f t="shared" si="86"/>
        <v>0.26481481481481484</v>
      </c>
      <c r="N160" s="164"/>
      <c r="O160" s="9"/>
      <c r="P160" s="100"/>
      <c r="Q160" s="85">
        <v>5115</v>
      </c>
      <c r="R160" s="43">
        <f t="shared" si="87"/>
        <v>109</v>
      </c>
      <c r="S160" s="18">
        <v>112</v>
      </c>
      <c r="T160" s="18">
        <f t="shared" si="88"/>
        <v>1</v>
      </c>
      <c r="U160" s="18">
        <v>36</v>
      </c>
      <c r="V160" s="18">
        <f t="shared" si="92"/>
        <v>4</v>
      </c>
      <c r="W160" s="18">
        <v>0</v>
      </c>
      <c r="X160" s="170" t="s">
        <v>156</v>
      </c>
      <c r="Y160" s="43">
        <v>150</v>
      </c>
      <c r="Z160" s="18">
        <f t="shared" si="89"/>
        <v>600</v>
      </c>
      <c r="AA160" s="19">
        <f t="shared" si="90"/>
        <v>5.5045871559633031E-2</v>
      </c>
      <c r="AB160" s="164"/>
    </row>
    <row r="161" spans="1:28" ht="15" customHeight="1" thickTop="1" x14ac:dyDescent="0.2">
      <c r="A161" s="96">
        <v>46112</v>
      </c>
      <c r="B161" s="81">
        <f>SUM(D161:D164)+SUM(R161:R164)</f>
        <v>903</v>
      </c>
      <c r="C161" s="36">
        <v>6297</v>
      </c>
      <c r="D161" s="36">
        <f t="shared" si="82"/>
        <v>158</v>
      </c>
      <c r="E161" s="36">
        <v>141</v>
      </c>
      <c r="F161" s="22">
        <f t="shared" si="83"/>
        <v>1</v>
      </c>
      <c r="G161" s="36">
        <v>6</v>
      </c>
      <c r="H161" s="36">
        <f t="shared" si="91"/>
        <v>2</v>
      </c>
      <c r="I161" s="53">
        <v>4</v>
      </c>
      <c r="J161" s="168" t="str">
        <f t="shared" si="93"/>
        <v>サンリオボアバンスクリップ</v>
      </c>
      <c r="K161" s="49">
        <f t="shared" si="84"/>
        <v>748</v>
      </c>
      <c r="L161" s="22">
        <f t="shared" si="85"/>
        <v>1496</v>
      </c>
      <c r="M161" s="23">
        <f t="shared" si="86"/>
        <v>9.4683544303797468E-2</v>
      </c>
      <c r="N161" s="11"/>
      <c r="O161" s="1"/>
      <c r="P161" s="57">
        <f>IF(A161="","",A161)</f>
        <v>46112</v>
      </c>
      <c r="Q161" s="36">
        <v>5872</v>
      </c>
      <c r="R161" s="36">
        <f t="shared" si="87"/>
        <v>73</v>
      </c>
      <c r="S161" s="36">
        <v>158</v>
      </c>
      <c r="T161" s="22">
        <f t="shared" si="88"/>
        <v>3</v>
      </c>
      <c r="U161" s="36">
        <v>36</v>
      </c>
      <c r="V161" s="36">
        <f t="shared" si="92"/>
        <v>4</v>
      </c>
      <c r="W161" s="53">
        <v>14</v>
      </c>
      <c r="X161" s="168" t="str">
        <f t="shared" ref="X161:X184" si="94">IF(Q161="","",X157)</f>
        <v>電ブル</v>
      </c>
      <c r="Y161" s="49">
        <f t="shared" ref="Y161:Y184" si="95">IF(R161="","",Y157)</f>
        <v>275</v>
      </c>
      <c r="Z161" s="22">
        <f t="shared" si="89"/>
        <v>1100</v>
      </c>
      <c r="AA161" s="23">
        <f t="shared" si="90"/>
        <v>0.15068493150684931</v>
      </c>
      <c r="AB161" s="11" t="s">
        <v>160</v>
      </c>
    </row>
    <row r="162" spans="1:28" x14ac:dyDescent="0.2">
      <c r="A162" s="97"/>
      <c r="B162" s="8"/>
      <c r="C162" s="9">
        <v>5700</v>
      </c>
      <c r="D162" s="9">
        <f t="shared" si="82"/>
        <v>74</v>
      </c>
      <c r="E162" s="9">
        <v>230</v>
      </c>
      <c r="F162" s="9">
        <f t="shared" si="83"/>
        <v>2</v>
      </c>
      <c r="G162" s="9">
        <v>7</v>
      </c>
      <c r="H162" s="9">
        <f t="shared" si="91"/>
        <v>2</v>
      </c>
      <c r="I162" s="13">
        <v>11</v>
      </c>
      <c r="J162" s="169" t="str">
        <f t="shared" si="93"/>
        <v>ギャルキティフェイスポーチ</v>
      </c>
      <c r="K162" s="37">
        <f t="shared" si="84"/>
        <v>358</v>
      </c>
      <c r="L162" s="9">
        <f t="shared" si="85"/>
        <v>716</v>
      </c>
      <c r="M162" s="10">
        <f t="shared" si="86"/>
        <v>9.6756756756756754E-2</v>
      </c>
      <c r="N162" s="11" t="s">
        <v>158</v>
      </c>
      <c r="O162" s="1"/>
      <c r="P162" s="97"/>
      <c r="Q162" s="9">
        <v>7467</v>
      </c>
      <c r="R162" s="9">
        <f t="shared" si="87"/>
        <v>73</v>
      </c>
      <c r="S162" s="9">
        <v>140</v>
      </c>
      <c r="T162" s="9">
        <f t="shared" si="88"/>
        <v>-1</v>
      </c>
      <c r="U162" s="9">
        <v>6</v>
      </c>
      <c r="V162" s="9">
        <f t="shared" si="92"/>
        <v>6</v>
      </c>
      <c r="W162" s="13">
        <v>18</v>
      </c>
      <c r="X162" s="169" t="str">
        <f t="shared" si="94"/>
        <v>ゲームプロ4イヤホン</v>
      </c>
      <c r="Y162" s="37">
        <f t="shared" si="95"/>
        <v>770</v>
      </c>
      <c r="Z162" s="9">
        <f t="shared" si="89"/>
        <v>4620</v>
      </c>
      <c r="AA162" s="10">
        <f t="shared" si="90"/>
        <v>0.63287671232876708</v>
      </c>
      <c r="AB162" s="11" t="s">
        <v>159</v>
      </c>
    </row>
    <row r="163" spans="1:28" x14ac:dyDescent="0.2">
      <c r="A163" s="97"/>
      <c r="B163" s="86"/>
      <c r="C163" s="25">
        <v>6171</v>
      </c>
      <c r="D163" s="9">
        <f t="shared" si="82"/>
        <v>151</v>
      </c>
      <c r="E163" s="9">
        <v>151</v>
      </c>
      <c r="F163" s="9">
        <f t="shared" si="83"/>
        <v>9</v>
      </c>
      <c r="G163" s="25">
        <v>8</v>
      </c>
      <c r="H163" s="9">
        <f t="shared" si="91"/>
        <v>6</v>
      </c>
      <c r="I163" s="32">
        <v>3</v>
      </c>
      <c r="J163" s="169" t="str">
        <f t="shared" si="93"/>
        <v>バタースクイーズ</v>
      </c>
      <c r="K163" s="9">
        <f t="shared" si="84"/>
        <v>400</v>
      </c>
      <c r="L163" s="9">
        <f t="shared" si="85"/>
        <v>2400</v>
      </c>
      <c r="M163" s="10">
        <f t="shared" si="86"/>
        <v>0.15894039735099338</v>
      </c>
      <c r="N163" s="11"/>
      <c r="P163" s="99"/>
      <c r="Q163" s="25">
        <v>3940</v>
      </c>
      <c r="R163" s="9">
        <f t="shared" si="87"/>
        <v>141</v>
      </c>
      <c r="S163" s="9">
        <v>104</v>
      </c>
      <c r="T163" s="9">
        <f t="shared" si="88"/>
        <v>11</v>
      </c>
      <c r="U163" s="25">
        <v>4</v>
      </c>
      <c r="V163" s="9">
        <f t="shared" si="92"/>
        <v>2</v>
      </c>
      <c r="W163" s="32">
        <v>3</v>
      </c>
      <c r="X163" s="169" t="str">
        <f t="shared" si="94"/>
        <v>たまごっちブロックシール</v>
      </c>
      <c r="Y163" s="9">
        <f t="shared" si="95"/>
        <v>600</v>
      </c>
      <c r="Z163" s="9">
        <f t="shared" si="89"/>
        <v>1200</v>
      </c>
      <c r="AA163" s="10">
        <f t="shared" si="90"/>
        <v>8.5106382978723402E-2</v>
      </c>
      <c r="AB163" s="11" t="s">
        <v>161</v>
      </c>
    </row>
    <row r="164" spans="1:28" ht="15" customHeight="1" thickBot="1" x14ac:dyDescent="0.25">
      <c r="A164" s="98"/>
      <c r="B164" s="87"/>
      <c r="C164" s="18">
        <v>5101</v>
      </c>
      <c r="D164" s="43">
        <f t="shared" si="82"/>
        <v>141</v>
      </c>
      <c r="E164" s="18">
        <v>123</v>
      </c>
      <c r="F164" s="18">
        <f t="shared" si="83"/>
        <v>1</v>
      </c>
      <c r="G164" s="18">
        <v>18</v>
      </c>
      <c r="H164" s="18">
        <f t="shared" si="91"/>
        <v>1</v>
      </c>
      <c r="I164" s="31">
        <v>2</v>
      </c>
      <c r="J164" s="170" t="str">
        <f t="shared" si="93"/>
        <v>たまごっちマスコット</v>
      </c>
      <c r="K164" s="43">
        <f t="shared" si="84"/>
        <v>1430</v>
      </c>
      <c r="L164" s="18">
        <f t="shared" si="85"/>
        <v>1430</v>
      </c>
      <c r="M164" s="19">
        <f t="shared" si="86"/>
        <v>0.10141843971631205</v>
      </c>
      <c r="N164" s="11"/>
      <c r="P164" s="100"/>
      <c r="Q164" s="18">
        <v>5207</v>
      </c>
      <c r="R164" s="43">
        <f t="shared" si="87"/>
        <v>92</v>
      </c>
      <c r="S164" s="18">
        <v>134</v>
      </c>
      <c r="T164" s="18">
        <f t="shared" si="88"/>
        <v>22</v>
      </c>
      <c r="U164" s="18">
        <v>15</v>
      </c>
      <c r="V164" s="18">
        <f t="shared" si="92"/>
        <v>21</v>
      </c>
      <c r="W164" s="31">
        <v>16</v>
      </c>
      <c r="X164" s="170" t="str">
        <f t="shared" si="94"/>
        <v>ボンドロ</v>
      </c>
      <c r="Y164" s="43">
        <f t="shared" si="95"/>
        <v>150</v>
      </c>
      <c r="Z164" s="18">
        <f t="shared" si="89"/>
        <v>3150</v>
      </c>
      <c r="AA164" s="19">
        <f t="shared" si="90"/>
        <v>0.34239130434782611</v>
      </c>
      <c r="AB164" s="11" t="s">
        <v>157</v>
      </c>
    </row>
    <row r="165" spans="1:28" ht="15" customHeight="1" thickTop="1" x14ac:dyDescent="0.2">
      <c r="A165" s="96">
        <v>46115</v>
      </c>
      <c r="B165" s="81">
        <f>SUM(D165:D168)+SUM(R165:R168)</f>
        <v>442</v>
      </c>
      <c r="C165" s="36">
        <v>6341</v>
      </c>
      <c r="D165" s="36">
        <f t="shared" si="82"/>
        <v>44</v>
      </c>
      <c r="E165" s="36">
        <v>142</v>
      </c>
      <c r="F165" s="22">
        <f t="shared" si="83"/>
        <v>1</v>
      </c>
      <c r="G165" s="36">
        <v>9</v>
      </c>
      <c r="H165" s="36">
        <f t="shared" si="91"/>
        <v>1</v>
      </c>
      <c r="I165" s="53">
        <v>1</v>
      </c>
      <c r="J165" s="168" t="str">
        <f t="shared" si="93"/>
        <v>サンリオボアバンスクリップ</v>
      </c>
      <c r="K165" s="37">
        <f t="shared" si="84"/>
        <v>748</v>
      </c>
      <c r="L165" s="22">
        <f t="shared" si="85"/>
        <v>748</v>
      </c>
      <c r="M165" s="23">
        <f t="shared" si="86"/>
        <v>0.17</v>
      </c>
      <c r="N165" s="11" t="s">
        <v>162</v>
      </c>
      <c r="O165" s="1"/>
      <c r="P165" s="57">
        <f>IF(A165="","",A165)</f>
        <v>46115</v>
      </c>
      <c r="Q165" s="36">
        <v>5912</v>
      </c>
      <c r="R165" s="36">
        <f t="shared" si="87"/>
        <v>40</v>
      </c>
      <c r="S165" s="36">
        <v>159</v>
      </c>
      <c r="T165" s="22">
        <f t="shared" si="88"/>
        <v>1</v>
      </c>
      <c r="U165" s="36">
        <v>49</v>
      </c>
      <c r="V165" s="36">
        <f t="shared" si="92"/>
        <v>1</v>
      </c>
      <c r="W165" s="53">
        <v>0</v>
      </c>
      <c r="X165" s="168" t="str">
        <f t="shared" si="94"/>
        <v>電ブル</v>
      </c>
      <c r="Y165" s="37">
        <f t="shared" si="95"/>
        <v>275</v>
      </c>
      <c r="Z165" s="22">
        <f t="shared" si="89"/>
        <v>275</v>
      </c>
      <c r="AA165" s="23">
        <f t="shared" si="90"/>
        <v>6.8750000000000006E-2</v>
      </c>
      <c r="AB165" s="11"/>
    </row>
    <row r="166" spans="1:28" x14ac:dyDescent="0.2">
      <c r="A166" s="97"/>
      <c r="B166" s="8"/>
      <c r="C166" s="9">
        <v>5763</v>
      </c>
      <c r="D166" s="9">
        <f t="shared" si="82"/>
        <v>63</v>
      </c>
      <c r="E166" s="9">
        <v>232</v>
      </c>
      <c r="F166" s="9">
        <f t="shared" si="83"/>
        <v>2</v>
      </c>
      <c r="G166" s="9">
        <v>16</v>
      </c>
      <c r="H166" s="9">
        <f t="shared" si="91"/>
        <v>2</v>
      </c>
      <c r="I166" s="13">
        <v>2</v>
      </c>
      <c r="J166" s="169" t="s">
        <v>164</v>
      </c>
      <c r="K166" s="37">
        <v>1075</v>
      </c>
      <c r="L166" s="9">
        <f t="shared" si="85"/>
        <v>2150</v>
      </c>
      <c r="M166" s="10">
        <f t="shared" si="86"/>
        <v>0.34126984126984128</v>
      </c>
      <c r="N166" s="11" t="s">
        <v>165</v>
      </c>
      <c r="O166" s="1"/>
      <c r="P166" s="97"/>
      <c r="Q166" s="9">
        <v>7502</v>
      </c>
      <c r="R166" s="9">
        <f t="shared" si="87"/>
        <v>35</v>
      </c>
      <c r="S166" s="9">
        <v>140</v>
      </c>
      <c r="T166" s="9">
        <f t="shared" si="88"/>
        <v>0</v>
      </c>
      <c r="U166" s="9">
        <v>24</v>
      </c>
      <c r="V166" s="9">
        <f t="shared" si="92"/>
        <v>0</v>
      </c>
      <c r="W166" s="13">
        <v>0</v>
      </c>
      <c r="X166" s="169" t="str">
        <f t="shared" si="94"/>
        <v>ゲームプロ4イヤホン</v>
      </c>
      <c r="Y166" s="37">
        <f t="shared" si="95"/>
        <v>770</v>
      </c>
      <c r="Z166" s="9">
        <f t="shared" si="89"/>
        <v>0</v>
      </c>
      <c r="AA166" s="10">
        <f t="shared" si="90"/>
        <v>0</v>
      </c>
      <c r="AB166" s="11"/>
    </row>
    <row r="167" spans="1:28" x14ac:dyDescent="0.2">
      <c r="A167" s="99"/>
      <c r="B167" s="86"/>
      <c r="C167" s="25">
        <v>6239</v>
      </c>
      <c r="D167" s="9">
        <f t="shared" si="82"/>
        <v>68</v>
      </c>
      <c r="E167" s="9">
        <v>153</v>
      </c>
      <c r="F167" s="9">
        <f t="shared" si="83"/>
        <v>2</v>
      </c>
      <c r="G167" s="25">
        <v>9</v>
      </c>
      <c r="H167" s="9">
        <f t="shared" si="91"/>
        <v>2</v>
      </c>
      <c r="I167" s="32">
        <v>2</v>
      </c>
      <c r="J167" s="169" t="str">
        <f t="shared" ref="J167:J184" si="96">IF(C167="","",J163)</f>
        <v>バタースクイーズ</v>
      </c>
      <c r="K167" s="37">
        <f t="shared" ref="K167:K184" si="97">IF(D167="","",K163)</f>
        <v>400</v>
      </c>
      <c r="L167" s="9">
        <f t="shared" si="85"/>
        <v>800</v>
      </c>
      <c r="M167" s="10">
        <f t="shared" si="86"/>
        <v>0.11764705882352941</v>
      </c>
      <c r="N167" s="11" t="s">
        <v>163</v>
      </c>
      <c r="P167" s="99"/>
      <c r="Q167" s="25">
        <v>4001</v>
      </c>
      <c r="R167" s="9">
        <f t="shared" si="87"/>
        <v>61</v>
      </c>
      <c r="S167" s="9">
        <v>105</v>
      </c>
      <c r="T167" s="9">
        <f t="shared" si="88"/>
        <v>1</v>
      </c>
      <c r="U167" s="25">
        <v>6</v>
      </c>
      <c r="V167" s="9">
        <f t="shared" si="92"/>
        <v>1</v>
      </c>
      <c r="W167" s="32">
        <v>1</v>
      </c>
      <c r="X167" s="169" t="str">
        <f t="shared" si="94"/>
        <v>たまごっちブロックシール</v>
      </c>
      <c r="Y167" s="37">
        <f t="shared" si="95"/>
        <v>600</v>
      </c>
      <c r="Z167" s="9">
        <f t="shared" si="89"/>
        <v>600</v>
      </c>
      <c r="AA167" s="10">
        <f t="shared" si="90"/>
        <v>9.8360655737704916E-2</v>
      </c>
      <c r="AB167" s="11"/>
    </row>
    <row r="168" spans="1:28" ht="15" customHeight="1" thickBot="1" x14ac:dyDescent="0.25">
      <c r="A168" s="100"/>
      <c r="B168" s="87"/>
      <c r="C168" s="18">
        <v>5177</v>
      </c>
      <c r="D168" s="43">
        <f t="shared" si="82"/>
        <v>76</v>
      </c>
      <c r="E168" s="18">
        <v>123</v>
      </c>
      <c r="F168" s="18">
        <f t="shared" si="83"/>
        <v>0</v>
      </c>
      <c r="G168" s="18">
        <v>20</v>
      </c>
      <c r="H168" s="18">
        <f t="shared" si="91"/>
        <v>0</v>
      </c>
      <c r="I168" s="31">
        <v>0</v>
      </c>
      <c r="J168" s="170" t="str">
        <f t="shared" si="96"/>
        <v>たまごっちマスコット</v>
      </c>
      <c r="K168" s="43">
        <f t="shared" si="97"/>
        <v>1430</v>
      </c>
      <c r="L168" s="18">
        <f t="shared" si="85"/>
        <v>0</v>
      </c>
      <c r="M168" s="19">
        <f t="shared" si="86"/>
        <v>0</v>
      </c>
      <c r="N168" s="11" t="s">
        <v>163</v>
      </c>
      <c r="P168" s="100"/>
      <c r="Q168" s="18">
        <v>5262</v>
      </c>
      <c r="R168" s="43">
        <f t="shared" si="87"/>
        <v>55</v>
      </c>
      <c r="S168" s="18">
        <v>139</v>
      </c>
      <c r="T168" s="18">
        <f t="shared" si="88"/>
        <v>5</v>
      </c>
      <c r="U168" s="18">
        <v>26</v>
      </c>
      <c r="V168" s="18">
        <f t="shared" si="92"/>
        <v>5</v>
      </c>
      <c r="W168" s="31">
        <v>5</v>
      </c>
      <c r="X168" s="170" t="str">
        <f t="shared" si="94"/>
        <v>ボンドロ</v>
      </c>
      <c r="Y168" s="43">
        <f t="shared" si="95"/>
        <v>150</v>
      </c>
      <c r="Z168" s="18">
        <f t="shared" si="89"/>
        <v>750</v>
      </c>
      <c r="AA168" s="19">
        <f t="shared" si="90"/>
        <v>0.13636363636363635</v>
      </c>
      <c r="AB168" s="11" t="s">
        <v>160</v>
      </c>
    </row>
    <row r="169" spans="1:28" ht="15" customHeight="1" thickTop="1" x14ac:dyDescent="0.2">
      <c r="A169" s="96">
        <v>46119</v>
      </c>
      <c r="B169" s="81">
        <f>SUM(D169:D172)+SUM(R169:R172)</f>
        <v>971</v>
      </c>
      <c r="C169" s="36">
        <v>6430</v>
      </c>
      <c r="D169" s="36">
        <f t="shared" si="82"/>
        <v>89</v>
      </c>
      <c r="E169" s="36">
        <v>144</v>
      </c>
      <c r="F169" s="22">
        <f t="shared" si="83"/>
        <v>2</v>
      </c>
      <c r="G169" s="36">
        <v>7</v>
      </c>
      <c r="H169" s="36">
        <f t="shared" si="91"/>
        <v>3</v>
      </c>
      <c r="I169" s="53">
        <v>4</v>
      </c>
      <c r="J169" s="168" t="str">
        <f t="shared" si="96"/>
        <v>サンリオボアバンスクリップ</v>
      </c>
      <c r="K169" s="49">
        <f t="shared" si="97"/>
        <v>748</v>
      </c>
      <c r="L169" s="22">
        <f t="shared" si="85"/>
        <v>2244</v>
      </c>
      <c r="M169" s="23">
        <f t="shared" si="86"/>
        <v>0.25213483146067417</v>
      </c>
      <c r="N169" s="11" t="s">
        <v>168</v>
      </c>
      <c r="P169" s="104">
        <f>IF(A169="","",A169)</f>
        <v>46119</v>
      </c>
      <c r="Q169" s="36">
        <v>6054</v>
      </c>
      <c r="R169" s="36">
        <f t="shared" si="87"/>
        <v>142</v>
      </c>
      <c r="S169" s="36">
        <v>163</v>
      </c>
      <c r="T169" s="22">
        <f t="shared" si="88"/>
        <v>4</v>
      </c>
      <c r="U169" s="36">
        <v>45</v>
      </c>
      <c r="V169" s="36">
        <f t="shared" si="92"/>
        <v>4</v>
      </c>
      <c r="W169" s="53">
        <v>4</v>
      </c>
      <c r="X169" s="168" t="str">
        <f t="shared" si="94"/>
        <v>電ブル</v>
      </c>
      <c r="Y169" s="49">
        <f t="shared" si="95"/>
        <v>275</v>
      </c>
      <c r="Z169" s="22">
        <f t="shared" si="89"/>
        <v>1100</v>
      </c>
      <c r="AA169" s="23">
        <f t="shared" si="90"/>
        <v>7.746478873239436E-2</v>
      </c>
      <c r="AB169" s="11"/>
    </row>
    <row r="170" spans="1:28" x14ac:dyDescent="0.2">
      <c r="A170" s="96"/>
      <c r="B170" s="81"/>
      <c r="C170" s="36">
        <v>5833</v>
      </c>
      <c r="D170" s="9">
        <f t="shared" si="82"/>
        <v>70</v>
      </c>
      <c r="E170" s="9">
        <v>233</v>
      </c>
      <c r="F170" s="9">
        <f t="shared" si="83"/>
        <v>1</v>
      </c>
      <c r="G170" s="9">
        <v>15</v>
      </c>
      <c r="H170" s="9">
        <f t="shared" si="91"/>
        <v>3</v>
      </c>
      <c r="I170" s="13">
        <v>2</v>
      </c>
      <c r="J170" s="169" t="str">
        <f t="shared" si="96"/>
        <v>液晶デジカメ</v>
      </c>
      <c r="K170" s="37">
        <f t="shared" si="97"/>
        <v>1075</v>
      </c>
      <c r="L170" s="9">
        <f t="shared" si="85"/>
        <v>3225</v>
      </c>
      <c r="M170" s="10">
        <f t="shared" si="86"/>
        <v>0.46071428571428569</v>
      </c>
      <c r="N170" s="11" t="s">
        <v>166</v>
      </c>
      <c r="P170" s="96"/>
      <c r="Q170" s="36">
        <v>7739</v>
      </c>
      <c r="R170" s="9">
        <f t="shared" si="87"/>
        <v>237</v>
      </c>
      <c r="S170" s="9">
        <v>141</v>
      </c>
      <c r="T170" s="9">
        <f t="shared" si="88"/>
        <v>1</v>
      </c>
      <c r="U170" s="9">
        <v>22</v>
      </c>
      <c r="V170" s="9">
        <f t="shared" si="92"/>
        <v>2</v>
      </c>
      <c r="W170" s="13">
        <v>0</v>
      </c>
      <c r="X170" s="169" t="str">
        <f t="shared" si="94"/>
        <v>ゲームプロ4イヤホン</v>
      </c>
      <c r="Y170" s="37">
        <f t="shared" si="95"/>
        <v>770</v>
      </c>
      <c r="Z170" s="9">
        <f t="shared" si="89"/>
        <v>1540</v>
      </c>
      <c r="AA170" s="10">
        <f t="shared" si="90"/>
        <v>6.4978902953586493E-2</v>
      </c>
      <c r="AB170" s="11"/>
    </row>
    <row r="171" spans="1:28" ht="15" customHeight="1" x14ac:dyDescent="0.2">
      <c r="A171" s="96"/>
      <c r="B171" s="84"/>
      <c r="C171" s="44">
        <v>6356</v>
      </c>
      <c r="D171" s="9">
        <f t="shared" si="82"/>
        <v>117</v>
      </c>
      <c r="E171" s="9">
        <v>156</v>
      </c>
      <c r="F171" s="9">
        <f t="shared" si="83"/>
        <v>3</v>
      </c>
      <c r="G171" s="9">
        <v>9</v>
      </c>
      <c r="H171" s="9">
        <f t="shared" si="91"/>
        <v>2</v>
      </c>
      <c r="I171" s="13">
        <v>10</v>
      </c>
      <c r="J171" s="169" t="str">
        <f t="shared" si="96"/>
        <v>バタースクイーズ</v>
      </c>
      <c r="K171" s="9">
        <f t="shared" si="97"/>
        <v>400</v>
      </c>
      <c r="L171" s="9">
        <f t="shared" si="85"/>
        <v>800</v>
      </c>
      <c r="M171" s="10">
        <f t="shared" si="86"/>
        <v>6.8376068376068383E-2</v>
      </c>
      <c r="N171" s="11" t="s">
        <v>167</v>
      </c>
      <c r="P171" s="96"/>
      <c r="Q171" s="44">
        <v>4116</v>
      </c>
      <c r="R171" s="9">
        <f t="shared" si="87"/>
        <v>115</v>
      </c>
      <c r="S171" s="9">
        <v>106</v>
      </c>
      <c r="T171" s="9">
        <f t="shared" si="88"/>
        <v>1</v>
      </c>
      <c r="U171" s="9">
        <v>4</v>
      </c>
      <c r="V171" s="9">
        <f t="shared" si="92"/>
        <v>3</v>
      </c>
      <c r="W171" s="13">
        <v>3</v>
      </c>
      <c r="X171" s="169" t="str">
        <f t="shared" si="94"/>
        <v>たまごっちブロックシール</v>
      </c>
      <c r="Y171" s="9">
        <f t="shared" si="95"/>
        <v>600</v>
      </c>
      <c r="Z171" s="9">
        <f t="shared" si="89"/>
        <v>1800</v>
      </c>
      <c r="AA171" s="10">
        <f t="shared" si="90"/>
        <v>0.15652173913043479</v>
      </c>
      <c r="AB171" s="11"/>
    </row>
    <row r="172" spans="1:28" ht="15" customHeight="1" thickBot="1" x14ac:dyDescent="0.25">
      <c r="A172" s="100"/>
      <c r="B172" s="87"/>
      <c r="C172" s="42">
        <v>5279</v>
      </c>
      <c r="D172" s="43">
        <f t="shared" si="82"/>
        <v>102</v>
      </c>
      <c r="E172" s="18">
        <v>124</v>
      </c>
      <c r="F172" s="18">
        <f t="shared" si="83"/>
        <v>1</v>
      </c>
      <c r="G172" s="18">
        <v>19</v>
      </c>
      <c r="H172" s="18">
        <f t="shared" si="91"/>
        <v>1</v>
      </c>
      <c r="I172" s="31">
        <v>0</v>
      </c>
      <c r="J172" s="170" t="str">
        <f t="shared" si="96"/>
        <v>たまごっちマスコット</v>
      </c>
      <c r="K172" s="43">
        <f t="shared" si="97"/>
        <v>1430</v>
      </c>
      <c r="L172" s="18">
        <f t="shared" si="85"/>
        <v>1430</v>
      </c>
      <c r="M172" s="19">
        <f t="shared" si="86"/>
        <v>0.14019607843137255</v>
      </c>
      <c r="N172" s="11" t="s">
        <v>169</v>
      </c>
      <c r="P172" s="100"/>
      <c r="Q172" s="42">
        <v>5361</v>
      </c>
      <c r="R172" s="43">
        <f t="shared" si="87"/>
        <v>99</v>
      </c>
      <c r="S172" s="18">
        <v>151</v>
      </c>
      <c r="T172" s="18">
        <f t="shared" si="88"/>
        <v>12</v>
      </c>
      <c r="U172" s="18">
        <v>14</v>
      </c>
      <c r="V172" s="18">
        <f t="shared" si="92"/>
        <v>17</v>
      </c>
      <c r="W172" s="31">
        <v>20</v>
      </c>
      <c r="X172" s="170" t="str">
        <f t="shared" si="94"/>
        <v>ボンドロ</v>
      </c>
      <c r="Y172" s="43">
        <f t="shared" si="95"/>
        <v>150</v>
      </c>
      <c r="Z172" s="18">
        <f t="shared" si="89"/>
        <v>2550</v>
      </c>
      <c r="AA172" s="19">
        <f t="shared" si="90"/>
        <v>0.25757575757575757</v>
      </c>
      <c r="AB172" s="11" t="s">
        <v>170</v>
      </c>
    </row>
    <row r="173" spans="1:28" ht="15" customHeight="1" thickTop="1" x14ac:dyDescent="0.2">
      <c r="A173" s="96">
        <v>46122</v>
      </c>
      <c r="B173" s="81">
        <f>SUM(D173:D176)+SUM(R173:R176)</f>
        <v>498</v>
      </c>
      <c r="C173" s="36">
        <v>6486</v>
      </c>
      <c r="D173" s="36">
        <f t="shared" si="82"/>
        <v>56</v>
      </c>
      <c r="E173" s="36">
        <v>144</v>
      </c>
      <c r="F173" s="22">
        <f t="shared" si="83"/>
        <v>0</v>
      </c>
      <c r="G173" s="36">
        <v>10</v>
      </c>
      <c r="H173" s="36">
        <f t="shared" si="91"/>
        <v>1</v>
      </c>
      <c r="I173" s="53">
        <v>1</v>
      </c>
      <c r="J173" s="168" t="str">
        <f t="shared" si="96"/>
        <v>サンリオボアバンスクリップ</v>
      </c>
      <c r="K173" s="37">
        <f t="shared" si="97"/>
        <v>748</v>
      </c>
      <c r="L173" s="22">
        <f t="shared" si="85"/>
        <v>748</v>
      </c>
      <c r="M173" s="23">
        <f t="shared" si="86"/>
        <v>0.13357142857142856</v>
      </c>
      <c r="N173" s="11"/>
      <c r="P173" s="104">
        <f>IF(A173="","",A173)</f>
        <v>46122</v>
      </c>
      <c r="Q173" s="36">
        <v>6100</v>
      </c>
      <c r="R173" s="36">
        <f t="shared" si="87"/>
        <v>46</v>
      </c>
      <c r="S173" s="36">
        <v>165</v>
      </c>
      <c r="T173" s="22">
        <f t="shared" si="88"/>
        <v>2</v>
      </c>
      <c r="U173" s="36">
        <v>47</v>
      </c>
      <c r="V173" s="36">
        <f t="shared" si="92"/>
        <v>2</v>
      </c>
      <c r="W173" s="53">
        <v>11</v>
      </c>
      <c r="X173" s="168" t="str">
        <f t="shared" si="94"/>
        <v>電ブル</v>
      </c>
      <c r="Y173" s="37">
        <f t="shared" si="95"/>
        <v>275</v>
      </c>
      <c r="Z173" s="22">
        <f t="shared" si="89"/>
        <v>550</v>
      </c>
      <c r="AA173" s="23">
        <f t="shared" si="90"/>
        <v>0.11956521739130435</v>
      </c>
      <c r="AB173" s="11"/>
    </row>
    <row r="174" spans="1:28" ht="15" customHeight="1" x14ac:dyDescent="0.2">
      <c r="A174" s="97"/>
      <c r="B174" s="8"/>
      <c r="C174" s="9">
        <v>5877</v>
      </c>
      <c r="D174" s="9">
        <f t="shared" si="82"/>
        <v>44</v>
      </c>
      <c r="E174" s="9">
        <v>233</v>
      </c>
      <c r="F174" s="9">
        <f t="shared" si="83"/>
        <v>0</v>
      </c>
      <c r="G174" s="9">
        <v>17</v>
      </c>
      <c r="H174" s="9">
        <f t="shared" si="91"/>
        <v>0</v>
      </c>
      <c r="I174" s="13">
        <v>0</v>
      </c>
      <c r="J174" s="169" t="str">
        <f t="shared" si="96"/>
        <v>液晶デジカメ</v>
      </c>
      <c r="K174" s="37">
        <f t="shared" si="97"/>
        <v>1075</v>
      </c>
      <c r="L174" s="9">
        <f t="shared" si="85"/>
        <v>0</v>
      </c>
      <c r="M174" s="10">
        <f t="shared" si="86"/>
        <v>0</v>
      </c>
      <c r="N174" s="173" t="s">
        <v>173</v>
      </c>
      <c r="P174" s="97"/>
      <c r="Q174" s="9">
        <v>7780</v>
      </c>
      <c r="R174" s="9">
        <f t="shared" si="87"/>
        <v>41</v>
      </c>
      <c r="S174" s="9">
        <v>142</v>
      </c>
      <c r="T174" s="9">
        <f t="shared" si="88"/>
        <v>1</v>
      </c>
      <c r="U174" s="9">
        <v>22</v>
      </c>
      <c r="V174" s="9">
        <f t="shared" si="92"/>
        <v>0</v>
      </c>
      <c r="W174" s="13">
        <v>-2</v>
      </c>
      <c r="X174" s="169" t="str">
        <f t="shared" si="94"/>
        <v>ゲームプロ4イヤホン</v>
      </c>
      <c r="Y174" s="37">
        <f t="shared" si="95"/>
        <v>770</v>
      </c>
      <c r="Z174" s="9">
        <f t="shared" si="89"/>
        <v>0</v>
      </c>
      <c r="AA174" s="10">
        <f t="shared" si="90"/>
        <v>0</v>
      </c>
      <c r="AB174" s="11" t="s">
        <v>172</v>
      </c>
    </row>
    <row r="175" spans="1:28" ht="15" customHeight="1" x14ac:dyDescent="0.2">
      <c r="A175" s="97"/>
      <c r="B175" s="86"/>
      <c r="C175" s="25">
        <v>6426</v>
      </c>
      <c r="D175" s="9">
        <f t="shared" si="82"/>
        <v>70</v>
      </c>
      <c r="E175" s="9">
        <v>157</v>
      </c>
      <c r="F175" s="9">
        <f t="shared" si="83"/>
        <v>1</v>
      </c>
      <c r="G175" s="25">
        <v>19</v>
      </c>
      <c r="H175" s="9">
        <f t="shared" si="91"/>
        <v>0</v>
      </c>
      <c r="I175" s="32">
        <v>0</v>
      </c>
      <c r="J175" s="169" t="str">
        <f t="shared" si="96"/>
        <v>バタースクイーズ</v>
      </c>
      <c r="K175" s="37">
        <f t="shared" si="97"/>
        <v>400</v>
      </c>
      <c r="L175" s="9">
        <f t="shared" si="85"/>
        <v>0</v>
      </c>
      <c r="M175" s="10">
        <f t="shared" si="86"/>
        <v>0</v>
      </c>
      <c r="N175" s="11" t="s">
        <v>171</v>
      </c>
      <c r="P175" s="97"/>
      <c r="Q175" s="25">
        <v>4218</v>
      </c>
      <c r="R175" s="9">
        <f t="shared" si="87"/>
        <v>102</v>
      </c>
      <c r="S175" s="9">
        <v>108</v>
      </c>
      <c r="T175" s="9">
        <f t="shared" si="88"/>
        <v>2</v>
      </c>
      <c r="U175" s="25">
        <v>4</v>
      </c>
      <c r="V175" s="9">
        <f t="shared" si="92"/>
        <v>3</v>
      </c>
      <c r="W175" s="32">
        <v>4</v>
      </c>
      <c r="X175" s="169" t="str">
        <f t="shared" si="94"/>
        <v>たまごっちブロックシール</v>
      </c>
      <c r="Y175" s="37">
        <f t="shared" si="95"/>
        <v>600</v>
      </c>
      <c r="Z175" s="9">
        <f t="shared" si="89"/>
        <v>1800</v>
      </c>
      <c r="AA175" s="10">
        <f t="shared" si="90"/>
        <v>0.17647058823529413</v>
      </c>
      <c r="AB175" s="11"/>
    </row>
    <row r="176" spans="1:28" ht="15" customHeight="1" thickBot="1" x14ac:dyDescent="0.25">
      <c r="A176" s="100"/>
      <c r="B176" s="87"/>
      <c r="C176" s="18">
        <v>5366</v>
      </c>
      <c r="D176" s="43">
        <f t="shared" si="82"/>
        <v>87</v>
      </c>
      <c r="E176" s="18">
        <v>124</v>
      </c>
      <c r="F176" s="18">
        <f t="shared" si="83"/>
        <v>0</v>
      </c>
      <c r="G176" s="18">
        <v>19</v>
      </c>
      <c r="H176" s="18">
        <f t="shared" si="91"/>
        <v>0</v>
      </c>
      <c r="I176" s="31">
        <v>0</v>
      </c>
      <c r="J176" s="170" t="str">
        <f t="shared" si="96"/>
        <v>たまごっちマスコット</v>
      </c>
      <c r="K176" s="43">
        <f t="shared" si="97"/>
        <v>1430</v>
      </c>
      <c r="L176" s="18">
        <f t="shared" si="85"/>
        <v>0</v>
      </c>
      <c r="M176" s="19">
        <f t="shared" si="86"/>
        <v>0</v>
      </c>
      <c r="N176" s="11"/>
      <c r="P176" s="100"/>
      <c r="Q176" s="18">
        <v>5413</v>
      </c>
      <c r="R176" s="43">
        <f t="shared" si="87"/>
        <v>52</v>
      </c>
      <c r="S176" s="18">
        <v>152</v>
      </c>
      <c r="T176" s="18">
        <f t="shared" si="88"/>
        <v>1</v>
      </c>
      <c r="U176" s="18">
        <v>32</v>
      </c>
      <c r="V176" s="18">
        <f t="shared" si="92"/>
        <v>2</v>
      </c>
      <c r="W176" s="31">
        <v>0</v>
      </c>
      <c r="X176" s="170" t="str">
        <f t="shared" si="94"/>
        <v>ボンドロ</v>
      </c>
      <c r="Y176" s="43">
        <f t="shared" si="95"/>
        <v>150</v>
      </c>
      <c r="Z176" s="18">
        <f t="shared" si="89"/>
        <v>300</v>
      </c>
      <c r="AA176" s="19">
        <f t="shared" si="90"/>
        <v>5.7692307692307696E-2</v>
      </c>
      <c r="AB176" s="11"/>
    </row>
    <row r="177" spans="1:28" ht="15" customHeight="1" thickTop="1" x14ac:dyDescent="0.2">
      <c r="A177" s="96">
        <v>46126</v>
      </c>
      <c r="B177" s="81">
        <f>SUM(D177:D180)+SUM(R177:R180)</f>
        <v>687</v>
      </c>
      <c r="C177" s="36">
        <v>6541</v>
      </c>
      <c r="D177" s="36">
        <f t="shared" si="82"/>
        <v>55</v>
      </c>
      <c r="E177" s="36">
        <v>145</v>
      </c>
      <c r="F177" s="22">
        <f t="shared" si="83"/>
        <v>1</v>
      </c>
      <c r="G177" s="36">
        <v>10</v>
      </c>
      <c r="H177" s="36">
        <f t="shared" si="91"/>
        <v>1</v>
      </c>
      <c r="I177" s="53">
        <v>1</v>
      </c>
      <c r="J177" s="168" t="str">
        <f t="shared" si="96"/>
        <v>サンリオボアバンスクリップ</v>
      </c>
      <c r="K177" s="49">
        <f t="shared" si="97"/>
        <v>748</v>
      </c>
      <c r="L177" s="22">
        <f t="shared" si="85"/>
        <v>748</v>
      </c>
      <c r="M177" s="23">
        <f t="shared" si="86"/>
        <v>0.13600000000000001</v>
      </c>
      <c r="N177" s="11"/>
      <c r="P177" s="104">
        <f>IF(A177="","",A177)</f>
        <v>46126</v>
      </c>
      <c r="Q177" s="36">
        <v>6184</v>
      </c>
      <c r="R177" s="36">
        <f t="shared" si="87"/>
        <v>84</v>
      </c>
      <c r="S177" s="36">
        <v>169</v>
      </c>
      <c r="T177" s="22">
        <f t="shared" si="88"/>
        <v>4</v>
      </c>
      <c r="U177" s="36">
        <v>54</v>
      </c>
      <c r="V177" s="36">
        <f t="shared" si="92"/>
        <v>4</v>
      </c>
      <c r="W177" s="53">
        <v>6</v>
      </c>
      <c r="X177" s="168" t="str">
        <f t="shared" si="94"/>
        <v>電ブル</v>
      </c>
      <c r="Y177" s="49">
        <f t="shared" si="95"/>
        <v>275</v>
      </c>
      <c r="Z177" s="22">
        <f t="shared" si="89"/>
        <v>1100</v>
      </c>
      <c r="AA177" s="23">
        <f t="shared" si="90"/>
        <v>0.13095238095238096</v>
      </c>
      <c r="AB177" s="11"/>
    </row>
    <row r="178" spans="1:28" ht="15" customHeight="1" x14ac:dyDescent="0.2">
      <c r="A178" s="96"/>
      <c r="B178" s="81"/>
      <c r="C178" s="36">
        <v>5991</v>
      </c>
      <c r="D178" s="9">
        <f t="shared" si="82"/>
        <v>114</v>
      </c>
      <c r="E178" s="9">
        <v>238</v>
      </c>
      <c r="F178" s="9">
        <f t="shared" si="83"/>
        <v>5</v>
      </c>
      <c r="G178" s="9">
        <v>13</v>
      </c>
      <c r="H178" s="9">
        <f t="shared" si="91"/>
        <v>4</v>
      </c>
      <c r="I178" s="13">
        <v>2</v>
      </c>
      <c r="J178" s="169" t="str">
        <f t="shared" si="96"/>
        <v>液晶デジカメ</v>
      </c>
      <c r="K178" s="37">
        <f t="shared" si="97"/>
        <v>1075</v>
      </c>
      <c r="L178" s="9">
        <f t="shared" si="85"/>
        <v>4300</v>
      </c>
      <c r="M178" s="10">
        <f t="shared" si="86"/>
        <v>0.37719298245614036</v>
      </c>
      <c r="N178" s="11"/>
      <c r="P178" s="96"/>
      <c r="Q178" s="36">
        <v>7815</v>
      </c>
      <c r="R178" s="9">
        <f t="shared" si="87"/>
        <v>35</v>
      </c>
      <c r="S178" s="9">
        <v>143</v>
      </c>
      <c r="T178" s="9">
        <f t="shared" si="88"/>
        <v>1</v>
      </c>
      <c r="U178" s="9">
        <v>19</v>
      </c>
      <c r="V178" s="9">
        <f t="shared" si="92"/>
        <v>1</v>
      </c>
      <c r="W178" s="13">
        <v>1</v>
      </c>
      <c r="X178" s="169" t="str">
        <f t="shared" si="94"/>
        <v>ゲームプロ4イヤホン</v>
      </c>
      <c r="Y178" s="37">
        <f t="shared" si="95"/>
        <v>770</v>
      </c>
      <c r="Z178" s="9">
        <f t="shared" si="89"/>
        <v>770</v>
      </c>
      <c r="AA178" s="10">
        <f t="shared" si="90"/>
        <v>0.22</v>
      </c>
      <c r="AB178" s="11"/>
    </row>
    <row r="179" spans="1:28" ht="15" customHeight="1" x14ac:dyDescent="0.2">
      <c r="A179" s="97"/>
      <c r="B179" s="8"/>
      <c r="C179" s="44">
        <v>6506</v>
      </c>
      <c r="D179" s="9">
        <f t="shared" si="82"/>
        <v>80</v>
      </c>
      <c r="E179" s="9">
        <v>159</v>
      </c>
      <c r="F179" s="9">
        <f t="shared" si="83"/>
        <v>2</v>
      </c>
      <c r="G179" s="9">
        <v>18</v>
      </c>
      <c r="H179" s="9">
        <f t="shared" si="91"/>
        <v>1</v>
      </c>
      <c r="I179" s="13">
        <v>0</v>
      </c>
      <c r="J179" s="169" t="str">
        <f t="shared" si="96"/>
        <v>バタースクイーズ</v>
      </c>
      <c r="K179" s="9">
        <f t="shared" si="97"/>
        <v>400</v>
      </c>
      <c r="L179" s="9">
        <f t="shared" si="85"/>
        <v>400</v>
      </c>
      <c r="M179" s="10">
        <f t="shared" si="86"/>
        <v>0.05</v>
      </c>
      <c r="N179" s="11" t="s">
        <v>174</v>
      </c>
      <c r="P179" s="97"/>
      <c r="Q179" s="44">
        <v>4327</v>
      </c>
      <c r="R179" s="9">
        <f t="shared" si="87"/>
        <v>109</v>
      </c>
      <c r="S179" s="9">
        <v>114</v>
      </c>
      <c r="T179" s="9">
        <f t="shared" si="88"/>
        <v>6</v>
      </c>
      <c r="U179" s="9">
        <v>1</v>
      </c>
      <c r="V179" s="9">
        <f t="shared" si="92"/>
        <v>7</v>
      </c>
      <c r="W179" s="13">
        <v>8</v>
      </c>
      <c r="X179" s="169" t="str">
        <f t="shared" si="94"/>
        <v>たまごっちブロックシール</v>
      </c>
      <c r="Y179" s="9">
        <f t="shared" si="95"/>
        <v>600</v>
      </c>
      <c r="Z179" s="9">
        <f t="shared" si="89"/>
        <v>4200</v>
      </c>
      <c r="AA179" s="10">
        <f t="shared" si="90"/>
        <v>0.38532110091743121</v>
      </c>
      <c r="AB179" s="11"/>
    </row>
    <row r="180" spans="1:28" ht="15" customHeight="1" thickBot="1" x14ac:dyDescent="0.25">
      <c r="A180" s="100"/>
      <c r="B180" s="87"/>
      <c r="C180" s="42">
        <v>5473</v>
      </c>
      <c r="D180" s="43">
        <f t="shared" si="82"/>
        <v>107</v>
      </c>
      <c r="E180" s="18">
        <v>125</v>
      </c>
      <c r="F180" s="18">
        <f t="shared" si="83"/>
        <v>1</v>
      </c>
      <c r="G180" s="18">
        <v>18</v>
      </c>
      <c r="H180" s="18">
        <f t="shared" si="91"/>
        <v>1</v>
      </c>
      <c r="I180" s="31">
        <v>0</v>
      </c>
      <c r="J180" s="170" t="str">
        <f t="shared" si="96"/>
        <v>たまごっちマスコット</v>
      </c>
      <c r="K180" s="43">
        <f t="shared" si="97"/>
        <v>1430</v>
      </c>
      <c r="L180" s="18">
        <f t="shared" si="85"/>
        <v>1430</v>
      </c>
      <c r="M180" s="19">
        <f t="shared" si="86"/>
        <v>0.1336448598130841</v>
      </c>
      <c r="N180" s="11"/>
      <c r="P180" s="100"/>
      <c r="Q180" s="42">
        <v>5516</v>
      </c>
      <c r="R180" s="43">
        <f t="shared" si="87"/>
        <v>103</v>
      </c>
      <c r="S180" s="18">
        <v>156</v>
      </c>
      <c r="T180" s="18">
        <f t="shared" si="88"/>
        <v>4</v>
      </c>
      <c r="U180" s="18">
        <v>28</v>
      </c>
      <c r="V180" s="18">
        <f t="shared" si="92"/>
        <v>4</v>
      </c>
      <c r="W180" s="31">
        <v>5</v>
      </c>
      <c r="X180" s="170" t="str">
        <f t="shared" si="94"/>
        <v>ボンドロ</v>
      </c>
      <c r="Y180" s="43">
        <f t="shared" si="95"/>
        <v>150</v>
      </c>
      <c r="Z180" s="18">
        <f t="shared" si="89"/>
        <v>600</v>
      </c>
      <c r="AA180" s="19">
        <f t="shared" si="90"/>
        <v>5.8252427184466021E-2</v>
      </c>
      <c r="AB180" s="11"/>
    </row>
    <row r="181" spans="1:28" ht="15" customHeight="1" thickTop="1" x14ac:dyDescent="0.2">
      <c r="A181" s="96">
        <v>46128</v>
      </c>
      <c r="B181" s="81">
        <f>SUM(D181:D184)+SUM(R181:R184)</f>
        <v>196</v>
      </c>
      <c r="C181" s="36">
        <v>6557</v>
      </c>
      <c r="D181" s="36">
        <f t="shared" si="82"/>
        <v>16</v>
      </c>
      <c r="E181" s="36">
        <v>146</v>
      </c>
      <c r="F181" s="22">
        <f t="shared" si="83"/>
        <v>1</v>
      </c>
      <c r="G181" s="36">
        <v>10</v>
      </c>
      <c r="H181" s="36">
        <f t="shared" si="91"/>
        <v>1</v>
      </c>
      <c r="I181" s="53">
        <v>0</v>
      </c>
      <c r="J181" s="168" t="str">
        <f t="shared" si="96"/>
        <v>サンリオボアバンスクリップ</v>
      </c>
      <c r="K181" s="49">
        <f t="shared" si="97"/>
        <v>748</v>
      </c>
      <c r="L181" s="22">
        <f t="shared" si="85"/>
        <v>748</v>
      </c>
      <c r="M181" s="23">
        <f t="shared" si="86"/>
        <v>0.46750000000000003</v>
      </c>
      <c r="N181" s="11"/>
      <c r="P181" s="104">
        <f>IF(A181="","",A181)</f>
        <v>46128</v>
      </c>
      <c r="Q181" s="36">
        <v>6231</v>
      </c>
      <c r="R181" s="36">
        <f t="shared" si="87"/>
        <v>47</v>
      </c>
      <c r="S181" s="36">
        <v>170</v>
      </c>
      <c r="T181" s="22">
        <f t="shared" si="88"/>
        <v>1</v>
      </c>
      <c r="U181" s="36">
        <v>59</v>
      </c>
      <c r="V181" s="36">
        <f t="shared" si="92"/>
        <v>1</v>
      </c>
      <c r="W181" s="53">
        <v>0</v>
      </c>
      <c r="X181" s="168" t="str">
        <f t="shared" si="94"/>
        <v>電ブル</v>
      </c>
      <c r="Y181" s="49">
        <f t="shared" si="95"/>
        <v>275</v>
      </c>
      <c r="Z181" s="22">
        <f t="shared" si="89"/>
        <v>275</v>
      </c>
      <c r="AA181" s="23">
        <f t="shared" si="90"/>
        <v>5.8510638297872342E-2</v>
      </c>
      <c r="AB181" s="11"/>
    </row>
    <row r="182" spans="1:28" ht="15" customHeight="1" x14ac:dyDescent="0.2">
      <c r="A182" s="97"/>
      <c r="B182" s="81"/>
      <c r="C182" s="9">
        <v>6021</v>
      </c>
      <c r="D182" s="9">
        <f t="shared" si="82"/>
        <v>30</v>
      </c>
      <c r="E182" s="9">
        <v>240</v>
      </c>
      <c r="F182" s="9">
        <f t="shared" si="83"/>
        <v>2</v>
      </c>
      <c r="G182" s="9">
        <v>13</v>
      </c>
      <c r="H182" s="9">
        <f t="shared" si="91"/>
        <v>2</v>
      </c>
      <c r="I182" s="13">
        <v>2</v>
      </c>
      <c r="J182" s="169" t="str">
        <f t="shared" si="96"/>
        <v>液晶デジカメ</v>
      </c>
      <c r="K182" s="37">
        <f t="shared" si="97"/>
        <v>1075</v>
      </c>
      <c r="L182" s="9">
        <f t="shared" si="85"/>
        <v>2150</v>
      </c>
      <c r="M182" s="10">
        <f t="shared" si="86"/>
        <v>0.71666666666666667</v>
      </c>
      <c r="N182" s="11"/>
      <c r="P182" s="97"/>
      <c r="Q182" s="9">
        <v>7834</v>
      </c>
      <c r="R182" s="9">
        <f t="shared" si="87"/>
        <v>19</v>
      </c>
      <c r="S182" s="9">
        <v>143</v>
      </c>
      <c r="T182" s="9">
        <f t="shared" si="88"/>
        <v>0</v>
      </c>
      <c r="U182" s="9">
        <v>20</v>
      </c>
      <c r="V182" s="9">
        <f t="shared" si="92"/>
        <v>0</v>
      </c>
      <c r="W182" s="13">
        <v>0</v>
      </c>
      <c r="X182" s="169" t="str">
        <f t="shared" si="94"/>
        <v>ゲームプロ4イヤホン</v>
      </c>
      <c r="Y182" s="37">
        <f t="shared" si="95"/>
        <v>770</v>
      </c>
      <c r="Z182" s="9">
        <f t="shared" si="89"/>
        <v>0</v>
      </c>
      <c r="AA182" s="10">
        <f t="shared" si="90"/>
        <v>0</v>
      </c>
      <c r="AB182" s="174" t="s">
        <v>177</v>
      </c>
    </row>
    <row r="183" spans="1:28" ht="15" customHeight="1" x14ac:dyDescent="0.2">
      <c r="A183" s="175" t="s">
        <v>35</v>
      </c>
      <c r="B183" s="8"/>
      <c r="C183" s="25">
        <v>6515</v>
      </c>
      <c r="D183" s="9">
        <f t="shared" si="82"/>
        <v>9</v>
      </c>
      <c r="E183" s="9">
        <v>160</v>
      </c>
      <c r="F183" s="9">
        <f t="shared" si="83"/>
        <v>1</v>
      </c>
      <c r="G183" s="25">
        <v>17</v>
      </c>
      <c r="H183" s="9">
        <f t="shared" si="91"/>
        <v>1</v>
      </c>
      <c r="I183" s="32">
        <v>-5</v>
      </c>
      <c r="J183" s="169" t="str">
        <f t="shared" si="96"/>
        <v>バタースクイーズ</v>
      </c>
      <c r="K183" s="9">
        <f t="shared" si="97"/>
        <v>400</v>
      </c>
      <c r="L183" s="9">
        <f t="shared" si="85"/>
        <v>400</v>
      </c>
      <c r="M183" s="10">
        <f t="shared" si="86"/>
        <v>0.44444444444444442</v>
      </c>
      <c r="N183" s="11" t="s">
        <v>176</v>
      </c>
      <c r="P183" s="97"/>
      <c r="Q183" s="25">
        <v>4365</v>
      </c>
      <c r="R183" s="9">
        <f t="shared" si="87"/>
        <v>38</v>
      </c>
      <c r="S183" s="9">
        <v>114</v>
      </c>
      <c r="T183" s="9">
        <f t="shared" si="88"/>
        <v>0</v>
      </c>
      <c r="U183" s="25">
        <v>9</v>
      </c>
      <c r="V183" s="9">
        <f t="shared" si="92"/>
        <v>0</v>
      </c>
      <c r="W183" s="32">
        <v>0</v>
      </c>
      <c r="X183" s="169" t="str">
        <f t="shared" si="94"/>
        <v>たまごっちブロックシール</v>
      </c>
      <c r="Y183" s="9">
        <f t="shared" si="95"/>
        <v>600</v>
      </c>
      <c r="Z183" s="9">
        <f t="shared" si="89"/>
        <v>0</v>
      </c>
      <c r="AA183" s="10">
        <f t="shared" si="90"/>
        <v>0</v>
      </c>
      <c r="AB183" s="11" t="s">
        <v>175</v>
      </c>
    </row>
    <row r="184" spans="1:28" ht="15" customHeight="1" thickBot="1" x14ac:dyDescent="0.25">
      <c r="A184" s="100"/>
      <c r="B184" s="87"/>
      <c r="C184" s="18">
        <v>5488</v>
      </c>
      <c r="D184" s="43">
        <f t="shared" si="82"/>
        <v>15</v>
      </c>
      <c r="E184" s="18">
        <v>125</v>
      </c>
      <c r="F184" s="18">
        <f t="shared" si="83"/>
        <v>0</v>
      </c>
      <c r="G184" s="18">
        <v>18</v>
      </c>
      <c r="H184" s="18">
        <f t="shared" si="91"/>
        <v>0</v>
      </c>
      <c r="I184" s="31">
        <v>0</v>
      </c>
      <c r="J184" s="170" t="str">
        <f t="shared" si="96"/>
        <v>たまごっちマスコット</v>
      </c>
      <c r="K184" s="43">
        <f t="shared" si="97"/>
        <v>1430</v>
      </c>
      <c r="L184" s="18">
        <f t="shared" si="85"/>
        <v>0</v>
      </c>
      <c r="M184" s="19">
        <f t="shared" si="86"/>
        <v>0</v>
      </c>
      <c r="N184" s="11"/>
      <c r="P184" s="100"/>
      <c r="Q184" s="18">
        <v>5538</v>
      </c>
      <c r="R184" s="43">
        <f t="shared" si="87"/>
        <v>22</v>
      </c>
      <c r="S184" s="18">
        <v>159</v>
      </c>
      <c r="T184" s="18">
        <f t="shared" si="88"/>
        <v>3</v>
      </c>
      <c r="U184" s="18">
        <v>30</v>
      </c>
      <c r="V184" s="18">
        <f t="shared" si="92"/>
        <v>3</v>
      </c>
      <c r="W184" s="31">
        <v>4</v>
      </c>
      <c r="X184" s="170" t="str">
        <f t="shared" si="94"/>
        <v>ボンドロ</v>
      </c>
      <c r="Y184" s="43">
        <f t="shared" si="95"/>
        <v>150</v>
      </c>
      <c r="Z184" s="18">
        <f t="shared" si="89"/>
        <v>450</v>
      </c>
      <c r="AA184" s="19">
        <f t="shared" si="90"/>
        <v>0.20454545454545456</v>
      </c>
      <c r="AB184" s="11"/>
    </row>
    <row r="185" spans="1:28" ht="15" customHeight="1" thickTop="1" x14ac:dyDescent="0.2">
      <c r="A185" s="96"/>
      <c r="B185" s="81"/>
      <c r="C185" s="36"/>
      <c r="D185" s="36"/>
      <c r="E185" s="36"/>
      <c r="F185" s="22"/>
      <c r="G185" s="36"/>
      <c r="H185" s="36"/>
      <c r="I185" s="53"/>
      <c r="J185" s="168"/>
      <c r="K185" s="49"/>
      <c r="L185" s="22"/>
      <c r="M185" s="23"/>
      <c r="N185" s="9"/>
      <c r="P185" s="104"/>
      <c r="Q185" s="36"/>
      <c r="R185" s="36"/>
      <c r="S185" s="36"/>
      <c r="T185" s="22"/>
      <c r="U185" s="36"/>
      <c r="V185" s="36"/>
      <c r="W185" s="53"/>
      <c r="X185" s="168"/>
      <c r="Y185" s="49"/>
      <c r="Z185" s="22"/>
      <c r="AA185" s="23"/>
      <c r="AB185" s="11"/>
    </row>
    <row r="186" spans="1:28" ht="15" customHeight="1" x14ac:dyDescent="0.2">
      <c r="A186" s="97"/>
      <c r="B186" s="81"/>
      <c r="C186" s="36"/>
      <c r="D186" s="9"/>
      <c r="E186" s="9"/>
      <c r="F186" s="9"/>
      <c r="G186" s="9"/>
      <c r="H186" s="9"/>
      <c r="I186" s="13"/>
      <c r="J186" s="169"/>
      <c r="K186" s="37"/>
      <c r="L186" s="9"/>
      <c r="M186" s="10"/>
      <c r="N186" s="9"/>
      <c r="P186" s="97"/>
      <c r="Q186" s="36"/>
      <c r="R186" s="9"/>
      <c r="S186" s="9"/>
      <c r="T186" s="9"/>
      <c r="U186" s="9"/>
      <c r="V186" s="9"/>
      <c r="W186" s="13"/>
      <c r="X186" s="169"/>
      <c r="Y186" s="37"/>
      <c r="Z186" s="9"/>
      <c r="AA186" s="10"/>
      <c r="AB186" s="11"/>
    </row>
    <row r="187" spans="1:28" ht="15" customHeight="1" x14ac:dyDescent="0.2">
      <c r="A187" s="99"/>
      <c r="B187" s="8"/>
      <c r="C187" s="44"/>
      <c r="D187" s="9"/>
      <c r="E187" s="9"/>
      <c r="F187" s="9"/>
      <c r="G187" s="9"/>
      <c r="H187" s="9"/>
      <c r="I187" s="13"/>
      <c r="J187" s="169"/>
      <c r="K187" s="9"/>
      <c r="L187" s="9"/>
      <c r="M187" s="10"/>
      <c r="N187" s="14"/>
      <c r="P187" s="97"/>
      <c r="Q187" s="44"/>
      <c r="R187" s="9"/>
      <c r="S187" s="9"/>
      <c r="T187" s="9"/>
      <c r="U187" s="9"/>
      <c r="V187" s="9"/>
      <c r="W187" s="13"/>
      <c r="X187" s="169"/>
      <c r="Y187" s="9"/>
      <c r="Z187" s="9"/>
      <c r="AA187" s="10"/>
      <c r="AB187" s="11"/>
    </row>
    <row r="188" spans="1:28" ht="15" customHeight="1" thickBot="1" x14ac:dyDescent="0.25">
      <c r="A188" s="100"/>
      <c r="B188" s="87"/>
      <c r="C188" s="42"/>
      <c r="D188" s="43"/>
      <c r="E188" s="18"/>
      <c r="F188" s="18"/>
      <c r="G188" s="18"/>
      <c r="H188" s="18"/>
      <c r="I188" s="31"/>
      <c r="J188" s="170"/>
      <c r="K188" s="43"/>
      <c r="L188" s="18"/>
      <c r="M188" s="19"/>
      <c r="N188" s="14"/>
      <c r="P188" s="100"/>
      <c r="Q188" s="42"/>
      <c r="R188" s="43"/>
      <c r="S188" s="18"/>
      <c r="T188" s="18"/>
      <c r="U188" s="18"/>
      <c r="V188" s="18"/>
      <c r="W188" s="31"/>
      <c r="X188" s="170"/>
      <c r="Y188" s="43"/>
      <c r="Z188" s="18"/>
      <c r="AA188" s="19"/>
      <c r="AB188" s="11"/>
    </row>
    <row r="189" spans="1:28" ht="15" customHeight="1" thickTop="1" x14ac:dyDescent="0.2">
      <c r="A189" s="96"/>
      <c r="B189" s="81"/>
      <c r="C189" s="36"/>
      <c r="D189" s="36"/>
      <c r="E189" s="36"/>
      <c r="F189" s="22"/>
      <c r="G189" s="36"/>
      <c r="H189" s="36"/>
      <c r="I189" s="53"/>
      <c r="J189" s="168"/>
      <c r="K189" s="49"/>
      <c r="L189" s="22"/>
      <c r="M189" s="23"/>
      <c r="N189" s="9"/>
      <c r="P189" s="104"/>
      <c r="Q189" s="36"/>
      <c r="R189" s="36"/>
      <c r="S189" s="36"/>
      <c r="T189" s="22"/>
      <c r="U189" s="36"/>
      <c r="V189" s="36"/>
      <c r="W189" s="53"/>
      <c r="X189" s="168"/>
      <c r="Y189" s="49"/>
      <c r="Z189" s="22"/>
      <c r="AA189" s="23"/>
      <c r="AB189" s="11"/>
    </row>
    <row r="190" spans="1:28" ht="15" customHeight="1" x14ac:dyDescent="0.2">
      <c r="A190" s="97"/>
      <c r="B190" s="8"/>
      <c r="C190" s="9"/>
      <c r="D190" s="9"/>
      <c r="E190" s="9"/>
      <c r="F190" s="9"/>
      <c r="G190" s="9"/>
      <c r="H190" s="9"/>
      <c r="I190" s="13"/>
      <c r="J190" s="169"/>
      <c r="K190" s="37"/>
      <c r="L190" s="9"/>
      <c r="M190" s="10"/>
      <c r="N190" s="9"/>
      <c r="P190" s="97"/>
      <c r="Q190" s="9"/>
      <c r="R190" s="9"/>
      <c r="S190" s="9"/>
      <c r="T190" s="9"/>
      <c r="U190" s="9"/>
      <c r="V190" s="9"/>
      <c r="W190" s="13"/>
      <c r="X190" s="169"/>
      <c r="Y190" s="37"/>
      <c r="Z190" s="9"/>
      <c r="AA190" s="10"/>
      <c r="AB190" s="176"/>
    </row>
    <row r="191" spans="1:28" ht="15" customHeight="1" x14ac:dyDescent="0.2">
      <c r="A191" s="97"/>
      <c r="B191" s="8"/>
      <c r="C191" s="25"/>
      <c r="D191" s="9"/>
      <c r="E191" s="9"/>
      <c r="F191" s="9"/>
      <c r="G191" s="25"/>
      <c r="H191" s="9"/>
      <c r="I191" s="32"/>
      <c r="J191" s="169"/>
      <c r="K191" s="9"/>
      <c r="L191" s="9"/>
      <c r="M191" s="10"/>
      <c r="N191" s="9"/>
      <c r="P191" s="97"/>
      <c r="Q191" s="25"/>
      <c r="R191" s="9"/>
      <c r="S191" s="110"/>
      <c r="T191" s="9"/>
      <c r="U191" s="177"/>
      <c r="V191" s="9"/>
      <c r="W191" s="32"/>
      <c r="X191" s="169"/>
      <c r="Y191" s="9"/>
      <c r="Z191" s="9"/>
      <c r="AA191" s="10"/>
      <c r="AB191" s="11"/>
    </row>
    <row r="192" spans="1:28" ht="15" customHeight="1" thickBot="1" x14ac:dyDescent="0.25">
      <c r="A192" s="100"/>
      <c r="B192" s="82"/>
      <c r="C192" s="18"/>
      <c r="D192" s="43"/>
      <c r="E192" s="18"/>
      <c r="F192" s="18"/>
      <c r="G192" s="18"/>
      <c r="H192" s="18"/>
      <c r="I192" s="31"/>
      <c r="J192" s="170"/>
      <c r="K192" s="43"/>
      <c r="L192" s="18"/>
      <c r="M192" s="19"/>
      <c r="N192" s="9"/>
      <c r="P192" s="100"/>
      <c r="Q192" s="18"/>
      <c r="R192" s="43"/>
      <c r="S192" s="18"/>
      <c r="T192" s="18"/>
      <c r="U192" s="18"/>
      <c r="V192" s="18"/>
      <c r="W192" s="31"/>
      <c r="X192" s="170"/>
      <c r="Y192" s="43"/>
      <c r="Z192" s="18"/>
      <c r="AA192" s="19"/>
      <c r="AB192" s="11"/>
    </row>
    <row r="193" spans="1:28" ht="15" customHeight="1" thickTop="1" x14ac:dyDescent="0.2">
      <c r="A193" s="96"/>
      <c r="B193" s="81"/>
      <c r="C193" s="36"/>
      <c r="D193" s="36"/>
      <c r="E193" s="36"/>
      <c r="F193" s="22"/>
      <c r="G193" s="36"/>
      <c r="H193" s="36"/>
      <c r="I193" s="53"/>
      <c r="J193" s="168"/>
      <c r="K193" s="49"/>
      <c r="L193" s="22"/>
      <c r="M193" s="23"/>
      <c r="N193" s="137"/>
      <c r="P193" s="104"/>
      <c r="Q193" s="36"/>
      <c r="R193" s="36"/>
      <c r="S193" s="36"/>
      <c r="T193" s="22"/>
      <c r="U193" s="36"/>
      <c r="V193" s="36"/>
      <c r="W193" s="53"/>
      <c r="X193" s="168"/>
      <c r="Y193" s="49"/>
      <c r="Z193" s="22"/>
      <c r="AA193" s="23"/>
      <c r="AB193" s="11"/>
    </row>
    <row r="194" spans="1:28" ht="15" customHeight="1" x14ac:dyDescent="0.2">
      <c r="A194" s="97"/>
      <c r="B194" s="8"/>
      <c r="C194" s="36"/>
      <c r="D194" s="9"/>
      <c r="E194" s="9"/>
      <c r="F194" s="9"/>
      <c r="G194" s="9"/>
      <c r="H194" s="9"/>
      <c r="I194" s="13"/>
      <c r="J194" s="169"/>
      <c r="K194" s="37"/>
      <c r="L194" s="9"/>
      <c r="M194" s="10"/>
      <c r="N194" s="9"/>
      <c r="P194" s="97"/>
      <c r="Q194" s="36"/>
      <c r="R194" s="9"/>
      <c r="S194" s="9"/>
      <c r="T194" s="9"/>
      <c r="U194" s="9"/>
      <c r="V194" s="9"/>
      <c r="W194" s="13"/>
      <c r="X194" s="169"/>
      <c r="Y194" s="37"/>
      <c r="Z194" s="9"/>
      <c r="AA194" s="10"/>
      <c r="AB194" s="11"/>
    </row>
    <row r="195" spans="1:28" ht="15" customHeight="1" x14ac:dyDescent="0.2">
      <c r="A195" s="97"/>
      <c r="B195" s="8"/>
      <c r="C195" s="44"/>
      <c r="D195" s="9"/>
      <c r="E195" s="9"/>
      <c r="F195" s="9"/>
      <c r="G195" s="9"/>
      <c r="H195" s="9"/>
      <c r="I195" s="13"/>
      <c r="J195" s="169"/>
      <c r="K195" s="9"/>
      <c r="L195" s="9"/>
      <c r="M195" s="10"/>
      <c r="N195" s="9"/>
      <c r="P195" s="97"/>
      <c r="Q195" s="44"/>
      <c r="R195" s="9"/>
      <c r="S195" s="9"/>
      <c r="T195" s="9"/>
      <c r="U195" s="9"/>
      <c r="V195" s="9"/>
      <c r="W195" s="13"/>
      <c r="X195" s="169"/>
      <c r="Y195" s="9"/>
      <c r="Z195" s="9"/>
      <c r="AA195" s="10"/>
      <c r="AB195" s="11"/>
    </row>
    <row r="196" spans="1:28" ht="15" customHeight="1" thickBot="1" x14ac:dyDescent="0.25">
      <c r="A196" s="100"/>
      <c r="B196" s="82"/>
      <c r="C196" s="42"/>
      <c r="D196" s="43"/>
      <c r="E196" s="18"/>
      <c r="F196" s="18"/>
      <c r="G196" s="18"/>
      <c r="H196" s="18"/>
      <c r="I196" s="31"/>
      <c r="J196" s="170"/>
      <c r="K196" s="43"/>
      <c r="L196" s="18"/>
      <c r="M196" s="19"/>
      <c r="N196" s="9"/>
      <c r="P196" s="100"/>
      <c r="Q196" s="42"/>
      <c r="R196" s="43"/>
      <c r="S196" s="18"/>
      <c r="T196" s="18"/>
      <c r="U196" s="18"/>
      <c r="V196" s="18"/>
      <c r="W196" s="31"/>
      <c r="X196" s="170"/>
      <c r="Y196" s="43"/>
      <c r="Z196" s="18"/>
      <c r="AA196" s="19"/>
      <c r="AB196" s="11"/>
    </row>
    <row r="197" spans="1:28" ht="15" customHeight="1" thickTop="1" x14ac:dyDescent="0.2">
      <c r="A197" s="96"/>
      <c r="B197" s="81">
        <f>SUM(D197:D200)+SUM(R197:R200)</f>
        <v>0</v>
      </c>
      <c r="C197" s="36"/>
      <c r="D197" s="36" t="str">
        <f t="shared" ref="D197:D208" si="98">IF(C197="","",C197-C193)</f>
        <v/>
      </c>
      <c r="E197" s="36"/>
      <c r="F197" s="22" t="str">
        <f t="shared" ref="F197:F208" si="99">IF(E197="","",E197-E193)</f>
        <v/>
      </c>
      <c r="G197" s="36"/>
      <c r="H197" s="36" t="str">
        <f t="shared" ref="H197:H203" si="100">IF(G197="","",G193+I193-G197)</f>
        <v/>
      </c>
      <c r="I197" s="13"/>
      <c r="J197" s="168" t="str">
        <f t="shared" ref="J197:J208" si="101">IF(C197="","",J193)</f>
        <v/>
      </c>
      <c r="K197" s="49" t="str">
        <f t="shared" ref="K197:K208" si="102">IF(D197="","",K193)</f>
        <v/>
      </c>
      <c r="L197" s="22" t="str">
        <f t="shared" ref="L197:L208" si="103">IF(G197="","",H197*K197)</f>
        <v/>
      </c>
      <c r="M197" s="23" t="str">
        <f t="shared" ref="M197:M208" si="104">IF(H197="","",L197/(D197*100))</f>
        <v/>
      </c>
      <c r="N197" s="9"/>
      <c r="P197" s="104" t="str">
        <f>IF(A197="","",A197)</f>
        <v/>
      </c>
      <c r="Q197" s="36"/>
      <c r="R197" s="36" t="str">
        <f t="shared" ref="R197:R208" si="105">IF(Q197="","",Q197-Q193)</f>
        <v/>
      </c>
      <c r="S197" s="36"/>
      <c r="T197" s="22" t="str">
        <f t="shared" ref="T197:T208" si="106">IF(S197="","",S197-S193)</f>
        <v/>
      </c>
      <c r="U197" s="36"/>
      <c r="V197" s="36" t="str">
        <f t="shared" ref="V197:V208" si="107">IF(U197="","",U193+W193-U197)</f>
        <v/>
      </c>
      <c r="W197" s="13"/>
      <c r="X197" s="151" t="str">
        <f t="shared" ref="X197:X208" si="108">IF(Q197="","",X193)</f>
        <v/>
      </c>
      <c r="Y197" s="49" t="str">
        <f t="shared" ref="Y197:Y208" si="109">IF(R197="","",Y193)</f>
        <v/>
      </c>
      <c r="Z197" s="22" t="str">
        <f t="shared" ref="Z197:Z208" si="110">IF(U197="","",V197*Y197)</f>
        <v/>
      </c>
      <c r="AA197" s="23" t="str">
        <f t="shared" ref="AA197:AA208" si="111">IF(V197="","",Z197/(R197*100))</f>
        <v/>
      </c>
      <c r="AB197" s="11"/>
    </row>
    <row r="198" spans="1:28" ht="15" customHeight="1" x14ac:dyDescent="0.2">
      <c r="A198" s="97"/>
      <c r="B198" s="8"/>
      <c r="C198" s="9"/>
      <c r="D198" s="9" t="str">
        <f t="shared" si="98"/>
        <v/>
      </c>
      <c r="E198" s="9"/>
      <c r="F198" s="9" t="str">
        <f t="shared" si="99"/>
        <v/>
      </c>
      <c r="G198" s="9"/>
      <c r="H198" s="9" t="str">
        <f t="shared" si="100"/>
        <v/>
      </c>
      <c r="I198" s="13"/>
      <c r="J198" s="169" t="str">
        <f t="shared" si="101"/>
        <v/>
      </c>
      <c r="K198" s="37" t="str">
        <f t="shared" si="102"/>
        <v/>
      </c>
      <c r="L198" s="9" t="str">
        <f t="shared" si="103"/>
        <v/>
      </c>
      <c r="M198" s="10" t="str">
        <f t="shared" si="104"/>
        <v/>
      </c>
      <c r="N198" s="9"/>
      <c r="P198" s="97"/>
      <c r="Q198" s="9"/>
      <c r="R198" s="9" t="str">
        <f t="shared" si="105"/>
        <v/>
      </c>
      <c r="S198" s="9"/>
      <c r="T198" s="9" t="str">
        <f t="shared" si="106"/>
        <v/>
      </c>
      <c r="U198" s="9"/>
      <c r="V198" s="9" t="str">
        <f t="shared" si="107"/>
        <v/>
      </c>
      <c r="W198" s="13"/>
      <c r="X198" s="152" t="str">
        <f t="shared" si="108"/>
        <v/>
      </c>
      <c r="Y198" s="37" t="str">
        <f t="shared" si="109"/>
        <v/>
      </c>
      <c r="Z198" s="9" t="str">
        <f t="shared" si="110"/>
        <v/>
      </c>
      <c r="AA198" s="10" t="str">
        <f t="shared" si="111"/>
        <v/>
      </c>
      <c r="AB198" s="11"/>
    </row>
    <row r="199" spans="1:28" ht="15" customHeight="1" x14ac:dyDescent="0.2">
      <c r="A199" s="97"/>
      <c r="B199" s="8"/>
      <c r="C199" s="25"/>
      <c r="D199" s="9" t="str">
        <f t="shared" si="98"/>
        <v/>
      </c>
      <c r="E199" s="9"/>
      <c r="F199" s="9" t="str">
        <f t="shared" si="99"/>
        <v/>
      </c>
      <c r="G199" s="25"/>
      <c r="H199" s="9" t="str">
        <f t="shared" si="100"/>
        <v/>
      </c>
      <c r="I199" s="32"/>
      <c r="J199" s="169" t="str">
        <f t="shared" si="101"/>
        <v/>
      </c>
      <c r="K199" s="9" t="str">
        <f t="shared" si="102"/>
        <v/>
      </c>
      <c r="L199" s="9" t="str">
        <f t="shared" si="103"/>
        <v/>
      </c>
      <c r="M199" s="10" t="str">
        <f t="shared" si="104"/>
        <v/>
      </c>
      <c r="N199" s="9"/>
      <c r="P199" s="12"/>
      <c r="Q199" s="25"/>
      <c r="R199" s="9" t="str">
        <f t="shared" si="105"/>
        <v/>
      </c>
      <c r="S199" s="9"/>
      <c r="T199" s="9" t="str">
        <f t="shared" si="106"/>
        <v/>
      </c>
      <c r="U199" s="25"/>
      <c r="V199" s="9" t="str">
        <f t="shared" si="107"/>
        <v/>
      </c>
      <c r="W199" s="13"/>
      <c r="X199" s="152" t="str">
        <f t="shared" si="108"/>
        <v/>
      </c>
      <c r="Y199" s="9" t="str">
        <f t="shared" si="109"/>
        <v/>
      </c>
      <c r="Z199" s="9" t="str">
        <f t="shared" si="110"/>
        <v/>
      </c>
      <c r="AA199" s="10" t="str">
        <f t="shared" si="111"/>
        <v/>
      </c>
      <c r="AB199" s="11"/>
    </row>
    <row r="200" spans="1:28" ht="15" customHeight="1" thickBot="1" x14ac:dyDescent="0.25">
      <c r="A200" s="100"/>
      <c r="B200" s="87"/>
      <c r="C200" s="18"/>
      <c r="D200" s="43" t="str">
        <f t="shared" si="98"/>
        <v/>
      </c>
      <c r="E200" s="18"/>
      <c r="F200" s="18" t="str">
        <f t="shared" si="99"/>
        <v/>
      </c>
      <c r="G200" s="121"/>
      <c r="H200" s="20" t="str">
        <f t="shared" si="100"/>
        <v/>
      </c>
      <c r="I200" s="122"/>
      <c r="J200" s="153" t="str">
        <f t="shared" si="101"/>
        <v/>
      </c>
      <c r="K200" s="43" t="str">
        <f t="shared" si="102"/>
        <v/>
      </c>
      <c r="L200" s="18" t="str">
        <f t="shared" si="103"/>
        <v/>
      </c>
      <c r="M200" s="19" t="str">
        <f t="shared" si="104"/>
        <v/>
      </c>
      <c r="N200" s="11"/>
      <c r="P200" s="17"/>
      <c r="Q200" s="18"/>
      <c r="R200" s="43" t="str">
        <f t="shared" si="105"/>
        <v/>
      </c>
      <c r="S200" s="18"/>
      <c r="T200" s="18" t="str">
        <f t="shared" si="106"/>
        <v/>
      </c>
      <c r="U200" s="121"/>
      <c r="V200" s="18" t="str">
        <f t="shared" si="107"/>
        <v/>
      </c>
      <c r="W200" s="122"/>
      <c r="X200" s="156" t="str">
        <f t="shared" si="108"/>
        <v/>
      </c>
      <c r="Y200" s="43" t="str">
        <f t="shared" si="109"/>
        <v/>
      </c>
      <c r="Z200" s="18" t="str">
        <f t="shared" si="110"/>
        <v/>
      </c>
      <c r="AA200" s="19" t="str">
        <f t="shared" si="111"/>
        <v/>
      </c>
      <c r="AB200" s="11"/>
    </row>
    <row r="201" spans="1:28" ht="15" customHeight="1" thickTop="1" x14ac:dyDescent="0.2">
      <c r="A201" s="96"/>
      <c r="B201" s="81">
        <f>SUM(D201:D204)+SUM(R201:R204)</f>
        <v>0</v>
      </c>
      <c r="C201" s="36"/>
      <c r="D201" s="36" t="str">
        <f t="shared" si="98"/>
        <v/>
      </c>
      <c r="E201" s="36"/>
      <c r="F201" s="22" t="str">
        <f t="shared" si="99"/>
        <v/>
      </c>
      <c r="G201" s="36"/>
      <c r="H201" s="36" t="str">
        <f t="shared" si="100"/>
        <v/>
      </c>
      <c r="I201" s="36"/>
      <c r="J201" s="154" t="str">
        <f t="shared" si="101"/>
        <v/>
      </c>
      <c r="K201" s="49" t="str">
        <f t="shared" si="102"/>
        <v/>
      </c>
      <c r="L201" s="22" t="str">
        <f t="shared" si="103"/>
        <v/>
      </c>
      <c r="M201" s="23" t="str">
        <f t="shared" si="104"/>
        <v/>
      </c>
      <c r="N201" s="11"/>
      <c r="P201" s="57" t="str">
        <f>IF(A201="","",A201)</f>
        <v/>
      </c>
      <c r="Q201" s="36"/>
      <c r="R201" s="36" t="str">
        <f t="shared" si="105"/>
        <v/>
      </c>
      <c r="S201" s="36"/>
      <c r="T201" s="22" t="str">
        <f t="shared" si="106"/>
        <v/>
      </c>
      <c r="U201" s="36"/>
      <c r="V201" s="36" t="str">
        <f t="shared" si="107"/>
        <v/>
      </c>
      <c r="W201" s="36"/>
      <c r="X201" s="157" t="str">
        <f t="shared" si="108"/>
        <v/>
      </c>
      <c r="Y201" s="49" t="str">
        <f t="shared" si="109"/>
        <v/>
      </c>
      <c r="Z201" s="22" t="str">
        <f t="shared" si="110"/>
        <v/>
      </c>
      <c r="AA201" s="23" t="str">
        <f t="shared" si="111"/>
        <v/>
      </c>
      <c r="AB201" s="11"/>
    </row>
    <row r="202" spans="1:28" ht="15" customHeight="1" x14ac:dyDescent="0.2">
      <c r="A202" s="97"/>
      <c r="B202" s="8"/>
      <c r="C202" s="9"/>
      <c r="D202" s="9" t="str">
        <f t="shared" si="98"/>
        <v/>
      </c>
      <c r="E202" s="9"/>
      <c r="F202" s="9" t="str">
        <f t="shared" si="99"/>
        <v/>
      </c>
      <c r="G202" s="9"/>
      <c r="H202" s="9" t="str">
        <f t="shared" si="100"/>
        <v/>
      </c>
      <c r="I202" s="9"/>
      <c r="J202" s="155" t="str">
        <f t="shared" si="101"/>
        <v/>
      </c>
      <c r="K202" s="37" t="str">
        <f t="shared" si="102"/>
        <v/>
      </c>
      <c r="L202" s="9" t="str">
        <f t="shared" si="103"/>
        <v/>
      </c>
      <c r="M202" s="10" t="str">
        <f t="shared" si="104"/>
        <v/>
      </c>
      <c r="N202" s="11"/>
      <c r="P202" s="12"/>
      <c r="Q202" s="9"/>
      <c r="R202" s="9" t="str">
        <f t="shared" si="105"/>
        <v/>
      </c>
      <c r="S202" s="9"/>
      <c r="T202" s="9" t="str">
        <f t="shared" si="106"/>
        <v/>
      </c>
      <c r="U202" s="9"/>
      <c r="V202" s="9" t="str">
        <f t="shared" si="107"/>
        <v/>
      </c>
      <c r="W202" s="9"/>
      <c r="X202" s="158" t="str">
        <f t="shared" si="108"/>
        <v/>
      </c>
      <c r="Y202" s="37" t="str">
        <f t="shared" si="109"/>
        <v/>
      </c>
      <c r="Z202" s="9" t="str">
        <f t="shared" si="110"/>
        <v/>
      </c>
      <c r="AA202" s="10" t="str">
        <f t="shared" si="111"/>
        <v/>
      </c>
      <c r="AB202" s="11"/>
    </row>
    <row r="203" spans="1:28" ht="15" customHeight="1" x14ac:dyDescent="0.2">
      <c r="A203" s="97"/>
      <c r="B203" s="8"/>
      <c r="C203" s="9"/>
      <c r="D203" s="9" t="str">
        <f t="shared" si="98"/>
        <v/>
      </c>
      <c r="E203" s="9"/>
      <c r="F203" s="9" t="str">
        <f t="shared" si="99"/>
        <v/>
      </c>
      <c r="G203" s="9"/>
      <c r="H203" s="9" t="str">
        <f t="shared" si="100"/>
        <v/>
      </c>
      <c r="I203" s="9"/>
      <c r="J203" s="155" t="str">
        <f t="shared" si="101"/>
        <v/>
      </c>
      <c r="K203" s="9" t="str">
        <f t="shared" si="102"/>
        <v/>
      </c>
      <c r="L203" s="9" t="str">
        <f t="shared" si="103"/>
        <v/>
      </c>
      <c r="M203" s="10" t="str">
        <f t="shared" si="104"/>
        <v/>
      </c>
      <c r="N203" s="11"/>
      <c r="P203" s="12"/>
      <c r="Q203" s="9"/>
      <c r="R203" s="9" t="str">
        <f t="shared" si="105"/>
        <v/>
      </c>
      <c r="S203" s="9"/>
      <c r="T203" s="9" t="str">
        <f t="shared" si="106"/>
        <v/>
      </c>
      <c r="U203" s="9"/>
      <c r="V203" s="9" t="str">
        <f t="shared" si="107"/>
        <v/>
      </c>
      <c r="W203" s="9"/>
      <c r="X203" s="158" t="str">
        <f t="shared" si="108"/>
        <v/>
      </c>
      <c r="Y203" s="9" t="str">
        <f t="shared" si="109"/>
        <v/>
      </c>
      <c r="Z203" s="9" t="str">
        <f t="shared" si="110"/>
        <v/>
      </c>
      <c r="AA203" s="10" t="str">
        <f t="shared" si="111"/>
        <v/>
      </c>
      <c r="AB203" s="11"/>
    </row>
    <row r="204" spans="1:28" ht="15" customHeight="1" thickBot="1" x14ac:dyDescent="0.25">
      <c r="A204" s="100"/>
      <c r="B204" s="87"/>
      <c r="C204" s="18"/>
      <c r="D204" s="18" t="str">
        <f t="shared" si="98"/>
        <v/>
      </c>
      <c r="E204" s="18"/>
      <c r="F204" s="18" t="str">
        <f t="shared" si="99"/>
        <v/>
      </c>
      <c r="G204" s="18"/>
      <c r="H204" s="18"/>
      <c r="I204" s="18"/>
      <c r="J204" s="156" t="str">
        <f t="shared" si="101"/>
        <v/>
      </c>
      <c r="K204" s="43" t="str">
        <f t="shared" si="102"/>
        <v/>
      </c>
      <c r="L204" s="18" t="str">
        <f t="shared" si="103"/>
        <v/>
      </c>
      <c r="M204" s="19" t="str">
        <f t="shared" si="104"/>
        <v/>
      </c>
      <c r="N204" s="11"/>
      <c r="P204" s="17"/>
      <c r="Q204" s="18"/>
      <c r="R204" s="18" t="str">
        <f t="shared" si="105"/>
        <v/>
      </c>
      <c r="S204" s="18"/>
      <c r="T204" s="18" t="str">
        <f t="shared" si="106"/>
        <v/>
      </c>
      <c r="U204" s="18"/>
      <c r="V204" s="18" t="str">
        <f t="shared" si="107"/>
        <v/>
      </c>
      <c r="W204" s="18"/>
      <c r="X204" s="159" t="str">
        <f t="shared" si="108"/>
        <v/>
      </c>
      <c r="Y204" s="43" t="str">
        <f t="shared" si="109"/>
        <v/>
      </c>
      <c r="Z204" s="18" t="str">
        <f t="shared" si="110"/>
        <v/>
      </c>
      <c r="AA204" s="19" t="str">
        <f t="shared" si="111"/>
        <v/>
      </c>
      <c r="AB204" s="11"/>
    </row>
    <row r="205" spans="1:28" ht="15" customHeight="1" thickTop="1" x14ac:dyDescent="0.2">
      <c r="A205" s="96"/>
      <c r="B205" s="81">
        <f>SUM(D205:D208)+SUM(R205:R208)</f>
        <v>0</v>
      </c>
      <c r="C205" s="36"/>
      <c r="D205" s="36" t="str">
        <f t="shared" si="98"/>
        <v/>
      </c>
      <c r="E205" s="36"/>
      <c r="F205" s="36" t="str">
        <f t="shared" si="99"/>
        <v/>
      </c>
      <c r="G205" s="36"/>
      <c r="H205" s="36" t="str">
        <f>IF(G205="","",G201+I201-G205)</f>
        <v/>
      </c>
      <c r="I205" s="36"/>
      <c r="J205" s="154" t="str">
        <f t="shared" si="101"/>
        <v/>
      </c>
      <c r="K205" s="36" t="str">
        <f t="shared" si="102"/>
        <v/>
      </c>
      <c r="L205" s="36" t="str">
        <f t="shared" si="103"/>
        <v/>
      </c>
      <c r="M205" s="36" t="str">
        <f t="shared" si="104"/>
        <v/>
      </c>
      <c r="N205" s="11"/>
      <c r="P205" s="57" t="str">
        <f>IF(A205="","",A205)</f>
        <v/>
      </c>
      <c r="Q205" s="36"/>
      <c r="R205" s="36" t="str">
        <f t="shared" si="105"/>
        <v/>
      </c>
      <c r="S205" s="36"/>
      <c r="T205" s="36" t="str">
        <f t="shared" si="106"/>
        <v/>
      </c>
      <c r="U205" s="36"/>
      <c r="V205" s="36" t="str">
        <f t="shared" si="107"/>
        <v/>
      </c>
      <c r="W205" s="36"/>
      <c r="X205" s="157" t="str">
        <f t="shared" si="108"/>
        <v/>
      </c>
      <c r="Y205" s="36" t="str">
        <f t="shared" si="109"/>
        <v/>
      </c>
      <c r="Z205" s="36" t="str">
        <f t="shared" si="110"/>
        <v/>
      </c>
      <c r="AA205" s="36" t="str">
        <f t="shared" si="111"/>
        <v/>
      </c>
      <c r="AB205" s="11"/>
    </row>
    <row r="206" spans="1:28" ht="15" customHeight="1" x14ac:dyDescent="0.2">
      <c r="A206" s="96"/>
      <c r="B206" s="81"/>
      <c r="C206" s="36"/>
      <c r="D206" s="36" t="str">
        <f t="shared" si="98"/>
        <v/>
      </c>
      <c r="E206" s="36"/>
      <c r="F206" s="36" t="str">
        <f t="shared" si="99"/>
        <v/>
      </c>
      <c r="G206" s="36"/>
      <c r="H206" s="36" t="str">
        <f>IF(G206="","",G202+I202-G206)</f>
        <v/>
      </c>
      <c r="I206" s="36"/>
      <c r="J206" s="155" t="str">
        <f t="shared" si="101"/>
        <v/>
      </c>
      <c r="K206" s="36" t="str">
        <f t="shared" si="102"/>
        <v/>
      </c>
      <c r="L206" s="36" t="str">
        <f t="shared" si="103"/>
        <v/>
      </c>
      <c r="M206" s="36" t="str">
        <f t="shared" si="104"/>
        <v/>
      </c>
      <c r="N206" s="11"/>
      <c r="P206" s="52"/>
      <c r="Q206" s="36"/>
      <c r="R206" s="36" t="str">
        <f t="shared" si="105"/>
        <v/>
      </c>
      <c r="S206" s="36"/>
      <c r="T206" s="36" t="str">
        <f t="shared" si="106"/>
        <v/>
      </c>
      <c r="U206" s="36"/>
      <c r="V206" s="36" t="str">
        <f t="shared" si="107"/>
        <v/>
      </c>
      <c r="W206" s="36"/>
      <c r="X206" s="157" t="str">
        <f t="shared" si="108"/>
        <v/>
      </c>
      <c r="Y206" s="36" t="str">
        <f t="shared" si="109"/>
        <v/>
      </c>
      <c r="Z206" s="36" t="str">
        <f t="shared" si="110"/>
        <v/>
      </c>
      <c r="AA206" s="36" t="str">
        <f t="shared" si="111"/>
        <v/>
      </c>
      <c r="AB206" s="11"/>
    </row>
    <row r="207" spans="1:28" ht="15" customHeight="1" x14ac:dyDescent="0.2">
      <c r="A207" s="4"/>
      <c r="B207" s="84"/>
      <c r="C207" s="44"/>
      <c r="D207" s="44" t="str">
        <f t="shared" si="98"/>
        <v/>
      </c>
      <c r="E207" s="44"/>
      <c r="F207" s="44" t="str">
        <f t="shared" si="99"/>
        <v/>
      </c>
      <c r="G207" s="44"/>
      <c r="H207" s="44" t="str">
        <f>IF(G207="","",G203+I203-G207)</f>
        <v/>
      </c>
      <c r="I207" s="44"/>
      <c r="J207" s="155" t="str">
        <f t="shared" si="101"/>
        <v/>
      </c>
      <c r="K207" s="44" t="str">
        <f t="shared" si="102"/>
        <v/>
      </c>
      <c r="L207" s="44" t="str">
        <f t="shared" si="103"/>
        <v/>
      </c>
      <c r="M207" s="44" t="str">
        <f t="shared" si="104"/>
        <v/>
      </c>
      <c r="N207" s="28"/>
      <c r="P207" s="64"/>
      <c r="Q207" s="44"/>
      <c r="R207" s="44" t="str">
        <f t="shared" si="105"/>
        <v/>
      </c>
      <c r="S207" s="44"/>
      <c r="T207" s="44" t="str">
        <f t="shared" si="106"/>
        <v/>
      </c>
      <c r="U207" s="44"/>
      <c r="V207" s="44" t="str">
        <f t="shared" si="107"/>
        <v/>
      </c>
      <c r="W207" s="44"/>
      <c r="X207" s="160" t="str">
        <f t="shared" si="108"/>
        <v/>
      </c>
      <c r="Y207" s="44" t="str">
        <f t="shared" si="109"/>
        <v/>
      </c>
      <c r="Z207" s="44" t="str">
        <f t="shared" si="110"/>
        <v/>
      </c>
      <c r="AA207" s="44" t="str">
        <f t="shared" si="111"/>
        <v/>
      </c>
      <c r="AB207" s="28"/>
    </row>
    <row r="208" spans="1:28" ht="15" customHeight="1" thickBot="1" x14ac:dyDescent="0.25">
      <c r="A208" s="74"/>
      <c r="B208" s="85"/>
      <c r="C208" s="42"/>
      <c r="D208" s="42" t="str">
        <f t="shared" si="98"/>
        <v/>
      </c>
      <c r="E208" s="42"/>
      <c r="F208" s="42" t="str">
        <f t="shared" si="99"/>
        <v/>
      </c>
      <c r="G208" s="42"/>
      <c r="H208" s="42" t="str">
        <f>IF(G208="","",G204+I204-G208)</f>
        <v/>
      </c>
      <c r="I208" s="42"/>
      <c r="J208" s="156" t="str">
        <f t="shared" si="101"/>
        <v/>
      </c>
      <c r="K208" s="42" t="str">
        <f t="shared" si="102"/>
        <v/>
      </c>
      <c r="L208" s="42" t="str">
        <f t="shared" si="103"/>
        <v/>
      </c>
      <c r="M208" s="42" t="str">
        <f t="shared" si="104"/>
        <v/>
      </c>
      <c r="N208" s="63"/>
      <c r="P208" s="61"/>
      <c r="Q208" s="42"/>
      <c r="R208" s="42" t="str">
        <f t="shared" si="105"/>
        <v/>
      </c>
      <c r="S208" s="42"/>
      <c r="T208" s="42" t="str">
        <f t="shared" si="106"/>
        <v/>
      </c>
      <c r="U208" s="42"/>
      <c r="V208" s="42" t="str">
        <f t="shared" si="107"/>
        <v/>
      </c>
      <c r="W208" s="42"/>
      <c r="X208" s="161" t="str">
        <f t="shared" si="108"/>
        <v/>
      </c>
      <c r="Y208" s="42" t="str">
        <f t="shared" si="109"/>
        <v/>
      </c>
      <c r="Z208" s="42" t="str">
        <f t="shared" si="110"/>
        <v/>
      </c>
      <c r="AA208" s="42" t="str">
        <f t="shared" si="111"/>
        <v/>
      </c>
      <c r="AB208" s="63"/>
    </row>
    <row r="209" spans="1:28" ht="15" customHeight="1" thickTop="1" x14ac:dyDescent="0.2">
      <c r="A209" s="52"/>
      <c r="B209" s="81"/>
      <c r="C209" s="60" t="s">
        <v>40</v>
      </c>
      <c r="D209" s="36">
        <f>SUM(D153:D205)*100</f>
        <v>232800</v>
      </c>
      <c r="E209" s="93" t="s">
        <v>41</v>
      </c>
      <c r="F209" s="36"/>
      <c r="G209" s="60"/>
      <c r="H209" s="36"/>
      <c r="I209" s="36"/>
      <c r="J209" s="209" t="s">
        <v>42</v>
      </c>
      <c r="K209" s="209"/>
      <c r="L209" s="36">
        <f>SUM(L153:L205)</f>
        <v>54771</v>
      </c>
      <c r="M209" s="36"/>
      <c r="N209" s="55"/>
      <c r="P209" s="52"/>
      <c r="Q209" s="60" t="s">
        <v>40</v>
      </c>
      <c r="R209" s="36">
        <f>SUM(R153:R205)*100</f>
        <v>233000</v>
      </c>
      <c r="S209" s="93" t="s">
        <v>41</v>
      </c>
      <c r="T209" s="36"/>
      <c r="U209" s="60"/>
      <c r="V209" s="36"/>
      <c r="W209" s="36"/>
      <c r="X209" s="209" t="s">
        <v>42</v>
      </c>
      <c r="Y209" s="209"/>
      <c r="Z209" s="36">
        <f>SUM(Z153:Z205)</f>
        <v>57474</v>
      </c>
      <c r="AA209" s="36"/>
      <c r="AB209" s="55"/>
    </row>
    <row r="210" spans="1:28" ht="15" customHeight="1" x14ac:dyDescent="0.2">
      <c r="A210" s="24"/>
      <c r="B210" s="86"/>
      <c r="C210" s="5" t="s">
        <v>43</v>
      </c>
      <c r="D210" s="9">
        <f>D209/A214</f>
        <v>7509.677419354839</v>
      </c>
      <c r="E210" s="9">
        <f>D210*A213</f>
        <v>232800</v>
      </c>
      <c r="F210" s="9"/>
      <c r="G210" s="5"/>
      <c r="H210" s="9"/>
      <c r="I210" s="9"/>
      <c r="J210" s="210" t="s">
        <v>44</v>
      </c>
      <c r="K210" s="210"/>
      <c r="L210" s="9"/>
      <c r="M210" s="26">
        <f>L209/D209</f>
        <v>0.23527061855670103</v>
      </c>
      <c r="N210" s="11"/>
      <c r="P210" s="34"/>
      <c r="Q210" s="5" t="s">
        <v>43</v>
      </c>
      <c r="R210" s="9">
        <f>R209/A214</f>
        <v>7516.1290322580644</v>
      </c>
      <c r="S210" s="9">
        <f>R210*A213</f>
        <v>233000</v>
      </c>
      <c r="T210" s="9"/>
      <c r="U210" s="5"/>
      <c r="V210" s="9"/>
      <c r="W210" s="9"/>
      <c r="X210" s="210" t="s">
        <v>44</v>
      </c>
      <c r="Y210" s="210"/>
      <c r="Z210" s="9"/>
      <c r="AA210" s="26">
        <f>Z209/R209</f>
        <v>0.2466695278969957</v>
      </c>
      <c r="AB210" s="11"/>
    </row>
    <row r="211" spans="1:28" ht="15" customHeight="1" x14ac:dyDescent="0.2">
      <c r="A211" s="12"/>
      <c r="B211" s="88"/>
      <c r="C211" s="47" t="s">
        <v>45</v>
      </c>
      <c r="D211" s="9">
        <f>D209*0.6</f>
        <v>139680</v>
      </c>
      <c r="E211" s="9"/>
      <c r="F211" s="9"/>
      <c r="G211" s="5"/>
      <c r="H211" s="9"/>
      <c r="I211" s="9"/>
      <c r="J211" s="210" t="s">
        <v>46</v>
      </c>
      <c r="K211" s="210"/>
      <c r="L211" s="9">
        <f>D211-L209</f>
        <v>84909</v>
      </c>
      <c r="M211" s="26">
        <f>L211/D209</f>
        <v>0.36472938144329897</v>
      </c>
      <c r="N211" s="11"/>
      <c r="P211" s="12"/>
      <c r="Q211" s="47" t="s">
        <v>45</v>
      </c>
      <c r="R211" s="9">
        <f>R209*0.6</f>
        <v>139800</v>
      </c>
      <c r="S211" s="9"/>
      <c r="T211" s="9"/>
      <c r="U211" s="5"/>
      <c r="V211" s="9"/>
      <c r="W211" s="9"/>
      <c r="X211" s="210" t="s">
        <v>46</v>
      </c>
      <c r="Y211" s="210"/>
      <c r="Z211" s="9">
        <f>R211-Z209</f>
        <v>82326</v>
      </c>
      <c r="AA211" s="26">
        <f>Z211/R209</f>
        <v>0.35333047210300428</v>
      </c>
      <c r="AB211" s="11"/>
    </row>
    <row r="212" spans="1:28" ht="15" customHeight="1" x14ac:dyDescent="0.2">
      <c r="A212" s="52"/>
      <c r="B212" s="81"/>
      <c r="C212" s="5" t="s">
        <v>47</v>
      </c>
      <c r="D212" s="9">
        <f>D287</f>
        <v>296400</v>
      </c>
      <c r="E212" s="9"/>
      <c r="F212" s="9"/>
      <c r="G212" s="5"/>
      <c r="H212" s="9"/>
      <c r="I212" s="16"/>
      <c r="J212" s="205" t="s">
        <v>48</v>
      </c>
      <c r="K212" s="205"/>
      <c r="L212" s="36">
        <f>(G185+I185)*K185+(G186+I186)*K186+(G187+I187)*K187+(G188+I188)*K188</f>
        <v>0</v>
      </c>
      <c r="M212" s="10"/>
      <c r="N212" s="11"/>
      <c r="P212" s="52"/>
      <c r="Q212" s="5" t="s">
        <v>47</v>
      </c>
      <c r="R212" s="9">
        <f>R287</f>
        <v>275000</v>
      </c>
      <c r="S212" s="9"/>
      <c r="T212" s="9"/>
      <c r="U212" s="5"/>
      <c r="V212" s="9"/>
      <c r="W212" s="16"/>
      <c r="X212" s="205" t="s">
        <v>48</v>
      </c>
      <c r="Y212" s="205"/>
      <c r="Z212" s="36">
        <f>(U185+W185)*Y185+(U186+W186)*Y186+(U187+W187)*Y187+(U188+W188)*Y188</f>
        <v>0</v>
      </c>
      <c r="AA212" s="10"/>
      <c r="AB212" s="11"/>
    </row>
    <row r="213" spans="1:28" ht="15" customHeight="1" x14ac:dyDescent="0.2">
      <c r="A213" s="4">
        <v>31</v>
      </c>
      <c r="B213" s="113">
        <f>SUM(B153:B205)*100</f>
        <v>465800</v>
      </c>
      <c r="C213" s="5"/>
      <c r="D213" s="9"/>
      <c r="E213" s="9"/>
      <c r="F213" s="9"/>
      <c r="G213" s="5"/>
      <c r="H213" s="9"/>
      <c r="I213" s="16"/>
      <c r="J213" s="140"/>
      <c r="K213" s="71"/>
      <c r="L213" s="49"/>
      <c r="M213" s="10"/>
      <c r="N213" s="11"/>
      <c r="P213" s="52"/>
      <c r="Q213" s="5"/>
      <c r="R213" s="9"/>
      <c r="S213" s="9"/>
      <c r="T213" s="9"/>
      <c r="U213" s="5"/>
      <c r="V213" s="9"/>
      <c r="W213" s="16"/>
      <c r="X213" s="70"/>
      <c r="Y213" s="71"/>
      <c r="Z213" s="49"/>
      <c r="AA213" s="10"/>
      <c r="AB213" s="11"/>
    </row>
    <row r="214" spans="1:28" ht="15" customHeight="1" x14ac:dyDescent="0.2">
      <c r="A214" s="69">
        <f>DATEDIF(A$240,A181,"d")</f>
        <v>31</v>
      </c>
      <c r="B214" s="81"/>
      <c r="C214" s="5"/>
      <c r="D214" s="9"/>
      <c r="E214" s="25">
        <v>353000</v>
      </c>
      <c r="F214" s="9"/>
      <c r="G214" s="5"/>
      <c r="H214" s="9"/>
      <c r="I214" s="16"/>
      <c r="J214" s="140"/>
      <c r="K214" s="71"/>
      <c r="L214" s="49"/>
      <c r="M214" s="10"/>
      <c r="N214" s="11"/>
      <c r="P214" s="52"/>
      <c r="Q214" s="5"/>
      <c r="R214" s="9"/>
      <c r="S214" s="9"/>
      <c r="T214" s="9"/>
      <c r="U214" s="5"/>
      <c r="V214" s="9"/>
      <c r="W214" s="16"/>
      <c r="X214" s="70"/>
      <c r="Y214" s="71"/>
      <c r="Z214" s="49"/>
      <c r="AA214" s="10"/>
      <c r="AB214" s="11"/>
    </row>
    <row r="215" spans="1:28" x14ac:dyDescent="0.2">
      <c r="A215" s="206" t="s">
        <v>49</v>
      </c>
      <c r="B215" s="206"/>
      <c r="C215" s="206"/>
      <c r="D215" s="27">
        <f>SUM(D153,D157,D161,D165,D169,D173,D177,D181,D185,D189,D193,D197,D201)*100</f>
        <v>49200</v>
      </c>
      <c r="E215" s="37">
        <v>111400</v>
      </c>
      <c r="F215" s="9"/>
      <c r="G215" s="5">
        <f>D215/H215</f>
        <v>2139.1304347826085</v>
      </c>
      <c r="H215" s="27">
        <f>SUM(H153,H157,H161,H165,H169,H173,H178,H181,H185,H189,H193,H197,H201)</f>
        <v>23</v>
      </c>
      <c r="I215" s="9"/>
      <c r="J215" s="48" t="str">
        <f t="shared" ref="J215:K218" si="112">J153</f>
        <v>ジャグラーサウンドフラッシュ</v>
      </c>
      <c r="K215" s="49">
        <f t="shared" si="112"/>
        <v>748</v>
      </c>
      <c r="L215" s="27">
        <f>SUM(L153,L157,L161,L165,L169,L173,L178,L181,L185,L189,L193,L197,L201)</f>
        <v>18512</v>
      </c>
      <c r="M215" s="26">
        <f>L215/D215</f>
        <v>0.37626016260162604</v>
      </c>
      <c r="N215" s="11"/>
      <c r="O215" s="15"/>
      <c r="P215" s="206" t="s">
        <v>49</v>
      </c>
      <c r="Q215" s="206"/>
      <c r="R215" s="27">
        <f>SUM(R153,R157,R161,R165,R169,R173,R177,R181,R185,R189,R193,R197,R201)*100</f>
        <v>65200</v>
      </c>
      <c r="S215" s="37"/>
      <c r="T215" s="9"/>
      <c r="U215" s="5">
        <f>R215/V215</f>
        <v>4657.1428571428569</v>
      </c>
      <c r="V215" s="27">
        <f>SUM(V153,V157,V161,V165,V169,V173,V178,V181,V185,V189,V193,V197,V201)</f>
        <v>14</v>
      </c>
      <c r="W215" s="9"/>
      <c r="X215" s="48" t="str">
        <f t="shared" ref="X215:Y218" si="113">X153</f>
        <v>電ブル</v>
      </c>
      <c r="Y215" s="49">
        <f t="shared" si="113"/>
        <v>275</v>
      </c>
      <c r="Z215" s="27">
        <f>SUM(Z153,Z157,Z161,Z165,Z169,Z173,Z178,Z181,Z185,Z189,Z193,Z197,Z201)</f>
        <v>4345</v>
      </c>
      <c r="AA215" s="26">
        <f>Z215/R215</f>
        <v>6.6641104294478531E-2</v>
      </c>
      <c r="AB215" s="11"/>
    </row>
    <row r="216" spans="1:28" x14ac:dyDescent="0.2">
      <c r="A216" s="206" t="s">
        <v>49</v>
      </c>
      <c r="B216" s="206"/>
      <c r="C216" s="206"/>
      <c r="D216" s="27">
        <f>SUM(D154,D158,D162,D166,D170,D174,D178,D182,D186,D190,D194,D198,D202)*100</f>
        <v>31600</v>
      </c>
      <c r="E216" s="37">
        <v>107000</v>
      </c>
      <c r="F216" s="9"/>
      <c r="G216" s="5">
        <f>D216/H216</f>
        <v>1755.5555555555557</v>
      </c>
      <c r="H216" s="27">
        <f>SUM(H154,H158,H162,H166,H170,H174,H177,H182,H186,H190,H194,H198,H202)</f>
        <v>18</v>
      </c>
      <c r="I216" s="9"/>
      <c r="J216" s="48" t="str">
        <f t="shared" si="112"/>
        <v>番長ボタン</v>
      </c>
      <c r="K216" s="49">
        <f t="shared" si="112"/>
        <v>358</v>
      </c>
      <c r="L216" s="27">
        <f>SUM(L154,L158,L162,L166,L170,L174,L177,L182,L186,L190,L194,L198,L202)</f>
        <v>11853</v>
      </c>
      <c r="M216" s="26">
        <f>L216/D216</f>
        <v>0.37509493670886074</v>
      </c>
      <c r="N216" s="11"/>
      <c r="O216" s="1"/>
      <c r="P216" s="206" t="s">
        <v>49</v>
      </c>
      <c r="Q216" s="206"/>
      <c r="R216" s="27">
        <f>SUM(R154,R158,R162,R166,R170,R174,R178,R182,R186,R190,R194,R198,R202)*100</f>
        <v>50300</v>
      </c>
      <c r="S216" s="37"/>
      <c r="T216" s="9"/>
      <c r="U216" s="5">
        <f>R216/V216</f>
        <v>2647.3684210526317</v>
      </c>
      <c r="V216" s="27">
        <f>SUM(V154,V158,V162,V166,V170,V174,V177,V182,V186,V190,V194,V198,V202)</f>
        <v>19</v>
      </c>
      <c r="W216" s="9"/>
      <c r="X216" s="48" t="str">
        <f t="shared" si="113"/>
        <v>ボアバンスクリップ</v>
      </c>
      <c r="Y216" s="49">
        <f t="shared" si="113"/>
        <v>1100</v>
      </c>
      <c r="Z216" s="27">
        <f>SUM(Z154,Z158,Z162,Z166,Z170,Z174,Z177,Z182,Z186,Z190,Z194,Z198,Z202)</f>
        <v>14960</v>
      </c>
      <c r="AA216" s="26">
        <f>Z216/R216</f>
        <v>0.29741550695825048</v>
      </c>
      <c r="AB216" s="11"/>
    </row>
    <row r="217" spans="1:28" x14ac:dyDescent="0.2">
      <c r="A217" s="206" t="s">
        <v>49</v>
      </c>
      <c r="B217" s="206"/>
      <c r="C217" s="206"/>
      <c r="D217" s="27">
        <f>SUM(D155,D159,D163,D167,D171,D175,D179,D183,D187,D191,D195,D199,D203)*100</f>
        <v>65400</v>
      </c>
      <c r="E217" s="37"/>
      <c r="F217" s="9"/>
      <c r="G217" s="5">
        <f>D217/H217</f>
        <v>3442.1052631578946</v>
      </c>
      <c r="H217" s="27">
        <f>SUM(H155,H159,H163,H168,H171,H175,H179,H183,H187,H191,H195,H199,H203)</f>
        <v>19</v>
      </c>
      <c r="I217" s="9"/>
      <c r="J217" s="48" t="str">
        <f t="shared" si="112"/>
        <v>バタースクイーズ</v>
      </c>
      <c r="K217" s="49">
        <f t="shared" si="112"/>
        <v>400</v>
      </c>
      <c r="L217" s="27">
        <f>SUM(L155,L159,L163,L168,L171,L175,L179,L183,L187,L191,L195,L199,L203)</f>
        <v>10736</v>
      </c>
      <c r="M217" s="26">
        <f>L217/D217</f>
        <v>0.16415902140672783</v>
      </c>
      <c r="N217" s="11"/>
      <c r="O217" s="1"/>
      <c r="P217" s="206" t="s">
        <v>49</v>
      </c>
      <c r="Q217" s="206"/>
      <c r="R217" s="27">
        <f>SUM(R155,R159,R163,R167,R171,R175,R179,R183,R187,R191,R195,R199,R203)*100</f>
        <v>63400</v>
      </c>
      <c r="S217" s="37"/>
      <c r="T217" s="9"/>
      <c r="U217" s="5">
        <f>R217/V217</f>
        <v>2264.2857142857142</v>
      </c>
      <c r="V217" s="27">
        <f>SUM(V155,V159,V163,V168,V171,V175,V179,V183,V187,V191,V195,V199,V203)</f>
        <v>28</v>
      </c>
      <c r="W217" s="9"/>
      <c r="X217" s="48" t="str">
        <f t="shared" si="113"/>
        <v>ヒョウ柄サンリオフェイスポーチ</v>
      </c>
      <c r="Y217" s="49">
        <f t="shared" si="113"/>
        <v>792</v>
      </c>
      <c r="Z217" s="27">
        <f>SUM(Z155,Z159,Z163,Z168,Z171,Z175,Z179,Z183,Z187,Z191,Z195,Z199,Z203)</f>
        <v>15894</v>
      </c>
      <c r="AA217" s="26">
        <f>Z217/R217</f>
        <v>0.25069400630914829</v>
      </c>
      <c r="AB217" s="11"/>
    </row>
    <row r="218" spans="1:28" x14ac:dyDescent="0.2">
      <c r="A218" s="206" t="s">
        <v>49</v>
      </c>
      <c r="B218" s="206"/>
      <c r="C218" s="206"/>
      <c r="D218" s="27">
        <f>SUM(D156,D160,D164,D168,D172,D176,D180,D184,D188,D192,D196,D200,D204)*100</f>
        <v>86600</v>
      </c>
      <c r="E218" s="37"/>
      <c r="F218" s="9"/>
      <c r="G218" s="5">
        <f>D218/H218</f>
        <v>7872.727272727273</v>
      </c>
      <c r="H218" s="27">
        <f>SUM(H156,H160,H164,H167,H172,H176,H180,H184,H188,H192,H196,H200,H204)</f>
        <v>11</v>
      </c>
      <c r="I218" s="9"/>
      <c r="J218" s="48" t="str">
        <f t="shared" si="112"/>
        <v>たまごっちマスコット</v>
      </c>
      <c r="K218" s="49">
        <f t="shared" si="112"/>
        <v>1430</v>
      </c>
      <c r="L218" s="27">
        <f>SUM(L156,L160,L164,L167,L172,L176,L180,L184,L188,L192,L196,L200,L204)</f>
        <v>13670</v>
      </c>
      <c r="M218" s="26">
        <f>L218/D218</f>
        <v>0.15785219399538106</v>
      </c>
      <c r="N218" s="11"/>
      <c r="O218" s="1"/>
      <c r="P218" s="206" t="s">
        <v>49</v>
      </c>
      <c r="Q218" s="206"/>
      <c r="R218" s="27">
        <f>SUM(R156,R160,R164,R168,R172,R176,R180,R184,R188,R192,R196,R200,R204)*100</f>
        <v>54100</v>
      </c>
      <c r="S218" s="37"/>
      <c r="T218" s="9"/>
      <c r="U218" s="5">
        <f>R218/V218</f>
        <v>784.05797101449275</v>
      </c>
      <c r="V218" s="27">
        <f>SUM(V156,V160,V164,V167,V172,V176,V180,V184,V188,V192,V196,V200,V204)</f>
        <v>69</v>
      </c>
      <c r="W218" s="9"/>
      <c r="X218" s="48" t="str">
        <f t="shared" si="113"/>
        <v>サンリオファー付きフェイスポーチ</v>
      </c>
      <c r="Y218" s="49">
        <f t="shared" si="113"/>
        <v>825</v>
      </c>
      <c r="Z218" s="27">
        <f>SUM(Z156,Z160,Z164,Z167,Z172,Z176,Z180,Z184,Z188,Z192,Z196,Z200,Z204)</f>
        <v>22275</v>
      </c>
      <c r="AA218" s="26">
        <f>Z218/R218</f>
        <v>0.41173752310536044</v>
      </c>
      <c r="AB218" s="11"/>
    </row>
    <row r="219" spans="1:28" x14ac:dyDescent="0.2">
      <c r="A219" s="12"/>
      <c r="B219" s="8"/>
      <c r="C219" s="5" t="s">
        <v>40</v>
      </c>
      <c r="D219" s="9">
        <f>SUM(D215:D218)</f>
        <v>232800</v>
      </c>
      <c r="E219" s="37"/>
      <c r="F219" s="9"/>
      <c r="G219" s="9"/>
      <c r="H219" s="9">
        <f>SUM(H215:H218)</f>
        <v>71</v>
      </c>
      <c r="I219" s="9"/>
      <c r="J219" s="196" t="s">
        <v>50</v>
      </c>
      <c r="K219" s="196"/>
      <c r="L219" s="36">
        <f>SUM(L215:L218)</f>
        <v>54771</v>
      </c>
      <c r="M219" s="54">
        <f>L219/D219</f>
        <v>0.23527061855670103</v>
      </c>
      <c r="N219" s="55"/>
      <c r="O219" s="1"/>
      <c r="P219" s="12"/>
      <c r="Q219" s="5" t="s">
        <v>40</v>
      </c>
      <c r="R219" s="9">
        <f>SUM(R215:R218)</f>
        <v>233000</v>
      </c>
      <c r="S219" s="37"/>
      <c r="T219" s="9"/>
      <c r="U219" s="9"/>
      <c r="V219" s="9">
        <f>SUM(V215:V218)</f>
        <v>130</v>
      </c>
      <c r="W219" s="9"/>
      <c r="X219" s="196" t="s">
        <v>50</v>
      </c>
      <c r="Y219" s="196"/>
      <c r="Z219" s="36">
        <f>SUM(Z215:Z218)</f>
        <v>57474</v>
      </c>
      <c r="AA219" s="54">
        <f>Z219/R219</f>
        <v>0.2466695278969957</v>
      </c>
      <c r="AB219" s="11"/>
    </row>
    <row r="220" spans="1:28" x14ac:dyDescent="0.2">
      <c r="A220" s="30"/>
      <c r="B220" s="29"/>
      <c r="C220" s="2"/>
      <c r="D220" s="2"/>
      <c r="E220" s="2"/>
      <c r="F220" s="2"/>
      <c r="G220" s="2"/>
      <c r="H220" s="2"/>
      <c r="I220" s="2"/>
      <c r="J220" s="46"/>
      <c r="K220" s="2"/>
      <c r="L220" s="2"/>
      <c r="M220" s="2"/>
      <c r="N220" s="35"/>
      <c r="O220" s="1"/>
      <c r="P220" s="30"/>
      <c r="Q220" s="2"/>
      <c r="R220" s="2"/>
      <c r="S220" s="2"/>
      <c r="T220" s="2"/>
      <c r="U220" s="2"/>
      <c r="V220" s="2"/>
      <c r="W220" s="2"/>
      <c r="X220" s="46"/>
      <c r="Y220" s="2"/>
      <c r="Z220" s="2"/>
      <c r="AA220" s="2"/>
      <c r="AB220" s="35"/>
    </row>
    <row r="221" spans="1:28" x14ac:dyDescent="0.2">
      <c r="A221" s="30"/>
      <c r="B221" s="197" t="s">
        <v>51</v>
      </c>
      <c r="C221" s="198"/>
      <c r="D221" s="199" t="s">
        <v>52</v>
      </c>
      <c r="E221" s="200"/>
      <c r="F221" s="199" t="s">
        <v>53</v>
      </c>
      <c r="G221" s="200"/>
      <c r="H221" s="2"/>
      <c r="I221" s="2"/>
      <c r="J221" s="46"/>
      <c r="K221" s="2"/>
      <c r="L221" s="2"/>
      <c r="M221" s="2"/>
      <c r="N221" s="35"/>
      <c r="O221" s="1"/>
      <c r="P221" s="30"/>
      <c r="Q221" s="2"/>
      <c r="R221" s="2"/>
      <c r="S221" s="2"/>
      <c r="T221" s="2"/>
      <c r="U221" s="2"/>
      <c r="V221" s="2"/>
      <c r="W221" s="2"/>
      <c r="X221" s="46"/>
      <c r="Y221" s="2"/>
      <c r="Z221" s="2"/>
      <c r="AA221" s="2"/>
      <c r="AB221" s="35"/>
    </row>
    <row r="222" spans="1:28" x14ac:dyDescent="0.2">
      <c r="A222" s="30"/>
      <c r="B222" s="201">
        <f>B213/A214*A213</f>
        <v>465800</v>
      </c>
      <c r="C222" s="202"/>
      <c r="D222" s="203">
        <f>L209+Z209</f>
        <v>112245</v>
      </c>
      <c r="E222" s="204"/>
      <c r="F222" s="203">
        <f>K212+Y212</f>
        <v>0</v>
      </c>
      <c r="G222" s="204"/>
      <c r="H222" s="2"/>
      <c r="I222" s="2"/>
      <c r="J222" s="46"/>
      <c r="K222" s="2"/>
      <c r="L222" s="2"/>
      <c r="M222" s="2"/>
      <c r="N222" s="35"/>
      <c r="O222" s="1"/>
      <c r="P222" s="30"/>
      <c r="Q222" s="2"/>
      <c r="R222" s="2"/>
      <c r="S222" s="2"/>
      <c r="T222" s="2"/>
      <c r="U222" s="2"/>
      <c r="V222" s="2"/>
      <c r="W222" s="2"/>
      <c r="X222" s="46"/>
      <c r="Y222" s="2"/>
      <c r="Z222" s="2"/>
      <c r="AA222" s="2"/>
      <c r="AB222" s="35"/>
    </row>
    <row r="223" spans="1:28" x14ac:dyDescent="0.2">
      <c r="A223" s="30"/>
      <c r="B223" s="68"/>
      <c r="C223" s="68"/>
      <c r="D223" s="92" t="s">
        <v>57</v>
      </c>
      <c r="E223" s="72">
        <f>D222/B213</f>
        <v>0.24097252039501932</v>
      </c>
      <c r="F223" s="9"/>
      <c r="G223" s="9"/>
      <c r="H223" s="2"/>
      <c r="I223" s="2"/>
      <c r="J223" s="46"/>
      <c r="K223" s="2"/>
      <c r="L223" s="2"/>
      <c r="M223" s="2"/>
      <c r="N223" s="35"/>
      <c r="O223" s="1"/>
      <c r="P223" s="30"/>
      <c r="Q223" s="2"/>
      <c r="R223" s="2"/>
      <c r="S223" s="2"/>
      <c r="T223" s="2"/>
      <c r="U223" s="2"/>
      <c r="V223" s="2"/>
      <c r="W223" s="2"/>
      <c r="X223" s="46"/>
      <c r="Y223" s="2"/>
      <c r="Z223" s="2"/>
      <c r="AA223" s="2"/>
      <c r="AB223" s="35"/>
    </row>
    <row r="224" spans="1:28" x14ac:dyDescent="0.2">
      <c r="A224" s="30"/>
      <c r="B224" s="29"/>
      <c r="C224" s="2"/>
      <c r="D224" s="2"/>
      <c r="E224" s="2"/>
      <c r="F224" s="2"/>
      <c r="G224" s="2"/>
      <c r="H224" s="2"/>
      <c r="I224" s="2"/>
      <c r="J224" s="46"/>
      <c r="K224" s="2"/>
      <c r="L224" s="2"/>
      <c r="M224" s="2"/>
      <c r="N224" s="35"/>
      <c r="O224" s="1"/>
      <c r="P224" s="30"/>
      <c r="Q224" s="2"/>
      <c r="R224" s="2"/>
      <c r="S224" s="2"/>
      <c r="T224" s="2"/>
      <c r="U224" s="2"/>
      <c r="V224" s="2"/>
      <c r="W224" s="2"/>
      <c r="X224" s="46"/>
      <c r="Y224" s="2"/>
      <c r="Z224" s="2"/>
      <c r="AA224" s="2"/>
      <c r="AB224" s="35"/>
    </row>
    <row r="225" spans="1:28" x14ac:dyDescent="0.2">
      <c r="A225" s="30"/>
      <c r="B225" s="29"/>
      <c r="C225" s="2"/>
      <c r="D225" s="2"/>
      <c r="E225" s="2"/>
      <c r="F225" s="2"/>
      <c r="G225" s="2"/>
      <c r="H225" s="2"/>
      <c r="I225" s="2"/>
      <c r="J225" s="46"/>
      <c r="K225" s="2"/>
      <c r="L225" s="2"/>
      <c r="M225" s="2"/>
      <c r="N225" s="35"/>
      <c r="O225" s="1"/>
      <c r="P225" s="30"/>
      <c r="Q225" s="2"/>
      <c r="R225" s="2"/>
      <c r="S225" s="2"/>
      <c r="T225" s="2"/>
      <c r="U225" s="2"/>
      <c r="V225" s="2"/>
      <c r="W225" s="2"/>
      <c r="X225" s="46"/>
      <c r="Y225" s="2"/>
      <c r="Z225" s="2"/>
      <c r="AA225" s="2"/>
      <c r="AB225" s="35"/>
    </row>
    <row r="226" spans="1:28" ht="18.75" x14ac:dyDescent="0.2">
      <c r="A226" s="207" t="s">
        <v>0</v>
      </c>
      <c r="B226" s="207"/>
      <c r="C226" s="207"/>
      <c r="D226" s="207"/>
      <c r="E226" s="208" t="s">
        <v>1</v>
      </c>
      <c r="F226" s="208"/>
      <c r="G226" s="75"/>
      <c r="H226" s="75"/>
      <c r="I226" s="75"/>
      <c r="J226" s="78"/>
      <c r="K226" s="75"/>
      <c r="L226" s="75"/>
      <c r="M226" s="75"/>
      <c r="N226" s="76"/>
      <c r="O226" s="77"/>
      <c r="P226" s="207" t="s">
        <v>0</v>
      </c>
      <c r="Q226" s="207"/>
      <c r="R226" s="207"/>
      <c r="S226" s="208" t="s">
        <v>2</v>
      </c>
      <c r="T226" s="208"/>
      <c r="U226" s="75"/>
      <c r="V226" s="75"/>
      <c r="W226" s="75"/>
      <c r="X226" s="78"/>
      <c r="Y226" s="75"/>
      <c r="Z226" s="75"/>
      <c r="AA226" s="75"/>
      <c r="AB226" s="76"/>
    </row>
    <row r="227" spans="1:28" x14ac:dyDescent="0.2">
      <c r="A227" s="7" t="s">
        <v>3</v>
      </c>
      <c r="B227" s="80" t="s">
        <v>4</v>
      </c>
      <c r="C227" s="5" t="s">
        <v>5</v>
      </c>
      <c r="D227" s="5" t="s">
        <v>6</v>
      </c>
      <c r="E227" s="6" t="s">
        <v>7</v>
      </c>
      <c r="F227" s="5" t="s">
        <v>6</v>
      </c>
      <c r="G227" s="5" t="s">
        <v>8</v>
      </c>
      <c r="H227" s="5" t="s">
        <v>9</v>
      </c>
      <c r="I227" s="5" t="s">
        <v>10</v>
      </c>
      <c r="J227" s="38" t="s">
        <v>11</v>
      </c>
      <c r="K227" s="5" t="s">
        <v>12</v>
      </c>
      <c r="L227" s="5" t="s">
        <v>9</v>
      </c>
      <c r="M227" s="5" t="s">
        <v>13</v>
      </c>
      <c r="N227" s="5" t="s">
        <v>14</v>
      </c>
      <c r="O227" s="3"/>
      <c r="P227" s="7" t="s">
        <v>3</v>
      </c>
      <c r="Q227" s="5" t="s">
        <v>5</v>
      </c>
      <c r="R227" s="5" t="s">
        <v>6</v>
      </c>
      <c r="S227" s="6" t="s">
        <v>7</v>
      </c>
      <c r="T227" s="5" t="s">
        <v>6</v>
      </c>
      <c r="U227" s="5" t="s">
        <v>8</v>
      </c>
      <c r="V227" s="5" t="s">
        <v>9</v>
      </c>
      <c r="W227" s="5" t="s">
        <v>10</v>
      </c>
      <c r="X227" s="38" t="s">
        <v>11</v>
      </c>
      <c r="Y227" s="5" t="s">
        <v>12</v>
      </c>
      <c r="Z227" s="5" t="s">
        <v>9</v>
      </c>
      <c r="AA227" s="5" t="s">
        <v>13</v>
      </c>
      <c r="AB227" s="5" t="s">
        <v>14</v>
      </c>
    </row>
    <row r="228" spans="1:28" x14ac:dyDescent="0.2">
      <c r="A228" s="12">
        <v>46072</v>
      </c>
      <c r="B228" s="81"/>
      <c r="C228" s="36">
        <v>5735</v>
      </c>
      <c r="D228" s="36"/>
      <c r="E228" s="36">
        <v>138</v>
      </c>
      <c r="F228" s="36"/>
      <c r="G228" s="36">
        <v>17</v>
      </c>
      <c r="H228" s="36"/>
      <c r="I228" s="36"/>
      <c r="J228" s="165"/>
      <c r="K228" s="49"/>
      <c r="L228" s="36"/>
      <c r="M228" s="50"/>
      <c r="N228" s="11"/>
      <c r="O228" s="1"/>
      <c r="P228" s="12">
        <v>46072</v>
      </c>
      <c r="Q228" s="36">
        <v>5159</v>
      </c>
      <c r="R228" s="36"/>
      <c r="S228" s="36">
        <v>143</v>
      </c>
      <c r="T228" s="36"/>
      <c r="U228" s="36">
        <v>43</v>
      </c>
      <c r="V228" s="36"/>
      <c r="W228" s="36"/>
      <c r="X228" s="165"/>
      <c r="Y228" s="49"/>
      <c r="Z228" s="36"/>
      <c r="AA228" s="50"/>
      <c r="AB228" s="11"/>
    </row>
    <row r="229" spans="1:28" x14ac:dyDescent="0.2">
      <c r="A229" s="79"/>
      <c r="B229" s="8"/>
      <c r="C229" s="36">
        <v>5328</v>
      </c>
      <c r="D229" s="9"/>
      <c r="E229" s="36">
        <v>228</v>
      </c>
      <c r="F229" s="9"/>
      <c r="G229" s="9">
        <v>22</v>
      </c>
      <c r="H229" s="9"/>
      <c r="I229" s="9"/>
      <c r="J229" s="165"/>
      <c r="K229" s="36"/>
      <c r="L229" s="9"/>
      <c r="M229" s="10"/>
      <c r="N229" s="11"/>
      <c r="O229" s="1"/>
      <c r="P229" s="12"/>
      <c r="Q229" s="36">
        <v>7073</v>
      </c>
      <c r="R229" s="9"/>
      <c r="S229" s="36">
        <v>133</v>
      </c>
      <c r="T229" s="9"/>
      <c r="U229" s="9">
        <v>13</v>
      </c>
      <c r="V229" s="9"/>
      <c r="W229" s="9"/>
      <c r="X229" s="166"/>
      <c r="Y229" s="37"/>
      <c r="Z229" s="9"/>
      <c r="AA229" s="10"/>
      <c r="AB229" s="11"/>
    </row>
    <row r="230" spans="1:28" x14ac:dyDescent="0.2">
      <c r="A230" s="12"/>
      <c r="B230" s="8"/>
      <c r="C230" s="36">
        <v>5435</v>
      </c>
      <c r="D230" s="9"/>
      <c r="E230" s="36">
        <v>130</v>
      </c>
      <c r="F230" s="9"/>
      <c r="G230" s="9">
        <v>14</v>
      </c>
      <c r="H230" s="9"/>
      <c r="I230" s="9"/>
      <c r="J230" s="171"/>
      <c r="K230" s="37"/>
      <c r="L230" s="9"/>
      <c r="M230" s="10"/>
      <c r="N230" s="11"/>
      <c r="O230" s="1"/>
      <c r="P230" s="12"/>
      <c r="Q230" s="36">
        <v>3473</v>
      </c>
      <c r="R230" s="9"/>
      <c r="S230" s="36">
        <v>86</v>
      </c>
      <c r="T230" s="9"/>
      <c r="U230" s="9">
        <v>14</v>
      </c>
      <c r="V230" s="9"/>
      <c r="W230" s="9"/>
      <c r="X230" s="166"/>
      <c r="Y230" s="37"/>
      <c r="Z230" s="9"/>
      <c r="AA230" s="10"/>
      <c r="AB230" s="107"/>
    </row>
    <row r="231" spans="1:28" ht="15" customHeight="1" thickBot="1" x14ac:dyDescent="0.25">
      <c r="A231" s="17"/>
      <c r="B231" s="82"/>
      <c r="C231" s="42">
        <v>4307</v>
      </c>
      <c r="D231" s="42"/>
      <c r="E231" s="42">
        <v>113</v>
      </c>
      <c r="F231" s="18"/>
      <c r="G231" s="18">
        <v>18</v>
      </c>
      <c r="H231" s="18"/>
      <c r="I231" s="20"/>
      <c r="J231" s="172"/>
      <c r="K231" s="43"/>
      <c r="L231" s="18"/>
      <c r="M231" s="19"/>
      <c r="N231" s="11"/>
      <c r="O231" s="1"/>
      <c r="P231" s="17"/>
      <c r="Q231" s="42">
        <v>4064</v>
      </c>
      <c r="R231" s="42"/>
      <c r="S231" s="42">
        <v>74</v>
      </c>
      <c r="T231" s="18"/>
      <c r="U231" s="18">
        <v>25</v>
      </c>
      <c r="V231" s="18"/>
      <c r="W231" s="18"/>
      <c r="X231" s="167"/>
      <c r="Y231" s="18"/>
      <c r="Z231" s="18"/>
      <c r="AA231" s="19"/>
      <c r="AB231" s="11"/>
    </row>
    <row r="232" spans="1:28" ht="15" customHeight="1" thickTop="1" x14ac:dyDescent="0.2">
      <c r="A232" s="96">
        <v>46089</v>
      </c>
      <c r="B232" s="81">
        <f>SUM(D232:D235)+SUM(R232:R235)</f>
        <v>2359</v>
      </c>
      <c r="C232" s="81">
        <v>5985</v>
      </c>
      <c r="D232" s="36">
        <v>250</v>
      </c>
      <c r="E232" s="36">
        <v>142</v>
      </c>
      <c r="F232" s="36">
        <v>4</v>
      </c>
      <c r="G232" s="22">
        <v>13</v>
      </c>
      <c r="H232" s="36">
        <f>IF(G232="","",G228+I228-G232)</f>
        <v>4</v>
      </c>
      <c r="I232" s="36"/>
      <c r="J232" s="168" t="s">
        <v>129</v>
      </c>
      <c r="K232" s="36">
        <v>748</v>
      </c>
      <c r="L232" s="22">
        <f t="shared" ref="L232:L235" si="114">IF(G232="","",H232*K232)</f>
        <v>2992</v>
      </c>
      <c r="M232" s="23">
        <f t="shared" ref="M232:M235" si="115">IF(H232="","",L232/(D232*100))</f>
        <v>0.11967999999999999</v>
      </c>
      <c r="N232" s="162"/>
      <c r="O232" s="9"/>
      <c r="P232" s="57">
        <f>IF(A232="","",A232)</f>
        <v>46089</v>
      </c>
      <c r="Q232" s="57">
        <v>5420</v>
      </c>
      <c r="R232" s="36">
        <v>261</v>
      </c>
      <c r="S232" s="36">
        <v>150</v>
      </c>
      <c r="T232" s="36">
        <v>8</v>
      </c>
      <c r="U232" s="22">
        <v>35</v>
      </c>
      <c r="V232" s="36">
        <f>IF(U232="","",U228+W228-U232)</f>
        <v>8</v>
      </c>
      <c r="W232" s="36"/>
      <c r="X232" s="168" t="s">
        <v>16</v>
      </c>
      <c r="Y232" s="36">
        <v>275</v>
      </c>
      <c r="Z232" s="22">
        <f t="shared" ref="Z232:Z235" si="116">IF(U232="","",V232*Y232)</f>
        <v>2200</v>
      </c>
      <c r="AA232" s="23">
        <f t="shared" ref="AA232:AA235" si="117">IF(V232="","",Z232/(R232*100))</f>
        <v>8.4291187739463605E-2</v>
      </c>
      <c r="AB232" s="11"/>
    </row>
    <row r="233" spans="1:28" x14ac:dyDescent="0.2">
      <c r="A233" s="58"/>
      <c r="B233" s="83"/>
      <c r="C233" s="81">
        <v>5521</v>
      </c>
      <c r="D233" s="36">
        <v>193</v>
      </c>
      <c r="E233" s="9">
        <v>234</v>
      </c>
      <c r="F233" s="9">
        <v>7</v>
      </c>
      <c r="G233" s="9">
        <v>15</v>
      </c>
      <c r="H233" s="9">
        <f>IF(G233="","",G229+I229-G233)</f>
        <v>7</v>
      </c>
      <c r="I233" s="9"/>
      <c r="J233" s="169" t="s">
        <v>130</v>
      </c>
      <c r="K233" s="9">
        <v>358</v>
      </c>
      <c r="L233" s="9">
        <f t="shared" si="114"/>
        <v>2506</v>
      </c>
      <c r="M233" s="10">
        <f t="shared" si="115"/>
        <v>0.12984455958549224</v>
      </c>
      <c r="N233" s="163"/>
      <c r="O233" s="9"/>
      <c r="P233" s="97"/>
      <c r="Q233" s="12">
        <v>7265</v>
      </c>
      <c r="R233" s="36">
        <v>192</v>
      </c>
      <c r="S233" s="9">
        <v>137</v>
      </c>
      <c r="T233" s="9">
        <v>4</v>
      </c>
      <c r="U233" s="9">
        <v>9</v>
      </c>
      <c r="V233" s="9">
        <f>IF(U233="","",U229+W229-U233)</f>
        <v>4</v>
      </c>
      <c r="W233" s="9"/>
      <c r="X233" s="169" t="s">
        <v>131</v>
      </c>
      <c r="Y233" s="9">
        <v>1100</v>
      </c>
      <c r="Z233" s="9">
        <f t="shared" si="116"/>
        <v>4400</v>
      </c>
      <c r="AA233" s="10">
        <f t="shared" si="117"/>
        <v>0.22916666666666666</v>
      </c>
      <c r="AB233" s="11"/>
    </row>
    <row r="234" spans="1:28" x14ac:dyDescent="0.2">
      <c r="A234" s="58"/>
      <c r="B234" s="83"/>
      <c r="C234" s="84">
        <v>5721</v>
      </c>
      <c r="D234" s="44">
        <v>286</v>
      </c>
      <c r="E234" s="9">
        <v>136</v>
      </c>
      <c r="F234" s="9">
        <v>6</v>
      </c>
      <c r="G234" s="9">
        <v>8</v>
      </c>
      <c r="H234" s="9">
        <f>IF(G234="","",G230+I230-G234)</f>
        <v>6</v>
      </c>
      <c r="I234" s="9"/>
      <c r="J234" s="169" t="s">
        <v>38</v>
      </c>
      <c r="K234" s="9">
        <v>792</v>
      </c>
      <c r="L234" s="9">
        <f t="shared" si="114"/>
        <v>4752</v>
      </c>
      <c r="M234" s="10">
        <f t="shared" si="115"/>
        <v>0.16615384615384615</v>
      </c>
      <c r="N234" s="163"/>
      <c r="O234" s="9"/>
      <c r="P234" s="99"/>
      <c r="Q234" s="12">
        <v>3701</v>
      </c>
      <c r="R234" s="44">
        <v>228</v>
      </c>
      <c r="S234" s="9">
        <v>91</v>
      </c>
      <c r="T234" s="9">
        <v>4</v>
      </c>
      <c r="U234" s="9">
        <v>10</v>
      </c>
      <c r="V234" s="9">
        <f>IF(U234="","",U230+W230-U234)</f>
        <v>4</v>
      </c>
      <c r="W234" s="9"/>
      <c r="X234" s="169" t="s">
        <v>132</v>
      </c>
      <c r="Y234" s="9">
        <v>792</v>
      </c>
      <c r="Z234" s="9">
        <f t="shared" si="116"/>
        <v>3168</v>
      </c>
      <c r="AA234" s="10">
        <f t="shared" si="117"/>
        <v>0.13894736842105262</v>
      </c>
      <c r="AB234" s="11"/>
    </row>
    <row r="235" spans="1:28" ht="15" customHeight="1" thickBot="1" x14ac:dyDescent="0.25">
      <c r="A235" s="59"/>
      <c r="B235" s="82"/>
      <c r="C235" s="85">
        <v>4521</v>
      </c>
      <c r="D235" s="42">
        <v>214</v>
      </c>
      <c r="E235" s="43">
        <v>119</v>
      </c>
      <c r="F235" s="18">
        <v>8</v>
      </c>
      <c r="G235" s="18">
        <v>10</v>
      </c>
      <c r="H235" s="18">
        <f>IF(G235="","",G231+I231-G235)</f>
        <v>8</v>
      </c>
      <c r="I235" s="18"/>
      <c r="J235" s="170" t="s">
        <v>133</v>
      </c>
      <c r="K235" s="18">
        <v>120</v>
      </c>
      <c r="L235" s="18">
        <f t="shared" si="114"/>
        <v>960</v>
      </c>
      <c r="M235" s="19">
        <f t="shared" si="115"/>
        <v>4.4859813084112146E-2</v>
      </c>
      <c r="N235" s="164"/>
      <c r="O235" s="9"/>
      <c r="P235" s="100"/>
      <c r="Q235" s="59">
        <v>4799</v>
      </c>
      <c r="R235" s="42">
        <v>735</v>
      </c>
      <c r="S235" s="43">
        <v>91</v>
      </c>
      <c r="T235" s="18">
        <v>18</v>
      </c>
      <c r="U235" s="18">
        <v>7</v>
      </c>
      <c r="V235" s="18">
        <f>IF(U235="","",U231+W231-U235)</f>
        <v>18</v>
      </c>
      <c r="W235" s="18"/>
      <c r="X235" s="170" t="s">
        <v>134</v>
      </c>
      <c r="Y235" s="18">
        <v>825</v>
      </c>
      <c r="Z235" s="18">
        <f t="shared" si="116"/>
        <v>14850</v>
      </c>
      <c r="AA235" s="19">
        <f t="shared" si="117"/>
        <v>0.20204081632653062</v>
      </c>
      <c r="AB235" s="11"/>
    </row>
    <row r="236" spans="1:28" ht="15" customHeight="1" thickTop="1" x14ac:dyDescent="0.2">
      <c r="A236" s="96">
        <v>46096</v>
      </c>
      <c r="B236" s="81">
        <f>SUM(D236:D239)+SUM(R236:R239)</f>
        <v>860</v>
      </c>
      <c r="C236" s="36">
        <v>6055</v>
      </c>
      <c r="D236" s="36">
        <f t="shared" ref="D236:D239" si="118">IF(C236="","",C236-C232)</f>
        <v>70</v>
      </c>
      <c r="E236" s="36">
        <v>155</v>
      </c>
      <c r="F236" s="22">
        <f t="shared" ref="F236:F239" si="119">IF(E236="","",E236-E232)</f>
        <v>13</v>
      </c>
      <c r="G236" s="36">
        <v>0</v>
      </c>
      <c r="H236" s="36">
        <f t="shared" ref="H236:H239" si="120">IF(G236="","",G232+I232-G236)</f>
        <v>13</v>
      </c>
      <c r="I236" s="53">
        <v>15</v>
      </c>
      <c r="J236" s="169" t="str">
        <f t="shared" ref="J236:J239" si="121">IF(C236="","",J232)</f>
        <v>ジャグラーサウンドフラッシュ</v>
      </c>
      <c r="K236" s="37">
        <f t="shared" ref="K236:K239" si="122">IF(D236="","",K232)</f>
        <v>748</v>
      </c>
      <c r="L236" s="22">
        <f t="shared" ref="L236:L239" si="123">IF(G236="","",H236*K236)</f>
        <v>9724</v>
      </c>
      <c r="M236" s="23">
        <f t="shared" ref="M236:M239" si="124">IF(H236="","",L236/(D236*100))</f>
        <v>1.3891428571428572</v>
      </c>
      <c r="N236" s="11" t="s">
        <v>135</v>
      </c>
      <c r="O236" s="1"/>
      <c r="P236" s="57">
        <f>IF(A236="","",A236)</f>
        <v>46096</v>
      </c>
      <c r="Q236" s="36">
        <v>5568</v>
      </c>
      <c r="R236" s="36">
        <f t="shared" ref="R236:R239" si="125">IF(Q236="","",Q236-Q232)</f>
        <v>148</v>
      </c>
      <c r="S236" s="36">
        <v>152</v>
      </c>
      <c r="T236" s="22">
        <f t="shared" ref="T236:T239" si="126">IF(S236="","",S236-S232)</f>
        <v>2</v>
      </c>
      <c r="U236" s="36">
        <v>33</v>
      </c>
      <c r="V236" s="36">
        <f t="shared" ref="V236:V239" si="127">IF(U236="","",U232+W232-U236)</f>
        <v>2</v>
      </c>
      <c r="W236" s="53">
        <v>20</v>
      </c>
      <c r="X236" s="169" t="str">
        <f t="shared" ref="X236:X239" si="128">IF(Q236="","",X232)</f>
        <v>電ブル</v>
      </c>
      <c r="Y236" s="37">
        <f t="shared" ref="Y236:Y239" si="129">IF(R236="","",Y232)</f>
        <v>275</v>
      </c>
      <c r="Z236" s="22">
        <f t="shared" ref="Z236:Z239" si="130">IF(U236="","",V236*Y236)</f>
        <v>550</v>
      </c>
      <c r="AA236" s="23"/>
      <c r="AB236" s="11"/>
    </row>
    <row r="237" spans="1:28" x14ac:dyDescent="0.2">
      <c r="A237" s="97"/>
      <c r="B237" s="8"/>
      <c r="C237" s="9">
        <v>5678</v>
      </c>
      <c r="D237" s="9">
        <f t="shared" si="118"/>
        <v>157</v>
      </c>
      <c r="E237" s="9">
        <v>243</v>
      </c>
      <c r="F237" s="9">
        <f t="shared" si="119"/>
        <v>9</v>
      </c>
      <c r="G237" s="9">
        <v>7</v>
      </c>
      <c r="H237" s="9">
        <f t="shared" si="120"/>
        <v>8</v>
      </c>
      <c r="I237" s="13">
        <v>1</v>
      </c>
      <c r="J237" s="169" t="str">
        <f t="shared" si="121"/>
        <v>番長ボタン</v>
      </c>
      <c r="K237" s="37">
        <f t="shared" si="122"/>
        <v>358</v>
      </c>
      <c r="L237" s="9">
        <f t="shared" si="123"/>
        <v>2864</v>
      </c>
      <c r="M237" s="10">
        <f t="shared" si="124"/>
        <v>0.1824203821656051</v>
      </c>
      <c r="N237" s="11" t="s">
        <v>136</v>
      </c>
      <c r="O237" s="1"/>
      <c r="P237" s="97"/>
      <c r="Q237" s="9">
        <v>7328</v>
      </c>
      <c r="R237" s="9">
        <f t="shared" si="125"/>
        <v>63</v>
      </c>
      <c r="S237" s="9">
        <v>141</v>
      </c>
      <c r="T237" s="9">
        <f t="shared" si="126"/>
        <v>4</v>
      </c>
      <c r="U237" s="9">
        <v>5</v>
      </c>
      <c r="V237" s="9">
        <f t="shared" si="127"/>
        <v>4</v>
      </c>
      <c r="W237" s="13">
        <v>4</v>
      </c>
      <c r="X237" s="169" t="str">
        <f t="shared" si="128"/>
        <v>ボアバンスクリップ</v>
      </c>
      <c r="Y237" s="37">
        <f t="shared" si="129"/>
        <v>1100</v>
      </c>
      <c r="Z237" s="9">
        <f t="shared" si="130"/>
        <v>4400</v>
      </c>
      <c r="AA237" s="10"/>
      <c r="AB237" s="11" t="s">
        <v>139</v>
      </c>
    </row>
    <row r="238" spans="1:28" x14ac:dyDescent="0.2">
      <c r="A238" s="97"/>
      <c r="B238" s="86"/>
      <c r="C238" s="25">
        <v>5851</v>
      </c>
      <c r="D238" s="9">
        <f t="shared" si="118"/>
        <v>130</v>
      </c>
      <c r="E238" s="9">
        <v>138</v>
      </c>
      <c r="F238" s="9">
        <f t="shared" si="119"/>
        <v>2</v>
      </c>
      <c r="G238" s="25">
        <v>6</v>
      </c>
      <c r="H238" s="9">
        <f t="shared" si="120"/>
        <v>2</v>
      </c>
      <c r="I238" s="32">
        <v>2</v>
      </c>
      <c r="J238" s="169" t="str">
        <f t="shared" si="121"/>
        <v>サンリオフェイスポーチ</v>
      </c>
      <c r="K238" s="37">
        <f t="shared" si="122"/>
        <v>792</v>
      </c>
      <c r="L238" s="9">
        <f t="shared" si="123"/>
        <v>1584</v>
      </c>
      <c r="M238" s="10">
        <f t="shared" si="124"/>
        <v>0.12184615384615384</v>
      </c>
      <c r="N238" s="11" t="s">
        <v>137</v>
      </c>
      <c r="O238" s="150"/>
      <c r="P238" s="99"/>
      <c r="Q238" s="25">
        <v>3721</v>
      </c>
      <c r="R238" s="9">
        <f t="shared" si="125"/>
        <v>20</v>
      </c>
      <c r="S238" s="9">
        <v>93</v>
      </c>
      <c r="T238" s="9">
        <f t="shared" si="126"/>
        <v>2</v>
      </c>
      <c r="U238" s="25">
        <v>7</v>
      </c>
      <c r="V238" s="9">
        <f t="shared" si="127"/>
        <v>3</v>
      </c>
      <c r="W238" s="32">
        <v>0</v>
      </c>
      <c r="X238" s="169" t="str">
        <f t="shared" si="128"/>
        <v>ヒョウ柄サンリオフェイスポーチ</v>
      </c>
      <c r="Y238" s="37">
        <f t="shared" si="129"/>
        <v>792</v>
      </c>
      <c r="Z238" s="9">
        <f t="shared" si="130"/>
        <v>2376</v>
      </c>
      <c r="AA238" s="10"/>
      <c r="AB238" s="11" t="s">
        <v>140</v>
      </c>
    </row>
    <row r="239" spans="1:28" ht="15" customHeight="1" thickBot="1" x14ac:dyDescent="0.25">
      <c r="A239" s="98"/>
      <c r="B239" s="87"/>
      <c r="C239" s="18">
        <v>4611</v>
      </c>
      <c r="D239" s="43">
        <f t="shared" si="118"/>
        <v>90</v>
      </c>
      <c r="E239" s="18">
        <v>125</v>
      </c>
      <c r="F239" s="18">
        <f t="shared" si="119"/>
        <v>6</v>
      </c>
      <c r="G239" s="18">
        <v>4</v>
      </c>
      <c r="H239" s="18">
        <f t="shared" si="120"/>
        <v>6</v>
      </c>
      <c r="I239" s="31">
        <v>6</v>
      </c>
      <c r="J239" s="170" t="str">
        <f t="shared" si="121"/>
        <v>しばこ</v>
      </c>
      <c r="K239" s="43">
        <f t="shared" si="122"/>
        <v>120</v>
      </c>
      <c r="L239" s="18">
        <f t="shared" si="123"/>
        <v>720</v>
      </c>
      <c r="M239" s="19">
        <f t="shared" si="124"/>
        <v>0.08</v>
      </c>
      <c r="N239" s="11" t="s">
        <v>138</v>
      </c>
      <c r="O239" s="150"/>
      <c r="P239" s="100"/>
      <c r="Q239" s="18">
        <v>4981</v>
      </c>
      <c r="R239" s="43">
        <f t="shared" si="125"/>
        <v>182</v>
      </c>
      <c r="S239" s="18">
        <v>94</v>
      </c>
      <c r="T239" s="18">
        <f t="shared" si="126"/>
        <v>3</v>
      </c>
      <c r="U239" s="18">
        <v>1</v>
      </c>
      <c r="V239" s="18">
        <f t="shared" si="127"/>
        <v>6</v>
      </c>
      <c r="W239" s="31">
        <v>19</v>
      </c>
      <c r="X239" s="170" t="str">
        <f t="shared" si="128"/>
        <v>サンリオファー付きフェイスポーチ</v>
      </c>
      <c r="Y239" s="43">
        <f t="shared" si="129"/>
        <v>825</v>
      </c>
      <c r="Z239" s="18">
        <f t="shared" si="130"/>
        <v>4950</v>
      </c>
      <c r="AA239" s="19"/>
      <c r="AB239" s="11" t="s">
        <v>141</v>
      </c>
    </row>
    <row r="240" spans="1:28" ht="15" customHeight="1" thickTop="1" x14ac:dyDescent="0.2">
      <c r="A240" s="96">
        <v>46097</v>
      </c>
      <c r="B240" s="81">
        <f>SUM(D240:D243)+SUM(R240:R243)</f>
        <v>98</v>
      </c>
      <c r="C240" s="36">
        <v>6065</v>
      </c>
      <c r="D240" s="36">
        <f t="shared" ref="D240:D267" si="131">IF(C240="","",C240-C236)</f>
        <v>10</v>
      </c>
      <c r="E240" s="36">
        <v>155</v>
      </c>
      <c r="F240" s="22">
        <f t="shared" ref="F240:F267" si="132">IF(E240="","",E240-E236)</f>
        <v>0</v>
      </c>
      <c r="G240" s="36">
        <v>15</v>
      </c>
      <c r="H240" s="36">
        <f t="shared" ref="H240:H267" si="133">IF(G240="","",G236+I236-G240)</f>
        <v>0</v>
      </c>
      <c r="I240" s="53"/>
      <c r="J240" s="169" t="str">
        <f t="shared" ref="J240:K242" si="134">IF(C240="","",J236)</f>
        <v>ジャグラーサウンドフラッシュ</v>
      </c>
      <c r="K240" s="37">
        <f t="shared" si="134"/>
        <v>748</v>
      </c>
      <c r="L240" s="22">
        <f t="shared" ref="L240:L267" si="135">IF(G240="","",H240*K240)</f>
        <v>0</v>
      </c>
      <c r="M240" s="23">
        <f t="shared" ref="M240:M267" si="136">IF(H240="","",L240/(D240*100))</f>
        <v>0</v>
      </c>
      <c r="N240" s="11"/>
      <c r="O240" s="1"/>
      <c r="P240" s="57">
        <f>IF(A240="","",A240)</f>
        <v>46097</v>
      </c>
      <c r="Q240" s="36">
        <v>5579</v>
      </c>
      <c r="R240" s="36">
        <f t="shared" ref="R240:R267" si="137">IF(Q240="","",Q240-Q236)</f>
        <v>11</v>
      </c>
      <c r="S240" s="36">
        <v>152</v>
      </c>
      <c r="T240" s="22">
        <f t="shared" ref="T240:T267" si="138">IF(S240="","",S240-S236)</f>
        <v>0</v>
      </c>
      <c r="U240" s="36">
        <v>53</v>
      </c>
      <c r="V240" s="36">
        <f t="shared" ref="V240:V267" si="139">IF(U240="","",U236+W236-U240)</f>
        <v>0</v>
      </c>
      <c r="W240" s="53">
        <v>0</v>
      </c>
      <c r="X240" s="169" t="str">
        <f t="shared" ref="X240:Y243" si="140">IF(Q240="","",X236)</f>
        <v>電ブル</v>
      </c>
      <c r="Y240" s="37">
        <f t="shared" si="140"/>
        <v>275</v>
      </c>
      <c r="Z240" s="22">
        <f t="shared" ref="Z240:Z267" si="141">IF(U240="","",V240*Y240)</f>
        <v>0</v>
      </c>
      <c r="AA240" s="23">
        <f t="shared" ref="AA240:AA267" si="142">IF(V240="","",Z240/(R240*100))</f>
        <v>0</v>
      </c>
      <c r="AB240" s="11"/>
    </row>
    <row r="241" spans="1:28" x14ac:dyDescent="0.2">
      <c r="A241" s="97"/>
      <c r="B241" s="8"/>
      <c r="C241" s="9">
        <v>5705</v>
      </c>
      <c r="D241" s="9">
        <f t="shared" si="131"/>
        <v>27</v>
      </c>
      <c r="E241" s="9">
        <v>243</v>
      </c>
      <c r="F241" s="9">
        <f t="shared" si="132"/>
        <v>0</v>
      </c>
      <c r="G241" s="9">
        <v>8</v>
      </c>
      <c r="H241" s="9">
        <f t="shared" si="133"/>
        <v>0</v>
      </c>
      <c r="I241" s="13"/>
      <c r="J241" s="169" t="str">
        <f t="shared" si="134"/>
        <v>番長ボタン</v>
      </c>
      <c r="K241" s="37">
        <f t="shared" si="134"/>
        <v>358</v>
      </c>
      <c r="L241" s="9">
        <f t="shared" si="135"/>
        <v>0</v>
      </c>
      <c r="M241" s="10">
        <f t="shared" si="136"/>
        <v>0</v>
      </c>
      <c r="N241" s="11"/>
      <c r="O241" s="1"/>
      <c r="P241" s="97"/>
      <c r="Q241" s="9">
        <v>7331</v>
      </c>
      <c r="R241" s="9">
        <f t="shared" si="137"/>
        <v>3</v>
      </c>
      <c r="S241" s="9">
        <v>141</v>
      </c>
      <c r="T241" s="9">
        <f t="shared" si="138"/>
        <v>0</v>
      </c>
      <c r="U241" s="9">
        <v>9</v>
      </c>
      <c r="V241" s="9">
        <f t="shared" si="139"/>
        <v>0</v>
      </c>
      <c r="W241" s="13">
        <v>0</v>
      </c>
      <c r="X241" s="169" t="str">
        <f t="shared" si="140"/>
        <v>ボアバンスクリップ</v>
      </c>
      <c r="Y241" s="37">
        <f t="shared" si="140"/>
        <v>1100</v>
      </c>
      <c r="Z241" s="9">
        <f t="shared" si="141"/>
        <v>0</v>
      </c>
      <c r="AA241" s="10">
        <f t="shared" si="142"/>
        <v>0</v>
      </c>
      <c r="AB241" s="11"/>
    </row>
    <row r="242" spans="1:28" x14ac:dyDescent="0.2">
      <c r="A242" s="99"/>
      <c r="B242" s="86"/>
      <c r="C242" s="25">
        <v>5861</v>
      </c>
      <c r="D242" s="9">
        <f t="shared" si="131"/>
        <v>10</v>
      </c>
      <c r="E242" s="9">
        <v>138</v>
      </c>
      <c r="F242" s="9">
        <f t="shared" si="132"/>
        <v>0</v>
      </c>
      <c r="G242" s="25">
        <v>8</v>
      </c>
      <c r="H242" s="9">
        <f t="shared" si="133"/>
        <v>0</v>
      </c>
      <c r="I242" s="32"/>
      <c r="J242" s="169" t="str">
        <f t="shared" si="134"/>
        <v>サンリオフェイスポーチ</v>
      </c>
      <c r="K242" s="37">
        <f t="shared" si="134"/>
        <v>792</v>
      </c>
      <c r="L242" s="9">
        <f t="shared" si="135"/>
        <v>0</v>
      </c>
      <c r="M242" s="10">
        <f t="shared" si="136"/>
        <v>0</v>
      </c>
      <c r="N242" s="11"/>
      <c r="O242" s="150"/>
      <c r="P242" s="99"/>
      <c r="Q242" s="25">
        <v>3731</v>
      </c>
      <c r="R242" s="9">
        <f t="shared" si="137"/>
        <v>10</v>
      </c>
      <c r="S242" s="9">
        <v>93</v>
      </c>
      <c r="T242" s="9">
        <f t="shared" si="138"/>
        <v>0</v>
      </c>
      <c r="U242" s="25">
        <v>7</v>
      </c>
      <c r="V242" s="9">
        <f t="shared" si="139"/>
        <v>0</v>
      </c>
      <c r="W242" s="32">
        <v>0</v>
      </c>
      <c r="X242" s="169" t="str">
        <f t="shared" si="140"/>
        <v>ヒョウ柄サンリオフェイスポーチ</v>
      </c>
      <c r="Y242" s="37">
        <f t="shared" si="140"/>
        <v>792</v>
      </c>
      <c r="Z242" s="9">
        <f t="shared" si="141"/>
        <v>0</v>
      </c>
      <c r="AA242" s="10">
        <f t="shared" si="142"/>
        <v>0</v>
      </c>
      <c r="AB242" s="11"/>
    </row>
    <row r="243" spans="1:28" ht="15" customHeight="1" thickBot="1" x14ac:dyDescent="0.25">
      <c r="A243" s="100"/>
      <c r="B243" s="87"/>
      <c r="C243" s="18">
        <v>4622</v>
      </c>
      <c r="D243" s="43">
        <f t="shared" si="131"/>
        <v>11</v>
      </c>
      <c r="E243" s="18">
        <v>125</v>
      </c>
      <c r="F243" s="18">
        <f t="shared" si="132"/>
        <v>0</v>
      </c>
      <c r="G243" s="18">
        <v>10</v>
      </c>
      <c r="H243" s="18">
        <f t="shared" si="133"/>
        <v>0</v>
      </c>
      <c r="I243" s="31"/>
      <c r="J243" s="170" t="s">
        <v>142</v>
      </c>
      <c r="K243" s="43">
        <v>1430</v>
      </c>
      <c r="L243" s="18">
        <f t="shared" si="135"/>
        <v>0</v>
      </c>
      <c r="M243" s="19">
        <f t="shared" si="136"/>
        <v>0</v>
      </c>
      <c r="N243" s="11"/>
      <c r="O243" s="150"/>
      <c r="P243" s="100"/>
      <c r="Q243" s="18">
        <v>4997</v>
      </c>
      <c r="R243" s="43">
        <f t="shared" si="137"/>
        <v>16</v>
      </c>
      <c r="S243" s="18">
        <v>94</v>
      </c>
      <c r="T243" s="18">
        <f t="shared" si="138"/>
        <v>0</v>
      </c>
      <c r="U243" s="18">
        <v>20</v>
      </c>
      <c r="V243" s="18">
        <f t="shared" si="139"/>
        <v>0</v>
      </c>
      <c r="W243" s="31">
        <v>0</v>
      </c>
      <c r="X243" s="170" t="str">
        <f t="shared" si="140"/>
        <v>サンリオファー付きフェイスポーチ</v>
      </c>
      <c r="Y243" s="43">
        <f t="shared" si="140"/>
        <v>825</v>
      </c>
      <c r="Z243" s="18">
        <f t="shared" si="141"/>
        <v>0</v>
      </c>
      <c r="AA243" s="19">
        <f t="shared" si="142"/>
        <v>0</v>
      </c>
      <c r="AB243" s="11"/>
    </row>
    <row r="244" spans="1:28" ht="15" customHeight="1" thickTop="1" x14ac:dyDescent="0.2">
      <c r="A244" s="96"/>
      <c r="B244" s="81"/>
      <c r="C244" s="36"/>
      <c r="D244" s="36"/>
      <c r="E244" s="36"/>
      <c r="F244" s="22"/>
      <c r="G244" s="36"/>
      <c r="H244" s="36"/>
      <c r="I244" s="53"/>
      <c r="J244" s="168"/>
      <c r="K244" s="49"/>
      <c r="L244" s="22"/>
      <c r="M244" s="23"/>
      <c r="N244" s="11"/>
      <c r="O244" s="150"/>
      <c r="P244" s="104"/>
      <c r="Q244" s="36"/>
      <c r="R244" s="36"/>
      <c r="S244" s="36"/>
      <c r="T244" s="22"/>
      <c r="U244" s="36"/>
      <c r="V244" s="36"/>
      <c r="W244" s="53"/>
      <c r="X244" s="168"/>
      <c r="Y244" s="49"/>
      <c r="Z244" s="22"/>
      <c r="AA244" s="23"/>
      <c r="AB244" s="11"/>
    </row>
    <row r="245" spans="1:28" x14ac:dyDescent="0.2">
      <c r="A245" s="96"/>
      <c r="B245" s="81"/>
      <c r="C245" s="36"/>
      <c r="D245" s="9"/>
      <c r="E245" s="9"/>
      <c r="F245" s="9"/>
      <c r="G245" s="9"/>
      <c r="H245" s="9"/>
      <c r="I245" s="13"/>
      <c r="J245" s="169"/>
      <c r="K245" s="37"/>
      <c r="L245" s="9"/>
      <c r="M245" s="10"/>
      <c r="N245" s="11"/>
      <c r="O245" s="150"/>
      <c r="P245" s="96"/>
      <c r="Q245" s="36"/>
      <c r="R245" s="9"/>
      <c r="S245" s="9"/>
      <c r="T245" s="9"/>
      <c r="U245" s="9"/>
      <c r="V245" s="9"/>
      <c r="W245" s="13"/>
      <c r="X245" s="169"/>
      <c r="Y245" s="37"/>
      <c r="Z245" s="9"/>
      <c r="AA245" s="10"/>
      <c r="AB245" s="11"/>
    </row>
    <row r="246" spans="1:28" ht="15" customHeight="1" x14ac:dyDescent="0.2">
      <c r="A246" s="96"/>
      <c r="B246" s="84"/>
      <c r="C246" s="44"/>
      <c r="D246" s="9"/>
      <c r="E246" s="9"/>
      <c r="F246" s="9"/>
      <c r="G246" s="9"/>
      <c r="H246" s="9"/>
      <c r="I246" s="13"/>
      <c r="J246" s="169"/>
      <c r="K246" s="9"/>
      <c r="L246" s="9"/>
      <c r="M246" s="10"/>
      <c r="N246" s="11"/>
      <c r="O246" s="150"/>
      <c r="P246" s="96"/>
      <c r="Q246" s="44"/>
      <c r="R246" s="9"/>
      <c r="S246" s="9"/>
      <c r="T246" s="9"/>
      <c r="U246" s="9"/>
      <c r="V246" s="9"/>
      <c r="W246" s="13"/>
      <c r="X246" s="169"/>
      <c r="Y246" s="9"/>
      <c r="Z246" s="9"/>
      <c r="AA246" s="10"/>
      <c r="AB246" s="11"/>
    </row>
    <row r="247" spans="1:28" ht="15" customHeight="1" thickBot="1" x14ac:dyDescent="0.25">
      <c r="A247" s="100"/>
      <c r="B247" s="87"/>
      <c r="C247" s="42"/>
      <c r="D247" s="43"/>
      <c r="E247" s="18"/>
      <c r="F247" s="18"/>
      <c r="G247" s="18"/>
      <c r="H247" s="18"/>
      <c r="I247" s="31"/>
      <c r="J247" s="170"/>
      <c r="K247" s="43"/>
      <c r="L247" s="18"/>
      <c r="M247" s="19"/>
      <c r="N247" s="11"/>
      <c r="O247" s="150"/>
      <c r="P247" s="100"/>
      <c r="Q247" s="42"/>
      <c r="R247" s="43"/>
      <c r="S247" s="18"/>
      <c r="T247" s="18"/>
      <c r="U247" s="18"/>
      <c r="V247" s="18"/>
      <c r="W247" s="31"/>
      <c r="X247" s="170"/>
      <c r="Y247" s="43"/>
      <c r="Z247" s="18"/>
      <c r="AA247" s="19"/>
      <c r="AB247" s="11"/>
    </row>
    <row r="248" spans="1:28" ht="15" customHeight="1" thickTop="1" x14ac:dyDescent="0.2">
      <c r="A248" s="96">
        <v>46109</v>
      </c>
      <c r="B248" s="81"/>
      <c r="C248" s="36"/>
      <c r="D248" s="36"/>
      <c r="E248" s="36"/>
      <c r="F248" s="22"/>
      <c r="G248" s="36"/>
      <c r="H248" s="36"/>
      <c r="I248" s="53"/>
      <c r="J248" s="168"/>
      <c r="K248" s="37"/>
      <c r="L248" s="22"/>
      <c r="M248" s="23"/>
      <c r="N248" s="11"/>
      <c r="O248" s="150"/>
      <c r="P248" s="104"/>
      <c r="Q248" s="36"/>
      <c r="R248" s="36"/>
      <c r="S248" s="36"/>
      <c r="T248" s="22"/>
      <c r="U248" s="36"/>
      <c r="V248" s="36"/>
      <c r="W248" s="53"/>
      <c r="X248" s="168"/>
      <c r="Y248" s="37"/>
      <c r="Z248" s="22"/>
      <c r="AA248" s="23"/>
      <c r="AB248" s="11"/>
    </row>
    <row r="249" spans="1:28" ht="15" customHeight="1" x14ac:dyDescent="0.2">
      <c r="A249" s="97"/>
      <c r="B249" s="8"/>
      <c r="C249" s="9"/>
      <c r="D249" s="9" t="str">
        <f t="shared" si="131"/>
        <v/>
      </c>
      <c r="E249" s="9"/>
      <c r="F249" s="9" t="str">
        <f t="shared" si="132"/>
        <v/>
      </c>
      <c r="G249" s="9"/>
      <c r="H249" s="9" t="str">
        <f t="shared" si="133"/>
        <v/>
      </c>
      <c r="I249" s="13"/>
      <c r="J249" s="169" t="str">
        <f t="shared" ref="J249:K263" si="143">IF(C249="","",J245)</f>
        <v/>
      </c>
      <c r="K249" s="37" t="str">
        <f t="shared" si="143"/>
        <v/>
      </c>
      <c r="L249" s="9" t="str">
        <f t="shared" si="135"/>
        <v/>
      </c>
      <c r="M249" s="10" t="str">
        <f t="shared" si="136"/>
        <v/>
      </c>
      <c r="N249" s="11"/>
      <c r="O249" s="150"/>
      <c r="P249" s="97"/>
      <c r="Q249" s="9"/>
      <c r="R249" s="9" t="str">
        <f t="shared" si="137"/>
        <v/>
      </c>
      <c r="S249" s="9"/>
      <c r="T249" s="9" t="str">
        <f t="shared" si="138"/>
        <v/>
      </c>
      <c r="U249" s="9"/>
      <c r="V249" s="9" t="str">
        <f t="shared" si="139"/>
        <v/>
      </c>
      <c r="W249" s="13"/>
      <c r="X249" s="169" t="str">
        <f t="shared" ref="X249:Y263" si="144">IF(Q249="","",X245)</f>
        <v/>
      </c>
      <c r="Y249" s="37" t="str">
        <f t="shared" si="144"/>
        <v/>
      </c>
      <c r="Z249" s="9" t="str">
        <f t="shared" si="141"/>
        <v/>
      </c>
      <c r="AA249" s="10" t="str">
        <f t="shared" si="142"/>
        <v/>
      </c>
      <c r="AB249" s="11"/>
    </row>
    <row r="250" spans="1:28" ht="15" customHeight="1" x14ac:dyDescent="0.2">
      <c r="A250" s="97"/>
      <c r="B250" s="86"/>
      <c r="C250" s="25"/>
      <c r="D250" s="9" t="str">
        <f t="shared" si="131"/>
        <v/>
      </c>
      <c r="E250" s="9"/>
      <c r="F250" s="9" t="str">
        <f t="shared" si="132"/>
        <v/>
      </c>
      <c r="G250" s="25"/>
      <c r="H250" s="9" t="str">
        <f t="shared" si="133"/>
        <v/>
      </c>
      <c r="I250" s="32"/>
      <c r="J250" s="169" t="str">
        <f t="shared" si="143"/>
        <v/>
      </c>
      <c r="K250" s="37" t="str">
        <f t="shared" si="143"/>
        <v/>
      </c>
      <c r="L250" s="9" t="str">
        <f t="shared" si="135"/>
        <v/>
      </c>
      <c r="M250" s="10" t="str">
        <f t="shared" si="136"/>
        <v/>
      </c>
      <c r="N250" s="11"/>
      <c r="O250" s="150"/>
      <c r="P250" s="97"/>
      <c r="Q250" s="25"/>
      <c r="R250" s="9" t="str">
        <f t="shared" si="137"/>
        <v/>
      </c>
      <c r="S250" s="9"/>
      <c r="T250" s="9" t="str">
        <f t="shared" si="138"/>
        <v/>
      </c>
      <c r="U250" s="25"/>
      <c r="V250" s="9" t="str">
        <f t="shared" si="139"/>
        <v/>
      </c>
      <c r="W250" s="32"/>
      <c r="X250" s="169" t="str">
        <f t="shared" si="144"/>
        <v/>
      </c>
      <c r="Y250" s="37" t="str">
        <f t="shared" si="144"/>
        <v/>
      </c>
      <c r="Z250" s="9" t="str">
        <f t="shared" si="141"/>
        <v/>
      </c>
      <c r="AA250" s="10" t="str">
        <f t="shared" si="142"/>
        <v/>
      </c>
      <c r="AB250" s="11"/>
    </row>
    <row r="251" spans="1:28" ht="15" customHeight="1" thickBot="1" x14ac:dyDescent="0.25">
      <c r="A251" s="100"/>
      <c r="B251" s="87"/>
      <c r="C251" s="18"/>
      <c r="D251" s="43" t="str">
        <f t="shared" si="131"/>
        <v/>
      </c>
      <c r="E251" s="18"/>
      <c r="F251" s="18" t="str">
        <f t="shared" si="132"/>
        <v/>
      </c>
      <c r="G251" s="18"/>
      <c r="H251" s="18" t="str">
        <f t="shared" si="133"/>
        <v/>
      </c>
      <c r="I251" s="31"/>
      <c r="J251" s="170" t="str">
        <f t="shared" si="143"/>
        <v/>
      </c>
      <c r="K251" s="43" t="str">
        <f t="shared" si="143"/>
        <v/>
      </c>
      <c r="L251" s="18" t="str">
        <f t="shared" si="135"/>
        <v/>
      </c>
      <c r="M251" s="19" t="str">
        <f t="shared" si="136"/>
        <v/>
      </c>
      <c r="N251" s="11"/>
      <c r="O251" s="150"/>
      <c r="P251" s="100"/>
      <c r="Q251" s="18"/>
      <c r="R251" s="43" t="str">
        <f t="shared" si="137"/>
        <v/>
      </c>
      <c r="S251" s="18"/>
      <c r="T251" s="18" t="str">
        <f t="shared" si="138"/>
        <v/>
      </c>
      <c r="U251" s="18"/>
      <c r="V251" s="18" t="str">
        <f t="shared" si="139"/>
        <v/>
      </c>
      <c r="W251" s="31"/>
      <c r="X251" s="170" t="str">
        <f t="shared" si="144"/>
        <v/>
      </c>
      <c r="Y251" s="43" t="str">
        <f t="shared" si="144"/>
        <v/>
      </c>
      <c r="Z251" s="18" t="str">
        <f t="shared" si="141"/>
        <v/>
      </c>
      <c r="AA251" s="19" t="str">
        <f t="shared" si="142"/>
        <v/>
      </c>
      <c r="AB251" s="11"/>
    </row>
    <row r="252" spans="1:28" ht="15" customHeight="1" thickTop="1" x14ac:dyDescent="0.2">
      <c r="A252" s="96"/>
      <c r="B252" s="81">
        <f>SUM(D252:D255)+SUM(R252:R255)</f>
        <v>0</v>
      </c>
      <c r="C252" s="36"/>
      <c r="D252" s="36" t="str">
        <f t="shared" si="131"/>
        <v/>
      </c>
      <c r="E252" s="36"/>
      <c r="F252" s="22" t="str">
        <f t="shared" si="132"/>
        <v/>
      </c>
      <c r="G252" s="36"/>
      <c r="H252" s="36" t="str">
        <f t="shared" si="133"/>
        <v/>
      </c>
      <c r="I252" s="53"/>
      <c r="J252" s="168" t="str">
        <f t="shared" si="143"/>
        <v/>
      </c>
      <c r="K252" s="49" t="str">
        <f t="shared" si="143"/>
        <v/>
      </c>
      <c r="L252" s="22" t="str">
        <f t="shared" si="135"/>
        <v/>
      </c>
      <c r="M252" s="23" t="str">
        <f t="shared" si="136"/>
        <v/>
      </c>
      <c r="N252" s="11"/>
      <c r="O252" s="150"/>
      <c r="P252" s="104" t="str">
        <f>IF(A252="","",A252)</f>
        <v/>
      </c>
      <c r="Q252" s="36"/>
      <c r="R252" s="36" t="str">
        <f t="shared" si="137"/>
        <v/>
      </c>
      <c r="S252" s="36"/>
      <c r="T252" s="22" t="str">
        <f t="shared" si="138"/>
        <v/>
      </c>
      <c r="U252" s="36"/>
      <c r="V252" s="36" t="str">
        <f t="shared" si="139"/>
        <v/>
      </c>
      <c r="W252" s="53"/>
      <c r="X252" s="168" t="str">
        <f t="shared" si="144"/>
        <v/>
      </c>
      <c r="Y252" s="49" t="str">
        <f t="shared" si="144"/>
        <v/>
      </c>
      <c r="Z252" s="22" t="str">
        <f t="shared" si="141"/>
        <v/>
      </c>
      <c r="AA252" s="23" t="str">
        <f t="shared" si="142"/>
        <v/>
      </c>
      <c r="AB252" s="11"/>
    </row>
    <row r="253" spans="1:28" ht="15" customHeight="1" x14ac:dyDescent="0.2">
      <c r="A253" s="96"/>
      <c r="B253" s="81"/>
      <c r="C253" s="36"/>
      <c r="D253" s="9" t="str">
        <f t="shared" si="131"/>
        <v/>
      </c>
      <c r="E253" s="9"/>
      <c r="F253" s="9" t="str">
        <f t="shared" si="132"/>
        <v/>
      </c>
      <c r="G253" s="9"/>
      <c r="H253" s="9" t="str">
        <f t="shared" si="133"/>
        <v/>
      </c>
      <c r="I253" s="13"/>
      <c r="J253" s="169" t="str">
        <f t="shared" si="143"/>
        <v/>
      </c>
      <c r="K253" s="37" t="str">
        <f t="shared" si="143"/>
        <v/>
      </c>
      <c r="L253" s="9" t="str">
        <f t="shared" si="135"/>
        <v/>
      </c>
      <c r="M253" s="10" t="str">
        <f t="shared" si="136"/>
        <v/>
      </c>
      <c r="N253" s="11"/>
      <c r="O253" s="150"/>
      <c r="P253" s="96"/>
      <c r="Q253" s="36"/>
      <c r="R253" s="9" t="str">
        <f t="shared" si="137"/>
        <v/>
      </c>
      <c r="S253" s="9"/>
      <c r="T253" s="9" t="str">
        <f t="shared" si="138"/>
        <v/>
      </c>
      <c r="U253" s="9"/>
      <c r="V253" s="9" t="str">
        <f t="shared" si="139"/>
        <v/>
      </c>
      <c r="W253" s="13"/>
      <c r="X253" s="169" t="str">
        <f t="shared" si="144"/>
        <v/>
      </c>
      <c r="Y253" s="37" t="str">
        <f t="shared" si="144"/>
        <v/>
      </c>
      <c r="Z253" s="9" t="str">
        <f t="shared" si="141"/>
        <v/>
      </c>
      <c r="AA253" s="10" t="str">
        <f t="shared" si="142"/>
        <v/>
      </c>
      <c r="AB253" s="11"/>
    </row>
    <row r="254" spans="1:28" ht="15" customHeight="1" x14ac:dyDescent="0.2">
      <c r="A254" s="97"/>
      <c r="B254" s="8"/>
      <c r="C254" s="44"/>
      <c r="D254" s="9" t="str">
        <f t="shared" si="131"/>
        <v/>
      </c>
      <c r="E254" s="9"/>
      <c r="F254" s="9" t="str">
        <f t="shared" si="132"/>
        <v/>
      </c>
      <c r="G254" s="9"/>
      <c r="H254" s="9" t="str">
        <f t="shared" si="133"/>
        <v/>
      </c>
      <c r="I254" s="13"/>
      <c r="J254" s="169" t="str">
        <f t="shared" si="143"/>
        <v/>
      </c>
      <c r="K254" s="9" t="str">
        <f t="shared" si="143"/>
        <v/>
      </c>
      <c r="L254" s="9" t="str">
        <f t="shared" si="135"/>
        <v/>
      </c>
      <c r="M254" s="10" t="str">
        <f t="shared" si="136"/>
        <v/>
      </c>
      <c r="N254" s="11"/>
      <c r="O254" s="150"/>
      <c r="P254" s="97"/>
      <c r="Q254" s="44"/>
      <c r="R254" s="9" t="str">
        <f t="shared" si="137"/>
        <v/>
      </c>
      <c r="S254" s="9"/>
      <c r="T254" s="9" t="str">
        <f t="shared" si="138"/>
        <v/>
      </c>
      <c r="U254" s="9"/>
      <c r="V254" s="9" t="str">
        <f t="shared" si="139"/>
        <v/>
      </c>
      <c r="W254" s="13"/>
      <c r="X254" s="169" t="str">
        <f t="shared" si="144"/>
        <v/>
      </c>
      <c r="Y254" s="9" t="str">
        <f t="shared" si="144"/>
        <v/>
      </c>
      <c r="Z254" s="9" t="str">
        <f t="shared" si="141"/>
        <v/>
      </c>
      <c r="AA254" s="10" t="str">
        <f t="shared" si="142"/>
        <v/>
      </c>
      <c r="AB254" s="11"/>
    </row>
    <row r="255" spans="1:28" ht="15" customHeight="1" thickBot="1" x14ac:dyDescent="0.25">
      <c r="A255" s="100"/>
      <c r="B255" s="87"/>
      <c r="C255" s="42"/>
      <c r="D255" s="43" t="str">
        <f t="shared" si="131"/>
        <v/>
      </c>
      <c r="E255" s="18"/>
      <c r="F255" s="18" t="str">
        <f t="shared" si="132"/>
        <v/>
      </c>
      <c r="G255" s="18"/>
      <c r="H255" s="18" t="str">
        <f t="shared" si="133"/>
        <v/>
      </c>
      <c r="I255" s="31"/>
      <c r="J255" s="170" t="str">
        <f t="shared" si="143"/>
        <v/>
      </c>
      <c r="K255" s="43" t="str">
        <f t="shared" si="143"/>
        <v/>
      </c>
      <c r="L255" s="18" t="str">
        <f t="shared" si="135"/>
        <v/>
      </c>
      <c r="M255" s="19" t="str">
        <f t="shared" si="136"/>
        <v/>
      </c>
      <c r="N255" s="11"/>
      <c r="O255" s="150"/>
      <c r="P255" s="100"/>
      <c r="Q255" s="42"/>
      <c r="R255" s="43" t="str">
        <f t="shared" si="137"/>
        <v/>
      </c>
      <c r="S255" s="18"/>
      <c r="T255" s="18" t="str">
        <f t="shared" si="138"/>
        <v/>
      </c>
      <c r="U255" s="18"/>
      <c r="V255" s="18" t="str">
        <f t="shared" si="139"/>
        <v/>
      </c>
      <c r="W255" s="31"/>
      <c r="X255" s="170" t="str">
        <f t="shared" si="144"/>
        <v/>
      </c>
      <c r="Y255" s="43" t="str">
        <f t="shared" si="144"/>
        <v/>
      </c>
      <c r="Z255" s="18" t="str">
        <f t="shared" si="141"/>
        <v/>
      </c>
      <c r="AA255" s="19" t="str">
        <f t="shared" si="142"/>
        <v/>
      </c>
      <c r="AB255" s="11"/>
    </row>
    <row r="256" spans="1:28" ht="15" customHeight="1" thickTop="1" x14ac:dyDescent="0.2">
      <c r="A256" s="96"/>
      <c r="B256" s="81">
        <f>SUM(D256:D259)+SUM(R256:R259)</f>
        <v>0</v>
      </c>
      <c r="C256" s="36"/>
      <c r="D256" s="36" t="str">
        <f t="shared" si="131"/>
        <v/>
      </c>
      <c r="E256" s="36"/>
      <c r="F256" s="22" t="str">
        <f t="shared" si="132"/>
        <v/>
      </c>
      <c r="G256" s="36"/>
      <c r="H256" s="36" t="str">
        <f t="shared" si="133"/>
        <v/>
      </c>
      <c r="I256" s="53"/>
      <c r="J256" s="168" t="str">
        <f t="shared" si="143"/>
        <v/>
      </c>
      <c r="K256" s="49" t="str">
        <f t="shared" si="143"/>
        <v/>
      </c>
      <c r="L256" s="22" t="str">
        <f t="shared" si="135"/>
        <v/>
      </c>
      <c r="M256" s="23" t="str">
        <f t="shared" si="136"/>
        <v/>
      </c>
      <c r="N256" s="11"/>
      <c r="O256" s="150"/>
      <c r="P256" s="104" t="str">
        <f>IF(A256="","",A256)</f>
        <v/>
      </c>
      <c r="Q256" s="36"/>
      <c r="R256" s="36" t="str">
        <f t="shared" si="137"/>
        <v/>
      </c>
      <c r="S256" s="36"/>
      <c r="T256" s="22" t="str">
        <f t="shared" si="138"/>
        <v/>
      </c>
      <c r="U256" s="36"/>
      <c r="V256" s="36" t="str">
        <f t="shared" si="139"/>
        <v/>
      </c>
      <c r="W256" s="53"/>
      <c r="X256" s="168" t="str">
        <f t="shared" si="144"/>
        <v/>
      </c>
      <c r="Y256" s="49" t="str">
        <f t="shared" si="144"/>
        <v/>
      </c>
      <c r="Z256" s="22" t="str">
        <f t="shared" si="141"/>
        <v/>
      </c>
      <c r="AA256" s="23" t="str">
        <f t="shared" si="142"/>
        <v/>
      </c>
      <c r="AB256" s="11"/>
    </row>
    <row r="257" spans="1:28" ht="15" customHeight="1" x14ac:dyDescent="0.2">
      <c r="A257" s="97"/>
      <c r="B257" s="81"/>
      <c r="C257" s="9"/>
      <c r="D257" s="9" t="str">
        <f t="shared" si="131"/>
        <v/>
      </c>
      <c r="E257" s="9"/>
      <c r="F257" s="9" t="str">
        <f t="shared" si="132"/>
        <v/>
      </c>
      <c r="G257" s="9"/>
      <c r="H257" s="9" t="str">
        <f t="shared" si="133"/>
        <v/>
      </c>
      <c r="I257" s="13"/>
      <c r="J257" s="169" t="str">
        <f t="shared" si="143"/>
        <v/>
      </c>
      <c r="K257" s="37" t="str">
        <f t="shared" si="143"/>
        <v/>
      </c>
      <c r="L257" s="9" t="str">
        <f t="shared" si="135"/>
        <v/>
      </c>
      <c r="M257" s="10" t="str">
        <f t="shared" si="136"/>
        <v/>
      </c>
      <c r="N257" s="11"/>
      <c r="O257" s="150"/>
      <c r="P257" s="97"/>
      <c r="Q257" s="9"/>
      <c r="R257" s="9" t="str">
        <f t="shared" si="137"/>
        <v/>
      </c>
      <c r="S257" s="9"/>
      <c r="T257" s="9" t="str">
        <f t="shared" si="138"/>
        <v/>
      </c>
      <c r="U257" s="9"/>
      <c r="V257" s="9" t="str">
        <f t="shared" si="139"/>
        <v/>
      </c>
      <c r="W257" s="13"/>
      <c r="X257" s="169" t="str">
        <f t="shared" si="144"/>
        <v/>
      </c>
      <c r="Y257" s="37" t="str">
        <f t="shared" si="144"/>
        <v/>
      </c>
      <c r="Z257" s="9" t="str">
        <f t="shared" si="141"/>
        <v/>
      </c>
      <c r="AA257" s="10" t="str">
        <f t="shared" si="142"/>
        <v/>
      </c>
      <c r="AB257" s="11"/>
    </row>
    <row r="258" spans="1:28" ht="15" customHeight="1" x14ac:dyDescent="0.2">
      <c r="A258" s="97"/>
      <c r="B258" s="8"/>
      <c r="C258" s="25"/>
      <c r="D258" s="9" t="str">
        <f t="shared" si="131"/>
        <v/>
      </c>
      <c r="E258" s="9"/>
      <c r="F258" s="9" t="str">
        <f t="shared" si="132"/>
        <v/>
      </c>
      <c r="G258" s="25"/>
      <c r="H258" s="9" t="str">
        <f t="shared" si="133"/>
        <v/>
      </c>
      <c r="I258" s="32"/>
      <c r="J258" s="169" t="str">
        <f t="shared" si="143"/>
        <v/>
      </c>
      <c r="K258" s="9" t="str">
        <f t="shared" si="143"/>
        <v/>
      </c>
      <c r="L258" s="9" t="str">
        <f t="shared" si="135"/>
        <v/>
      </c>
      <c r="M258" s="10" t="str">
        <f t="shared" si="136"/>
        <v/>
      </c>
      <c r="N258" s="11"/>
      <c r="O258" s="150"/>
      <c r="P258" s="97"/>
      <c r="Q258" s="25"/>
      <c r="R258" s="9" t="str">
        <f t="shared" si="137"/>
        <v/>
      </c>
      <c r="S258" s="9"/>
      <c r="T258" s="9" t="str">
        <f t="shared" si="138"/>
        <v/>
      </c>
      <c r="U258" s="25"/>
      <c r="V258" s="9" t="str">
        <f t="shared" si="139"/>
        <v/>
      </c>
      <c r="W258" s="32"/>
      <c r="X258" s="169" t="str">
        <f t="shared" si="144"/>
        <v/>
      </c>
      <c r="Y258" s="9" t="str">
        <f t="shared" si="144"/>
        <v/>
      </c>
      <c r="Z258" s="9" t="str">
        <f t="shared" si="141"/>
        <v/>
      </c>
      <c r="AA258" s="10" t="str">
        <f t="shared" si="142"/>
        <v/>
      </c>
      <c r="AB258" s="11"/>
    </row>
    <row r="259" spans="1:28" ht="15" customHeight="1" thickBot="1" x14ac:dyDescent="0.25">
      <c r="A259" s="100"/>
      <c r="B259" s="87"/>
      <c r="C259" s="18"/>
      <c r="D259" s="43" t="str">
        <f t="shared" si="131"/>
        <v/>
      </c>
      <c r="E259" s="18"/>
      <c r="F259" s="18" t="str">
        <f t="shared" si="132"/>
        <v/>
      </c>
      <c r="G259" s="18"/>
      <c r="H259" s="18" t="str">
        <f t="shared" si="133"/>
        <v/>
      </c>
      <c r="I259" s="31"/>
      <c r="J259" s="170" t="str">
        <f t="shared" si="143"/>
        <v/>
      </c>
      <c r="K259" s="43" t="str">
        <f t="shared" si="143"/>
        <v/>
      </c>
      <c r="L259" s="18" t="str">
        <f t="shared" si="135"/>
        <v/>
      </c>
      <c r="M259" s="19" t="str">
        <f t="shared" si="136"/>
        <v/>
      </c>
      <c r="N259" s="11"/>
      <c r="O259" s="150"/>
      <c r="P259" s="100"/>
      <c r="Q259" s="18"/>
      <c r="R259" s="43" t="str">
        <f t="shared" si="137"/>
        <v/>
      </c>
      <c r="S259" s="18"/>
      <c r="T259" s="18" t="str">
        <f t="shared" si="138"/>
        <v/>
      </c>
      <c r="U259" s="18"/>
      <c r="V259" s="18" t="str">
        <f t="shared" si="139"/>
        <v/>
      </c>
      <c r="W259" s="31"/>
      <c r="X259" s="170" t="str">
        <f t="shared" si="144"/>
        <v/>
      </c>
      <c r="Y259" s="43" t="str">
        <f t="shared" si="144"/>
        <v/>
      </c>
      <c r="Z259" s="18" t="str">
        <f t="shared" si="141"/>
        <v/>
      </c>
      <c r="AA259" s="19" t="str">
        <f t="shared" si="142"/>
        <v/>
      </c>
      <c r="AB259" s="11"/>
    </row>
    <row r="260" spans="1:28" ht="15" customHeight="1" thickTop="1" x14ac:dyDescent="0.2">
      <c r="A260" s="96"/>
      <c r="B260" s="81">
        <f>SUM(D260:D263)+SUM(R260:R263)</f>
        <v>0</v>
      </c>
      <c r="C260" s="36"/>
      <c r="D260" s="36" t="str">
        <f t="shared" si="131"/>
        <v/>
      </c>
      <c r="E260" s="36"/>
      <c r="F260" s="22" t="str">
        <f t="shared" si="132"/>
        <v/>
      </c>
      <c r="G260" s="36"/>
      <c r="H260" s="36" t="str">
        <f t="shared" si="133"/>
        <v/>
      </c>
      <c r="I260" s="53"/>
      <c r="J260" s="168" t="str">
        <f t="shared" si="143"/>
        <v/>
      </c>
      <c r="K260" s="49" t="str">
        <f t="shared" si="143"/>
        <v/>
      </c>
      <c r="L260" s="22" t="str">
        <f t="shared" si="135"/>
        <v/>
      </c>
      <c r="M260" s="23" t="str">
        <f t="shared" si="136"/>
        <v/>
      </c>
      <c r="N260" s="9"/>
      <c r="O260" s="150"/>
      <c r="P260" s="104" t="str">
        <f>IF(A260="","",A260)</f>
        <v/>
      </c>
      <c r="Q260" s="36"/>
      <c r="R260" s="36" t="str">
        <f t="shared" si="137"/>
        <v/>
      </c>
      <c r="S260" s="36"/>
      <c r="T260" s="22" t="str">
        <f t="shared" si="138"/>
        <v/>
      </c>
      <c r="U260" s="36"/>
      <c r="V260" s="36" t="str">
        <f t="shared" si="139"/>
        <v/>
      </c>
      <c r="W260" s="53"/>
      <c r="X260" s="168" t="str">
        <f t="shared" si="144"/>
        <v/>
      </c>
      <c r="Y260" s="49" t="str">
        <f t="shared" si="144"/>
        <v/>
      </c>
      <c r="Z260" s="22" t="str">
        <f t="shared" si="141"/>
        <v/>
      </c>
      <c r="AA260" s="23" t="str">
        <f t="shared" si="142"/>
        <v/>
      </c>
      <c r="AB260" s="11"/>
    </row>
    <row r="261" spans="1:28" ht="15" customHeight="1" x14ac:dyDescent="0.2">
      <c r="A261" s="97"/>
      <c r="B261" s="81"/>
      <c r="C261" s="36"/>
      <c r="D261" s="9" t="str">
        <f t="shared" si="131"/>
        <v/>
      </c>
      <c r="E261" s="9"/>
      <c r="F261" s="9" t="str">
        <f t="shared" si="132"/>
        <v/>
      </c>
      <c r="G261" s="9"/>
      <c r="H261" s="9" t="str">
        <f t="shared" si="133"/>
        <v/>
      </c>
      <c r="I261" s="13"/>
      <c r="J261" s="169" t="str">
        <f t="shared" si="143"/>
        <v/>
      </c>
      <c r="K261" s="37" t="str">
        <f t="shared" si="143"/>
        <v/>
      </c>
      <c r="L261" s="9" t="str">
        <f t="shared" si="135"/>
        <v/>
      </c>
      <c r="M261" s="10" t="str">
        <f t="shared" si="136"/>
        <v/>
      </c>
      <c r="N261" s="9"/>
      <c r="O261" s="150"/>
      <c r="P261" s="97"/>
      <c r="Q261" s="36"/>
      <c r="R261" s="9" t="str">
        <f t="shared" si="137"/>
        <v/>
      </c>
      <c r="S261" s="9"/>
      <c r="T261" s="9" t="str">
        <f t="shared" si="138"/>
        <v/>
      </c>
      <c r="U261" s="9"/>
      <c r="V261" s="9" t="str">
        <f t="shared" si="139"/>
        <v/>
      </c>
      <c r="W261" s="13"/>
      <c r="X261" s="169" t="str">
        <f t="shared" si="144"/>
        <v/>
      </c>
      <c r="Y261" s="37" t="str">
        <f t="shared" si="144"/>
        <v/>
      </c>
      <c r="Z261" s="9" t="str">
        <f t="shared" si="141"/>
        <v/>
      </c>
      <c r="AA261" s="10" t="str">
        <f t="shared" si="142"/>
        <v/>
      </c>
      <c r="AB261" s="11"/>
    </row>
    <row r="262" spans="1:28" ht="15" customHeight="1" x14ac:dyDescent="0.2">
      <c r="A262" s="99"/>
      <c r="B262" s="8"/>
      <c r="C262" s="44"/>
      <c r="D262" s="9" t="str">
        <f t="shared" si="131"/>
        <v/>
      </c>
      <c r="E262" s="9"/>
      <c r="F262" s="9" t="str">
        <f t="shared" si="132"/>
        <v/>
      </c>
      <c r="G262" s="9"/>
      <c r="H262" s="9" t="str">
        <f t="shared" si="133"/>
        <v/>
      </c>
      <c r="I262" s="13"/>
      <c r="J262" s="169" t="str">
        <f t="shared" si="143"/>
        <v/>
      </c>
      <c r="K262" s="9" t="str">
        <f t="shared" si="143"/>
        <v/>
      </c>
      <c r="L262" s="9" t="str">
        <f t="shared" si="135"/>
        <v/>
      </c>
      <c r="M262" s="10" t="str">
        <f t="shared" si="136"/>
        <v/>
      </c>
      <c r="N262" s="9"/>
      <c r="O262" s="150"/>
      <c r="P262" s="97"/>
      <c r="Q262" s="44"/>
      <c r="R262" s="9" t="str">
        <f t="shared" si="137"/>
        <v/>
      </c>
      <c r="S262" s="9"/>
      <c r="T262" s="9" t="str">
        <f t="shared" si="138"/>
        <v/>
      </c>
      <c r="U262" s="9"/>
      <c r="V262" s="9" t="str">
        <f t="shared" si="139"/>
        <v/>
      </c>
      <c r="W262" s="13"/>
      <c r="X262" s="169" t="str">
        <f t="shared" si="144"/>
        <v/>
      </c>
      <c r="Y262" s="9" t="str">
        <f t="shared" si="144"/>
        <v/>
      </c>
      <c r="Z262" s="9" t="str">
        <f t="shared" si="141"/>
        <v/>
      </c>
      <c r="AA262" s="10" t="str">
        <f t="shared" si="142"/>
        <v/>
      </c>
      <c r="AB262" s="11"/>
    </row>
    <row r="263" spans="1:28" ht="15" customHeight="1" thickBot="1" x14ac:dyDescent="0.25">
      <c r="A263" s="100"/>
      <c r="B263" s="87"/>
      <c r="C263" s="42"/>
      <c r="D263" s="43" t="str">
        <f t="shared" si="131"/>
        <v/>
      </c>
      <c r="E263" s="18"/>
      <c r="F263" s="18" t="str">
        <f t="shared" si="132"/>
        <v/>
      </c>
      <c r="G263" s="18"/>
      <c r="H263" s="18" t="str">
        <f t="shared" si="133"/>
        <v/>
      </c>
      <c r="I263" s="31"/>
      <c r="J263" s="170" t="str">
        <f t="shared" si="143"/>
        <v/>
      </c>
      <c r="K263" s="43" t="str">
        <f t="shared" si="143"/>
        <v/>
      </c>
      <c r="L263" s="18" t="str">
        <f t="shared" si="135"/>
        <v/>
      </c>
      <c r="M263" s="19" t="str">
        <f t="shared" si="136"/>
        <v/>
      </c>
      <c r="N263" s="9"/>
      <c r="O263" s="150"/>
      <c r="P263" s="100"/>
      <c r="Q263" s="42"/>
      <c r="R263" s="43" t="str">
        <f t="shared" si="137"/>
        <v/>
      </c>
      <c r="S263" s="18"/>
      <c r="T263" s="18" t="str">
        <f t="shared" si="138"/>
        <v/>
      </c>
      <c r="U263" s="18"/>
      <c r="V263" s="18" t="str">
        <f t="shared" si="139"/>
        <v/>
      </c>
      <c r="W263" s="31"/>
      <c r="X263" s="170" t="str">
        <f t="shared" si="144"/>
        <v/>
      </c>
      <c r="Y263" s="43" t="str">
        <f t="shared" si="144"/>
        <v/>
      </c>
      <c r="Z263" s="18" t="str">
        <f t="shared" si="141"/>
        <v/>
      </c>
      <c r="AA263" s="19" t="str">
        <f t="shared" si="142"/>
        <v/>
      </c>
      <c r="AB263" s="11"/>
    </row>
    <row r="264" spans="1:28" ht="15" customHeight="1" thickTop="1" x14ac:dyDescent="0.2">
      <c r="A264" s="96"/>
      <c r="B264" s="81">
        <f>SUM(D264:D267)+SUM(R264:R267)</f>
        <v>0</v>
      </c>
      <c r="C264" s="36"/>
      <c r="D264" s="36" t="str">
        <f t="shared" si="131"/>
        <v/>
      </c>
      <c r="E264" s="36"/>
      <c r="F264" s="22" t="str">
        <f t="shared" si="132"/>
        <v/>
      </c>
      <c r="G264" s="36"/>
      <c r="H264" s="36" t="str">
        <f t="shared" si="133"/>
        <v/>
      </c>
      <c r="I264" s="53"/>
      <c r="J264" s="168" t="str">
        <f t="shared" ref="J264:K267" si="145">IF(C264="","",J260)</f>
        <v/>
      </c>
      <c r="K264" s="49" t="str">
        <f t="shared" si="145"/>
        <v/>
      </c>
      <c r="L264" s="22" t="str">
        <f t="shared" si="135"/>
        <v/>
      </c>
      <c r="M264" s="23" t="str">
        <f t="shared" si="136"/>
        <v/>
      </c>
      <c r="N264" s="9"/>
      <c r="O264" s="150"/>
      <c r="P264" s="104" t="str">
        <f>IF(A264="","",A264)</f>
        <v/>
      </c>
      <c r="Q264" s="36"/>
      <c r="R264" s="36" t="str">
        <f t="shared" si="137"/>
        <v/>
      </c>
      <c r="S264" s="36"/>
      <c r="T264" s="22" t="str">
        <f t="shared" si="138"/>
        <v/>
      </c>
      <c r="U264" s="36"/>
      <c r="V264" s="36" t="str">
        <f t="shared" si="139"/>
        <v/>
      </c>
      <c r="W264" s="53"/>
      <c r="X264" s="168" t="str">
        <f t="shared" ref="X264:Y267" si="146">IF(Q264="","",X260)</f>
        <v/>
      </c>
      <c r="Y264" s="49" t="str">
        <f t="shared" si="146"/>
        <v/>
      </c>
      <c r="Z264" s="22" t="str">
        <f t="shared" si="141"/>
        <v/>
      </c>
      <c r="AA264" s="23" t="str">
        <f t="shared" si="142"/>
        <v/>
      </c>
      <c r="AB264" s="11"/>
    </row>
    <row r="265" spans="1:28" ht="15" customHeight="1" x14ac:dyDescent="0.2">
      <c r="A265" s="97"/>
      <c r="B265" s="8"/>
      <c r="C265" s="9"/>
      <c r="D265" s="9" t="str">
        <f t="shared" si="131"/>
        <v/>
      </c>
      <c r="E265" s="9"/>
      <c r="F265" s="9" t="str">
        <f t="shared" si="132"/>
        <v/>
      </c>
      <c r="G265" s="9"/>
      <c r="H265" s="9" t="str">
        <f t="shared" si="133"/>
        <v/>
      </c>
      <c r="I265" s="13"/>
      <c r="J265" s="169" t="str">
        <f t="shared" si="145"/>
        <v/>
      </c>
      <c r="K265" s="37" t="str">
        <f t="shared" si="145"/>
        <v/>
      </c>
      <c r="L265" s="9" t="str">
        <f t="shared" si="135"/>
        <v/>
      </c>
      <c r="M265" s="10" t="str">
        <f t="shared" si="136"/>
        <v/>
      </c>
      <c r="N265" s="9"/>
      <c r="O265" s="150"/>
      <c r="P265" s="97"/>
      <c r="Q265" s="9"/>
      <c r="R265" s="9" t="str">
        <f t="shared" si="137"/>
        <v/>
      </c>
      <c r="S265" s="9"/>
      <c r="T265" s="9" t="str">
        <f t="shared" si="138"/>
        <v/>
      </c>
      <c r="U265" s="9"/>
      <c r="V265" s="9" t="str">
        <f t="shared" si="139"/>
        <v/>
      </c>
      <c r="W265" s="13"/>
      <c r="X265" s="169" t="str">
        <f t="shared" si="146"/>
        <v/>
      </c>
      <c r="Y265" s="37" t="str">
        <f t="shared" si="146"/>
        <v/>
      </c>
      <c r="Z265" s="9" t="str">
        <f t="shared" si="141"/>
        <v/>
      </c>
      <c r="AA265" s="10" t="str">
        <f t="shared" si="142"/>
        <v/>
      </c>
      <c r="AB265" s="11"/>
    </row>
    <row r="266" spans="1:28" ht="15" customHeight="1" x14ac:dyDescent="0.2">
      <c r="A266" s="97"/>
      <c r="B266" s="8"/>
      <c r="C266" s="25"/>
      <c r="D266" s="9" t="str">
        <f t="shared" si="131"/>
        <v/>
      </c>
      <c r="E266" s="9"/>
      <c r="F266" s="9" t="str">
        <f t="shared" si="132"/>
        <v/>
      </c>
      <c r="G266" s="25"/>
      <c r="H266" s="9" t="str">
        <f t="shared" si="133"/>
        <v/>
      </c>
      <c r="I266" s="32"/>
      <c r="J266" s="169" t="str">
        <f t="shared" si="145"/>
        <v/>
      </c>
      <c r="K266" s="9" t="str">
        <f t="shared" si="145"/>
        <v/>
      </c>
      <c r="L266" s="9" t="str">
        <f t="shared" si="135"/>
        <v/>
      </c>
      <c r="M266" s="10" t="str">
        <f t="shared" si="136"/>
        <v/>
      </c>
      <c r="N266" s="9"/>
      <c r="O266" s="150"/>
      <c r="P266" s="97"/>
      <c r="Q266" s="25"/>
      <c r="R266" s="9" t="str">
        <f t="shared" si="137"/>
        <v/>
      </c>
      <c r="S266" s="9"/>
      <c r="T266" s="9" t="str">
        <f t="shared" si="138"/>
        <v/>
      </c>
      <c r="U266" s="25"/>
      <c r="V266" s="9" t="str">
        <f t="shared" si="139"/>
        <v/>
      </c>
      <c r="W266" s="32"/>
      <c r="X266" s="169" t="str">
        <f t="shared" si="146"/>
        <v/>
      </c>
      <c r="Y266" s="9" t="str">
        <f t="shared" si="146"/>
        <v/>
      </c>
      <c r="Z266" s="9" t="str">
        <f t="shared" si="141"/>
        <v/>
      </c>
      <c r="AA266" s="10" t="str">
        <f t="shared" si="142"/>
        <v/>
      </c>
      <c r="AB266" s="11"/>
    </row>
    <row r="267" spans="1:28" ht="15" customHeight="1" thickBot="1" x14ac:dyDescent="0.25">
      <c r="A267" s="100"/>
      <c r="B267" s="82"/>
      <c r="C267" s="18"/>
      <c r="D267" s="43" t="str">
        <f t="shared" si="131"/>
        <v/>
      </c>
      <c r="E267" s="18"/>
      <c r="F267" s="18" t="str">
        <f t="shared" si="132"/>
        <v/>
      </c>
      <c r="G267" s="18"/>
      <c r="H267" s="18" t="str">
        <f t="shared" si="133"/>
        <v/>
      </c>
      <c r="I267" s="31"/>
      <c r="J267" s="170" t="str">
        <f t="shared" si="145"/>
        <v/>
      </c>
      <c r="K267" s="43" t="str">
        <f t="shared" si="145"/>
        <v/>
      </c>
      <c r="L267" s="18" t="str">
        <f t="shared" si="135"/>
        <v/>
      </c>
      <c r="M267" s="19" t="str">
        <f t="shared" si="136"/>
        <v/>
      </c>
      <c r="N267" s="9"/>
      <c r="O267" s="150"/>
      <c r="P267" s="100"/>
      <c r="Q267" s="18"/>
      <c r="R267" s="43" t="str">
        <f t="shared" si="137"/>
        <v/>
      </c>
      <c r="S267" s="18"/>
      <c r="T267" s="18" t="str">
        <f t="shared" si="138"/>
        <v/>
      </c>
      <c r="U267" s="18"/>
      <c r="V267" s="18" t="str">
        <f t="shared" si="139"/>
        <v/>
      </c>
      <c r="W267" s="31"/>
      <c r="X267" s="170" t="str">
        <f t="shared" si="146"/>
        <v/>
      </c>
      <c r="Y267" s="43" t="str">
        <f t="shared" si="146"/>
        <v/>
      </c>
      <c r="Z267" s="18" t="str">
        <f t="shared" si="141"/>
        <v/>
      </c>
      <c r="AA267" s="19" t="str">
        <f t="shared" si="142"/>
        <v/>
      </c>
      <c r="AB267" s="11"/>
    </row>
    <row r="268" spans="1:28" ht="15" customHeight="1" thickTop="1" x14ac:dyDescent="0.2">
      <c r="A268" s="96"/>
      <c r="B268" s="81">
        <f>SUM(D268:D271)+SUM(R268:R271)</f>
        <v>0</v>
      </c>
      <c r="C268" s="36"/>
      <c r="D268" s="36" t="str">
        <f t="shared" ref="D268:D283" si="147">IF(C268="","",C268-C264)</f>
        <v/>
      </c>
      <c r="E268" s="36"/>
      <c r="F268" s="22" t="str">
        <f t="shared" ref="F268:F283" si="148">IF(E268="","",E268-E264)</f>
        <v/>
      </c>
      <c r="G268" s="36"/>
      <c r="H268" s="36" t="str">
        <f t="shared" ref="H268:H278" si="149">IF(G268="","",G264+I264-G268)</f>
        <v/>
      </c>
      <c r="I268" s="53"/>
      <c r="J268" s="168" t="str">
        <f t="shared" ref="J268:J279" si="150">IF(C268="","",J264)</f>
        <v/>
      </c>
      <c r="K268" s="49" t="str">
        <f t="shared" ref="K268:K283" si="151">IF(D268="","",K264)</f>
        <v/>
      </c>
      <c r="L268" s="22" t="str">
        <f t="shared" ref="L268:L283" si="152">IF(G268="","",H268*K268)</f>
        <v/>
      </c>
      <c r="M268" s="23" t="str">
        <f t="shared" ref="M268:M283" si="153">IF(H268="","",L268/(D268*100))</f>
        <v/>
      </c>
      <c r="N268" s="9"/>
      <c r="O268" s="150"/>
      <c r="P268" s="104" t="str">
        <f>IF(A268="","",A268)</f>
        <v/>
      </c>
      <c r="Q268" s="36"/>
      <c r="R268" s="36"/>
      <c r="S268" s="36"/>
      <c r="T268" s="22" t="str">
        <f t="shared" ref="T268:T283" si="154">IF(S268="","",S268-S264)</f>
        <v/>
      </c>
      <c r="U268" s="36"/>
      <c r="V268" s="36" t="str">
        <f t="shared" ref="V268:V283" si="155">IF(U268="","",U264+W264-U268)</f>
        <v/>
      </c>
      <c r="W268" s="53"/>
      <c r="X268" s="168" t="str">
        <f t="shared" ref="X268:X283" si="156">IF(Q268="","",X264)</f>
        <v/>
      </c>
      <c r="Y268" s="49" t="str">
        <f t="shared" ref="Y268:Y283" si="157">IF(R268="","",Y264)</f>
        <v/>
      </c>
      <c r="Z268" s="22" t="str">
        <f t="shared" ref="Z268:Z283" si="158">IF(U268="","",V268*Y268)</f>
        <v/>
      </c>
      <c r="AA268" s="23" t="str">
        <f t="shared" ref="AA268:AA283" si="159">IF(V268="","",Z268/(R268*100))</f>
        <v/>
      </c>
      <c r="AB268" s="11"/>
    </row>
    <row r="269" spans="1:28" ht="15" customHeight="1" x14ac:dyDescent="0.2">
      <c r="A269" s="97"/>
      <c r="B269" s="8"/>
      <c r="C269" s="36"/>
      <c r="D269" s="9" t="str">
        <f t="shared" si="147"/>
        <v/>
      </c>
      <c r="E269" s="9"/>
      <c r="F269" s="9" t="str">
        <f t="shared" si="148"/>
        <v/>
      </c>
      <c r="G269" s="9"/>
      <c r="H269" s="9" t="str">
        <f t="shared" si="149"/>
        <v/>
      </c>
      <c r="I269" s="13"/>
      <c r="J269" s="169" t="str">
        <f t="shared" si="150"/>
        <v/>
      </c>
      <c r="K269" s="37" t="str">
        <f t="shared" si="151"/>
        <v/>
      </c>
      <c r="L269" s="9" t="str">
        <f t="shared" si="152"/>
        <v/>
      </c>
      <c r="M269" s="10" t="str">
        <f t="shared" si="153"/>
        <v/>
      </c>
      <c r="N269" s="9"/>
      <c r="O269" s="150"/>
      <c r="P269" s="97"/>
      <c r="Q269" s="36"/>
      <c r="R269" s="9" t="str">
        <f t="shared" ref="R269:R283" si="160">IF(Q269="","",Q269-Q265)</f>
        <v/>
      </c>
      <c r="S269" s="9"/>
      <c r="T269" s="9" t="str">
        <f t="shared" si="154"/>
        <v/>
      </c>
      <c r="U269" s="9"/>
      <c r="V269" s="9" t="str">
        <f t="shared" si="155"/>
        <v/>
      </c>
      <c r="W269" s="13"/>
      <c r="X269" s="169" t="str">
        <f t="shared" si="156"/>
        <v/>
      </c>
      <c r="Y269" s="37" t="str">
        <f t="shared" si="157"/>
        <v/>
      </c>
      <c r="Z269" s="9" t="str">
        <f t="shared" si="158"/>
        <v/>
      </c>
      <c r="AA269" s="10" t="str">
        <f t="shared" si="159"/>
        <v/>
      </c>
      <c r="AB269" s="11"/>
    </row>
    <row r="270" spans="1:28" ht="15" customHeight="1" x14ac:dyDescent="0.2">
      <c r="A270" s="97"/>
      <c r="B270" s="8"/>
      <c r="C270" s="44"/>
      <c r="D270" s="9" t="str">
        <f t="shared" si="147"/>
        <v/>
      </c>
      <c r="E270" s="9"/>
      <c r="F270" s="9" t="str">
        <f t="shared" si="148"/>
        <v/>
      </c>
      <c r="G270" s="9"/>
      <c r="H270" s="9" t="str">
        <f t="shared" si="149"/>
        <v/>
      </c>
      <c r="I270" s="13"/>
      <c r="J270" s="169" t="str">
        <f t="shared" si="150"/>
        <v/>
      </c>
      <c r="K270" s="9" t="str">
        <f t="shared" si="151"/>
        <v/>
      </c>
      <c r="L270" s="9" t="str">
        <f t="shared" si="152"/>
        <v/>
      </c>
      <c r="M270" s="10" t="str">
        <f t="shared" si="153"/>
        <v/>
      </c>
      <c r="N270" s="9"/>
      <c r="O270" s="150"/>
      <c r="P270" s="97"/>
      <c r="Q270" s="44"/>
      <c r="R270" s="9" t="str">
        <f t="shared" si="160"/>
        <v/>
      </c>
      <c r="S270" s="9"/>
      <c r="T270" s="9" t="str">
        <f t="shared" si="154"/>
        <v/>
      </c>
      <c r="U270" s="9"/>
      <c r="V270" s="9" t="str">
        <f t="shared" si="155"/>
        <v/>
      </c>
      <c r="W270" s="13"/>
      <c r="X270" s="169" t="str">
        <f t="shared" si="156"/>
        <v/>
      </c>
      <c r="Y270" s="9" t="str">
        <f t="shared" si="157"/>
        <v/>
      </c>
      <c r="Z270" s="9" t="str">
        <f t="shared" si="158"/>
        <v/>
      </c>
      <c r="AA270" s="10" t="str">
        <f t="shared" si="159"/>
        <v/>
      </c>
      <c r="AB270" s="11"/>
    </row>
    <row r="271" spans="1:28" ht="15" customHeight="1" thickBot="1" x14ac:dyDescent="0.25">
      <c r="A271" s="100"/>
      <c r="B271" s="82"/>
      <c r="C271" s="42"/>
      <c r="D271" s="43" t="str">
        <f t="shared" si="147"/>
        <v/>
      </c>
      <c r="E271" s="18"/>
      <c r="F271" s="18" t="str">
        <f t="shared" si="148"/>
        <v/>
      </c>
      <c r="G271" s="18"/>
      <c r="H271" s="18" t="str">
        <f t="shared" si="149"/>
        <v/>
      </c>
      <c r="I271" s="31"/>
      <c r="J271" s="170" t="str">
        <f t="shared" si="150"/>
        <v/>
      </c>
      <c r="K271" s="43" t="str">
        <f t="shared" si="151"/>
        <v/>
      </c>
      <c r="L271" s="18" t="str">
        <f t="shared" si="152"/>
        <v/>
      </c>
      <c r="M271" s="19" t="str">
        <f t="shared" si="153"/>
        <v/>
      </c>
      <c r="N271" s="9"/>
      <c r="O271" s="150"/>
      <c r="P271" s="100"/>
      <c r="Q271" s="42"/>
      <c r="R271" s="43" t="str">
        <f t="shared" si="160"/>
        <v/>
      </c>
      <c r="S271" s="18"/>
      <c r="T271" s="18" t="str">
        <f t="shared" si="154"/>
        <v/>
      </c>
      <c r="U271" s="18"/>
      <c r="V271" s="18" t="str">
        <f t="shared" si="155"/>
        <v/>
      </c>
      <c r="W271" s="31"/>
      <c r="X271" s="170" t="str">
        <f t="shared" si="156"/>
        <v/>
      </c>
      <c r="Y271" s="43" t="str">
        <f t="shared" si="157"/>
        <v/>
      </c>
      <c r="Z271" s="18" t="str">
        <f t="shared" si="158"/>
        <v/>
      </c>
      <c r="AA271" s="19" t="str">
        <f t="shared" si="159"/>
        <v/>
      </c>
      <c r="AB271" s="11"/>
    </row>
    <row r="272" spans="1:28" ht="15" customHeight="1" thickTop="1" x14ac:dyDescent="0.2">
      <c r="A272" s="96"/>
      <c r="B272" s="81">
        <f>SUM(D272:D275)+SUM(R272:R275)</f>
        <v>0</v>
      </c>
      <c r="C272" s="36"/>
      <c r="D272" s="36" t="str">
        <f t="shared" si="147"/>
        <v/>
      </c>
      <c r="E272" s="36"/>
      <c r="F272" s="22" t="str">
        <f t="shared" si="148"/>
        <v/>
      </c>
      <c r="G272" s="36"/>
      <c r="H272" s="36" t="str">
        <f t="shared" si="149"/>
        <v/>
      </c>
      <c r="I272" s="13"/>
      <c r="J272" s="168" t="str">
        <f t="shared" si="150"/>
        <v/>
      </c>
      <c r="K272" s="49" t="str">
        <f t="shared" si="151"/>
        <v/>
      </c>
      <c r="L272" s="22" t="str">
        <f t="shared" si="152"/>
        <v/>
      </c>
      <c r="M272" s="23" t="str">
        <f t="shared" si="153"/>
        <v/>
      </c>
      <c r="N272" s="9"/>
      <c r="O272" s="150"/>
      <c r="P272" s="104" t="str">
        <f>IF(A272="","",A272)</f>
        <v/>
      </c>
      <c r="Q272" s="36"/>
      <c r="R272" s="36" t="str">
        <f t="shared" si="160"/>
        <v/>
      </c>
      <c r="S272" s="36"/>
      <c r="T272" s="22" t="str">
        <f t="shared" si="154"/>
        <v/>
      </c>
      <c r="U272" s="36"/>
      <c r="V272" s="36" t="str">
        <f t="shared" si="155"/>
        <v/>
      </c>
      <c r="W272" s="13"/>
      <c r="X272" s="151" t="str">
        <f t="shared" si="156"/>
        <v/>
      </c>
      <c r="Y272" s="49" t="str">
        <f t="shared" si="157"/>
        <v/>
      </c>
      <c r="Z272" s="22" t="str">
        <f t="shared" si="158"/>
        <v/>
      </c>
      <c r="AA272" s="23" t="str">
        <f t="shared" si="159"/>
        <v/>
      </c>
      <c r="AB272" s="11"/>
    </row>
    <row r="273" spans="1:28" ht="15" customHeight="1" x14ac:dyDescent="0.2">
      <c r="A273" s="97"/>
      <c r="B273" s="8"/>
      <c r="C273" s="9"/>
      <c r="D273" s="9" t="str">
        <f t="shared" si="147"/>
        <v/>
      </c>
      <c r="E273" s="9"/>
      <c r="F273" s="9" t="str">
        <f t="shared" si="148"/>
        <v/>
      </c>
      <c r="G273" s="9"/>
      <c r="H273" s="9" t="str">
        <f t="shared" si="149"/>
        <v/>
      </c>
      <c r="I273" s="13"/>
      <c r="J273" s="169" t="str">
        <f t="shared" si="150"/>
        <v/>
      </c>
      <c r="K273" s="37" t="str">
        <f t="shared" si="151"/>
        <v/>
      </c>
      <c r="L273" s="9" t="str">
        <f t="shared" si="152"/>
        <v/>
      </c>
      <c r="M273" s="10" t="str">
        <f t="shared" si="153"/>
        <v/>
      </c>
      <c r="N273" s="9"/>
      <c r="O273" s="150"/>
      <c r="P273" s="97"/>
      <c r="Q273" s="9"/>
      <c r="R273" s="9" t="str">
        <f t="shared" si="160"/>
        <v/>
      </c>
      <c r="S273" s="9"/>
      <c r="T273" s="9" t="str">
        <f t="shared" si="154"/>
        <v/>
      </c>
      <c r="U273" s="9"/>
      <c r="V273" s="9" t="str">
        <f t="shared" si="155"/>
        <v/>
      </c>
      <c r="W273" s="13"/>
      <c r="X273" s="152" t="str">
        <f t="shared" si="156"/>
        <v/>
      </c>
      <c r="Y273" s="37" t="str">
        <f t="shared" si="157"/>
        <v/>
      </c>
      <c r="Z273" s="9" t="str">
        <f t="shared" si="158"/>
        <v/>
      </c>
      <c r="AA273" s="10" t="str">
        <f t="shared" si="159"/>
        <v/>
      </c>
      <c r="AB273" s="11"/>
    </row>
    <row r="274" spans="1:28" ht="15" customHeight="1" x14ac:dyDescent="0.2">
      <c r="A274" s="97"/>
      <c r="B274" s="8"/>
      <c r="C274" s="25"/>
      <c r="D274" s="9" t="str">
        <f t="shared" si="147"/>
        <v/>
      </c>
      <c r="E274" s="9"/>
      <c r="F274" s="9" t="str">
        <f t="shared" si="148"/>
        <v/>
      </c>
      <c r="G274" s="25"/>
      <c r="H274" s="9" t="str">
        <f t="shared" si="149"/>
        <v/>
      </c>
      <c r="I274" s="32"/>
      <c r="J274" s="169" t="str">
        <f t="shared" si="150"/>
        <v/>
      </c>
      <c r="K274" s="9" t="str">
        <f t="shared" si="151"/>
        <v/>
      </c>
      <c r="L274" s="9" t="str">
        <f t="shared" si="152"/>
        <v/>
      </c>
      <c r="M274" s="10" t="str">
        <f t="shared" si="153"/>
        <v/>
      </c>
      <c r="N274" s="9"/>
      <c r="O274" s="150"/>
      <c r="P274" s="12"/>
      <c r="Q274" s="25"/>
      <c r="R274" s="9" t="str">
        <f t="shared" si="160"/>
        <v/>
      </c>
      <c r="S274" s="9"/>
      <c r="T274" s="9" t="str">
        <f t="shared" si="154"/>
        <v/>
      </c>
      <c r="U274" s="25"/>
      <c r="V274" s="9" t="str">
        <f t="shared" si="155"/>
        <v/>
      </c>
      <c r="W274" s="13"/>
      <c r="X274" s="152" t="str">
        <f t="shared" si="156"/>
        <v/>
      </c>
      <c r="Y274" s="9" t="str">
        <f t="shared" si="157"/>
        <v/>
      </c>
      <c r="Z274" s="9" t="str">
        <f t="shared" si="158"/>
        <v/>
      </c>
      <c r="AA274" s="10" t="str">
        <f t="shared" si="159"/>
        <v/>
      </c>
      <c r="AB274" s="11"/>
    </row>
    <row r="275" spans="1:28" ht="15" customHeight="1" thickBot="1" x14ac:dyDescent="0.25">
      <c r="A275" s="100"/>
      <c r="B275" s="87"/>
      <c r="C275" s="18"/>
      <c r="D275" s="43" t="str">
        <f t="shared" si="147"/>
        <v/>
      </c>
      <c r="E275" s="18"/>
      <c r="F275" s="18" t="str">
        <f t="shared" si="148"/>
        <v/>
      </c>
      <c r="G275" s="121"/>
      <c r="H275" s="20" t="str">
        <f t="shared" si="149"/>
        <v/>
      </c>
      <c r="I275" s="122"/>
      <c r="J275" s="153" t="str">
        <f t="shared" si="150"/>
        <v/>
      </c>
      <c r="K275" s="43" t="str">
        <f t="shared" si="151"/>
        <v/>
      </c>
      <c r="L275" s="18" t="str">
        <f t="shared" si="152"/>
        <v/>
      </c>
      <c r="M275" s="19" t="str">
        <f t="shared" si="153"/>
        <v/>
      </c>
      <c r="N275" s="11"/>
      <c r="P275" s="17"/>
      <c r="Q275" s="18"/>
      <c r="R275" s="43" t="str">
        <f t="shared" si="160"/>
        <v/>
      </c>
      <c r="S275" s="18"/>
      <c r="T275" s="18" t="str">
        <f t="shared" si="154"/>
        <v/>
      </c>
      <c r="U275" s="121"/>
      <c r="V275" s="18" t="str">
        <f t="shared" si="155"/>
        <v/>
      </c>
      <c r="W275" s="122"/>
      <c r="X275" s="156" t="str">
        <f t="shared" si="156"/>
        <v/>
      </c>
      <c r="Y275" s="43" t="str">
        <f t="shared" si="157"/>
        <v/>
      </c>
      <c r="Z275" s="18" t="str">
        <f t="shared" si="158"/>
        <v/>
      </c>
      <c r="AA275" s="19" t="str">
        <f t="shared" si="159"/>
        <v/>
      </c>
      <c r="AB275" s="11"/>
    </row>
    <row r="276" spans="1:28" ht="15" customHeight="1" thickTop="1" x14ac:dyDescent="0.2">
      <c r="A276" s="96"/>
      <c r="B276" s="81">
        <f>SUM(D276:D279)+SUM(R276:R279)</f>
        <v>0</v>
      </c>
      <c r="C276" s="36"/>
      <c r="D276" s="36" t="str">
        <f t="shared" si="147"/>
        <v/>
      </c>
      <c r="E276" s="36"/>
      <c r="F276" s="22" t="str">
        <f t="shared" si="148"/>
        <v/>
      </c>
      <c r="G276" s="36"/>
      <c r="H276" s="36" t="str">
        <f t="shared" si="149"/>
        <v/>
      </c>
      <c r="I276" s="36"/>
      <c r="J276" s="154" t="str">
        <f t="shared" si="150"/>
        <v/>
      </c>
      <c r="K276" s="49" t="str">
        <f t="shared" si="151"/>
        <v/>
      </c>
      <c r="L276" s="22" t="str">
        <f t="shared" si="152"/>
        <v/>
      </c>
      <c r="M276" s="23" t="str">
        <f t="shared" si="153"/>
        <v/>
      </c>
      <c r="N276" s="11"/>
      <c r="P276" s="57" t="str">
        <f>IF(A276="","",A276)</f>
        <v/>
      </c>
      <c r="Q276" s="36"/>
      <c r="R276" s="36" t="str">
        <f t="shared" si="160"/>
        <v/>
      </c>
      <c r="S276" s="36"/>
      <c r="T276" s="22" t="str">
        <f t="shared" si="154"/>
        <v/>
      </c>
      <c r="U276" s="36"/>
      <c r="V276" s="36" t="str">
        <f t="shared" si="155"/>
        <v/>
      </c>
      <c r="W276" s="36"/>
      <c r="X276" s="157" t="str">
        <f t="shared" si="156"/>
        <v/>
      </c>
      <c r="Y276" s="49" t="str">
        <f t="shared" si="157"/>
        <v/>
      </c>
      <c r="Z276" s="22" t="str">
        <f t="shared" si="158"/>
        <v/>
      </c>
      <c r="AA276" s="23" t="str">
        <f t="shared" si="159"/>
        <v/>
      </c>
      <c r="AB276" s="11"/>
    </row>
    <row r="277" spans="1:28" ht="15" customHeight="1" x14ac:dyDescent="0.2">
      <c r="A277" s="97"/>
      <c r="B277" s="8"/>
      <c r="C277" s="9"/>
      <c r="D277" s="9" t="str">
        <f t="shared" si="147"/>
        <v/>
      </c>
      <c r="E277" s="9"/>
      <c r="F277" s="9" t="str">
        <f t="shared" si="148"/>
        <v/>
      </c>
      <c r="G277" s="9"/>
      <c r="H277" s="9" t="str">
        <f t="shared" si="149"/>
        <v/>
      </c>
      <c r="I277" s="9"/>
      <c r="J277" s="155" t="str">
        <f t="shared" si="150"/>
        <v/>
      </c>
      <c r="K277" s="37" t="str">
        <f t="shared" si="151"/>
        <v/>
      </c>
      <c r="L277" s="9" t="str">
        <f t="shared" si="152"/>
        <v/>
      </c>
      <c r="M277" s="10" t="str">
        <f t="shared" si="153"/>
        <v/>
      </c>
      <c r="N277" s="11"/>
      <c r="P277" s="12"/>
      <c r="Q277" s="9"/>
      <c r="R277" s="9" t="str">
        <f t="shared" si="160"/>
        <v/>
      </c>
      <c r="S277" s="9"/>
      <c r="T277" s="9" t="str">
        <f t="shared" si="154"/>
        <v/>
      </c>
      <c r="U277" s="9"/>
      <c r="V277" s="9" t="str">
        <f t="shared" si="155"/>
        <v/>
      </c>
      <c r="W277" s="9"/>
      <c r="X277" s="158" t="str">
        <f t="shared" si="156"/>
        <v/>
      </c>
      <c r="Y277" s="37" t="str">
        <f t="shared" si="157"/>
        <v/>
      </c>
      <c r="Z277" s="9" t="str">
        <f t="shared" si="158"/>
        <v/>
      </c>
      <c r="AA277" s="10" t="str">
        <f t="shared" si="159"/>
        <v/>
      </c>
      <c r="AB277" s="11"/>
    </row>
    <row r="278" spans="1:28" ht="15" customHeight="1" x14ac:dyDescent="0.2">
      <c r="A278" s="97"/>
      <c r="B278" s="8"/>
      <c r="C278" s="9"/>
      <c r="D278" s="9" t="str">
        <f t="shared" si="147"/>
        <v/>
      </c>
      <c r="E278" s="9"/>
      <c r="F278" s="9" t="str">
        <f t="shared" si="148"/>
        <v/>
      </c>
      <c r="G278" s="9"/>
      <c r="H278" s="9" t="str">
        <f t="shared" si="149"/>
        <v/>
      </c>
      <c r="I278" s="9"/>
      <c r="J278" s="155" t="str">
        <f t="shared" si="150"/>
        <v/>
      </c>
      <c r="K278" s="9" t="str">
        <f t="shared" si="151"/>
        <v/>
      </c>
      <c r="L278" s="9" t="str">
        <f t="shared" si="152"/>
        <v/>
      </c>
      <c r="M278" s="10" t="str">
        <f t="shared" si="153"/>
        <v/>
      </c>
      <c r="N278" s="11"/>
      <c r="P278" s="12"/>
      <c r="Q278" s="9"/>
      <c r="R278" s="9" t="str">
        <f t="shared" si="160"/>
        <v/>
      </c>
      <c r="S278" s="9"/>
      <c r="T278" s="9" t="str">
        <f t="shared" si="154"/>
        <v/>
      </c>
      <c r="U278" s="9"/>
      <c r="V278" s="9" t="str">
        <f t="shared" si="155"/>
        <v/>
      </c>
      <c r="W278" s="9"/>
      <c r="X278" s="158" t="str">
        <f t="shared" si="156"/>
        <v/>
      </c>
      <c r="Y278" s="9" t="str">
        <f t="shared" si="157"/>
        <v/>
      </c>
      <c r="Z278" s="9" t="str">
        <f t="shared" si="158"/>
        <v/>
      </c>
      <c r="AA278" s="10" t="str">
        <f t="shared" si="159"/>
        <v/>
      </c>
      <c r="AB278" s="11"/>
    </row>
    <row r="279" spans="1:28" ht="15" customHeight="1" thickBot="1" x14ac:dyDescent="0.25">
      <c r="A279" s="100"/>
      <c r="B279" s="87"/>
      <c r="C279" s="18"/>
      <c r="D279" s="18" t="str">
        <f t="shared" si="147"/>
        <v/>
      </c>
      <c r="E279" s="18"/>
      <c r="F279" s="18" t="str">
        <f t="shared" si="148"/>
        <v/>
      </c>
      <c r="G279" s="18"/>
      <c r="H279" s="18"/>
      <c r="I279" s="18"/>
      <c r="J279" s="156" t="str">
        <f t="shared" si="150"/>
        <v/>
      </c>
      <c r="K279" s="43" t="str">
        <f t="shared" si="151"/>
        <v/>
      </c>
      <c r="L279" s="18" t="str">
        <f t="shared" si="152"/>
        <v/>
      </c>
      <c r="M279" s="19" t="str">
        <f t="shared" si="153"/>
        <v/>
      </c>
      <c r="N279" s="11"/>
      <c r="P279" s="17"/>
      <c r="Q279" s="18"/>
      <c r="R279" s="18" t="str">
        <f t="shared" si="160"/>
        <v/>
      </c>
      <c r="S279" s="18"/>
      <c r="T279" s="18" t="str">
        <f t="shared" si="154"/>
        <v/>
      </c>
      <c r="U279" s="18"/>
      <c r="V279" s="18" t="str">
        <f t="shared" si="155"/>
        <v/>
      </c>
      <c r="W279" s="18"/>
      <c r="X279" s="159" t="str">
        <f t="shared" si="156"/>
        <v/>
      </c>
      <c r="Y279" s="43" t="str">
        <f t="shared" si="157"/>
        <v/>
      </c>
      <c r="Z279" s="18" t="str">
        <f t="shared" si="158"/>
        <v/>
      </c>
      <c r="AA279" s="19" t="str">
        <f t="shared" si="159"/>
        <v/>
      </c>
      <c r="AB279" s="11"/>
    </row>
    <row r="280" spans="1:28" ht="15" customHeight="1" thickTop="1" x14ac:dyDescent="0.2">
      <c r="A280" s="96"/>
      <c r="B280" s="81">
        <f>SUM(D280:D283)+SUM(R280:R283)</f>
        <v>0</v>
      </c>
      <c r="C280" s="36"/>
      <c r="D280" s="36" t="str">
        <f t="shared" si="147"/>
        <v/>
      </c>
      <c r="E280" s="36"/>
      <c r="F280" s="36" t="str">
        <f t="shared" si="148"/>
        <v/>
      </c>
      <c r="G280" s="36"/>
      <c r="H280" s="36" t="str">
        <f>IF(G280="","",G276+I276-G280)</f>
        <v/>
      </c>
      <c r="I280" s="36"/>
      <c r="J280" s="154" t="str">
        <f>IF(C280="","",J276)</f>
        <v/>
      </c>
      <c r="K280" s="36" t="str">
        <f t="shared" si="151"/>
        <v/>
      </c>
      <c r="L280" s="36" t="str">
        <f t="shared" si="152"/>
        <v/>
      </c>
      <c r="M280" s="36" t="str">
        <f t="shared" si="153"/>
        <v/>
      </c>
      <c r="N280" s="11"/>
      <c r="P280" s="57" t="str">
        <f>IF(A280="","",A280)</f>
        <v/>
      </c>
      <c r="Q280" s="36"/>
      <c r="R280" s="36" t="str">
        <f t="shared" si="160"/>
        <v/>
      </c>
      <c r="S280" s="36"/>
      <c r="T280" s="36" t="str">
        <f t="shared" si="154"/>
        <v/>
      </c>
      <c r="U280" s="36"/>
      <c r="V280" s="36" t="str">
        <f t="shared" si="155"/>
        <v/>
      </c>
      <c r="W280" s="36"/>
      <c r="X280" s="157" t="str">
        <f t="shared" si="156"/>
        <v/>
      </c>
      <c r="Y280" s="36" t="str">
        <f t="shared" si="157"/>
        <v/>
      </c>
      <c r="Z280" s="36" t="str">
        <f t="shared" si="158"/>
        <v/>
      </c>
      <c r="AA280" s="36" t="str">
        <f t="shared" si="159"/>
        <v/>
      </c>
      <c r="AB280" s="11"/>
    </row>
    <row r="281" spans="1:28" ht="15" customHeight="1" x14ac:dyDescent="0.2">
      <c r="A281" s="96"/>
      <c r="B281" s="81"/>
      <c r="C281" s="36"/>
      <c r="D281" s="36" t="str">
        <f t="shared" si="147"/>
        <v/>
      </c>
      <c r="E281" s="36"/>
      <c r="F281" s="36" t="str">
        <f t="shared" si="148"/>
        <v/>
      </c>
      <c r="G281" s="36"/>
      <c r="H281" s="36" t="str">
        <f>IF(G281="","",G277+I277-G281)</f>
        <v/>
      </c>
      <c r="I281" s="36"/>
      <c r="J281" s="155" t="str">
        <f>IF(C281="","",J277)</f>
        <v/>
      </c>
      <c r="K281" s="36" t="str">
        <f t="shared" si="151"/>
        <v/>
      </c>
      <c r="L281" s="36" t="str">
        <f t="shared" si="152"/>
        <v/>
      </c>
      <c r="M281" s="36" t="str">
        <f t="shared" si="153"/>
        <v/>
      </c>
      <c r="N281" s="11"/>
      <c r="P281" s="52"/>
      <c r="Q281" s="36"/>
      <c r="R281" s="36" t="str">
        <f t="shared" si="160"/>
        <v/>
      </c>
      <c r="S281" s="36"/>
      <c r="T281" s="36" t="str">
        <f t="shared" si="154"/>
        <v/>
      </c>
      <c r="U281" s="36"/>
      <c r="V281" s="36" t="str">
        <f t="shared" si="155"/>
        <v/>
      </c>
      <c r="W281" s="36"/>
      <c r="X281" s="157" t="str">
        <f t="shared" si="156"/>
        <v/>
      </c>
      <c r="Y281" s="36" t="str">
        <f t="shared" si="157"/>
        <v/>
      </c>
      <c r="Z281" s="36" t="str">
        <f t="shared" si="158"/>
        <v/>
      </c>
      <c r="AA281" s="36" t="str">
        <f t="shared" si="159"/>
        <v/>
      </c>
      <c r="AB281" s="11"/>
    </row>
    <row r="282" spans="1:28" ht="15" customHeight="1" x14ac:dyDescent="0.2">
      <c r="A282" s="4"/>
      <c r="B282" s="84"/>
      <c r="C282" s="44"/>
      <c r="D282" s="44" t="str">
        <f t="shared" si="147"/>
        <v/>
      </c>
      <c r="E282" s="44"/>
      <c r="F282" s="44" t="str">
        <f t="shared" si="148"/>
        <v/>
      </c>
      <c r="G282" s="44"/>
      <c r="H282" s="44" t="str">
        <f>IF(G282="","",G278+I278-G282)</f>
        <v/>
      </c>
      <c r="I282" s="44"/>
      <c r="J282" s="155" t="str">
        <f>IF(C282="","",J278)</f>
        <v/>
      </c>
      <c r="K282" s="44" t="str">
        <f t="shared" si="151"/>
        <v/>
      </c>
      <c r="L282" s="44" t="str">
        <f t="shared" si="152"/>
        <v/>
      </c>
      <c r="M282" s="44" t="str">
        <f t="shared" si="153"/>
        <v/>
      </c>
      <c r="N282" s="28"/>
      <c r="P282" s="64"/>
      <c r="Q282" s="44"/>
      <c r="R282" s="44" t="str">
        <f t="shared" si="160"/>
        <v/>
      </c>
      <c r="S282" s="44"/>
      <c r="T282" s="44" t="str">
        <f t="shared" si="154"/>
        <v/>
      </c>
      <c r="U282" s="44"/>
      <c r="V282" s="44" t="str">
        <f t="shared" si="155"/>
        <v/>
      </c>
      <c r="W282" s="44"/>
      <c r="X282" s="160" t="str">
        <f t="shared" si="156"/>
        <v/>
      </c>
      <c r="Y282" s="44" t="str">
        <f t="shared" si="157"/>
        <v/>
      </c>
      <c r="Z282" s="44" t="str">
        <f t="shared" si="158"/>
        <v/>
      </c>
      <c r="AA282" s="44" t="str">
        <f t="shared" si="159"/>
        <v/>
      </c>
      <c r="AB282" s="28"/>
    </row>
    <row r="283" spans="1:28" ht="15" customHeight="1" thickBot="1" x14ac:dyDescent="0.25">
      <c r="A283" s="74"/>
      <c r="B283" s="85"/>
      <c r="C283" s="42"/>
      <c r="D283" s="42" t="str">
        <f t="shared" si="147"/>
        <v/>
      </c>
      <c r="E283" s="42"/>
      <c r="F283" s="42" t="str">
        <f t="shared" si="148"/>
        <v/>
      </c>
      <c r="G283" s="42"/>
      <c r="H283" s="42" t="str">
        <f>IF(G283="","",G279+I279-G283)</f>
        <v/>
      </c>
      <c r="I283" s="42"/>
      <c r="J283" s="156" t="str">
        <f>IF(C283="","",J279)</f>
        <v/>
      </c>
      <c r="K283" s="42" t="str">
        <f t="shared" si="151"/>
        <v/>
      </c>
      <c r="L283" s="42" t="str">
        <f t="shared" si="152"/>
        <v/>
      </c>
      <c r="M283" s="42" t="str">
        <f t="shared" si="153"/>
        <v/>
      </c>
      <c r="N283" s="63"/>
      <c r="P283" s="61"/>
      <c r="Q283" s="42"/>
      <c r="R283" s="42" t="str">
        <f t="shared" si="160"/>
        <v/>
      </c>
      <c r="S283" s="42"/>
      <c r="T283" s="42" t="str">
        <f t="shared" si="154"/>
        <v/>
      </c>
      <c r="U283" s="42"/>
      <c r="V283" s="42" t="str">
        <f t="shared" si="155"/>
        <v/>
      </c>
      <c r="W283" s="42"/>
      <c r="X283" s="161" t="str">
        <f t="shared" si="156"/>
        <v/>
      </c>
      <c r="Y283" s="42" t="str">
        <f t="shared" si="157"/>
        <v/>
      </c>
      <c r="Z283" s="42" t="str">
        <f t="shared" si="158"/>
        <v/>
      </c>
      <c r="AA283" s="42" t="str">
        <f t="shared" si="159"/>
        <v/>
      </c>
      <c r="AB283" s="63"/>
    </row>
    <row r="284" spans="1:28" ht="15" customHeight="1" thickTop="1" x14ac:dyDescent="0.2">
      <c r="A284" s="52"/>
      <c r="B284" s="81"/>
      <c r="C284" s="60" t="s">
        <v>40</v>
      </c>
      <c r="D284" s="36">
        <f>SUM(D228:D280)*100</f>
        <v>144800</v>
      </c>
      <c r="E284" s="93" t="s">
        <v>41</v>
      </c>
      <c r="F284" s="36"/>
      <c r="G284" s="60"/>
      <c r="H284" s="36"/>
      <c r="I284" s="36"/>
      <c r="J284" s="209" t="s">
        <v>42</v>
      </c>
      <c r="K284" s="209"/>
      <c r="L284" s="36">
        <f>SUM(L228:L280)</f>
        <v>26102</v>
      </c>
      <c r="M284" s="36"/>
      <c r="N284" s="55"/>
      <c r="P284" s="52"/>
      <c r="Q284" s="60" t="s">
        <v>40</v>
      </c>
      <c r="R284" s="36">
        <f>SUM(R228:R280)*100</f>
        <v>186900</v>
      </c>
      <c r="S284" s="93" t="s">
        <v>41</v>
      </c>
      <c r="T284" s="36"/>
      <c r="U284" s="60"/>
      <c r="V284" s="36"/>
      <c r="W284" s="36"/>
      <c r="X284" s="209" t="s">
        <v>42</v>
      </c>
      <c r="Y284" s="209"/>
      <c r="Z284" s="36">
        <f>SUM(Z228:Z280)</f>
        <v>36894</v>
      </c>
      <c r="AA284" s="36"/>
      <c r="AB284" s="55"/>
    </row>
    <row r="285" spans="1:28" ht="15" customHeight="1" x14ac:dyDescent="0.2">
      <c r="A285" s="24"/>
      <c r="B285" s="86"/>
      <c r="C285" s="5" t="s">
        <v>43</v>
      </c>
      <c r="D285" s="9">
        <f>D284/A289</f>
        <v>5792</v>
      </c>
      <c r="E285" s="9">
        <f>D285*A288</f>
        <v>144800</v>
      </c>
      <c r="F285" s="9"/>
      <c r="G285" s="5"/>
      <c r="H285" s="9"/>
      <c r="I285" s="9"/>
      <c r="J285" s="210" t="s">
        <v>44</v>
      </c>
      <c r="K285" s="210"/>
      <c r="L285" s="9"/>
      <c r="M285" s="26">
        <f>L284/D284</f>
        <v>0.18026243093922653</v>
      </c>
      <c r="N285" s="11"/>
      <c r="P285" s="34"/>
      <c r="Q285" s="5" t="s">
        <v>43</v>
      </c>
      <c r="R285" s="9">
        <f>R284/A289</f>
        <v>7476</v>
      </c>
      <c r="S285" s="9">
        <f>R285*A288</f>
        <v>186900</v>
      </c>
      <c r="T285" s="9"/>
      <c r="U285" s="5"/>
      <c r="V285" s="9"/>
      <c r="W285" s="9"/>
      <c r="X285" s="210" t="s">
        <v>44</v>
      </c>
      <c r="Y285" s="210"/>
      <c r="Z285" s="9"/>
      <c r="AA285" s="26">
        <f>Z284/R284</f>
        <v>0.19739967897271268</v>
      </c>
      <c r="AB285" s="11"/>
    </row>
    <row r="286" spans="1:28" ht="15" customHeight="1" x14ac:dyDescent="0.2">
      <c r="A286" s="12"/>
      <c r="B286" s="88"/>
      <c r="C286" s="47" t="s">
        <v>45</v>
      </c>
      <c r="D286" s="9">
        <f>D284*0.6</f>
        <v>86880</v>
      </c>
      <c r="E286" s="9"/>
      <c r="F286" s="9"/>
      <c r="G286" s="5"/>
      <c r="H286" s="9"/>
      <c r="I286" s="9"/>
      <c r="J286" s="210" t="s">
        <v>46</v>
      </c>
      <c r="K286" s="210"/>
      <c r="L286" s="9">
        <f>D286-L284</f>
        <v>60778</v>
      </c>
      <c r="M286" s="26">
        <f>L286/D284</f>
        <v>0.41973756906077347</v>
      </c>
      <c r="N286" s="11"/>
      <c r="P286" s="12"/>
      <c r="Q286" s="47" t="s">
        <v>45</v>
      </c>
      <c r="R286" s="9">
        <f>R284*0.6</f>
        <v>112140</v>
      </c>
      <c r="S286" s="9"/>
      <c r="T286" s="9"/>
      <c r="U286" s="5"/>
      <c r="V286" s="9"/>
      <c r="W286" s="9"/>
      <c r="X286" s="210" t="s">
        <v>46</v>
      </c>
      <c r="Y286" s="210"/>
      <c r="Z286" s="9">
        <f>R286-Z284</f>
        <v>75246</v>
      </c>
      <c r="AA286" s="26">
        <f>Z286/R284</f>
        <v>0.40260032102728732</v>
      </c>
      <c r="AB286" s="11"/>
    </row>
    <row r="287" spans="1:28" ht="15" customHeight="1" x14ac:dyDescent="0.2">
      <c r="A287" s="52"/>
      <c r="B287" s="81"/>
      <c r="C287" s="5" t="s">
        <v>47</v>
      </c>
      <c r="D287" s="9">
        <f>D362</f>
        <v>296400</v>
      </c>
      <c r="E287" s="9"/>
      <c r="F287" s="9"/>
      <c r="G287" s="5"/>
      <c r="H287" s="9"/>
      <c r="I287" s="16"/>
      <c r="J287" s="205" t="s">
        <v>48</v>
      </c>
      <c r="K287" s="205"/>
      <c r="L287" s="36" t="e">
        <f>(G260+I260)*K260+(G261+I261)*K261+(G262+I262)*K262+(G263+I263)*K263</f>
        <v>#VALUE!</v>
      </c>
      <c r="M287" s="10"/>
      <c r="N287" s="11"/>
      <c r="P287" s="52"/>
      <c r="Q287" s="5" t="s">
        <v>47</v>
      </c>
      <c r="R287" s="9">
        <f>R362</f>
        <v>275000</v>
      </c>
      <c r="S287" s="9"/>
      <c r="T287" s="9"/>
      <c r="U287" s="5"/>
      <c r="V287" s="9"/>
      <c r="W287" s="16"/>
      <c r="X287" s="205" t="s">
        <v>48</v>
      </c>
      <c r="Y287" s="205"/>
      <c r="Z287" s="36" t="e">
        <f>(U260+W260)*Y260+(U261+W261)*Y261+(U262+W262)*Y262+(U263+W263)*Y263</f>
        <v>#VALUE!</v>
      </c>
      <c r="AA287" s="10"/>
      <c r="AB287" s="11"/>
    </row>
    <row r="288" spans="1:28" ht="15" customHeight="1" x14ac:dyDescent="0.2">
      <c r="A288" s="4">
        <v>25</v>
      </c>
      <c r="B288" s="113">
        <f>SUM(B228:B280)*100</f>
        <v>331700</v>
      </c>
      <c r="C288" s="5"/>
      <c r="D288" s="9"/>
      <c r="E288" s="9"/>
      <c r="F288" s="9"/>
      <c r="G288" s="5"/>
      <c r="H288" s="9"/>
      <c r="I288" s="16"/>
      <c r="J288" s="140"/>
      <c r="K288" s="71"/>
      <c r="L288" s="49"/>
      <c r="M288" s="10"/>
      <c r="N288" s="11"/>
      <c r="P288" s="52"/>
      <c r="Q288" s="5"/>
      <c r="R288" s="9"/>
      <c r="S288" s="9"/>
      <c r="T288" s="9"/>
      <c r="U288" s="5"/>
      <c r="V288" s="9"/>
      <c r="W288" s="16"/>
      <c r="X288" s="70"/>
      <c r="Y288" s="71"/>
      <c r="Z288" s="49"/>
      <c r="AA288" s="10"/>
      <c r="AB288" s="11"/>
    </row>
    <row r="289" spans="1:28" ht="15" customHeight="1" x14ac:dyDescent="0.2">
      <c r="A289" s="69">
        <f>DATEDIF(A$228,A240,"d")</f>
        <v>25</v>
      </c>
      <c r="B289" s="81"/>
      <c r="C289" s="5"/>
      <c r="D289" s="9"/>
      <c r="E289" s="25">
        <v>353000</v>
      </c>
      <c r="F289" s="9"/>
      <c r="G289" s="5"/>
      <c r="H289" s="9"/>
      <c r="I289" s="16"/>
      <c r="J289" s="140"/>
      <c r="K289" s="71"/>
      <c r="L289" s="49"/>
      <c r="M289" s="10"/>
      <c r="N289" s="11"/>
      <c r="P289" s="52"/>
      <c r="Q289" s="5"/>
      <c r="R289" s="9"/>
      <c r="S289" s="9"/>
      <c r="T289" s="9"/>
      <c r="U289" s="5"/>
      <c r="V289" s="9"/>
      <c r="W289" s="16"/>
      <c r="X289" s="70"/>
      <c r="Y289" s="71"/>
      <c r="Z289" s="49"/>
      <c r="AA289" s="10"/>
      <c r="AB289" s="11"/>
    </row>
    <row r="290" spans="1:28" x14ac:dyDescent="0.2">
      <c r="A290" s="206" t="s">
        <v>49</v>
      </c>
      <c r="B290" s="206"/>
      <c r="C290" s="206"/>
      <c r="D290" s="27">
        <f>SUM(D228,D232,D236,D240,D244,D248,D252,D256,D260,D264,D268,D272,D276)*100</f>
        <v>33000</v>
      </c>
      <c r="E290" s="37">
        <v>111400</v>
      </c>
      <c r="F290" s="9"/>
      <c r="G290" s="5">
        <f>D290/H290</f>
        <v>1941.1764705882354</v>
      </c>
      <c r="H290" s="27">
        <f>SUM(H228,H232,H236,H240,H244,H248,H253,H256,H260,H264,H268,H272,H276)</f>
        <v>17</v>
      </c>
      <c r="I290" s="9"/>
      <c r="J290" s="48">
        <f t="shared" ref="J290:K293" si="161">J228</f>
        <v>0</v>
      </c>
      <c r="K290" s="49">
        <f t="shared" si="161"/>
        <v>0</v>
      </c>
      <c r="L290" s="27">
        <f>SUM(L228,L232,L236,L240,L244,L248,L253,L256,L260,L264,L268,L272,L276)</f>
        <v>12716</v>
      </c>
      <c r="M290" s="26">
        <f>L290/D290</f>
        <v>0.38533333333333336</v>
      </c>
      <c r="N290" s="11"/>
      <c r="O290" s="15"/>
      <c r="P290" s="206" t="s">
        <v>49</v>
      </c>
      <c r="Q290" s="206"/>
      <c r="R290" s="27">
        <f>SUM(R228,R232,R236,R240,R244,R248,R252,R256,R260,R264,R268,R272,R276)*100</f>
        <v>42000</v>
      </c>
      <c r="S290" s="37"/>
      <c r="T290" s="9"/>
      <c r="U290" s="5">
        <f>R290/V290</f>
        <v>4200</v>
      </c>
      <c r="V290" s="27">
        <f>SUM(V228,V232,V236,V240,V244,V248,V253,V256,V260,V264,V268,V272,V276)</f>
        <v>10</v>
      </c>
      <c r="W290" s="9"/>
      <c r="X290" s="48">
        <f t="shared" ref="X290:Y293" si="162">X228</f>
        <v>0</v>
      </c>
      <c r="Y290" s="49">
        <f t="shared" si="162"/>
        <v>0</v>
      </c>
      <c r="Z290" s="27">
        <f>SUM(Z228,Z232,Z236,Z240,Z244,Z248,Z253,Z256,Z260,Z264,Z268,Z272,Z276)</f>
        <v>2750</v>
      </c>
      <c r="AA290" s="26">
        <f>Z290/R290</f>
        <v>6.5476190476190479E-2</v>
      </c>
      <c r="AB290" s="11"/>
    </row>
    <row r="291" spans="1:28" x14ac:dyDescent="0.2">
      <c r="A291" s="206" t="s">
        <v>49</v>
      </c>
      <c r="B291" s="206"/>
      <c r="C291" s="206"/>
      <c r="D291" s="27">
        <f>SUM(D229,D233,D237,D241,D245,D249,D253,D257,D261,D265,D269,D273,D277)*100</f>
        <v>37700</v>
      </c>
      <c r="E291" s="37">
        <v>107000</v>
      </c>
      <c r="F291" s="9"/>
      <c r="G291" s="5">
        <f>D291/H291</f>
        <v>2513.3333333333335</v>
      </c>
      <c r="H291" s="27">
        <f>SUM(H229,H233,H237,H241,H245,H249,H252,H257,H261,H265,H269,H273,H277)</f>
        <v>15</v>
      </c>
      <c r="I291" s="9"/>
      <c r="J291" s="48">
        <f t="shared" si="161"/>
        <v>0</v>
      </c>
      <c r="K291" s="49">
        <f t="shared" si="161"/>
        <v>0</v>
      </c>
      <c r="L291" s="27">
        <f>SUM(L229,L233,L237,L241,L245,L249,L252,L257,L261,L265,L269,L273,L277)</f>
        <v>5370</v>
      </c>
      <c r="M291" s="26">
        <f>L291/D291</f>
        <v>0.14244031830238726</v>
      </c>
      <c r="N291" s="11"/>
      <c r="O291" s="1"/>
      <c r="P291" s="206" t="s">
        <v>49</v>
      </c>
      <c r="Q291" s="206"/>
      <c r="R291" s="27">
        <f>SUM(R229,R233,R237,R241,R245,R249,R253,R257,R261,R265,R269,R273,R277)*100</f>
        <v>25800</v>
      </c>
      <c r="S291" s="37"/>
      <c r="T291" s="9"/>
      <c r="U291" s="5">
        <f>R291/V291</f>
        <v>3225</v>
      </c>
      <c r="V291" s="27">
        <f>SUM(V229,V233,V237,V241,V245,V249,V252,V257,V261,V265,V269,V273,V277)</f>
        <v>8</v>
      </c>
      <c r="W291" s="9"/>
      <c r="X291" s="48">
        <f t="shared" si="162"/>
        <v>0</v>
      </c>
      <c r="Y291" s="49">
        <f t="shared" si="162"/>
        <v>0</v>
      </c>
      <c r="Z291" s="27">
        <f>SUM(Z229,Z233,Z237,Z241,Z245,Z249,Z252,Z257,Z261,Z265,Z269,Z273,Z277)</f>
        <v>8800</v>
      </c>
      <c r="AA291" s="26">
        <f>Z291/R291</f>
        <v>0.34108527131782945</v>
      </c>
      <c r="AB291" s="11"/>
    </row>
    <row r="292" spans="1:28" x14ac:dyDescent="0.2">
      <c r="A292" s="206" t="s">
        <v>49</v>
      </c>
      <c r="B292" s="206"/>
      <c r="C292" s="206"/>
      <c r="D292" s="27">
        <f>SUM(D230,D234,D238,D242,D246,D250,D254,D258,D262,D266,D270,D274,D278)*100</f>
        <v>42600</v>
      </c>
      <c r="E292" s="37"/>
      <c r="F292" s="9"/>
      <c r="G292" s="5">
        <f>D292/H292</f>
        <v>5325</v>
      </c>
      <c r="H292" s="27">
        <f>SUM(H230,H234,H238,H243,H246,H250,H254,H258,H262,H266,H270,H274,H278)</f>
        <v>8</v>
      </c>
      <c r="I292" s="9"/>
      <c r="J292" s="48">
        <f t="shared" si="161"/>
        <v>0</v>
      </c>
      <c r="K292" s="49">
        <f t="shared" si="161"/>
        <v>0</v>
      </c>
      <c r="L292" s="27">
        <f>SUM(L230,L234,L238,L243,L246,L250,L254,L258,L262,L266,L270,L274,L278)</f>
        <v>6336</v>
      </c>
      <c r="M292" s="26">
        <f>L292/D292</f>
        <v>0.14873239436619717</v>
      </c>
      <c r="N292" s="11"/>
      <c r="O292" s="1"/>
      <c r="P292" s="206" t="s">
        <v>49</v>
      </c>
      <c r="Q292" s="206"/>
      <c r="R292" s="27">
        <f>SUM(R230,R234,R238,R242,R246,R250,R254,R258,R262,R266,R270,R274,R278)*100</f>
        <v>25800</v>
      </c>
      <c r="S292" s="37"/>
      <c r="T292" s="9"/>
      <c r="U292" s="5">
        <f>R292/V292</f>
        <v>3685.7142857142858</v>
      </c>
      <c r="V292" s="27">
        <f>SUM(V230,V234,V238,V243,V246,V250,V254,V258,V262,V266,V270,V274,V278)</f>
        <v>7</v>
      </c>
      <c r="W292" s="9"/>
      <c r="X292" s="48">
        <f t="shared" si="162"/>
        <v>0</v>
      </c>
      <c r="Y292" s="49">
        <f t="shared" si="162"/>
        <v>0</v>
      </c>
      <c r="Z292" s="27">
        <f>SUM(Z230,Z234,Z238,Z243,Z246,Z250,Z254,Z258,Z262,Z266,Z270,Z274,Z278)</f>
        <v>5544</v>
      </c>
      <c r="AA292" s="26">
        <f>Z292/R292</f>
        <v>0.21488372093023256</v>
      </c>
      <c r="AB292" s="11"/>
    </row>
    <row r="293" spans="1:28" x14ac:dyDescent="0.2">
      <c r="A293" s="206" t="s">
        <v>49</v>
      </c>
      <c r="B293" s="206"/>
      <c r="C293" s="206"/>
      <c r="D293" s="27">
        <f>SUM(D231,D235,D239,D243,D247,D251,D255,D259,D263,D267,D271,D275,D279)*100</f>
        <v>31500</v>
      </c>
      <c r="E293" s="37"/>
      <c r="F293" s="9"/>
      <c r="G293" s="5">
        <f>D293/H293</f>
        <v>2250</v>
      </c>
      <c r="H293" s="27">
        <f>SUM(H231,H235,H239,H242,H247,H251,H255,H259,H263,H267,H271,H275,H279)</f>
        <v>14</v>
      </c>
      <c r="I293" s="9"/>
      <c r="J293" s="48">
        <f t="shared" si="161"/>
        <v>0</v>
      </c>
      <c r="K293" s="49">
        <f t="shared" si="161"/>
        <v>0</v>
      </c>
      <c r="L293" s="27">
        <f>SUM(L231,L235,L239,L242,L247,L251,L255,L259,L263,L267,L271,L275,L279)</f>
        <v>1680</v>
      </c>
      <c r="M293" s="26">
        <f>L293/D293</f>
        <v>5.3333333333333337E-2</v>
      </c>
      <c r="N293" s="11"/>
      <c r="O293" s="1"/>
      <c r="P293" s="206" t="s">
        <v>49</v>
      </c>
      <c r="Q293" s="206"/>
      <c r="R293" s="27">
        <f>SUM(R231,R235,R239,R243,R247,R251,R255,R259,R263,R267,R271,R275,R279)*100</f>
        <v>93300</v>
      </c>
      <c r="S293" s="37"/>
      <c r="T293" s="9"/>
      <c r="U293" s="5">
        <f>R293/V293</f>
        <v>3887.5</v>
      </c>
      <c r="V293" s="27">
        <f>SUM(V231,V235,V239,V242,V247,V251,V255,V259,V263,V267,V271,V275,V279)</f>
        <v>24</v>
      </c>
      <c r="W293" s="9"/>
      <c r="X293" s="48">
        <f t="shared" si="162"/>
        <v>0</v>
      </c>
      <c r="Y293" s="49">
        <f t="shared" si="162"/>
        <v>0</v>
      </c>
      <c r="Z293" s="27">
        <f>SUM(Z231,Z235,Z239,Z242,Z247,Z251,Z255,Z259,Z263,Z267,Z271,Z275,Z279)</f>
        <v>19800</v>
      </c>
      <c r="AA293" s="26">
        <f>Z293/R293</f>
        <v>0.21221864951768488</v>
      </c>
      <c r="AB293" s="11"/>
    </row>
    <row r="294" spans="1:28" x14ac:dyDescent="0.2">
      <c r="A294" s="12"/>
      <c r="B294" s="8"/>
      <c r="C294" s="5" t="s">
        <v>40</v>
      </c>
      <c r="D294" s="9">
        <f>SUM(D290:D293)</f>
        <v>144800</v>
      </c>
      <c r="E294" s="37"/>
      <c r="F294" s="9"/>
      <c r="G294" s="9"/>
      <c r="H294" s="9">
        <f>SUM(H290:H293)</f>
        <v>54</v>
      </c>
      <c r="I294" s="9"/>
      <c r="J294" s="196" t="s">
        <v>50</v>
      </c>
      <c r="K294" s="196"/>
      <c r="L294" s="36">
        <f>SUM(L290:L293)</f>
        <v>26102</v>
      </c>
      <c r="M294" s="54">
        <f>L294/D294</f>
        <v>0.18026243093922653</v>
      </c>
      <c r="N294" s="55"/>
      <c r="O294" s="1"/>
      <c r="P294" s="12"/>
      <c r="Q294" s="5" t="s">
        <v>40</v>
      </c>
      <c r="R294" s="9">
        <f>SUM(R290:R293)</f>
        <v>186900</v>
      </c>
      <c r="S294" s="37"/>
      <c r="T294" s="9"/>
      <c r="U294" s="9"/>
      <c r="V294" s="9">
        <f>SUM(V290:V293)</f>
        <v>49</v>
      </c>
      <c r="W294" s="9"/>
      <c r="X294" s="196" t="s">
        <v>50</v>
      </c>
      <c r="Y294" s="196"/>
      <c r="Z294" s="36">
        <f>SUM(Z290:Z293)</f>
        <v>36894</v>
      </c>
      <c r="AA294" s="54">
        <f>Z294/R294</f>
        <v>0.19739967897271268</v>
      </c>
      <c r="AB294" s="11"/>
    </row>
    <row r="295" spans="1:28" x14ac:dyDescent="0.2">
      <c r="A295" s="30"/>
      <c r="B295" s="29"/>
      <c r="C295" s="2"/>
      <c r="D295" s="2"/>
      <c r="E295" s="2"/>
      <c r="F295" s="2"/>
      <c r="G295" s="2"/>
      <c r="H295" s="2"/>
      <c r="I295" s="2"/>
      <c r="J295" s="46"/>
      <c r="K295" s="2"/>
      <c r="L295" s="2"/>
      <c r="M295" s="2"/>
      <c r="N295" s="35"/>
      <c r="O295" s="1"/>
      <c r="P295" s="30"/>
      <c r="Q295" s="2"/>
      <c r="R295" s="2"/>
      <c r="S295" s="2"/>
      <c r="T295" s="2"/>
      <c r="U295" s="2"/>
      <c r="V295" s="2"/>
      <c r="W295" s="2"/>
      <c r="X295" s="46"/>
      <c r="Y295" s="2"/>
      <c r="Z295" s="2"/>
      <c r="AA295" s="2"/>
      <c r="AB295" s="35"/>
    </row>
    <row r="296" spans="1:28" x14ac:dyDescent="0.2">
      <c r="A296" s="30"/>
      <c r="B296" s="197" t="s">
        <v>51</v>
      </c>
      <c r="C296" s="198"/>
      <c r="D296" s="199" t="s">
        <v>52</v>
      </c>
      <c r="E296" s="200"/>
      <c r="F296" s="199" t="s">
        <v>53</v>
      </c>
      <c r="G296" s="200"/>
      <c r="H296" s="2"/>
      <c r="I296" s="2"/>
      <c r="J296" s="46"/>
      <c r="K296" s="2"/>
      <c r="L296" s="2"/>
      <c r="M296" s="2"/>
      <c r="N296" s="35"/>
      <c r="O296" s="1"/>
      <c r="P296" s="30"/>
      <c r="Q296" s="2"/>
      <c r="R296" s="2"/>
      <c r="S296" s="2"/>
      <c r="T296" s="2"/>
      <c r="U296" s="2"/>
      <c r="V296" s="2"/>
      <c r="W296" s="2"/>
      <c r="X296" s="46"/>
      <c r="Y296" s="2"/>
      <c r="Z296" s="2"/>
      <c r="AA296" s="2"/>
      <c r="AB296" s="35"/>
    </row>
    <row r="297" spans="1:28" x14ac:dyDescent="0.2">
      <c r="A297" s="30"/>
      <c r="B297" s="201">
        <f>B288/A289*A288</f>
        <v>331700</v>
      </c>
      <c r="C297" s="202"/>
      <c r="D297" s="203">
        <f>L284+Z284</f>
        <v>62996</v>
      </c>
      <c r="E297" s="204"/>
      <c r="F297" s="203">
        <f>K287+Y287</f>
        <v>0</v>
      </c>
      <c r="G297" s="204"/>
      <c r="H297" s="2"/>
      <c r="I297" s="2"/>
      <c r="J297" s="46"/>
      <c r="K297" s="2"/>
      <c r="L297" s="2"/>
      <c r="M297" s="2"/>
      <c r="N297" s="35"/>
      <c r="O297" s="1"/>
      <c r="P297" s="30"/>
      <c r="Q297" s="2"/>
      <c r="R297" s="2"/>
      <c r="S297" s="2"/>
      <c r="T297" s="2"/>
      <c r="U297" s="2"/>
      <c r="V297" s="2"/>
      <c r="W297" s="2"/>
      <c r="X297" s="46"/>
      <c r="Y297" s="2"/>
      <c r="Z297" s="2"/>
      <c r="AA297" s="2"/>
      <c r="AB297" s="35"/>
    </row>
    <row r="298" spans="1:28" x14ac:dyDescent="0.2">
      <c r="A298" s="30"/>
      <c r="B298" s="68"/>
      <c r="C298" s="68"/>
      <c r="D298" s="92" t="s">
        <v>57</v>
      </c>
      <c r="E298" s="72">
        <f>D297/B288</f>
        <v>0.18991860114561351</v>
      </c>
      <c r="F298" s="9"/>
      <c r="G298" s="9"/>
      <c r="H298" s="2"/>
      <c r="I298" s="2"/>
      <c r="J298" s="46"/>
      <c r="K298" s="2"/>
      <c r="L298" s="2"/>
      <c r="M298" s="2"/>
      <c r="N298" s="35"/>
      <c r="O298" s="1"/>
      <c r="P298" s="30"/>
      <c r="Q298" s="2"/>
      <c r="R298" s="2"/>
      <c r="S298" s="2"/>
      <c r="T298" s="2"/>
      <c r="U298" s="2"/>
      <c r="V298" s="2"/>
      <c r="W298" s="2"/>
      <c r="X298" s="46"/>
      <c r="Y298" s="2"/>
      <c r="Z298" s="2"/>
      <c r="AA298" s="2"/>
      <c r="AB298" s="35"/>
    </row>
    <row r="299" spans="1:28" x14ac:dyDescent="0.2">
      <c r="A299" s="30"/>
      <c r="B299" s="29"/>
      <c r="C299" s="2"/>
      <c r="D299" s="2"/>
      <c r="E299" s="2"/>
      <c r="F299" s="2"/>
      <c r="G299" s="2"/>
      <c r="H299" s="2"/>
      <c r="I299" s="2"/>
      <c r="J299" s="46"/>
      <c r="K299" s="2"/>
      <c r="L299" s="2"/>
      <c r="M299" s="2"/>
      <c r="N299" s="35"/>
      <c r="O299" s="1"/>
      <c r="P299" s="30"/>
      <c r="Q299" s="2"/>
      <c r="R299" s="2"/>
      <c r="S299" s="2"/>
      <c r="T299" s="2"/>
      <c r="U299" s="2"/>
      <c r="V299" s="2"/>
      <c r="W299" s="2"/>
      <c r="X299" s="46"/>
      <c r="Y299" s="2"/>
      <c r="Z299" s="2"/>
      <c r="AA299" s="2"/>
      <c r="AB299" s="35"/>
    </row>
    <row r="300" spans="1:28" x14ac:dyDescent="0.2">
      <c r="A300" s="30"/>
      <c r="B300" s="29"/>
      <c r="C300" s="2"/>
      <c r="D300" s="2"/>
      <c r="E300" s="2"/>
      <c r="F300" s="2"/>
      <c r="G300" s="2"/>
      <c r="H300" s="2"/>
      <c r="I300" s="2"/>
      <c r="J300" s="46"/>
      <c r="K300" s="2"/>
      <c r="L300" s="2"/>
      <c r="M300" s="2"/>
      <c r="N300" s="35"/>
      <c r="O300" s="1"/>
      <c r="P300" s="30"/>
      <c r="Q300" s="2"/>
      <c r="R300" s="2"/>
      <c r="S300" s="2"/>
      <c r="T300" s="2"/>
      <c r="U300" s="2"/>
      <c r="V300" s="2"/>
      <c r="W300" s="2"/>
      <c r="X300" s="46"/>
      <c r="Y300" s="2"/>
      <c r="Z300" s="2"/>
      <c r="AA300" s="2"/>
      <c r="AB300" s="35"/>
    </row>
    <row r="301" spans="1:28" x14ac:dyDescent="0.2">
      <c r="A301" s="30"/>
      <c r="B301" s="29"/>
      <c r="C301" s="2"/>
      <c r="D301" s="2"/>
      <c r="E301" s="2"/>
      <c r="F301" s="2"/>
      <c r="G301" s="2"/>
      <c r="H301" s="2"/>
      <c r="I301" s="2"/>
      <c r="J301" s="46"/>
      <c r="K301" s="2"/>
      <c r="L301" s="2"/>
      <c r="M301" s="2"/>
      <c r="N301" s="35"/>
      <c r="O301" s="1"/>
      <c r="P301" s="30"/>
      <c r="Q301" s="2"/>
      <c r="R301" s="2"/>
      <c r="S301" s="2"/>
      <c r="T301" s="2"/>
      <c r="U301" s="2"/>
      <c r="V301" s="2"/>
      <c r="W301" s="2"/>
      <c r="X301" s="46"/>
      <c r="Y301" s="2"/>
      <c r="Z301" s="2"/>
      <c r="AA301" s="2"/>
      <c r="AB301" s="35"/>
    </row>
    <row r="302" spans="1:28" x14ac:dyDescent="0.2">
      <c r="A302" s="30"/>
      <c r="B302" s="29"/>
      <c r="C302" s="2"/>
      <c r="D302" s="2"/>
      <c r="E302" s="2"/>
      <c r="F302" s="2"/>
      <c r="G302" s="2"/>
      <c r="H302" s="2"/>
      <c r="I302" s="2"/>
      <c r="J302" s="46"/>
      <c r="K302" s="2"/>
      <c r="L302" s="2"/>
      <c r="M302" s="2"/>
      <c r="N302" s="35"/>
      <c r="O302" s="1"/>
      <c r="P302" s="30"/>
      <c r="Q302" s="2"/>
      <c r="R302" s="2"/>
      <c r="S302" s="2"/>
      <c r="T302" s="2"/>
      <c r="U302" s="2"/>
      <c r="V302" s="2"/>
      <c r="W302" s="2"/>
      <c r="X302" s="46"/>
      <c r="Y302" s="2"/>
      <c r="Z302" s="2"/>
      <c r="AA302" s="2"/>
      <c r="AB302" s="35"/>
    </row>
    <row r="303" spans="1:28" x14ac:dyDescent="0.2">
      <c r="E303" s="124"/>
      <c r="F303" s="132"/>
      <c r="G303" s="1"/>
      <c r="H303" s="1"/>
      <c r="J303" s="41"/>
      <c r="K303"/>
    </row>
    <row r="304" spans="1:28" x14ac:dyDescent="0.2">
      <c r="A304" s="207" t="s">
        <v>0</v>
      </c>
      <c r="B304" s="207"/>
      <c r="C304" s="207"/>
      <c r="D304" s="207"/>
      <c r="E304" s="221" t="s">
        <v>1</v>
      </c>
      <c r="F304" s="221"/>
      <c r="G304" s="75"/>
      <c r="H304" s="75"/>
      <c r="I304" s="75"/>
      <c r="J304" s="78"/>
      <c r="K304" s="75"/>
      <c r="L304" s="75"/>
      <c r="M304" s="75"/>
      <c r="N304" s="76"/>
      <c r="O304" s="77"/>
      <c r="P304" s="207" t="s">
        <v>0</v>
      </c>
      <c r="Q304" s="207"/>
      <c r="R304" s="207"/>
      <c r="S304" s="221" t="s">
        <v>2</v>
      </c>
      <c r="T304" s="221"/>
      <c r="U304" s="75"/>
      <c r="V304" s="75"/>
      <c r="W304" s="75"/>
      <c r="X304" s="78"/>
      <c r="Y304" s="75"/>
      <c r="Z304" s="75"/>
      <c r="AA304" s="75"/>
      <c r="AB304" s="76"/>
    </row>
    <row r="305" spans="1:28" x14ac:dyDescent="0.2">
      <c r="A305" s="7" t="s">
        <v>3</v>
      </c>
      <c r="B305" s="80" t="s">
        <v>4</v>
      </c>
      <c r="C305" s="5" t="s">
        <v>5</v>
      </c>
      <c r="D305" s="5" t="s">
        <v>6</v>
      </c>
      <c r="E305" s="6" t="s">
        <v>7</v>
      </c>
      <c r="F305" s="5" t="s">
        <v>6</v>
      </c>
      <c r="G305" s="5" t="s">
        <v>8</v>
      </c>
      <c r="H305" s="5" t="s">
        <v>9</v>
      </c>
      <c r="I305" s="5" t="s">
        <v>10</v>
      </c>
      <c r="J305" s="38" t="s">
        <v>11</v>
      </c>
      <c r="K305" s="5" t="s">
        <v>12</v>
      </c>
      <c r="L305" s="5" t="s">
        <v>9</v>
      </c>
      <c r="M305" s="5" t="s">
        <v>13</v>
      </c>
      <c r="N305" s="5" t="s">
        <v>14</v>
      </c>
      <c r="O305" s="3"/>
      <c r="P305" s="7" t="s">
        <v>3</v>
      </c>
      <c r="Q305" s="5" t="s">
        <v>5</v>
      </c>
      <c r="R305" s="5" t="s">
        <v>6</v>
      </c>
      <c r="S305" s="6" t="s">
        <v>7</v>
      </c>
      <c r="T305" s="5" t="s">
        <v>6</v>
      </c>
      <c r="U305" s="5" t="s">
        <v>8</v>
      </c>
      <c r="V305" s="5" t="s">
        <v>9</v>
      </c>
      <c r="W305" s="5" t="s">
        <v>10</v>
      </c>
      <c r="X305" s="38" t="s">
        <v>11</v>
      </c>
      <c r="Y305" s="5" t="s">
        <v>12</v>
      </c>
      <c r="Z305" s="5" t="s">
        <v>9</v>
      </c>
      <c r="AA305" s="5" t="s">
        <v>13</v>
      </c>
      <c r="AB305" s="5" t="s">
        <v>14</v>
      </c>
    </row>
    <row r="306" spans="1:28" x14ac:dyDescent="0.2">
      <c r="A306" s="12">
        <v>45950</v>
      </c>
      <c r="B306" s="81">
        <v>879</v>
      </c>
      <c r="C306" s="36">
        <v>3429</v>
      </c>
      <c r="D306" s="36">
        <v>103</v>
      </c>
      <c r="E306" s="36">
        <v>72</v>
      </c>
      <c r="F306" s="36">
        <v>2</v>
      </c>
      <c r="G306" s="36">
        <v>8</v>
      </c>
      <c r="H306" s="36">
        <v>2</v>
      </c>
      <c r="I306" s="36">
        <v>10</v>
      </c>
      <c r="J306" s="89" t="s">
        <v>15</v>
      </c>
      <c r="K306" s="49">
        <v>748</v>
      </c>
      <c r="L306" s="36">
        <v>1496</v>
      </c>
      <c r="M306" s="50">
        <v>0.14524271844660194</v>
      </c>
      <c r="N306" s="11"/>
      <c r="O306" s="1"/>
      <c r="P306" s="12">
        <v>45950</v>
      </c>
      <c r="Q306" s="36">
        <v>2622</v>
      </c>
      <c r="R306" s="36">
        <v>132</v>
      </c>
      <c r="S306" s="36">
        <v>95</v>
      </c>
      <c r="T306" s="36">
        <v>5</v>
      </c>
      <c r="U306" s="36">
        <v>41</v>
      </c>
      <c r="V306" s="36">
        <v>5</v>
      </c>
      <c r="W306" s="36">
        <v>0</v>
      </c>
      <c r="X306" s="89" t="s">
        <v>16</v>
      </c>
      <c r="Y306" s="49">
        <v>275</v>
      </c>
      <c r="Z306" s="36">
        <v>1375</v>
      </c>
      <c r="AA306" s="50">
        <v>0.10416666666666667</v>
      </c>
      <c r="AB306" s="11"/>
    </row>
    <row r="307" spans="1:28" x14ac:dyDescent="0.2">
      <c r="A307" s="79"/>
      <c r="B307" s="8"/>
      <c r="C307" s="36">
        <v>3958</v>
      </c>
      <c r="D307" s="9">
        <v>176</v>
      </c>
      <c r="E307" s="36">
        <v>96</v>
      </c>
      <c r="F307" s="9">
        <v>2</v>
      </c>
      <c r="G307" s="9">
        <v>17</v>
      </c>
      <c r="H307" s="9">
        <v>2</v>
      </c>
      <c r="I307" s="9">
        <v>0</v>
      </c>
      <c r="J307" s="89" t="s">
        <v>114</v>
      </c>
      <c r="K307" s="36">
        <v>1100</v>
      </c>
      <c r="L307" s="9">
        <v>2200</v>
      </c>
      <c r="M307" s="10">
        <v>0.125</v>
      </c>
      <c r="N307" s="11"/>
      <c r="O307" s="1"/>
      <c r="P307" s="12"/>
      <c r="Q307" s="36">
        <v>4254</v>
      </c>
      <c r="R307" s="9">
        <v>86</v>
      </c>
      <c r="S307" s="36">
        <v>76</v>
      </c>
      <c r="T307" s="9">
        <v>3</v>
      </c>
      <c r="U307" s="9">
        <v>13</v>
      </c>
      <c r="V307" s="9">
        <v>3</v>
      </c>
      <c r="W307" s="9">
        <v>6</v>
      </c>
      <c r="X307" s="90" t="s">
        <v>115</v>
      </c>
      <c r="Y307" s="37">
        <v>400</v>
      </c>
      <c r="Z307" s="9">
        <v>1200</v>
      </c>
      <c r="AA307" s="10">
        <v>0.13953488372093023</v>
      </c>
      <c r="AB307" s="11"/>
    </row>
    <row r="308" spans="1:28" x14ac:dyDescent="0.2">
      <c r="A308" s="12"/>
      <c r="B308" s="8"/>
      <c r="C308" s="36">
        <v>3660</v>
      </c>
      <c r="D308" s="9">
        <v>58</v>
      </c>
      <c r="E308" s="36">
        <v>99</v>
      </c>
      <c r="F308" s="9">
        <v>1</v>
      </c>
      <c r="G308" s="9">
        <v>86</v>
      </c>
      <c r="H308" s="9">
        <v>1</v>
      </c>
      <c r="I308" s="9">
        <v>0</v>
      </c>
      <c r="J308" s="138" t="s">
        <v>19</v>
      </c>
      <c r="K308" s="37">
        <v>198</v>
      </c>
      <c r="L308" s="9">
        <v>198</v>
      </c>
      <c r="M308" s="10">
        <v>3.413793103448276E-2</v>
      </c>
      <c r="N308" s="11"/>
      <c r="O308" s="1"/>
      <c r="P308" s="12"/>
      <c r="Q308" s="36">
        <v>2134</v>
      </c>
      <c r="R308" s="9">
        <v>126</v>
      </c>
      <c r="S308" s="36">
        <v>54</v>
      </c>
      <c r="T308" s="9">
        <v>2</v>
      </c>
      <c r="U308" s="9">
        <v>13</v>
      </c>
      <c r="V308" s="9">
        <v>2</v>
      </c>
      <c r="W308" s="9">
        <v>2</v>
      </c>
      <c r="X308" s="90" t="s">
        <v>116</v>
      </c>
      <c r="Y308" s="37">
        <v>996</v>
      </c>
      <c r="Z308" s="9">
        <v>1992</v>
      </c>
      <c r="AA308" s="10">
        <v>0.15809523809523809</v>
      </c>
      <c r="AB308" s="107"/>
    </row>
    <row r="309" spans="1:28" ht="15" customHeight="1" thickBot="1" x14ac:dyDescent="0.25">
      <c r="A309" s="17"/>
      <c r="B309" s="82"/>
      <c r="C309" s="42">
        <v>1939</v>
      </c>
      <c r="D309" s="42">
        <v>83</v>
      </c>
      <c r="E309" s="42">
        <v>75</v>
      </c>
      <c r="F309" s="18">
        <v>1</v>
      </c>
      <c r="G309" s="18">
        <v>8</v>
      </c>
      <c r="H309" s="18">
        <v>1</v>
      </c>
      <c r="I309" s="20">
        <v>0</v>
      </c>
      <c r="J309" s="139" t="s">
        <v>31</v>
      </c>
      <c r="K309" s="43">
        <v>220</v>
      </c>
      <c r="L309" s="18">
        <v>220</v>
      </c>
      <c r="M309" s="19">
        <v>2.6506024096385541E-2</v>
      </c>
      <c r="N309" s="11"/>
      <c r="O309" s="1"/>
      <c r="P309" s="17"/>
      <c r="Q309" s="42">
        <v>2661</v>
      </c>
      <c r="R309" s="42">
        <v>115</v>
      </c>
      <c r="S309" s="42">
        <v>42</v>
      </c>
      <c r="T309" s="18">
        <v>2</v>
      </c>
      <c r="U309" s="18">
        <v>8</v>
      </c>
      <c r="V309" s="18">
        <v>2</v>
      </c>
      <c r="W309" s="18">
        <v>2</v>
      </c>
      <c r="X309" s="91" t="s">
        <v>38</v>
      </c>
      <c r="Y309" s="18">
        <v>957</v>
      </c>
      <c r="Z309" s="18">
        <v>1914</v>
      </c>
      <c r="AA309" s="19">
        <v>0.16643478260869565</v>
      </c>
      <c r="AB309" s="11"/>
    </row>
    <row r="310" spans="1:28" ht="15" customHeight="1" thickTop="1" x14ac:dyDescent="0.2">
      <c r="A310" s="96">
        <v>45954</v>
      </c>
      <c r="B310" s="81">
        <f>SUM(D310:D313)+SUM(R310:R313)</f>
        <v>583</v>
      </c>
      <c r="C310" s="36">
        <v>3509</v>
      </c>
      <c r="D310" s="36">
        <v>80</v>
      </c>
      <c r="E310" s="36">
        <v>75</v>
      </c>
      <c r="F310" s="22">
        <v>3</v>
      </c>
      <c r="G310" s="36">
        <v>15</v>
      </c>
      <c r="H310" s="36">
        <v>3</v>
      </c>
      <c r="I310" s="53">
        <v>0</v>
      </c>
      <c r="J310" s="48" t="s">
        <v>15</v>
      </c>
      <c r="K310" s="37">
        <v>748</v>
      </c>
      <c r="L310" s="22">
        <v>2244</v>
      </c>
      <c r="M310" s="23">
        <v>0.28050000000000003</v>
      </c>
      <c r="N310" s="11"/>
      <c r="O310" s="1"/>
      <c r="P310" s="57">
        <f>IF(A310="","",A310)</f>
        <v>45954</v>
      </c>
      <c r="Q310" s="36">
        <v>2739</v>
      </c>
      <c r="R310" s="36">
        <v>117</v>
      </c>
      <c r="S310" s="36">
        <v>97</v>
      </c>
      <c r="T310" s="22">
        <v>2</v>
      </c>
      <c r="U310" s="36">
        <v>39</v>
      </c>
      <c r="V310" s="36">
        <v>2</v>
      </c>
      <c r="W310" s="53">
        <v>0</v>
      </c>
      <c r="X310" s="14" t="s">
        <v>16</v>
      </c>
      <c r="Y310" s="37">
        <v>275</v>
      </c>
      <c r="Z310" s="22">
        <v>550</v>
      </c>
      <c r="AA310" s="23">
        <v>4.7008547008547008E-2</v>
      </c>
      <c r="AB310" s="11"/>
    </row>
    <row r="311" spans="1:28" x14ac:dyDescent="0.2">
      <c r="A311" s="58"/>
      <c r="B311" s="83"/>
      <c r="C311" s="9">
        <v>4054</v>
      </c>
      <c r="D311" s="9">
        <v>96</v>
      </c>
      <c r="E311" s="9">
        <v>98</v>
      </c>
      <c r="F311" s="9">
        <v>2</v>
      </c>
      <c r="G311" s="9">
        <v>15</v>
      </c>
      <c r="H311" s="9">
        <v>2</v>
      </c>
      <c r="I311" s="13">
        <v>-8</v>
      </c>
      <c r="J311" s="39" t="s">
        <v>114</v>
      </c>
      <c r="K311" s="37">
        <v>1100</v>
      </c>
      <c r="L311" s="9">
        <v>2200</v>
      </c>
      <c r="M311" s="10">
        <v>0.22916666666666666</v>
      </c>
      <c r="N311" s="11" t="s">
        <v>123</v>
      </c>
      <c r="O311" s="1"/>
      <c r="P311" s="58"/>
      <c r="Q311" s="9">
        <v>4392</v>
      </c>
      <c r="R311" s="9">
        <v>138</v>
      </c>
      <c r="S311" s="9">
        <v>80</v>
      </c>
      <c r="T311" s="9">
        <v>4</v>
      </c>
      <c r="U311" s="9">
        <v>17</v>
      </c>
      <c r="V311" s="9">
        <v>2</v>
      </c>
      <c r="W311" s="13">
        <v>0</v>
      </c>
      <c r="X311" s="14" t="s">
        <v>115</v>
      </c>
      <c r="Y311" s="37">
        <v>400</v>
      </c>
      <c r="Z311" s="9">
        <v>800</v>
      </c>
      <c r="AA311" s="10">
        <v>5.7971014492753624E-2</v>
      </c>
      <c r="AB311" s="11"/>
    </row>
    <row r="312" spans="1:28" x14ac:dyDescent="0.2">
      <c r="A312" s="58"/>
      <c r="B312" s="83"/>
      <c r="C312" s="9">
        <v>3708</v>
      </c>
      <c r="D312" s="9">
        <v>48</v>
      </c>
      <c r="E312" s="9">
        <v>100</v>
      </c>
      <c r="F312" s="9">
        <v>1</v>
      </c>
      <c r="G312" s="9">
        <v>85</v>
      </c>
      <c r="H312" s="9">
        <v>1</v>
      </c>
      <c r="I312" s="13">
        <v>0</v>
      </c>
      <c r="J312" s="39" t="s">
        <v>19</v>
      </c>
      <c r="K312" s="37">
        <v>198</v>
      </c>
      <c r="L312" s="9">
        <v>198</v>
      </c>
      <c r="M312" s="10">
        <v>4.1250000000000002E-2</v>
      </c>
      <c r="N312" s="11"/>
      <c r="O312" s="1"/>
      <c r="P312" s="58"/>
      <c r="Q312" s="9">
        <v>2155</v>
      </c>
      <c r="R312" s="108">
        <v>21</v>
      </c>
      <c r="S312" s="9">
        <v>55</v>
      </c>
      <c r="T312" s="9">
        <v>1</v>
      </c>
      <c r="U312" s="9">
        <v>14</v>
      </c>
      <c r="V312" s="9">
        <v>1</v>
      </c>
      <c r="W312" s="13">
        <v>1</v>
      </c>
      <c r="X312" s="14" t="s">
        <v>116</v>
      </c>
      <c r="Y312" s="37">
        <v>996</v>
      </c>
      <c r="Z312" s="9">
        <v>996</v>
      </c>
      <c r="AA312" s="10">
        <v>0.47428571428571431</v>
      </c>
      <c r="AB312" s="11"/>
    </row>
    <row r="313" spans="1:28" ht="15" customHeight="1" thickBot="1" x14ac:dyDescent="0.25">
      <c r="A313" s="59"/>
      <c r="B313" s="82"/>
      <c r="C313" s="112">
        <v>1972</v>
      </c>
      <c r="D313" s="117">
        <v>33</v>
      </c>
      <c r="E313" s="43">
        <v>76</v>
      </c>
      <c r="F313" s="18">
        <v>1</v>
      </c>
      <c r="G313" s="18">
        <v>8</v>
      </c>
      <c r="H313" s="18">
        <v>0</v>
      </c>
      <c r="I313" s="31">
        <v>7</v>
      </c>
      <c r="J313" s="40" t="s">
        <v>31</v>
      </c>
      <c r="K313" s="43">
        <v>220</v>
      </c>
      <c r="L313" s="18">
        <v>0</v>
      </c>
      <c r="M313" s="19">
        <v>0</v>
      </c>
      <c r="N313" s="11" t="s">
        <v>113</v>
      </c>
      <c r="O313" s="1"/>
      <c r="P313" s="59"/>
      <c r="Q313" s="112">
        <v>2711</v>
      </c>
      <c r="R313" s="43">
        <v>50</v>
      </c>
      <c r="S313" s="43">
        <v>43</v>
      </c>
      <c r="T313" s="18">
        <v>1</v>
      </c>
      <c r="U313" s="18">
        <v>9</v>
      </c>
      <c r="V313" s="18">
        <v>1</v>
      </c>
      <c r="W313" s="31">
        <v>0</v>
      </c>
      <c r="X313" s="21" t="s">
        <v>38</v>
      </c>
      <c r="Y313" s="43">
        <v>957</v>
      </c>
      <c r="Z313" s="18">
        <v>957</v>
      </c>
      <c r="AA313" s="19">
        <v>0.19139999999999999</v>
      </c>
      <c r="AB313" s="11"/>
    </row>
    <row r="314" spans="1:28" ht="15" customHeight="1" thickTop="1" x14ac:dyDescent="0.2">
      <c r="A314" s="96">
        <v>45957</v>
      </c>
      <c r="B314" s="81">
        <f>SUM(D314:D317)+SUM(R314:R317)</f>
        <v>1031</v>
      </c>
      <c r="C314" s="36">
        <v>3668</v>
      </c>
      <c r="D314" s="36">
        <f t="shared" ref="D314:D361" si="163">IF(C314="","",C314-C310)</f>
        <v>159</v>
      </c>
      <c r="E314" s="36">
        <v>78</v>
      </c>
      <c r="F314" s="22">
        <f t="shared" ref="F314:F337" si="164">IF(E314="","",E314-E310)</f>
        <v>3</v>
      </c>
      <c r="G314" s="36">
        <v>13</v>
      </c>
      <c r="H314" s="36">
        <f t="shared" ref="H314:H337" si="165">IF(G314="","",G310+I310-G314)</f>
        <v>2</v>
      </c>
      <c r="I314" s="53">
        <v>0</v>
      </c>
      <c r="J314" s="48" t="str">
        <f t="shared" ref="J314:J337" si="166">IF(C314="","",J310)</f>
        <v>ジャグラーサウンドボタン</v>
      </c>
      <c r="K314" s="49">
        <f t="shared" ref="K314:K337" si="167">IF(D314="","",K310)</f>
        <v>748</v>
      </c>
      <c r="L314" s="22">
        <f t="shared" ref="L314:L337" si="168">IF(G314="","",H314*K314)</f>
        <v>1496</v>
      </c>
      <c r="M314" s="23">
        <f t="shared" ref="M314:M337" si="169">IF(H314="","",L314/(D314*100))</f>
        <v>9.4088050314465405E-2</v>
      </c>
      <c r="N314" s="11"/>
      <c r="O314" s="1"/>
      <c r="P314" s="57">
        <f>IF(A314="","",A314)</f>
        <v>45957</v>
      </c>
      <c r="Q314" s="36">
        <v>2842</v>
      </c>
      <c r="R314" s="36">
        <f t="shared" ref="R314:R341" si="170">IF(Q314="","",Q314-Q310)</f>
        <v>103</v>
      </c>
      <c r="S314" s="36">
        <v>101</v>
      </c>
      <c r="T314" s="22">
        <f t="shared" ref="T314:T341" si="171">IF(S314="","",S314-S310)</f>
        <v>4</v>
      </c>
      <c r="U314" s="36">
        <v>35</v>
      </c>
      <c r="V314" s="36">
        <f t="shared" ref="V314:V341" si="172">IF(U314="","",U310+W310-U314)</f>
        <v>4</v>
      </c>
      <c r="W314" s="53">
        <v>0</v>
      </c>
      <c r="X314" s="48" t="str">
        <f t="shared" ref="X314:X341" si="173">IF(Q314="","",X310)</f>
        <v>電ブル</v>
      </c>
      <c r="Y314" s="49">
        <f t="shared" ref="Y314:Y341" si="174">IF(R314="","",Y310)</f>
        <v>275</v>
      </c>
      <c r="Z314" s="22">
        <f t="shared" ref="Z314:Z341" si="175">IF(U314="","",V314*Y314)</f>
        <v>1100</v>
      </c>
      <c r="AA314" s="23">
        <f t="shared" ref="AA314:AA341" si="176">IF(V314="","",Z314/(R314*100))</f>
        <v>0.10679611650485436</v>
      </c>
      <c r="AB314" s="11"/>
    </row>
    <row r="315" spans="1:28" x14ac:dyDescent="0.2">
      <c r="A315" s="97"/>
      <c r="B315" s="81"/>
      <c r="C315" s="36">
        <v>4069</v>
      </c>
      <c r="D315" s="108">
        <f t="shared" si="163"/>
        <v>15</v>
      </c>
      <c r="E315" s="9">
        <v>98</v>
      </c>
      <c r="F315" s="9">
        <f t="shared" si="164"/>
        <v>0</v>
      </c>
      <c r="G315" s="9">
        <v>7</v>
      </c>
      <c r="H315" s="9">
        <f t="shared" si="165"/>
        <v>0</v>
      </c>
      <c r="I315" s="13">
        <v>0</v>
      </c>
      <c r="J315" s="143" t="s">
        <v>81</v>
      </c>
      <c r="K315" s="37">
        <f t="shared" si="167"/>
        <v>1100</v>
      </c>
      <c r="L315" s="9">
        <f t="shared" si="168"/>
        <v>0</v>
      </c>
      <c r="M315" s="10">
        <f t="shared" si="169"/>
        <v>0</v>
      </c>
      <c r="N315" s="11"/>
      <c r="O315" s="1"/>
      <c r="P315" s="12"/>
      <c r="Q315" s="36">
        <v>4682</v>
      </c>
      <c r="R315" s="9">
        <f t="shared" si="170"/>
        <v>290</v>
      </c>
      <c r="S315" s="9">
        <v>84</v>
      </c>
      <c r="T315" s="9">
        <f t="shared" si="171"/>
        <v>4</v>
      </c>
      <c r="U315" s="9">
        <v>13</v>
      </c>
      <c r="V315" s="9">
        <f t="shared" si="172"/>
        <v>4</v>
      </c>
      <c r="W315" s="13">
        <v>1</v>
      </c>
      <c r="X315" s="39" t="str">
        <f t="shared" si="173"/>
        <v>ラブブキーホルダー</v>
      </c>
      <c r="Y315" s="37">
        <f t="shared" si="174"/>
        <v>400</v>
      </c>
      <c r="Z315" s="9">
        <f t="shared" si="175"/>
        <v>1600</v>
      </c>
      <c r="AA315" s="10">
        <f t="shared" si="176"/>
        <v>5.5172413793103448E-2</v>
      </c>
      <c r="AB315" s="11"/>
    </row>
    <row r="316" spans="1:28" x14ac:dyDescent="0.2">
      <c r="A316" s="97"/>
      <c r="B316" s="84"/>
      <c r="C316" s="44">
        <v>3797</v>
      </c>
      <c r="D316" s="9">
        <f t="shared" si="163"/>
        <v>89</v>
      </c>
      <c r="E316" s="9">
        <v>103</v>
      </c>
      <c r="F316" s="9">
        <f t="shared" si="164"/>
        <v>3</v>
      </c>
      <c r="G316" s="9">
        <v>82</v>
      </c>
      <c r="H316" s="9">
        <f t="shared" si="165"/>
        <v>3</v>
      </c>
      <c r="I316" s="13">
        <v>0</v>
      </c>
      <c r="J316" s="39" t="str">
        <f t="shared" si="166"/>
        <v>ＡＩモンスターラバー</v>
      </c>
      <c r="K316" s="9">
        <f t="shared" si="167"/>
        <v>198</v>
      </c>
      <c r="L316" s="9">
        <f t="shared" si="168"/>
        <v>594</v>
      </c>
      <c r="M316" s="10">
        <f t="shared" si="169"/>
        <v>6.6741573033707868E-2</v>
      </c>
      <c r="N316" s="11"/>
      <c r="O316" s="1"/>
      <c r="P316" s="12"/>
      <c r="Q316" s="44">
        <v>2300</v>
      </c>
      <c r="R316" s="9">
        <f t="shared" si="170"/>
        <v>145</v>
      </c>
      <c r="S316" s="9">
        <v>57</v>
      </c>
      <c r="T316" s="9">
        <f t="shared" si="171"/>
        <v>2</v>
      </c>
      <c r="U316" s="9">
        <v>13</v>
      </c>
      <c r="V316" s="9">
        <f t="shared" si="172"/>
        <v>2</v>
      </c>
      <c r="W316" s="13">
        <v>2</v>
      </c>
      <c r="X316" s="39" t="str">
        <f t="shared" si="173"/>
        <v>キティマスコット</v>
      </c>
      <c r="Y316" s="9">
        <f t="shared" si="174"/>
        <v>996</v>
      </c>
      <c r="Z316" s="9">
        <f t="shared" si="175"/>
        <v>1992</v>
      </c>
      <c r="AA316" s="10">
        <f t="shared" si="176"/>
        <v>0.13737931034482759</v>
      </c>
      <c r="AB316" s="11"/>
    </row>
    <row r="317" spans="1:28" ht="15" customHeight="1" thickBot="1" x14ac:dyDescent="0.25">
      <c r="A317" s="98"/>
      <c r="B317" s="85"/>
      <c r="C317" s="42">
        <v>2118</v>
      </c>
      <c r="D317" s="43">
        <f t="shared" si="163"/>
        <v>146</v>
      </c>
      <c r="E317" s="18">
        <v>78</v>
      </c>
      <c r="F317" s="18">
        <f t="shared" si="164"/>
        <v>2</v>
      </c>
      <c r="G317" s="18">
        <v>13</v>
      </c>
      <c r="H317" s="18">
        <f t="shared" si="165"/>
        <v>2</v>
      </c>
      <c r="I317" s="31">
        <v>0</v>
      </c>
      <c r="J317" s="40" t="s">
        <v>114</v>
      </c>
      <c r="K317" s="43">
        <v>400</v>
      </c>
      <c r="L317" s="18">
        <f t="shared" si="168"/>
        <v>800</v>
      </c>
      <c r="M317" s="106">
        <f t="shared" si="169"/>
        <v>5.4794520547945202E-2</v>
      </c>
      <c r="N317" s="11"/>
      <c r="O317" s="1"/>
      <c r="P317" s="59"/>
      <c r="Q317" s="42">
        <v>2795</v>
      </c>
      <c r="R317" s="43">
        <f t="shared" si="170"/>
        <v>84</v>
      </c>
      <c r="S317" s="18">
        <v>44</v>
      </c>
      <c r="T317" s="18">
        <f t="shared" si="171"/>
        <v>1</v>
      </c>
      <c r="U317" s="18">
        <v>8</v>
      </c>
      <c r="V317" s="18">
        <f t="shared" si="172"/>
        <v>1</v>
      </c>
      <c r="W317" s="31">
        <v>2</v>
      </c>
      <c r="X317" s="40" t="str">
        <f t="shared" si="173"/>
        <v>サンリオフェイスポーチ</v>
      </c>
      <c r="Y317" s="43">
        <f t="shared" si="174"/>
        <v>957</v>
      </c>
      <c r="Z317" s="18">
        <f t="shared" si="175"/>
        <v>957</v>
      </c>
      <c r="AA317" s="106">
        <f t="shared" si="176"/>
        <v>0.11392857142857143</v>
      </c>
      <c r="AB317" s="11"/>
    </row>
    <row r="318" spans="1:28" ht="15" customHeight="1" thickTop="1" x14ac:dyDescent="0.2">
      <c r="A318" s="96">
        <v>45959</v>
      </c>
      <c r="B318" s="81">
        <f>SUM(D318:D321)+SUM(R318:R321)</f>
        <v>288</v>
      </c>
      <c r="C318" s="36">
        <v>3692</v>
      </c>
      <c r="D318" s="36">
        <f t="shared" si="163"/>
        <v>24</v>
      </c>
      <c r="E318" s="36">
        <v>79</v>
      </c>
      <c r="F318" s="22">
        <f t="shared" si="164"/>
        <v>1</v>
      </c>
      <c r="G318" s="36">
        <v>13</v>
      </c>
      <c r="H318" s="36">
        <f t="shared" si="165"/>
        <v>0</v>
      </c>
      <c r="I318" s="53">
        <v>0</v>
      </c>
      <c r="J318" s="39" t="str">
        <f t="shared" si="166"/>
        <v>ジャグラーサウンドボタン</v>
      </c>
      <c r="K318" s="37">
        <f t="shared" si="167"/>
        <v>748</v>
      </c>
      <c r="L318" s="22">
        <f t="shared" si="168"/>
        <v>0</v>
      </c>
      <c r="M318" s="23">
        <f t="shared" si="169"/>
        <v>0</v>
      </c>
      <c r="N318" s="11"/>
      <c r="O318" s="1"/>
      <c r="P318" s="57">
        <f>IF(A318="","",A318)</f>
        <v>45959</v>
      </c>
      <c r="Q318" s="36">
        <v>2861</v>
      </c>
      <c r="R318" s="36">
        <f t="shared" si="170"/>
        <v>19</v>
      </c>
      <c r="S318" s="36">
        <v>101</v>
      </c>
      <c r="T318" s="22">
        <f t="shared" si="171"/>
        <v>0</v>
      </c>
      <c r="U318" s="36">
        <v>35</v>
      </c>
      <c r="V318" s="36">
        <f t="shared" si="172"/>
        <v>0</v>
      </c>
      <c r="W318" s="53">
        <v>10</v>
      </c>
      <c r="X318" s="14" t="str">
        <f t="shared" si="173"/>
        <v>電ブル</v>
      </c>
      <c r="Y318" s="37">
        <f t="shared" si="174"/>
        <v>275</v>
      </c>
      <c r="Z318" s="22">
        <f t="shared" si="175"/>
        <v>0</v>
      </c>
      <c r="AA318" s="23">
        <f t="shared" si="176"/>
        <v>0</v>
      </c>
      <c r="AB318" s="11"/>
    </row>
    <row r="319" spans="1:28" x14ac:dyDescent="0.2">
      <c r="A319" s="97"/>
      <c r="B319" s="8"/>
      <c r="C319" s="9">
        <v>4126</v>
      </c>
      <c r="D319" s="9">
        <f t="shared" si="163"/>
        <v>57</v>
      </c>
      <c r="E319" s="9">
        <v>98</v>
      </c>
      <c r="F319" s="9">
        <f t="shared" si="164"/>
        <v>0</v>
      </c>
      <c r="G319" s="9">
        <v>7</v>
      </c>
      <c r="H319" s="9">
        <f t="shared" si="165"/>
        <v>0</v>
      </c>
      <c r="I319" s="13">
        <v>0</v>
      </c>
      <c r="J319" s="39" t="str">
        <f t="shared" si="166"/>
        <v>ジャグラーボタン</v>
      </c>
      <c r="K319" s="37">
        <f t="shared" si="167"/>
        <v>1100</v>
      </c>
      <c r="L319" s="9">
        <f t="shared" si="168"/>
        <v>0</v>
      </c>
      <c r="M319" s="10">
        <f t="shared" si="169"/>
        <v>0</v>
      </c>
      <c r="N319" s="11"/>
      <c r="O319" s="1"/>
      <c r="P319" s="97"/>
      <c r="Q319" s="9">
        <v>4753</v>
      </c>
      <c r="R319" s="9">
        <f t="shared" si="170"/>
        <v>71</v>
      </c>
      <c r="S319" s="9">
        <v>84</v>
      </c>
      <c r="T319" s="9">
        <f t="shared" si="171"/>
        <v>0</v>
      </c>
      <c r="U319" s="9">
        <v>14</v>
      </c>
      <c r="V319" s="9">
        <f t="shared" si="172"/>
        <v>0</v>
      </c>
      <c r="W319" s="13">
        <v>0</v>
      </c>
      <c r="X319" s="14" t="str">
        <f t="shared" si="173"/>
        <v>ラブブキーホルダー</v>
      </c>
      <c r="Y319" s="37">
        <f t="shared" si="174"/>
        <v>400</v>
      </c>
      <c r="Z319" s="9">
        <f t="shared" si="175"/>
        <v>0</v>
      </c>
      <c r="AA319" s="10">
        <f t="shared" si="176"/>
        <v>0</v>
      </c>
      <c r="AB319" s="11"/>
    </row>
    <row r="320" spans="1:28" x14ac:dyDescent="0.2">
      <c r="A320" s="99"/>
      <c r="B320" s="86"/>
      <c r="C320" s="25">
        <v>3811</v>
      </c>
      <c r="D320" s="9">
        <f t="shared" si="163"/>
        <v>14</v>
      </c>
      <c r="E320" s="9">
        <v>103</v>
      </c>
      <c r="F320" s="9">
        <f t="shared" si="164"/>
        <v>0</v>
      </c>
      <c r="G320" s="25">
        <v>82</v>
      </c>
      <c r="H320" s="9">
        <f t="shared" si="165"/>
        <v>0</v>
      </c>
      <c r="I320" s="32">
        <v>0</v>
      </c>
      <c r="J320" s="39" t="str">
        <f t="shared" si="166"/>
        <v>ＡＩモンスターラバー</v>
      </c>
      <c r="K320" s="37">
        <f t="shared" si="167"/>
        <v>198</v>
      </c>
      <c r="L320" s="9">
        <f t="shared" si="168"/>
        <v>0</v>
      </c>
      <c r="M320" s="10">
        <f t="shared" si="169"/>
        <v>0</v>
      </c>
      <c r="N320" s="11"/>
      <c r="P320" s="99"/>
      <c r="Q320" s="25">
        <v>2309</v>
      </c>
      <c r="R320" s="9">
        <f t="shared" si="170"/>
        <v>9</v>
      </c>
      <c r="S320" s="9">
        <v>57</v>
      </c>
      <c r="T320" s="9">
        <f t="shared" si="171"/>
        <v>0</v>
      </c>
      <c r="U320" s="25">
        <v>15</v>
      </c>
      <c r="V320" s="9">
        <f t="shared" si="172"/>
        <v>0</v>
      </c>
      <c r="W320" s="32">
        <v>0</v>
      </c>
      <c r="X320" s="14" t="str">
        <f t="shared" si="173"/>
        <v>キティマスコット</v>
      </c>
      <c r="Y320" s="37">
        <f t="shared" si="174"/>
        <v>996</v>
      </c>
      <c r="Z320" s="9">
        <f t="shared" si="175"/>
        <v>0</v>
      </c>
      <c r="AA320" s="10">
        <f t="shared" si="176"/>
        <v>0</v>
      </c>
      <c r="AB320" s="11"/>
    </row>
    <row r="321" spans="1:28" ht="15" customHeight="1" thickBot="1" x14ac:dyDescent="0.25">
      <c r="A321" s="100"/>
      <c r="B321" s="87"/>
      <c r="C321" s="18">
        <v>2196</v>
      </c>
      <c r="D321" s="43">
        <f t="shared" si="163"/>
        <v>78</v>
      </c>
      <c r="E321" s="18">
        <v>78</v>
      </c>
      <c r="F321" s="18">
        <f t="shared" si="164"/>
        <v>0</v>
      </c>
      <c r="G321" s="18">
        <v>13</v>
      </c>
      <c r="H321" s="18">
        <f t="shared" si="165"/>
        <v>0</v>
      </c>
      <c r="I321" s="31">
        <v>0</v>
      </c>
      <c r="J321" s="40" t="str">
        <f t="shared" si="166"/>
        <v>ラブブマスコット</v>
      </c>
      <c r="K321" s="43">
        <f t="shared" si="167"/>
        <v>400</v>
      </c>
      <c r="L321" s="18">
        <f t="shared" si="168"/>
        <v>0</v>
      </c>
      <c r="M321" s="19">
        <f t="shared" si="169"/>
        <v>0</v>
      </c>
      <c r="N321" s="11"/>
      <c r="P321" s="100"/>
      <c r="Q321" s="18">
        <v>2811</v>
      </c>
      <c r="R321" s="43">
        <f t="shared" si="170"/>
        <v>16</v>
      </c>
      <c r="S321" s="18">
        <v>44</v>
      </c>
      <c r="T321" s="18">
        <f t="shared" si="171"/>
        <v>0</v>
      </c>
      <c r="U321" s="18">
        <v>10</v>
      </c>
      <c r="V321" s="18">
        <f t="shared" si="172"/>
        <v>0</v>
      </c>
      <c r="W321" s="31">
        <v>0</v>
      </c>
      <c r="X321" s="40" t="str">
        <f t="shared" si="173"/>
        <v>サンリオフェイスポーチ</v>
      </c>
      <c r="Y321" s="43">
        <f t="shared" si="174"/>
        <v>957</v>
      </c>
      <c r="Z321" s="18">
        <f t="shared" si="175"/>
        <v>0</v>
      </c>
      <c r="AA321" s="19">
        <f t="shared" si="176"/>
        <v>0</v>
      </c>
      <c r="AB321" s="11"/>
    </row>
    <row r="322" spans="1:28" ht="15" customHeight="1" thickTop="1" x14ac:dyDescent="0.2">
      <c r="A322" s="96">
        <v>45965</v>
      </c>
      <c r="B322" s="81">
        <f>SUM(D322:D325)+SUM(R322:R325)</f>
        <v>1289</v>
      </c>
      <c r="C322" s="36">
        <v>3929</v>
      </c>
      <c r="D322" s="36">
        <f t="shared" si="163"/>
        <v>237</v>
      </c>
      <c r="E322" s="36">
        <v>81</v>
      </c>
      <c r="F322" s="22">
        <f t="shared" si="164"/>
        <v>2</v>
      </c>
      <c r="G322" s="36">
        <v>11</v>
      </c>
      <c r="H322" s="36">
        <f t="shared" si="165"/>
        <v>2</v>
      </c>
      <c r="I322" s="53">
        <v>6</v>
      </c>
      <c r="J322" s="48" t="str">
        <f t="shared" si="166"/>
        <v>ジャグラーサウンドボタン</v>
      </c>
      <c r="K322" s="49">
        <f t="shared" si="167"/>
        <v>748</v>
      </c>
      <c r="L322" s="22">
        <f t="shared" si="168"/>
        <v>1496</v>
      </c>
      <c r="M322" s="23">
        <f t="shared" si="169"/>
        <v>6.3122362869198312E-2</v>
      </c>
      <c r="N322" s="11"/>
      <c r="P322" s="104">
        <f>IF(A322="","",A322)</f>
        <v>45965</v>
      </c>
      <c r="Q322" s="36">
        <v>3001</v>
      </c>
      <c r="R322" s="36">
        <f t="shared" si="170"/>
        <v>140</v>
      </c>
      <c r="S322" s="36">
        <v>105</v>
      </c>
      <c r="T322" s="22">
        <f t="shared" si="171"/>
        <v>4</v>
      </c>
      <c r="U322" s="36">
        <v>41</v>
      </c>
      <c r="V322" s="36">
        <f t="shared" si="172"/>
        <v>4</v>
      </c>
      <c r="W322" s="53">
        <v>6</v>
      </c>
      <c r="X322" s="48" t="str">
        <f t="shared" si="173"/>
        <v>電ブル</v>
      </c>
      <c r="Y322" s="49">
        <f t="shared" si="174"/>
        <v>275</v>
      </c>
      <c r="Z322" s="22">
        <f t="shared" si="175"/>
        <v>1100</v>
      </c>
      <c r="AA322" s="23">
        <f t="shared" si="176"/>
        <v>7.857142857142857E-2</v>
      </c>
      <c r="AB322" s="11"/>
    </row>
    <row r="323" spans="1:28" x14ac:dyDescent="0.2">
      <c r="A323" s="96"/>
      <c r="B323" s="81"/>
      <c r="C323" s="36">
        <v>4190</v>
      </c>
      <c r="D323" s="108">
        <f t="shared" si="163"/>
        <v>64</v>
      </c>
      <c r="E323" s="9">
        <v>99</v>
      </c>
      <c r="F323" s="9">
        <f t="shared" si="164"/>
        <v>1</v>
      </c>
      <c r="G323" s="9">
        <v>6</v>
      </c>
      <c r="H323" s="9">
        <f t="shared" si="165"/>
        <v>1</v>
      </c>
      <c r="I323" s="13">
        <v>16</v>
      </c>
      <c r="J323" s="39" t="str">
        <f t="shared" si="166"/>
        <v>ジャグラーボタン</v>
      </c>
      <c r="K323" s="37">
        <f t="shared" si="167"/>
        <v>1100</v>
      </c>
      <c r="L323" s="9">
        <f t="shared" si="168"/>
        <v>1100</v>
      </c>
      <c r="M323" s="10">
        <f t="shared" si="169"/>
        <v>0.171875</v>
      </c>
      <c r="N323" s="11" t="s">
        <v>125</v>
      </c>
      <c r="P323" s="96"/>
      <c r="Q323" s="36">
        <v>4919</v>
      </c>
      <c r="R323" s="9">
        <f t="shared" si="170"/>
        <v>166</v>
      </c>
      <c r="S323" s="9">
        <v>86</v>
      </c>
      <c r="T323" s="9">
        <f t="shared" si="171"/>
        <v>2</v>
      </c>
      <c r="U323" s="9">
        <v>12</v>
      </c>
      <c r="V323" s="9">
        <f t="shared" si="172"/>
        <v>2</v>
      </c>
      <c r="W323" s="13">
        <v>3</v>
      </c>
      <c r="X323" s="39" t="str">
        <f t="shared" si="173"/>
        <v>ラブブキーホルダー</v>
      </c>
      <c r="Y323" s="37">
        <f t="shared" si="174"/>
        <v>400</v>
      </c>
      <c r="Z323" s="9">
        <f t="shared" si="175"/>
        <v>800</v>
      </c>
      <c r="AA323" s="10">
        <f t="shared" si="176"/>
        <v>4.8192771084337352E-2</v>
      </c>
      <c r="AB323" s="11"/>
    </row>
    <row r="324" spans="1:28" ht="15" customHeight="1" x14ac:dyDescent="0.2">
      <c r="A324" s="96"/>
      <c r="B324" s="84"/>
      <c r="C324" s="44">
        <v>3955</v>
      </c>
      <c r="D324" s="9">
        <f t="shared" si="163"/>
        <v>144</v>
      </c>
      <c r="E324" s="9">
        <v>106</v>
      </c>
      <c r="F324" s="9">
        <f t="shared" si="164"/>
        <v>3</v>
      </c>
      <c r="G324" s="9">
        <v>79</v>
      </c>
      <c r="H324" s="9">
        <f t="shared" si="165"/>
        <v>3</v>
      </c>
      <c r="I324" s="13">
        <v>10</v>
      </c>
      <c r="J324" s="39" t="str">
        <f t="shared" si="166"/>
        <v>ＡＩモンスターラバー</v>
      </c>
      <c r="K324" s="9">
        <f t="shared" si="167"/>
        <v>198</v>
      </c>
      <c r="L324" s="9">
        <f t="shared" si="168"/>
        <v>594</v>
      </c>
      <c r="M324" s="10">
        <f t="shared" si="169"/>
        <v>4.1250000000000002E-2</v>
      </c>
      <c r="N324" s="11"/>
      <c r="P324" s="96"/>
      <c r="Q324" s="44">
        <v>2448</v>
      </c>
      <c r="R324" s="9">
        <f t="shared" si="170"/>
        <v>139</v>
      </c>
      <c r="S324" s="9">
        <v>60</v>
      </c>
      <c r="T324" s="9">
        <f t="shared" si="171"/>
        <v>3</v>
      </c>
      <c r="U324" s="9">
        <v>12</v>
      </c>
      <c r="V324" s="9">
        <f t="shared" si="172"/>
        <v>3</v>
      </c>
      <c r="W324" s="13">
        <v>3</v>
      </c>
      <c r="X324" s="39" t="str">
        <f t="shared" si="173"/>
        <v>キティマスコット</v>
      </c>
      <c r="Y324" s="9">
        <f t="shared" si="174"/>
        <v>996</v>
      </c>
      <c r="Z324" s="9">
        <f t="shared" si="175"/>
        <v>2988</v>
      </c>
      <c r="AA324" s="10">
        <f t="shared" si="176"/>
        <v>0.21496402877697843</v>
      </c>
      <c r="AB324" s="11"/>
    </row>
    <row r="325" spans="1:28" ht="15" customHeight="1" thickBot="1" x14ac:dyDescent="0.25">
      <c r="A325" s="100"/>
      <c r="B325" s="87"/>
      <c r="C325" s="42">
        <v>2416</v>
      </c>
      <c r="D325" s="43">
        <f t="shared" si="163"/>
        <v>220</v>
      </c>
      <c r="E325" s="18">
        <v>81</v>
      </c>
      <c r="F325" s="18">
        <f t="shared" si="164"/>
        <v>3</v>
      </c>
      <c r="G325" s="18">
        <v>10</v>
      </c>
      <c r="H325" s="18">
        <f t="shared" si="165"/>
        <v>3</v>
      </c>
      <c r="I325" s="31">
        <v>5</v>
      </c>
      <c r="J325" s="40" t="str">
        <f t="shared" si="166"/>
        <v>ラブブマスコット</v>
      </c>
      <c r="K325" s="43">
        <f t="shared" si="167"/>
        <v>400</v>
      </c>
      <c r="L325" s="18">
        <f t="shared" si="168"/>
        <v>1200</v>
      </c>
      <c r="M325" s="19">
        <f t="shared" si="169"/>
        <v>5.4545454545454543E-2</v>
      </c>
      <c r="N325" s="11"/>
      <c r="P325" s="100"/>
      <c r="Q325" s="42">
        <v>2990</v>
      </c>
      <c r="R325" s="43">
        <f t="shared" si="170"/>
        <v>179</v>
      </c>
      <c r="S325" s="18">
        <v>46</v>
      </c>
      <c r="T325" s="18">
        <f t="shared" si="171"/>
        <v>2</v>
      </c>
      <c r="U325" s="18">
        <v>8</v>
      </c>
      <c r="V325" s="18">
        <f t="shared" si="172"/>
        <v>2</v>
      </c>
      <c r="W325" s="31">
        <v>2</v>
      </c>
      <c r="X325" s="40" t="str">
        <f t="shared" si="173"/>
        <v>サンリオフェイスポーチ</v>
      </c>
      <c r="Y325" s="43">
        <f t="shared" si="174"/>
        <v>957</v>
      </c>
      <c r="Z325" s="18">
        <f t="shared" si="175"/>
        <v>1914</v>
      </c>
      <c r="AA325" s="19">
        <f t="shared" si="176"/>
        <v>0.10692737430167598</v>
      </c>
      <c r="AB325" s="11"/>
    </row>
    <row r="326" spans="1:28" ht="15" customHeight="1" thickTop="1" x14ac:dyDescent="0.2">
      <c r="A326" s="96">
        <v>45968</v>
      </c>
      <c r="B326" s="81">
        <f>SUM(D326:D329)+SUM(R326:R329)</f>
        <v>217</v>
      </c>
      <c r="C326" s="36">
        <v>3984</v>
      </c>
      <c r="D326" s="36">
        <f t="shared" si="163"/>
        <v>55</v>
      </c>
      <c r="E326" s="36">
        <v>82</v>
      </c>
      <c r="F326" s="22">
        <f t="shared" si="164"/>
        <v>1</v>
      </c>
      <c r="G326" s="36">
        <v>16</v>
      </c>
      <c r="H326" s="36">
        <f t="shared" si="165"/>
        <v>1</v>
      </c>
      <c r="I326" s="53"/>
      <c r="J326" s="48" t="str">
        <f t="shared" si="166"/>
        <v>ジャグラーサウンドボタン</v>
      </c>
      <c r="K326" s="49">
        <f t="shared" si="167"/>
        <v>748</v>
      </c>
      <c r="L326" s="22">
        <f t="shared" si="168"/>
        <v>748</v>
      </c>
      <c r="M326" s="23">
        <f t="shared" si="169"/>
        <v>0.13600000000000001</v>
      </c>
      <c r="N326" s="11"/>
      <c r="P326" s="104">
        <f>IF(A326="","",A326)</f>
        <v>45968</v>
      </c>
      <c r="Q326" s="36">
        <v>3019</v>
      </c>
      <c r="R326" s="36">
        <f t="shared" si="170"/>
        <v>18</v>
      </c>
      <c r="S326" s="36">
        <v>105</v>
      </c>
      <c r="T326" s="22">
        <f t="shared" si="171"/>
        <v>0</v>
      </c>
      <c r="U326" s="36">
        <v>46</v>
      </c>
      <c r="V326" s="36">
        <f t="shared" si="172"/>
        <v>1</v>
      </c>
      <c r="W326" s="53"/>
      <c r="X326" s="48" t="str">
        <f t="shared" si="173"/>
        <v>電ブル</v>
      </c>
      <c r="Y326" s="49">
        <f t="shared" si="174"/>
        <v>275</v>
      </c>
      <c r="Z326" s="22">
        <f t="shared" si="175"/>
        <v>275</v>
      </c>
      <c r="AA326" s="23">
        <f t="shared" si="176"/>
        <v>0.15277777777777779</v>
      </c>
      <c r="AB326" s="11"/>
    </row>
    <row r="327" spans="1:28" ht="15" customHeight="1" x14ac:dyDescent="0.2">
      <c r="A327" s="97"/>
      <c r="B327" s="8"/>
      <c r="C327" s="9">
        <v>4215</v>
      </c>
      <c r="D327" s="9">
        <f t="shared" si="163"/>
        <v>25</v>
      </c>
      <c r="E327" s="9">
        <v>99</v>
      </c>
      <c r="F327" s="9">
        <f t="shared" si="164"/>
        <v>0</v>
      </c>
      <c r="G327" s="9">
        <v>22</v>
      </c>
      <c r="H327" s="9">
        <f t="shared" si="165"/>
        <v>0</v>
      </c>
      <c r="I327" s="13"/>
      <c r="J327" s="39" t="str">
        <f t="shared" si="166"/>
        <v>ジャグラーボタン</v>
      </c>
      <c r="K327" s="37">
        <f t="shared" si="167"/>
        <v>1100</v>
      </c>
      <c r="L327" s="9">
        <f t="shared" si="168"/>
        <v>0</v>
      </c>
      <c r="M327" s="10">
        <f t="shared" si="169"/>
        <v>0</v>
      </c>
      <c r="N327" s="11"/>
      <c r="P327" s="97"/>
      <c r="Q327" s="9">
        <v>4935</v>
      </c>
      <c r="R327" s="9">
        <f t="shared" si="170"/>
        <v>16</v>
      </c>
      <c r="S327" s="9">
        <v>86</v>
      </c>
      <c r="T327" s="9">
        <f t="shared" si="171"/>
        <v>0</v>
      </c>
      <c r="U327" s="9">
        <v>15</v>
      </c>
      <c r="V327" s="9">
        <f t="shared" si="172"/>
        <v>0</v>
      </c>
      <c r="W327" s="13"/>
      <c r="X327" s="39" t="str">
        <f t="shared" si="173"/>
        <v>ラブブキーホルダー</v>
      </c>
      <c r="Y327" s="37">
        <f t="shared" si="174"/>
        <v>400</v>
      </c>
      <c r="Z327" s="9">
        <f t="shared" si="175"/>
        <v>0</v>
      </c>
      <c r="AA327" s="10">
        <f t="shared" si="176"/>
        <v>0</v>
      </c>
      <c r="AB327" s="11"/>
    </row>
    <row r="328" spans="1:28" ht="15" customHeight="1" x14ac:dyDescent="0.2">
      <c r="A328" s="97"/>
      <c r="B328" s="86"/>
      <c r="C328" s="25">
        <v>3982</v>
      </c>
      <c r="D328" s="9">
        <f t="shared" si="163"/>
        <v>27</v>
      </c>
      <c r="E328" s="9">
        <v>106</v>
      </c>
      <c r="F328" s="9">
        <f t="shared" si="164"/>
        <v>0</v>
      </c>
      <c r="G328" s="25">
        <v>89</v>
      </c>
      <c r="H328" s="9">
        <f t="shared" si="165"/>
        <v>0</v>
      </c>
      <c r="I328" s="32"/>
      <c r="J328" s="39" t="str">
        <f t="shared" si="166"/>
        <v>ＡＩモンスターラバー</v>
      </c>
      <c r="K328" s="9">
        <f t="shared" si="167"/>
        <v>198</v>
      </c>
      <c r="L328" s="9">
        <f t="shared" si="168"/>
        <v>0</v>
      </c>
      <c r="M328" s="10">
        <f t="shared" si="169"/>
        <v>0</v>
      </c>
      <c r="N328" s="11"/>
      <c r="P328" s="97"/>
      <c r="Q328" s="25">
        <v>2483</v>
      </c>
      <c r="R328" s="9">
        <f t="shared" si="170"/>
        <v>35</v>
      </c>
      <c r="S328" s="9">
        <v>60</v>
      </c>
      <c r="T328" s="9">
        <f t="shared" si="171"/>
        <v>0</v>
      </c>
      <c r="U328" s="25">
        <v>15</v>
      </c>
      <c r="V328" s="9">
        <f t="shared" si="172"/>
        <v>0</v>
      </c>
      <c r="W328" s="32"/>
      <c r="X328" s="39" t="str">
        <f t="shared" si="173"/>
        <v>キティマスコット</v>
      </c>
      <c r="Y328" s="9">
        <f t="shared" si="174"/>
        <v>996</v>
      </c>
      <c r="Z328" s="9">
        <f t="shared" si="175"/>
        <v>0</v>
      </c>
      <c r="AA328" s="10">
        <f t="shared" si="176"/>
        <v>0</v>
      </c>
      <c r="AB328" s="11"/>
    </row>
    <row r="329" spans="1:28" ht="15" customHeight="1" thickBot="1" x14ac:dyDescent="0.25">
      <c r="A329" s="100"/>
      <c r="B329" s="87"/>
      <c r="C329" s="18">
        <v>2432</v>
      </c>
      <c r="D329" s="43">
        <f t="shared" si="163"/>
        <v>16</v>
      </c>
      <c r="E329" s="18">
        <v>81</v>
      </c>
      <c r="F329" s="18">
        <f t="shared" si="164"/>
        <v>0</v>
      </c>
      <c r="G329" s="18">
        <v>15</v>
      </c>
      <c r="H329" s="18">
        <f t="shared" si="165"/>
        <v>0</v>
      </c>
      <c r="I329" s="31"/>
      <c r="J329" s="40" t="str">
        <f t="shared" si="166"/>
        <v>ラブブマスコット</v>
      </c>
      <c r="K329" s="43">
        <f t="shared" si="167"/>
        <v>400</v>
      </c>
      <c r="L329" s="18">
        <f t="shared" si="168"/>
        <v>0</v>
      </c>
      <c r="M329" s="19">
        <f t="shared" si="169"/>
        <v>0</v>
      </c>
      <c r="N329" s="11"/>
      <c r="P329" s="100"/>
      <c r="Q329" s="18">
        <v>3015</v>
      </c>
      <c r="R329" s="43">
        <f t="shared" si="170"/>
        <v>25</v>
      </c>
      <c r="S329" s="18">
        <v>46</v>
      </c>
      <c r="T329" s="18">
        <f t="shared" si="171"/>
        <v>0</v>
      </c>
      <c r="U329" s="18">
        <v>10</v>
      </c>
      <c r="V329" s="18">
        <f t="shared" si="172"/>
        <v>0</v>
      </c>
      <c r="W329" s="31"/>
      <c r="X329" s="40" t="str">
        <f t="shared" si="173"/>
        <v>サンリオフェイスポーチ</v>
      </c>
      <c r="Y329" s="43">
        <f t="shared" si="174"/>
        <v>957</v>
      </c>
      <c r="Z329" s="18">
        <f t="shared" si="175"/>
        <v>0</v>
      </c>
      <c r="AA329" s="19">
        <f t="shared" si="176"/>
        <v>0</v>
      </c>
      <c r="AB329" s="11"/>
    </row>
    <row r="330" spans="1:28" ht="15" customHeight="1" thickTop="1" x14ac:dyDescent="0.2">
      <c r="A330" s="96">
        <v>45971</v>
      </c>
      <c r="B330" s="81">
        <f>SUM(D330:D333)+SUM(R330:R333)</f>
        <v>637</v>
      </c>
      <c r="C330" s="36">
        <v>4068</v>
      </c>
      <c r="D330" s="36">
        <f t="shared" si="163"/>
        <v>84</v>
      </c>
      <c r="E330" s="36">
        <v>83</v>
      </c>
      <c r="F330" s="22">
        <f t="shared" si="164"/>
        <v>1</v>
      </c>
      <c r="G330" s="36">
        <v>15</v>
      </c>
      <c r="H330" s="36">
        <f t="shared" si="165"/>
        <v>1</v>
      </c>
      <c r="I330" s="53">
        <v>0</v>
      </c>
      <c r="J330" s="48" t="str">
        <f t="shared" si="166"/>
        <v>ジャグラーサウンドボタン</v>
      </c>
      <c r="K330" s="49">
        <f t="shared" si="167"/>
        <v>748</v>
      </c>
      <c r="L330" s="22">
        <f t="shared" si="168"/>
        <v>748</v>
      </c>
      <c r="M330" s="23">
        <f t="shared" si="169"/>
        <v>8.9047619047619042E-2</v>
      </c>
      <c r="N330" s="11"/>
      <c r="P330" s="104">
        <f>IF(A330="","",A330)</f>
        <v>45971</v>
      </c>
      <c r="Q330" s="36">
        <v>3049</v>
      </c>
      <c r="R330" s="36">
        <f t="shared" si="170"/>
        <v>30</v>
      </c>
      <c r="S330" s="36">
        <v>105</v>
      </c>
      <c r="T330" s="22">
        <f t="shared" si="171"/>
        <v>0</v>
      </c>
      <c r="U330" s="36">
        <v>45</v>
      </c>
      <c r="V330" s="36">
        <f t="shared" si="172"/>
        <v>1</v>
      </c>
      <c r="W330" s="53">
        <v>0</v>
      </c>
      <c r="X330" s="48" t="str">
        <f t="shared" si="173"/>
        <v>電ブル</v>
      </c>
      <c r="Y330" s="49">
        <f t="shared" si="174"/>
        <v>275</v>
      </c>
      <c r="Z330" s="22">
        <f t="shared" si="175"/>
        <v>275</v>
      </c>
      <c r="AA330" s="23">
        <f t="shared" si="176"/>
        <v>9.166666666666666E-2</v>
      </c>
      <c r="AB330" s="11"/>
    </row>
    <row r="331" spans="1:28" ht="15" customHeight="1" x14ac:dyDescent="0.2">
      <c r="A331" s="96"/>
      <c r="B331" s="81"/>
      <c r="C331" s="36">
        <v>4292</v>
      </c>
      <c r="D331" s="9">
        <f t="shared" si="163"/>
        <v>77</v>
      </c>
      <c r="E331" s="9">
        <v>109</v>
      </c>
      <c r="F331" s="9">
        <f t="shared" si="164"/>
        <v>10</v>
      </c>
      <c r="G331" s="9">
        <v>19</v>
      </c>
      <c r="H331" s="9">
        <f t="shared" si="165"/>
        <v>3</v>
      </c>
      <c r="I331" s="13">
        <v>0</v>
      </c>
      <c r="J331" s="39" t="str">
        <f t="shared" si="166"/>
        <v>ジャグラーボタン</v>
      </c>
      <c r="K331" s="37">
        <f t="shared" si="167"/>
        <v>1100</v>
      </c>
      <c r="L331" s="9">
        <f t="shared" si="168"/>
        <v>3300</v>
      </c>
      <c r="M331" s="10">
        <f t="shared" si="169"/>
        <v>0.42857142857142855</v>
      </c>
      <c r="N331" s="11"/>
      <c r="P331" s="96"/>
      <c r="Q331" s="36">
        <v>4970</v>
      </c>
      <c r="R331" s="9">
        <f t="shared" si="170"/>
        <v>35</v>
      </c>
      <c r="S331" s="9">
        <v>86</v>
      </c>
      <c r="T331" s="9">
        <f t="shared" si="171"/>
        <v>0</v>
      </c>
      <c r="U331" s="9">
        <v>15</v>
      </c>
      <c r="V331" s="9">
        <f t="shared" si="172"/>
        <v>0</v>
      </c>
      <c r="W331" s="13">
        <v>5</v>
      </c>
      <c r="X331" s="39" t="str">
        <f t="shared" si="173"/>
        <v>ラブブキーホルダー</v>
      </c>
      <c r="Y331" s="37">
        <f t="shared" si="174"/>
        <v>400</v>
      </c>
      <c r="Z331" s="9">
        <f t="shared" si="175"/>
        <v>0</v>
      </c>
      <c r="AA331" s="10">
        <f t="shared" si="176"/>
        <v>0</v>
      </c>
      <c r="AB331" s="11"/>
    </row>
    <row r="332" spans="1:28" ht="15" customHeight="1" x14ac:dyDescent="0.2">
      <c r="A332" s="97"/>
      <c r="B332" s="8"/>
      <c r="C332" s="44">
        <v>4135</v>
      </c>
      <c r="D332" s="9">
        <f t="shared" si="163"/>
        <v>153</v>
      </c>
      <c r="E332" s="9">
        <v>111</v>
      </c>
      <c r="F332" s="9">
        <f t="shared" si="164"/>
        <v>5</v>
      </c>
      <c r="G332" s="9">
        <v>84</v>
      </c>
      <c r="H332" s="9">
        <f t="shared" si="165"/>
        <v>5</v>
      </c>
      <c r="I332" s="13">
        <v>0</v>
      </c>
      <c r="J332" s="39" t="str">
        <f t="shared" si="166"/>
        <v>ＡＩモンスターラバー</v>
      </c>
      <c r="K332" s="9">
        <f t="shared" si="167"/>
        <v>198</v>
      </c>
      <c r="L332" s="9">
        <f t="shared" si="168"/>
        <v>990</v>
      </c>
      <c r="M332" s="10">
        <f t="shared" si="169"/>
        <v>6.4705882352941183E-2</v>
      </c>
      <c r="N332" s="11"/>
      <c r="P332" s="97"/>
      <c r="Q332" s="44">
        <v>2530</v>
      </c>
      <c r="R332" s="9">
        <f t="shared" si="170"/>
        <v>47</v>
      </c>
      <c r="S332" s="9">
        <v>61</v>
      </c>
      <c r="T332" s="9">
        <f t="shared" si="171"/>
        <v>1</v>
      </c>
      <c r="U332" s="9">
        <v>14</v>
      </c>
      <c r="V332" s="9">
        <f t="shared" si="172"/>
        <v>1</v>
      </c>
      <c r="W332" s="13">
        <v>0</v>
      </c>
      <c r="X332" s="39" t="str">
        <f t="shared" si="173"/>
        <v>キティマスコット</v>
      </c>
      <c r="Y332" s="9">
        <f t="shared" si="174"/>
        <v>996</v>
      </c>
      <c r="Z332" s="9">
        <f t="shared" si="175"/>
        <v>996</v>
      </c>
      <c r="AA332" s="10">
        <f t="shared" si="176"/>
        <v>0.21191489361702129</v>
      </c>
      <c r="AB332" s="11"/>
    </row>
    <row r="333" spans="1:28" ht="15" customHeight="1" thickBot="1" x14ac:dyDescent="0.25">
      <c r="A333" s="100"/>
      <c r="B333" s="87"/>
      <c r="C333" s="42">
        <v>2577</v>
      </c>
      <c r="D333" s="43">
        <f t="shared" si="163"/>
        <v>145</v>
      </c>
      <c r="E333" s="18">
        <v>83</v>
      </c>
      <c r="F333" s="18">
        <f t="shared" si="164"/>
        <v>2</v>
      </c>
      <c r="G333" s="18">
        <v>13</v>
      </c>
      <c r="H333" s="18">
        <f t="shared" si="165"/>
        <v>2</v>
      </c>
      <c r="I333" s="31">
        <v>0</v>
      </c>
      <c r="J333" s="40" t="str">
        <f t="shared" si="166"/>
        <v>ラブブマスコット</v>
      </c>
      <c r="K333" s="43">
        <f t="shared" si="167"/>
        <v>400</v>
      </c>
      <c r="L333" s="18">
        <f t="shared" si="168"/>
        <v>800</v>
      </c>
      <c r="M333" s="19">
        <f t="shared" si="169"/>
        <v>5.5172413793103448E-2</v>
      </c>
      <c r="N333" s="11"/>
      <c r="P333" s="100"/>
      <c r="Q333" s="42">
        <v>3081</v>
      </c>
      <c r="R333" s="43">
        <f t="shared" si="170"/>
        <v>66</v>
      </c>
      <c r="S333" s="18">
        <v>47</v>
      </c>
      <c r="T333" s="18">
        <f t="shared" si="171"/>
        <v>1</v>
      </c>
      <c r="U333" s="18">
        <v>9</v>
      </c>
      <c r="V333" s="18">
        <f t="shared" si="172"/>
        <v>1</v>
      </c>
      <c r="W333" s="31">
        <v>0</v>
      </c>
      <c r="X333" s="40" t="str">
        <f t="shared" si="173"/>
        <v>サンリオフェイスポーチ</v>
      </c>
      <c r="Y333" s="43">
        <f t="shared" si="174"/>
        <v>957</v>
      </c>
      <c r="Z333" s="18">
        <f t="shared" si="175"/>
        <v>957</v>
      </c>
      <c r="AA333" s="19">
        <f t="shared" si="176"/>
        <v>0.14499999999999999</v>
      </c>
      <c r="AB333" s="11"/>
    </row>
    <row r="334" spans="1:28" ht="15" customHeight="1" thickTop="1" x14ac:dyDescent="0.2">
      <c r="A334" s="96">
        <v>45975</v>
      </c>
      <c r="B334" s="81">
        <f>SUM(D334:D337)+SUM(R334:R337)</f>
        <v>269</v>
      </c>
      <c r="C334" s="36">
        <v>4112</v>
      </c>
      <c r="D334" s="36">
        <f t="shared" si="163"/>
        <v>44</v>
      </c>
      <c r="E334" s="36">
        <v>84</v>
      </c>
      <c r="F334" s="22">
        <f t="shared" si="164"/>
        <v>1</v>
      </c>
      <c r="G334" s="36">
        <v>14</v>
      </c>
      <c r="H334" s="36">
        <f t="shared" si="165"/>
        <v>1</v>
      </c>
      <c r="I334" s="53">
        <v>4</v>
      </c>
      <c r="J334" s="48" t="str">
        <f t="shared" si="166"/>
        <v>ジャグラーサウンドボタン</v>
      </c>
      <c r="K334" s="49">
        <f t="shared" si="167"/>
        <v>748</v>
      </c>
      <c r="L334" s="22">
        <f t="shared" si="168"/>
        <v>748</v>
      </c>
      <c r="M334" s="23">
        <f t="shared" si="169"/>
        <v>0.17</v>
      </c>
      <c r="N334" s="11"/>
      <c r="P334" s="104">
        <f>IF(A334="","",A334)</f>
        <v>45975</v>
      </c>
      <c r="Q334" s="36">
        <v>3071</v>
      </c>
      <c r="R334" s="36">
        <f t="shared" si="170"/>
        <v>22</v>
      </c>
      <c r="S334" s="36">
        <v>106</v>
      </c>
      <c r="T334" s="22">
        <f t="shared" si="171"/>
        <v>1</v>
      </c>
      <c r="U334" s="36">
        <v>45</v>
      </c>
      <c r="V334" s="36">
        <f t="shared" si="172"/>
        <v>0</v>
      </c>
      <c r="W334" s="53">
        <v>0</v>
      </c>
      <c r="X334" s="48" t="str">
        <f t="shared" si="173"/>
        <v>電ブル</v>
      </c>
      <c r="Y334" s="49">
        <f t="shared" si="174"/>
        <v>275</v>
      </c>
      <c r="Z334" s="22">
        <f t="shared" si="175"/>
        <v>0</v>
      </c>
      <c r="AA334" s="23">
        <f t="shared" si="176"/>
        <v>0</v>
      </c>
      <c r="AB334" s="11"/>
    </row>
    <row r="335" spans="1:28" ht="15" customHeight="1" x14ac:dyDescent="0.2">
      <c r="A335" s="97"/>
      <c r="B335" s="81"/>
      <c r="C335" s="9">
        <v>4365</v>
      </c>
      <c r="D335" s="9">
        <f t="shared" si="163"/>
        <v>73</v>
      </c>
      <c r="E335" s="9">
        <v>110</v>
      </c>
      <c r="F335" s="9">
        <f t="shared" si="164"/>
        <v>1</v>
      </c>
      <c r="G335" s="9">
        <v>18</v>
      </c>
      <c r="H335" s="9">
        <f t="shared" si="165"/>
        <v>1</v>
      </c>
      <c r="I335" s="13">
        <v>0</v>
      </c>
      <c r="J335" s="39" t="s">
        <v>126</v>
      </c>
      <c r="K335" s="37">
        <f t="shared" si="167"/>
        <v>1100</v>
      </c>
      <c r="L335" s="9">
        <f t="shared" si="168"/>
        <v>1100</v>
      </c>
      <c r="M335" s="10">
        <f t="shared" si="169"/>
        <v>0.15068493150684931</v>
      </c>
      <c r="N335" s="11"/>
      <c r="P335" s="97"/>
      <c r="Q335" s="9">
        <v>4993</v>
      </c>
      <c r="R335" s="9">
        <f t="shared" si="170"/>
        <v>23</v>
      </c>
      <c r="S335" s="9">
        <v>86</v>
      </c>
      <c r="T335" s="9">
        <f t="shared" si="171"/>
        <v>0</v>
      </c>
      <c r="U335" s="9">
        <v>20</v>
      </c>
      <c r="V335" s="9">
        <f t="shared" si="172"/>
        <v>0</v>
      </c>
      <c r="W335" s="13">
        <v>5</v>
      </c>
      <c r="X335" s="39" t="str">
        <f t="shared" si="173"/>
        <v>ラブブキーホルダー</v>
      </c>
      <c r="Y335" s="37">
        <f t="shared" si="174"/>
        <v>400</v>
      </c>
      <c r="Z335" s="9">
        <f t="shared" si="175"/>
        <v>0</v>
      </c>
      <c r="AA335" s="10">
        <f t="shared" si="176"/>
        <v>0</v>
      </c>
      <c r="AB335" s="11"/>
    </row>
    <row r="336" spans="1:28" ht="15" customHeight="1" x14ac:dyDescent="0.2">
      <c r="A336" s="97"/>
      <c r="B336" s="8"/>
      <c r="C336" s="25">
        <v>4172</v>
      </c>
      <c r="D336" s="9">
        <f t="shared" si="163"/>
        <v>37</v>
      </c>
      <c r="E336" s="9">
        <v>111</v>
      </c>
      <c r="F336" s="9">
        <f t="shared" si="164"/>
        <v>0</v>
      </c>
      <c r="G336" s="25">
        <v>84</v>
      </c>
      <c r="H336" s="9">
        <f t="shared" si="165"/>
        <v>0</v>
      </c>
      <c r="I336" s="32">
        <v>0</v>
      </c>
      <c r="J336" s="39" t="str">
        <f t="shared" si="166"/>
        <v>ＡＩモンスターラバー</v>
      </c>
      <c r="K336" s="9">
        <f t="shared" si="167"/>
        <v>198</v>
      </c>
      <c r="L336" s="9">
        <f t="shared" si="168"/>
        <v>0</v>
      </c>
      <c r="M336" s="10">
        <f t="shared" si="169"/>
        <v>0</v>
      </c>
      <c r="N336" s="11"/>
      <c r="P336" s="97"/>
      <c r="Q336" s="25">
        <v>2564</v>
      </c>
      <c r="R336" s="9">
        <f t="shared" si="170"/>
        <v>34</v>
      </c>
      <c r="S336" s="9">
        <v>61</v>
      </c>
      <c r="T336" s="9">
        <f t="shared" si="171"/>
        <v>0</v>
      </c>
      <c r="U336" s="25">
        <v>14</v>
      </c>
      <c r="V336" s="9">
        <f t="shared" si="172"/>
        <v>0</v>
      </c>
      <c r="W336" s="32">
        <v>-7</v>
      </c>
      <c r="X336" s="39" t="str">
        <f t="shared" si="173"/>
        <v>キティマスコット</v>
      </c>
      <c r="Y336" s="9">
        <f t="shared" si="174"/>
        <v>996</v>
      </c>
      <c r="Z336" s="9">
        <f t="shared" si="175"/>
        <v>0</v>
      </c>
      <c r="AA336" s="10">
        <f t="shared" si="176"/>
        <v>0</v>
      </c>
      <c r="AB336" s="11" t="s">
        <v>127</v>
      </c>
    </row>
    <row r="337" spans="1:28" ht="15" customHeight="1" thickBot="1" x14ac:dyDescent="0.25">
      <c r="A337" s="100"/>
      <c r="B337" s="87"/>
      <c r="C337" s="18">
        <v>2592</v>
      </c>
      <c r="D337" s="43">
        <f t="shared" si="163"/>
        <v>15</v>
      </c>
      <c r="E337" s="18">
        <v>83</v>
      </c>
      <c r="F337" s="18">
        <f t="shared" si="164"/>
        <v>0</v>
      </c>
      <c r="G337" s="18">
        <v>13</v>
      </c>
      <c r="H337" s="18">
        <f t="shared" si="165"/>
        <v>0</v>
      </c>
      <c r="I337" s="31">
        <v>0</v>
      </c>
      <c r="J337" s="40" t="str">
        <f t="shared" si="166"/>
        <v>ラブブマスコット</v>
      </c>
      <c r="K337" s="43">
        <f t="shared" si="167"/>
        <v>400</v>
      </c>
      <c r="L337" s="18">
        <f t="shared" si="168"/>
        <v>0</v>
      </c>
      <c r="M337" s="19">
        <f t="shared" si="169"/>
        <v>0</v>
      </c>
      <c r="N337" s="11"/>
      <c r="P337" s="100"/>
      <c r="Q337" s="18">
        <v>3102</v>
      </c>
      <c r="R337" s="43">
        <f t="shared" si="170"/>
        <v>21</v>
      </c>
      <c r="S337" s="18">
        <v>47</v>
      </c>
      <c r="T337" s="18">
        <f t="shared" si="171"/>
        <v>0</v>
      </c>
      <c r="U337" s="18">
        <v>9</v>
      </c>
      <c r="V337" s="18">
        <f t="shared" si="172"/>
        <v>0</v>
      </c>
      <c r="W337" s="31">
        <v>0</v>
      </c>
      <c r="X337" s="40" t="str">
        <f t="shared" si="173"/>
        <v>サンリオフェイスポーチ</v>
      </c>
      <c r="Y337" s="43">
        <f t="shared" si="174"/>
        <v>957</v>
      </c>
      <c r="Z337" s="18">
        <f t="shared" si="175"/>
        <v>0</v>
      </c>
      <c r="AA337" s="19">
        <f t="shared" si="176"/>
        <v>0</v>
      </c>
      <c r="AB337" s="11"/>
    </row>
    <row r="338" spans="1:28" ht="15" customHeight="1" thickTop="1" x14ac:dyDescent="0.2">
      <c r="A338" s="149">
        <v>45979</v>
      </c>
      <c r="B338" s="81">
        <f>SUM(D338:D341)+SUM(R338:R341)</f>
        <v>521</v>
      </c>
      <c r="C338" s="36">
        <v>4218</v>
      </c>
      <c r="D338" s="36">
        <f t="shared" si="163"/>
        <v>106</v>
      </c>
      <c r="E338" s="36">
        <v>85</v>
      </c>
      <c r="F338" s="22">
        <f t="shared" ref="F338:F361" si="177">IF(E338="","",E338-E334)</f>
        <v>1</v>
      </c>
      <c r="G338" s="36">
        <v>17</v>
      </c>
      <c r="H338" s="36">
        <f t="shared" ref="H338:H356" si="178">IF(G338="","",G334+I334-G338)</f>
        <v>1</v>
      </c>
      <c r="I338" s="53">
        <v>0</v>
      </c>
      <c r="J338" s="48" t="str">
        <f t="shared" ref="J338:J361" si="179">IF(C338="","",J334)</f>
        <v>ジャグラーサウンドボタン</v>
      </c>
      <c r="K338" s="49">
        <f t="shared" ref="K338:K361" si="180">IF(D338="","",K334)</f>
        <v>748</v>
      </c>
      <c r="L338" s="22">
        <f t="shared" ref="L338:L361" si="181">IF(G338="","",H338*K338)</f>
        <v>748</v>
      </c>
      <c r="M338" s="23">
        <f t="shared" ref="M338:M361" si="182">IF(H338="","",L338/(D338*100))</f>
        <v>7.056603773584906E-2</v>
      </c>
      <c r="N338" s="11"/>
      <c r="P338" s="104">
        <f>IF(A338="","",A338)</f>
        <v>45979</v>
      </c>
      <c r="Q338" s="36">
        <v>3089</v>
      </c>
      <c r="R338" s="127">
        <f t="shared" si="170"/>
        <v>18</v>
      </c>
      <c r="S338" s="36">
        <v>105</v>
      </c>
      <c r="T338" s="22">
        <f t="shared" si="171"/>
        <v>-1</v>
      </c>
      <c r="U338" s="36">
        <v>45</v>
      </c>
      <c r="V338" s="36">
        <f t="shared" si="172"/>
        <v>0</v>
      </c>
      <c r="W338" s="53"/>
      <c r="X338" s="48" t="str">
        <f t="shared" si="173"/>
        <v>電ブル</v>
      </c>
      <c r="Y338" s="49">
        <f t="shared" si="174"/>
        <v>275</v>
      </c>
      <c r="Z338" s="22">
        <f t="shared" si="175"/>
        <v>0</v>
      </c>
      <c r="AA338" s="23">
        <f t="shared" si="176"/>
        <v>0</v>
      </c>
      <c r="AB338" s="11"/>
    </row>
    <row r="339" spans="1:28" ht="15" customHeight="1" x14ac:dyDescent="0.2">
      <c r="A339" s="97"/>
      <c r="B339" s="81"/>
      <c r="C339" s="36">
        <v>4381</v>
      </c>
      <c r="D339" s="108">
        <f t="shared" si="163"/>
        <v>16</v>
      </c>
      <c r="E339" s="9">
        <v>116</v>
      </c>
      <c r="F339" s="9">
        <f t="shared" si="177"/>
        <v>6</v>
      </c>
      <c r="G339" s="9">
        <v>16</v>
      </c>
      <c r="H339" s="9">
        <f t="shared" si="178"/>
        <v>2</v>
      </c>
      <c r="I339" s="13">
        <v>0</v>
      </c>
      <c r="J339" s="39" t="str">
        <f t="shared" si="179"/>
        <v>押忍番長ボイスボタン</v>
      </c>
      <c r="K339" s="37">
        <f t="shared" si="180"/>
        <v>1100</v>
      </c>
      <c r="L339" s="9">
        <f t="shared" si="181"/>
        <v>2200</v>
      </c>
      <c r="M339" s="10">
        <f t="shared" si="182"/>
        <v>1.375</v>
      </c>
      <c r="N339" s="11"/>
      <c r="P339" s="97"/>
      <c r="Q339" s="36">
        <v>5121</v>
      </c>
      <c r="R339" s="9">
        <f t="shared" si="170"/>
        <v>128</v>
      </c>
      <c r="S339" s="9">
        <v>95</v>
      </c>
      <c r="T339" s="9">
        <f t="shared" si="171"/>
        <v>9</v>
      </c>
      <c r="U339" s="9">
        <v>19</v>
      </c>
      <c r="V339" s="9">
        <f t="shared" si="172"/>
        <v>6</v>
      </c>
      <c r="W339" s="13"/>
      <c r="X339" s="39" t="str">
        <f t="shared" si="173"/>
        <v>ラブブキーホルダー</v>
      </c>
      <c r="Y339" s="37">
        <f t="shared" si="174"/>
        <v>400</v>
      </c>
      <c r="Z339" s="9">
        <f t="shared" si="175"/>
        <v>2400</v>
      </c>
      <c r="AA339" s="10">
        <f t="shared" si="176"/>
        <v>0.1875</v>
      </c>
      <c r="AB339" s="11"/>
    </row>
    <row r="340" spans="1:28" ht="15" customHeight="1" x14ac:dyDescent="0.2">
      <c r="A340" s="99"/>
      <c r="B340" s="8"/>
      <c r="C340" s="44">
        <v>4216</v>
      </c>
      <c r="D340" s="108">
        <f t="shared" si="163"/>
        <v>44</v>
      </c>
      <c r="E340" s="9">
        <v>112</v>
      </c>
      <c r="F340" s="9">
        <f t="shared" si="177"/>
        <v>1</v>
      </c>
      <c r="G340" s="9">
        <v>83</v>
      </c>
      <c r="H340" s="9">
        <f t="shared" si="178"/>
        <v>1</v>
      </c>
      <c r="I340" s="13">
        <v>0</v>
      </c>
      <c r="J340" s="39" t="str">
        <f t="shared" si="179"/>
        <v>ＡＩモンスターラバー</v>
      </c>
      <c r="K340" s="9">
        <f t="shared" si="180"/>
        <v>198</v>
      </c>
      <c r="L340" s="9">
        <f t="shared" si="181"/>
        <v>198</v>
      </c>
      <c r="M340" s="10">
        <f t="shared" si="182"/>
        <v>4.4999999999999998E-2</v>
      </c>
      <c r="N340" s="11"/>
      <c r="P340" s="97"/>
      <c r="Q340" s="44">
        <v>2627</v>
      </c>
      <c r="R340" s="9">
        <f t="shared" si="170"/>
        <v>63</v>
      </c>
      <c r="S340" s="9">
        <v>67</v>
      </c>
      <c r="T340" s="9">
        <f t="shared" si="171"/>
        <v>6</v>
      </c>
      <c r="U340" s="9">
        <v>4</v>
      </c>
      <c r="V340" s="9">
        <f t="shared" si="172"/>
        <v>3</v>
      </c>
      <c r="W340" s="13">
        <v>0</v>
      </c>
      <c r="X340" s="39" t="s">
        <v>128</v>
      </c>
      <c r="Y340" s="9">
        <f t="shared" si="174"/>
        <v>996</v>
      </c>
      <c r="Z340" s="9">
        <f t="shared" si="175"/>
        <v>2988</v>
      </c>
      <c r="AA340" s="10">
        <f t="shared" si="176"/>
        <v>0.47428571428571431</v>
      </c>
      <c r="AB340" s="11"/>
    </row>
    <row r="341" spans="1:28" ht="15" customHeight="1" thickBot="1" x14ac:dyDescent="0.25">
      <c r="A341" s="100"/>
      <c r="B341" s="87"/>
      <c r="C341" s="42">
        <v>2715</v>
      </c>
      <c r="D341" s="43">
        <f t="shared" si="163"/>
        <v>123</v>
      </c>
      <c r="E341" s="18">
        <v>86</v>
      </c>
      <c r="F341" s="18">
        <f t="shared" si="177"/>
        <v>3</v>
      </c>
      <c r="G341" s="18">
        <v>10</v>
      </c>
      <c r="H341" s="18">
        <f t="shared" si="178"/>
        <v>3</v>
      </c>
      <c r="I341" s="31">
        <v>11</v>
      </c>
      <c r="J341" s="40" t="str">
        <f t="shared" si="179"/>
        <v>ラブブマスコット</v>
      </c>
      <c r="K341" s="43">
        <f t="shared" si="180"/>
        <v>400</v>
      </c>
      <c r="L341" s="18">
        <f t="shared" si="181"/>
        <v>1200</v>
      </c>
      <c r="M341" s="19">
        <f t="shared" si="182"/>
        <v>9.7560975609756101E-2</v>
      </c>
      <c r="N341" s="11"/>
      <c r="P341" s="100"/>
      <c r="Q341" s="42">
        <v>3125</v>
      </c>
      <c r="R341" s="117">
        <f t="shared" si="170"/>
        <v>23</v>
      </c>
      <c r="S341" s="18">
        <v>48</v>
      </c>
      <c r="T341" s="18">
        <f t="shared" si="171"/>
        <v>1</v>
      </c>
      <c r="U341" s="18">
        <v>8</v>
      </c>
      <c r="V341" s="18">
        <f t="shared" si="172"/>
        <v>1</v>
      </c>
      <c r="W341" s="31">
        <v>2</v>
      </c>
      <c r="X341" s="40" t="str">
        <f t="shared" si="173"/>
        <v>サンリオフェイスポーチ</v>
      </c>
      <c r="Y341" s="43">
        <f t="shared" si="174"/>
        <v>957</v>
      </c>
      <c r="Z341" s="18">
        <f t="shared" si="175"/>
        <v>957</v>
      </c>
      <c r="AA341" s="19">
        <f t="shared" si="176"/>
        <v>0.4160869565217391</v>
      </c>
      <c r="AB341" s="11"/>
    </row>
    <row r="342" spans="1:28" ht="15" customHeight="1" thickTop="1" x14ac:dyDescent="0.2">
      <c r="A342" s="96"/>
      <c r="B342" s="81"/>
      <c r="C342" s="36"/>
      <c r="D342" s="36"/>
      <c r="E342" s="36"/>
      <c r="F342" s="22"/>
      <c r="G342" s="36"/>
      <c r="H342" s="36"/>
      <c r="I342" s="53"/>
      <c r="J342" s="48"/>
      <c r="K342" s="49"/>
      <c r="L342" s="22"/>
      <c r="M342" s="23"/>
      <c r="N342" s="11"/>
      <c r="P342" s="104"/>
      <c r="Q342" s="36"/>
      <c r="R342" s="36"/>
      <c r="S342" s="36"/>
      <c r="T342" s="22"/>
      <c r="U342" s="36"/>
      <c r="V342" s="36"/>
      <c r="W342" s="53"/>
      <c r="X342" s="48"/>
      <c r="Y342" s="49"/>
      <c r="Z342" s="22"/>
      <c r="AA342" s="23"/>
      <c r="AB342" s="11"/>
    </row>
    <row r="343" spans="1:28" ht="15" customHeight="1" x14ac:dyDescent="0.2">
      <c r="A343" s="97"/>
      <c r="B343" s="8"/>
      <c r="C343" s="9"/>
      <c r="D343" s="9"/>
      <c r="E343" s="9"/>
      <c r="F343" s="9"/>
      <c r="G343" s="9"/>
      <c r="H343" s="9"/>
      <c r="I343" s="13"/>
      <c r="J343" s="39"/>
      <c r="K343" s="37"/>
      <c r="L343" s="9"/>
      <c r="M343" s="10"/>
      <c r="N343" s="11"/>
      <c r="P343" s="97"/>
      <c r="Q343" s="9"/>
      <c r="R343" s="9"/>
      <c r="S343" s="9"/>
      <c r="T343" s="9"/>
      <c r="U343" s="9"/>
      <c r="V343" s="9"/>
      <c r="W343" s="13"/>
      <c r="X343" s="39"/>
      <c r="Y343" s="37"/>
      <c r="Z343" s="9"/>
      <c r="AA343" s="10"/>
      <c r="AB343" s="11"/>
    </row>
    <row r="344" spans="1:28" ht="15" customHeight="1" x14ac:dyDescent="0.2">
      <c r="A344" s="97"/>
      <c r="B344" s="8"/>
      <c r="C344" s="25"/>
      <c r="D344" s="9"/>
      <c r="E344" s="9"/>
      <c r="F344" s="9"/>
      <c r="G344" s="25"/>
      <c r="H344" s="9"/>
      <c r="I344" s="32"/>
      <c r="J344" s="39"/>
      <c r="K344" s="9"/>
      <c r="L344" s="9"/>
      <c r="M344" s="10"/>
      <c r="N344" s="11"/>
      <c r="P344" s="97"/>
      <c r="Q344" s="25"/>
      <c r="R344" s="9"/>
      <c r="S344" s="9"/>
      <c r="T344" s="9"/>
      <c r="U344" s="25"/>
      <c r="V344" s="9"/>
      <c r="W344" s="32"/>
      <c r="X344" s="39"/>
      <c r="Y344" s="9"/>
      <c r="Z344" s="9"/>
      <c r="AA344" s="10"/>
      <c r="AB344" s="11"/>
    </row>
    <row r="345" spans="1:28" ht="15" customHeight="1" thickBot="1" x14ac:dyDescent="0.25">
      <c r="A345" s="100"/>
      <c r="B345" s="82"/>
      <c r="C345" s="18"/>
      <c r="D345" s="43"/>
      <c r="E345" s="18"/>
      <c r="F345" s="18"/>
      <c r="G345" s="18"/>
      <c r="H345" s="18"/>
      <c r="I345" s="31"/>
      <c r="J345" s="40"/>
      <c r="K345" s="43"/>
      <c r="L345" s="18"/>
      <c r="M345" s="19"/>
      <c r="N345" s="11"/>
      <c r="P345" s="100"/>
      <c r="Q345" s="18"/>
      <c r="R345" s="43"/>
      <c r="S345" s="18"/>
      <c r="T345" s="18"/>
      <c r="U345" s="18"/>
      <c r="V345" s="18"/>
      <c r="W345" s="31"/>
      <c r="X345" s="40"/>
      <c r="Y345" s="43"/>
      <c r="Z345" s="18"/>
      <c r="AA345" s="19"/>
      <c r="AB345" s="11"/>
    </row>
    <row r="346" spans="1:28" ht="15" customHeight="1" thickTop="1" x14ac:dyDescent="0.2">
      <c r="A346" s="96"/>
      <c r="B346" s="81">
        <f>SUM(D346:D349)+SUM(R346:R349)</f>
        <v>0</v>
      </c>
      <c r="C346" s="36"/>
      <c r="D346" s="36" t="str">
        <f t="shared" si="163"/>
        <v/>
      </c>
      <c r="E346" s="36"/>
      <c r="F346" s="22" t="str">
        <f t="shared" si="177"/>
        <v/>
      </c>
      <c r="G346" s="36"/>
      <c r="H346" s="36" t="str">
        <f t="shared" si="178"/>
        <v/>
      </c>
      <c r="I346" s="53"/>
      <c r="J346" s="48" t="str">
        <f t="shared" si="179"/>
        <v/>
      </c>
      <c r="K346" s="49" t="str">
        <f t="shared" si="180"/>
        <v/>
      </c>
      <c r="L346" s="22" t="str">
        <f t="shared" si="181"/>
        <v/>
      </c>
      <c r="M346" s="23" t="str">
        <f t="shared" si="182"/>
        <v/>
      </c>
      <c r="N346" s="11"/>
      <c r="P346" s="104" t="str">
        <f>IF(A346="","",A346)</f>
        <v/>
      </c>
      <c r="Q346" s="36"/>
      <c r="R346" s="36"/>
      <c r="S346" s="36"/>
      <c r="T346" s="22" t="str">
        <f t="shared" ref="T346:T361" si="183">IF(S346="","",S346-S342)</f>
        <v/>
      </c>
      <c r="U346" s="36"/>
      <c r="V346" s="36" t="str">
        <f t="shared" ref="V346:V361" si="184">IF(U346="","",U342+W342-U346)</f>
        <v/>
      </c>
      <c r="W346" s="53"/>
      <c r="X346" s="48" t="str">
        <f t="shared" ref="X346:X361" si="185">IF(Q346="","",X342)</f>
        <v/>
      </c>
      <c r="Y346" s="49" t="str">
        <f t="shared" ref="Y346:Y361" si="186">IF(R346="","",Y342)</f>
        <v/>
      </c>
      <c r="Z346" s="22" t="str">
        <f t="shared" ref="Z346:Z361" si="187">IF(U346="","",V346*Y346)</f>
        <v/>
      </c>
      <c r="AA346" s="23" t="str">
        <f t="shared" ref="AA346:AA361" si="188">IF(V346="","",Z346/(R346*100))</f>
        <v/>
      </c>
      <c r="AB346" s="11"/>
    </row>
    <row r="347" spans="1:28" ht="15" customHeight="1" x14ac:dyDescent="0.2">
      <c r="A347" s="97"/>
      <c r="B347" s="8"/>
      <c r="C347" s="36"/>
      <c r="D347" s="9" t="str">
        <f t="shared" si="163"/>
        <v/>
      </c>
      <c r="E347" s="9"/>
      <c r="F347" s="9" t="str">
        <f t="shared" si="177"/>
        <v/>
      </c>
      <c r="G347" s="9"/>
      <c r="H347" s="9" t="str">
        <f t="shared" si="178"/>
        <v/>
      </c>
      <c r="I347" s="13"/>
      <c r="J347" s="39" t="str">
        <f t="shared" si="179"/>
        <v/>
      </c>
      <c r="K347" s="37" t="str">
        <f t="shared" si="180"/>
        <v/>
      </c>
      <c r="L347" s="9" t="str">
        <f t="shared" si="181"/>
        <v/>
      </c>
      <c r="M347" s="10" t="str">
        <f t="shared" si="182"/>
        <v/>
      </c>
      <c r="N347" s="11"/>
      <c r="P347" s="97"/>
      <c r="Q347" s="36"/>
      <c r="R347" s="9" t="str">
        <f t="shared" ref="R347:R361" si="189">IF(Q347="","",Q347-Q343)</f>
        <v/>
      </c>
      <c r="S347" s="9"/>
      <c r="T347" s="9" t="str">
        <f t="shared" si="183"/>
        <v/>
      </c>
      <c r="U347" s="9"/>
      <c r="V347" s="9" t="str">
        <f t="shared" si="184"/>
        <v/>
      </c>
      <c r="W347" s="13"/>
      <c r="X347" s="39" t="str">
        <f t="shared" si="185"/>
        <v/>
      </c>
      <c r="Y347" s="37" t="str">
        <f t="shared" si="186"/>
        <v/>
      </c>
      <c r="Z347" s="9" t="str">
        <f t="shared" si="187"/>
        <v/>
      </c>
      <c r="AA347" s="10" t="str">
        <f t="shared" si="188"/>
        <v/>
      </c>
      <c r="AB347" s="11"/>
    </row>
    <row r="348" spans="1:28" ht="15" customHeight="1" x14ac:dyDescent="0.2">
      <c r="A348" s="97"/>
      <c r="B348" s="8"/>
      <c r="C348" s="44"/>
      <c r="D348" s="9" t="str">
        <f t="shared" si="163"/>
        <v/>
      </c>
      <c r="E348" s="9"/>
      <c r="F348" s="9" t="str">
        <f t="shared" si="177"/>
        <v/>
      </c>
      <c r="G348" s="9"/>
      <c r="H348" s="9" t="str">
        <f t="shared" si="178"/>
        <v/>
      </c>
      <c r="I348" s="13"/>
      <c r="J348" s="39" t="str">
        <f t="shared" si="179"/>
        <v/>
      </c>
      <c r="K348" s="9" t="str">
        <f t="shared" si="180"/>
        <v/>
      </c>
      <c r="L348" s="9" t="str">
        <f t="shared" si="181"/>
        <v/>
      </c>
      <c r="M348" s="10" t="str">
        <f t="shared" si="182"/>
        <v/>
      </c>
      <c r="N348" s="11"/>
      <c r="P348" s="97"/>
      <c r="Q348" s="44"/>
      <c r="R348" s="9" t="str">
        <f t="shared" si="189"/>
        <v/>
      </c>
      <c r="S348" s="9"/>
      <c r="T348" s="9" t="str">
        <f t="shared" si="183"/>
        <v/>
      </c>
      <c r="U348" s="9"/>
      <c r="V348" s="9" t="str">
        <f t="shared" si="184"/>
        <v/>
      </c>
      <c r="W348" s="13"/>
      <c r="X348" s="39" t="str">
        <f t="shared" si="185"/>
        <v/>
      </c>
      <c r="Y348" s="9" t="str">
        <f t="shared" si="186"/>
        <v/>
      </c>
      <c r="Z348" s="9" t="str">
        <f t="shared" si="187"/>
        <v/>
      </c>
      <c r="AA348" s="10" t="str">
        <f t="shared" si="188"/>
        <v/>
      </c>
      <c r="AB348" s="11"/>
    </row>
    <row r="349" spans="1:28" ht="15" customHeight="1" thickBot="1" x14ac:dyDescent="0.25">
      <c r="A349" s="100"/>
      <c r="B349" s="82"/>
      <c r="C349" s="42"/>
      <c r="D349" s="43" t="str">
        <f t="shared" si="163"/>
        <v/>
      </c>
      <c r="E349" s="18"/>
      <c r="F349" s="18" t="str">
        <f t="shared" si="177"/>
        <v/>
      </c>
      <c r="G349" s="18"/>
      <c r="H349" s="18" t="str">
        <f t="shared" si="178"/>
        <v/>
      </c>
      <c r="I349" s="31"/>
      <c r="J349" s="40" t="str">
        <f t="shared" si="179"/>
        <v/>
      </c>
      <c r="K349" s="43" t="str">
        <f t="shared" si="180"/>
        <v/>
      </c>
      <c r="L349" s="18" t="str">
        <f t="shared" si="181"/>
        <v/>
      </c>
      <c r="M349" s="19" t="str">
        <f t="shared" si="182"/>
        <v/>
      </c>
      <c r="N349" s="11"/>
      <c r="P349" s="100"/>
      <c r="Q349" s="42"/>
      <c r="R349" s="43" t="str">
        <f t="shared" si="189"/>
        <v/>
      </c>
      <c r="S349" s="18"/>
      <c r="T349" s="18" t="str">
        <f t="shared" si="183"/>
        <v/>
      </c>
      <c r="U349" s="18"/>
      <c r="V349" s="18" t="str">
        <f t="shared" si="184"/>
        <v/>
      </c>
      <c r="W349" s="31"/>
      <c r="X349" s="40" t="str">
        <f t="shared" si="185"/>
        <v/>
      </c>
      <c r="Y349" s="43" t="str">
        <f t="shared" si="186"/>
        <v/>
      </c>
      <c r="Z349" s="18" t="str">
        <f t="shared" si="187"/>
        <v/>
      </c>
      <c r="AA349" s="19" t="str">
        <f t="shared" si="188"/>
        <v/>
      </c>
      <c r="AB349" s="11"/>
    </row>
    <row r="350" spans="1:28" ht="15" customHeight="1" thickTop="1" x14ac:dyDescent="0.2">
      <c r="A350" s="96"/>
      <c r="B350" s="81">
        <f>SUM(D350:D353)+SUM(R350:R353)</f>
        <v>0</v>
      </c>
      <c r="C350" s="36"/>
      <c r="D350" s="36" t="str">
        <f t="shared" si="163"/>
        <v/>
      </c>
      <c r="E350" s="36"/>
      <c r="F350" s="22" t="str">
        <f t="shared" si="177"/>
        <v/>
      </c>
      <c r="G350" s="36"/>
      <c r="H350" s="36" t="str">
        <f t="shared" si="178"/>
        <v/>
      </c>
      <c r="I350" s="13"/>
      <c r="J350" s="48" t="str">
        <f t="shared" si="179"/>
        <v/>
      </c>
      <c r="K350" s="49" t="str">
        <f t="shared" si="180"/>
        <v/>
      </c>
      <c r="L350" s="22" t="str">
        <f t="shared" si="181"/>
        <v/>
      </c>
      <c r="M350" s="23" t="str">
        <f t="shared" si="182"/>
        <v/>
      </c>
      <c r="N350" s="11"/>
      <c r="P350" s="104" t="str">
        <f>IF(A350="","",A350)</f>
        <v/>
      </c>
      <c r="Q350" s="36"/>
      <c r="R350" s="36" t="str">
        <f t="shared" si="189"/>
        <v/>
      </c>
      <c r="S350" s="36"/>
      <c r="T350" s="22" t="str">
        <f t="shared" si="183"/>
        <v/>
      </c>
      <c r="U350" s="36"/>
      <c r="V350" s="36" t="str">
        <f t="shared" si="184"/>
        <v/>
      </c>
      <c r="W350" s="13"/>
      <c r="X350" s="48" t="str">
        <f t="shared" si="185"/>
        <v/>
      </c>
      <c r="Y350" s="49" t="str">
        <f t="shared" si="186"/>
        <v/>
      </c>
      <c r="Z350" s="22" t="str">
        <f t="shared" si="187"/>
        <v/>
      </c>
      <c r="AA350" s="23" t="str">
        <f t="shared" si="188"/>
        <v/>
      </c>
      <c r="AB350" s="11"/>
    </row>
    <row r="351" spans="1:28" ht="15" customHeight="1" x14ac:dyDescent="0.2">
      <c r="A351" s="97"/>
      <c r="B351" s="8"/>
      <c r="C351" s="9"/>
      <c r="D351" s="9" t="str">
        <f t="shared" si="163"/>
        <v/>
      </c>
      <c r="E351" s="9"/>
      <c r="F351" s="9" t="str">
        <f t="shared" si="177"/>
        <v/>
      </c>
      <c r="G351" s="9"/>
      <c r="H351" s="9" t="str">
        <f t="shared" si="178"/>
        <v/>
      </c>
      <c r="I351" s="13"/>
      <c r="J351" s="39" t="str">
        <f t="shared" si="179"/>
        <v/>
      </c>
      <c r="K351" s="37" t="str">
        <f t="shared" si="180"/>
        <v/>
      </c>
      <c r="L351" s="9" t="str">
        <f t="shared" si="181"/>
        <v/>
      </c>
      <c r="M351" s="10" t="str">
        <f t="shared" si="182"/>
        <v/>
      </c>
      <c r="N351" s="11"/>
      <c r="P351" s="97"/>
      <c r="Q351" s="9"/>
      <c r="R351" s="9" t="str">
        <f t="shared" si="189"/>
        <v/>
      </c>
      <c r="S351" s="9"/>
      <c r="T351" s="9" t="str">
        <f t="shared" si="183"/>
        <v/>
      </c>
      <c r="U351" s="9"/>
      <c r="V351" s="9" t="str">
        <f t="shared" si="184"/>
        <v/>
      </c>
      <c r="W351" s="13"/>
      <c r="X351" s="39" t="str">
        <f t="shared" si="185"/>
        <v/>
      </c>
      <c r="Y351" s="37" t="str">
        <f t="shared" si="186"/>
        <v/>
      </c>
      <c r="Z351" s="9" t="str">
        <f t="shared" si="187"/>
        <v/>
      </c>
      <c r="AA351" s="10" t="str">
        <f t="shared" si="188"/>
        <v/>
      </c>
      <c r="AB351" s="11"/>
    </row>
    <row r="352" spans="1:28" ht="15" customHeight="1" x14ac:dyDescent="0.2">
      <c r="A352" s="97"/>
      <c r="B352" s="8"/>
      <c r="C352" s="25"/>
      <c r="D352" s="9" t="str">
        <f t="shared" si="163"/>
        <v/>
      </c>
      <c r="E352" s="9"/>
      <c r="F352" s="9" t="str">
        <f t="shared" si="177"/>
        <v/>
      </c>
      <c r="G352" s="25"/>
      <c r="H352" s="9" t="str">
        <f t="shared" si="178"/>
        <v/>
      </c>
      <c r="I352" s="32"/>
      <c r="J352" s="39" t="str">
        <f t="shared" si="179"/>
        <v/>
      </c>
      <c r="K352" s="9" t="str">
        <f t="shared" si="180"/>
        <v/>
      </c>
      <c r="L352" s="9" t="str">
        <f t="shared" si="181"/>
        <v/>
      </c>
      <c r="M352" s="10" t="str">
        <f t="shared" si="182"/>
        <v/>
      </c>
      <c r="N352" s="11"/>
      <c r="P352" s="12"/>
      <c r="Q352" s="25"/>
      <c r="R352" s="9" t="str">
        <f t="shared" si="189"/>
        <v/>
      </c>
      <c r="S352" s="9"/>
      <c r="T352" s="9" t="str">
        <f t="shared" si="183"/>
        <v/>
      </c>
      <c r="U352" s="25"/>
      <c r="V352" s="9" t="str">
        <f t="shared" si="184"/>
        <v/>
      </c>
      <c r="W352" s="13"/>
      <c r="X352" s="39" t="str">
        <f t="shared" si="185"/>
        <v/>
      </c>
      <c r="Y352" s="9" t="str">
        <f t="shared" si="186"/>
        <v/>
      </c>
      <c r="Z352" s="9" t="str">
        <f t="shared" si="187"/>
        <v/>
      </c>
      <c r="AA352" s="10" t="str">
        <f t="shared" si="188"/>
        <v/>
      </c>
      <c r="AB352" s="11"/>
    </row>
    <row r="353" spans="1:28" ht="15" customHeight="1" thickBot="1" x14ac:dyDescent="0.25">
      <c r="A353" s="100"/>
      <c r="B353" s="87"/>
      <c r="C353" s="18"/>
      <c r="D353" s="43" t="str">
        <f t="shared" si="163"/>
        <v/>
      </c>
      <c r="E353" s="18"/>
      <c r="F353" s="18" t="str">
        <f t="shared" si="177"/>
        <v/>
      </c>
      <c r="G353" s="121"/>
      <c r="H353" s="20" t="str">
        <f t="shared" si="178"/>
        <v/>
      </c>
      <c r="I353" s="122"/>
      <c r="J353" s="123" t="str">
        <f t="shared" si="179"/>
        <v/>
      </c>
      <c r="K353" s="43" t="str">
        <f t="shared" si="180"/>
        <v/>
      </c>
      <c r="L353" s="18" t="str">
        <f t="shared" si="181"/>
        <v/>
      </c>
      <c r="M353" s="19" t="str">
        <f t="shared" si="182"/>
        <v/>
      </c>
      <c r="N353" s="11"/>
      <c r="P353" s="17"/>
      <c r="Q353" s="18"/>
      <c r="R353" s="43" t="str">
        <f t="shared" si="189"/>
        <v/>
      </c>
      <c r="S353" s="18"/>
      <c r="T353" s="18" t="str">
        <f t="shared" si="183"/>
        <v/>
      </c>
      <c r="U353" s="121"/>
      <c r="V353" s="18" t="str">
        <f t="shared" si="184"/>
        <v/>
      </c>
      <c r="W353" s="122"/>
      <c r="X353" s="40" t="str">
        <f t="shared" si="185"/>
        <v/>
      </c>
      <c r="Y353" s="43" t="str">
        <f t="shared" si="186"/>
        <v/>
      </c>
      <c r="Z353" s="18" t="str">
        <f t="shared" si="187"/>
        <v/>
      </c>
      <c r="AA353" s="19" t="str">
        <f t="shared" si="188"/>
        <v/>
      </c>
      <c r="AB353" s="11"/>
    </row>
    <row r="354" spans="1:28" ht="15" customHeight="1" thickTop="1" x14ac:dyDescent="0.2">
      <c r="A354" s="96"/>
      <c r="B354" s="81">
        <f>SUM(D354:D357)+SUM(R354:R357)</f>
        <v>0</v>
      </c>
      <c r="C354" s="36"/>
      <c r="D354" s="36" t="str">
        <f t="shared" si="163"/>
        <v/>
      </c>
      <c r="E354" s="36"/>
      <c r="F354" s="22" t="str">
        <f t="shared" si="177"/>
        <v/>
      </c>
      <c r="G354" s="36"/>
      <c r="H354" s="36" t="str">
        <f t="shared" si="178"/>
        <v/>
      </c>
      <c r="I354" s="36"/>
      <c r="J354" s="48" t="str">
        <f t="shared" si="179"/>
        <v/>
      </c>
      <c r="K354" s="49" t="str">
        <f t="shared" si="180"/>
        <v/>
      </c>
      <c r="L354" s="22" t="str">
        <f t="shared" si="181"/>
        <v/>
      </c>
      <c r="M354" s="23" t="str">
        <f t="shared" si="182"/>
        <v/>
      </c>
      <c r="N354" s="11"/>
      <c r="P354" s="57" t="str">
        <f>IF(A354="","",A354)</f>
        <v/>
      </c>
      <c r="Q354" s="36"/>
      <c r="R354" s="36" t="str">
        <f t="shared" si="189"/>
        <v/>
      </c>
      <c r="S354" s="36"/>
      <c r="T354" s="22" t="str">
        <f t="shared" si="183"/>
        <v/>
      </c>
      <c r="U354" s="36"/>
      <c r="V354" s="36" t="str">
        <f t="shared" si="184"/>
        <v/>
      </c>
      <c r="W354" s="36"/>
      <c r="X354" s="51" t="str">
        <f t="shared" si="185"/>
        <v/>
      </c>
      <c r="Y354" s="49" t="str">
        <f t="shared" si="186"/>
        <v/>
      </c>
      <c r="Z354" s="22" t="str">
        <f t="shared" si="187"/>
        <v/>
      </c>
      <c r="AA354" s="23" t="str">
        <f t="shared" si="188"/>
        <v/>
      </c>
      <c r="AB354" s="11"/>
    </row>
    <row r="355" spans="1:28" ht="15" customHeight="1" x14ac:dyDescent="0.2">
      <c r="A355" s="97"/>
      <c r="B355" s="8"/>
      <c r="C355" s="9"/>
      <c r="D355" s="9" t="str">
        <f t="shared" si="163"/>
        <v/>
      </c>
      <c r="E355" s="9"/>
      <c r="F355" s="9" t="str">
        <f t="shared" si="177"/>
        <v/>
      </c>
      <c r="G355" s="9"/>
      <c r="H355" s="9" t="str">
        <f t="shared" si="178"/>
        <v/>
      </c>
      <c r="I355" s="9"/>
      <c r="J355" s="39" t="str">
        <f t="shared" si="179"/>
        <v/>
      </c>
      <c r="K355" s="37" t="str">
        <f t="shared" si="180"/>
        <v/>
      </c>
      <c r="L355" s="9" t="str">
        <f t="shared" si="181"/>
        <v/>
      </c>
      <c r="M355" s="10" t="str">
        <f t="shared" si="182"/>
        <v/>
      </c>
      <c r="N355" s="11"/>
      <c r="P355" s="12"/>
      <c r="Q355" s="9"/>
      <c r="R355" s="9" t="str">
        <f t="shared" si="189"/>
        <v/>
      </c>
      <c r="S355" s="9"/>
      <c r="T355" s="9" t="str">
        <f t="shared" si="183"/>
        <v/>
      </c>
      <c r="U355" s="9"/>
      <c r="V355" s="9" t="str">
        <f t="shared" si="184"/>
        <v/>
      </c>
      <c r="W355" s="9"/>
      <c r="X355" s="14" t="str">
        <f t="shared" si="185"/>
        <v/>
      </c>
      <c r="Y355" s="37" t="str">
        <f t="shared" si="186"/>
        <v/>
      </c>
      <c r="Z355" s="9" t="str">
        <f t="shared" si="187"/>
        <v/>
      </c>
      <c r="AA355" s="10" t="str">
        <f t="shared" si="188"/>
        <v/>
      </c>
      <c r="AB355" s="11"/>
    </row>
    <row r="356" spans="1:28" ht="15" customHeight="1" x14ac:dyDescent="0.2">
      <c r="A356" s="97"/>
      <c r="B356" s="8"/>
      <c r="C356" s="9"/>
      <c r="D356" s="9" t="str">
        <f t="shared" si="163"/>
        <v/>
      </c>
      <c r="E356" s="9"/>
      <c r="F356" s="9" t="str">
        <f t="shared" si="177"/>
        <v/>
      </c>
      <c r="G356" s="9"/>
      <c r="H356" s="9" t="str">
        <f t="shared" si="178"/>
        <v/>
      </c>
      <c r="I356" s="9"/>
      <c r="J356" s="39" t="str">
        <f t="shared" si="179"/>
        <v/>
      </c>
      <c r="K356" s="9" t="str">
        <f t="shared" si="180"/>
        <v/>
      </c>
      <c r="L356" s="9" t="str">
        <f t="shared" si="181"/>
        <v/>
      </c>
      <c r="M356" s="10" t="str">
        <f t="shared" si="182"/>
        <v/>
      </c>
      <c r="N356" s="11"/>
      <c r="P356" s="12"/>
      <c r="Q356" s="9"/>
      <c r="R356" s="9" t="str">
        <f t="shared" si="189"/>
        <v/>
      </c>
      <c r="S356" s="9"/>
      <c r="T356" s="9" t="str">
        <f t="shared" si="183"/>
        <v/>
      </c>
      <c r="U356" s="9"/>
      <c r="V356" s="9" t="str">
        <f t="shared" si="184"/>
        <v/>
      </c>
      <c r="W356" s="9"/>
      <c r="X356" s="14" t="str">
        <f t="shared" si="185"/>
        <v/>
      </c>
      <c r="Y356" s="9" t="str">
        <f t="shared" si="186"/>
        <v/>
      </c>
      <c r="Z356" s="9" t="str">
        <f t="shared" si="187"/>
        <v/>
      </c>
      <c r="AA356" s="10" t="str">
        <f t="shared" si="188"/>
        <v/>
      </c>
      <c r="AB356" s="11"/>
    </row>
    <row r="357" spans="1:28" ht="15" customHeight="1" thickBot="1" x14ac:dyDescent="0.25">
      <c r="A357" s="100"/>
      <c r="B357" s="87"/>
      <c r="C357" s="18"/>
      <c r="D357" s="18" t="str">
        <f t="shared" si="163"/>
        <v/>
      </c>
      <c r="E357" s="18"/>
      <c r="F357" s="18" t="str">
        <f t="shared" si="177"/>
        <v/>
      </c>
      <c r="G357" s="18"/>
      <c r="H357" s="18"/>
      <c r="I357" s="18"/>
      <c r="J357" s="40" t="str">
        <f t="shared" si="179"/>
        <v/>
      </c>
      <c r="K357" s="43" t="str">
        <f t="shared" si="180"/>
        <v/>
      </c>
      <c r="L357" s="18" t="str">
        <f t="shared" si="181"/>
        <v/>
      </c>
      <c r="M357" s="19" t="str">
        <f t="shared" si="182"/>
        <v/>
      </c>
      <c r="N357" s="11"/>
      <c r="P357" s="17"/>
      <c r="Q357" s="18"/>
      <c r="R357" s="18" t="str">
        <f t="shared" si="189"/>
        <v/>
      </c>
      <c r="S357" s="18"/>
      <c r="T357" s="18" t="str">
        <f t="shared" si="183"/>
        <v/>
      </c>
      <c r="U357" s="18"/>
      <c r="V357" s="18" t="str">
        <f t="shared" si="184"/>
        <v/>
      </c>
      <c r="W357" s="18"/>
      <c r="X357" s="21" t="str">
        <f t="shared" si="185"/>
        <v/>
      </c>
      <c r="Y357" s="43" t="str">
        <f t="shared" si="186"/>
        <v/>
      </c>
      <c r="Z357" s="18" t="str">
        <f t="shared" si="187"/>
        <v/>
      </c>
      <c r="AA357" s="19" t="str">
        <f t="shared" si="188"/>
        <v/>
      </c>
      <c r="AB357" s="11"/>
    </row>
    <row r="358" spans="1:28" ht="15" customHeight="1" thickTop="1" x14ac:dyDescent="0.2">
      <c r="A358" s="96"/>
      <c r="B358" s="81">
        <f>SUM(D358:D361)+SUM(R358:R361)</f>
        <v>0</v>
      </c>
      <c r="C358" s="36"/>
      <c r="D358" s="36" t="str">
        <f t="shared" si="163"/>
        <v/>
      </c>
      <c r="E358" s="36"/>
      <c r="F358" s="36" t="str">
        <f t="shared" si="177"/>
        <v/>
      </c>
      <c r="G358" s="36"/>
      <c r="H358" s="36" t="str">
        <f>IF(G358="","",G354+I354-G358)</f>
        <v/>
      </c>
      <c r="I358" s="36"/>
      <c r="J358" s="48" t="str">
        <f t="shared" si="179"/>
        <v/>
      </c>
      <c r="K358" s="36" t="str">
        <f t="shared" si="180"/>
        <v/>
      </c>
      <c r="L358" s="36" t="str">
        <f t="shared" si="181"/>
        <v/>
      </c>
      <c r="M358" s="36" t="str">
        <f t="shared" si="182"/>
        <v/>
      </c>
      <c r="N358" s="11"/>
      <c r="P358" s="57" t="str">
        <f>IF(A358="","",A358)</f>
        <v/>
      </c>
      <c r="Q358" s="36"/>
      <c r="R358" s="36" t="str">
        <f t="shared" si="189"/>
        <v/>
      </c>
      <c r="S358" s="36"/>
      <c r="T358" s="36" t="str">
        <f t="shared" si="183"/>
        <v/>
      </c>
      <c r="U358" s="36"/>
      <c r="V358" s="36" t="str">
        <f t="shared" si="184"/>
        <v/>
      </c>
      <c r="W358" s="36"/>
      <c r="X358" s="51" t="str">
        <f t="shared" si="185"/>
        <v/>
      </c>
      <c r="Y358" s="36" t="str">
        <f t="shared" si="186"/>
        <v/>
      </c>
      <c r="Z358" s="36" t="str">
        <f t="shared" si="187"/>
        <v/>
      </c>
      <c r="AA358" s="36" t="str">
        <f t="shared" si="188"/>
        <v/>
      </c>
      <c r="AB358" s="11"/>
    </row>
    <row r="359" spans="1:28" ht="15" customHeight="1" x14ac:dyDescent="0.2">
      <c r="A359" s="96"/>
      <c r="B359" s="81"/>
      <c r="C359" s="36"/>
      <c r="D359" s="36" t="str">
        <f t="shared" si="163"/>
        <v/>
      </c>
      <c r="E359" s="36"/>
      <c r="F359" s="36" t="str">
        <f t="shared" si="177"/>
        <v/>
      </c>
      <c r="G359" s="36"/>
      <c r="H359" s="36" t="str">
        <f>IF(G359="","",G355+I355-G359)</f>
        <v/>
      </c>
      <c r="I359" s="36"/>
      <c r="J359" s="48" t="str">
        <f t="shared" si="179"/>
        <v/>
      </c>
      <c r="K359" s="36" t="str">
        <f t="shared" si="180"/>
        <v/>
      </c>
      <c r="L359" s="36" t="str">
        <f t="shared" si="181"/>
        <v/>
      </c>
      <c r="M359" s="36" t="str">
        <f t="shared" si="182"/>
        <v/>
      </c>
      <c r="N359" s="11"/>
      <c r="P359" s="52"/>
      <c r="Q359" s="36"/>
      <c r="R359" s="36" t="str">
        <f t="shared" si="189"/>
        <v/>
      </c>
      <c r="S359" s="36"/>
      <c r="T359" s="36" t="str">
        <f t="shared" si="183"/>
        <v/>
      </c>
      <c r="U359" s="36"/>
      <c r="V359" s="36" t="str">
        <f t="shared" si="184"/>
        <v/>
      </c>
      <c r="W359" s="36"/>
      <c r="X359" s="51" t="str">
        <f t="shared" si="185"/>
        <v/>
      </c>
      <c r="Y359" s="36" t="str">
        <f t="shared" si="186"/>
        <v/>
      </c>
      <c r="Z359" s="36" t="str">
        <f t="shared" si="187"/>
        <v/>
      </c>
      <c r="AA359" s="36" t="str">
        <f t="shared" si="188"/>
        <v/>
      </c>
      <c r="AB359" s="11"/>
    </row>
    <row r="360" spans="1:28" ht="15" customHeight="1" x14ac:dyDescent="0.2">
      <c r="A360" s="4"/>
      <c r="B360" s="84"/>
      <c r="C360" s="44"/>
      <c r="D360" s="44" t="str">
        <f t="shared" si="163"/>
        <v/>
      </c>
      <c r="E360" s="44"/>
      <c r="F360" s="44" t="str">
        <f t="shared" si="177"/>
        <v/>
      </c>
      <c r="G360" s="44"/>
      <c r="H360" s="44" t="str">
        <f>IF(G360="","",G356+I356-G360)</f>
        <v/>
      </c>
      <c r="I360" s="44"/>
      <c r="J360" s="67" t="str">
        <f t="shared" si="179"/>
        <v/>
      </c>
      <c r="K360" s="44" t="str">
        <f t="shared" si="180"/>
        <v/>
      </c>
      <c r="L360" s="44" t="str">
        <f t="shared" si="181"/>
        <v/>
      </c>
      <c r="M360" s="44" t="str">
        <f t="shared" si="182"/>
        <v/>
      </c>
      <c r="N360" s="28"/>
      <c r="P360" s="64"/>
      <c r="Q360" s="44"/>
      <c r="R360" s="44" t="str">
        <f t="shared" si="189"/>
        <v/>
      </c>
      <c r="S360" s="44"/>
      <c r="T360" s="44" t="str">
        <f t="shared" si="183"/>
        <v/>
      </c>
      <c r="U360" s="44"/>
      <c r="V360" s="44" t="str">
        <f t="shared" si="184"/>
        <v/>
      </c>
      <c r="W360" s="44"/>
      <c r="X360" s="65" t="str">
        <f t="shared" si="185"/>
        <v/>
      </c>
      <c r="Y360" s="44" t="str">
        <f t="shared" si="186"/>
        <v/>
      </c>
      <c r="Z360" s="44" t="str">
        <f t="shared" si="187"/>
        <v/>
      </c>
      <c r="AA360" s="44" t="str">
        <f t="shared" si="188"/>
        <v/>
      </c>
      <c r="AB360" s="28"/>
    </row>
    <row r="361" spans="1:28" ht="15" customHeight="1" thickBot="1" x14ac:dyDescent="0.25">
      <c r="A361" s="74"/>
      <c r="B361" s="85"/>
      <c r="C361" s="42"/>
      <c r="D361" s="42" t="str">
        <f t="shared" si="163"/>
        <v/>
      </c>
      <c r="E361" s="42"/>
      <c r="F361" s="42" t="str">
        <f t="shared" si="177"/>
        <v/>
      </c>
      <c r="G361" s="42"/>
      <c r="H361" s="42" t="str">
        <f>IF(G361="","",G357+I357-G361)</f>
        <v/>
      </c>
      <c r="I361" s="42"/>
      <c r="J361" s="66" t="str">
        <f t="shared" si="179"/>
        <v/>
      </c>
      <c r="K361" s="42" t="str">
        <f t="shared" si="180"/>
        <v/>
      </c>
      <c r="L361" s="42" t="str">
        <f t="shared" si="181"/>
        <v/>
      </c>
      <c r="M361" s="42" t="str">
        <f t="shared" si="182"/>
        <v/>
      </c>
      <c r="N361" s="63"/>
      <c r="P361" s="61"/>
      <c r="Q361" s="42"/>
      <c r="R361" s="42" t="str">
        <f t="shared" si="189"/>
        <v/>
      </c>
      <c r="S361" s="42"/>
      <c r="T361" s="42" t="str">
        <f t="shared" si="183"/>
        <v/>
      </c>
      <c r="U361" s="42"/>
      <c r="V361" s="42" t="str">
        <f t="shared" si="184"/>
        <v/>
      </c>
      <c r="W361" s="42"/>
      <c r="X361" s="62" t="str">
        <f t="shared" si="185"/>
        <v/>
      </c>
      <c r="Y361" s="42" t="str">
        <f t="shared" si="186"/>
        <v/>
      </c>
      <c r="Z361" s="42" t="str">
        <f t="shared" si="187"/>
        <v/>
      </c>
      <c r="AA361" s="42" t="str">
        <f t="shared" si="188"/>
        <v/>
      </c>
      <c r="AB361" s="63"/>
    </row>
    <row r="362" spans="1:28" ht="15" customHeight="1" thickTop="1" x14ac:dyDescent="0.2">
      <c r="A362" s="52"/>
      <c r="B362" s="81"/>
      <c r="C362" s="60" t="s">
        <v>40</v>
      </c>
      <c r="D362" s="36">
        <f>SUM(D306:D358)*100</f>
        <v>296400</v>
      </c>
      <c r="E362" s="93" t="s">
        <v>41</v>
      </c>
      <c r="F362" s="36"/>
      <c r="G362" s="60"/>
      <c r="H362" s="36"/>
      <c r="I362" s="36"/>
      <c r="J362" s="209" t="s">
        <v>42</v>
      </c>
      <c r="K362" s="209"/>
      <c r="L362" s="36">
        <f>SUM(L306:L358)</f>
        <v>28816</v>
      </c>
      <c r="M362" s="36"/>
      <c r="N362" s="55"/>
      <c r="P362" s="52"/>
      <c r="Q362" s="60" t="s">
        <v>40</v>
      </c>
      <c r="R362" s="36">
        <f>SUM(R306:R358)*100</f>
        <v>275000</v>
      </c>
      <c r="S362" s="93" t="s">
        <v>41</v>
      </c>
      <c r="T362" s="36"/>
      <c r="U362" s="60"/>
      <c r="V362" s="36"/>
      <c r="W362" s="36"/>
      <c r="X362" s="209" t="s">
        <v>42</v>
      </c>
      <c r="Y362" s="209"/>
      <c r="Z362" s="36">
        <f>SUM(Z306:Z358)</f>
        <v>31083</v>
      </c>
      <c r="AA362" s="36"/>
      <c r="AB362" s="55"/>
    </row>
    <row r="363" spans="1:28" ht="15" customHeight="1" x14ac:dyDescent="0.2">
      <c r="A363" s="24"/>
      <c r="B363" s="86"/>
      <c r="C363" s="5" t="s">
        <v>43</v>
      </c>
      <c r="D363" s="9">
        <f>D362/A367</f>
        <v>9262.5</v>
      </c>
      <c r="E363" s="9">
        <f>D363*A366</f>
        <v>296400</v>
      </c>
      <c r="F363" s="9"/>
      <c r="G363" s="5"/>
      <c r="H363" s="9"/>
      <c r="I363" s="9"/>
      <c r="J363" s="210" t="s">
        <v>44</v>
      </c>
      <c r="K363" s="210"/>
      <c r="L363" s="9"/>
      <c r="M363" s="26">
        <f>L362/D362</f>
        <v>9.7219973009446695E-2</v>
      </c>
      <c r="N363" s="11"/>
      <c r="P363" s="34"/>
      <c r="Q363" s="5" t="s">
        <v>43</v>
      </c>
      <c r="R363" s="9">
        <f>R362/A367</f>
        <v>8593.75</v>
      </c>
      <c r="S363" s="9">
        <f>R363*A366</f>
        <v>275000</v>
      </c>
      <c r="T363" s="9"/>
      <c r="U363" s="5"/>
      <c r="V363" s="9"/>
      <c r="W363" s="9"/>
      <c r="X363" s="210" t="s">
        <v>44</v>
      </c>
      <c r="Y363" s="210"/>
      <c r="Z363" s="9"/>
      <c r="AA363" s="26">
        <f>Z362/R362</f>
        <v>0.11302909090909091</v>
      </c>
      <c r="AB363" s="11"/>
    </row>
    <row r="364" spans="1:28" ht="15" customHeight="1" x14ac:dyDescent="0.2">
      <c r="A364" s="12"/>
      <c r="B364" s="88"/>
      <c r="C364" s="47" t="s">
        <v>45</v>
      </c>
      <c r="D364" s="9">
        <f>D362*0.6</f>
        <v>177840</v>
      </c>
      <c r="E364" s="9"/>
      <c r="F364" s="9"/>
      <c r="G364" s="5"/>
      <c r="H364" s="9"/>
      <c r="I364" s="9"/>
      <c r="J364" s="210" t="s">
        <v>46</v>
      </c>
      <c r="K364" s="210"/>
      <c r="L364" s="9">
        <f>D364-L362</f>
        <v>149024</v>
      </c>
      <c r="M364" s="26">
        <f>L364/D362</f>
        <v>0.50278002699055335</v>
      </c>
      <c r="N364" s="11"/>
      <c r="P364" s="12"/>
      <c r="Q364" s="47" t="s">
        <v>45</v>
      </c>
      <c r="R364" s="9">
        <f>R362*0.6</f>
        <v>165000</v>
      </c>
      <c r="S364" s="9"/>
      <c r="T364" s="9"/>
      <c r="U364" s="5"/>
      <c r="V364" s="9"/>
      <c r="W364" s="9"/>
      <c r="X364" s="210" t="s">
        <v>46</v>
      </c>
      <c r="Y364" s="210"/>
      <c r="Z364" s="9">
        <f>R364-Z362</f>
        <v>133917</v>
      </c>
      <c r="AA364" s="26">
        <f>Z364/R362</f>
        <v>0.48697090909090907</v>
      </c>
      <c r="AB364" s="11"/>
    </row>
    <row r="365" spans="1:28" ht="15" customHeight="1" x14ac:dyDescent="0.2">
      <c r="A365" s="52"/>
      <c r="B365" s="81"/>
      <c r="C365" s="5" t="s">
        <v>47</v>
      </c>
      <c r="D365" s="9">
        <f>D437</f>
        <v>305300</v>
      </c>
      <c r="E365" s="9"/>
      <c r="F365" s="9"/>
      <c r="G365" s="5"/>
      <c r="H365" s="9"/>
      <c r="I365" s="16"/>
      <c r="J365" s="205" t="s">
        <v>48</v>
      </c>
      <c r="K365" s="205"/>
      <c r="L365" s="36">
        <f>(G338+I338)*K338+(G339+I339)*K339+(G340+I340)*K340+(G341+I341)*K341</f>
        <v>55150</v>
      </c>
      <c r="M365" s="10"/>
      <c r="N365" s="11"/>
      <c r="P365" s="52"/>
      <c r="Q365" s="5" t="s">
        <v>47</v>
      </c>
      <c r="R365" s="9">
        <f>R437</f>
        <v>281200</v>
      </c>
      <c r="S365" s="9"/>
      <c r="T365" s="9"/>
      <c r="U365" s="5"/>
      <c r="V365" s="9"/>
      <c r="W365" s="16"/>
      <c r="X365" s="205" t="s">
        <v>48</v>
      </c>
      <c r="Y365" s="205"/>
      <c r="Z365" s="36">
        <f>(U338+W338)*Y338+(U339+W339)*Y339+(U340+W340)*Y340+(U341+W341)*Y341</f>
        <v>33529</v>
      </c>
      <c r="AA365" s="10"/>
      <c r="AB365" s="11"/>
    </row>
    <row r="366" spans="1:28" ht="15" customHeight="1" x14ac:dyDescent="0.2">
      <c r="A366" s="4">
        <v>32</v>
      </c>
      <c r="B366" s="113">
        <f>SUM(B306:B358)*100</f>
        <v>571400</v>
      </c>
      <c r="C366" s="5"/>
      <c r="D366" s="9"/>
      <c r="E366" s="9"/>
      <c r="F366" s="9"/>
      <c r="G366" s="5"/>
      <c r="H366" s="9"/>
      <c r="I366" s="16"/>
      <c r="J366" s="140"/>
      <c r="K366" s="71"/>
      <c r="L366" s="49"/>
      <c r="M366" s="10"/>
      <c r="N366" s="11"/>
      <c r="P366" s="52"/>
      <c r="Q366" s="5"/>
      <c r="R366" s="9"/>
      <c r="S366" s="9"/>
      <c r="T366" s="9"/>
      <c r="U366" s="5"/>
      <c r="V366" s="9"/>
      <c r="W366" s="16"/>
      <c r="X366" s="70"/>
      <c r="Y366" s="71"/>
      <c r="Z366" s="49"/>
      <c r="AA366" s="10"/>
      <c r="AB366" s="11"/>
    </row>
    <row r="367" spans="1:28" ht="15" customHeight="1" x14ac:dyDescent="0.2">
      <c r="A367" s="69">
        <f>DATEDIF(A$409,A338,"d")</f>
        <v>32</v>
      </c>
      <c r="B367" s="81"/>
      <c r="C367" s="5"/>
      <c r="D367" s="9"/>
      <c r="E367" s="25">
        <v>353000</v>
      </c>
      <c r="F367" s="9"/>
      <c r="G367" s="5"/>
      <c r="H367" s="9"/>
      <c r="I367" s="16"/>
      <c r="J367" s="140"/>
      <c r="K367" s="71"/>
      <c r="L367" s="49"/>
      <c r="M367" s="10"/>
      <c r="N367" s="11"/>
      <c r="P367" s="52"/>
      <c r="Q367" s="5"/>
      <c r="R367" s="9"/>
      <c r="S367" s="9"/>
      <c r="T367" s="9"/>
      <c r="U367" s="5"/>
      <c r="V367" s="9"/>
      <c r="W367" s="16"/>
      <c r="X367" s="70"/>
      <c r="Y367" s="71"/>
      <c r="Z367" s="49"/>
      <c r="AA367" s="10"/>
      <c r="AB367" s="11"/>
    </row>
    <row r="368" spans="1:28" x14ac:dyDescent="0.2">
      <c r="A368" s="206" t="s">
        <v>49</v>
      </c>
      <c r="B368" s="206"/>
      <c r="C368" s="206"/>
      <c r="D368" s="27">
        <f>SUM(D306,D310,D314,D318,D322,D326,D330,D334,D338,D342,D346,D350,D354)*100</f>
        <v>89200</v>
      </c>
      <c r="E368" s="37">
        <v>111400</v>
      </c>
      <c r="F368" s="9"/>
      <c r="G368" s="5">
        <f>D368/H368</f>
        <v>5946.666666666667</v>
      </c>
      <c r="H368" s="27">
        <f>SUM(H306,H310,H314,H318,H322,H326,H331,H334,H338,H342,H346,H350,H354)</f>
        <v>15</v>
      </c>
      <c r="I368" s="9"/>
      <c r="J368" s="48" t="str">
        <f t="shared" ref="J368:K368" si="190">J306</f>
        <v>ジャグラーサウンドボタン</v>
      </c>
      <c r="K368" s="49">
        <f t="shared" si="190"/>
        <v>748</v>
      </c>
      <c r="L368" s="27">
        <f>SUM(L306,L310,L314,L318,L322,L326,L331,L334,L338,L342,L346,L350,L354)</f>
        <v>12276</v>
      </c>
      <c r="M368" s="26">
        <f>L368/D368</f>
        <v>0.13762331838565023</v>
      </c>
      <c r="N368" s="11"/>
      <c r="O368" s="15"/>
      <c r="P368" s="206" t="s">
        <v>49</v>
      </c>
      <c r="Q368" s="206"/>
      <c r="R368" s="27">
        <f>SUM(R306,R310,R314,R318,R322,R326,R330,R334,R338,R342,R346,R350,R354)*100</f>
        <v>59900</v>
      </c>
      <c r="S368" s="37"/>
      <c r="T368" s="9"/>
      <c r="U368" s="5">
        <f>R368/V368</f>
        <v>3743.75</v>
      </c>
      <c r="V368" s="27">
        <f>SUM(V306,V310,V314,V318,V322,V326,V331,V334,V338,V342,V346,V350,V354)</f>
        <v>16</v>
      </c>
      <c r="W368" s="9"/>
      <c r="X368" s="48" t="str">
        <f t="shared" ref="X368:Y368" si="191">X306</f>
        <v>電ブル</v>
      </c>
      <c r="Y368" s="49">
        <f t="shared" si="191"/>
        <v>275</v>
      </c>
      <c r="Z368" s="27">
        <f>SUM(Z306,Z310,Z314,Z318,Z322,Z326,Z331,Z334,Z338,Z342,Z346,Z350,Z354)</f>
        <v>4400</v>
      </c>
      <c r="AA368" s="26">
        <f>Z368/R368</f>
        <v>7.3455759599332218E-2</v>
      </c>
      <c r="AB368" s="11"/>
    </row>
    <row r="369" spans="1:28" x14ac:dyDescent="0.2">
      <c r="A369" s="206" t="s">
        <v>49</v>
      </c>
      <c r="B369" s="206"/>
      <c r="C369" s="206"/>
      <c r="D369" s="27">
        <f>SUM(D307,D311,D315,D319,D323,D327,D331,D335,D339,D343,D347,D351,D355)*100</f>
        <v>59900</v>
      </c>
      <c r="E369" s="37">
        <v>107000</v>
      </c>
      <c r="F369" s="9"/>
      <c r="G369" s="5">
        <f>D369/H369</f>
        <v>6655.5555555555557</v>
      </c>
      <c r="H369" s="27">
        <f>SUM(H307,H311,H315,H319,H323,H327,H330,H335,H339,H343,H347,H351,H355)</f>
        <v>9</v>
      </c>
      <c r="I369" s="9"/>
      <c r="J369" s="48" t="str">
        <f t="shared" ref="J369:K369" si="192">J307</f>
        <v>ラブブマスコット</v>
      </c>
      <c r="K369" s="49">
        <f t="shared" si="192"/>
        <v>1100</v>
      </c>
      <c r="L369" s="27">
        <f>SUM(L307,L311,L315,L319,L323,L327,L330,L335,L339,L343,L347,L351,L355)</f>
        <v>9548</v>
      </c>
      <c r="M369" s="26">
        <f>L369/D369</f>
        <v>0.15939899833055091</v>
      </c>
      <c r="N369" s="11"/>
      <c r="O369" s="1"/>
      <c r="P369" s="206" t="s">
        <v>49</v>
      </c>
      <c r="Q369" s="206"/>
      <c r="R369" s="27">
        <f>SUM(R307,R311,R315,R319,R323,R327,R331,R335,R339,R343,R347,R351,R355)*100</f>
        <v>95300</v>
      </c>
      <c r="S369" s="37"/>
      <c r="T369" s="9"/>
      <c r="U369" s="5">
        <f>R369/V369</f>
        <v>5294.4444444444443</v>
      </c>
      <c r="V369" s="27">
        <f>SUM(V307,V311,V315,V319,V323,V327,V330,V335,V339,V343,V347,V351,V355)</f>
        <v>18</v>
      </c>
      <c r="W369" s="9"/>
      <c r="X369" s="48" t="str">
        <f t="shared" ref="X369:Y369" si="193">X307</f>
        <v>ラブブキーホルダー</v>
      </c>
      <c r="Y369" s="49">
        <f t="shared" si="193"/>
        <v>400</v>
      </c>
      <c r="Z369" s="27">
        <f>SUM(Z307,Z311,Z315,Z319,Z323,Z327,Z330,Z335,Z339,Z343,Z347,Z351,Z355)</f>
        <v>7075</v>
      </c>
      <c r="AA369" s="26">
        <f>Z369/R369</f>
        <v>7.4239244491080797E-2</v>
      </c>
      <c r="AB369" s="11"/>
    </row>
    <row r="370" spans="1:28" x14ac:dyDescent="0.2">
      <c r="A370" s="206" t="s">
        <v>49</v>
      </c>
      <c r="B370" s="206"/>
      <c r="C370" s="206"/>
      <c r="D370" s="27">
        <f>SUM(D308,D312,D316,D320,D324,D328,D332,D336,D340,D344,D348,D352,D356)*100</f>
        <v>61400</v>
      </c>
      <c r="E370" s="37"/>
      <c r="F370" s="9"/>
      <c r="G370" s="5">
        <f>D370/H370</f>
        <v>4385.7142857142853</v>
      </c>
      <c r="H370" s="27">
        <f>SUM(H308,H312,H316,H321,H324,H328,H332,H336,H340,H344,H348,H352,H356)</f>
        <v>14</v>
      </c>
      <c r="I370" s="9"/>
      <c r="J370" s="48" t="str">
        <f t="shared" ref="J370:K370" si="194">J308</f>
        <v>ＡＩモンスターラバー</v>
      </c>
      <c r="K370" s="49">
        <f t="shared" si="194"/>
        <v>198</v>
      </c>
      <c r="L370" s="27">
        <f>SUM(L308,L312,L316,L321,L324,L328,L332,L336,L340,L344,L348,L352,L356)</f>
        <v>2772</v>
      </c>
      <c r="M370" s="26">
        <f>L370/D370</f>
        <v>4.5146579804560258E-2</v>
      </c>
      <c r="N370" s="11"/>
      <c r="O370" s="1"/>
      <c r="P370" s="206" t="s">
        <v>49</v>
      </c>
      <c r="Q370" s="206"/>
      <c r="R370" s="27">
        <f>SUM(R308,R312,R316,R320,R324,R328,R332,R336,R340,R344,R348,R352,R356)*100</f>
        <v>61900</v>
      </c>
      <c r="S370" s="37"/>
      <c r="T370" s="9"/>
      <c r="U370" s="5">
        <f>R370/V370</f>
        <v>5158.333333333333</v>
      </c>
      <c r="V370" s="27">
        <f>SUM(V308,V312,V316,V321,V324,V328,V332,V336,V340,V344,V348,V352,V356)</f>
        <v>12</v>
      </c>
      <c r="W370" s="9"/>
      <c r="X370" s="48" t="str">
        <f t="shared" ref="X370:Y370" si="195">X308</f>
        <v>キティマスコット</v>
      </c>
      <c r="Y370" s="49">
        <f t="shared" si="195"/>
        <v>996</v>
      </c>
      <c r="Z370" s="27">
        <f>SUM(Z308,Z312,Z316,Z321,Z324,Z328,Z332,Z336,Z340,Z344,Z348,Z352,Z356)</f>
        <v>11952</v>
      </c>
      <c r="AA370" s="26">
        <f>Z370/R370</f>
        <v>0.19308562197092083</v>
      </c>
      <c r="AB370" s="11"/>
    </row>
    <row r="371" spans="1:28" x14ac:dyDescent="0.2">
      <c r="A371" s="206" t="s">
        <v>49</v>
      </c>
      <c r="B371" s="206"/>
      <c r="C371" s="206"/>
      <c r="D371" s="27">
        <f>SUM(D309,D313,D317,D321,D325,D329,D333,D337,D341,D345,D349,D353,D357)*100</f>
        <v>85900</v>
      </c>
      <c r="E371" s="37"/>
      <c r="F371" s="9"/>
      <c r="G371" s="5">
        <f>D371/H371</f>
        <v>7809.090909090909</v>
      </c>
      <c r="H371" s="27">
        <f>SUM(H309,H313,H317,H320,H325,H329,H333,H337,H341,H345,H349,H353,H357)</f>
        <v>11</v>
      </c>
      <c r="I371" s="9"/>
      <c r="J371" s="48" t="str">
        <f t="shared" ref="J371:K371" si="196">J309</f>
        <v>AIモンスターマスコット</v>
      </c>
      <c r="K371" s="49">
        <f t="shared" si="196"/>
        <v>220</v>
      </c>
      <c r="L371" s="27">
        <f>SUM(L309,L313,L317,L320,L325,L329,L333,L337,L341,L345,L349,L353,L357)</f>
        <v>4220</v>
      </c>
      <c r="M371" s="26">
        <f>L371/D371</f>
        <v>4.9126891734575087E-2</v>
      </c>
      <c r="N371" s="11"/>
      <c r="O371" s="1"/>
      <c r="P371" s="206" t="s">
        <v>49</v>
      </c>
      <c r="Q371" s="206"/>
      <c r="R371" s="27">
        <f>SUM(R309,R313,R317,R321,R325,R329,R333,R337,R341,R345,R349,R353,R357)*100</f>
        <v>57900</v>
      </c>
      <c r="S371" s="37"/>
      <c r="T371" s="9"/>
      <c r="U371" s="5">
        <f>R371/V371</f>
        <v>7237.5</v>
      </c>
      <c r="V371" s="27">
        <f>SUM(V309,V313,V317,V320,V325,V329,V333,V337,V341,V345,V349,V353,V357)</f>
        <v>8</v>
      </c>
      <c r="W371" s="9"/>
      <c r="X371" s="48" t="str">
        <f t="shared" ref="X371:Y371" si="197">X309</f>
        <v>サンリオフェイスポーチ</v>
      </c>
      <c r="Y371" s="49">
        <f t="shared" si="197"/>
        <v>957</v>
      </c>
      <c r="Z371" s="27">
        <f>SUM(Z309,Z313,Z317,Z320,Z325,Z329,Z333,Z337,Z341,Z345,Z349,Z353,Z357)</f>
        <v>7656</v>
      </c>
      <c r="AA371" s="26">
        <f>Z371/R371</f>
        <v>0.13222797927461141</v>
      </c>
      <c r="AB371" s="11"/>
    </row>
    <row r="372" spans="1:28" x14ac:dyDescent="0.2">
      <c r="A372" s="12"/>
      <c r="B372" s="8"/>
      <c r="C372" s="5" t="s">
        <v>40</v>
      </c>
      <c r="D372" s="9">
        <f>SUM(D368:D371)</f>
        <v>296400</v>
      </c>
      <c r="E372" s="37"/>
      <c r="F372" s="9"/>
      <c r="G372" s="9"/>
      <c r="H372" s="9">
        <f>SUM(H368:H371)</f>
        <v>49</v>
      </c>
      <c r="I372" s="9"/>
      <c r="J372" s="196" t="s">
        <v>50</v>
      </c>
      <c r="K372" s="196"/>
      <c r="L372" s="36">
        <f>SUM(L368:L371)</f>
        <v>28816</v>
      </c>
      <c r="M372" s="54">
        <f>L372/D372</f>
        <v>9.7219973009446695E-2</v>
      </c>
      <c r="N372" s="55"/>
      <c r="O372" s="1"/>
      <c r="P372" s="12"/>
      <c r="Q372" s="5" t="s">
        <v>40</v>
      </c>
      <c r="R372" s="9">
        <f>SUM(R368:R371)</f>
        <v>275000</v>
      </c>
      <c r="S372" s="37"/>
      <c r="T372" s="9"/>
      <c r="U372" s="9"/>
      <c r="V372" s="9">
        <f>SUM(V368:V371)</f>
        <v>54</v>
      </c>
      <c r="W372" s="9"/>
      <c r="X372" s="196" t="s">
        <v>50</v>
      </c>
      <c r="Y372" s="196"/>
      <c r="Z372" s="36">
        <f>SUM(Z368:Z371)</f>
        <v>31083</v>
      </c>
      <c r="AA372" s="54">
        <f>Z372/R372</f>
        <v>0.11302909090909091</v>
      </c>
      <c r="AB372" s="11"/>
    </row>
    <row r="373" spans="1:28" x14ac:dyDescent="0.2">
      <c r="A373" s="30"/>
      <c r="B373" s="29"/>
      <c r="C373" s="2"/>
      <c r="D373" s="2"/>
      <c r="E373" s="2"/>
      <c r="F373" s="2"/>
      <c r="G373" s="2"/>
      <c r="H373" s="2"/>
      <c r="I373" s="2"/>
      <c r="J373" s="46"/>
      <c r="K373" s="2"/>
      <c r="L373" s="2"/>
      <c r="M373" s="2"/>
      <c r="N373" s="35"/>
      <c r="O373" s="1"/>
      <c r="P373" s="30"/>
      <c r="Q373" s="2"/>
      <c r="R373" s="2"/>
      <c r="S373" s="2"/>
      <c r="T373" s="2"/>
      <c r="U373" s="2"/>
      <c r="V373" s="2"/>
      <c r="W373" s="2"/>
      <c r="X373" s="46"/>
      <c r="Y373" s="2"/>
      <c r="Z373" s="2"/>
      <c r="AA373" s="2"/>
      <c r="AB373" s="35"/>
    </row>
    <row r="374" spans="1:28" ht="15" customHeight="1" x14ac:dyDescent="0.2">
      <c r="B374" s="215" t="s">
        <v>51</v>
      </c>
      <c r="C374" s="215"/>
      <c r="D374" s="216" t="s">
        <v>52</v>
      </c>
      <c r="E374" s="216"/>
      <c r="F374" s="216" t="s">
        <v>53</v>
      </c>
      <c r="G374" s="216"/>
      <c r="H374" s="56"/>
      <c r="I374" s="56"/>
      <c r="J374" s="145" t="s">
        <v>54</v>
      </c>
      <c r="K374" s="217" t="s">
        <v>55</v>
      </c>
      <c r="L374" s="218"/>
      <c r="M374" s="219" t="s">
        <v>56</v>
      </c>
      <c r="N374" s="220"/>
    </row>
    <row r="375" spans="1:28" x14ac:dyDescent="0.2">
      <c r="B375" s="211">
        <f>E363+S363</f>
        <v>571400</v>
      </c>
      <c r="C375" s="211"/>
      <c r="D375" s="212">
        <f>L362+Z362</f>
        <v>59899</v>
      </c>
      <c r="E375" s="212"/>
      <c r="F375" s="212">
        <f>L365+Z365</f>
        <v>88679</v>
      </c>
      <c r="G375" s="212"/>
      <c r="H375" s="56"/>
      <c r="I375" s="56"/>
      <c r="J375" s="144" t="e">
        <f>B366+#REF!+#REF!</f>
        <v>#REF!</v>
      </c>
      <c r="K375" s="213" t="e">
        <f>D375+#REF!+#REF!</f>
        <v>#REF!</v>
      </c>
      <c r="L375" s="213"/>
      <c r="M375" s="213" t="e">
        <f>F375+#REF!+#REF!</f>
        <v>#REF!</v>
      </c>
      <c r="N375" s="214"/>
    </row>
    <row r="376" spans="1:28" x14ac:dyDescent="0.2">
      <c r="B376" s="68"/>
      <c r="C376" s="68"/>
      <c r="D376" s="126" t="s">
        <v>57</v>
      </c>
      <c r="E376" s="72">
        <f>D375/B366</f>
        <v>0.10482849142457124</v>
      </c>
      <c r="F376" s="9"/>
      <c r="G376" s="9"/>
      <c r="H376" s="56"/>
      <c r="J376" s="146" t="s">
        <v>58</v>
      </c>
      <c r="K376" s="128" t="s">
        <v>57</v>
      </c>
      <c r="L376" s="129" t="e">
        <f>K375/J375</f>
        <v>#REF!</v>
      </c>
    </row>
    <row r="377" spans="1:28" x14ac:dyDescent="0.2">
      <c r="B377"/>
      <c r="D377" s="124"/>
      <c r="E377" s="132"/>
      <c r="F377" s="1"/>
      <c r="G377" s="1"/>
      <c r="H377" s="56"/>
      <c r="J377" s="147" t="e">
        <f>B375+#REF!+#REF!</f>
        <v>#REF!</v>
      </c>
      <c r="K377"/>
    </row>
    <row r="378" spans="1:28" x14ac:dyDescent="0.2">
      <c r="E378" s="124"/>
      <c r="F378" s="132"/>
      <c r="G378" s="1"/>
      <c r="H378" s="1"/>
      <c r="K378"/>
    </row>
    <row r="379" spans="1:28" x14ac:dyDescent="0.2">
      <c r="A379" s="207" t="s">
        <v>0</v>
      </c>
      <c r="B379" s="207"/>
      <c r="C379" s="207"/>
      <c r="D379" s="207"/>
      <c r="E379" s="221" t="s">
        <v>1</v>
      </c>
      <c r="F379" s="221"/>
      <c r="G379" s="75"/>
      <c r="H379" s="75"/>
      <c r="I379" s="75"/>
      <c r="J379" s="78"/>
      <c r="K379" s="75"/>
      <c r="L379" s="75"/>
      <c r="M379" s="75"/>
      <c r="N379" s="76"/>
      <c r="O379" s="77"/>
      <c r="P379" s="207" t="s">
        <v>0</v>
      </c>
      <c r="Q379" s="207"/>
      <c r="R379" s="207"/>
      <c r="S379" s="221" t="s">
        <v>2</v>
      </c>
      <c r="T379" s="221"/>
      <c r="U379" s="75"/>
      <c r="V379" s="75"/>
      <c r="W379" s="75"/>
      <c r="X379" s="78"/>
      <c r="Y379" s="75"/>
      <c r="Z379" s="75"/>
      <c r="AA379" s="75"/>
      <c r="AB379" s="76"/>
    </row>
    <row r="380" spans="1:28" x14ac:dyDescent="0.2">
      <c r="A380" s="7" t="s">
        <v>3</v>
      </c>
      <c r="B380" s="80" t="s">
        <v>4</v>
      </c>
      <c r="C380" s="5" t="s">
        <v>5</v>
      </c>
      <c r="D380" s="5" t="s">
        <v>6</v>
      </c>
      <c r="E380" s="6" t="s">
        <v>7</v>
      </c>
      <c r="F380" s="5" t="s">
        <v>6</v>
      </c>
      <c r="G380" s="5" t="s">
        <v>8</v>
      </c>
      <c r="H380" s="5" t="s">
        <v>9</v>
      </c>
      <c r="I380" s="5" t="s">
        <v>10</v>
      </c>
      <c r="J380" s="38" t="s">
        <v>11</v>
      </c>
      <c r="K380" s="5" t="s">
        <v>12</v>
      </c>
      <c r="L380" s="5" t="s">
        <v>9</v>
      </c>
      <c r="M380" s="5" t="s">
        <v>13</v>
      </c>
      <c r="N380" s="5" t="s">
        <v>14</v>
      </c>
      <c r="O380" s="3"/>
      <c r="P380" s="7" t="s">
        <v>3</v>
      </c>
      <c r="Q380" s="5" t="s">
        <v>5</v>
      </c>
      <c r="R380" s="5" t="s">
        <v>6</v>
      </c>
      <c r="S380" s="6" t="s">
        <v>7</v>
      </c>
      <c r="T380" s="5" t="s">
        <v>6</v>
      </c>
      <c r="U380" s="5" t="s">
        <v>8</v>
      </c>
      <c r="V380" s="5" t="s">
        <v>9</v>
      </c>
      <c r="W380" s="5" t="s">
        <v>10</v>
      </c>
      <c r="X380" s="38" t="s">
        <v>11</v>
      </c>
      <c r="Y380" s="5" t="s">
        <v>12</v>
      </c>
      <c r="Z380" s="5" t="s">
        <v>9</v>
      </c>
      <c r="AA380" s="5" t="s">
        <v>13</v>
      </c>
      <c r="AB380" s="5" t="s">
        <v>14</v>
      </c>
    </row>
    <row r="381" spans="1:28" x14ac:dyDescent="0.2">
      <c r="A381" s="12">
        <v>45923</v>
      </c>
      <c r="B381" s="81">
        <v>1119</v>
      </c>
      <c r="C381" s="36">
        <v>2677</v>
      </c>
      <c r="D381" s="36">
        <v>102</v>
      </c>
      <c r="E381" s="36">
        <v>54</v>
      </c>
      <c r="F381" s="36">
        <v>3</v>
      </c>
      <c r="G381" s="36">
        <v>3</v>
      </c>
      <c r="H381" s="36">
        <v>3</v>
      </c>
      <c r="I381" s="36">
        <v>10</v>
      </c>
      <c r="J381" s="89" t="s">
        <v>15</v>
      </c>
      <c r="K381" s="49">
        <v>748</v>
      </c>
      <c r="L381" s="36">
        <v>2244</v>
      </c>
      <c r="M381" s="50">
        <v>0.22</v>
      </c>
      <c r="N381" s="11"/>
      <c r="O381" s="1"/>
      <c r="P381" s="12">
        <v>45923</v>
      </c>
      <c r="Q381" s="36">
        <v>1843</v>
      </c>
      <c r="R381" s="36">
        <v>78</v>
      </c>
      <c r="S381" s="36">
        <v>51</v>
      </c>
      <c r="T381" s="36">
        <v>1</v>
      </c>
      <c r="U381" s="36">
        <v>44</v>
      </c>
      <c r="V381" s="36">
        <v>1</v>
      </c>
      <c r="W381" s="36">
        <v>0</v>
      </c>
      <c r="X381" s="89" t="s">
        <v>16</v>
      </c>
      <c r="Y381" s="49">
        <v>275</v>
      </c>
      <c r="Z381" s="36">
        <v>275</v>
      </c>
      <c r="AA381" s="50">
        <v>3.5256410256410256E-2</v>
      </c>
      <c r="AB381" s="11"/>
    </row>
    <row r="382" spans="1:28" x14ac:dyDescent="0.2">
      <c r="A382" s="79"/>
      <c r="B382" s="8"/>
      <c r="C382" s="36">
        <v>2910</v>
      </c>
      <c r="D382" s="9">
        <v>125</v>
      </c>
      <c r="E382" s="36">
        <v>70</v>
      </c>
      <c r="F382" s="9">
        <v>3</v>
      </c>
      <c r="G382" s="9">
        <v>1</v>
      </c>
      <c r="H382" s="9">
        <v>1</v>
      </c>
      <c r="I382" s="9">
        <v>1</v>
      </c>
      <c r="J382" s="89" t="s">
        <v>17</v>
      </c>
      <c r="K382" s="36">
        <v>1100</v>
      </c>
      <c r="L382" s="9">
        <v>1100</v>
      </c>
      <c r="M382" s="10">
        <v>8.7999999999999995E-2</v>
      </c>
      <c r="N382" s="11"/>
      <c r="O382" s="1"/>
      <c r="P382" s="12"/>
      <c r="Q382" s="36">
        <v>3628</v>
      </c>
      <c r="R382" s="9">
        <v>269</v>
      </c>
      <c r="S382" s="36">
        <v>54</v>
      </c>
      <c r="T382" s="9">
        <v>2</v>
      </c>
      <c r="U382" s="9">
        <v>5</v>
      </c>
      <c r="V382" s="9">
        <v>2</v>
      </c>
      <c r="W382" s="9">
        <v>0</v>
      </c>
      <c r="X382" s="90" t="s">
        <v>18</v>
      </c>
      <c r="Y382" s="37">
        <v>1100</v>
      </c>
      <c r="Z382" s="9">
        <v>2200</v>
      </c>
      <c r="AA382" s="10">
        <v>8.1784386617100371E-2</v>
      </c>
      <c r="AB382" s="11"/>
    </row>
    <row r="383" spans="1:28" x14ac:dyDescent="0.2">
      <c r="A383" s="12"/>
      <c r="B383" s="8"/>
      <c r="C383" s="36">
        <v>3163</v>
      </c>
      <c r="D383" s="9">
        <v>337</v>
      </c>
      <c r="E383" s="36">
        <v>91</v>
      </c>
      <c r="F383" s="9">
        <v>14</v>
      </c>
      <c r="G383" s="9">
        <v>56</v>
      </c>
      <c r="H383" s="9">
        <v>14</v>
      </c>
      <c r="I383" s="9">
        <v>20</v>
      </c>
      <c r="J383" s="138" t="s">
        <v>19</v>
      </c>
      <c r="K383" s="37">
        <v>198</v>
      </c>
      <c r="L383" s="9">
        <v>2772</v>
      </c>
      <c r="M383" s="10">
        <v>8.2255192878338282E-2</v>
      </c>
      <c r="N383" s="11"/>
      <c r="O383" s="1"/>
      <c r="P383" s="12"/>
      <c r="Q383" s="36">
        <v>1364</v>
      </c>
      <c r="R383" s="9">
        <v>61</v>
      </c>
      <c r="S383" s="36">
        <v>41</v>
      </c>
      <c r="T383" s="9">
        <v>9</v>
      </c>
      <c r="U383" s="9">
        <v>3</v>
      </c>
      <c r="V383" s="9">
        <v>1</v>
      </c>
      <c r="W383" s="9">
        <v>9</v>
      </c>
      <c r="X383" s="90" t="s">
        <v>38</v>
      </c>
      <c r="Y383" s="37">
        <v>600</v>
      </c>
      <c r="Z383" s="9">
        <v>600</v>
      </c>
      <c r="AA383" s="10">
        <v>9.8360655737704916E-2</v>
      </c>
      <c r="AB383" s="107" t="s">
        <v>112</v>
      </c>
    </row>
    <row r="384" spans="1:28" ht="15" customHeight="1" thickBot="1" x14ac:dyDescent="0.25">
      <c r="A384" s="17"/>
      <c r="B384" s="82"/>
      <c r="C384" s="42">
        <v>1401</v>
      </c>
      <c r="D384" s="42">
        <v>74</v>
      </c>
      <c r="E384" s="42">
        <v>58</v>
      </c>
      <c r="F384" s="18">
        <v>4</v>
      </c>
      <c r="G384" s="18">
        <v>9</v>
      </c>
      <c r="H384" s="18">
        <v>4</v>
      </c>
      <c r="I384" s="20">
        <v>0</v>
      </c>
      <c r="J384" s="139" t="s">
        <v>111</v>
      </c>
      <c r="K384" s="43">
        <v>358</v>
      </c>
      <c r="L384" s="18">
        <v>880</v>
      </c>
      <c r="M384" s="19">
        <v>0.11891891891891893</v>
      </c>
      <c r="N384" s="11"/>
      <c r="O384" s="1"/>
      <c r="P384" s="17"/>
      <c r="Q384" s="42">
        <v>2046</v>
      </c>
      <c r="R384" s="42">
        <v>73</v>
      </c>
      <c r="S384" s="42">
        <v>32</v>
      </c>
      <c r="T384" s="18">
        <v>5</v>
      </c>
      <c r="U384" s="18">
        <v>8</v>
      </c>
      <c r="V384" s="18">
        <v>1</v>
      </c>
      <c r="W384" s="18">
        <v>0</v>
      </c>
      <c r="X384" s="91" t="s">
        <v>31</v>
      </c>
      <c r="Y384" s="18">
        <v>286</v>
      </c>
      <c r="Z384" s="18">
        <v>286</v>
      </c>
      <c r="AA384" s="19">
        <v>3.9178082191780823E-2</v>
      </c>
      <c r="AB384" s="11" t="s">
        <v>39</v>
      </c>
    </row>
    <row r="385" spans="1:28" ht="15" customHeight="1" thickTop="1" x14ac:dyDescent="0.2">
      <c r="A385" s="57">
        <v>45926</v>
      </c>
      <c r="B385" s="81">
        <f>SUM(D385:D388)+SUM(R385:R388)</f>
        <v>463</v>
      </c>
      <c r="C385" s="36">
        <v>2820</v>
      </c>
      <c r="D385" s="36">
        <f t="shared" ref="D385:D412" si="198">IF(C385="","",C385-C381)</f>
        <v>143</v>
      </c>
      <c r="E385" s="36">
        <v>57</v>
      </c>
      <c r="F385" s="22">
        <f t="shared" ref="F385:F392" si="199">IF(E385="","",E385-E381)</f>
        <v>3</v>
      </c>
      <c r="G385" s="36">
        <v>11</v>
      </c>
      <c r="H385" s="36">
        <f t="shared" ref="H385:H392" si="200">IF(G385="","",G381+I381-G385)</f>
        <v>2</v>
      </c>
      <c r="I385" s="53">
        <v>0</v>
      </c>
      <c r="J385" s="48" t="str">
        <f t="shared" ref="J385:K389" si="201">IF(C385="","",J381)</f>
        <v>ジャグラーサウンドボタン</v>
      </c>
      <c r="K385" s="37">
        <f t="shared" si="201"/>
        <v>748</v>
      </c>
      <c r="L385" s="22">
        <f t="shared" ref="L385:L412" si="202">IF(G385="","",H385*K385)</f>
        <v>1496</v>
      </c>
      <c r="M385" s="23">
        <f t="shared" ref="M385:M412" si="203">IF(H385="","",L385/(D385*100))</f>
        <v>0.10461538461538461</v>
      </c>
      <c r="N385" s="11"/>
      <c r="O385" s="1"/>
      <c r="P385" s="57">
        <f>IF(A385="","",A385)</f>
        <v>45926</v>
      </c>
      <c r="Q385" s="36">
        <v>1885</v>
      </c>
      <c r="R385" s="36">
        <f t="shared" ref="R385:R412" si="204">IF(Q385="","",Q385-Q381)</f>
        <v>42</v>
      </c>
      <c r="S385" s="36">
        <v>53</v>
      </c>
      <c r="T385" s="22">
        <f t="shared" ref="T385:T392" si="205">IF(S385="","",S385-S381)</f>
        <v>2</v>
      </c>
      <c r="U385" s="36">
        <v>42</v>
      </c>
      <c r="V385" s="36">
        <f t="shared" ref="V385:V392" si="206">IF(U385="","",U381+W381-U385)</f>
        <v>2</v>
      </c>
      <c r="W385" s="53">
        <v>0</v>
      </c>
      <c r="X385" s="14" t="str">
        <f>IF(Q385="","",X381)</f>
        <v>電ブル</v>
      </c>
      <c r="Y385" s="37">
        <f>IF(R385="","",Y381)</f>
        <v>275</v>
      </c>
      <c r="Z385" s="22">
        <f t="shared" ref="Z385:Z412" si="207">IF(U385="","",V385*Y385)</f>
        <v>550</v>
      </c>
      <c r="AA385" s="23">
        <f t="shared" ref="AA385:AA412" si="208">IF(V385="","",Z385/(R385*100))</f>
        <v>0.13095238095238096</v>
      </c>
      <c r="AB385" s="11"/>
    </row>
    <row r="386" spans="1:28" x14ac:dyDescent="0.2">
      <c r="A386" s="58"/>
      <c r="B386" s="83"/>
      <c r="C386" s="9">
        <v>2980</v>
      </c>
      <c r="D386" s="9">
        <f t="shared" si="198"/>
        <v>70</v>
      </c>
      <c r="E386" s="9">
        <v>70</v>
      </c>
      <c r="F386" s="9">
        <f t="shared" si="199"/>
        <v>0</v>
      </c>
      <c r="G386" s="9">
        <v>2</v>
      </c>
      <c r="H386" s="9">
        <f t="shared" si="200"/>
        <v>0</v>
      </c>
      <c r="I386" s="13">
        <v>6</v>
      </c>
      <c r="J386" s="39" t="str">
        <f t="shared" si="201"/>
        <v>ジャグラーサウンドフラッシュボタンDX</v>
      </c>
      <c r="K386" s="37">
        <f t="shared" si="201"/>
        <v>1100</v>
      </c>
      <c r="L386" s="9">
        <f t="shared" si="202"/>
        <v>0</v>
      </c>
      <c r="M386" s="10">
        <f t="shared" si="203"/>
        <v>0</v>
      </c>
      <c r="N386" s="11" t="s">
        <v>113</v>
      </c>
      <c r="O386" s="1"/>
      <c r="P386" s="58"/>
      <c r="Q386" s="9">
        <v>3650</v>
      </c>
      <c r="R386" s="9">
        <f t="shared" si="204"/>
        <v>22</v>
      </c>
      <c r="S386" s="9">
        <v>55</v>
      </c>
      <c r="T386" s="9">
        <f t="shared" si="205"/>
        <v>1</v>
      </c>
      <c r="U386" s="9">
        <v>4</v>
      </c>
      <c r="V386" s="9">
        <f t="shared" si="206"/>
        <v>1</v>
      </c>
      <c r="W386" s="13">
        <v>0</v>
      </c>
      <c r="X386" s="14" t="str">
        <f>IF(Q386="","",X382)</f>
        <v>サンリオファン</v>
      </c>
      <c r="Y386" s="37">
        <f>IF(R386="","",Y382)</f>
        <v>1100</v>
      </c>
      <c r="Z386" s="9">
        <f t="shared" si="207"/>
        <v>1100</v>
      </c>
      <c r="AA386" s="10">
        <f t="shared" si="208"/>
        <v>0.5</v>
      </c>
      <c r="AB386" s="11"/>
    </row>
    <row r="387" spans="1:28" x14ac:dyDescent="0.2">
      <c r="A387" s="58"/>
      <c r="B387" s="83"/>
      <c r="C387" s="9">
        <v>3179</v>
      </c>
      <c r="D387" s="9">
        <f t="shared" si="198"/>
        <v>16</v>
      </c>
      <c r="E387" s="9">
        <v>91</v>
      </c>
      <c r="F387" s="9">
        <f t="shared" si="199"/>
        <v>0</v>
      </c>
      <c r="G387" s="9">
        <v>76</v>
      </c>
      <c r="H387" s="9">
        <f t="shared" si="200"/>
        <v>0</v>
      </c>
      <c r="I387" s="13">
        <v>0</v>
      </c>
      <c r="J387" s="39" t="str">
        <f t="shared" si="201"/>
        <v>ＡＩモンスターラバー</v>
      </c>
      <c r="K387" s="37">
        <f t="shared" si="201"/>
        <v>198</v>
      </c>
      <c r="L387" s="9">
        <f t="shared" si="202"/>
        <v>0</v>
      </c>
      <c r="M387" s="10">
        <f t="shared" si="203"/>
        <v>0</v>
      </c>
      <c r="N387" s="11"/>
      <c r="O387" s="1"/>
      <c r="P387" s="58"/>
      <c r="Q387" s="9">
        <v>1497</v>
      </c>
      <c r="R387" s="9">
        <f t="shared" si="204"/>
        <v>133</v>
      </c>
      <c r="S387" s="9">
        <v>43</v>
      </c>
      <c r="T387" s="9">
        <f t="shared" si="205"/>
        <v>2</v>
      </c>
      <c r="U387" s="9">
        <v>10</v>
      </c>
      <c r="V387" s="9">
        <f t="shared" si="206"/>
        <v>2</v>
      </c>
      <c r="W387" s="13">
        <v>0</v>
      </c>
      <c r="X387" s="14" t="str">
        <f>IF(Q387="","",X383)</f>
        <v>サンリオフェイスポーチ</v>
      </c>
      <c r="Y387" s="37">
        <v>996</v>
      </c>
      <c r="Z387" s="9">
        <f t="shared" si="207"/>
        <v>1992</v>
      </c>
      <c r="AA387" s="10">
        <f t="shared" si="208"/>
        <v>0.14977443609022556</v>
      </c>
      <c r="AB387" s="11"/>
    </row>
    <row r="388" spans="1:28" ht="15" customHeight="1" thickBot="1" x14ac:dyDescent="0.25">
      <c r="A388" s="59"/>
      <c r="B388" s="82"/>
      <c r="C388" s="112">
        <v>1422</v>
      </c>
      <c r="D388" s="43">
        <f t="shared" si="198"/>
        <v>21</v>
      </c>
      <c r="E388" s="43">
        <v>58</v>
      </c>
      <c r="F388" s="18">
        <f t="shared" si="199"/>
        <v>0</v>
      </c>
      <c r="G388" s="18">
        <v>9</v>
      </c>
      <c r="H388" s="18">
        <f t="shared" si="200"/>
        <v>0</v>
      </c>
      <c r="I388" s="31">
        <v>0</v>
      </c>
      <c r="J388" s="40" t="str">
        <f t="shared" si="201"/>
        <v>ＡＩマスコット</v>
      </c>
      <c r="K388" s="43">
        <f t="shared" si="201"/>
        <v>358</v>
      </c>
      <c r="L388" s="18">
        <f t="shared" si="202"/>
        <v>0</v>
      </c>
      <c r="M388" s="19">
        <f t="shared" si="203"/>
        <v>0</v>
      </c>
      <c r="N388" s="11"/>
      <c r="O388" s="1"/>
      <c r="P388" s="59"/>
      <c r="Q388" s="112">
        <v>2062</v>
      </c>
      <c r="R388" s="43">
        <f t="shared" si="204"/>
        <v>16</v>
      </c>
      <c r="S388" s="43">
        <v>32</v>
      </c>
      <c r="T388" s="18">
        <f t="shared" si="205"/>
        <v>0</v>
      </c>
      <c r="U388" s="18">
        <v>8</v>
      </c>
      <c r="V388" s="18">
        <f t="shared" si="206"/>
        <v>0</v>
      </c>
      <c r="W388" s="31"/>
      <c r="X388" s="21" t="str">
        <f>IF(Q388="","",X384)</f>
        <v>AIモンスターマスコット</v>
      </c>
      <c r="Y388" s="43">
        <v>1075</v>
      </c>
      <c r="Z388" s="18">
        <f t="shared" si="207"/>
        <v>0</v>
      </c>
      <c r="AA388" s="19">
        <f t="shared" si="208"/>
        <v>0</v>
      </c>
      <c r="AB388" s="11"/>
    </row>
    <row r="389" spans="1:28" ht="15" customHeight="1" thickTop="1" x14ac:dyDescent="0.2">
      <c r="A389" s="96">
        <v>45929</v>
      </c>
      <c r="B389" s="81">
        <f>SUM(D389:D392)+SUM(R389:R392)</f>
        <v>679</v>
      </c>
      <c r="C389" s="36">
        <v>2964</v>
      </c>
      <c r="D389" s="36">
        <f t="shared" si="198"/>
        <v>144</v>
      </c>
      <c r="E389" s="36">
        <v>59</v>
      </c>
      <c r="F389" s="22">
        <f t="shared" si="199"/>
        <v>2</v>
      </c>
      <c r="G389" s="36">
        <v>9</v>
      </c>
      <c r="H389" s="36">
        <f t="shared" si="200"/>
        <v>2</v>
      </c>
      <c r="I389" s="53">
        <v>4</v>
      </c>
      <c r="J389" s="48" t="str">
        <f t="shared" si="201"/>
        <v>ジャグラーサウンドボタン</v>
      </c>
      <c r="K389" s="49">
        <f t="shared" si="201"/>
        <v>748</v>
      </c>
      <c r="L389" s="22">
        <f t="shared" si="202"/>
        <v>1496</v>
      </c>
      <c r="M389" s="23">
        <f t="shared" si="203"/>
        <v>0.10388888888888889</v>
      </c>
      <c r="N389" s="11"/>
      <c r="O389" s="1"/>
      <c r="P389" s="57">
        <f>IF(A389="","",A389)</f>
        <v>45929</v>
      </c>
      <c r="Q389" s="36">
        <v>1982</v>
      </c>
      <c r="R389" s="36">
        <f t="shared" si="204"/>
        <v>97</v>
      </c>
      <c r="S389" s="36">
        <v>56</v>
      </c>
      <c r="T389" s="22">
        <f t="shared" si="205"/>
        <v>3</v>
      </c>
      <c r="U389" s="36">
        <v>38</v>
      </c>
      <c r="V389" s="36">
        <f t="shared" si="206"/>
        <v>4</v>
      </c>
      <c r="W389" s="53"/>
      <c r="X389" s="48" t="str">
        <f>IF(Q389="","",X385)</f>
        <v>電ブル</v>
      </c>
      <c r="Y389" s="49">
        <f>IF(R389="","",Y385)</f>
        <v>275</v>
      </c>
      <c r="Z389" s="22">
        <f t="shared" si="207"/>
        <v>1100</v>
      </c>
      <c r="AA389" s="23">
        <f t="shared" si="208"/>
        <v>0.1134020618556701</v>
      </c>
      <c r="AB389" s="11"/>
    </row>
    <row r="390" spans="1:28" x14ac:dyDescent="0.2">
      <c r="A390" s="97"/>
      <c r="B390" s="81"/>
      <c r="C390" s="36">
        <v>3030</v>
      </c>
      <c r="D390" s="9">
        <f t="shared" si="198"/>
        <v>50</v>
      </c>
      <c r="E390" s="9">
        <v>74</v>
      </c>
      <c r="F390" s="9">
        <f t="shared" si="199"/>
        <v>4</v>
      </c>
      <c r="G390" s="9">
        <v>4</v>
      </c>
      <c r="H390" s="9">
        <f t="shared" si="200"/>
        <v>4</v>
      </c>
      <c r="I390" s="13">
        <v>4</v>
      </c>
      <c r="J390" s="39" t="s">
        <v>114</v>
      </c>
      <c r="K390" s="37">
        <v>400</v>
      </c>
      <c r="L390" s="9">
        <f t="shared" si="202"/>
        <v>1600</v>
      </c>
      <c r="M390" s="10">
        <f t="shared" si="203"/>
        <v>0.32</v>
      </c>
      <c r="N390" s="11" t="s">
        <v>118</v>
      </c>
      <c r="O390" s="1"/>
      <c r="P390" s="12"/>
      <c r="Q390" s="36">
        <v>3688</v>
      </c>
      <c r="R390" s="108">
        <f t="shared" si="204"/>
        <v>38</v>
      </c>
      <c r="S390" s="9">
        <v>56</v>
      </c>
      <c r="T390" s="9">
        <f t="shared" si="205"/>
        <v>1</v>
      </c>
      <c r="U390" s="9">
        <v>3</v>
      </c>
      <c r="V390" s="9">
        <f t="shared" si="206"/>
        <v>1</v>
      </c>
      <c r="W390" s="13">
        <v>13</v>
      </c>
      <c r="X390" s="39" t="str">
        <f>IF(Q390="","",X386)</f>
        <v>サンリオファン</v>
      </c>
      <c r="Y390" s="37">
        <f>IF(R390="","",Y386)</f>
        <v>1100</v>
      </c>
      <c r="Z390" s="9">
        <f t="shared" si="207"/>
        <v>1100</v>
      </c>
      <c r="AA390" s="10">
        <f t="shared" si="208"/>
        <v>0.28947368421052633</v>
      </c>
      <c r="AB390" s="11" t="s">
        <v>119</v>
      </c>
    </row>
    <row r="391" spans="1:28" x14ac:dyDescent="0.2">
      <c r="A391" s="97"/>
      <c r="B391" s="84"/>
      <c r="C391" s="44">
        <v>3310</v>
      </c>
      <c r="D391" s="9">
        <f t="shared" si="198"/>
        <v>131</v>
      </c>
      <c r="E391" s="9">
        <v>94</v>
      </c>
      <c r="F391" s="9">
        <f t="shared" si="199"/>
        <v>3</v>
      </c>
      <c r="G391" s="9">
        <v>73</v>
      </c>
      <c r="H391" s="9">
        <f t="shared" si="200"/>
        <v>3</v>
      </c>
      <c r="I391" s="13"/>
      <c r="J391" s="39" t="str">
        <f>IF(C391="","",J387)</f>
        <v>ＡＩモンスターラバー</v>
      </c>
      <c r="K391" s="9">
        <f>IF(D391="","",K387)</f>
        <v>198</v>
      </c>
      <c r="L391" s="9">
        <f t="shared" si="202"/>
        <v>594</v>
      </c>
      <c r="M391" s="10">
        <f t="shared" si="203"/>
        <v>4.5343511450381679E-2</v>
      </c>
      <c r="N391" s="11"/>
      <c r="O391" s="1"/>
      <c r="P391" s="12"/>
      <c r="Q391" s="44">
        <v>1556</v>
      </c>
      <c r="R391" s="9">
        <f t="shared" si="204"/>
        <v>59</v>
      </c>
      <c r="S391" s="9">
        <v>45</v>
      </c>
      <c r="T391" s="9">
        <f t="shared" si="205"/>
        <v>2</v>
      </c>
      <c r="U391" s="9">
        <v>8</v>
      </c>
      <c r="V391" s="9">
        <f t="shared" si="206"/>
        <v>2</v>
      </c>
      <c r="W391" s="13"/>
      <c r="X391" s="39" t="s">
        <v>116</v>
      </c>
      <c r="Y391" s="9">
        <f>IF(R391="","",Y387)</f>
        <v>996</v>
      </c>
      <c r="Z391" s="9">
        <f t="shared" si="207"/>
        <v>1992</v>
      </c>
      <c r="AA391" s="10">
        <f t="shared" si="208"/>
        <v>0.3376271186440678</v>
      </c>
      <c r="AB391" s="11"/>
    </row>
    <row r="392" spans="1:28" ht="15" customHeight="1" thickBot="1" x14ac:dyDescent="0.25">
      <c r="A392" s="98"/>
      <c r="B392" s="85"/>
      <c r="C392" s="42">
        <v>1458</v>
      </c>
      <c r="D392" s="117">
        <f t="shared" si="198"/>
        <v>36</v>
      </c>
      <c r="E392" s="18">
        <v>64</v>
      </c>
      <c r="F392" s="18">
        <f t="shared" si="199"/>
        <v>6</v>
      </c>
      <c r="G392" s="18">
        <v>5</v>
      </c>
      <c r="H392" s="18">
        <f t="shared" si="200"/>
        <v>4</v>
      </c>
      <c r="I392" s="31"/>
      <c r="J392" s="40" t="str">
        <f>IF(C392="","",J388)</f>
        <v>ＡＩマスコット</v>
      </c>
      <c r="K392" s="43">
        <f>IF(D392="","",K388)</f>
        <v>358</v>
      </c>
      <c r="L392" s="18">
        <f t="shared" si="202"/>
        <v>1432</v>
      </c>
      <c r="M392" s="19">
        <f t="shared" si="203"/>
        <v>0.39777777777777779</v>
      </c>
      <c r="N392" s="11"/>
      <c r="O392" s="1"/>
      <c r="P392" s="59"/>
      <c r="Q392" s="42">
        <v>2186</v>
      </c>
      <c r="R392" s="43">
        <f t="shared" si="204"/>
        <v>124</v>
      </c>
      <c r="S392" s="18">
        <v>32</v>
      </c>
      <c r="T392" s="18">
        <f t="shared" si="205"/>
        <v>0</v>
      </c>
      <c r="U392" s="18">
        <v>8</v>
      </c>
      <c r="V392" s="18">
        <f t="shared" si="206"/>
        <v>0</v>
      </c>
      <c r="W392" s="31"/>
      <c r="X392" s="40" t="s">
        <v>117</v>
      </c>
      <c r="Y392" s="43">
        <f>IF(R392="","",Y388)</f>
        <v>1075</v>
      </c>
      <c r="Z392" s="18">
        <f t="shared" si="207"/>
        <v>0</v>
      </c>
      <c r="AA392" s="19">
        <f t="shared" si="208"/>
        <v>0</v>
      </c>
      <c r="AB392" s="11"/>
    </row>
    <row r="393" spans="1:28" ht="15" customHeight="1" thickTop="1" x14ac:dyDescent="0.2">
      <c r="A393" s="96">
        <v>45933</v>
      </c>
      <c r="B393" s="81">
        <f>SUM(D393:D396)+SUM(R393:R396)</f>
        <v>591</v>
      </c>
      <c r="C393" s="36">
        <v>3052</v>
      </c>
      <c r="D393" s="36">
        <f t="shared" si="198"/>
        <v>88</v>
      </c>
      <c r="E393" s="36">
        <v>63</v>
      </c>
      <c r="F393" s="22">
        <v>4</v>
      </c>
      <c r="G393" s="36">
        <v>9</v>
      </c>
      <c r="H393" s="36">
        <v>4</v>
      </c>
      <c r="I393" s="53">
        <v>4</v>
      </c>
      <c r="J393" s="48" t="s">
        <v>15</v>
      </c>
      <c r="K393" s="49">
        <v>748</v>
      </c>
      <c r="L393" s="22">
        <f t="shared" si="202"/>
        <v>2992</v>
      </c>
      <c r="M393" s="23">
        <f t="shared" si="203"/>
        <v>0.34</v>
      </c>
      <c r="N393" s="11"/>
      <c r="O393" s="1"/>
      <c r="P393" s="57">
        <f>IF(A393="","",A393)</f>
        <v>45933</v>
      </c>
      <c r="Q393" s="36">
        <v>2073</v>
      </c>
      <c r="R393" s="36">
        <f t="shared" si="204"/>
        <v>91</v>
      </c>
      <c r="S393" s="36">
        <v>69</v>
      </c>
      <c r="T393" s="22">
        <v>13</v>
      </c>
      <c r="U393" s="36">
        <v>32</v>
      </c>
      <c r="V393" s="36">
        <v>6</v>
      </c>
      <c r="W393" s="53">
        <v>0</v>
      </c>
      <c r="X393" s="48" t="s">
        <v>16</v>
      </c>
      <c r="Y393" s="49">
        <v>275</v>
      </c>
      <c r="Z393" s="22">
        <f t="shared" si="207"/>
        <v>1650</v>
      </c>
      <c r="AA393" s="23">
        <f t="shared" si="208"/>
        <v>0.18131868131868131</v>
      </c>
      <c r="AB393" s="11"/>
    </row>
    <row r="394" spans="1:28" x14ac:dyDescent="0.2">
      <c r="A394" s="97"/>
      <c r="B394" s="8"/>
      <c r="C394" s="9">
        <v>3066</v>
      </c>
      <c r="D394" s="108">
        <f t="shared" si="198"/>
        <v>36</v>
      </c>
      <c r="E394" s="9">
        <v>84</v>
      </c>
      <c r="F394" s="9">
        <v>10</v>
      </c>
      <c r="G394" s="9">
        <v>6</v>
      </c>
      <c r="H394" s="9">
        <v>2</v>
      </c>
      <c r="I394" s="13">
        <v>6</v>
      </c>
      <c r="J394" s="39" t="s">
        <v>114</v>
      </c>
      <c r="K394" s="37">
        <v>1100</v>
      </c>
      <c r="L394" s="9">
        <f t="shared" si="202"/>
        <v>2200</v>
      </c>
      <c r="M394" s="135">
        <f t="shared" si="203"/>
        <v>0.61111111111111116</v>
      </c>
      <c r="N394" s="11" t="s">
        <v>120</v>
      </c>
      <c r="O394" s="1"/>
      <c r="P394" s="97"/>
      <c r="Q394" s="9">
        <v>3768</v>
      </c>
      <c r="R394" s="134">
        <f t="shared" si="204"/>
        <v>80</v>
      </c>
      <c r="S394" s="9">
        <v>57</v>
      </c>
      <c r="T394" s="9">
        <v>1</v>
      </c>
      <c r="U394" s="9">
        <v>15</v>
      </c>
      <c r="V394" s="9">
        <v>1</v>
      </c>
      <c r="W394" s="13">
        <v>0</v>
      </c>
      <c r="X394" s="39" t="s">
        <v>115</v>
      </c>
      <c r="Y394" s="37">
        <v>400</v>
      </c>
      <c r="Z394" s="9">
        <f t="shared" si="207"/>
        <v>400</v>
      </c>
      <c r="AA394" s="10">
        <f t="shared" si="208"/>
        <v>0.05</v>
      </c>
      <c r="AB394" s="11"/>
    </row>
    <row r="395" spans="1:28" x14ac:dyDescent="0.2">
      <c r="A395" s="99"/>
      <c r="B395" s="86"/>
      <c r="C395" s="25">
        <v>3365</v>
      </c>
      <c r="D395" s="9">
        <f t="shared" si="198"/>
        <v>55</v>
      </c>
      <c r="E395" s="9">
        <v>95</v>
      </c>
      <c r="F395" s="9">
        <v>1</v>
      </c>
      <c r="G395" s="25">
        <v>72</v>
      </c>
      <c r="H395" s="9">
        <v>1</v>
      </c>
      <c r="I395" s="32">
        <v>0</v>
      </c>
      <c r="J395" s="39" t="s">
        <v>19</v>
      </c>
      <c r="K395" s="9">
        <v>198</v>
      </c>
      <c r="L395" s="9">
        <f t="shared" si="202"/>
        <v>198</v>
      </c>
      <c r="M395" s="10">
        <f t="shared" si="203"/>
        <v>3.5999999999999997E-2</v>
      </c>
      <c r="N395" s="11"/>
      <c r="P395" s="99"/>
      <c r="Q395" s="25">
        <v>1636</v>
      </c>
      <c r="R395" s="9">
        <f t="shared" si="204"/>
        <v>80</v>
      </c>
      <c r="S395" s="9">
        <v>46</v>
      </c>
      <c r="T395" s="9">
        <v>1</v>
      </c>
      <c r="U395" s="25">
        <v>7</v>
      </c>
      <c r="V395" s="9">
        <v>1</v>
      </c>
      <c r="W395" s="32">
        <v>0</v>
      </c>
      <c r="X395" s="39" t="s">
        <v>38</v>
      </c>
      <c r="Y395" s="9">
        <v>600</v>
      </c>
      <c r="Z395" s="9">
        <f t="shared" si="207"/>
        <v>600</v>
      </c>
      <c r="AA395" s="10">
        <f t="shared" si="208"/>
        <v>7.4999999999999997E-2</v>
      </c>
      <c r="AB395" s="11"/>
    </row>
    <row r="396" spans="1:28" ht="15" customHeight="1" thickBot="1" x14ac:dyDescent="0.25">
      <c r="A396" s="100"/>
      <c r="B396" s="87"/>
      <c r="C396" s="18">
        <v>1533</v>
      </c>
      <c r="D396" s="133">
        <f t="shared" si="198"/>
        <v>75</v>
      </c>
      <c r="E396" s="18">
        <v>66</v>
      </c>
      <c r="F396" s="18">
        <v>2</v>
      </c>
      <c r="G396" s="18">
        <v>4</v>
      </c>
      <c r="H396" s="18">
        <v>1</v>
      </c>
      <c r="I396" s="31">
        <v>3</v>
      </c>
      <c r="J396" s="40" t="s">
        <v>31</v>
      </c>
      <c r="K396" s="43">
        <v>220</v>
      </c>
      <c r="L396" s="18">
        <f t="shared" si="202"/>
        <v>220</v>
      </c>
      <c r="M396" s="19">
        <f t="shared" si="203"/>
        <v>2.9333333333333333E-2</v>
      </c>
      <c r="N396" s="11"/>
      <c r="P396" s="100"/>
      <c r="Q396" s="18">
        <v>2272</v>
      </c>
      <c r="R396" s="43">
        <f t="shared" si="204"/>
        <v>86</v>
      </c>
      <c r="S396" s="18">
        <v>34</v>
      </c>
      <c r="T396" s="18">
        <v>2</v>
      </c>
      <c r="U396" s="18">
        <v>7</v>
      </c>
      <c r="V396" s="18">
        <v>1</v>
      </c>
      <c r="W396" s="31">
        <v>0</v>
      </c>
      <c r="X396" s="40" t="str">
        <f>IF(Q396="","",X392)</f>
        <v>デジタルミニカメラ液晶付</v>
      </c>
      <c r="Y396" s="43">
        <v>286</v>
      </c>
      <c r="Z396" s="18">
        <f t="shared" si="207"/>
        <v>286</v>
      </c>
      <c r="AA396" s="19">
        <f t="shared" si="208"/>
        <v>3.3255813953488374E-2</v>
      </c>
      <c r="AB396" s="11"/>
    </row>
    <row r="397" spans="1:28" ht="15" customHeight="1" thickTop="1" x14ac:dyDescent="0.2">
      <c r="A397" s="96">
        <v>45937</v>
      </c>
      <c r="B397" s="81">
        <f>SUM(D397:D400)+SUM(R397:R400)</f>
        <v>770</v>
      </c>
      <c r="C397" s="36">
        <v>3113</v>
      </c>
      <c r="D397" s="36">
        <f t="shared" si="198"/>
        <v>61</v>
      </c>
      <c r="E397" s="36">
        <v>63</v>
      </c>
      <c r="F397" s="22">
        <f t="shared" ref="F397:F436" si="209">IF(E397="","",E397-E393)</f>
        <v>0</v>
      </c>
      <c r="G397" s="36">
        <v>13</v>
      </c>
      <c r="H397" s="36">
        <f t="shared" ref="H397:H431" si="210">IF(G397="","",G393+I393-G397)</f>
        <v>0</v>
      </c>
      <c r="I397" s="53">
        <v>5</v>
      </c>
      <c r="J397" s="48" t="str">
        <f t="shared" ref="J397:J436" si="211">IF(C397="","",J393)</f>
        <v>ジャグラーサウンドボタン</v>
      </c>
      <c r="K397" s="49">
        <f t="shared" ref="K397:K436" si="212">IF(D397="","",K393)</f>
        <v>748</v>
      </c>
      <c r="L397" s="22">
        <f t="shared" si="202"/>
        <v>0</v>
      </c>
      <c r="M397" s="23">
        <f t="shared" si="203"/>
        <v>0</v>
      </c>
      <c r="N397" s="11"/>
      <c r="P397" s="104">
        <f>IF(A397="","",A397)</f>
        <v>45937</v>
      </c>
      <c r="Q397" s="36">
        <v>2172</v>
      </c>
      <c r="R397" s="36">
        <f t="shared" si="204"/>
        <v>99</v>
      </c>
      <c r="S397" s="36">
        <v>72</v>
      </c>
      <c r="T397" s="22">
        <f t="shared" ref="T397:T436" si="213">IF(S397="","",S397-S393)</f>
        <v>3</v>
      </c>
      <c r="U397" s="36">
        <v>29</v>
      </c>
      <c r="V397" s="36">
        <f t="shared" ref="V397:V402" si="214">IF(U397="","",U393+W393-U397)</f>
        <v>3</v>
      </c>
      <c r="W397" s="53">
        <v>16</v>
      </c>
      <c r="X397" s="48" t="str">
        <f>IF(Q397="","",X393)</f>
        <v>電ブル</v>
      </c>
      <c r="Y397" s="49">
        <f>IF(R397="","",Y393)</f>
        <v>275</v>
      </c>
      <c r="Z397" s="22">
        <f t="shared" si="207"/>
        <v>825</v>
      </c>
      <c r="AA397" s="23">
        <f t="shared" si="208"/>
        <v>8.3333333333333329E-2</v>
      </c>
      <c r="AB397" s="11"/>
    </row>
    <row r="398" spans="1:28" x14ac:dyDescent="0.2">
      <c r="A398" s="96"/>
      <c r="B398" s="81"/>
      <c r="C398" s="36">
        <v>3288</v>
      </c>
      <c r="D398" s="9">
        <f t="shared" si="198"/>
        <v>222</v>
      </c>
      <c r="E398" s="9">
        <v>86</v>
      </c>
      <c r="F398" s="9">
        <f t="shared" si="209"/>
        <v>2</v>
      </c>
      <c r="G398" s="9">
        <v>10</v>
      </c>
      <c r="H398" s="9">
        <f t="shared" si="210"/>
        <v>2</v>
      </c>
      <c r="I398" s="13">
        <v>7</v>
      </c>
      <c r="J398" s="39" t="str">
        <f t="shared" si="211"/>
        <v>ラブブマスコット</v>
      </c>
      <c r="K398" s="37">
        <f t="shared" si="212"/>
        <v>1100</v>
      </c>
      <c r="L398" s="9">
        <f t="shared" si="202"/>
        <v>2200</v>
      </c>
      <c r="M398" s="10">
        <f t="shared" si="203"/>
        <v>9.90990990990991E-2</v>
      </c>
      <c r="N398" s="11"/>
      <c r="P398" s="96"/>
      <c r="Q398" s="36">
        <v>3911</v>
      </c>
      <c r="R398" s="9">
        <f t="shared" si="204"/>
        <v>143</v>
      </c>
      <c r="S398" s="9">
        <v>61</v>
      </c>
      <c r="T398" s="9">
        <f t="shared" si="213"/>
        <v>4</v>
      </c>
      <c r="U398" s="9">
        <v>12</v>
      </c>
      <c r="V398" s="9">
        <f t="shared" si="214"/>
        <v>3</v>
      </c>
      <c r="W398" s="13">
        <v>4</v>
      </c>
      <c r="X398" s="39" t="str">
        <f>IF(Q398="","",X394)</f>
        <v>ラブブキーホルダー</v>
      </c>
      <c r="Y398" s="37">
        <f>IF(R398="","",Y394)</f>
        <v>400</v>
      </c>
      <c r="Z398" s="9">
        <f t="shared" si="207"/>
        <v>1200</v>
      </c>
      <c r="AA398" s="10">
        <f t="shared" si="208"/>
        <v>8.3916083916083919E-2</v>
      </c>
      <c r="AB398" s="11"/>
    </row>
    <row r="399" spans="1:28" ht="15" customHeight="1" x14ac:dyDescent="0.2">
      <c r="A399" s="96"/>
      <c r="B399" s="84"/>
      <c r="C399" s="44">
        <v>3420</v>
      </c>
      <c r="D399" s="9">
        <f t="shared" si="198"/>
        <v>55</v>
      </c>
      <c r="E399" s="9">
        <v>95</v>
      </c>
      <c r="F399" s="9">
        <f t="shared" si="209"/>
        <v>0</v>
      </c>
      <c r="G399" s="9">
        <v>72</v>
      </c>
      <c r="H399" s="9">
        <f t="shared" si="210"/>
        <v>0</v>
      </c>
      <c r="I399" s="13">
        <v>12</v>
      </c>
      <c r="J399" s="39" t="str">
        <f t="shared" si="211"/>
        <v>ＡＩモンスターラバー</v>
      </c>
      <c r="K399" s="9">
        <f t="shared" si="212"/>
        <v>198</v>
      </c>
      <c r="L399" s="9">
        <f t="shared" si="202"/>
        <v>0</v>
      </c>
      <c r="M399" s="10">
        <f t="shared" si="203"/>
        <v>0</v>
      </c>
      <c r="N399" s="11"/>
      <c r="P399" s="96"/>
      <c r="Q399" s="44">
        <v>1676</v>
      </c>
      <c r="R399" s="9">
        <f t="shared" si="204"/>
        <v>40</v>
      </c>
      <c r="S399" s="9">
        <v>46</v>
      </c>
      <c r="T399" s="9">
        <f t="shared" si="213"/>
        <v>0</v>
      </c>
      <c r="U399" s="9">
        <v>7</v>
      </c>
      <c r="V399" s="9">
        <f t="shared" si="214"/>
        <v>0</v>
      </c>
      <c r="W399" s="13">
        <v>6</v>
      </c>
      <c r="X399" s="39" t="s">
        <v>116</v>
      </c>
      <c r="Y399" s="9">
        <v>996</v>
      </c>
      <c r="Z399" s="9">
        <f t="shared" si="207"/>
        <v>0</v>
      </c>
      <c r="AA399" s="10">
        <f t="shared" si="208"/>
        <v>0</v>
      </c>
      <c r="AB399" s="11"/>
    </row>
    <row r="400" spans="1:28" ht="15" customHeight="1" thickBot="1" x14ac:dyDescent="0.25">
      <c r="A400" s="100"/>
      <c r="B400" s="87"/>
      <c r="C400" s="42">
        <v>1633</v>
      </c>
      <c r="D400" s="43">
        <f t="shared" si="198"/>
        <v>100</v>
      </c>
      <c r="E400" s="18">
        <v>68</v>
      </c>
      <c r="F400" s="18">
        <f t="shared" si="209"/>
        <v>2</v>
      </c>
      <c r="G400" s="18">
        <v>5</v>
      </c>
      <c r="H400" s="18">
        <f t="shared" si="210"/>
        <v>2</v>
      </c>
      <c r="I400" s="31">
        <v>5</v>
      </c>
      <c r="J400" s="40" t="str">
        <f t="shared" si="211"/>
        <v>AIモンスターマスコット</v>
      </c>
      <c r="K400" s="43">
        <f t="shared" si="212"/>
        <v>220</v>
      </c>
      <c r="L400" s="18">
        <f t="shared" si="202"/>
        <v>440</v>
      </c>
      <c r="M400" s="106">
        <f t="shared" si="203"/>
        <v>4.3999999999999997E-2</v>
      </c>
      <c r="N400" s="11"/>
      <c r="P400" s="100"/>
      <c r="Q400" s="42">
        <v>2322</v>
      </c>
      <c r="R400" s="43">
        <f t="shared" si="204"/>
        <v>50</v>
      </c>
      <c r="S400" s="18">
        <v>34</v>
      </c>
      <c r="T400" s="18">
        <f t="shared" si="213"/>
        <v>0</v>
      </c>
      <c r="U400" s="18">
        <v>7</v>
      </c>
      <c r="V400" s="18">
        <f t="shared" si="214"/>
        <v>0</v>
      </c>
      <c r="W400" s="31">
        <v>1</v>
      </c>
      <c r="X400" s="40" t="str">
        <f t="shared" ref="X400:Y407" si="215">IF(Q400="","",X396)</f>
        <v>デジタルミニカメラ液晶付</v>
      </c>
      <c r="Y400" s="43">
        <f t="shared" si="215"/>
        <v>286</v>
      </c>
      <c r="Z400" s="18">
        <f t="shared" si="207"/>
        <v>0</v>
      </c>
      <c r="AA400" s="19">
        <f t="shared" si="208"/>
        <v>0</v>
      </c>
      <c r="AB400" s="11"/>
    </row>
    <row r="401" spans="1:28" ht="15" customHeight="1" thickTop="1" x14ac:dyDescent="0.2">
      <c r="A401" s="96">
        <v>45940</v>
      </c>
      <c r="B401" s="81">
        <f>SUM(D401:D404)+SUM(R401:R404)</f>
        <v>891</v>
      </c>
      <c r="C401" s="36">
        <v>3201</v>
      </c>
      <c r="D401" s="36">
        <f t="shared" si="198"/>
        <v>88</v>
      </c>
      <c r="E401" s="36">
        <v>68</v>
      </c>
      <c r="F401" s="22">
        <f t="shared" si="209"/>
        <v>5</v>
      </c>
      <c r="G401" s="36">
        <v>14</v>
      </c>
      <c r="H401" s="36">
        <f t="shared" si="210"/>
        <v>4</v>
      </c>
      <c r="I401" s="53">
        <v>6</v>
      </c>
      <c r="J401" s="39" t="str">
        <f t="shared" si="211"/>
        <v>ジャグラーサウンドボタン</v>
      </c>
      <c r="K401" s="37">
        <f t="shared" si="212"/>
        <v>748</v>
      </c>
      <c r="L401" s="22">
        <f t="shared" si="202"/>
        <v>2992</v>
      </c>
      <c r="M401" s="23">
        <f t="shared" si="203"/>
        <v>0.34</v>
      </c>
      <c r="N401" s="11"/>
      <c r="P401" s="104">
        <f>IF(A401="","",A401)</f>
        <v>45940</v>
      </c>
      <c r="Q401" s="36">
        <v>2256</v>
      </c>
      <c r="R401" s="36">
        <f t="shared" si="204"/>
        <v>84</v>
      </c>
      <c r="S401" s="36">
        <v>76</v>
      </c>
      <c r="T401" s="22">
        <f t="shared" si="213"/>
        <v>4</v>
      </c>
      <c r="U401" s="36">
        <v>41</v>
      </c>
      <c r="V401" s="36">
        <f t="shared" si="214"/>
        <v>4</v>
      </c>
      <c r="W401" s="53">
        <v>4</v>
      </c>
      <c r="X401" s="14" t="str">
        <f t="shared" si="215"/>
        <v>電ブル</v>
      </c>
      <c r="Y401" s="37">
        <f t="shared" si="215"/>
        <v>275</v>
      </c>
      <c r="Z401" s="22">
        <f t="shared" si="207"/>
        <v>1100</v>
      </c>
      <c r="AA401" s="23">
        <f t="shared" si="208"/>
        <v>0.13095238095238096</v>
      </c>
      <c r="AB401" s="11"/>
    </row>
    <row r="402" spans="1:28" ht="15" customHeight="1" x14ac:dyDescent="0.2">
      <c r="A402" s="97"/>
      <c r="B402" s="8"/>
      <c r="C402" s="9">
        <v>3542</v>
      </c>
      <c r="D402" s="9">
        <f t="shared" si="198"/>
        <v>254</v>
      </c>
      <c r="E402" s="9">
        <v>89</v>
      </c>
      <c r="F402" s="9">
        <f t="shared" si="209"/>
        <v>3</v>
      </c>
      <c r="G402" s="9">
        <v>14</v>
      </c>
      <c r="H402" s="9">
        <f t="shared" si="210"/>
        <v>3</v>
      </c>
      <c r="I402" s="13">
        <v>5</v>
      </c>
      <c r="J402" s="39" t="str">
        <f t="shared" si="211"/>
        <v>ラブブマスコット</v>
      </c>
      <c r="K402" s="37">
        <f t="shared" si="212"/>
        <v>1100</v>
      </c>
      <c r="L402" s="9">
        <f t="shared" si="202"/>
        <v>3300</v>
      </c>
      <c r="M402" s="10">
        <f t="shared" si="203"/>
        <v>0.12992125984251968</v>
      </c>
      <c r="N402" s="11"/>
      <c r="P402" s="97"/>
      <c r="Q402" s="9">
        <v>4001</v>
      </c>
      <c r="R402" s="9">
        <f t="shared" si="204"/>
        <v>90</v>
      </c>
      <c r="S402" s="9">
        <v>64</v>
      </c>
      <c r="T402" s="9">
        <f t="shared" si="213"/>
        <v>3</v>
      </c>
      <c r="U402" s="9">
        <v>13</v>
      </c>
      <c r="V402" s="9">
        <f t="shared" si="214"/>
        <v>3</v>
      </c>
      <c r="W402" s="13">
        <v>6</v>
      </c>
      <c r="X402" s="14" t="str">
        <f t="shared" si="215"/>
        <v>ラブブキーホルダー</v>
      </c>
      <c r="Y402" s="37">
        <f t="shared" si="215"/>
        <v>400</v>
      </c>
      <c r="Z402" s="9">
        <f t="shared" si="207"/>
        <v>1200</v>
      </c>
      <c r="AA402" s="10">
        <f t="shared" si="208"/>
        <v>0.13333333333333333</v>
      </c>
      <c r="AB402" s="11"/>
    </row>
    <row r="403" spans="1:28" ht="15" customHeight="1" x14ac:dyDescent="0.2">
      <c r="A403" s="97"/>
      <c r="B403" s="86"/>
      <c r="C403" s="25">
        <v>3451</v>
      </c>
      <c r="D403" s="108">
        <f t="shared" si="198"/>
        <v>31</v>
      </c>
      <c r="E403" s="9">
        <v>97</v>
      </c>
      <c r="F403" s="9">
        <f t="shared" si="209"/>
        <v>2</v>
      </c>
      <c r="G403" s="25">
        <v>82</v>
      </c>
      <c r="H403" s="9">
        <f t="shared" si="210"/>
        <v>2</v>
      </c>
      <c r="I403" s="32">
        <v>0</v>
      </c>
      <c r="J403" s="39" t="str">
        <f t="shared" si="211"/>
        <v>ＡＩモンスターラバー</v>
      </c>
      <c r="K403" s="37">
        <f t="shared" si="212"/>
        <v>198</v>
      </c>
      <c r="L403" s="9">
        <f t="shared" si="202"/>
        <v>396</v>
      </c>
      <c r="M403" s="10">
        <f t="shared" si="203"/>
        <v>0.12774193548387097</v>
      </c>
      <c r="N403" s="11"/>
      <c r="P403" s="97"/>
      <c r="Q403" s="25">
        <v>1858</v>
      </c>
      <c r="R403" s="9">
        <f t="shared" si="204"/>
        <v>182</v>
      </c>
      <c r="S403" s="9">
        <v>49</v>
      </c>
      <c r="T403" s="9">
        <f t="shared" si="213"/>
        <v>3</v>
      </c>
      <c r="U403" s="25">
        <v>16</v>
      </c>
      <c r="V403" s="9">
        <v>3</v>
      </c>
      <c r="W403" s="32">
        <v>5</v>
      </c>
      <c r="X403" s="14" t="str">
        <f t="shared" si="215"/>
        <v>キティマスコット</v>
      </c>
      <c r="Y403" s="37">
        <f t="shared" si="215"/>
        <v>996</v>
      </c>
      <c r="Z403" s="9">
        <f t="shared" si="207"/>
        <v>2988</v>
      </c>
      <c r="AA403" s="10">
        <f t="shared" si="208"/>
        <v>0.16417582417582419</v>
      </c>
      <c r="AB403" s="11"/>
    </row>
    <row r="404" spans="1:28" ht="15" customHeight="1" thickBot="1" x14ac:dyDescent="0.25">
      <c r="A404" s="100"/>
      <c r="B404" s="87"/>
      <c r="C404" s="18">
        <v>1697</v>
      </c>
      <c r="D404" s="43">
        <f t="shared" si="198"/>
        <v>64</v>
      </c>
      <c r="E404" s="18">
        <v>69</v>
      </c>
      <c r="F404" s="18">
        <f t="shared" si="209"/>
        <v>1</v>
      </c>
      <c r="G404" s="18">
        <v>9</v>
      </c>
      <c r="H404" s="18">
        <f t="shared" si="210"/>
        <v>1</v>
      </c>
      <c r="I404" s="31">
        <v>2</v>
      </c>
      <c r="J404" s="40" t="str">
        <f t="shared" si="211"/>
        <v>AIモンスターマスコット</v>
      </c>
      <c r="K404" s="43">
        <f t="shared" si="212"/>
        <v>220</v>
      </c>
      <c r="L404" s="18">
        <f t="shared" si="202"/>
        <v>220</v>
      </c>
      <c r="M404" s="19">
        <f t="shared" si="203"/>
        <v>3.4375000000000003E-2</v>
      </c>
      <c r="N404" s="11"/>
      <c r="P404" s="100"/>
      <c r="Q404" s="18">
        <v>2420</v>
      </c>
      <c r="R404" s="43">
        <f t="shared" si="204"/>
        <v>98</v>
      </c>
      <c r="S404" s="18">
        <v>37</v>
      </c>
      <c r="T404" s="18">
        <f t="shared" si="213"/>
        <v>3</v>
      </c>
      <c r="U404" s="18">
        <v>6</v>
      </c>
      <c r="V404" s="18">
        <f t="shared" ref="V404:V412" si="216">IF(U404="","",U400+W400-U404)</f>
        <v>2</v>
      </c>
      <c r="W404" s="31">
        <v>4</v>
      </c>
      <c r="X404" s="40" t="str">
        <f t="shared" si="215"/>
        <v>デジタルミニカメラ液晶付</v>
      </c>
      <c r="Y404" s="43">
        <f t="shared" si="215"/>
        <v>286</v>
      </c>
      <c r="Z404" s="18">
        <f t="shared" si="207"/>
        <v>572</v>
      </c>
      <c r="AA404" s="19">
        <f t="shared" si="208"/>
        <v>5.8367346938775509E-2</v>
      </c>
      <c r="AB404" s="11"/>
    </row>
    <row r="405" spans="1:28" ht="15" customHeight="1" thickTop="1" x14ac:dyDescent="0.2">
      <c r="A405" s="96">
        <v>45944</v>
      </c>
      <c r="B405" s="81">
        <f>SUM(D405:D408)+SUM(R405:R408)</f>
        <v>1062</v>
      </c>
      <c r="C405" s="36">
        <v>3307</v>
      </c>
      <c r="D405" s="36">
        <f t="shared" si="198"/>
        <v>106</v>
      </c>
      <c r="E405" s="36">
        <v>70</v>
      </c>
      <c r="F405" s="22">
        <f t="shared" si="209"/>
        <v>2</v>
      </c>
      <c r="G405" s="36">
        <v>18</v>
      </c>
      <c r="H405" s="36">
        <f t="shared" si="210"/>
        <v>2</v>
      </c>
      <c r="I405" s="53">
        <v>2</v>
      </c>
      <c r="J405" s="48" t="str">
        <f t="shared" si="211"/>
        <v>ジャグラーサウンドボタン</v>
      </c>
      <c r="K405" s="49">
        <f t="shared" si="212"/>
        <v>748</v>
      </c>
      <c r="L405" s="22">
        <f t="shared" si="202"/>
        <v>1496</v>
      </c>
      <c r="M405" s="23">
        <f t="shared" si="203"/>
        <v>0.14113207547169812</v>
      </c>
      <c r="N405" s="11"/>
      <c r="P405" s="104">
        <f>IF(A405="","",A405)</f>
        <v>45944</v>
      </c>
      <c r="Q405" s="36">
        <v>2418</v>
      </c>
      <c r="R405" s="36">
        <f t="shared" si="204"/>
        <v>162</v>
      </c>
      <c r="S405" s="36">
        <v>89</v>
      </c>
      <c r="T405" s="22">
        <f t="shared" si="213"/>
        <v>13</v>
      </c>
      <c r="U405" s="36">
        <v>32</v>
      </c>
      <c r="V405" s="36">
        <f t="shared" si="216"/>
        <v>13</v>
      </c>
      <c r="W405" s="53">
        <v>15</v>
      </c>
      <c r="X405" s="48" t="str">
        <f t="shared" si="215"/>
        <v>電ブル</v>
      </c>
      <c r="Y405" s="49">
        <f t="shared" si="215"/>
        <v>275</v>
      </c>
      <c r="Z405" s="22">
        <f t="shared" si="207"/>
        <v>3575</v>
      </c>
      <c r="AA405" s="23">
        <f t="shared" si="208"/>
        <v>0.22067901234567902</v>
      </c>
      <c r="AB405" s="11"/>
    </row>
    <row r="406" spans="1:28" ht="15" customHeight="1" x14ac:dyDescent="0.2">
      <c r="A406" s="96"/>
      <c r="B406" s="81"/>
      <c r="C406" s="36">
        <v>3727</v>
      </c>
      <c r="D406" s="9">
        <f t="shared" si="198"/>
        <v>185</v>
      </c>
      <c r="E406" s="9">
        <v>93</v>
      </c>
      <c r="F406" s="9">
        <f t="shared" si="209"/>
        <v>4</v>
      </c>
      <c r="G406" s="9">
        <v>17</v>
      </c>
      <c r="H406" s="9">
        <f t="shared" si="210"/>
        <v>2</v>
      </c>
      <c r="I406" s="13">
        <v>2</v>
      </c>
      <c r="J406" s="39" t="str">
        <f t="shared" si="211"/>
        <v>ラブブマスコット</v>
      </c>
      <c r="K406" s="37">
        <f t="shared" si="212"/>
        <v>1100</v>
      </c>
      <c r="L406" s="9">
        <f t="shared" si="202"/>
        <v>2200</v>
      </c>
      <c r="M406" s="10">
        <f t="shared" si="203"/>
        <v>0.11891891891891893</v>
      </c>
      <c r="N406" s="11"/>
      <c r="P406" s="96"/>
      <c r="Q406" s="36">
        <v>4129</v>
      </c>
      <c r="R406" s="9">
        <f t="shared" si="204"/>
        <v>128</v>
      </c>
      <c r="S406" s="9">
        <v>69</v>
      </c>
      <c r="T406" s="9">
        <f t="shared" si="213"/>
        <v>5</v>
      </c>
      <c r="U406" s="9">
        <v>15</v>
      </c>
      <c r="V406" s="9">
        <f t="shared" si="216"/>
        <v>4</v>
      </c>
      <c r="W406" s="13">
        <v>0</v>
      </c>
      <c r="X406" s="39" t="str">
        <f t="shared" si="215"/>
        <v>ラブブキーホルダー</v>
      </c>
      <c r="Y406" s="37">
        <f t="shared" si="215"/>
        <v>400</v>
      </c>
      <c r="Z406" s="9">
        <f t="shared" si="207"/>
        <v>1600</v>
      </c>
      <c r="AA406" s="10">
        <f t="shared" si="208"/>
        <v>0.125</v>
      </c>
      <c r="AB406" s="11"/>
    </row>
    <row r="407" spans="1:28" ht="15" customHeight="1" x14ac:dyDescent="0.2">
      <c r="A407" s="97"/>
      <c r="B407" s="8"/>
      <c r="C407" s="44">
        <v>3594</v>
      </c>
      <c r="D407" s="9">
        <f t="shared" si="198"/>
        <v>143</v>
      </c>
      <c r="E407" s="9">
        <v>98</v>
      </c>
      <c r="F407" s="9">
        <f t="shared" si="209"/>
        <v>1</v>
      </c>
      <c r="G407" s="9">
        <v>81</v>
      </c>
      <c r="H407" s="9">
        <f t="shared" si="210"/>
        <v>1</v>
      </c>
      <c r="I407" s="13">
        <v>0</v>
      </c>
      <c r="J407" s="39" t="str">
        <f t="shared" si="211"/>
        <v>ＡＩモンスターラバー</v>
      </c>
      <c r="K407" s="9">
        <f t="shared" si="212"/>
        <v>198</v>
      </c>
      <c r="L407" s="9">
        <f t="shared" si="202"/>
        <v>198</v>
      </c>
      <c r="M407" s="10">
        <f t="shared" si="203"/>
        <v>1.3846153846153847E-2</v>
      </c>
      <c r="N407" s="11"/>
      <c r="P407" s="97"/>
      <c r="Q407" s="44">
        <v>1970</v>
      </c>
      <c r="R407" s="9">
        <f t="shared" si="204"/>
        <v>112</v>
      </c>
      <c r="S407" s="9">
        <v>51</v>
      </c>
      <c r="T407" s="9">
        <f t="shared" si="213"/>
        <v>2</v>
      </c>
      <c r="U407" s="9">
        <v>19</v>
      </c>
      <c r="V407" s="9">
        <f t="shared" si="216"/>
        <v>2</v>
      </c>
      <c r="W407" s="13">
        <v>3</v>
      </c>
      <c r="X407" s="39" t="str">
        <f t="shared" si="215"/>
        <v>キティマスコット</v>
      </c>
      <c r="Y407" s="9">
        <f t="shared" si="215"/>
        <v>996</v>
      </c>
      <c r="Z407" s="9">
        <f t="shared" si="207"/>
        <v>1992</v>
      </c>
      <c r="AA407" s="10">
        <f t="shared" si="208"/>
        <v>0.17785714285714285</v>
      </c>
      <c r="AB407" s="11"/>
    </row>
    <row r="408" spans="1:28" ht="15" customHeight="1" thickBot="1" x14ac:dyDescent="0.25">
      <c r="A408" s="100"/>
      <c r="B408" s="87"/>
      <c r="C408" s="42">
        <v>1827</v>
      </c>
      <c r="D408" s="43">
        <f t="shared" si="198"/>
        <v>130</v>
      </c>
      <c r="E408" s="18">
        <v>73</v>
      </c>
      <c r="F408" s="18">
        <f t="shared" si="209"/>
        <v>4</v>
      </c>
      <c r="G408" s="18">
        <v>7</v>
      </c>
      <c r="H408" s="18">
        <f t="shared" si="210"/>
        <v>4</v>
      </c>
      <c r="I408" s="31">
        <v>3</v>
      </c>
      <c r="J408" s="40" t="str">
        <f t="shared" si="211"/>
        <v>AIモンスターマスコット</v>
      </c>
      <c r="K408" s="43">
        <f t="shared" si="212"/>
        <v>220</v>
      </c>
      <c r="L408" s="18">
        <f t="shared" si="202"/>
        <v>880</v>
      </c>
      <c r="M408" s="19">
        <f t="shared" si="203"/>
        <v>6.7692307692307691E-2</v>
      </c>
      <c r="N408" s="11"/>
      <c r="P408" s="100"/>
      <c r="Q408" s="42">
        <v>2516</v>
      </c>
      <c r="R408" s="43">
        <f t="shared" si="204"/>
        <v>96</v>
      </c>
      <c r="S408" s="18">
        <v>39</v>
      </c>
      <c r="T408" s="18">
        <f t="shared" si="213"/>
        <v>2</v>
      </c>
      <c r="U408" s="18">
        <v>8</v>
      </c>
      <c r="V408" s="18">
        <f t="shared" si="216"/>
        <v>2</v>
      </c>
      <c r="W408" s="31">
        <v>2</v>
      </c>
      <c r="X408" s="40" t="s">
        <v>38</v>
      </c>
      <c r="Y408" s="43">
        <v>957</v>
      </c>
      <c r="Z408" s="18">
        <f t="shared" si="207"/>
        <v>1914</v>
      </c>
      <c r="AA408" s="19">
        <f t="shared" si="208"/>
        <v>0.199375</v>
      </c>
      <c r="AB408" s="11"/>
    </row>
    <row r="409" spans="1:28" ht="15" customHeight="1" thickTop="1" x14ac:dyDescent="0.2">
      <c r="A409" s="96">
        <v>45947</v>
      </c>
      <c r="B409" s="81">
        <f>SUM(D409:D412)+SUM(R409:R412)</f>
        <v>290</v>
      </c>
      <c r="C409" s="36">
        <v>3326</v>
      </c>
      <c r="D409" s="36">
        <f t="shared" si="198"/>
        <v>19</v>
      </c>
      <c r="E409" s="36">
        <v>70</v>
      </c>
      <c r="F409" s="22">
        <f t="shared" si="209"/>
        <v>0</v>
      </c>
      <c r="G409" s="36">
        <v>5</v>
      </c>
      <c r="H409" s="36">
        <f t="shared" si="210"/>
        <v>15</v>
      </c>
      <c r="I409" s="53">
        <v>5</v>
      </c>
      <c r="J409" s="48" t="str">
        <f t="shared" si="211"/>
        <v>ジャグラーサウンドボタン</v>
      </c>
      <c r="K409" s="49">
        <f t="shared" si="212"/>
        <v>748</v>
      </c>
      <c r="L409" s="22">
        <f t="shared" si="202"/>
        <v>11220</v>
      </c>
      <c r="M409" s="23">
        <f t="shared" si="203"/>
        <v>5.905263157894737</v>
      </c>
      <c r="N409" s="11"/>
      <c r="P409" s="104">
        <f>IF(A409="","",A409)</f>
        <v>45947</v>
      </c>
      <c r="Q409" s="36">
        <v>2490</v>
      </c>
      <c r="R409" s="36">
        <f t="shared" si="204"/>
        <v>72</v>
      </c>
      <c r="S409" s="36">
        <v>90</v>
      </c>
      <c r="T409" s="22">
        <f t="shared" si="213"/>
        <v>1</v>
      </c>
      <c r="U409" s="36">
        <v>46</v>
      </c>
      <c r="V409" s="36">
        <f t="shared" si="216"/>
        <v>1</v>
      </c>
      <c r="W409" s="53">
        <v>0</v>
      </c>
      <c r="X409" s="48" t="str">
        <f t="shared" ref="X409:X436" si="217">IF(Q409="","",X405)</f>
        <v>電ブル</v>
      </c>
      <c r="Y409" s="49">
        <f t="shared" ref="Y409:Y436" si="218">IF(R409="","",Y405)</f>
        <v>275</v>
      </c>
      <c r="Z409" s="22">
        <f t="shared" si="207"/>
        <v>275</v>
      </c>
      <c r="AA409" s="23">
        <f t="shared" si="208"/>
        <v>3.8194444444444448E-2</v>
      </c>
      <c r="AB409" s="11"/>
    </row>
    <row r="410" spans="1:28" ht="15" customHeight="1" x14ac:dyDescent="0.2">
      <c r="A410" s="97"/>
      <c r="B410" s="81"/>
      <c r="C410" s="9">
        <v>3782</v>
      </c>
      <c r="D410" s="9">
        <f t="shared" si="198"/>
        <v>55</v>
      </c>
      <c r="E410" s="9">
        <v>94</v>
      </c>
      <c r="F410" s="9">
        <f t="shared" si="209"/>
        <v>1</v>
      </c>
      <c r="G410" s="9">
        <v>16</v>
      </c>
      <c r="H410" s="9">
        <f t="shared" si="210"/>
        <v>3</v>
      </c>
      <c r="I410" s="13">
        <v>3</v>
      </c>
      <c r="J410" s="39" t="str">
        <f t="shared" si="211"/>
        <v>ラブブマスコット</v>
      </c>
      <c r="K410" s="37">
        <f t="shared" si="212"/>
        <v>1100</v>
      </c>
      <c r="L410" s="9">
        <f t="shared" si="202"/>
        <v>3300</v>
      </c>
      <c r="M410" s="10">
        <f t="shared" si="203"/>
        <v>0.6</v>
      </c>
      <c r="N410" s="11" t="s">
        <v>121</v>
      </c>
      <c r="P410" s="97"/>
      <c r="Q410" s="9">
        <v>4168</v>
      </c>
      <c r="R410" s="9">
        <f t="shared" si="204"/>
        <v>39</v>
      </c>
      <c r="S410" s="9">
        <v>73</v>
      </c>
      <c r="T410" s="9">
        <f t="shared" si="213"/>
        <v>4</v>
      </c>
      <c r="U410" s="9">
        <v>11</v>
      </c>
      <c r="V410" s="108">
        <f t="shared" si="216"/>
        <v>4</v>
      </c>
      <c r="W410" s="13">
        <v>5</v>
      </c>
      <c r="X410" s="39" t="str">
        <f t="shared" si="217"/>
        <v>ラブブキーホルダー</v>
      </c>
      <c r="Y410" s="37">
        <f t="shared" si="218"/>
        <v>400</v>
      </c>
      <c r="Z410" s="9">
        <f t="shared" si="207"/>
        <v>1600</v>
      </c>
      <c r="AA410" s="114">
        <f t="shared" si="208"/>
        <v>0.41025641025641024</v>
      </c>
      <c r="AB410" s="11" t="s">
        <v>122</v>
      </c>
    </row>
    <row r="411" spans="1:28" ht="15" customHeight="1" x14ac:dyDescent="0.2">
      <c r="A411" s="97"/>
      <c r="B411" s="8"/>
      <c r="C411" s="25">
        <v>3602</v>
      </c>
      <c r="D411" s="9">
        <f t="shared" si="198"/>
        <v>8</v>
      </c>
      <c r="E411" s="9">
        <v>98</v>
      </c>
      <c r="F411" s="9">
        <f t="shared" si="209"/>
        <v>0</v>
      </c>
      <c r="G411" s="25">
        <v>81</v>
      </c>
      <c r="H411" s="9">
        <f t="shared" si="210"/>
        <v>0</v>
      </c>
      <c r="I411" s="32">
        <v>6</v>
      </c>
      <c r="J411" s="39" t="str">
        <f t="shared" si="211"/>
        <v>ＡＩモンスターラバー</v>
      </c>
      <c r="K411" s="9">
        <f t="shared" si="212"/>
        <v>198</v>
      </c>
      <c r="L411" s="9">
        <f t="shared" si="202"/>
        <v>0</v>
      </c>
      <c r="M411" s="10">
        <f t="shared" si="203"/>
        <v>0</v>
      </c>
      <c r="N411" s="11"/>
      <c r="P411" s="97"/>
      <c r="Q411" s="25">
        <v>2008</v>
      </c>
      <c r="R411" s="9">
        <f t="shared" si="204"/>
        <v>38</v>
      </c>
      <c r="S411" s="9">
        <v>52</v>
      </c>
      <c r="T411" s="9">
        <f t="shared" si="213"/>
        <v>1</v>
      </c>
      <c r="U411" s="25">
        <v>9</v>
      </c>
      <c r="V411" s="137">
        <f t="shared" si="216"/>
        <v>13</v>
      </c>
      <c r="W411" s="32">
        <v>6</v>
      </c>
      <c r="X411" s="39" t="str">
        <f t="shared" si="217"/>
        <v>キティマスコット</v>
      </c>
      <c r="Y411" s="9">
        <f t="shared" si="218"/>
        <v>996</v>
      </c>
      <c r="Z411" s="9">
        <f t="shared" si="207"/>
        <v>12948</v>
      </c>
      <c r="AA411" s="136">
        <f t="shared" si="208"/>
        <v>3.4073684210526314</v>
      </c>
      <c r="AB411" s="11"/>
    </row>
    <row r="412" spans="1:28" ht="15" customHeight="1" thickBot="1" x14ac:dyDescent="0.25">
      <c r="A412" s="100"/>
      <c r="B412" s="87"/>
      <c r="C412" s="18">
        <v>1856</v>
      </c>
      <c r="D412" s="43">
        <f t="shared" si="198"/>
        <v>29</v>
      </c>
      <c r="E412" s="18">
        <v>74</v>
      </c>
      <c r="F412" s="18">
        <f t="shared" si="209"/>
        <v>1</v>
      </c>
      <c r="G412" s="18">
        <v>3</v>
      </c>
      <c r="H412" s="18">
        <f t="shared" si="210"/>
        <v>7</v>
      </c>
      <c r="I412" s="31">
        <v>6</v>
      </c>
      <c r="J412" s="40" t="str">
        <f t="shared" si="211"/>
        <v>AIモンスターマスコット</v>
      </c>
      <c r="K412" s="43">
        <f t="shared" si="212"/>
        <v>220</v>
      </c>
      <c r="L412" s="18">
        <f t="shared" si="202"/>
        <v>1540</v>
      </c>
      <c r="M412" s="19">
        <f t="shared" si="203"/>
        <v>0.53103448275862064</v>
      </c>
      <c r="N412" s="11"/>
      <c r="P412" s="100"/>
      <c r="Q412" s="18">
        <v>2546</v>
      </c>
      <c r="R412" s="43">
        <f t="shared" si="204"/>
        <v>30</v>
      </c>
      <c r="S412" s="18">
        <v>40</v>
      </c>
      <c r="T412" s="18">
        <f t="shared" si="213"/>
        <v>1</v>
      </c>
      <c r="U412" s="18">
        <v>7</v>
      </c>
      <c r="V412" s="18">
        <f t="shared" si="216"/>
        <v>3</v>
      </c>
      <c r="W412" s="31">
        <v>3</v>
      </c>
      <c r="X412" s="40" t="str">
        <f t="shared" si="217"/>
        <v>サンリオフェイスポーチ</v>
      </c>
      <c r="Y412" s="43">
        <f t="shared" si="218"/>
        <v>957</v>
      </c>
      <c r="Z412" s="18">
        <f t="shared" si="207"/>
        <v>2871</v>
      </c>
      <c r="AA412" s="95">
        <f t="shared" si="208"/>
        <v>0.95699999999999996</v>
      </c>
      <c r="AB412" s="11"/>
    </row>
    <row r="413" spans="1:28" ht="15" customHeight="1" thickTop="1" x14ac:dyDescent="0.2">
      <c r="A413" s="96"/>
      <c r="B413" s="81"/>
      <c r="C413" s="36"/>
      <c r="D413" s="36"/>
      <c r="E413" s="36"/>
      <c r="F413" s="22"/>
      <c r="G413" s="36"/>
      <c r="H413" s="36"/>
      <c r="I413" s="53"/>
      <c r="J413" s="48"/>
      <c r="K413" s="49"/>
      <c r="L413" s="22"/>
      <c r="M413" s="23"/>
      <c r="N413" s="11"/>
      <c r="P413" s="104"/>
      <c r="Q413" s="36"/>
      <c r="R413" s="36"/>
      <c r="S413" s="36"/>
      <c r="T413" s="22"/>
      <c r="U413" s="36"/>
      <c r="V413" s="36"/>
      <c r="W413" s="53"/>
      <c r="X413" s="48"/>
      <c r="Y413" s="49"/>
      <c r="Z413" s="22"/>
      <c r="AA413" s="23"/>
      <c r="AB413" s="11"/>
    </row>
    <row r="414" spans="1:28" ht="15" customHeight="1" x14ac:dyDescent="0.2">
      <c r="A414" s="97"/>
      <c r="B414" s="81"/>
      <c r="C414" s="36"/>
      <c r="D414" s="9"/>
      <c r="E414" s="9"/>
      <c r="F414" s="9"/>
      <c r="G414" s="9"/>
      <c r="H414" s="9"/>
      <c r="I414" s="13"/>
      <c r="J414" s="39"/>
      <c r="K414" s="37"/>
      <c r="L414" s="9"/>
      <c r="M414" s="10"/>
      <c r="N414" s="11"/>
      <c r="P414" s="97"/>
      <c r="Q414" s="36"/>
      <c r="R414" s="9"/>
      <c r="S414" s="9"/>
      <c r="T414" s="9"/>
      <c r="U414" s="9"/>
      <c r="V414" s="9"/>
      <c r="W414" s="13"/>
      <c r="X414" s="39"/>
      <c r="Y414" s="37"/>
      <c r="Z414" s="9"/>
      <c r="AA414" s="10"/>
      <c r="AB414" s="11"/>
    </row>
    <row r="415" spans="1:28" ht="15" customHeight="1" x14ac:dyDescent="0.2">
      <c r="A415" s="99"/>
      <c r="B415" s="8"/>
      <c r="C415" s="44"/>
      <c r="D415" s="9"/>
      <c r="E415" s="9"/>
      <c r="F415" s="9"/>
      <c r="G415" s="9"/>
      <c r="H415" s="9"/>
      <c r="I415" s="13"/>
      <c r="J415" s="39"/>
      <c r="K415" s="9"/>
      <c r="L415" s="9"/>
      <c r="M415" s="10"/>
      <c r="N415" s="11"/>
      <c r="P415" s="97"/>
      <c r="Q415" s="44"/>
      <c r="R415" s="9"/>
      <c r="S415" s="9"/>
      <c r="T415" s="9"/>
      <c r="U415" s="9"/>
      <c r="V415" s="9"/>
      <c r="W415" s="13"/>
      <c r="X415" s="39"/>
      <c r="Y415" s="9"/>
      <c r="Z415" s="9"/>
      <c r="AA415" s="10"/>
      <c r="AB415" s="11"/>
    </row>
    <row r="416" spans="1:28" ht="15" customHeight="1" thickBot="1" x14ac:dyDescent="0.25">
      <c r="A416" s="100"/>
      <c r="B416" s="87"/>
      <c r="C416" s="42"/>
      <c r="D416" s="43"/>
      <c r="E416" s="18"/>
      <c r="F416" s="18"/>
      <c r="G416" s="18"/>
      <c r="H416" s="18"/>
      <c r="I416" s="31"/>
      <c r="J416" s="40"/>
      <c r="K416" s="43"/>
      <c r="L416" s="18"/>
      <c r="M416" s="19"/>
      <c r="N416" s="11"/>
      <c r="P416" s="100"/>
      <c r="Q416" s="42"/>
      <c r="R416" s="43"/>
      <c r="S416" s="18"/>
      <c r="T416" s="18"/>
      <c r="U416" s="18"/>
      <c r="V416" s="18"/>
      <c r="W416" s="31"/>
      <c r="X416" s="40"/>
      <c r="Y416" s="43"/>
      <c r="Z416" s="18"/>
      <c r="AA416" s="19"/>
      <c r="AB416" s="11"/>
    </row>
    <row r="417" spans="1:28" ht="15" customHeight="1" thickTop="1" x14ac:dyDescent="0.2">
      <c r="A417" s="96"/>
      <c r="B417" s="81"/>
      <c r="C417" s="36"/>
      <c r="D417" s="36"/>
      <c r="E417" s="36"/>
      <c r="F417" s="22"/>
      <c r="G417" s="36"/>
      <c r="H417" s="36"/>
      <c r="I417" s="53"/>
      <c r="J417" s="48"/>
      <c r="K417" s="49"/>
      <c r="L417" s="22"/>
      <c r="M417" s="23"/>
      <c r="N417" s="11"/>
      <c r="P417" s="104"/>
      <c r="Q417" s="36"/>
      <c r="R417" s="36"/>
      <c r="S417" s="36"/>
      <c r="T417" s="22"/>
      <c r="U417" s="36"/>
      <c r="V417" s="36"/>
      <c r="W417" s="53"/>
      <c r="X417" s="48"/>
      <c r="Y417" s="49"/>
      <c r="Z417" s="22"/>
      <c r="AA417" s="23"/>
      <c r="AB417" s="11"/>
    </row>
    <row r="418" spans="1:28" ht="15" customHeight="1" x14ac:dyDescent="0.2">
      <c r="A418" s="97"/>
      <c r="B418" s="8"/>
      <c r="C418" s="9"/>
      <c r="D418" s="9"/>
      <c r="E418" s="9"/>
      <c r="F418" s="9"/>
      <c r="G418" s="9"/>
      <c r="H418" s="9"/>
      <c r="I418" s="13"/>
      <c r="J418" s="39"/>
      <c r="K418" s="37"/>
      <c r="L418" s="9"/>
      <c r="M418" s="10"/>
      <c r="N418" s="11"/>
      <c r="P418" s="97"/>
      <c r="Q418" s="9"/>
      <c r="R418" s="9"/>
      <c r="S418" s="9"/>
      <c r="T418" s="9"/>
      <c r="U418" s="9"/>
      <c r="V418" s="9"/>
      <c r="W418" s="13"/>
      <c r="X418" s="39"/>
      <c r="Y418" s="37"/>
      <c r="Z418" s="9"/>
      <c r="AA418" s="10"/>
      <c r="AB418" s="11"/>
    </row>
    <row r="419" spans="1:28" ht="15" customHeight="1" x14ac:dyDescent="0.2">
      <c r="A419" s="97"/>
      <c r="B419" s="8"/>
      <c r="C419" s="25"/>
      <c r="D419" s="9"/>
      <c r="E419" s="9"/>
      <c r="F419" s="9"/>
      <c r="G419" s="25"/>
      <c r="H419" s="9"/>
      <c r="I419" s="32"/>
      <c r="J419" s="39"/>
      <c r="K419" s="9"/>
      <c r="L419" s="9"/>
      <c r="M419" s="10"/>
      <c r="N419" s="11"/>
      <c r="P419" s="97"/>
      <c r="Q419" s="25"/>
      <c r="R419" s="9"/>
      <c r="S419" s="9"/>
      <c r="T419" s="9"/>
      <c r="U419" s="25"/>
      <c r="V419" s="9"/>
      <c r="W419" s="32"/>
      <c r="X419" s="39"/>
      <c r="Y419" s="9"/>
      <c r="Z419" s="9"/>
      <c r="AA419" s="10"/>
      <c r="AB419" s="11"/>
    </row>
    <row r="420" spans="1:28" ht="15" customHeight="1" thickBot="1" x14ac:dyDescent="0.25">
      <c r="A420" s="100"/>
      <c r="B420" s="82"/>
      <c r="C420" s="18"/>
      <c r="D420" s="43"/>
      <c r="E420" s="18"/>
      <c r="F420" s="18"/>
      <c r="G420" s="18"/>
      <c r="H420" s="18"/>
      <c r="I420" s="31"/>
      <c r="J420" s="40"/>
      <c r="K420" s="43"/>
      <c r="L420" s="18"/>
      <c r="M420" s="19"/>
      <c r="N420" s="11"/>
      <c r="P420" s="100"/>
      <c r="Q420" s="18"/>
      <c r="R420" s="43"/>
      <c r="S420" s="18"/>
      <c r="T420" s="18"/>
      <c r="U420" s="18"/>
      <c r="V420" s="18"/>
      <c r="W420" s="31"/>
      <c r="X420" s="40"/>
      <c r="Y420" s="43"/>
      <c r="Z420" s="18"/>
      <c r="AA420" s="19"/>
      <c r="AB420" s="11"/>
    </row>
    <row r="421" spans="1:28" ht="15" customHeight="1" thickTop="1" x14ac:dyDescent="0.2">
      <c r="A421" s="96"/>
      <c r="B421" s="81"/>
      <c r="C421" s="36"/>
      <c r="D421" s="36"/>
      <c r="E421" s="36"/>
      <c r="F421" s="22"/>
      <c r="G421" s="36"/>
      <c r="H421" s="36"/>
      <c r="I421" s="53"/>
      <c r="J421" s="48"/>
      <c r="K421" s="49"/>
      <c r="L421" s="22"/>
      <c r="M421" s="23"/>
      <c r="N421" s="11"/>
      <c r="P421" s="104"/>
      <c r="Q421" s="36"/>
      <c r="R421" s="36"/>
      <c r="S421" s="36"/>
      <c r="T421" s="22"/>
      <c r="U421" s="36"/>
      <c r="V421" s="36"/>
      <c r="W421" s="53"/>
      <c r="X421" s="48"/>
      <c r="Y421" s="49"/>
      <c r="Z421" s="22"/>
      <c r="AA421" s="23"/>
      <c r="AB421" s="11"/>
    </row>
    <row r="422" spans="1:28" ht="15" customHeight="1" x14ac:dyDescent="0.2">
      <c r="A422" s="97"/>
      <c r="B422" s="8"/>
      <c r="C422" s="36"/>
      <c r="D422" s="9" t="str">
        <f t="shared" ref="D422:D436" si="219">IF(C422="","",C422-C418)</f>
        <v/>
      </c>
      <c r="E422" s="9"/>
      <c r="F422" s="9" t="str">
        <f t="shared" si="209"/>
        <v/>
      </c>
      <c r="G422" s="9"/>
      <c r="H422" s="9" t="str">
        <f t="shared" si="210"/>
        <v/>
      </c>
      <c r="I422" s="13"/>
      <c r="J422" s="39" t="str">
        <f t="shared" si="211"/>
        <v/>
      </c>
      <c r="K422" s="37" t="str">
        <f t="shared" si="212"/>
        <v/>
      </c>
      <c r="L422" s="9" t="str">
        <f t="shared" ref="L422:L436" si="220">IF(G422="","",H422*K422)</f>
        <v/>
      </c>
      <c r="M422" s="10" t="str">
        <f t="shared" ref="M422:M436" si="221">IF(H422="","",L422/(D422*100))</f>
        <v/>
      </c>
      <c r="N422" s="11"/>
      <c r="P422" s="97"/>
      <c r="Q422" s="36"/>
      <c r="R422" s="9" t="str">
        <f t="shared" ref="R422:R436" si="222">IF(Q422="","",Q422-Q418)</f>
        <v/>
      </c>
      <c r="S422" s="9"/>
      <c r="T422" s="9" t="str">
        <f t="shared" si="213"/>
        <v/>
      </c>
      <c r="U422" s="9"/>
      <c r="V422" s="9" t="str">
        <f t="shared" ref="V422:V436" si="223">IF(U422="","",U418+W418-U422)</f>
        <v/>
      </c>
      <c r="W422" s="13"/>
      <c r="X422" s="39" t="str">
        <f t="shared" si="217"/>
        <v/>
      </c>
      <c r="Y422" s="37" t="str">
        <f t="shared" si="218"/>
        <v/>
      </c>
      <c r="Z422" s="9" t="str">
        <f t="shared" ref="Z422:Z436" si="224">IF(U422="","",V422*Y422)</f>
        <v/>
      </c>
      <c r="AA422" s="10" t="str">
        <f t="shared" ref="AA422:AA436" si="225">IF(V422="","",Z422/(R422*100))</f>
        <v/>
      </c>
      <c r="AB422" s="11"/>
    </row>
    <row r="423" spans="1:28" ht="15" customHeight="1" x14ac:dyDescent="0.2">
      <c r="A423" s="97"/>
      <c r="B423" s="8"/>
      <c r="C423" s="44"/>
      <c r="D423" s="9" t="str">
        <f t="shared" si="219"/>
        <v/>
      </c>
      <c r="E423" s="9"/>
      <c r="F423" s="9" t="str">
        <f t="shared" si="209"/>
        <v/>
      </c>
      <c r="G423" s="9"/>
      <c r="H423" s="9" t="str">
        <f t="shared" si="210"/>
        <v/>
      </c>
      <c r="I423" s="13"/>
      <c r="J423" s="39" t="str">
        <f t="shared" si="211"/>
        <v/>
      </c>
      <c r="K423" s="9" t="str">
        <f t="shared" si="212"/>
        <v/>
      </c>
      <c r="L423" s="9" t="str">
        <f t="shared" si="220"/>
        <v/>
      </c>
      <c r="M423" s="10" t="str">
        <f t="shared" si="221"/>
        <v/>
      </c>
      <c r="N423" s="11"/>
      <c r="P423" s="97"/>
      <c r="Q423" s="44"/>
      <c r="R423" s="9" t="str">
        <f t="shared" si="222"/>
        <v/>
      </c>
      <c r="S423" s="9"/>
      <c r="T423" s="9" t="str">
        <f t="shared" si="213"/>
        <v/>
      </c>
      <c r="U423" s="9"/>
      <c r="V423" s="9" t="str">
        <f t="shared" si="223"/>
        <v/>
      </c>
      <c r="W423" s="13"/>
      <c r="X423" s="39" t="str">
        <f t="shared" si="217"/>
        <v/>
      </c>
      <c r="Y423" s="9" t="str">
        <f t="shared" si="218"/>
        <v/>
      </c>
      <c r="Z423" s="9" t="str">
        <f t="shared" si="224"/>
        <v/>
      </c>
      <c r="AA423" s="10" t="str">
        <f t="shared" si="225"/>
        <v/>
      </c>
      <c r="AB423" s="11"/>
    </row>
    <row r="424" spans="1:28" ht="15" customHeight="1" thickBot="1" x14ac:dyDescent="0.25">
      <c r="A424" s="100"/>
      <c r="B424" s="82"/>
      <c r="C424" s="42"/>
      <c r="D424" s="43" t="str">
        <f t="shared" si="219"/>
        <v/>
      </c>
      <c r="E424" s="18"/>
      <c r="F424" s="18" t="str">
        <f t="shared" si="209"/>
        <v/>
      </c>
      <c r="G424" s="18"/>
      <c r="H424" s="18" t="str">
        <f t="shared" si="210"/>
        <v/>
      </c>
      <c r="I424" s="31"/>
      <c r="J424" s="40" t="str">
        <f t="shared" si="211"/>
        <v/>
      </c>
      <c r="K424" s="43" t="str">
        <f t="shared" si="212"/>
        <v/>
      </c>
      <c r="L424" s="18" t="str">
        <f t="shared" si="220"/>
        <v/>
      </c>
      <c r="M424" s="19" t="str">
        <f t="shared" si="221"/>
        <v/>
      </c>
      <c r="N424" s="11"/>
      <c r="P424" s="100"/>
      <c r="Q424" s="42"/>
      <c r="R424" s="43" t="str">
        <f t="shared" si="222"/>
        <v/>
      </c>
      <c r="S424" s="18"/>
      <c r="T424" s="18" t="str">
        <f t="shared" si="213"/>
        <v/>
      </c>
      <c r="U424" s="18"/>
      <c r="V424" s="18" t="str">
        <f t="shared" si="223"/>
        <v/>
      </c>
      <c r="W424" s="31"/>
      <c r="X424" s="40" t="str">
        <f t="shared" si="217"/>
        <v/>
      </c>
      <c r="Y424" s="43" t="str">
        <f t="shared" si="218"/>
        <v/>
      </c>
      <c r="Z424" s="18" t="str">
        <f t="shared" si="224"/>
        <v/>
      </c>
      <c r="AA424" s="19" t="str">
        <f t="shared" si="225"/>
        <v/>
      </c>
      <c r="AB424" s="11"/>
    </row>
    <row r="425" spans="1:28" ht="15" customHeight="1" thickTop="1" x14ac:dyDescent="0.2">
      <c r="A425" s="96"/>
      <c r="B425" s="81">
        <f>SUM(D425:D428)+SUM(R425:R428)</f>
        <v>0</v>
      </c>
      <c r="C425" s="36"/>
      <c r="D425" s="36" t="str">
        <f t="shared" si="219"/>
        <v/>
      </c>
      <c r="E425" s="36"/>
      <c r="F425" s="22" t="str">
        <f t="shared" si="209"/>
        <v/>
      </c>
      <c r="G425" s="36"/>
      <c r="H425" s="36" t="str">
        <f t="shared" si="210"/>
        <v/>
      </c>
      <c r="I425" s="13"/>
      <c r="J425" s="48" t="str">
        <f t="shared" si="211"/>
        <v/>
      </c>
      <c r="K425" s="49" t="str">
        <f t="shared" si="212"/>
        <v/>
      </c>
      <c r="L425" s="22" t="str">
        <f t="shared" si="220"/>
        <v/>
      </c>
      <c r="M425" s="23" t="str">
        <f t="shared" si="221"/>
        <v/>
      </c>
      <c r="N425" s="11"/>
      <c r="P425" s="104" t="str">
        <f>IF(A425="","",A425)</f>
        <v/>
      </c>
      <c r="Q425" s="36"/>
      <c r="R425" s="36" t="str">
        <f t="shared" si="222"/>
        <v/>
      </c>
      <c r="S425" s="36"/>
      <c r="T425" s="22" t="str">
        <f t="shared" si="213"/>
        <v/>
      </c>
      <c r="U425" s="36"/>
      <c r="V425" s="36" t="str">
        <f t="shared" si="223"/>
        <v/>
      </c>
      <c r="W425" s="13"/>
      <c r="X425" s="48" t="str">
        <f t="shared" si="217"/>
        <v/>
      </c>
      <c r="Y425" s="49" t="str">
        <f t="shared" si="218"/>
        <v/>
      </c>
      <c r="Z425" s="22" t="str">
        <f t="shared" si="224"/>
        <v/>
      </c>
      <c r="AA425" s="23" t="str">
        <f t="shared" si="225"/>
        <v/>
      </c>
      <c r="AB425" s="11"/>
    </row>
    <row r="426" spans="1:28" ht="15" customHeight="1" x14ac:dyDescent="0.2">
      <c r="A426" s="97"/>
      <c r="B426" s="8"/>
      <c r="C426" s="9"/>
      <c r="D426" s="9" t="str">
        <f t="shared" si="219"/>
        <v/>
      </c>
      <c r="E426" s="9"/>
      <c r="F426" s="9" t="str">
        <f t="shared" si="209"/>
        <v/>
      </c>
      <c r="G426" s="9"/>
      <c r="H426" s="9" t="str">
        <f t="shared" si="210"/>
        <v/>
      </c>
      <c r="I426" s="13"/>
      <c r="J426" s="39" t="str">
        <f t="shared" si="211"/>
        <v/>
      </c>
      <c r="K426" s="37" t="str">
        <f t="shared" si="212"/>
        <v/>
      </c>
      <c r="L426" s="9" t="str">
        <f t="shared" si="220"/>
        <v/>
      </c>
      <c r="M426" s="10" t="str">
        <f t="shared" si="221"/>
        <v/>
      </c>
      <c r="N426" s="11"/>
      <c r="P426" s="97"/>
      <c r="Q426" s="9"/>
      <c r="R426" s="9" t="str">
        <f t="shared" si="222"/>
        <v/>
      </c>
      <c r="S426" s="9"/>
      <c r="T426" s="9" t="str">
        <f t="shared" si="213"/>
        <v/>
      </c>
      <c r="U426" s="9"/>
      <c r="V426" s="9" t="str">
        <f t="shared" si="223"/>
        <v/>
      </c>
      <c r="W426" s="13"/>
      <c r="X426" s="39" t="str">
        <f t="shared" si="217"/>
        <v/>
      </c>
      <c r="Y426" s="37" t="str">
        <f t="shared" si="218"/>
        <v/>
      </c>
      <c r="Z426" s="9" t="str">
        <f t="shared" si="224"/>
        <v/>
      </c>
      <c r="AA426" s="10" t="str">
        <f t="shared" si="225"/>
        <v/>
      </c>
      <c r="AB426" s="11"/>
    </row>
    <row r="427" spans="1:28" ht="15" customHeight="1" x14ac:dyDescent="0.2">
      <c r="A427" s="97"/>
      <c r="B427" s="8"/>
      <c r="C427" s="25"/>
      <c r="D427" s="9" t="str">
        <f t="shared" si="219"/>
        <v/>
      </c>
      <c r="E427" s="9"/>
      <c r="F427" s="9" t="str">
        <f t="shared" si="209"/>
        <v/>
      </c>
      <c r="G427" s="25"/>
      <c r="H427" s="9" t="str">
        <f t="shared" si="210"/>
        <v/>
      </c>
      <c r="I427" s="32"/>
      <c r="J427" s="39" t="str">
        <f t="shared" si="211"/>
        <v/>
      </c>
      <c r="K427" s="9" t="str">
        <f t="shared" si="212"/>
        <v/>
      </c>
      <c r="L427" s="9" t="str">
        <f t="shared" si="220"/>
        <v/>
      </c>
      <c r="M427" s="10" t="str">
        <f t="shared" si="221"/>
        <v/>
      </c>
      <c r="N427" s="11"/>
      <c r="P427" s="12"/>
      <c r="Q427" s="25"/>
      <c r="R427" s="9" t="str">
        <f t="shared" si="222"/>
        <v/>
      </c>
      <c r="S427" s="9"/>
      <c r="T427" s="9" t="str">
        <f t="shared" si="213"/>
        <v/>
      </c>
      <c r="U427" s="25"/>
      <c r="V427" s="9" t="str">
        <f t="shared" si="223"/>
        <v/>
      </c>
      <c r="W427" s="13"/>
      <c r="X427" s="39" t="str">
        <f t="shared" si="217"/>
        <v/>
      </c>
      <c r="Y427" s="9" t="str">
        <f t="shared" si="218"/>
        <v/>
      </c>
      <c r="Z427" s="9" t="str">
        <f t="shared" si="224"/>
        <v/>
      </c>
      <c r="AA427" s="10" t="str">
        <f t="shared" si="225"/>
        <v/>
      </c>
      <c r="AB427" s="11"/>
    </row>
    <row r="428" spans="1:28" ht="15" customHeight="1" thickBot="1" x14ac:dyDescent="0.25">
      <c r="A428" s="100"/>
      <c r="B428" s="87"/>
      <c r="C428" s="18"/>
      <c r="D428" s="43" t="str">
        <f t="shared" si="219"/>
        <v/>
      </c>
      <c r="E428" s="18"/>
      <c r="F428" s="18" t="str">
        <f t="shared" si="209"/>
        <v/>
      </c>
      <c r="G428" s="121"/>
      <c r="H428" s="20" t="str">
        <f t="shared" si="210"/>
        <v/>
      </c>
      <c r="I428" s="122"/>
      <c r="J428" s="123" t="str">
        <f t="shared" si="211"/>
        <v/>
      </c>
      <c r="K428" s="43" t="str">
        <f t="shared" si="212"/>
        <v/>
      </c>
      <c r="L428" s="18" t="str">
        <f t="shared" si="220"/>
        <v/>
      </c>
      <c r="M428" s="19" t="str">
        <f t="shared" si="221"/>
        <v/>
      </c>
      <c r="N428" s="11"/>
      <c r="P428" s="17"/>
      <c r="Q428" s="18"/>
      <c r="R428" s="43" t="str">
        <f t="shared" si="222"/>
        <v/>
      </c>
      <c r="S428" s="18"/>
      <c r="T428" s="18" t="str">
        <f t="shared" si="213"/>
        <v/>
      </c>
      <c r="U428" s="121"/>
      <c r="V428" s="18" t="str">
        <f t="shared" si="223"/>
        <v/>
      </c>
      <c r="W428" s="122"/>
      <c r="X428" s="40" t="str">
        <f t="shared" si="217"/>
        <v/>
      </c>
      <c r="Y428" s="43" t="str">
        <f t="shared" si="218"/>
        <v/>
      </c>
      <c r="Z428" s="18" t="str">
        <f t="shared" si="224"/>
        <v/>
      </c>
      <c r="AA428" s="19" t="str">
        <f t="shared" si="225"/>
        <v/>
      </c>
      <c r="AB428" s="11"/>
    </row>
    <row r="429" spans="1:28" ht="15" customHeight="1" thickTop="1" x14ac:dyDescent="0.2">
      <c r="A429" s="96"/>
      <c r="B429" s="81">
        <f>SUM(D429:D432)+SUM(R429:R432)</f>
        <v>0</v>
      </c>
      <c r="C429" s="36"/>
      <c r="D429" s="36" t="str">
        <f t="shared" si="219"/>
        <v/>
      </c>
      <c r="E429" s="36"/>
      <c r="F429" s="22" t="str">
        <f t="shared" si="209"/>
        <v/>
      </c>
      <c r="G429" s="36"/>
      <c r="H429" s="36" t="str">
        <f t="shared" si="210"/>
        <v/>
      </c>
      <c r="I429" s="36"/>
      <c r="J429" s="48" t="str">
        <f t="shared" si="211"/>
        <v/>
      </c>
      <c r="K429" s="49" t="str">
        <f t="shared" si="212"/>
        <v/>
      </c>
      <c r="L429" s="22" t="str">
        <f t="shared" si="220"/>
        <v/>
      </c>
      <c r="M429" s="23" t="str">
        <f t="shared" si="221"/>
        <v/>
      </c>
      <c r="N429" s="11"/>
      <c r="P429" s="57" t="str">
        <f>IF(A429="","",A429)</f>
        <v/>
      </c>
      <c r="Q429" s="36"/>
      <c r="R429" s="36" t="str">
        <f t="shared" si="222"/>
        <v/>
      </c>
      <c r="S429" s="36"/>
      <c r="T429" s="22" t="str">
        <f t="shared" si="213"/>
        <v/>
      </c>
      <c r="U429" s="36"/>
      <c r="V429" s="36" t="str">
        <f t="shared" si="223"/>
        <v/>
      </c>
      <c r="W429" s="36"/>
      <c r="X429" s="51" t="str">
        <f t="shared" si="217"/>
        <v/>
      </c>
      <c r="Y429" s="49" t="str">
        <f t="shared" si="218"/>
        <v/>
      </c>
      <c r="Z429" s="22" t="str">
        <f t="shared" si="224"/>
        <v/>
      </c>
      <c r="AA429" s="23" t="str">
        <f t="shared" si="225"/>
        <v/>
      </c>
      <c r="AB429" s="11"/>
    </row>
    <row r="430" spans="1:28" ht="15" customHeight="1" x14ac:dyDescent="0.2">
      <c r="A430" s="97"/>
      <c r="B430" s="8"/>
      <c r="C430" s="9"/>
      <c r="D430" s="9" t="str">
        <f t="shared" si="219"/>
        <v/>
      </c>
      <c r="E430" s="9"/>
      <c r="F430" s="9" t="str">
        <f t="shared" si="209"/>
        <v/>
      </c>
      <c r="G430" s="9"/>
      <c r="H430" s="9" t="str">
        <f t="shared" si="210"/>
        <v/>
      </c>
      <c r="I430" s="9"/>
      <c r="J430" s="39" t="str">
        <f t="shared" si="211"/>
        <v/>
      </c>
      <c r="K430" s="37" t="str">
        <f t="shared" si="212"/>
        <v/>
      </c>
      <c r="L430" s="9" t="str">
        <f t="shared" si="220"/>
        <v/>
      </c>
      <c r="M430" s="10" t="str">
        <f t="shared" si="221"/>
        <v/>
      </c>
      <c r="N430" s="11"/>
      <c r="P430" s="12"/>
      <c r="Q430" s="9"/>
      <c r="R430" s="9" t="str">
        <f t="shared" si="222"/>
        <v/>
      </c>
      <c r="S430" s="9"/>
      <c r="T430" s="9" t="str">
        <f t="shared" si="213"/>
        <v/>
      </c>
      <c r="U430" s="9"/>
      <c r="V430" s="9" t="str">
        <f t="shared" si="223"/>
        <v/>
      </c>
      <c r="W430" s="9"/>
      <c r="X430" s="14" t="str">
        <f t="shared" si="217"/>
        <v/>
      </c>
      <c r="Y430" s="37" t="str">
        <f t="shared" si="218"/>
        <v/>
      </c>
      <c r="Z430" s="9" t="str">
        <f t="shared" si="224"/>
        <v/>
      </c>
      <c r="AA430" s="10" t="str">
        <f t="shared" si="225"/>
        <v/>
      </c>
      <c r="AB430" s="11"/>
    </row>
    <row r="431" spans="1:28" ht="15" customHeight="1" x14ac:dyDescent="0.2">
      <c r="A431" s="97"/>
      <c r="B431" s="8"/>
      <c r="C431" s="9"/>
      <c r="D431" s="9" t="str">
        <f t="shared" si="219"/>
        <v/>
      </c>
      <c r="E431" s="9"/>
      <c r="F431" s="9" t="str">
        <f t="shared" si="209"/>
        <v/>
      </c>
      <c r="G431" s="9"/>
      <c r="H431" s="9" t="str">
        <f t="shared" si="210"/>
        <v/>
      </c>
      <c r="I431" s="9"/>
      <c r="J431" s="39" t="str">
        <f t="shared" si="211"/>
        <v/>
      </c>
      <c r="K431" s="9" t="str">
        <f t="shared" si="212"/>
        <v/>
      </c>
      <c r="L431" s="9" t="str">
        <f t="shared" si="220"/>
        <v/>
      </c>
      <c r="M431" s="10" t="str">
        <f t="shared" si="221"/>
        <v/>
      </c>
      <c r="N431" s="11"/>
      <c r="P431" s="12"/>
      <c r="Q431" s="9"/>
      <c r="R431" s="9" t="str">
        <f t="shared" si="222"/>
        <v/>
      </c>
      <c r="S431" s="9"/>
      <c r="T431" s="9" t="str">
        <f t="shared" si="213"/>
        <v/>
      </c>
      <c r="U431" s="9"/>
      <c r="V431" s="9" t="str">
        <f t="shared" si="223"/>
        <v/>
      </c>
      <c r="W431" s="9"/>
      <c r="X431" s="14" t="str">
        <f t="shared" si="217"/>
        <v/>
      </c>
      <c r="Y431" s="9" t="str">
        <f t="shared" si="218"/>
        <v/>
      </c>
      <c r="Z431" s="9" t="str">
        <f t="shared" si="224"/>
        <v/>
      </c>
      <c r="AA431" s="10" t="str">
        <f t="shared" si="225"/>
        <v/>
      </c>
      <c r="AB431" s="11"/>
    </row>
    <row r="432" spans="1:28" ht="15" customHeight="1" thickBot="1" x14ac:dyDescent="0.25">
      <c r="A432" s="100"/>
      <c r="B432" s="87"/>
      <c r="C432" s="18"/>
      <c r="D432" s="18" t="str">
        <f t="shared" si="219"/>
        <v/>
      </c>
      <c r="E432" s="18"/>
      <c r="F432" s="18" t="str">
        <f t="shared" si="209"/>
        <v/>
      </c>
      <c r="G432" s="18"/>
      <c r="H432" s="18"/>
      <c r="I432" s="18"/>
      <c r="J432" s="40" t="str">
        <f t="shared" si="211"/>
        <v/>
      </c>
      <c r="K432" s="43" t="str">
        <f t="shared" si="212"/>
        <v/>
      </c>
      <c r="L432" s="18" t="str">
        <f t="shared" si="220"/>
        <v/>
      </c>
      <c r="M432" s="19" t="str">
        <f t="shared" si="221"/>
        <v/>
      </c>
      <c r="N432" s="11"/>
      <c r="P432" s="17"/>
      <c r="Q432" s="18"/>
      <c r="R432" s="18" t="str">
        <f t="shared" si="222"/>
        <v/>
      </c>
      <c r="S432" s="18"/>
      <c r="T432" s="18" t="str">
        <f t="shared" si="213"/>
        <v/>
      </c>
      <c r="U432" s="18"/>
      <c r="V432" s="18" t="str">
        <f t="shared" si="223"/>
        <v/>
      </c>
      <c r="W432" s="18"/>
      <c r="X432" s="21" t="str">
        <f t="shared" si="217"/>
        <v/>
      </c>
      <c r="Y432" s="43" t="str">
        <f t="shared" si="218"/>
        <v/>
      </c>
      <c r="Z432" s="18" t="str">
        <f t="shared" si="224"/>
        <v/>
      </c>
      <c r="AA432" s="19" t="str">
        <f t="shared" si="225"/>
        <v/>
      </c>
      <c r="AB432" s="11"/>
    </row>
    <row r="433" spans="1:28" ht="15" customHeight="1" thickTop="1" x14ac:dyDescent="0.2">
      <c r="A433" s="96"/>
      <c r="B433" s="81">
        <f>SUM(D433:D436)+SUM(R433:R436)</f>
        <v>0</v>
      </c>
      <c r="C433" s="36"/>
      <c r="D433" s="36" t="str">
        <f t="shared" si="219"/>
        <v/>
      </c>
      <c r="E433" s="36"/>
      <c r="F433" s="36" t="str">
        <f t="shared" si="209"/>
        <v/>
      </c>
      <c r="G433" s="36"/>
      <c r="H433" s="36" t="str">
        <f>IF(G433="","",G429+I429-G433)</f>
        <v/>
      </c>
      <c r="I433" s="36"/>
      <c r="J433" s="48" t="str">
        <f t="shared" si="211"/>
        <v/>
      </c>
      <c r="K433" s="36" t="str">
        <f t="shared" si="212"/>
        <v/>
      </c>
      <c r="L433" s="36" t="str">
        <f t="shared" si="220"/>
        <v/>
      </c>
      <c r="M433" s="36" t="str">
        <f t="shared" si="221"/>
        <v/>
      </c>
      <c r="N433" s="11"/>
      <c r="P433" s="57" t="str">
        <f>IF(A433="","",A433)</f>
        <v/>
      </c>
      <c r="Q433" s="36"/>
      <c r="R433" s="36" t="str">
        <f t="shared" si="222"/>
        <v/>
      </c>
      <c r="S433" s="36"/>
      <c r="T433" s="36" t="str">
        <f t="shared" si="213"/>
        <v/>
      </c>
      <c r="U433" s="36"/>
      <c r="V433" s="36" t="str">
        <f t="shared" si="223"/>
        <v/>
      </c>
      <c r="W433" s="36"/>
      <c r="X433" s="51" t="str">
        <f t="shared" si="217"/>
        <v/>
      </c>
      <c r="Y433" s="36" t="str">
        <f t="shared" si="218"/>
        <v/>
      </c>
      <c r="Z433" s="36" t="str">
        <f t="shared" si="224"/>
        <v/>
      </c>
      <c r="AA433" s="36" t="str">
        <f t="shared" si="225"/>
        <v/>
      </c>
      <c r="AB433" s="11"/>
    </row>
    <row r="434" spans="1:28" ht="15" customHeight="1" x14ac:dyDescent="0.2">
      <c r="A434" s="96"/>
      <c r="B434" s="81"/>
      <c r="C434" s="36"/>
      <c r="D434" s="36" t="str">
        <f t="shared" si="219"/>
        <v/>
      </c>
      <c r="E434" s="36"/>
      <c r="F434" s="36" t="str">
        <f t="shared" si="209"/>
        <v/>
      </c>
      <c r="G434" s="36"/>
      <c r="H434" s="36" t="str">
        <f>IF(G434="","",G430+I430-G434)</f>
        <v/>
      </c>
      <c r="I434" s="36"/>
      <c r="J434" s="48" t="str">
        <f t="shared" si="211"/>
        <v/>
      </c>
      <c r="K434" s="36" t="str">
        <f t="shared" si="212"/>
        <v/>
      </c>
      <c r="L434" s="36" t="str">
        <f t="shared" si="220"/>
        <v/>
      </c>
      <c r="M434" s="36" t="str">
        <f t="shared" si="221"/>
        <v/>
      </c>
      <c r="N434" s="11"/>
      <c r="P434" s="52"/>
      <c r="Q434" s="36"/>
      <c r="R434" s="36" t="str">
        <f t="shared" si="222"/>
        <v/>
      </c>
      <c r="S434" s="36"/>
      <c r="T434" s="36" t="str">
        <f t="shared" si="213"/>
        <v/>
      </c>
      <c r="U434" s="36"/>
      <c r="V434" s="36" t="str">
        <f t="shared" si="223"/>
        <v/>
      </c>
      <c r="W434" s="36"/>
      <c r="X434" s="51" t="str">
        <f t="shared" si="217"/>
        <v/>
      </c>
      <c r="Y434" s="36" t="str">
        <f t="shared" si="218"/>
        <v/>
      </c>
      <c r="Z434" s="36" t="str">
        <f t="shared" si="224"/>
        <v/>
      </c>
      <c r="AA434" s="36" t="str">
        <f t="shared" si="225"/>
        <v/>
      </c>
      <c r="AB434" s="11"/>
    </row>
    <row r="435" spans="1:28" ht="15" customHeight="1" x14ac:dyDescent="0.2">
      <c r="A435" s="4"/>
      <c r="B435" s="84"/>
      <c r="C435" s="44"/>
      <c r="D435" s="44" t="str">
        <f t="shared" si="219"/>
        <v/>
      </c>
      <c r="E435" s="44"/>
      <c r="F435" s="44" t="str">
        <f t="shared" si="209"/>
        <v/>
      </c>
      <c r="G435" s="44"/>
      <c r="H435" s="44" t="str">
        <f>IF(G435="","",G431+I431-G435)</f>
        <v/>
      </c>
      <c r="I435" s="44"/>
      <c r="J435" s="67" t="str">
        <f t="shared" si="211"/>
        <v/>
      </c>
      <c r="K435" s="44" t="str">
        <f t="shared" si="212"/>
        <v/>
      </c>
      <c r="L435" s="44" t="str">
        <f t="shared" si="220"/>
        <v/>
      </c>
      <c r="M435" s="44" t="str">
        <f t="shared" si="221"/>
        <v/>
      </c>
      <c r="N435" s="28"/>
      <c r="P435" s="64"/>
      <c r="Q435" s="44"/>
      <c r="R435" s="44" t="str">
        <f t="shared" si="222"/>
        <v/>
      </c>
      <c r="S435" s="44"/>
      <c r="T435" s="44" t="str">
        <f t="shared" si="213"/>
        <v/>
      </c>
      <c r="U435" s="44"/>
      <c r="V435" s="44" t="str">
        <f t="shared" si="223"/>
        <v/>
      </c>
      <c r="W435" s="44"/>
      <c r="X435" s="65" t="str">
        <f t="shared" si="217"/>
        <v/>
      </c>
      <c r="Y435" s="44" t="str">
        <f t="shared" si="218"/>
        <v/>
      </c>
      <c r="Z435" s="44" t="str">
        <f t="shared" si="224"/>
        <v/>
      </c>
      <c r="AA435" s="44" t="str">
        <f t="shared" si="225"/>
        <v/>
      </c>
      <c r="AB435" s="28"/>
    </row>
    <row r="436" spans="1:28" ht="15" customHeight="1" thickBot="1" x14ac:dyDescent="0.25">
      <c r="A436" s="74"/>
      <c r="B436" s="85"/>
      <c r="C436" s="42"/>
      <c r="D436" s="42" t="str">
        <f t="shared" si="219"/>
        <v/>
      </c>
      <c r="E436" s="42"/>
      <c r="F436" s="42" t="str">
        <f t="shared" si="209"/>
        <v/>
      </c>
      <c r="G436" s="42"/>
      <c r="H436" s="42" t="str">
        <f>IF(G436="","",G432+I432-G436)</f>
        <v/>
      </c>
      <c r="I436" s="42"/>
      <c r="J436" s="66" t="str">
        <f t="shared" si="211"/>
        <v/>
      </c>
      <c r="K436" s="42" t="str">
        <f t="shared" si="212"/>
        <v/>
      </c>
      <c r="L436" s="42" t="str">
        <f t="shared" si="220"/>
        <v/>
      </c>
      <c r="M436" s="42" t="str">
        <f t="shared" si="221"/>
        <v/>
      </c>
      <c r="N436" s="63"/>
      <c r="P436" s="61"/>
      <c r="Q436" s="42"/>
      <c r="R436" s="42" t="str">
        <f t="shared" si="222"/>
        <v/>
      </c>
      <c r="S436" s="42"/>
      <c r="T436" s="42" t="str">
        <f t="shared" si="213"/>
        <v/>
      </c>
      <c r="U436" s="42"/>
      <c r="V436" s="42" t="str">
        <f t="shared" si="223"/>
        <v/>
      </c>
      <c r="W436" s="42"/>
      <c r="X436" s="62" t="str">
        <f t="shared" si="217"/>
        <v/>
      </c>
      <c r="Y436" s="42" t="str">
        <f t="shared" si="218"/>
        <v/>
      </c>
      <c r="Z436" s="42" t="str">
        <f t="shared" si="224"/>
        <v/>
      </c>
      <c r="AA436" s="42" t="str">
        <f t="shared" si="225"/>
        <v/>
      </c>
      <c r="AB436" s="63"/>
    </row>
    <row r="437" spans="1:28" ht="15" customHeight="1" thickTop="1" x14ac:dyDescent="0.2">
      <c r="A437" s="52"/>
      <c r="B437" s="81"/>
      <c r="C437" s="60" t="s">
        <v>40</v>
      </c>
      <c r="D437" s="36">
        <f>SUM(D381:D433)*100</f>
        <v>305300</v>
      </c>
      <c r="E437" s="93" t="s">
        <v>41</v>
      </c>
      <c r="F437" s="36"/>
      <c r="G437" s="60"/>
      <c r="H437" s="36"/>
      <c r="I437" s="36"/>
      <c r="J437" s="209" t="s">
        <v>42</v>
      </c>
      <c r="K437" s="209"/>
      <c r="L437" s="36">
        <f>SUM(L381:L433)</f>
        <v>49606</v>
      </c>
      <c r="M437" s="36"/>
      <c r="N437" s="55"/>
      <c r="P437" s="52"/>
      <c r="Q437" s="60" t="s">
        <v>40</v>
      </c>
      <c r="R437" s="36">
        <f>SUM(R381:R433)*100</f>
        <v>281200</v>
      </c>
      <c r="S437" s="93" t="s">
        <v>41</v>
      </c>
      <c r="T437" s="36"/>
      <c r="U437" s="60"/>
      <c r="V437" s="36"/>
      <c r="W437" s="36"/>
      <c r="X437" s="209" t="s">
        <v>42</v>
      </c>
      <c r="Y437" s="209"/>
      <c r="Z437" s="36">
        <f>SUM(Z381:Z433)</f>
        <v>48791</v>
      </c>
      <c r="AA437" s="36"/>
      <c r="AB437" s="55"/>
    </row>
    <row r="438" spans="1:28" ht="15" customHeight="1" x14ac:dyDescent="0.2">
      <c r="A438" s="24"/>
      <c r="B438" s="86"/>
      <c r="C438" s="5" t="s">
        <v>43</v>
      </c>
      <c r="D438" s="9">
        <f>D437/A442</f>
        <v>10903.571428571429</v>
      </c>
      <c r="E438" s="9">
        <f>D438*A441</f>
        <v>305300</v>
      </c>
      <c r="F438" s="9"/>
      <c r="G438" s="5"/>
      <c r="H438" s="9"/>
      <c r="I438" s="9"/>
      <c r="J438" s="210" t="s">
        <v>44</v>
      </c>
      <c r="K438" s="210"/>
      <c r="L438" s="9"/>
      <c r="M438" s="26">
        <f>L437/D437</f>
        <v>0.16248280379954144</v>
      </c>
      <c r="N438" s="11"/>
      <c r="P438" s="34"/>
      <c r="Q438" s="5" t="s">
        <v>43</v>
      </c>
      <c r="R438" s="9">
        <f>R437/A442</f>
        <v>10042.857142857143</v>
      </c>
      <c r="S438" s="9">
        <f>R438*A441</f>
        <v>281200</v>
      </c>
      <c r="T438" s="9"/>
      <c r="U438" s="5"/>
      <c r="V438" s="9"/>
      <c r="W438" s="9"/>
      <c r="X438" s="210" t="s">
        <v>44</v>
      </c>
      <c r="Y438" s="210"/>
      <c r="Z438" s="9"/>
      <c r="AA438" s="26">
        <f>Z437/R437</f>
        <v>0.17350995732574681</v>
      </c>
      <c r="AB438" s="11"/>
    </row>
    <row r="439" spans="1:28" ht="15" customHeight="1" x14ac:dyDescent="0.2">
      <c r="A439" s="12"/>
      <c r="B439" s="88"/>
      <c r="C439" s="47" t="s">
        <v>45</v>
      </c>
      <c r="D439" s="9">
        <f>D437*0.6</f>
        <v>183180</v>
      </c>
      <c r="E439" s="9"/>
      <c r="F439" s="9"/>
      <c r="G439" s="5"/>
      <c r="H439" s="9"/>
      <c r="I439" s="9"/>
      <c r="J439" s="210" t="s">
        <v>46</v>
      </c>
      <c r="K439" s="210"/>
      <c r="L439" s="9">
        <f>D439-L437</f>
        <v>133574</v>
      </c>
      <c r="M439" s="26">
        <f>L439/D437</f>
        <v>0.43751719620045859</v>
      </c>
      <c r="N439" s="11"/>
      <c r="P439" s="12"/>
      <c r="Q439" s="47" t="s">
        <v>45</v>
      </c>
      <c r="R439" s="9">
        <f>R437*0.6</f>
        <v>168720</v>
      </c>
      <c r="S439" s="9"/>
      <c r="T439" s="9"/>
      <c r="U439" s="5"/>
      <c r="V439" s="9"/>
      <c r="W439" s="9"/>
      <c r="X439" s="210" t="s">
        <v>46</v>
      </c>
      <c r="Y439" s="210"/>
      <c r="Z439" s="9">
        <f>R439-Z437</f>
        <v>119929</v>
      </c>
      <c r="AA439" s="26">
        <f>Z439/R437</f>
        <v>0.42649004267425322</v>
      </c>
      <c r="AB439" s="11"/>
    </row>
    <row r="440" spans="1:28" ht="15" customHeight="1" x14ac:dyDescent="0.2">
      <c r="A440" s="52"/>
      <c r="B440" s="81"/>
      <c r="C440" s="5" t="s">
        <v>47</v>
      </c>
      <c r="D440" s="9">
        <f>D512</f>
        <v>372900</v>
      </c>
      <c r="E440" s="9"/>
      <c r="F440" s="9"/>
      <c r="G440" s="5"/>
      <c r="H440" s="9"/>
      <c r="I440" s="16"/>
      <c r="J440" s="205" t="s">
        <v>48</v>
      </c>
      <c r="K440" s="205"/>
      <c r="L440" s="36">
        <f>(G413+I413)*K413+(G414+I414)*K414+(G415+I415)*K415+(G416+I416)*K416</f>
        <v>0</v>
      </c>
      <c r="M440" s="10"/>
      <c r="N440" s="11"/>
      <c r="P440" s="52"/>
      <c r="Q440" s="5" t="s">
        <v>47</v>
      </c>
      <c r="R440" s="9">
        <f>R512</f>
        <v>254300</v>
      </c>
      <c r="S440" s="9"/>
      <c r="T440" s="9"/>
      <c r="U440" s="5"/>
      <c r="V440" s="9"/>
      <c r="W440" s="16"/>
      <c r="X440" s="205" t="s">
        <v>48</v>
      </c>
      <c r="Y440" s="205"/>
      <c r="Z440" s="36">
        <f>(U413+W413)*Y413+(U414+W414)*Y414+(U415+W415)*Y415+(U416+W416)*Y416</f>
        <v>0</v>
      </c>
      <c r="AA440" s="10"/>
      <c r="AB440" s="11"/>
    </row>
    <row r="441" spans="1:28" ht="15" customHeight="1" x14ac:dyDescent="0.2">
      <c r="A441" s="4">
        <v>28</v>
      </c>
      <c r="B441" s="113">
        <f>SUM(B381:B433)*100</f>
        <v>586500</v>
      </c>
      <c r="C441" s="5"/>
      <c r="D441" s="9"/>
      <c r="E441" s="9"/>
      <c r="F441" s="9"/>
      <c r="G441" s="5"/>
      <c r="H441" s="9"/>
      <c r="I441" s="16"/>
      <c r="J441" s="140"/>
      <c r="K441" s="71"/>
      <c r="L441" s="49"/>
      <c r="M441" s="10"/>
      <c r="N441" s="11"/>
      <c r="P441" s="52"/>
      <c r="Q441" s="5"/>
      <c r="R441" s="9"/>
      <c r="S441" s="9"/>
      <c r="T441" s="9"/>
      <c r="U441" s="5"/>
      <c r="V441" s="9"/>
      <c r="W441" s="16"/>
      <c r="X441" s="70"/>
      <c r="Y441" s="71"/>
      <c r="Z441" s="49"/>
      <c r="AA441" s="10"/>
      <c r="AB441" s="11"/>
    </row>
    <row r="442" spans="1:28" ht="15" customHeight="1" x14ac:dyDescent="0.2">
      <c r="A442" s="69">
        <f>DATEDIF(A$488,A409,"d")</f>
        <v>28</v>
      </c>
      <c r="B442" s="81"/>
      <c r="C442" s="5"/>
      <c r="D442" s="9"/>
      <c r="E442" s="25"/>
      <c r="F442" s="9"/>
      <c r="G442" s="5"/>
      <c r="H442" s="9"/>
      <c r="I442" s="16"/>
      <c r="J442" s="140"/>
      <c r="K442" s="71"/>
      <c r="L442" s="49"/>
      <c r="M442" s="10"/>
      <c r="N442" s="11"/>
      <c r="P442" s="52"/>
      <c r="Q442" s="5"/>
      <c r="R442" s="9"/>
      <c r="S442" s="9"/>
      <c r="T442" s="9"/>
      <c r="U442" s="5"/>
      <c r="V442" s="9"/>
      <c r="W442" s="16"/>
      <c r="X442" s="70"/>
      <c r="Y442" s="71"/>
      <c r="Z442" s="49"/>
      <c r="AA442" s="10"/>
      <c r="AB442" s="11"/>
    </row>
    <row r="443" spans="1:28" x14ac:dyDescent="0.2">
      <c r="A443" s="206" t="s">
        <v>49</v>
      </c>
      <c r="B443" s="206"/>
      <c r="C443" s="206"/>
      <c r="D443" s="27">
        <f>SUM(D381,D385,D389,D393,D397,D401,D405,D409,D413,D417,D421,D425,D429)*100</f>
        <v>75100</v>
      </c>
      <c r="E443" s="37"/>
      <c r="F443" s="9"/>
      <c r="G443" s="5">
        <f>D443/H443</f>
        <v>2346.875</v>
      </c>
      <c r="H443" s="27">
        <f>SUM(H381,H385,H389,H393,H397,H401,H406,H409,H413,H417,H421,H425,H429)</f>
        <v>32</v>
      </c>
      <c r="I443" s="9"/>
      <c r="J443" s="48" t="str">
        <f t="shared" ref="J443:K446" si="226">J381</f>
        <v>ジャグラーサウンドボタン</v>
      </c>
      <c r="K443" s="49">
        <f t="shared" si="226"/>
        <v>748</v>
      </c>
      <c r="L443" s="27">
        <f>SUM(L381,L385,L389,L393,L397,L401,L406,L409,L413,L417,L421,L425,L429)</f>
        <v>24640</v>
      </c>
      <c r="M443" s="26">
        <f>L443/D443</f>
        <v>0.3280958721704394</v>
      </c>
      <c r="N443" s="11"/>
      <c r="O443" s="15"/>
      <c r="P443" s="206" t="s">
        <v>49</v>
      </c>
      <c r="Q443" s="206"/>
      <c r="R443" s="27">
        <f>SUM(R381,R385,R389,R393,R397,R401,R405,R409,R413,R417,R421,R425,R429)*100</f>
        <v>72500</v>
      </c>
      <c r="S443" s="37"/>
      <c r="T443" s="9"/>
      <c r="U443" s="5">
        <f>R443/V443</f>
        <v>2900</v>
      </c>
      <c r="V443" s="27">
        <f>SUM(V381,V385,V389,V393,V397,V401,V406,V409,V413,V417,V421,V425,V429)</f>
        <v>25</v>
      </c>
      <c r="W443" s="9"/>
      <c r="X443" s="48" t="str">
        <f t="shared" ref="X443:Y446" si="227">X381</f>
        <v>電ブル</v>
      </c>
      <c r="Y443" s="49">
        <f t="shared" si="227"/>
        <v>275</v>
      </c>
      <c r="Z443" s="27">
        <f>SUM(Z381,Z385,Z389,Z393,Z397,Z401,Z406,Z409,Z413,Z417,Z421,Z425,Z429)</f>
        <v>7375</v>
      </c>
      <c r="AA443" s="26">
        <f>Z443/R443</f>
        <v>0.10172413793103448</v>
      </c>
      <c r="AB443" s="11"/>
    </row>
    <row r="444" spans="1:28" x14ac:dyDescent="0.2">
      <c r="A444" s="206" t="s">
        <v>49</v>
      </c>
      <c r="B444" s="206"/>
      <c r="C444" s="206"/>
      <c r="D444" s="27">
        <f>SUM(D382,D386,D390,D394,D398,D402,D406,D410,D414,D418,D422,D426,D430)*100</f>
        <v>99700</v>
      </c>
      <c r="E444" s="37"/>
      <c r="F444" s="9"/>
      <c r="G444" s="5">
        <f>D444/H444</f>
        <v>5864.7058823529414</v>
      </c>
      <c r="H444" s="27">
        <f>SUM(H382,H386,H390,H394,H398,H402,H405,H410,H414,H418,H422,H426,H430)</f>
        <v>17</v>
      </c>
      <c r="I444" s="9"/>
      <c r="J444" s="48" t="str">
        <f t="shared" si="226"/>
        <v>ジャグラーサウンドフラッシュボタンDX</v>
      </c>
      <c r="K444" s="49">
        <f t="shared" si="226"/>
        <v>1100</v>
      </c>
      <c r="L444" s="27">
        <f>SUM(L382,L386,L390,L394,L398,L402,L405,L410,L414,L418,L422,L426,L430)</f>
        <v>15196</v>
      </c>
      <c r="M444" s="26">
        <f>L444/D444</f>
        <v>0.1524172517552658</v>
      </c>
      <c r="N444" s="11"/>
      <c r="O444" s="1"/>
      <c r="P444" s="206" t="s">
        <v>49</v>
      </c>
      <c r="Q444" s="206"/>
      <c r="R444" s="27">
        <f>SUM(R382,R386,R390,R394,R398,R402,R406,R410,R414,R418,R422,R426,R430)*100</f>
        <v>80900</v>
      </c>
      <c r="S444" s="37"/>
      <c r="T444" s="9"/>
      <c r="U444" s="5">
        <f>R444/V444</f>
        <v>2889.2857142857142</v>
      </c>
      <c r="V444" s="27">
        <f>SUM(V382,V386,V390,V394,V398,V402,V405,V410,V414,V418,V422,V426,V430)</f>
        <v>28</v>
      </c>
      <c r="W444" s="9"/>
      <c r="X444" s="48" t="str">
        <f t="shared" si="227"/>
        <v>サンリオファン</v>
      </c>
      <c r="Y444" s="49">
        <f t="shared" si="227"/>
        <v>1100</v>
      </c>
      <c r="Z444" s="27">
        <f>SUM(Z382,Z386,Z390,Z394,Z398,Z402,Z405,Z410,Z414,Z418,Z422,Z426,Z430)</f>
        <v>12375</v>
      </c>
      <c r="AA444" s="26">
        <f>Z444/R444</f>
        <v>0.15296662546353523</v>
      </c>
      <c r="AB444" s="11"/>
    </row>
    <row r="445" spans="1:28" x14ac:dyDescent="0.2">
      <c r="A445" s="206" t="s">
        <v>49</v>
      </c>
      <c r="B445" s="206"/>
      <c r="C445" s="206"/>
      <c r="D445" s="27">
        <f>SUM(D383,D387,D391,D395,D399,D403,D407,D411,D415,D419,D423,D427,D431)*100</f>
        <v>77600</v>
      </c>
      <c r="E445" s="37"/>
      <c r="F445" s="9"/>
      <c r="G445" s="5">
        <f>D445/H445</f>
        <v>3695.2380952380954</v>
      </c>
      <c r="H445" s="27">
        <f>SUM(H383,H387,H391,H396,H399,H403,H407,H411,H415,H419,H423,H427,H431)</f>
        <v>21</v>
      </c>
      <c r="I445" s="9"/>
      <c r="J445" s="48" t="str">
        <f t="shared" si="226"/>
        <v>ＡＩモンスターラバー</v>
      </c>
      <c r="K445" s="49">
        <f t="shared" si="226"/>
        <v>198</v>
      </c>
      <c r="L445" s="27">
        <f>SUM(L383,L387,L391,L396,L399,L403,L407,L411,L415,L419,L423,L427,L431)</f>
        <v>4180</v>
      </c>
      <c r="M445" s="26">
        <f>L445/D445</f>
        <v>5.3865979381443302E-2</v>
      </c>
      <c r="N445" s="11"/>
      <c r="O445" s="1"/>
      <c r="P445" s="206" t="s">
        <v>49</v>
      </c>
      <c r="Q445" s="206"/>
      <c r="R445" s="27">
        <f>SUM(R383,R387,R391,R395,R399,R403,R407,R411,R415,R419,R423,R427,R431)*100</f>
        <v>70500</v>
      </c>
      <c r="S445" s="37"/>
      <c r="T445" s="9"/>
      <c r="U445" s="5">
        <f>R445/V445</f>
        <v>2937.5</v>
      </c>
      <c r="V445" s="27">
        <f>SUM(V383,V387,V391,V396,V399,V403,V407,V411,V415,V419,V423,V427,V431)</f>
        <v>24</v>
      </c>
      <c r="W445" s="9"/>
      <c r="X445" s="48" t="str">
        <f t="shared" si="227"/>
        <v>サンリオフェイスポーチ</v>
      </c>
      <c r="Y445" s="49">
        <f t="shared" si="227"/>
        <v>600</v>
      </c>
      <c r="Z445" s="27">
        <f>SUM(Z383,Z387,Z391,Z396,Z399,Z403,Z407,Z411,Z415,Z419,Z423,Z427,Z431)</f>
        <v>22798</v>
      </c>
      <c r="AA445" s="26">
        <f>Z445/R445</f>
        <v>0.32337588652482269</v>
      </c>
      <c r="AB445" s="11"/>
    </row>
    <row r="446" spans="1:28" x14ac:dyDescent="0.2">
      <c r="A446" s="206" t="s">
        <v>49</v>
      </c>
      <c r="B446" s="206"/>
      <c r="C446" s="206"/>
      <c r="D446" s="27">
        <f>SUM(D384,D388,D392,D396,D400,D404,D408,D412,D416,D420,D424,D428,D432)*100</f>
        <v>52900</v>
      </c>
      <c r="E446" s="37"/>
      <c r="F446" s="9"/>
      <c r="G446" s="5">
        <f>D446/H446</f>
        <v>2300</v>
      </c>
      <c r="H446" s="27">
        <f>SUM(H384,H388,H392,H395,H400,H404,H408,H412,H416,H420,H424,H428,H432)</f>
        <v>23</v>
      </c>
      <c r="I446" s="9"/>
      <c r="J446" s="48" t="str">
        <f t="shared" si="226"/>
        <v>ＡＩマスコット</v>
      </c>
      <c r="K446" s="49">
        <f t="shared" si="226"/>
        <v>358</v>
      </c>
      <c r="L446" s="27">
        <f>SUM(L384,L388,L392,L395,L400,L404,L408,L412,L416,L420,L424,L428,L432)</f>
        <v>5590</v>
      </c>
      <c r="M446" s="26">
        <f>L446/D446</f>
        <v>0.1056710775047259</v>
      </c>
      <c r="N446" s="11"/>
      <c r="O446" s="1"/>
      <c r="P446" s="206" t="s">
        <v>49</v>
      </c>
      <c r="Q446" s="206"/>
      <c r="R446" s="27">
        <f>SUM(R384,R388,R392,R396,R400,R404,R408,R412,R416,R420,R424,R428,R432)*100</f>
        <v>57300</v>
      </c>
      <c r="S446" s="37"/>
      <c r="T446" s="9"/>
      <c r="U446" s="5">
        <f>R446/V446</f>
        <v>6366.666666666667</v>
      </c>
      <c r="V446" s="27">
        <f>SUM(V384,V388,V392,V395,V400,V404,V408,V412,V416,V420,V424,V428,V432)</f>
        <v>9</v>
      </c>
      <c r="W446" s="9"/>
      <c r="X446" s="48" t="str">
        <f t="shared" si="227"/>
        <v>AIモンスターマスコット</v>
      </c>
      <c r="Y446" s="49">
        <f t="shared" si="227"/>
        <v>286</v>
      </c>
      <c r="Z446" s="27">
        <f>SUM(Z384,Z388,Z392,Z395,Z400,Z404,Z408,Z412,Z416,Z420,Z424,Z428,Z432)</f>
        <v>6243</v>
      </c>
      <c r="AA446" s="26">
        <f>Z446/R446</f>
        <v>0.10895287958115184</v>
      </c>
      <c r="AB446" s="11"/>
    </row>
    <row r="447" spans="1:28" x14ac:dyDescent="0.2">
      <c r="A447" s="12"/>
      <c r="B447" s="8"/>
      <c r="C447" s="5" t="s">
        <v>40</v>
      </c>
      <c r="D447" s="9">
        <f>SUM(D443:D446)</f>
        <v>305300</v>
      </c>
      <c r="E447" s="37"/>
      <c r="F447" s="9"/>
      <c r="G447" s="9"/>
      <c r="H447" s="9">
        <f>SUM(H443:H446)</f>
        <v>93</v>
      </c>
      <c r="I447" s="9"/>
      <c r="J447" s="196" t="s">
        <v>50</v>
      </c>
      <c r="K447" s="196"/>
      <c r="L447" s="36">
        <f>SUM(L443:L446)</f>
        <v>49606</v>
      </c>
      <c r="M447" s="54">
        <f>L447/D447</f>
        <v>0.16248280379954144</v>
      </c>
      <c r="N447" s="55"/>
      <c r="O447" s="1"/>
      <c r="P447" s="12"/>
      <c r="Q447" s="5" t="s">
        <v>40</v>
      </c>
      <c r="R447" s="9">
        <f>SUM(R443:R446)</f>
        <v>281200</v>
      </c>
      <c r="S447" s="37"/>
      <c r="T447" s="9"/>
      <c r="U447" s="9"/>
      <c r="V447" s="9">
        <f>SUM(V443:V446)</f>
        <v>86</v>
      </c>
      <c r="W447" s="9"/>
      <c r="X447" s="196" t="s">
        <v>50</v>
      </c>
      <c r="Y447" s="196"/>
      <c r="Z447" s="36">
        <f>SUM(Z443:Z446)</f>
        <v>48791</v>
      </c>
      <c r="AA447" s="54">
        <f>Z447/R447</f>
        <v>0.17350995732574681</v>
      </c>
      <c r="AB447" s="11"/>
    </row>
    <row r="448" spans="1:28" x14ac:dyDescent="0.2">
      <c r="A448" s="30"/>
      <c r="B448" s="29"/>
      <c r="C448" s="2"/>
      <c r="D448" s="2"/>
      <c r="E448" s="2"/>
      <c r="F448" s="2"/>
      <c r="G448" s="2"/>
      <c r="H448" s="2"/>
      <c r="I448" s="2"/>
      <c r="J448" s="46"/>
      <c r="K448" s="2"/>
      <c r="L448" s="2"/>
      <c r="M448" s="2"/>
      <c r="N448" s="35"/>
      <c r="O448" s="1"/>
      <c r="P448" s="30"/>
      <c r="Q448" s="2"/>
      <c r="R448" s="2"/>
      <c r="S448" s="2"/>
      <c r="T448" s="2"/>
      <c r="U448" s="2"/>
      <c r="V448" s="2"/>
      <c r="W448" s="2"/>
      <c r="X448" s="46"/>
      <c r="Y448" s="2"/>
      <c r="Z448" s="2"/>
      <c r="AA448" s="2"/>
      <c r="AB448" s="35"/>
    </row>
    <row r="449" spans="1:28" ht="15" customHeight="1" x14ac:dyDescent="0.2">
      <c r="B449" s="215" t="s">
        <v>51</v>
      </c>
      <c r="C449" s="215"/>
      <c r="D449" s="216" t="s">
        <v>52</v>
      </c>
      <c r="E449" s="216"/>
      <c r="F449" s="216" t="s">
        <v>53</v>
      </c>
      <c r="G449" s="216"/>
      <c r="H449" s="56"/>
      <c r="I449" s="56"/>
      <c r="J449" s="145" t="s">
        <v>54</v>
      </c>
      <c r="K449" s="217" t="s">
        <v>55</v>
      </c>
      <c r="L449" s="218"/>
      <c r="M449" s="219" t="s">
        <v>56</v>
      </c>
      <c r="N449" s="220"/>
    </row>
    <row r="450" spans="1:28" x14ac:dyDescent="0.2">
      <c r="B450" s="211">
        <f>E438+S438</f>
        <v>586500</v>
      </c>
      <c r="C450" s="211"/>
      <c r="D450" s="212">
        <f>L437+Z437</f>
        <v>98397</v>
      </c>
      <c r="E450" s="212"/>
      <c r="F450" s="212">
        <f>L440+Z440</f>
        <v>0</v>
      </c>
      <c r="G450" s="212"/>
      <c r="H450" s="56"/>
      <c r="I450" s="56"/>
      <c r="J450" s="144" t="e">
        <f>B441+#REF!+#REF!</f>
        <v>#REF!</v>
      </c>
      <c r="K450" s="213" t="e">
        <f>D450+#REF!+#REF!</f>
        <v>#REF!</v>
      </c>
      <c r="L450" s="213"/>
      <c r="M450" s="213" t="e">
        <f>F450+#REF!+#REF!</f>
        <v>#REF!</v>
      </c>
      <c r="N450" s="214"/>
    </row>
    <row r="451" spans="1:28" x14ac:dyDescent="0.2">
      <c r="B451" s="68"/>
      <c r="C451" s="68"/>
      <c r="D451" s="126" t="s">
        <v>57</v>
      </c>
      <c r="E451" s="72">
        <f>D450/B441</f>
        <v>0.16776982097186702</v>
      </c>
      <c r="F451" s="9"/>
      <c r="G451" s="9"/>
      <c r="H451" s="56"/>
      <c r="J451" s="146" t="s">
        <v>58</v>
      </c>
      <c r="K451" s="128" t="s">
        <v>57</v>
      </c>
      <c r="L451" s="129" t="e">
        <f>K450/J450</f>
        <v>#REF!</v>
      </c>
    </row>
    <row r="452" spans="1:28" x14ac:dyDescent="0.2">
      <c r="B452"/>
      <c r="D452" s="124"/>
      <c r="E452" s="132"/>
      <c r="F452" s="1"/>
      <c r="G452" s="1"/>
      <c r="H452" s="56"/>
      <c r="J452" s="147" t="e">
        <f>B450+#REF!+#REF!</f>
        <v>#REF!</v>
      </c>
      <c r="K452"/>
    </row>
    <row r="453" spans="1:28" x14ac:dyDescent="0.2">
      <c r="E453" s="124"/>
      <c r="F453" s="132"/>
      <c r="G453" s="1"/>
      <c r="H453" s="1"/>
      <c r="K453"/>
    </row>
    <row r="454" spans="1:28" x14ac:dyDescent="0.2">
      <c r="A454" s="207" t="s">
        <v>0</v>
      </c>
      <c r="B454" s="207"/>
      <c r="C454" s="207"/>
      <c r="D454" s="207"/>
      <c r="E454" s="221" t="s">
        <v>1</v>
      </c>
      <c r="F454" s="221"/>
      <c r="G454" s="75"/>
      <c r="H454" s="75"/>
      <c r="I454" s="75"/>
      <c r="J454" s="78"/>
      <c r="K454" s="75"/>
      <c r="L454" s="75"/>
      <c r="M454" s="75"/>
      <c r="N454" s="76"/>
      <c r="O454" s="77"/>
      <c r="P454" s="207" t="s">
        <v>0</v>
      </c>
      <c r="Q454" s="207"/>
      <c r="R454" s="207"/>
      <c r="S454" s="221" t="s">
        <v>2</v>
      </c>
      <c r="T454" s="221"/>
      <c r="U454" s="75"/>
      <c r="V454" s="75"/>
      <c r="W454" s="75"/>
      <c r="X454" s="78"/>
      <c r="Y454" s="75"/>
      <c r="Z454" s="75"/>
      <c r="AA454" s="75"/>
      <c r="AB454" s="76"/>
    </row>
    <row r="455" spans="1:28" x14ac:dyDescent="0.2">
      <c r="A455" s="7" t="s">
        <v>3</v>
      </c>
      <c r="B455" s="80" t="s">
        <v>4</v>
      </c>
      <c r="C455" s="5" t="s">
        <v>5</v>
      </c>
      <c r="D455" s="5" t="s">
        <v>6</v>
      </c>
      <c r="E455" s="6" t="s">
        <v>7</v>
      </c>
      <c r="F455" s="5" t="s">
        <v>6</v>
      </c>
      <c r="G455" s="5" t="s">
        <v>8</v>
      </c>
      <c r="H455" s="5" t="s">
        <v>9</v>
      </c>
      <c r="I455" s="5" t="s">
        <v>10</v>
      </c>
      <c r="J455" s="38" t="s">
        <v>11</v>
      </c>
      <c r="K455" s="5" t="s">
        <v>12</v>
      </c>
      <c r="L455" s="5" t="s">
        <v>9</v>
      </c>
      <c r="M455" s="5" t="s">
        <v>13</v>
      </c>
      <c r="N455" s="5" t="s">
        <v>14</v>
      </c>
      <c r="O455" s="3"/>
      <c r="P455" s="7" t="s">
        <v>3</v>
      </c>
      <c r="Q455" s="5" t="s">
        <v>5</v>
      </c>
      <c r="R455" s="5" t="s">
        <v>6</v>
      </c>
      <c r="S455" s="6" t="s">
        <v>7</v>
      </c>
      <c r="T455" s="5" t="s">
        <v>6</v>
      </c>
      <c r="U455" s="5" t="s">
        <v>8</v>
      </c>
      <c r="V455" s="5" t="s">
        <v>9</v>
      </c>
      <c r="W455" s="5" t="s">
        <v>10</v>
      </c>
      <c r="X455" s="38" t="s">
        <v>11</v>
      </c>
      <c r="Y455" s="5" t="s">
        <v>12</v>
      </c>
      <c r="Z455" s="5" t="s">
        <v>9</v>
      </c>
      <c r="AA455" s="5" t="s">
        <v>13</v>
      </c>
      <c r="AB455" s="5" t="s">
        <v>14</v>
      </c>
    </row>
    <row r="456" spans="1:28" x14ac:dyDescent="0.2">
      <c r="A456" s="12">
        <v>45891</v>
      </c>
      <c r="B456" s="81">
        <v>978</v>
      </c>
      <c r="C456" s="36">
        <v>1784</v>
      </c>
      <c r="D456" s="36">
        <v>102</v>
      </c>
      <c r="E456" s="36">
        <v>31</v>
      </c>
      <c r="F456" s="36">
        <v>4</v>
      </c>
      <c r="G456" s="36">
        <v>14</v>
      </c>
      <c r="H456" s="36">
        <v>2</v>
      </c>
      <c r="I456" s="36">
        <v>0</v>
      </c>
      <c r="J456" s="89" t="s">
        <v>15</v>
      </c>
      <c r="K456" s="49">
        <v>748</v>
      </c>
      <c r="L456" s="36">
        <v>1496</v>
      </c>
      <c r="M456" s="50">
        <v>0.14666666666666667</v>
      </c>
      <c r="N456" s="11"/>
      <c r="O456" s="1"/>
      <c r="P456" s="12">
        <v>45891</v>
      </c>
      <c r="Q456" s="36">
        <v>1295</v>
      </c>
      <c r="R456" s="36">
        <v>85</v>
      </c>
      <c r="S456" s="36">
        <v>37</v>
      </c>
      <c r="T456" s="36">
        <v>2</v>
      </c>
      <c r="U456" s="36">
        <v>23</v>
      </c>
      <c r="V456" s="36">
        <v>3</v>
      </c>
      <c r="W456" s="36">
        <v>0</v>
      </c>
      <c r="X456" s="89" t="s">
        <v>16</v>
      </c>
      <c r="Y456" s="49">
        <v>275</v>
      </c>
      <c r="Z456" s="36">
        <v>825</v>
      </c>
      <c r="AA456" s="50">
        <v>9.7058823529411767E-2</v>
      </c>
      <c r="AB456" s="11"/>
    </row>
    <row r="457" spans="1:28" x14ac:dyDescent="0.2">
      <c r="A457" s="79"/>
      <c r="B457" s="8"/>
      <c r="C457" s="36">
        <v>1785</v>
      </c>
      <c r="D457" s="9">
        <v>162</v>
      </c>
      <c r="E457" s="36">
        <v>50</v>
      </c>
      <c r="F457" s="9">
        <v>2</v>
      </c>
      <c r="G457" s="9">
        <v>7</v>
      </c>
      <c r="H457" s="9">
        <v>2</v>
      </c>
      <c r="I457" s="9">
        <v>0</v>
      </c>
      <c r="J457" s="89" t="s">
        <v>17</v>
      </c>
      <c r="K457" s="36">
        <v>1100</v>
      </c>
      <c r="L457" s="9">
        <f>IF(G457="","",H457*K457)</f>
        <v>2200</v>
      </c>
      <c r="M457" s="10">
        <f>IF(H457="","",L457/(D457*100))</f>
        <v>0.13580246913580246</v>
      </c>
      <c r="N457" s="11"/>
      <c r="O457" s="1"/>
      <c r="P457" s="12"/>
      <c r="Q457" s="36">
        <v>2452</v>
      </c>
      <c r="R457" s="9">
        <v>111</v>
      </c>
      <c r="S457" s="36">
        <v>41</v>
      </c>
      <c r="T457" s="9">
        <v>4</v>
      </c>
      <c r="U457" s="9">
        <v>9</v>
      </c>
      <c r="V457" s="9">
        <v>3</v>
      </c>
      <c r="W457" s="9">
        <v>0</v>
      </c>
      <c r="X457" s="90" t="s">
        <v>18</v>
      </c>
      <c r="Y457" s="37">
        <v>1100</v>
      </c>
      <c r="Z457" s="9">
        <v>3300</v>
      </c>
      <c r="AA457" s="10">
        <v>0.29729729729729731</v>
      </c>
      <c r="AB457" s="11"/>
    </row>
    <row r="458" spans="1:28" x14ac:dyDescent="0.2">
      <c r="A458" s="12"/>
      <c r="B458" s="8"/>
      <c r="C458" s="36">
        <v>1865</v>
      </c>
      <c r="D458" s="9">
        <v>313</v>
      </c>
      <c r="E458" s="36">
        <v>52</v>
      </c>
      <c r="F458" s="9">
        <v>8</v>
      </c>
      <c r="G458" s="9">
        <v>72</v>
      </c>
      <c r="H458" s="9">
        <v>8</v>
      </c>
      <c r="I458" s="9">
        <v>0</v>
      </c>
      <c r="J458" s="39" t="s">
        <v>19</v>
      </c>
      <c r="K458" s="37">
        <v>198</v>
      </c>
      <c r="L458" s="9">
        <f>IF(G458="","",H458*K458)</f>
        <v>1584</v>
      </c>
      <c r="M458" s="10">
        <f>IF(H458="","",L458/(D458*100))</f>
        <v>5.0607028753993609E-2</v>
      </c>
      <c r="N458" s="11"/>
      <c r="O458" s="1"/>
      <c r="P458" s="12"/>
      <c r="Q458" s="36">
        <v>986</v>
      </c>
      <c r="R458" s="9">
        <v>56</v>
      </c>
      <c r="S458" s="36">
        <v>18</v>
      </c>
      <c r="T458" s="9">
        <v>1</v>
      </c>
      <c r="U458" s="9">
        <v>14</v>
      </c>
      <c r="V458" s="9">
        <v>2</v>
      </c>
      <c r="W458" s="9">
        <v>0</v>
      </c>
      <c r="X458" s="90" t="s">
        <v>20</v>
      </c>
      <c r="Y458" s="37">
        <v>726</v>
      </c>
      <c r="Z458" s="9">
        <v>1452</v>
      </c>
      <c r="AA458" s="10">
        <v>0.25928571428571429</v>
      </c>
      <c r="AB458" s="11"/>
    </row>
    <row r="459" spans="1:28" ht="15" customHeight="1" thickBot="1" x14ac:dyDescent="0.25">
      <c r="A459" s="17"/>
      <c r="B459" s="82"/>
      <c r="C459" s="42">
        <v>1002</v>
      </c>
      <c r="D459" s="42">
        <v>75</v>
      </c>
      <c r="E459" s="42">
        <v>36</v>
      </c>
      <c r="F459" s="18">
        <v>2</v>
      </c>
      <c r="G459" s="18">
        <v>11</v>
      </c>
      <c r="H459" s="18">
        <v>2</v>
      </c>
      <c r="I459" s="18">
        <v>0</v>
      </c>
      <c r="J459" s="40" t="s">
        <v>21</v>
      </c>
      <c r="K459" s="18">
        <v>286</v>
      </c>
      <c r="L459" s="18">
        <v>572</v>
      </c>
      <c r="M459" s="19">
        <v>7.6266666666666663E-2</v>
      </c>
      <c r="N459" s="11"/>
      <c r="O459" s="1"/>
      <c r="P459" s="17"/>
      <c r="Q459" s="42">
        <v>1450</v>
      </c>
      <c r="R459" s="42">
        <v>74</v>
      </c>
      <c r="S459" s="42">
        <v>14</v>
      </c>
      <c r="T459" s="18">
        <v>1</v>
      </c>
      <c r="U459" s="18">
        <v>4</v>
      </c>
      <c r="V459" s="18">
        <v>1</v>
      </c>
      <c r="W459" s="18">
        <v>0</v>
      </c>
      <c r="X459" s="91" t="s">
        <v>22</v>
      </c>
      <c r="Y459" s="18">
        <v>1100</v>
      </c>
      <c r="Z459" s="18">
        <f t="shared" ref="Z459:Z490" si="228">IF(U459="","",V459*Y459)</f>
        <v>1100</v>
      </c>
      <c r="AA459" s="19">
        <f t="shared" ref="AA459:AA490" si="229">IF(V459="","",Z459/(R459*100))</f>
        <v>0.14864864864864866</v>
      </c>
      <c r="AB459" s="11"/>
    </row>
    <row r="460" spans="1:28" ht="15" customHeight="1" thickTop="1" x14ac:dyDescent="0.2">
      <c r="A460" s="57">
        <v>45894</v>
      </c>
      <c r="B460" s="81">
        <f>SUM(D460:D463)+SUM(R460:R463)</f>
        <v>743</v>
      </c>
      <c r="C460" s="36">
        <v>1860</v>
      </c>
      <c r="D460" s="36">
        <f t="shared" ref="D460:D491" si="230">IF(C460="","",C460-C456)</f>
        <v>76</v>
      </c>
      <c r="E460" s="36">
        <v>34</v>
      </c>
      <c r="F460" s="22">
        <f t="shared" ref="F460:F491" si="231">IF(E460="","",E460-E456)</f>
        <v>3</v>
      </c>
      <c r="G460" s="36">
        <v>12</v>
      </c>
      <c r="H460" s="36">
        <f t="shared" ref="H460:H506" si="232">IF(G460="","",G456+I456-G460)</f>
        <v>2</v>
      </c>
      <c r="I460" s="53">
        <v>2</v>
      </c>
      <c r="J460" s="39" t="str">
        <f t="shared" ref="J460:J491" si="233">IF(C460="","",J456)</f>
        <v>ジャグラーサウンドボタン</v>
      </c>
      <c r="K460" s="37">
        <f t="shared" ref="K460:K491" si="234">IF(D460="","",K456)</f>
        <v>748</v>
      </c>
      <c r="L460" s="22">
        <f t="shared" ref="L460:L491" si="235">IF(G460="","",H460*K460)</f>
        <v>1496</v>
      </c>
      <c r="M460" s="23">
        <f t="shared" ref="M460:M491" si="236">IF(H460="","",L460/(D460*100))</f>
        <v>0.1968421052631579</v>
      </c>
      <c r="N460" s="11"/>
      <c r="O460" s="1"/>
      <c r="P460" s="57">
        <f>IF(A460="","",A460)</f>
        <v>45894</v>
      </c>
      <c r="Q460" s="36">
        <v>1336</v>
      </c>
      <c r="R460" s="36">
        <f t="shared" ref="R460:R491" si="237">IF(Q460="","",Q460-Q456)</f>
        <v>41</v>
      </c>
      <c r="S460" s="36">
        <v>38</v>
      </c>
      <c r="T460" s="22">
        <f t="shared" ref="T460:T491" si="238">IF(S460="","",S460-S456)</f>
        <v>1</v>
      </c>
      <c r="U460" s="36">
        <v>22</v>
      </c>
      <c r="V460" s="36">
        <f t="shared" ref="V460:V491" si="239">IF(U460="","",U456+W456-U460)</f>
        <v>1</v>
      </c>
      <c r="W460" s="53">
        <v>10</v>
      </c>
      <c r="X460" s="14" t="str">
        <f t="shared" ref="X460:X491" si="240">IF(Q460="","",X456)</f>
        <v>電ブル</v>
      </c>
      <c r="Y460" s="37">
        <f t="shared" ref="Y460:Y491" si="241">IF(R460="","",Y456)</f>
        <v>275</v>
      </c>
      <c r="Z460" s="22">
        <f t="shared" si="228"/>
        <v>275</v>
      </c>
      <c r="AA460" s="23">
        <f t="shared" si="229"/>
        <v>6.7073170731707321E-2</v>
      </c>
      <c r="AB460" s="11" t="s">
        <v>23</v>
      </c>
    </row>
    <row r="461" spans="1:28" x14ac:dyDescent="0.2">
      <c r="A461" s="58"/>
      <c r="B461" s="83"/>
      <c r="C461" s="9">
        <v>1945</v>
      </c>
      <c r="D461" s="9">
        <f t="shared" si="230"/>
        <v>160</v>
      </c>
      <c r="E461" s="9">
        <v>53</v>
      </c>
      <c r="F461" s="9">
        <f t="shared" si="231"/>
        <v>3</v>
      </c>
      <c r="G461" s="9">
        <v>5</v>
      </c>
      <c r="H461" s="9">
        <f t="shared" si="232"/>
        <v>2</v>
      </c>
      <c r="I461" s="13">
        <v>3</v>
      </c>
      <c r="J461" s="39" t="str">
        <f t="shared" si="233"/>
        <v>ジャグラーサウンドフラッシュボタンDX</v>
      </c>
      <c r="K461" s="37">
        <f t="shared" si="234"/>
        <v>1100</v>
      </c>
      <c r="L461" s="9">
        <f t="shared" si="235"/>
        <v>2200</v>
      </c>
      <c r="M461" s="10">
        <f t="shared" si="236"/>
        <v>0.13750000000000001</v>
      </c>
      <c r="N461" s="11"/>
      <c r="O461" s="1"/>
      <c r="P461" s="58"/>
      <c r="Q461" s="9">
        <v>2621</v>
      </c>
      <c r="R461" s="9">
        <f t="shared" si="237"/>
        <v>169</v>
      </c>
      <c r="S461" s="9">
        <v>42</v>
      </c>
      <c r="T461" s="9">
        <f t="shared" si="238"/>
        <v>1</v>
      </c>
      <c r="U461" s="9">
        <v>8</v>
      </c>
      <c r="V461" s="9">
        <f t="shared" si="239"/>
        <v>1</v>
      </c>
      <c r="W461" s="13">
        <v>2</v>
      </c>
      <c r="X461" s="14" t="str">
        <f t="shared" si="240"/>
        <v>サンリオファン</v>
      </c>
      <c r="Y461" s="37">
        <f t="shared" si="241"/>
        <v>1100</v>
      </c>
      <c r="Z461" s="9">
        <f t="shared" si="228"/>
        <v>1100</v>
      </c>
      <c r="AA461" s="10">
        <f t="shared" si="229"/>
        <v>6.5088757396449703E-2</v>
      </c>
      <c r="AB461" s="11"/>
    </row>
    <row r="462" spans="1:28" x14ac:dyDescent="0.2">
      <c r="A462" s="58"/>
      <c r="B462" s="83"/>
      <c r="C462" s="9">
        <v>1951</v>
      </c>
      <c r="D462" s="9">
        <f t="shared" si="230"/>
        <v>86</v>
      </c>
      <c r="E462" s="9">
        <v>53</v>
      </c>
      <c r="F462" s="9">
        <f t="shared" si="231"/>
        <v>1</v>
      </c>
      <c r="G462" s="9">
        <v>71</v>
      </c>
      <c r="H462" s="9">
        <f t="shared" si="232"/>
        <v>1</v>
      </c>
      <c r="I462" s="13">
        <v>20</v>
      </c>
      <c r="J462" s="39" t="str">
        <f t="shared" si="233"/>
        <v>ＡＩモンスターラバー</v>
      </c>
      <c r="K462" s="37">
        <f t="shared" si="234"/>
        <v>198</v>
      </c>
      <c r="L462" s="9">
        <f t="shared" si="235"/>
        <v>198</v>
      </c>
      <c r="M462" s="10">
        <f t="shared" si="236"/>
        <v>2.3023255813953487E-2</v>
      </c>
      <c r="N462" s="11"/>
      <c r="O462" s="1"/>
      <c r="P462" s="58"/>
      <c r="Q462" s="9">
        <v>1057</v>
      </c>
      <c r="R462" s="9">
        <f t="shared" si="237"/>
        <v>71</v>
      </c>
      <c r="S462" s="9">
        <v>22</v>
      </c>
      <c r="T462" s="9">
        <f t="shared" si="238"/>
        <v>4</v>
      </c>
      <c r="U462" s="9">
        <v>11</v>
      </c>
      <c r="V462" s="9">
        <f t="shared" si="239"/>
        <v>3</v>
      </c>
      <c r="W462" s="13">
        <v>-1</v>
      </c>
      <c r="X462" s="14" t="str">
        <f t="shared" si="240"/>
        <v>ギャルキティサンダル</v>
      </c>
      <c r="Y462" s="37">
        <f t="shared" si="241"/>
        <v>726</v>
      </c>
      <c r="Z462" s="9">
        <f t="shared" si="228"/>
        <v>2178</v>
      </c>
      <c r="AA462" s="10">
        <f t="shared" si="229"/>
        <v>0.30676056338028168</v>
      </c>
      <c r="AB462" s="11" t="s">
        <v>24</v>
      </c>
    </row>
    <row r="463" spans="1:28" ht="15" customHeight="1" thickBot="1" x14ac:dyDescent="0.25">
      <c r="A463" s="59"/>
      <c r="B463" s="82"/>
      <c r="C463" s="112">
        <v>1079</v>
      </c>
      <c r="D463" s="43">
        <f t="shared" si="230"/>
        <v>77</v>
      </c>
      <c r="E463" s="43">
        <v>37</v>
      </c>
      <c r="F463" s="18">
        <f t="shared" si="231"/>
        <v>1</v>
      </c>
      <c r="G463" s="18">
        <v>10</v>
      </c>
      <c r="H463" s="18">
        <f t="shared" si="232"/>
        <v>1</v>
      </c>
      <c r="I463" s="31">
        <v>1</v>
      </c>
      <c r="J463" s="40" t="str">
        <f t="shared" si="233"/>
        <v>AIマスコット</v>
      </c>
      <c r="K463" s="43">
        <f t="shared" si="234"/>
        <v>286</v>
      </c>
      <c r="L463" s="18">
        <f t="shared" si="235"/>
        <v>286</v>
      </c>
      <c r="M463" s="19">
        <f t="shared" si="236"/>
        <v>3.7142857142857144E-2</v>
      </c>
      <c r="N463" s="11"/>
      <c r="O463" s="1"/>
      <c r="P463" s="59"/>
      <c r="Q463" s="112">
        <v>1513</v>
      </c>
      <c r="R463" s="43">
        <f t="shared" si="237"/>
        <v>63</v>
      </c>
      <c r="S463" s="43">
        <v>16</v>
      </c>
      <c r="T463" s="18">
        <f t="shared" si="238"/>
        <v>2</v>
      </c>
      <c r="U463" s="18">
        <v>3</v>
      </c>
      <c r="V463" s="18">
        <f t="shared" si="239"/>
        <v>1</v>
      </c>
      <c r="W463" s="31">
        <v>2</v>
      </c>
      <c r="X463" s="21" t="str">
        <f t="shared" si="240"/>
        <v>サンリオボアポーチ・ミラー</v>
      </c>
      <c r="Y463" s="43">
        <f t="shared" si="241"/>
        <v>1100</v>
      </c>
      <c r="Z463" s="18">
        <f t="shared" si="228"/>
        <v>1100</v>
      </c>
      <c r="AA463" s="19">
        <f t="shared" si="229"/>
        <v>0.17460317460317459</v>
      </c>
      <c r="AB463" s="11" t="s">
        <v>25</v>
      </c>
    </row>
    <row r="464" spans="1:28" ht="15" customHeight="1" thickTop="1" x14ac:dyDescent="0.2">
      <c r="A464" s="96">
        <v>45897</v>
      </c>
      <c r="B464" s="81">
        <f>SUM(D464:D467)+SUM(R464:R467)</f>
        <v>573</v>
      </c>
      <c r="C464" s="36">
        <v>1955</v>
      </c>
      <c r="D464" s="36">
        <f t="shared" si="230"/>
        <v>95</v>
      </c>
      <c r="E464" s="36">
        <v>34</v>
      </c>
      <c r="F464" s="22">
        <f t="shared" si="231"/>
        <v>0</v>
      </c>
      <c r="G464" s="36">
        <v>14</v>
      </c>
      <c r="H464" s="36">
        <f t="shared" si="232"/>
        <v>0</v>
      </c>
      <c r="I464" s="53">
        <v>0</v>
      </c>
      <c r="J464" s="48" t="str">
        <f t="shared" si="233"/>
        <v>ジャグラーサウンドボタン</v>
      </c>
      <c r="K464" s="49">
        <f t="shared" si="234"/>
        <v>748</v>
      </c>
      <c r="L464" s="22">
        <f t="shared" si="235"/>
        <v>0</v>
      </c>
      <c r="M464" s="23">
        <f t="shared" si="236"/>
        <v>0</v>
      </c>
      <c r="N464" s="11"/>
      <c r="O464" s="1"/>
      <c r="P464" s="57">
        <f>IF(A464="","",A464)</f>
        <v>45897</v>
      </c>
      <c r="Q464" s="36">
        <v>1360</v>
      </c>
      <c r="R464" s="36">
        <f t="shared" si="237"/>
        <v>24</v>
      </c>
      <c r="S464" s="36">
        <v>39</v>
      </c>
      <c r="T464" s="22">
        <f t="shared" si="238"/>
        <v>1</v>
      </c>
      <c r="U464" s="36">
        <v>31</v>
      </c>
      <c r="V464" s="36">
        <f t="shared" si="239"/>
        <v>1</v>
      </c>
      <c r="W464" s="53">
        <v>0</v>
      </c>
      <c r="X464" s="48" t="str">
        <f t="shared" si="240"/>
        <v>電ブル</v>
      </c>
      <c r="Y464" s="49">
        <f t="shared" si="241"/>
        <v>275</v>
      </c>
      <c r="Z464" s="22">
        <f t="shared" si="228"/>
        <v>275</v>
      </c>
      <c r="AA464" s="23">
        <f t="shared" si="229"/>
        <v>0.11458333333333333</v>
      </c>
      <c r="AB464" s="11"/>
    </row>
    <row r="465" spans="1:28" x14ac:dyDescent="0.2">
      <c r="A465" s="97"/>
      <c r="B465" s="81"/>
      <c r="C465" s="36">
        <v>2000</v>
      </c>
      <c r="D465" s="9">
        <f t="shared" si="230"/>
        <v>55</v>
      </c>
      <c r="E465" s="9">
        <v>54</v>
      </c>
      <c r="F465" s="9">
        <f t="shared" si="231"/>
        <v>1</v>
      </c>
      <c r="G465" s="9">
        <v>8</v>
      </c>
      <c r="H465" s="9">
        <f t="shared" si="232"/>
        <v>0</v>
      </c>
      <c r="I465" s="13">
        <v>0</v>
      </c>
      <c r="J465" s="39" t="str">
        <f t="shared" si="233"/>
        <v>ジャグラーサウンドフラッシュボタンDX</v>
      </c>
      <c r="K465" s="37">
        <f t="shared" si="234"/>
        <v>1100</v>
      </c>
      <c r="L465" s="9">
        <f t="shared" si="235"/>
        <v>0</v>
      </c>
      <c r="M465" s="10">
        <f t="shared" si="236"/>
        <v>0</v>
      </c>
      <c r="N465" s="11"/>
      <c r="O465" s="1"/>
      <c r="P465" s="12"/>
      <c r="Q465" s="36">
        <v>2719</v>
      </c>
      <c r="R465" s="9">
        <f t="shared" si="237"/>
        <v>98</v>
      </c>
      <c r="S465" s="9">
        <v>43</v>
      </c>
      <c r="T465" s="9">
        <f t="shared" si="238"/>
        <v>1</v>
      </c>
      <c r="U465" s="9">
        <v>8</v>
      </c>
      <c r="V465" s="9">
        <f t="shared" si="239"/>
        <v>2</v>
      </c>
      <c r="W465" s="13">
        <v>2</v>
      </c>
      <c r="X465" s="39" t="str">
        <f t="shared" si="240"/>
        <v>サンリオファン</v>
      </c>
      <c r="Y465" s="37">
        <f t="shared" si="241"/>
        <v>1100</v>
      </c>
      <c r="Z465" s="9">
        <f t="shared" si="228"/>
        <v>2200</v>
      </c>
      <c r="AA465" s="10">
        <f t="shared" si="229"/>
        <v>0.22448979591836735</v>
      </c>
      <c r="AB465" s="11"/>
    </row>
    <row r="466" spans="1:28" x14ac:dyDescent="0.2">
      <c r="A466" s="97"/>
      <c r="B466" s="84"/>
      <c r="C466" s="44">
        <v>2057</v>
      </c>
      <c r="D466" s="9">
        <f t="shared" si="230"/>
        <v>106</v>
      </c>
      <c r="E466" s="9">
        <v>55</v>
      </c>
      <c r="F466" s="9">
        <f t="shared" si="231"/>
        <v>2</v>
      </c>
      <c r="G466" s="9">
        <v>89</v>
      </c>
      <c r="H466" s="9">
        <f t="shared" si="232"/>
        <v>2</v>
      </c>
      <c r="I466" s="13">
        <v>0</v>
      </c>
      <c r="J466" s="39" t="str">
        <f t="shared" si="233"/>
        <v>ＡＩモンスターラバー</v>
      </c>
      <c r="K466" s="9">
        <f t="shared" si="234"/>
        <v>198</v>
      </c>
      <c r="L466" s="9">
        <f t="shared" si="235"/>
        <v>396</v>
      </c>
      <c r="M466" s="10">
        <f t="shared" si="236"/>
        <v>3.7358490566037739E-2</v>
      </c>
      <c r="N466" s="11"/>
      <c r="O466" s="1"/>
      <c r="P466" s="12"/>
      <c r="Q466" s="44">
        <v>1086</v>
      </c>
      <c r="R466" s="9">
        <f t="shared" si="237"/>
        <v>29</v>
      </c>
      <c r="S466" s="9">
        <v>25</v>
      </c>
      <c r="T466" s="9">
        <f t="shared" si="238"/>
        <v>3</v>
      </c>
      <c r="U466" s="9">
        <v>8</v>
      </c>
      <c r="V466" s="9">
        <f t="shared" si="239"/>
        <v>2</v>
      </c>
      <c r="W466" s="13">
        <v>2</v>
      </c>
      <c r="X466" s="39" t="s">
        <v>26</v>
      </c>
      <c r="Y466" s="9">
        <v>600</v>
      </c>
      <c r="Z466" s="9">
        <f t="shared" si="228"/>
        <v>1200</v>
      </c>
      <c r="AA466" s="10">
        <f t="shared" si="229"/>
        <v>0.41379310344827586</v>
      </c>
      <c r="AB466" s="11"/>
    </row>
    <row r="467" spans="1:28" ht="15" customHeight="1" thickBot="1" x14ac:dyDescent="0.25">
      <c r="A467" s="98"/>
      <c r="B467" s="85"/>
      <c r="C467" s="42">
        <v>1161</v>
      </c>
      <c r="D467" s="43">
        <f t="shared" si="230"/>
        <v>82</v>
      </c>
      <c r="E467" s="18">
        <v>38</v>
      </c>
      <c r="F467" s="18">
        <f t="shared" si="231"/>
        <v>1</v>
      </c>
      <c r="G467" s="18">
        <v>10</v>
      </c>
      <c r="H467" s="18">
        <f t="shared" si="232"/>
        <v>1</v>
      </c>
      <c r="I467" s="31">
        <v>0</v>
      </c>
      <c r="J467" s="40" t="str">
        <f t="shared" si="233"/>
        <v>AIマスコット</v>
      </c>
      <c r="K467" s="43">
        <f t="shared" si="234"/>
        <v>286</v>
      </c>
      <c r="L467" s="18">
        <f t="shared" si="235"/>
        <v>286</v>
      </c>
      <c r="M467" s="19">
        <f t="shared" si="236"/>
        <v>3.4878048780487808E-2</v>
      </c>
      <c r="N467" s="11"/>
      <c r="O467" s="1"/>
      <c r="P467" s="59"/>
      <c r="Q467" s="42">
        <v>1597</v>
      </c>
      <c r="R467" s="43">
        <f>IF(Q467="","",Q467-Q463)</f>
        <v>84</v>
      </c>
      <c r="S467" s="18">
        <v>17</v>
      </c>
      <c r="T467" s="18">
        <f t="shared" si="238"/>
        <v>1</v>
      </c>
      <c r="U467" s="18">
        <v>4</v>
      </c>
      <c r="V467" s="18">
        <f t="shared" si="239"/>
        <v>1</v>
      </c>
      <c r="W467" s="31">
        <v>1</v>
      </c>
      <c r="X467" s="40" t="str">
        <f t="shared" si="240"/>
        <v>サンリオボアポーチ・ミラー</v>
      </c>
      <c r="Y467" s="43">
        <f t="shared" si="241"/>
        <v>1100</v>
      </c>
      <c r="Z467" s="18">
        <f t="shared" si="228"/>
        <v>1100</v>
      </c>
      <c r="AA467" s="19">
        <f t="shared" si="229"/>
        <v>0.13095238095238096</v>
      </c>
      <c r="AB467" s="11"/>
    </row>
    <row r="468" spans="1:28" ht="15" customHeight="1" thickTop="1" x14ac:dyDescent="0.2">
      <c r="A468" s="96">
        <v>45901</v>
      </c>
      <c r="B468" s="81">
        <f>SUM(D468:D471)+SUM(R468:R471)</f>
        <v>1009</v>
      </c>
      <c r="C468" s="36">
        <v>2091</v>
      </c>
      <c r="D468" s="36">
        <f t="shared" si="230"/>
        <v>136</v>
      </c>
      <c r="E468" s="36">
        <v>36</v>
      </c>
      <c r="F468" s="22">
        <f t="shared" si="231"/>
        <v>2</v>
      </c>
      <c r="G468" s="36">
        <v>12</v>
      </c>
      <c r="H468" s="36">
        <f t="shared" si="232"/>
        <v>2</v>
      </c>
      <c r="I468" s="53">
        <v>2</v>
      </c>
      <c r="J468" s="48" t="str">
        <f t="shared" si="233"/>
        <v>ジャグラーサウンドボタン</v>
      </c>
      <c r="K468" s="49">
        <f t="shared" si="234"/>
        <v>748</v>
      </c>
      <c r="L468" s="22">
        <f t="shared" si="235"/>
        <v>1496</v>
      </c>
      <c r="M468" s="23">
        <f t="shared" si="236"/>
        <v>0.11</v>
      </c>
      <c r="N468" s="11"/>
      <c r="O468" s="1"/>
      <c r="P468" s="104">
        <f>IF(A468="","",A468)</f>
        <v>45901</v>
      </c>
      <c r="Q468" s="36">
        <v>1454</v>
      </c>
      <c r="R468" s="36">
        <f t="shared" si="237"/>
        <v>94</v>
      </c>
      <c r="S468" s="36">
        <v>41</v>
      </c>
      <c r="T468" s="22">
        <f t="shared" si="238"/>
        <v>2</v>
      </c>
      <c r="U468" s="36">
        <v>29</v>
      </c>
      <c r="V468" s="36">
        <f t="shared" si="239"/>
        <v>2</v>
      </c>
      <c r="W468" s="53">
        <v>7</v>
      </c>
      <c r="X468" s="48" t="str">
        <f t="shared" si="240"/>
        <v>電ブル</v>
      </c>
      <c r="Y468" s="49">
        <f t="shared" si="241"/>
        <v>275</v>
      </c>
      <c r="Z468" s="22">
        <f t="shared" si="228"/>
        <v>550</v>
      </c>
      <c r="AA468" s="23">
        <f t="shared" si="229"/>
        <v>5.8510638297872342E-2</v>
      </c>
      <c r="AB468" s="11"/>
    </row>
    <row r="469" spans="1:28" x14ac:dyDescent="0.2">
      <c r="A469" s="97"/>
      <c r="B469" s="8"/>
      <c r="C469" s="9">
        <v>2202</v>
      </c>
      <c r="D469" s="9">
        <f t="shared" si="230"/>
        <v>202</v>
      </c>
      <c r="E469" s="9">
        <v>59</v>
      </c>
      <c r="F469" s="9">
        <f t="shared" si="231"/>
        <v>5</v>
      </c>
      <c r="G469" s="9">
        <v>5</v>
      </c>
      <c r="H469" s="9">
        <f t="shared" si="232"/>
        <v>3</v>
      </c>
      <c r="I469" s="13">
        <v>3</v>
      </c>
      <c r="J469" s="39" t="str">
        <f t="shared" si="233"/>
        <v>ジャグラーサウンドフラッシュボタンDX</v>
      </c>
      <c r="K469" s="37">
        <f t="shared" si="234"/>
        <v>1100</v>
      </c>
      <c r="L469" s="9">
        <f t="shared" si="235"/>
        <v>3300</v>
      </c>
      <c r="M469" s="10">
        <f t="shared" si="236"/>
        <v>0.16336633663366337</v>
      </c>
      <c r="N469" s="11"/>
      <c r="O469" s="1"/>
      <c r="P469" s="97"/>
      <c r="Q469" s="9">
        <v>2889</v>
      </c>
      <c r="R469" s="9">
        <f t="shared" si="237"/>
        <v>170</v>
      </c>
      <c r="S469" s="9">
        <v>46</v>
      </c>
      <c r="T469" s="9">
        <f t="shared" si="238"/>
        <v>3</v>
      </c>
      <c r="U469" s="9">
        <v>7</v>
      </c>
      <c r="V469" s="9">
        <f t="shared" si="239"/>
        <v>3</v>
      </c>
      <c r="W469" s="13">
        <v>3</v>
      </c>
      <c r="X469" s="39" t="str">
        <f t="shared" si="240"/>
        <v>サンリオファン</v>
      </c>
      <c r="Y469" s="37">
        <f t="shared" si="241"/>
        <v>1100</v>
      </c>
      <c r="Z469" s="9">
        <f t="shared" si="228"/>
        <v>3300</v>
      </c>
      <c r="AA469" s="10">
        <f t="shared" si="229"/>
        <v>0.19411764705882353</v>
      </c>
      <c r="AB469" s="11"/>
    </row>
    <row r="470" spans="1:28" x14ac:dyDescent="0.2">
      <c r="A470" s="99"/>
      <c r="B470" s="86"/>
      <c r="C470" s="25">
        <v>2239</v>
      </c>
      <c r="D470" s="9">
        <f t="shared" si="230"/>
        <v>182</v>
      </c>
      <c r="E470" s="9">
        <v>58</v>
      </c>
      <c r="F470" s="9">
        <f t="shared" si="231"/>
        <v>3</v>
      </c>
      <c r="G470" s="25">
        <v>86</v>
      </c>
      <c r="H470" s="9">
        <f t="shared" si="232"/>
        <v>3</v>
      </c>
      <c r="I470" s="32">
        <v>0</v>
      </c>
      <c r="J470" s="39" t="str">
        <f t="shared" si="233"/>
        <v>ＡＩモンスターラバー</v>
      </c>
      <c r="K470" s="9">
        <f t="shared" si="234"/>
        <v>198</v>
      </c>
      <c r="L470" s="9">
        <f t="shared" si="235"/>
        <v>594</v>
      </c>
      <c r="M470" s="10">
        <f t="shared" si="236"/>
        <v>3.2637362637362638E-2</v>
      </c>
      <c r="N470" s="11"/>
      <c r="P470" s="99"/>
      <c r="Q470" s="25">
        <v>1183</v>
      </c>
      <c r="R470" s="9">
        <f t="shared" si="237"/>
        <v>97</v>
      </c>
      <c r="S470" s="9">
        <v>28</v>
      </c>
      <c r="T470" s="9">
        <f t="shared" si="238"/>
        <v>3</v>
      </c>
      <c r="U470" s="25">
        <v>7</v>
      </c>
      <c r="V470" s="9">
        <f t="shared" si="239"/>
        <v>3</v>
      </c>
      <c r="W470" s="32">
        <v>0</v>
      </c>
      <c r="X470" s="39" t="str">
        <f t="shared" si="240"/>
        <v>サンリオバッグチャーム付</v>
      </c>
      <c r="Y470" s="9">
        <f t="shared" si="241"/>
        <v>600</v>
      </c>
      <c r="Z470" s="9">
        <f t="shared" si="228"/>
        <v>1800</v>
      </c>
      <c r="AA470" s="10">
        <f t="shared" si="229"/>
        <v>0.18556701030927836</v>
      </c>
      <c r="AB470" s="11"/>
    </row>
    <row r="471" spans="1:28" ht="15" customHeight="1" thickBot="1" x14ac:dyDescent="0.25">
      <c r="A471" s="100"/>
      <c r="B471" s="87"/>
      <c r="C471" s="18">
        <v>1215</v>
      </c>
      <c r="D471" s="43">
        <f t="shared" si="230"/>
        <v>54</v>
      </c>
      <c r="E471" s="18">
        <v>40</v>
      </c>
      <c r="F471" s="18">
        <f t="shared" si="231"/>
        <v>2</v>
      </c>
      <c r="G471" s="18">
        <v>9</v>
      </c>
      <c r="H471" s="18">
        <f t="shared" si="232"/>
        <v>1</v>
      </c>
      <c r="I471" s="31">
        <v>0</v>
      </c>
      <c r="J471" s="40" t="str">
        <f t="shared" si="233"/>
        <v>AIマスコット</v>
      </c>
      <c r="K471" s="43">
        <f t="shared" si="234"/>
        <v>286</v>
      </c>
      <c r="L471" s="18">
        <f t="shared" si="235"/>
        <v>286</v>
      </c>
      <c r="M471" s="19">
        <f t="shared" si="236"/>
        <v>5.2962962962962962E-2</v>
      </c>
      <c r="N471" s="11"/>
      <c r="P471" s="100"/>
      <c r="Q471" s="18">
        <v>1671</v>
      </c>
      <c r="R471" s="43">
        <f t="shared" si="237"/>
        <v>74</v>
      </c>
      <c r="S471" s="18">
        <v>18</v>
      </c>
      <c r="T471" s="18">
        <f t="shared" si="238"/>
        <v>1</v>
      </c>
      <c r="U471" s="18">
        <v>4</v>
      </c>
      <c r="V471" s="18">
        <f t="shared" si="239"/>
        <v>1</v>
      </c>
      <c r="W471" s="31">
        <v>0</v>
      </c>
      <c r="X471" s="40" t="str">
        <f t="shared" si="240"/>
        <v>サンリオボアポーチ・ミラー</v>
      </c>
      <c r="Y471" s="43">
        <f t="shared" si="241"/>
        <v>1100</v>
      </c>
      <c r="Z471" s="18">
        <f t="shared" si="228"/>
        <v>1100</v>
      </c>
      <c r="AA471" s="19">
        <f t="shared" si="229"/>
        <v>0.14864864864864866</v>
      </c>
      <c r="AB471" s="11"/>
    </row>
    <row r="472" spans="1:28" ht="15" customHeight="1" thickTop="1" x14ac:dyDescent="0.2">
      <c r="A472" s="96">
        <v>45905</v>
      </c>
      <c r="B472" s="81">
        <f>SUM(D472:D475)+SUM(R472:R475)</f>
        <v>629</v>
      </c>
      <c r="C472" s="36">
        <v>2174</v>
      </c>
      <c r="D472" s="36">
        <f t="shared" si="230"/>
        <v>83</v>
      </c>
      <c r="E472" s="36">
        <v>41</v>
      </c>
      <c r="F472" s="22">
        <f t="shared" si="231"/>
        <v>5</v>
      </c>
      <c r="G472" s="36">
        <v>12</v>
      </c>
      <c r="H472" s="36">
        <f t="shared" si="232"/>
        <v>2</v>
      </c>
      <c r="I472" s="53">
        <v>2</v>
      </c>
      <c r="J472" s="48" t="str">
        <f t="shared" si="233"/>
        <v>ジャグラーサウンドボタン</v>
      </c>
      <c r="K472" s="49">
        <f t="shared" si="234"/>
        <v>748</v>
      </c>
      <c r="L472" s="22">
        <f t="shared" si="235"/>
        <v>1496</v>
      </c>
      <c r="M472" s="23">
        <f t="shared" si="236"/>
        <v>0.18024096385542168</v>
      </c>
      <c r="N472" s="11"/>
      <c r="P472" s="104">
        <f>IF(A472="","",A472)</f>
        <v>45905</v>
      </c>
      <c r="Q472" s="36">
        <v>1489</v>
      </c>
      <c r="R472" s="36">
        <f>IF(Q472="","",Q472-Q468)</f>
        <v>35</v>
      </c>
      <c r="S472" s="36">
        <v>41</v>
      </c>
      <c r="T472" s="22">
        <f t="shared" si="238"/>
        <v>0</v>
      </c>
      <c r="U472" s="36">
        <v>36</v>
      </c>
      <c r="V472" s="36">
        <v>0</v>
      </c>
      <c r="W472" s="53">
        <v>0</v>
      </c>
      <c r="X472" s="48" t="str">
        <f t="shared" si="240"/>
        <v>電ブル</v>
      </c>
      <c r="Y472" s="49">
        <f t="shared" si="241"/>
        <v>275</v>
      </c>
      <c r="Z472" s="22">
        <f t="shared" si="228"/>
        <v>0</v>
      </c>
      <c r="AA472" s="94">
        <f t="shared" si="229"/>
        <v>0</v>
      </c>
      <c r="AB472" s="11" t="s">
        <v>27</v>
      </c>
    </row>
    <row r="473" spans="1:28" x14ac:dyDescent="0.2">
      <c r="A473" s="96"/>
      <c r="B473" s="81"/>
      <c r="C473" s="36">
        <v>2343</v>
      </c>
      <c r="D473" s="9">
        <f t="shared" si="230"/>
        <v>141</v>
      </c>
      <c r="E473" s="9">
        <v>61</v>
      </c>
      <c r="F473" s="9">
        <f t="shared" si="231"/>
        <v>2</v>
      </c>
      <c r="G473" s="9">
        <v>6</v>
      </c>
      <c r="H473" s="9">
        <f t="shared" si="232"/>
        <v>2</v>
      </c>
      <c r="I473" s="13">
        <v>0</v>
      </c>
      <c r="J473" s="39" t="str">
        <f t="shared" si="233"/>
        <v>ジャグラーサウンドフラッシュボタンDX</v>
      </c>
      <c r="K473" s="37">
        <f t="shared" si="234"/>
        <v>1100</v>
      </c>
      <c r="L473" s="9">
        <f t="shared" si="235"/>
        <v>2200</v>
      </c>
      <c r="M473" s="10">
        <f t="shared" si="236"/>
        <v>0.15602836879432624</v>
      </c>
      <c r="N473" s="11"/>
      <c r="P473" s="96"/>
      <c r="Q473" s="36">
        <v>3033</v>
      </c>
      <c r="R473" s="9">
        <f t="shared" si="237"/>
        <v>144</v>
      </c>
      <c r="S473" s="9">
        <v>47</v>
      </c>
      <c r="T473" s="9">
        <f t="shared" si="238"/>
        <v>1</v>
      </c>
      <c r="U473" s="9">
        <v>9</v>
      </c>
      <c r="V473" s="9">
        <f t="shared" si="239"/>
        <v>1</v>
      </c>
      <c r="W473" s="13">
        <v>1</v>
      </c>
      <c r="X473" s="39" t="str">
        <f t="shared" si="240"/>
        <v>サンリオファン</v>
      </c>
      <c r="Y473" s="37">
        <f t="shared" si="241"/>
        <v>1100</v>
      </c>
      <c r="Z473" s="9">
        <f t="shared" si="228"/>
        <v>1100</v>
      </c>
      <c r="AA473" s="10">
        <f t="shared" si="229"/>
        <v>7.6388888888888895E-2</v>
      </c>
      <c r="AB473" s="11"/>
    </row>
    <row r="474" spans="1:28" ht="15" customHeight="1" x14ac:dyDescent="0.2">
      <c r="A474" s="96"/>
      <c r="B474" s="84"/>
      <c r="C474" s="44">
        <v>2311</v>
      </c>
      <c r="D474" s="9">
        <f t="shared" si="230"/>
        <v>72</v>
      </c>
      <c r="E474" s="9">
        <v>61</v>
      </c>
      <c r="F474" s="9">
        <f t="shared" si="231"/>
        <v>3</v>
      </c>
      <c r="G474" s="9">
        <v>83</v>
      </c>
      <c r="H474" s="9">
        <f t="shared" si="232"/>
        <v>3</v>
      </c>
      <c r="I474" s="13">
        <v>0</v>
      </c>
      <c r="J474" s="39" t="str">
        <f t="shared" si="233"/>
        <v>ＡＩモンスターラバー</v>
      </c>
      <c r="K474" s="9">
        <f t="shared" si="234"/>
        <v>198</v>
      </c>
      <c r="L474" s="9">
        <f t="shared" si="235"/>
        <v>594</v>
      </c>
      <c r="M474" s="10">
        <f t="shared" si="236"/>
        <v>8.2500000000000004E-2</v>
      </c>
      <c r="N474" s="11"/>
      <c r="P474" s="96"/>
      <c r="Q474" s="44">
        <v>1240</v>
      </c>
      <c r="R474" s="9">
        <f t="shared" si="237"/>
        <v>57</v>
      </c>
      <c r="S474" s="9">
        <v>32</v>
      </c>
      <c r="T474" s="9">
        <f t="shared" si="238"/>
        <v>4</v>
      </c>
      <c r="U474" s="9">
        <v>5</v>
      </c>
      <c r="V474" s="9">
        <f t="shared" si="239"/>
        <v>2</v>
      </c>
      <c r="W474" s="13">
        <v>2</v>
      </c>
      <c r="X474" s="39" t="str">
        <f t="shared" si="240"/>
        <v>サンリオバッグチャーム付</v>
      </c>
      <c r="Y474" s="9">
        <f t="shared" si="241"/>
        <v>600</v>
      </c>
      <c r="Z474" s="9">
        <f t="shared" si="228"/>
        <v>1200</v>
      </c>
      <c r="AA474" s="10">
        <f t="shared" si="229"/>
        <v>0.21052631578947367</v>
      </c>
      <c r="AB474" s="11"/>
    </row>
    <row r="475" spans="1:28" ht="15" customHeight="1" thickBot="1" x14ac:dyDescent="0.25">
      <c r="A475" s="100"/>
      <c r="B475" s="87"/>
      <c r="C475" s="42">
        <v>1260</v>
      </c>
      <c r="D475" s="43">
        <f t="shared" si="230"/>
        <v>45</v>
      </c>
      <c r="E475" s="18">
        <v>40</v>
      </c>
      <c r="F475" s="18">
        <f t="shared" si="231"/>
        <v>0</v>
      </c>
      <c r="G475" s="18">
        <v>9</v>
      </c>
      <c r="H475" s="18">
        <f t="shared" si="232"/>
        <v>0</v>
      </c>
      <c r="I475" s="31">
        <v>21</v>
      </c>
      <c r="J475" s="40" t="str">
        <f t="shared" si="233"/>
        <v>AIマスコット</v>
      </c>
      <c r="K475" s="43">
        <f t="shared" si="234"/>
        <v>286</v>
      </c>
      <c r="L475" s="18">
        <f t="shared" si="235"/>
        <v>0</v>
      </c>
      <c r="M475" s="19">
        <f t="shared" si="236"/>
        <v>0</v>
      </c>
      <c r="N475" s="11" t="s">
        <v>28</v>
      </c>
      <c r="P475" s="100"/>
      <c r="Q475" s="42">
        <v>1723</v>
      </c>
      <c r="R475" s="43">
        <f t="shared" si="237"/>
        <v>52</v>
      </c>
      <c r="S475" s="18">
        <v>19</v>
      </c>
      <c r="T475" s="18">
        <f t="shared" si="238"/>
        <v>1</v>
      </c>
      <c r="U475" s="18">
        <v>3</v>
      </c>
      <c r="V475" s="18">
        <f t="shared" si="239"/>
        <v>1</v>
      </c>
      <c r="W475" s="31">
        <v>7</v>
      </c>
      <c r="X475" s="40" t="str">
        <f t="shared" si="240"/>
        <v>サンリオボアポーチ・ミラー</v>
      </c>
      <c r="Y475" s="43">
        <f t="shared" si="241"/>
        <v>1100</v>
      </c>
      <c r="Z475" s="18">
        <f t="shared" si="228"/>
        <v>1100</v>
      </c>
      <c r="AA475" s="19">
        <f t="shared" si="229"/>
        <v>0.21153846153846154</v>
      </c>
      <c r="AB475" s="11" t="s">
        <v>29</v>
      </c>
    </row>
    <row r="476" spans="1:28" ht="15" customHeight="1" thickTop="1" x14ac:dyDescent="0.2">
      <c r="A476" s="96">
        <v>45908</v>
      </c>
      <c r="B476" s="81">
        <f>SUM(D476:D479)+SUM(R476:R479)</f>
        <v>701</v>
      </c>
      <c r="C476" s="36">
        <v>2352</v>
      </c>
      <c r="D476" s="36">
        <f t="shared" si="230"/>
        <v>178</v>
      </c>
      <c r="E476" s="36">
        <v>41</v>
      </c>
      <c r="F476" s="22">
        <f t="shared" si="231"/>
        <v>0</v>
      </c>
      <c r="G476" s="36">
        <v>14</v>
      </c>
      <c r="H476" s="36">
        <f t="shared" si="232"/>
        <v>0</v>
      </c>
      <c r="I476" s="53">
        <v>0</v>
      </c>
      <c r="J476" s="39" t="str">
        <f t="shared" si="233"/>
        <v>ジャグラーサウンドボタン</v>
      </c>
      <c r="K476" s="37">
        <f t="shared" si="234"/>
        <v>748</v>
      </c>
      <c r="L476" s="22">
        <f t="shared" si="235"/>
        <v>0</v>
      </c>
      <c r="M476" s="23">
        <f t="shared" si="236"/>
        <v>0</v>
      </c>
      <c r="N476" s="11"/>
      <c r="P476" s="104">
        <f>IF(A476="","",A476)</f>
        <v>45908</v>
      </c>
      <c r="Q476" s="36">
        <v>1575</v>
      </c>
      <c r="R476" s="36">
        <f t="shared" si="237"/>
        <v>86</v>
      </c>
      <c r="S476" s="36">
        <v>44</v>
      </c>
      <c r="T476" s="22">
        <f t="shared" si="238"/>
        <v>3</v>
      </c>
      <c r="U476" s="36">
        <v>33</v>
      </c>
      <c r="V476" s="36">
        <f t="shared" si="239"/>
        <v>3</v>
      </c>
      <c r="W476" s="53">
        <v>0</v>
      </c>
      <c r="X476" s="14" t="str">
        <f t="shared" si="240"/>
        <v>電ブル</v>
      </c>
      <c r="Y476" s="37">
        <f t="shared" si="241"/>
        <v>275</v>
      </c>
      <c r="Z476" s="22">
        <f t="shared" si="228"/>
        <v>825</v>
      </c>
      <c r="AA476" s="23">
        <f t="shared" si="229"/>
        <v>9.5930232558139539E-2</v>
      </c>
      <c r="AB476" s="11"/>
    </row>
    <row r="477" spans="1:28" ht="15" customHeight="1" x14ac:dyDescent="0.2">
      <c r="A477" s="97"/>
      <c r="B477" s="8"/>
      <c r="C477" s="9">
        <v>2411</v>
      </c>
      <c r="D477" s="9">
        <f t="shared" si="230"/>
        <v>68</v>
      </c>
      <c r="E477" s="9">
        <v>62</v>
      </c>
      <c r="F477" s="9">
        <f t="shared" si="231"/>
        <v>1</v>
      </c>
      <c r="G477" s="9">
        <v>5</v>
      </c>
      <c r="H477" s="9">
        <f t="shared" si="232"/>
        <v>1</v>
      </c>
      <c r="I477" s="13">
        <v>0</v>
      </c>
      <c r="J477" s="39" t="str">
        <f t="shared" si="233"/>
        <v>ジャグラーサウンドフラッシュボタンDX</v>
      </c>
      <c r="K477" s="37">
        <f t="shared" si="234"/>
        <v>1100</v>
      </c>
      <c r="L477" s="9">
        <f t="shared" si="235"/>
        <v>1100</v>
      </c>
      <c r="M477" s="10">
        <f t="shared" si="236"/>
        <v>0.16176470588235295</v>
      </c>
      <c r="N477" s="11"/>
      <c r="P477" s="97"/>
      <c r="Q477" s="9">
        <v>3137</v>
      </c>
      <c r="R477" s="9">
        <f t="shared" si="237"/>
        <v>104</v>
      </c>
      <c r="S477" s="9">
        <v>49</v>
      </c>
      <c r="T477" s="9">
        <f t="shared" si="238"/>
        <v>2</v>
      </c>
      <c r="U477" s="9">
        <v>8</v>
      </c>
      <c r="V477" s="9">
        <f t="shared" si="239"/>
        <v>2</v>
      </c>
      <c r="W477" s="13">
        <v>2</v>
      </c>
      <c r="X477" s="14" t="str">
        <f t="shared" si="240"/>
        <v>サンリオファン</v>
      </c>
      <c r="Y477" s="37">
        <f t="shared" si="241"/>
        <v>1100</v>
      </c>
      <c r="Z477" s="9">
        <f t="shared" si="228"/>
        <v>2200</v>
      </c>
      <c r="AA477" s="10">
        <f t="shared" si="229"/>
        <v>0.21153846153846154</v>
      </c>
      <c r="AB477" s="11"/>
    </row>
    <row r="478" spans="1:28" ht="15" customHeight="1" x14ac:dyDescent="0.2">
      <c r="A478" s="97"/>
      <c r="B478" s="86"/>
      <c r="C478" s="25">
        <v>2448</v>
      </c>
      <c r="D478" s="9">
        <f t="shared" si="230"/>
        <v>137</v>
      </c>
      <c r="E478" s="9">
        <v>64</v>
      </c>
      <c r="F478" s="9">
        <f t="shared" si="231"/>
        <v>3</v>
      </c>
      <c r="G478" s="25">
        <v>80</v>
      </c>
      <c r="H478" s="9">
        <f t="shared" si="232"/>
        <v>3</v>
      </c>
      <c r="I478" s="32">
        <v>0</v>
      </c>
      <c r="J478" s="39" t="str">
        <f t="shared" si="233"/>
        <v>ＡＩモンスターラバー</v>
      </c>
      <c r="K478" s="37">
        <f t="shared" si="234"/>
        <v>198</v>
      </c>
      <c r="L478" s="9">
        <f t="shared" si="235"/>
        <v>594</v>
      </c>
      <c r="M478" s="10">
        <f t="shared" si="236"/>
        <v>4.3357664233576641E-2</v>
      </c>
      <c r="N478" s="11"/>
      <c r="P478" s="97"/>
      <c r="Q478" s="25">
        <v>1271</v>
      </c>
      <c r="R478" s="9">
        <f t="shared" si="237"/>
        <v>31</v>
      </c>
      <c r="S478" s="9">
        <v>32</v>
      </c>
      <c r="T478" s="9">
        <f t="shared" si="238"/>
        <v>0</v>
      </c>
      <c r="U478" s="25">
        <v>7</v>
      </c>
      <c r="V478" s="9">
        <f t="shared" si="239"/>
        <v>0</v>
      </c>
      <c r="W478" s="32">
        <v>0</v>
      </c>
      <c r="X478" s="14" t="str">
        <f t="shared" si="240"/>
        <v>サンリオバッグチャーム付</v>
      </c>
      <c r="Y478" s="37">
        <f t="shared" si="241"/>
        <v>600</v>
      </c>
      <c r="Z478" s="9">
        <f t="shared" si="228"/>
        <v>0</v>
      </c>
      <c r="AA478" s="10">
        <f t="shared" si="229"/>
        <v>0</v>
      </c>
      <c r="AB478" s="11"/>
    </row>
    <row r="479" spans="1:28" ht="15" customHeight="1" thickBot="1" x14ac:dyDescent="0.25">
      <c r="A479" s="100"/>
      <c r="B479" s="87"/>
      <c r="C479" s="18">
        <v>1284</v>
      </c>
      <c r="D479" s="43">
        <f t="shared" si="230"/>
        <v>24</v>
      </c>
      <c r="E479" s="18">
        <v>41</v>
      </c>
      <c r="F479" s="18">
        <f t="shared" si="231"/>
        <v>1</v>
      </c>
      <c r="G479" s="18">
        <v>29</v>
      </c>
      <c r="H479" s="18">
        <f t="shared" si="232"/>
        <v>1</v>
      </c>
      <c r="I479" s="31">
        <v>0</v>
      </c>
      <c r="J479" s="40" t="s">
        <v>30</v>
      </c>
      <c r="K479" s="43">
        <v>220</v>
      </c>
      <c r="L479" s="18">
        <f t="shared" si="235"/>
        <v>220</v>
      </c>
      <c r="M479" s="19">
        <f t="shared" si="236"/>
        <v>9.166666666666666E-2</v>
      </c>
      <c r="N479" s="11"/>
      <c r="P479" s="100"/>
      <c r="Q479" s="18">
        <v>1796</v>
      </c>
      <c r="R479" s="43">
        <f t="shared" si="237"/>
        <v>73</v>
      </c>
      <c r="S479" s="18">
        <v>23</v>
      </c>
      <c r="T479" s="18">
        <f t="shared" si="238"/>
        <v>4</v>
      </c>
      <c r="U479" s="18">
        <v>8</v>
      </c>
      <c r="V479" s="18">
        <f t="shared" si="239"/>
        <v>2</v>
      </c>
      <c r="W479" s="31">
        <v>2</v>
      </c>
      <c r="X479" s="21" t="s">
        <v>31</v>
      </c>
      <c r="Y479" s="43">
        <v>286</v>
      </c>
      <c r="Z479" s="18">
        <f t="shared" si="228"/>
        <v>572</v>
      </c>
      <c r="AA479" s="19">
        <f t="shared" si="229"/>
        <v>7.8356164383561647E-2</v>
      </c>
      <c r="AB479" s="11"/>
    </row>
    <row r="480" spans="1:28" ht="15" customHeight="1" thickTop="1" x14ac:dyDescent="0.2">
      <c r="A480" s="96">
        <v>45911</v>
      </c>
      <c r="B480" s="81">
        <f>SUM(D480:D483)+SUM(R480:R483)</f>
        <v>338</v>
      </c>
      <c r="C480" s="36">
        <v>2414</v>
      </c>
      <c r="D480" s="36">
        <f t="shared" si="230"/>
        <v>62</v>
      </c>
      <c r="E480" s="36">
        <v>44</v>
      </c>
      <c r="F480" s="22">
        <f t="shared" si="231"/>
        <v>3</v>
      </c>
      <c r="G480" s="36">
        <v>12</v>
      </c>
      <c r="H480" s="36">
        <f t="shared" si="232"/>
        <v>2</v>
      </c>
      <c r="I480" s="53"/>
      <c r="J480" s="48" t="str">
        <f t="shared" si="233"/>
        <v>ジャグラーサウンドボタン</v>
      </c>
      <c r="K480" s="49">
        <f t="shared" si="234"/>
        <v>748</v>
      </c>
      <c r="L480" s="22">
        <f t="shared" si="235"/>
        <v>1496</v>
      </c>
      <c r="M480" s="23">
        <f t="shared" si="236"/>
        <v>0.24129032258064517</v>
      </c>
      <c r="N480" s="11"/>
      <c r="P480" s="104">
        <f>IF(A480="","",A480)</f>
        <v>45911</v>
      </c>
      <c r="Q480" s="36">
        <v>1616</v>
      </c>
      <c r="R480" s="36">
        <f t="shared" si="237"/>
        <v>41</v>
      </c>
      <c r="S480" s="36">
        <v>45</v>
      </c>
      <c r="T480" s="22">
        <f t="shared" si="238"/>
        <v>1</v>
      </c>
      <c r="U480" s="36">
        <v>32</v>
      </c>
      <c r="V480" s="36">
        <f t="shared" si="239"/>
        <v>1</v>
      </c>
      <c r="W480" s="53">
        <v>18</v>
      </c>
      <c r="X480" s="48" t="str">
        <f t="shared" si="240"/>
        <v>電ブル</v>
      </c>
      <c r="Y480" s="49">
        <f t="shared" si="241"/>
        <v>275</v>
      </c>
      <c r="Z480" s="22">
        <f t="shared" si="228"/>
        <v>275</v>
      </c>
      <c r="AA480" s="23">
        <f t="shared" si="229"/>
        <v>6.7073170731707321E-2</v>
      </c>
      <c r="AB480" s="11"/>
    </row>
    <row r="481" spans="1:28" ht="15" customHeight="1" x14ac:dyDescent="0.2">
      <c r="A481" s="96"/>
      <c r="B481" s="81"/>
      <c r="C481" s="36">
        <v>2502</v>
      </c>
      <c r="D481" s="9">
        <f t="shared" si="230"/>
        <v>91</v>
      </c>
      <c r="E481" s="9">
        <v>64</v>
      </c>
      <c r="F481" s="9">
        <f t="shared" si="231"/>
        <v>2</v>
      </c>
      <c r="G481" s="9">
        <v>4</v>
      </c>
      <c r="H481" s="9">
        <f t="shared" si="232"/>
        <v>1</v>
      </c>
      <c r="I481" s="13"/>
      <c r="J481" s="39" t="str">
        <f t="shared" si="233"/>
        <v>ジャグラーサウンドフラッシュボタンDX</v>
      </c>
      <c r="K481" s="37">
        <f t="shared" si="234"/>
        <v>1100</v>
      </c>
      <c r="L481" s="9">
        <f t="shared" si="235"/>
        <v>1100</v>
      </c>
      <c r="M481" s="10">
        <f t="shared" si="236"/>
        <v>0.12087912087912088</v>
      </c>
      <c r="N481" s="11"/>
      <c r="P481" s="96"/>
      <c r="Q481" s="36">
        <v>3167</v>
      </c>
      <c r="R481" s="9">
        <f t="shared" si="237"/>
        <v>30</v>
      </c>
      <c r="S481" s="9">
        <v>49</v>
      </c>
      <c r="T481" s="9">
        <f t="shared" si="238"/>
        <v>0</v>
      </c>
      <c r="U481" s="9">
        <v>10</v>
      </c>
      <c r="V481" s="9">
        <f t="shared" si="239"/>
        <v>0</v>
      </c>
      <c r="W481" s="13">
        <v>0</v>
      </c>
      <c r="X481" s="39" t="str">
        <f t="shared" si="240"/>
        <v>サンリオファン</v>
      </c>
      <c r="Y481" s="37">
        <f t="shared" si="241"/>
        <v>1100</v>
      </c>
      <c r="Z481" s="9">
        <f t="shared" si="228"/>
        <v>0</v>
      </c>
      <c r="AA481" s="10">
        <f t="shared" si="229"/>
        <v>0</v>
      </c>
      <c r="AB481" s="11"/>
    </row>
    <row r="482" spans="1:28" ht="15" customHeight="1" x14ac:dyDescent="0.2">
      <c r="A482" s="97"/>
      <c r="B482" s="8"/>
      <c r="C482" s="44">
        <v>2525</v>
      </c>
      <c r="D482" s="9">
        <f t="shared" si="230"/>
        <v>77</v>
      </c>
      <c r="E482" s="9">
        <v>67</v>
      </c>
      <c r="F482" s="9">
        <f t="shared" si="231"/>
        <v>3</v>
      </c>
      <c r="G482" s="9">
        <v>80</v>
      </c>
      <c r="H482" s="9">
        <f t="shared" si="232"/>
        <v>0</v>
      </c>
      <c r="I482" s="13"/>
      <c r="J482" s="39" t="str">
        <f t="shared" si="233"/>
        <v>ＡＩモンスターラバー</v>
      </c>
      <c r="K482" s="9">
        <f t="shared" si="234"/>
        <v>198</v>
      </c>
      <c r="L482" s="9">
        <f t="shared" si="235"/>
        <v>0</v>
      </c>
      <c r="M482" s="10">
        <f t="shared" si="236"/>
        <v>0</v>
      </c>
      <c r="N482" s="11"/>
      <c r="P482" s="97"/>
      <c r="Q482" s="44">
        <v>1278</v>
      </c>
      <c r="R482" s="108">
        <f t="shared" si="237"/>
        <v>7</v>
      </c>
      <c r="S482" s="9">
        <v>32</v>
      </c>
      <c r="T482" s="9">
        <f t="shared" si="238"/>
        <v>0</v>
      </c>
      <c r="U482" s="9">
        <v>7</v>
      </c>
      <c r="V482" s="9">
        <f t="shared" si="239"/>
        <v>0</v>
      </c>
      <c r="W482" s="13">
        <v>7</v>
      </c>
      <c r="X482" s="39" t="str">
        <f t="shared" si="240"/>
        <v>サンリオバッグチャーム付</v>
      </c>
      <c r="Y482" s="9">
        <f t="shared" si="241"/>
        <v>600</v>
      </c>
      <c r="Z482" s="9">
        <f t="shared" si="228"/>
        <v>0</v>
      </c>
      <c r="AA482" s="10">
        <f t="shared" si="229"/>
        <v>0</v>
      </c>
      <c r="AB482" s="11" t="s">
        <v>32</v>
      </c>
    </row>
    <row r="483" spans="1:28" ht="15" customHeight="1" thickBot="1" x14ac:dyDescent="0.25">
      <c r="A483" s="100"/>
      <c r="B483" s="87"/>
      <c r="C483" s="42">
        <v>1292</v>
      </c>
      <c r="D483" s="117">
        <f t="shared" si="230"/>
        <v>8</v>
      </c>
      <c r="E483" s="18">
        <v>44</v>
      </c>
      <c r="F483" s="18">
        <f t="shared" si="231"/>
        <v>3</v>
      </c>
      <c r="G483" s="18">
        <v>27</v>
      </c>
      <c r="H483" s="18">
        <f t="shared" si="232"/>
        <v>2</v>
      </c>
      <c r="I483" s="31"/>
      <c r="J483" s="40" t="str">
        <f t="shared" si="233"/>
        <v>ジャグラーコインケース</v>
      </c>
      <c r="K483" s="43">
        <f t="shared" si="234"/>
        <v>220</v>
      </c>
      <c r="L483" s="18">
        <f t="shared" si="235"/>
        <v>440</v>
      </c>
      <c r="M483" s="19">
        <f t="shared" si="236"/>
        <v>0.55000000000000004</v>
      </c>
      <c r="N483" s="11"/>
      <c r="P483" s="100"/>
      <c r="Q483" s="42">
        <v>1818</v>
      </c>
      <c r="R483" s="43">
        <f t="shared" si="237"/>
        <v>22</v>
      </c>
      <c r="S483" s="18">
        <v>23</v>
      </c>
      <c r="T483" s="18">
        <f t="shared" si="238"/>
        <v>0</v>
      </c>
      <c r="U483" s="18">
        <v>10</v>
      </c>
      <c r="V483" s="18">
        <f t="shared" si="239"/>
        <v>0</v>
      </c>
      <c r="W483" s="31">
        <v>0</v>
      </c>
      <c r="X483" s="40" t="str">
        <f t="shared" si="240"/>
        <v>AIモンスターマスコット</v>
      </c>
      <c r="Y483" s="43">
        <f t="shared" si="241"/>
        <v>286</v>
      </c>
      <c r="Z483" s="18">
        <f t="shared" si="228"/>
        <v>0</v>
      </c>
      <c r="AA483" s="19">
        <f t="shared" si="229"/>
        <v>0</v>
      </c>
      <c r="AB483" s="11"/>
    </row>
    <row r="484" spans="1:28" ht="15" customHeight="1" thickTop="1" x14ac:dyDescent="0.2">
      <c r="A484" s="96">
        <v>45915</v>
      </c>
      <c r="B484" s="81">
        <f>SUM(D484:D487)+SUM(R484:R487)</f>
        <v>748</v>
      </c>
      <c r="C484" s="36">
        <v>2509</v>
      </c>
      <c r="D484" s="36">
        <f t="shared" si="230"/>
        <v>95</v>
      </c>
      <c r="E484" s="36">
        <v>47</v>
      </c>
      <c r="F484" s="22">
        <f t="shared" si="231"/>
        <v>3</v>
      </c>
      <c r="G484" s="36">
        <v>9</v>
      </c>
      <c r="H484" s="36">
        <f t="shared" si="232"/>
        <v>3</v>
      </c>
      <c r="I484" s="53">
        <v>3</v>
      </c>
      <c r="J484" s="48" t="str">
        <f t="shared" si="233"/>
        <v>ジャグラーサウンドボタン</v>
      </c>
      <c r="K484" s="49">
        <f t="shared" si="234"/>
        <v>748</v>
      </c>
      <c r="L484" s="22">
        <f t="shared" si="235"/>
        <v>2244</v>
      </c>
      <c r="M484" s="23">
        <f t="shared" si="236"/>
        <v>0.23621052631578948</v>
      </c>
      <c r="N484" s="11"/>
      <c r="P484" s="104">
        <f>IF(A484="","",A484)</f>
        <v>45915</v>
      </c>
      <c r="Q484" s="36">
        <v>1700</v>
      </c>
      <c r="R484" s="36">
        <f t="shared" si="237"/>
        <v>84</v>
      </c>
      <c r="S484" s="36">
        <v>48</v>
      </c>
      <c r="T484" s="22">
        <f t="shared" si="238"/>
        <v>3</v>
      </c>
      <c r="U484" s="36">
        <v>47</v>
      </c>
      <c r="V484" s="36">
        <f t="shared" si="239"/>
        <v>3</v>
      </c>
      <c r="W484" s="53">
        <v>0</v>
      </c>
      <c r="X484" s="48" t="str">
        <f t="shared" si="240"/>
        <v>電ブル</v>
      </c>
      <c r="Y484" s="49">
        <f t="shared" si="241"/>
        <v>275</v>
      </c>
      <c r="Z484" s="22">
        <f t="shared" si="228"/>
        <v>825</v>
      </c>
      <c r="AA484" s="23">
        <f t="shared" si="229"/>
        <v>9.8214285714285712E-2</v>
      </c>
      <c r="AB484" s="11"/>
    </row>
    <row r="485" spans="1:28" ht="15" customHeight="1" x14ac:dyDescent="0.2">
      <c r="A485" s="97"/>
      <c r="B485" s="81"/>
      <c r="C485" s="9">
        <v>2670</v>
      </c>
      <c r="D485" s="9">
        <f t="shared" si="230"/>
        <v>168</v>
      </c>
      <c r="E485" s="9">
        <v>67</v>
      </c>
      <c r="F485" s="9">
        <f t="shared" si="231"/>
        <v>3</v>
      </c>
      <c r="G485" s="9">
        <v>2</v>
      </c>
      <c r="H485" s="9">
        <f t="shared" si="232"/>
        <v>2</v>
      </c>
      <c r="I485" s="13">
        <v>0</v>
      </c>
      <c r="J485" s="39" t="str">
        <f t="shared" si="233"/>
        <v>ジャグラーサウンドフラッシュボタンDX</v>
      </c>
      <c r="K485" s="37">
        <f t="shared" si="234"/>
        <v>1100</v>
      </c>
      <c r="L485" s="9">
        <f t="shared" si="235"/>
        <v>2200</v>
      </c>
      <c r="M485" s="10">
        <f t="shared" si="236"/>
        <v>0.13095238095238096</v>
      </c>
      <c r="N485" s="11"/>
      <c r="P485" s="97"/>
      <c r="Q485" s="9">
        <v>3258</v>
      </c>
      <c r="R485" s="9">
        <f t="shared" si="237"/>
        <v>91</v>
      </c>
      <c r="S485" s="9">
        <v>52</v>
      </c>
      <c r="T485" s="9">
        <f t="shared" si="238"/>
        <v>3</v>
      </c>
      <c r="U485" s="9">
        <v>7</v>
      </c>
      <c r="V485" s="9">
        <f t="shared" si="239"/>
        <v>3</v>
      </c>
      <c r="W485" s="13">
        <v>0</v>
      </c>
      <c r="X485" s="39" t="str">
        <f t="shared" si="240"/>
        <v>サンリオファン</v>
      </c>
      <c r="Y485" s="37">
        <f t="shared" si="241"/>
        <v>1100</v>
      </c>
      <c r="Z485" s="9">
        <f t="shared" si="228"/>
        <v>3300</v>
      </c>
      <c r="AA485" s="10">
        <f t="shared" si="229"/>
        <v>0.36263736263736263</v>
      </c>
      <c r="AB485" s="11"/>
    </row>
    <row r="486" spans="1:28" ht="15" customHeight="1" x14ac:dyDescent="0.2">
      <c r="A486" s="97"/>
      <c r="B486" s="8"/>
      <c r="C486" s="25">
        <v>2689</v>
      </c>
      <c r="D486" s="9">
        <f t="shared" si="230"/>
        <v>164</v>
      </c>
      <c r="E486" s="9">
        <v>71</v>
      </c>
      <c r="F486" s="9">
        <f t="shared" si="231"/>
        <v>4</v>
      </c>
      <c r="G486" s="25">
        <v>76</v>
      </c>
      <c r="H486" s="9">
        <f t="shared" si="232"/>
        <v>4</v>
      </c>
      <c r="I486" s="32"/>
      <c r="J486" s="39" t="str">
        <f t="shared" si="233"/>
        <v>ＡＩモンスターラバー</v>
      </c>
      <c r="K486" s="9">
        <f t="shared" si="234"/>
        <v>198</v>
      </c>
      <c r="L486" s="9">
        <f t="shared" si="235"/>
        <v>792</v>
      </c>
      <c r="M486" s="10">
        <f t="shared" si="236"/>
        <v>4.829268292682927E-2</v>
      </c>
      <c r="N486" s="11"/>
      <c r="P486" s="97"/>
      <c r="Q486" s="25">
        <v>1285</v>
      </c>
      <c r="R486" s="9">
        <f t="shared" si="237"/>
        <v>7</v>
      </c>
      <c r="S486" s="9">
        <v>32</v>
      </c>
      <c r="T486" s="9">
        <f t="shared" si="238"/>
        <v>0</v>
      </c>
      <c r="U486" s="25">
        <v>14</v>
      </c>
      <c r="V486" s="9">
        <f t="shared" si="239"/>
        <v>0</v>
      </c>
      <c r="W486" s="32">
        <v>-10</v>
      </c>
      <c r="X486" s="39" t="s">
        <v>33</v>
      </c>
      <c r="Y486" s="9">
        <f t="shared" si="241"/>
        <v>600</v>
      </c>
      <c r="Z486" s="9">
        <f t="shared" si="228"/>
        <v>0</v>
      </c>
      <c r="AA486" s="10">
        <f t="shared" si="229"/>
        <v>0</v>
      </c>
      <c r="AB486" s="11" t="s">
        <v>34</v>
      </c>
    </row>
    <row r="487" spans="1:28" ht="15" customHeight="1" thickBot="1" x14ac:dyDescent="0.25">
      <c r="A487" s="100"/>
      <c r="B487" s="87"/>
      <c r="C487" s="18">
        <v>1317</v>
      </c>
      <c r="D487" s="117">
        <f t="shared" si="230"/>
        <v>25</v>
      </c>
      <c r="E487" s="18">
        <v>53</v>
      </c>
      <c r="F487" s="18">
        <f t="shared" si="231"/>
        <v>9</v>
      </c>
      <c r="G487" s="18">
        <v>25</v>
      </c>
      <c r="H487" s="18">
        <f t="shared" si="232"/>
        <v>2</v>
      </c>
      <c r="I487" s="31"/>
      <c r="J487" s="40" t="str">
        <f t="shared" si="233"/>
        <v>ジャグラーコインケース</v>
      </c>
      <c r="K487" s="43">
        <f t="shared" si="234"/>
        <v>220</v>
      </c>
      <c r="L487" s="18">
        <f t="shared" si="235"/>
        <v>440</v>
      </c>
      <c r="M487" s="19">
        <f t="shared" si="236"/>
        <v>0.17599999999999999</v>
      </c>
      <c r="N487" s="11"/>
      <c r="P487" s="100"/>
      <c r="Q487" s="18">
        <v>1932</v>
      </c>
      <c r="R487" s="43">
        <f t="shared" si="237"/>
        <v>114</v>
      </c>
      <c r="S487" s="18">
        <v>24</v>
      </c>
      <c r="T487" s="18">
        <f t="shared" si="238"/>
        <v>1</v>
      </c>
      <c r="U487" s="18">
        <v>9</v>
      </c>
      <c r="V487" s="18">
        <f t="shared" si="239"/>
        <v>1</v>
      </c>
      <c r="W487" s="31">
        <v>1</v>
      </c>
      <c r="X487" s="40" t="str">
        <f t="shared" si="240"/>
        <v>AIモンスターマスコット</v>
      </c>
      <c r="Y487" s="43">
        <f t="shared" si="241"/>
        <v>286</v>
      </c>
      <c r="Z487" s="18">
        <f t="shared" si="228"/>
        <v>286</v>
      </c>
      <c r="AA487" s="19">
        <f t="shared" si="229"/>
        <v>2.5087719298245614E-2</v>
      </c>
      <c r="AB487" s="11"/>
    </row>
    <row r="488" spans="1:28" ht="15" customHeight="1" thickTop="1" x14ac:dyDescent="0.2">
      <c r="A488" s="96">
        <v>45919</v>
      </c>
      <c r="B488" s="81">
        <f>SUM(D488:D491)+SUM(R488:R491)</f>
        <v>553</v>
      </c>
      <c r="C488" s="36">
        <v>2575</v>
      </c>
      <c r="D488" s="36">
        <f t="shared" si="230"/>
        <v>66</v>
      </c>
      <c r="E488" s="36">
        <v>51</v>
      </c>
      <c r="F488" s="22">
        <f t="shared" si="231"/>
        <v>4</v>
      </c>
      <c r="G488" s="36">
        <v>6</v>
      </c>
      <c r="H488" s="36">
        <f t="shared" si="232"/>
        <v>6</v>
      </c>
      <c r="I488" s="53"/>
      <c r="J488" s="48" t="str">
        <f t="shared" si="233"/>
        <v>ジャグラーサウンドボタン</v>
      </c>
      <c r="K488" s="49">
        <f t="shared" si="234"/>
        <v>748</v>
      </c>
      <c r="L488" s="22">
        <f t="shared" si="235"/>
        <v>4488</v>
      </c>
      <c r="M488" s="131">
        <f t="shared" si="236"/>
        <v>0.68</v>
      </c>
      <c r="N488" s="11"/>
      <c r="P488" s="104">
        <f>IF(A488="","",A488)</f>
        <v>45919</v>
      </c>
      <c r="Q488" s="36">
        <v>1765</v>
      </c>
      <c r="R488" s="36">
        <f t="shared" si="237"/>
        <v>65</v>
      </c>
      <c r="S488" s="36">
        <v>50</v>
      </c>
      <c r="T488" s="22">
        <f t="shared" si="238"/>
        <v>2</v>
      </c>
      <c r="U488" s="36">
        <v>45</v>
      </c>
      <c r="V488" s="36">
        <f t="shared" si="239"/>
        <v>2</v>
      </c>
      <c r="W488" s="53">
        <v>0</v>
      </c>
      <c r="X488" s="48" t="str">
        <f t="shared" si="240"/>
        <v>電ブル</v>
      </c>
      <c r="Y488" s="49">
        <f t="shared" si="241"/>
        <v>275</v>
      </c>
      <c r="Z488" s="22">
        <f t="shared" si="228"/>
        <v>550</v>
      </c>
      <c r="AA488" s="23">
        <f t="shared" si="229"/>
        <v>8.461538461538462E-2</v>
      </c>
      <c r="AB488" s="11"/>
    </row>
    <row r="489" spans="1:28" ht="15" customHeight="1" x14ac:dyDescent="0.2">
      <c r="A489" s="97"/>
      <c r="B489" s="81"/>
      <c r="C489" s="36">
        <v>2785</v>
      </c>
      <c r="D489" s="9">
        <f t="shared" si="230"/>
        <v>115</v>
      </c>
      <c r="E489" s="9">
        <v>67</v>
      </c>
      <c r="F489" s="9">
        <f t="shared" si="231"/>
        <v>0</v>
      </c>
      <c r="G489" s="9">
        <v>2</v>
      </c>
      <c r="H489" s="9">
        <f t="shared" si="232"/>
        <v>0</v>
      </c>
      <c r="I489" s="13"/>
      <c r="J489" s="39" t="str">
        <f t="shared" si="233"/>
        <v>ジャグラーサウンドフラッシュボタンDX</v>
      </c>
      <c r="K489" s="37">
        <f t="shared" si="234"/>
        <v>1100</v>
      </c>
      <c r="L489" s="9">
        <f t="shared" si="235"/>
        <v>0</v>
      </c>
      <c r="M489" s="10">
        <f t="shared" si="236"/>
        <v>0</v>
      </c>
      <c r="N489" s="11"/>
      <c r="P489" s="97"/>
      <c r="Q489" s="36">
        <v>3359</v>
      </c>
      <c r="R489" s="9">
        <f t="shared" si="237"/>
        <v>101</v>
      </c>
      <c r="S489" s="9">
        <v>52</v>
      </c>
      <c r="T489" s="9">
        <f t="shared" si="238"/>
        <v>0</v>
      </c>
      <c r="U489" s="9">
        <v>7</v>
      </c>
      <c r="V489" s="9">
        <f t="shared" si="239"/>
        <v>0</v>
      </c>
      <c r="W489" s="13">
        <v>0</v>
      </c>
      <c r="X489" s="39" t="str">
        <f t="shared" si="240"/>
        <v>サンリオファン</v>
      </c>
      <c r="Y489" s="37">
        <f t="shared" si="241"/>
        <v>1100</v>
      </c>
      <c r="Z489" s="9">
        <f t="shared" si="228"/>
        <v>0</v>
      </c>
      <c r="AA489" s="10">
        <f t="shared" si="229"/>
        <v>0</v>
      </c>
      <c r="AB489" s="11"/>
    </row>
    <row r="490" spans="1:28" ht="15" customHeight="1" x14ac:dyDescent="0.2">
      <c r="A490" s="130" t="s">
        <v>35</v>
      </c>
      <c r="B490" s="8"/>
      <c r="C490" s="44">
        <v>2826</v>
      </c>
      <c r="D490" s="9">
        <f t="shared" si="230"/>
        <v>137</v>
      </c>
      <c r="E490" s="9">
        <v>77</v>
      </c>
      <c r="F490" s="9">
        <f t="shared" si="231"/>
        <v>6</v>
      </c>
      <c r="G490" s="9">
        <v>70</v>
      </c>
      <c r="H490" s="9">
        <f t="shared" si="232"/>
        <v>6</v>
      </c>
      <c r="I490" s="13"/>
      <c r="J490" s="39" t="str">
        <f t="shared" si="233"/>
        <v>ＡＩモンスターラバー</v>
      </c>
      <c r="K490" s="9">
        <f t="shared" si="234"/>
        <v>198</v>
      </c>
      <c r="L490" s="9">
        <f t="shared" si="235"/>
        <v>1188</v>
      </c>
      <c r="M490" s="10">
        <f t="shared" si="236"/>
        <v>8.6715328467153283E-2</v>
      </c>
      <c r="N490" s="11"/>
      <c r="P490" s="97"/>
      <c r="Q490" s="44">
        <v>1303</v>
      </c>
      <c r="R490" s="108">
        <f t="shared" si="237"/>
        <v>18</v>
      </c>
      <c r="S490" s="9">
        <v>32</v>
      </c>
      <c r="T490" s="9">
        <f t="shared" si="238"/>
        <v>0</v>
      </c>
      <c r="U490" s="9">
        <v>0</v>
      </c>
      <c r="V490" s="9">
        <v>2</v>
      </c>
      <c r="W490" s="13">
        <v>4</v>
      </c>
      <c r="X490" s="39" t="s">
        <v>36</v>
      </c>
      <c r="Y490" s="9">
        <f t="shared" si="241"/>
        <v>600</v>
      </c>
      <c r="Z490" s="9">
        <f t="shared" si="228"/>
        <v>1200</v>
      </c>
      <c r="AA490" s="10">
        <f t="shared" si="229"/>
        <v>0.66666666666666663</v>
      </c>
      <c r="AB490" s="11" t="s">
        <v>37</v>
      </c>
    </row>
    <row r="491" spans="1:28" ht="15" customHeight="1" thickBot="1" x14ac:dyDescent="0.25">
      <c r="A491" s="100"/>
      <c r="B491" s="87"/>
      <c r="C491" s="42">
        <v>1327</v>
      </c>
      <c r="D491" s="117">
        <f t="shared" si="230"/>
        <v>10</v>
      </c>
      <c r="E491" s="18">
        <v>54</v>
      </c>
      <c r="F491" s="18">
        <f t="shared" si="231"/>
        <v>1</v>
      </c>
      <c r="G491" s="18">
        <v>24</v>
      </c>
      <c r="H491" s="18">
        <f t="shared" si="232"/>
        <v>1</v>
      </c>
      <c r="I491" s="31">
        <v>21</v>
      </c>
      <c r="J491" s="40" t="str">
        <f t="shared" si="233"/>
        <v>ジャグラーコインケース</v>
      </c>
      <c r="K491" s="43">
        <f t="shared" si="234"/>
        <v>220</v>
      </c>
      <c r="L491" s="18">
        <f t="shared" si="235"/>
        <v>220</v>
      </c>
      <c r="M491" s="19">
        <f t="shared" si="236"/>
        <v>0.22</v>
      </c>
      <c r="N491" s="11"/>
      <c r="P491" s="100"/>
      <c r="Q491" s="42">
        <v>1973</v>
      </c>
      <c r="R491" s="43">
        <f t="shared" si="237"/>
        <v>41</v>
      </c>
      <c r="S491" s="18">
        <v>27</v>
      </c>
      <c r="T491" s="18">
        <f t="shared" si="238"/>
        <v>3</v>
      </c>
      <c r="U491" s="18">
        <v>9</v>
      </c>
      <c r="V491" s="18">
        <f t="shared" si="239"/>
        <v>1</v>
      </c>
      <c r="W491" s="31">
        <v>0</v>
      </c>
      <c r="X491" s="40" t="str">
        <f t="shared" si="240"/>
        <v>AIモンスターマスコット</v>
      </c>
      <c r="Y491" s="43">
        <f t="shared" si="241"/>
        <v>286</v>
      </c>
      <c r="Z491" s="18">
        <f t="shared" ref="Z491:Z511" si="242">IF(U491="","",V491*Y491)</f>
        <v>286</v>
      </c>
      <c r="AA491" s="19">
        <f t="shared" ref="AA491:AA511" si="243">IF(V491="","",Z491/(R491*100))</f>
        <v>6.9756097560975616E-2</v>
      </c>
      <c r="AB491" s="11"/>
    </row>
    <row r="492" spans="1:28" ht="15" customHeight="1" x14ac:dyDescent="0.2">
      <c r="A492" s="96"/>
      <c r="B492" s="81"/>
      <c r="C492" s="36"/>
      <c r="D492" s="36"/>
      <c r="E492" s="36"/>
      <c r="F492" s="22"/>
      <c r="G492" s="36"/>
      <c r="H492" s="36"/>
      <c r="I492" s="53"/>
      <c r="J492" s="48"/>
      <c r="K492" s="49"/>
      <c r="L492" s="22"/>
      <c r="M492" s="23"/>
      <c r="N492" s="11"/>
      <c r="P492" s="104"/>
      <c r="Q492" s="36"/>
      <c r="R492" s="36"/>
      <c r="S492" s="36"/>
      <c r="T492" s="22"/>
      <c r="U492" s="36"/>
      <c r="V492" s="36"/>
      <c r="W492" s="53"/>
      <c r="X492" s="48"/>
      <c r="Y492" s="49"/>
      <c r="Z492" s="22"/>
      <c r="AA492" s="23"/>
      <c r="AB492" s="11"/>
    </row>
    <row r="493" spans="1:28" ht="15" customHeight="1" x14ac:dyDescent="0.2">
      <c r="A493" s="97"/>
      <c r="B493" s="8"/>
      <c r="C493" s="9"/>
      <c r="D493" s="9"/>
      <c r="E493" s="9"/>
      <c r="F493" s="9"/>
      <c r="G493" s="9"/>
      <c r="H493" s="9"/>
      <c r="I493" s="13"/>
      <c r="J493" s="39"/>
      <c r="K493" s="37"/>
      <c r="L493" s="9"/>
      <c r="M493" s="10"/>
      <c r="N493" s="11"/>
      <c r="P493" s="97"/>
      <c r="Q493" s="9"/>
      <c r="R493" s="9"/>
      <c r="S493" s="9"/>
      <c r="T493" s="9"/>
      <c r="U493" s="9"/>
      <c r="V493" s="9"/>
      <c r="W493" s="13"/>
      <c r="X493" s="39"/>
      <c r="Y493" s="37"/>
      <c r="Z493" s="9"/>
      <c r="AA493" s="10"/>
      <c r="AB493" s="11"/>
    </row>
    <row r="494" spans="1:28" ht="15" customHeight="1" x14ac:dyDescent="0.2">
      <c r="A494" s="97"/>
      <c r="B494" s="8"/>
      <c r="C494" s="25"/>
      <c r="D494" s="9"/>
      <c r="E494" s="9"/>
      <c r="F494" s="9"/>
      <c r="G494" s="25"/>
      <c r="H494" s="9"/>
      <c r="I494" s="32"/>
      <c r="J494" s="39"/>
      <c r="K494" s="9"/>
      <c r="L494" s="9"/>
      <c r="M494" s="10"/>
      <c r="N494" s="11"/>
      <c r="P494" s="97"/>
      <c r="Q494" s="25"/>
      <c r="R494" s="9"/>
      <c r="S494" s="9"/>
      <c r="T494" s="9"/>
      <c r="U494" s="25"/>
      <c r="V494" s="9"/>
      <c r="W494" s="32"/>
      <c r="X494" s="39"/>
      <c r="Y494" s="9"/>
      <c r="Z494" s="9"/>
      <c r="AA494" s="10"/>
      <c r="AB494" s="11"/>
    </row>
    <row r="495" spans="1:28" ht="15" customHeight="1" thickBot="1" x14ac:dyDescent="0.25">
      <c r="A495" s="100"/>
      <c r="B495" s="82"/>
      <c r="C495" s="18"/>
      <c r="D495" s="43"/>
      <c r="E495" s="18"/>
      <c r="F495" s="18"/>
      <c r="G495" s="18"/>
      <c r="H495" s="18"/>
      <c r="I495" s="31"/>
      <c r="J495" s="40"/>
      <c r="K495" s="43"/>
      <c r="L495" s="18"/>
      <c r="M495" s="19"/>
      <c r="N495" s="11"/>
      <c r="P495" s="100"/>
      <c r="Q495" s="18"/>
      <c r="R495" s="43"/>
      <c r="S495" s="18"/>
      <c r="T495" s="18"/>
      <c r="U495" s="18"/>
      <c r="V495" s="18"/>
      <c r="W495" s="31"/>
      <c r="X495" s="40"/>
      <c r="Y495" s="43"/>
      <c r="Z495" s="18"/>
      <c r="AA495" s="19"/>
      <c r="AB495" s="11"/>
    </row>
    <row r="496" spans="1:28" ht="15" customHeight="1" thickTop="1" x14ac:dyDescent="0.2">
      <c r="A496" s="96"/>
      <c r="B496" s="81">
        <f>SUM(D496:D499)+SUM(R496:R499)</f>
        <v>0</v>
      </c>
      <c r="C496" s="36"/>
      <c r="D496" s="36" t="str">
        <f t="shared" ref="D496:D511" si="244">IF(C496="","",C496-C492)</f>
        <v/>
      </c>
      <c r="E496" s="36"/>
      <c r="F496" s="22" t="str">
        <f t="shared" ref="F496:F511" si="245">IF(E496="","",E496-E492)</f>
        <v/>
      </c>
      <c r="G496" s="36"/>
      <c r="H496" s="36" t="str">
        <f t="shared" si="232"/>
        <v/>
      </c>
      <c r="I496" s="53"/>
      <c r="J496" s="48" t="str">
        <f t="shared" ref="J496:J511" si="246">IF(C496="","",J492)</f>
        <v/>
      </c>
      <c r="K496" s="49" t="str">
        <f t="shared" ref="K496:K511" si="247">IF(D496="","",K492)</f>
        <v/>
      </c>
      <c r="L496" s="22" t="str">
        <f t="shared" ref="L496:L511" si="248">IF(G496="","",H496*K496)</f>
        <v/>
      </c>
      <c r="M496" s="23" t="str">
        <f t="shared" ref="M496:M511" si="249">IF(H496="","",L496/(D496*100))</f>
        <v/>
      </c>
      <c r="N496" s="11"/>
      <c r="P496" s="104" t="str">
        <f>IF(A496="","",A496)</f>
        <v/>
      </c>
      <c r="Q496" s="36"/>
      <c r="R496" s="36" t="str">
        <f t="shared" ref="R496:R511" si="250">IF(Q496="","",Q496-Q492)</f>
        <v/>
      </c>
      <c r="S496" s="36"/>
      <c r="T496" s="22" t="str">
        <f t="shared" ref="T496:T511" si="251">IF(S496="","",S496-S492)</f>
        <v/>
      </c>
      <c r="U496" s="36"/>
      <c r="V496" s="36" t="str">
        <f t="shared" ref="V496:V511" si="252">IF(U496="","",U492+W492-U496)</f>
        <v/>
      </c>
      <c r="W496" s="53"/>
      <c r="X496" s="48" t="str">
        <f t="shared" ref="X496:X511" si="253">IF(Q496="","",X492)</f>
        <v/>
      </c>
      <c r="Y496" s="49" t="str">
        <f t="shared" ref="Y496:Y511" si="254">IF(R496="","",Y492)</f>
        <v/>
      </c>
      <c r="Z496" s="22" t="str">
        <f t="shared" si="242"/>
        <v/>
      </c>
      <c r="AA496" s="23" t="str">
        <f t="shared" si="243"/>
        <v/>
      </c>
      <c r="AB496" s="11"/>
    </row>
    <row r="497" spans="1:28" ht="15" customHeight="1" x14ac:dyDescent="0.2">
      <c r="A497" s="97"/>
      <c r="B497" s="8"/>
      <c r="C497" s="36"/>
      <c r="D497" s="9" t="str">
        <f t="shared" si="244"/>
        <v/>
      </c>
      <c r="E497" s="9"/>
      <c r="F497" s="9" t="str">
        <f t="shared" si="245"/>
        <v/>
      </c>
      <c r="G497" s="9"/>
      <c r="H497" s="9" t="str">
        <f t="shared" si="232"/>
        <v/>
      </c>
      <c r="I497" s="13"/>
      <c r="J497" s="39" t="str">
        <f t="shared" si="246"/>
        <v/>
      </c>
      <c r="K497" s="37" t="str">
        <f t="shared" si="247"/>
        <v/>
      </c>
      <c r="L497" s="9" t="str">
        <f t="shared" si="248"/>
        <v/>
      </c>
      <c r="M497" s="10" t="str">
        <f t="shared" si="249"/>
        <v/>
      </c>
      <c r="N497" s="11"/>
      <c r="P497" s="97"/>
      <c r="Q497" s="36"/>
      <c r="R497" s="9" t="str">
        <f t="shared" si="250"/>
        <v/>
      </c>
      <c r="S497" s="9"/>
      <c r="T497" s="9" t="str">
        <f t="shared" si="251"/>
        <v/>
      </c>
      <c r="U497" s="9"/>
      <c r="V497" s="9" t="str">
        <f t="shared" si="252"/>
        <v/>
      </c>
      <c r="W497" s="13"/>
      <c r="X497" s="39" t="str">
        <f t="shared" si="253"/>
        <v/>
      </c>
      <c r="Y497" s="37" t="str">
        <f t="shared" si="254"/>
        <v/>
      </c>
      <c r="Z497" s="9" t="str">
        <f t="shared" si="242"/>
        <v/>
      </c>
      <c r="AA497" s="10" t="str">
        <f t="shared" si="243"/>
        <v/>
      </c>
      <c r="AB497" s="11"/>
    </row>
    <row r="498" spans="1:28" ht="15" customHeight="1" x14ac:dyDescent="0.2">
      <c r="A498" s="97"/>
      <c r="B498" s="8"/>
      <c r="C498" s="44"/>
      <c r="D498" s="9" t="str">
        <f t="shared" si="244"/>
        <v/>
      </c>
      <c r="E498" s="9"/>
      <c r="F498" s="9" t="str">
        <f t="shared" si="245"/>
        <v/>
      </c>
      <c r="G498" s="9"/>
      <c r="H498" s="9" t="str">
        <f t="shared" si="232"/>
        <v/>
      </c>
      <c r="I498" s="13"/>
      <c r="J498" s="39" t="str">
        <f t="shared" si="246"/>
        <v/>
      </c>
      <c r="K498" s="9" t="str">
        <f t="shared" si="247"/>
        <v/>
      </c>
      <c r="L498" s="9" t="str">
        <f t="shared" si="248"/>
        <v/>
      </c>
      <c r="M498" s="10" t="str">
        <f t="shared" si="249"/>
        <v/>
      </c>
      <c r="N498" s="11"/>
      <c r="P498" s="97"/>
      <c r="Q498" s="44"/>
      <c r="R498" s="9" t="str">
        <f t="shared" si="250"/>
        <v/>
      </c>
      <c r="S498" s="9"/>
      <c r="T498" s="9" t="str">
        <f t="shared" si="251"/>
        <v/>
      </c>
      <c r="U498" s="9"/>
      <c r="V498" s="9" t="str">
        <f t="shared" si="252"/>
        <v/>
      </c>
      <c r="W498" s="13"/>
      <c r="X498" s="39" t="str">
        <f t="shared" si="253"/>
        <v/>
      </c>
      <c r="Y498" s="9" t="str">
        <f t="shared" si="254"/>
        <v/>
      </c>
      <c r="Z498" s="9" t="str">
        <f t="shared" si="242"/>
        <v/>
      </c>
      <c r="AA498" s="10" t="str">
        <f t="shared" si="243"/>
        <v/>
      </c>
      <c r="AB498" s="11"/>
    </row>
    <row r="499" spans="1:28" ht="15" customHeight="1" thickBot="1" x14ac:dyDescent="0.25">
      <c r="A499" s="100"/>
      <c r="B499" s="82"/>
      <c r="C499" s="42"/>
      <c r="D499" s="43" t="str">
        <f t="shared" si="244"/>
        <v/>
      </c>
      <c r="E499" s="18"/>
      <c r="F499" s="18" t="str">
        <f t="shared" si="245"/>
        <v/>
      </c>
      <c r="G499" s="18"/>
      <c r="H499" s="18" t="str">
        <f t="shared" si="232"/>
        <v/>
      </c>
      <c r="I499" s="31"/>
      <c r="J499" s="40" t="str">
        <f t="shared" si="246"/>
        <v/>
      </c>
      <c r="K499" s="43" t="str">
        <f t="shared" si="247"/>
        <v/>
      </c>
      <c r="L499" s="18" t="str">
        <f t="shared" si="248"/>
        <v/>
      </c>
      <c r="M499" s="19" t="str">
        <f t="shared" si="249"/>
        <v/>
      </c>
      <c r="N499" s="11"/>
      <c r="P499" s="100"/>
      <c r="Q499" s="42"/>
      <c r="R499" s="43" t="str">
        <f t="shared" si="250"/>
        <v/>
      </c>
      <c r="S499" s="18"/>
      <c r="T499" s="18" t="str">
        <f t="shared" si="251"/>
        <v/>
      </c>
      <c r="U499" s="18"/>
      <c r="V499" s="18" t="str">
        <f t="shared" si="252"/>
        <v/>
      </c>
      <c r="W499" s="31"/>
      <c r="X499" s="40" t="str">
        <f t="shared" si="253"/>
        <v/>
      </c>
      <c r="Y499" s="43" t="str">
        <f t="shared" si="254"/>
        <v/>
      </c>
      <c r="Z499" s="18" t="str">
        <f t="shared" si="242"/>
        <v/>
      </c>
      <c r="AA499" s="19" t="str">
        <f t="shared" si="243"/>
        <v/>
      </c>
      <c r="AB499" s="11"/>
    </row>
    <row r="500" spans="1:28" ht="15" customHeight="1" thickTop="1" x14ac:dyDescent="0.2">
      <c r="A500" s="96"/>
      <c r="B500" s="81">
        <f>SUM(D500:D503)+SUM(R500:R503)</f>
        <v>0</v>
      </c>
      <c r="C500" s="36"/>
      <c r="D500" s="36" t="str">
        <f t="shared" si="244"/>
        <v/>
      </c>
      <c r="E500" s="36"/>
      <c r="F500" s="22" t="str">
        <f t="shared" si="245"/>
        <v/>
      </c>
      <c r="G500" s="36"/>
      <c r="H500" s="36" t="str">
        <f t="shared" si="232"/>
        <v/>
      </c>
      <c r="I500" s="13"/>
      <c r="J500" s="48" t="str">
        <f t="shared" si="246"/>
        <v/>
      </c>
      <c r="K500" s="49" t="str">
        <f t="shared" si="247"/>
        <v/>
      </c>
      <c r="L500" s="22" t="str">
        <f t="shared" si="248"/>
        <v/>
      </c>
      <c r="M500" s="23" t="str">
        <f t="shared" si="249"/>
        <v/>
      </c>
      <c r="N500" s="11"/>
      <c r="P500" s="104" t="str">
        <f>IF(A500="","",A500)</f>
        <v/>
      </c>
      <c r="Q500" s="36"/>
      <c r="R500" s="36" t="str">
        <f t="shared" si="250"/>
        <v/>
      </c>
      <c r="S500" s="36"/>
      <c r="T500" s="22" t="str">
        <f t="shared" si="251"/>
        <v/>
      </c>
      <c r="U500" s="36"/>
      <c r="V500" s="36" t="str">
        <f t="shared" si="252"/>
        <v/>
      </c>
      <c r="W500" s="13"/>
      <c r="X500" s="48" t="str">
        <f t="shared" si="253"/>
        <v/>
      </c>
      <c r="Y500" s="49" t="str">
        <f t="shared" si="254"/>
        <v/>
      </c>
      <c r="Z500" s="22" t="str">
        <f t="shared" si="242"/>
        <v/>
      </c>
      <c r="AA500" s="23" t="str">
        <f t="shared" si="243"/>
        <v/>
      </c>
      <c r="AB500" s="11"/>
    </row>
    <row r="501" spans="1:28" ht="15" customHeight="1" x14ac:dyDescent="0.2">
      <c r="A501" s="97"/>
      <c r="B501" s="8"/>
      <c r="C501" s="9"/>
      <c r="D501" s="9" t="str">
        <f t="shared" si="244"/>
        <v/>
      </c>
      <c r="E501" s="9"/>
      <c r="F501" s="9" t="str">
        <f t="shared" si="245"/>
        <v/>
      </c>
      <c r="G501" s="9"/>
      <c r="H501" s="9" t="str">
        <f t="shared" si="232"/>
        <v/>
      </c>
      <c r="I501" s="13"/>
      <c r="J501" s="39" t="str">
        <f t="shared" si="246"/>
        <v/>
      </c>
      <c r="K501" s="37" t="str">
        <f t="shared" si="247"/>
        <v/>
      </c>
      <c r="L501" s="9" t="str">
        <f t="shared" si="248"/>
        <v/>
      </c>
      <c r="M501" s="10" t="str">
        <f t="shared" si="249"/>
        <v/>
      </c>
      <c r="N501" s="11"/>
      <c r="P501" s="97"/>
      <c r="Q501" s="9"/>
      <c r="R501" s="9" t="str">
        <f t="shared" si="250"/>
        <v/>
      </c>
      <c r="S501" s="9"/>
      <c r="T501" s="9" t="str">
        <f t="shared" si="251"/>
        <v/>
      </c>
      <c r="U501" s="9"/>
      <c r="V501" s="9" t="str">
        <f t="shared" si="252"/>
        <v/>
      </c>
      <c r="W501" s="13"/>
      <c r="X501" s="39" t="str">
        <f t="shared" si="253"/>
        <v/>
      </c>
      <c r="Y501" s="37" t="str">
        <f t="shared" si="254"/>
        <v/>
      </c>
      <c r="Z501" s="9" t="str">
        <f t="shared" si="242"/>
        <v/>
      </c>
      <c r="AA501" s="10" t="str">
        <f t="shared" si="243"/>
        <v/>
      </c>
      <c r="AB501" s="11"/>
    </row>
    <row r="502" spans="1:28" ht="15" customHeight="1" x14ac:dyDescent="0.2">
      <c r="A502" s="97"/>
      <c r="B502" s="8"/>
      <c r="C502" s="25"/>
      <c r="D502" s="9" t="str">
        <f t="shared" si="244"/>
        <v/>
      </c>
      <c r="E502" s="9"/>
      <c r="F502" s="9" t="str">
        <f t="shared" si="245"/>
        <v/>
      </c>
      <c r="G502" s="25"/>
      <c r="H502" s="9" t="str">
        <f t="shared" si="232"/>
        <v/>
      </c>
      <c r="I502" s="32"/>
      <c r="J502" s="39" t="str">
        <f t="shared" si="246"/>
        <v/>
      </c>
      <c r="K502" s="9" t="str">
        <f t="shared" si="247"/>
        <v/>
      </c>
      <c r="L502" s="9" t="str">
        <f t="shared" si="248"/>
        <v/>
      </c>
      <c r="M502" s="10" t="str">
        <f t="shared" si="249"/>
        <v/>
      </c>
      <c r="N502" s="11"/>
      <c r="P502" s="12"/>
      <c r="Q502" s="25"/>
      <c r="R502" s="9" t="str">
        <f t="shared" si="250"/>
        <v/>
      </c>
      <c r="S502" s="9"/>
      <c r="T502" s="9" t="str">
        <f t="shared" si="251"/>
        <v/>
      </c>
      <c r="U502" s="25"/>
      <c r="V502" s="9" t="str">
        <f t="shared" si="252"/>
        <v/>
      </c>
      <c r="W502" s="13"/>
      <c r="X502" s="39" t="str">
        <f t="shared" si="253"/>
        <v/>
      </c>
      <c r="Y502" s="9" t="str">
        <f t="shared" si="254"/>
        <v/>
      </c>
      <c r="Z502" s="9" t="str">
        <f t="shared" si="242"/>
        <v/>
      </c>
      <c r="AA502" s="10" t="str">
        <f t="shared" si="243"/>
        <v/>
      </c>
      <c r="AB502" s="11"/>
    </row>
    <row r="503" spans="1:28" ht="15" customHeight="1" thickBot="1" x14ac:dyDescent="0.25">
      <c r="A503" s="100"/>
      <c r="B503" s="87"/>
      <c r="C503" s="18"/>
      <c r="D503" s="43" t="str">
        <f t="shared" si="244"/>
        <v/>
      </c>
      <c r="E503" s="18"/>
      <c r="F503" s="18" t="str">
        <f t="shared" si="245"/>
        <v/>
      </c>
      <c r="G503" s="121"/>
      <c r="H503" s="20" t="str">
        <f t="shared" si="232"/>
        <v/>
      </c>
      <c r="I503" s="122"/>
      <c r="J503" s="123" t="str">
        <f t="shared" si="246"/>
        <v/>
      </c>
      <c r="K503" s="43" t="str">
        <f t="shared" si="247"/>
        <v/>
      </c>
      <c r="L503" s="18" t="str">
        <f t="shared" si="248"/>
        <v/>
      </c>
      <c r="M503" s="19" t="str">
        <f t="shared" si="249"/>
        <v/>
      </c>
      <c r="N503" s="11"/>
      <c r="P503" s="17"/>
      <c r="Q503" s="18"/>
      <c r="R503" s="43" t="str">
        <f t="shared" si="250"/>
        <v/>
      </c>
      <c r="S503" s="18"/>
      <c r="T503" s="18" t="str">
        <f t="shared" si="251"/>
        <v/>
      </c>
      <c r="U503" s="121"/>
      <c r="V503" s="18" t="str">
        <f t="shared" si="252"/>
        <v/>
      </c>
      <c r="W503" s="122"/>
      <c r="X503" s="40" t="str">
        <f t="shared" si="253"/>
        <v/>
      </c>
      <c r="Y503" s="43" t="str">
        <f t="shared" si="254"/>
        <v/>
      </c>
      <c r="Z503" s="18" t="str">
        <f t="shared" si="242"/>
        <v/>
      </c>
      <c r="AA503" s="19" t="str">
        <f t="shared" si="243"/>
        <v/>
      </c>
      <c r="AB503" s="11"/>
    </row>
    <row r="504" spans="1:28" ht="15" customHeight="1" thickTop="1" x14ac:dyDescent="0.2">
      <c r="A504" s="96"/>
      <c r="B504" s="81">
        <f>SUM(D504:D507)+SUM(R504:R507)</f>
        <v>0</v>
      </c>
      <c r="C504" s="36"/>
      <c r="D504" s="36" t="str">
        <f t="shared" si="244"/>
        <v/>
      </c>
      <c r="E504" s="36"/>
      <c r="F504" s="22" t="str">
        <f t="shared" si="245"/>
        <v/>
      </c>
      <c r="G504" s="36"/>
      <c r="H504" s="36" t="str">
        <f t="shared" si="232"/>
        <v/>
      </c>
      <c r="I504" s="36"/>
      <c r="J504" s="48" t="str">
        <f t="shared" si="246"/>
        <v/>
      </c>
      <c r="K504" s="49" t="str">
        <f t="shared" si="247"/>
        <v/>
      </c>
      <c r="L504" s="22" t="str">
        <f t="shared" si="248"/>
        <v/>
      </c>
      <c r="M504" s="23" t="str">
        <f t="shared" si="249"/>
        <v/>
      </c>
      <c r="N504" s="11"/>
      <c r="P504" s="57" t="str">
        <f>IF(A504="","",A504)</f>
        <v/>
      </c>
      <c r="Q504" s="36"/>
      <c r="R504" s="36" t="str">
        <f t="shared" si="250"/>
        <v/>
      </c>
      <c r="S504" s="36"/>
      <c r="T504" s="22" t="str">
        <f t="shared" si="251"/>
        <v/>
      </c>
      <c r="U504" s="36"/>
      <c r="V504" s="36" t="str">
        <f t="shared" si="252"/>
        <v/>
      </c>
      <c r="W504" s="36"/>
      <c r="X504" s="51" t="str">
        <f t="shared" si="253"/>
        <v/>
      </c>
      <c r="Y504" s="49" t="str">
        <f t="shared" si="254"/>
        <v/>
      </c>
      <c r="Z504" s="22" t="str">
        <f t="shared" si="242"/>
        <v/>
      </c>
      <c r="AA504" s="23" t="str">
        <f t="shared" si="243"/>
        <v/>
      </c>
      <c r="AB504" s="11"/>
    </row>
    <row r="505" spans="1:28" ht="15" customHeight="1" x14ac:dyDescent="0.2">
      <c r="A505" s="97"/>
      <c r="B505" s="8"/>
      <c r="C505" s="9"/>
      <c r="D505" s="9" t="str">
        <f t="shared" si="244"/>
        <v/>
      </c>
      <c r="E505" s="9"/>
      <c r="F505" s="9" t="str">
        <f t="shared" si="245"/>
        <v/>
      </c>
      <c r="G505" s="9"/>
      <c r="H505" s="9" t="str">
        <f t="shared" si="232"/>
        <v/>
      </c>
      <c r="I505" s="9"/>
      <c r="J505" s="39" t="str">
        <f t="shared" si="246"/>
        <v/>
      </c>
      <c r="K505" s="37" t="str">
        <f t="shared" si="247"/>
        <v/>
      </c>
      <c r="L505" s="9" t="str">
        <f t="shared" si="248"/>
        <v/>
      </c>
      <c r="M505" s="10" t="str">
        <f t="shared" si="249"/>
        <v/>
      </c>
      <c r="N505" s="11"/>
      <c r="P505" s="12"/>
      <c r="Q505" s="9"/>
      <c r="R505" s="9" t="str">
        <f t="shared" si="250"/>
        <v/>
      </c>
      <c r="S505" s="9"/>
      <c r="T505" s="9" t="str">
        <f t="shared" si="251"/>
        <v/>
      </c>
      <c r="U505" s="9"/>
      <c r="V505" s="9" t="str">
        <f t="shared" si="252"/>
        <v/>
      </c>
      <c r="W505" s="9"/>
      <c r="X505" s="14" t="str">
        <f t="shared" si="253"/>
        <v/>
      </c>
      <c r="Y505" s="37" t="str">
        <f t="shared" si="254"/>
        <v/>
      </c>
      <c r="Z505" s="9" t="str">
        <f t="shared" si="242"/>
        <v/>
      </c>
      <c r="AA505" s="10" t="str">
        <f t="shared" si="243"/>
        <v/>
      </c>
      <c r="AB505" s="11"/>
    </row>
    <row r="506" spans="1:28" ht="15" customHeight="1" x14ac:dyDescent="0.2">
      <c r="A506" s="97"/>
      <c r="B506" s="8"/>
      <c r="C506" s="9"/>
      <c r="D506" s="9" t="str">
        <f t="shared" si="244"/>
        <v/>
      </c>
      <c r="E506" s="9"/>
      <c r="F506" s="9" t="str">
        <f t="shared" si="245"/>
        <v/>
      </c>
      <c r="G506" s="9"/>
      <c r="H506" s="9" t="str">
        <f t="shared" si="232"/>
        <v/>
      </c>
      <c r="I506" s="9"/>
      <c r="J506" s="39" t="str">
        <f t="shared" si="246"/>
        <v/>
      </c>
      <c r="K506" s="9" t="str">
        <f t="shared" si="247"/>
        <v/>
      </c>
      <c r="L506" s="9" t="str">
        <f t="shared" si="248"/>
        <v/>
      </c>
      <c r="M506" s="10" t="str">
        <f t="shared" si="249"/>
        <v/>
      </c>
      <c r="N506" s="11"/>
      <c r="P506" s="12"/>
      <c r="Q506" s="9"/>
      <c r="R506" s="9" t="str">
        <f t="shared" si="250"/>
        <v/>
      </c>
      <c r="S506" s="9"/>
      <c r="T506" s="9" t="str">
        <f t="shared" si="251"/>
        <v/>
      </c>
      <c r="U506" s="9"/>
      <c r="V506" s="9" t="str">
        <f t="shared" si="252"/>
        <v/>
      </c>
      <c r="W506" s="9"/>
      <c r="X506" s="14" t="str">
        <f t="shared" si="253"/>
        <v/>
      </c>
      <c r="Y506" s="9" t="str">
        <f t="shared" si="254"/>
        <v/>
      </c>
      <c r="Z506" s="9" t="str">
        <f t="shared" si="242"/>
        <v/>
      </c>
      <c r="AA506" s="10" t="str">
        <f t="shared" si="243"/>
        <v/>
      </c>
      <c r="AB506" s="11"/>
    </row>
    <row r="507" spans="1:28" ht="15" customHeight="1" thickBot="1" x14ac:dyDescent="0.25">
      <c r="A507" s="100"/>
      <c r="B507" s="87"/>
      <c r="C507" s="18"/>
      <c r="D507" s="18" t="str">
        <f t="shared" si="244"/>
        <v/>
      </c>
      <c r="E507" s="18"/>
      <c r="F507" s="18" t="str">
        <f t="shared" si="245"/>
        <v/>
      </c>
      <c r="G507" s="18"/>
      <c r="H507" s="18"/>
      <c r="I507" s="18"/>
      <c r="J507" s="40" t="str">
        <f t="shared" si="246"/>
        <v/>
      </c>
      <c r="K507" s="43" t="str">
        <f t="shared" si="247"/>
        <v/>
      </c>
      <c r="L507" s="18" t="str">
        <f t="shared" si="248"/>
        <v/>
      </c>
      <c r="M507" s="19" t="str">
        <f t="shared" si="249"/>
        <v/>
      </c>
      <c r="N507" s="11"/>
      <c r="P507" s="17"/>
      <c r="Q507" s="18"/>
      <c r="R507" s="18" t="str">
        <f t="shared" si="250"/>
        <v/>
      </c>
      <c r="S507" s="18"/>
      <c r="T507" s="18" t="str">
        <f t="shared" si="251"/>
        <v/>
      </c>
      <c r="U507" s="18"/>
      <c r="V507" s="18" t="str">
        <f t="shared" si="252"/>
        <v/>
      </c>
      <c r="W507" s="18"/>
      <c r="X507" s="21" t="str">
        <f t="shared" si="253"/>
        <v/>
      </c>
      <c r="Y507" s="43" t="str">
        <f t="shared" si="254"/>
        <v/>
      </c>
      <c r="Z507" s="18" t="str">
        <f t="shared" si="242"/>
        <v/>
      </c>
      <c r="AA507" s="19" t="str">
        <f t="shared" si="243"/>
        <v/>
      </c>
      <c r="AB507" s="11"/>
    </row>
    <row r="508" spans="1:28" ht="15" customHeight="1" thickTop="1" x14ac:dyDescent="0.2">
      <c r="A508" s="96"/>
      <c r="B508" s="81">
        <f>SUM(D508:D511)+SUM(R508:R511)</f>
        <v>0</v>
      </c>
      <c r="C508" s="36"/>
      <c r="D508" s="36" t="str">
        <f t="shared" si="244"/>
        <v/>
      </c>
      <c r="E508" s="36"/>
      <c r="F508" s="36" t="str">
        <f t="shared" si="245"/>
        <v/>
      </c>
      <c r="G508" s="36"/>
      <c r="H508" s="36" t="str">
        <f>IF(G508="","",G504+I504-G508)</f>
        <v/>
      </c>
      <c r="I508" s="36"/>
      <c r="J508" s="48" t="str">
        <f t="shared" si="246"/>
        <v/>
      </c>
      <c r="K508" s="36" t="str">
        <f t="shared" si="247"/>
        <v/>
      </c>
      <c r="L508" s="36" t="str">
        <f t="shared" si="248"/>
        <v/>
      </c>
      <c r="M508" s="36" t="str">
        <f t="shared" si="249"/>
        <v/>
      </c>
      <c r="N508" s="11"/>
      <c r="P508" s="57" t="str">
        <f>IF(A508="","",A508)</f>
        <v/>
      </c>
      <c r="Q508" s="36"/>
      <c r="R508" s="36" t="str">
        <f t="shared" si="250"/>
        <v/>
      </c>
      <c r="S508" s="36"/>
      <c r="T508" s="36" t="str">
        <f t="shared" si="251"/>
        <v/>
      </c>
      <c r="U508" s="36"/>
      <c r="V508" s="36" t="str">
        <f t="shared" si="252"/>
        <v/>
      </c>
      <c r="W508" s="36"/>
      <c r="X508" s="51" t="str">
        <f t="shared" si="253"/>
        <v/>
      </c>
      <c r="Y508" s="36" t="str">
        <f t="shared" si="254"/>
        <v/>
      </c>
      <c r="Z508" s="36" t="str">
        <f t="shared" si="242"/>
        <v/>
      </c>
      <c r="AA508" s="36" t="str">
        <f t="shared" si="243"/>
        <v/>
      </c>
      <c r="AB508" s="11"/>
    </row>
    <row r="509" spans="1:28" ht="15" customHeight="1" x14ac:dyDescent="0.2">
      <c r="A509" s="96"/>
      <c r="B509" s="81"/>
      <c r="C509" s="36"/>
      <c r="D509" s="36" t="str">
        <f t="shared" si="244"/>
        <v/>
      </c>
      <c r="E509" s="36"/>
      <c r="F509" s="36" t="str">
        <f t="shared" si="245"/>
        <v/>
      </c>
      <c r="G509" s="36"/>
      <c r="H509" s="36" t="str">
        <f>IF(G509="","",G505+I505-G509)</f>
        <v/>
      </c>
      <c r="I509" s="36"/>
      <c r="J509" s="48" t="str">
        <f t="shared" si="246"/>
        <v/>
      </c>
      <c r="K509" s="36" t="str">
        <f t="shared" si="247"/>
        <v/>
      </c>
      <c r="L509" s="36" t="str">
        <f t="shared" si="248"/>
        <v/>
      </c>
      <c r="M509" s="36" t="str">
        <f t="shared" si="249"/>
        <v/>
      </c>
      <c r="N509" s="11"/>
      <c r="P509" s="52"/>
      <c r="Q509" s="36"/>
      <c r="R509" s="36" t="str">
        <f t="shared" si="250"/>
        <v/>
      </c>
      <c r="S509" s="36"/>
      <c r="T509" s="36" t="str">
        <f t="shared" si="251"/>
        <v/>
      </c>
      <c r="U509" s="36"/>
      <c r="V509" s="36" t="str">
        <f t="shared" si="252"/>
        <v/>
      </c>
      <c r="W509" s="36"/>
      <c r="X509" s="51" t="str">
        <f t="shared" si="253"/>
        <v/>
      </c>
      <c r="Y509" s="36" t="str">
        <f t="shared" si="254"/>
        <v/>
      </c>
      <c r="Z509" s="36" t="str">
        <f t="shared" si="242"/>
        <v/>
      </c>
      <c r="AA509" s="36" t="str">
        <f t="shared" si="243"/>
        <v/>
      </c>
      <c r="AB509" s="11"/>
    </row>
    <row r="510" spans="1:28" ht="15" customHeight="1" x14ac:dyDescent="0.2">
      <c r="A510" s="4"/>
      <c r="B510" s="84"/>
      <c r="C510" s="44"/>
      <c r="D510" s="44" t="str">
        <f t="shared" si="244"/>
        <v/>
      </c>
      <c r="E510" s="44"/>
      <c r="F510" s="44" t="str">
        <f t="shared" si="245"/>
        <v/>
      </c>
      <c r="G510" s="44"/>
      <c r="H510" s="44" t="str">
        <f>IF(G510="","",G506+I506-G510)</f>
        <v/>
      </c>
      <c r="I510" s="44"/>
      <c r="J510" s="67" t="str">
        <f t="shared" si="246"/>
        <v/>
      </c>
      <c r="K510" s="44" t="str">
        <f t="shared" si="247"/>
        <v/>
      </c>
      <c r="L510" s="44" t="str">
        <f t="shared" si="248"/>
        <v/>
      </c>
      <c r="M510" s="44" t="str">
        <f t="shared" si="249"/>
        <v/>
      </c>
      <c r="N510" s="28"/>
      <c r="P510" s="64"/>
      <c r="Q510" s="44"/>
      <c r="R510" s="44" t="str">
        <f t="shared" si="250"/>
        <v/>
      </c>
      <c r="S510" s="44"/>
      <c r="T510" s="44" t="str">
        <f t="shared" si="251"/>
        <v/>
      </c>
      <c r="U510" s="44"/>
      <c r="V510" s="44" t="str">
        <f t="shared" si="252"/>
        <v/>
      </c>
      <c r="W510" s="44"/>
      <c r="X510" s="65" t="str">
        <f t="shared" si="253"/>
        <v/>
      </c>
      <c r="Y510" s="44" t="str">
        <f t="shared" si="254"/>
        <v/>
      </c>
      <c r="Z510" s="44" t="str">
        <f t="shared" si="242"/>
        <v/>
      </c>
      <c r="AA510" s="44" t="str">
        <f t="shared" si="243"/>
        <v/>
      </c>
      <c r="AB510" s="28"/>
    </row>
    <row r="511" spans="1:28" ht="15" customHeight="1" thickBot="1" x14ac:dyDescent="0.25">
      <c r="A511" s="74"/>
      <c r="B511" s="85"/>
      <c r="C511" s="42"/>
      <c r="D511" s="42" t="str">
        <f t="shared" si="244"/>
        <v/>
      </c>
      <c r="E511" s="42"/>
      <c r="F511" s="42" t="str">
        <f t="shared" si="245"/>
        <v/>
      </c>
      <c r="G511" s="42"/>
      <c r="H511" s="42" t="str">
        <f>IF(G511="","",G507+I507-G511)</f>
        <v/>
      </c>
      <c r="I511" s="42"/>
      <c r="J511" s="66" t="str">
        <f t="shared" si="246"/>
        <v/>
      </c>
      <c r="K511" s="42" t="str">
        <f t="shared" si="247"/>
        <v/>
      </c>
      <c r="L511" s="42" t="str">
        <f t="shared" si="248"/>
        <v/>
      </c>
      <c r="M511" s="42" t="str">
        <f t="shared" si="249"/>
        <v/>
      </c>
      <c r="N511" s="63"/>
      <c r="P511" s="61"/>
      <c r="Q511" s="42"/>
      <c r="R511" s="42" t="str">
        <f t="shared" si="250"/>
        <v/>
      </c>
      <c r="S511" s="42"/>
      <c r="T511" s="42" t="str">
        <f t="shared" si="251"/>
        <v/>
      </c>
      <c r="U511" s="42"/>
      <c r="V511" s="42" t="str">
        <f t="shared" si="252"/>
        <v/>
      </c>
      <c r="W511" s="42"/>
      <c r="X511" s="62" t="str">
        <f t="shared" si="253"/>
        <v/>
      </c>
      <c r="Y511" s="42" t="str">
        <f t="shared" si="254"/>
        <v/>
      </c>
      <c r="Z511" s="42" t="str">
        <f t="shared" si="242"/>
        <v/>
      </c>
      <c r="AA511" s="42" t="str">
        <f t="shared" si="243"/>
        <v/>
      </c>
      <c r="AB511" s="63"/>
    </row>
    <row r="512" spans="1:28" ht="15" customHeight="1" thickTop="1" x14ac:dyDescent="0.2">
      <c r="A512" s="52"/>
      <c r="B512" s="81"/>
      <c r="C512" s="60" t="s">
        <v>40</v>
      </c>
      <c r="D512" s="36">
        <f>SUM(D456:D508)*100</f>
        <v>372900</v>
      </c>
      <c r="E512" s="93" t="s">
        <v>41</v>
      </c>
      <c r="F512" s="36"/>
      <c r="G512" s="60"/>
      <c r="H512" s="36"/>
      <c r="I512" s="36"/>
      <c r="J512" s="209" t="s">
        <v>42</v>
      </c>
      <c r="K512" s="209"/>
      <c r="L512" s="36">
        <f>SUM(L456:L508)</f>
        <v>37202</v>
      </c>
      <c r="M512" s="36"/>
      <c r="N512" s="55"/>
      <c r="P512" s="52"/>
      <c r="Q512" s="60" t="s">
        <v>40</v>
      </c>
      <c r="R512" s="36">
        <f>SUM(R456:R508)*100</f>
        <v>254300</v>
      </c>
      <c r="S512" s="93" t="s">
        <v>41</v>
      </c>
      <c r="T512" s="36"/>
      <c r="U512" s="60"/>
      <c r="V512" s="36"/>
      <c r="W512" s="36"/>
      <c r="X512" s="209" t="s">
        <v>42</v>
      </c>
      <c r="Y512" s="209"/>
      <c r="Z512" s="36">
        <f>SUM(Z456:Z508)</f>
        <v>36574</v>
      </c>
      <c r="AA512" s="36"/>
      <c r="AB512" s="55"/>
    </row>
    <row r="513" spans="1:28" ht="15" customHeight="1" x14ac:dyDescent="0.2">
      <c r="A513" s="24"/>
      <c r="B513" s="86"/>
      <c r="C513" s="5" t="s">
        <v>43</v>
      </c>
      <c r="D513" s="9">
        <f>D512/A517</f>
        <v>12029.032258064517</v>
      </c>
      <c r="E513" s="9">
        <f>D513*A516</f>
        <v>372900</v>
      </c>
      <c r="F513" s="9"/>
      <c r="G513" s="5"/>
      <c r="H513" s="9"/>
      <c r="I513" s="9"/>
      <c r="J513" s="210" t="s">
        <v>44</v>
      </c>
      <c r="K513" s="210"/>
      <c r="L513" s="9"/>
      <c r="M513" s="26">
        <f>L512/D512</f>
        <v>9.9764011799410024E-2</v>
      </c>
      <c r="N513" s="11"/>
      <c r="P513" s="34"/>
      <c r="Q513" s="5" t="s">
        <v>43</v>
      </c>
      <c r="R513" s="9">
        <f>R512/A517</f>
        <v>8203.2258064516136</v>
      </c>
      <c r="S513" s="9">
        <f>R513*A516</f>
        <v>254300.00000000003</v>
      </c>
      <c r="T513" s="9"/>
      <c r="U513" s="5"/>
      <c r="V513" s="9"/>
      <c r="W513" s="9"/>
      <c r="X513" s="210" t="s">
        <v>44</v>
      </c>
      <c r="Y513" s="210"/>
      <c r="Z513" s="9"/>
      <c r="AA513" s="26">
        <f>Z512/R512</f>
        <v>0.14382225717656311</v>
      </c>
      <c r="AB513" s="11"/>
    </row>
    <row r="514" spans="1:28" ht="15" customHeight="1" x14ac:dyDescent="0.2">
      <c r="A514" s="12"/>
      <c r="B514" s="88"/>
      <c r="C514" s="47" t="s">
        <v>45</v>
      </c>
      <c r="D514" s="9">
        <f>D512*0.6</f>
        <v>223740</v>
      </c>
      <c r="E514" s="9"/>
      <c r="F514" s="9"/>
      <c r="G514" s="5"/>
      <c r="H514" s="9"/>
      <c r="I514" s="9"/>
      <c r="J514" s="210" t="s">
        <v>46</v>
      </c>
      <c r="K514" s="210"/>
      <c r="L514" s="9">
        <f>D514-L512</f>
        <v>186538</v>
      </c>
      <c r="M514" s="26">
        <f>L514/D512</f>
        <v>0.50023598820059001</v>
      </c>
      <c r="N514" s="11"/>
      <c r="P514" s="12"/>
      <c r="Q514" s="47" t="s">
        <v>45</v>
      </c>
      <c r="R514" s="9">
        <f>R512*0.6</f>
        <v>152580</v>
      </c>
      <c r="S514" s="9"/>
      <c r="T514" s="9"/>
      <c r="U514" s="5"/>
      <c r="V514" s="9"/>
      <c r="W514" s="9"/>
      <c r="X514" s="210" t="s">
        <v>46</v>
      </c>
      <c r="Y514" s="210"/>
      <c r="Z514" s="9">
        <f>R514-Z512</f>
        <v>116006</v>
      </c>
      <c r="AA514" s="26">
        <f>Z514/R512</f>
        <v>0.45617774282343687</v>
      </c>
      <c r="AB514" s="11"/>
    </row>
    <row r="515" spans="1:28" ht="15" customHeight="1" x14ac:dyDescent="0.2">
      <c r="A515" s="52"/>
      <c r="B515" s="81"/>
      <c r="C515" s="5" t="s">
        <v>47</v>
      </c>
      <c r="D515" s="9">
        <f>D587</f>
        <v>403400</v>
      </c>
      <c r="E515" s="9"/>
      <c r="F515" s="9"/>
      <c r="G515" s="5"/>
      <c r="H515" s="9"/>
      <c r="I515" s="16"/>
      <c r="J515" s="205" t="s">
        <v>48</v>
      </c>
      <c r="K515" s="205"/>
      <c r="L515" s="36">
        <f>(G488+I488)*K488+(G489+I489)*K489+(G490+I490)*K490+(G491+I491)*K491</f>
        <v>30448</v>
      </c>
      <c r="M515" s="10"/>
      <c r="N515" s="11"/>
      <c r="P515" s="52"/>
      <c r="Q515" s="5" t="s">
        <v>47</v>
      </c>
      <c r="R515" s="9">
        <f>R587</f>
        <v>372000</v>
      </c>
      <c r="S515" s="9"/>
      <c r="T515" s="9"/>
      <c r="U515" s="5"/>
      <c r="V515" s="9"/>
      <c r="W515" s="16"/>
      <c r="X515" s="205" t="s">
        <v>48</v>
      </c>
      <c r="Y515" s="205"/>
      <c r="Z515" s="36">
        <f>(U488+W488)*Y488+(U489+W489)*Y489+(U490+W490)*Y490+(U491+W491)*Y491</f>
        <v>25049</v>
      </c>
      <c r="AA515" s="10"/>
      <c r="AB515" s="11"/>
    </row>
    <row r="516" spans="1:28" ht="15" customHeight="1" x14ac:dyDescent="0.2">
      <c r="A516" s="4">
        <v>31</v>
      </c>
      <c r="B516" s="113">
        <f>SUM(B456:B508)*100</f>
        <v>627200</v>
      </c>
      <c r="C516" s="5"/>
      <c r="D516" s="9"/>
      <c r="E516" s="9"/>
      <c r="F516" s="9"/>
      <c r="G516" s="5"/>
      <c r="H516" s="9"/>
      <c r="I516" s="16"/>
      <c r="J516" s="140"/>
      <c r="K516" s="71"/>
      <c r="L516" s="49"/>
      <c r="M516" s="10"/>
      <c r="N516" s="11"/>
      <c r="P516" s="52"/>
      <c r="Q516" s="5"/>
      <c r="R516" s="9"/>
      <c r="S516" s="9"/>
      <c r="T516" s="9"/>
      <c r="U516" s="5"/>
      <c r="V516" s="9"/>
      <c r="W516" s="16"/>
      <c r="X516" s="70"/>
      <c r="Y516" s="71"/>
      <c r="Z516" s="49"/>
      <c r="AA516" s="10"/>
      <c r="AB516" s="11"/>
    </row>
    <row r="517" spans="1:28" ht="15" customHeight="1" x14ac:dyDescent="0.2">
      <c r="A517" s="69">
        <f>DATEDIF(A$571,A488,"d")</f>
        <v>31</v>
      </c>
      <c r="B517" s="81"/>
      <c r="C517" s="5"/>
      <c r="D517" s="9"/>
      <c r="E517" s="25"/>
      <c r="F517" s="9"/>
      <c r="G517" s="5"/>
      <c r="H517" s="9"/>
      <c r="I517" s="16"/>
      <c r="J517" s="140"/>
      <c r="K517" s="71"/>
      <c r="L517" s="49"/>
      <c r="M517" s="10"/>
      <c r="N517" s="11"/>
      <c r="P517" s="52"/>
      <c r="Q517" s="5"/>
      <c r="R517" s="9"/>
      <c r="S517" s="9"/>
      <c r="T517" s="9"/>
      <c r="U517" s="5"/>
      <c r="V517" s="9"/>
      <c r="W517" s="16"/>
      <c r="X517" s="70"/>
      <c r="Y517" s="71"/>
      <c r="Z517" s="49"/>
      <c r="AA517" s="10"/>
      <c r="AB517" s="11"/>
    </row>
    <row r="518" spans="1:28" x14ac:dyDescent="0.2">
      <c r="A518" s="206" t="s">
        <v>49</v>
      </c>
      <c r="B518" s="206"/>
      <c r="C518" s="206"/>
      <c r="D518" s="27">
        <f>SUM(D456,D460,D464,D468,D472,D476,D480,D484,D488,D492,D496,D500,D504)*100</f>
        <v>89300</v>
      </c>
      <c r="E518" s="37"/>
      <c r="F518" s="9"/>
      <c r="G518" s="5">
        <f>D518/H518</f>
        <v>4961.1111111111113</v>
      </c>
      <c r="H518" s="27">
        <f>SUM(H456,H460,H464,H468,H472,H476,H481,H484,H488,H492,H496,H500,H504)</f>
        <v>18</v>
      </c>
      <c r="I518" s="9"/>
      <c r="J518" s="48" t="str">
        <f t="shared" ref="J518:K521" si="255">J456</f>
        <v>ジャグラーサウンドボタン</v>
      </c>
      <c r="K518" s="49">
        <f t="shared" si="255"/>
        <v>748</v>
      </c>
      <c r="L518" s="27">
        <f>SUM(L456,L460,L464,L468,L472,L476,L481,L484,L488,L492,L496,L500,L504)</f>
        <v>13816</v>
      </c>
      <c r="M518" s="26">
        <f>L518/D518</f>
        <v>0.15471444568868981</v>
      </c>
      <c r="N518" s="11"/>
      <c r="O518" s="15"/>
      <c r="P518" s="206" t="s">
        <v>49</v>
      </c>
      <c r="Q518" s="206"/>
      <c r="R518" s="27">
        <f>SUM(R456,R460,R464,R468,R472,R476,R480,R484,R488,R492,R496,R500,R504)*100</f>
        <v>55500</v>
      </c>
      <c r="S518" s="37"/>
      <c r="T518" s="9"/>
      <c r="U518" s="5">
        <f>R518/V518</f>
        <v>3700</v>
      </c>
      <c r="V518" s="27">
        <f>SUM(V456,V460,V464,V468,V472,V476,V481,V484,V488,V492,V496,V500,V504)</f>
        <v>15</v>
      </c>
      <c r="W518" s="9"/>
      <c r="X518" s="48" t="str">
        <f t="shared" ref="X518:Y521" si="256">X456</f>
        <v>電ブル</v>
      </c>
      <c r="Y518" s="49">
        <f t="shared" si="256"/>
        <v>275</v>
      </c>
      <c r="Z518" s="27">
        <f>SUM(Z456,Z460,Z464,Z468,Z472,Z476,Z481,Z484,Z488,Z492,Z496,Z500,Z504)</f>
        <v>4125</v>
      </c>
      <c r="AA518" s="26">
        <f>Z518/R518</f>
        <v>7.4324324324324328E-2</v>
      </c>
      <c r="AB518" s="11"/>
    </row>
    <row r="519" spans="1:28" x14ac:dyDescent="0.2">
      <c r="A519" s="206" t="s">
        <v>49</v>
      </c>
      <c r="B519" s="206"/>
      <c r="C519" s="206"/>
      <c r="D519" s="27">
        <f>SUM(D457,D461,D465,D469,D473,D477,D481,D485,D489,D493,D497,D501,D505)*100</f>
        <v>116200</v>
      </c>
      <c r="E519" s="37"/>
      <c r="F519" s="9"/>
      <c r="G519" s="5">
        <f>D519/H519</f>
        <v>8300</v>
      </c>
      <c r="H519" s="27">
        <f>SUM(H457,H461,H465,H469,H473,H477,H480,H485,H489,H493,H497,H501,H505)</f>
        <v>14</v>
      </c>
      <c r="I519" s="9"/>
      <c r="J519" s="48" t="str">
        <f t="shared" si="255"/>
        <v>ジャグラーサウンドフラッシュボタンDX</v>
      </c>
      <c r="K519" s="49">
        <f t="shared" si="255"/>
        <v>1100</v>
      </c>
      <c r="L519" s="27">
        <f>SUM(L457,L461,L465,L469,L473,L477,L480,L485,L489,L493,L497,L501,L505)</f>
        <v>14696</v>
      </c>
      <c r="M519" s="26">
        <f>L519/D519</f>
        <v>0.12647160068846816</v>
      </c>
      <c r="N519" s="11"/>
      <c r="O519" s="1"/>
      <c r="P519" s="206" t="s">
        <v>49</v>
      </c>
      <c r="Q519" s="206"/>
      <c r="R519" s="27">
        <f>SUM(R457,R461,R465,R469,R473,R477,R481,R485,R489,R493,R497,R501,R505)*100</f>
        <v>101800</v>
      </c>
      <c r="S519" s="37"/>
      <c r="T519" s="9"/>
      <c r="U519" s="5">
        <f>R519/V519</f>
        <v>6362.5</v>
      </c>
      <c r="V519" s="27">
        <f>SUM(V457,V461,V465,V469,V473,V477,V480,V485,V489,V493,V497,V501,V505)</f>
        <v>16</v>
      </c>
      <c r="W519" s="9"/>
      <c r="X519" s="48" t="str">
        <f t="shared" si="256"/>
        <v>サンリオファン</v>
      </c>
      <c r="Y519" s="49">
        <f t="shared" si="256"/>
        <v>1100</v>
      </c>
      <c r="Z519" s="27">
        <f>SUM(Z457,Z461,Z465,Z469,Z473,Z477,Z480,Z485,Z489,Z493,Z497,Z501,Z505)</f>
        <v>16775</v>
      </c>
      <c r="AA519" s="26">
        <f>Z519/R519</f>
        <v>0.16478388998035365</v>
      </c>
      <c r="AB519" s="11"/>
    </row>
    <row r="520" spans="1:28" x14ac:dyDescent="0.2">
      <c r="A520" s="206" t="s">
        <v>49</v>
      </c>
      <c r="B520" s="206"/>
      <c r="C520" s="206"/>
      <c r="D520" s="27">
        <f>SUM(D458,D462,D466,D470,D474,D478,D482,D486,D490,D494,D498,D502,D506)*100</f>
        <v>127400</v>
      </c>
      <c r="E520" s="37"/>
      <c r="F520" s="9"/>
      <c r="G520" s="5">
        <f>D520/H520</f>
        <v>4550</v>
      </c>
      <c r="H520" s="27">
        <f>SUM(H458,H462,H466,H471,H474,H478,H482,H486,H490,H494,H498,H502,H506)</f>
        <v>28</v>
      </c>
      <c r="I520" s="9"/>
      <c r="J520" s="48" t="str">
        <f t="shared" si="255"/>
        <v>ＡＩモンスターラバー</v>
      </c>
      <c r="K520" s="49">
        <f t="shared" si="255"/>
        <v>198</v>
      </c>
      <c r="L520" s="27">
        <f>SUM(L458,L462,L466,L471,L474,L478,L482,L486,L490,L494,L498,L502,L506)</f>
        <v>5632</v>
      </c>
      <c r="M520" s="26">
        <f>L520/D520</f>
        <v>4.4207221350078492E-2</v>
      </c>
      <c r="N520" s="11"/>
      <c r="O520" s="1"/>
      <c r="P520" s="206" t="s">
        <v>49</v>
      </c>
      <c r="Q520" s="206"/>
      <c r="R520" s="27">
        <f>SUM(R458,R462,R466,R470,R474,R478,R482,R486,R490,R494,R498,R502,R506)*100</f>
        <v>37300</v>
      </c>
      <c r="S520" s="37"/>
      <c r="T520" s="9"/>
      <c r="U520" s="5">
        <f>R520/V520</f>
        <v>3108.3333333333335</v>
      </c>
      <c r="V520" s="27">
        <f>SUM(V458,V462,V466,V471,V474,V478,V482,V486,V490,V494,V498,V502,V506)</f>
        <v>12</v>
      </c>
      <c r="W520" s="9"/>
      <c r="X520" s="48" t="str">
        <f t="shared" si="256"/>
        <v>ギャルキティサンダル</v>
      </c>
      <c r="Y520" s="49">
        <f t="shared" si="256"/>
        <v>726</v>
      </c>
      <c r="Z520" s="27">
        <f>SUM(Z458,Z462,Z466,Z471,Z474,Z478,Z482,Z486,Z490,Z494,Z498,Z502,Z506)</f>
        <v>8330</v>
      </c>
      <c r="AA520" s="26">
        <f>Z520/R520</f>
        <v>0.22332439678284183</v>
      </c>
      <c r="AB520" s="11"/>
    </row>
    <row r="521" spans="1:28" x14ac:dyDescent="0.2">
      <c r="A521" s="206" t="s">
        <v>49</v>
      </c>
      <c r="B521" s="206"/>
      <c r="C521" s="206"/>
      <c r="D521" s="27">
        <f>SUM(D459,D463,D467,D471,D475,D479,D483,D487,D491,D495,D499,D503,D507)*100</f>
        <v>40000</v>
      </c>
      <c r="E521" s="37"/>
      <c r="F521" s="9"/>
      <c r="G521" s="5">
        <f>D521/H521</f>
        <v>3076.9230769230771</v>
      </c>
      <c r="H521" s="27">
        <f>SUM(H459,H463,H467,H470,H475,H479,H483,H487,H491,H495,H499,H503,H507)</f>
        <v>13</v>
      </c>
      <c r="I521" s="9"/>
      <c r="J521" s="48" t="str">
        <f t="shared" si="255"/>
        <v>AIマスコット</v>
      </c>
      <c r="K521" s="49">
        <f t="shared" si="255"/>
        <v>286</v>
      </c>
      <c r="L521" s="27">
        <f>SUM(L459,L463,L467,L470,L475,L479,L483,L487,L491,L495,L499,L503,L507)</f>
        <v>3058</v>
      </c>
      <c r="M521" s="26">
        <f>L521/D521</f>
        <v>7.6450000000000004E-2</v>
      </c>
      <c r="N521" s="11"/>
      <c r="O521" s="1"/>
      <c r="P521" s="206" t="s">
        <v>49</v>
      </c>
      <c r="Q521" s="206"/>
      <c r="R521" s="27">
        <f>SUM(R459,R463,R467,R471,R475,R479,R483,R487,R491,R495,R499,R503,R507)*100</f>
        <v>59700</v>
      </c>
      <c r="S521" s="37"/>
      <c r="T521" s="9"/>
      <c r="U521" s="5">
        <f>R521/V521</f>
        <v>5427.272727272727</v>
      </c>
      <c r="V521" s="27">
        <f>SUM(V459,V463,V467,V470,V475,V479,V483,V487,V491,V495,V499,V503,V507)</f>
        <v>11</v>
      </c>
      <c r="W521" s="9"/>
      <c r="X521" s="48" t="str">
        <f t="shared" si="256"/>
        <v>サンリオボアポーチ・ミラー</v>
      </c>
      <c r="Y521" s="49">
        <f t="shared" si="256"/>
        <v>1100</v>
      </c>
      <c r="Z521" s="27">
        <f>SUM(Z459,Z463,Z467,Z470,Z475,Z479,Z483,Z487,Z491,Z495,Z499,Z503,Z507)</f>
        <v>7344</v>
      </c>
      <c r="AA521" s="26">
        <f>Z521/R521</f>
        <v>0.12301507537688443</v>
      </c>
      <c r="AB521" s="11"/>
    </row>
    <row r="522" spans="1:28" x14ac:dyDescent="0.2">
      <c r="A522" s="12"/>
      <c r="B522" s="8"/>
      <c r="C522" s="5" t="s">
        <v>40</v>
      </c>
      <c r="D522" s="9">
        <f>SUM(D518:D521)</f>
        <v>372900</v>
      </c>
      <c r="E522" s="37"/>
      <c r="F522" s="9"/>
      <c r="G522" s="9"/>
      <c r="H522" s="9">
        <f>SUM(H518:H521)</f>
        <v>73</v>
      </c>
      <c r="I522" s="9"/>
      <c r="J522" s="196" t="s">
        <v>50</v>
      </c>
      <c r="K522" s="196"/>
      <c r="L522" s="36">
        <f>SUM(L518:L521)</f>
        <v>37202</v>
      </c>
      <c r="M522" s="54">
        <f>L522/D522</f>
        <v>9.9764011799410024E-2</v>
      </c>
      <c r="N522" s="55"/>
      <c r="O522" s="1"/>
      <c r="P522" s="12"/>
      <c r="Q522" s="5" t="s">
        <v>40</v>
      </c>
      <c r="R522" s="9">
        <f>SUM(R518:R521)</f>
        <v>254300</v>
      </c>
      <c r="S522" s="37"/>
      <c r="T522" s="9"/>
      <c r="U522" s="9"/>
      <c r="V522" s="9">
        <f>SUM(V518:V521)</f>
        <v>54</v>
      </c>
      <c r="W522" s="9"/>
      <c r="X522" s="196" t="s">
        <v>50</v>
      </c>
      <c r="Y522" s="196"/>
      <c r="Z522" s="36">
        <f>SUM(Z518:Z521)</f>
        <v>36574</v>
      </c>
      <c r="AA522" s="54">
        <f>Z522/R522</f>
        <v>0.14382225717656311</v>
      </c>
      <c r="AB522" s="11"/>
    </row>
    <row r="523" spans="1:28" x14ac:dyDescent="0.2">
      <c r="A523" s="30"/>
      <c r="B523" s="29"/>
      <c r="C523" s="2"/>
      <c r="D523" s="2"/>
      <c r="E523" s="2"/>
      <c r="F523" s="2"/>
      <c r="G523" s="2"/>
      <c r="H523" s="2"/>
      <c r="I523" s="2"/>
      <c r="J523" s="46"/>
      <c r="K523" s="2"/>
      <c r="L523" s="2"/>
      <c r="M523" s="2"/>
      <c r="N523" s="35"/>
      <c r="O523" s="1"/>
      <c r="P523" s="30"/>
      <c r="Q523" s="2"/>
      <c r="R523" s="2"/>
      <c r="S523" s="2"/>
      <c r="T523" s="2"/>
      <c r="U523" s="2"/>
      <c r="V523" s="2"/>
      <c r="W523" s="2"/>
      <c r="X523" s="46"/>
      <c r="Y523" s="2"/>
      <c r="Z523" s="2"/>
      <c r="AA523" s="2"/>
      <c r="AB523" s="35"/>
    </row>
    <row r="524" spans="1:28" ht="15" customHeight="1" x14ac:dyDescent="0.2">
      <c r="B524" s="215" t="s">
        <v>51</v>
      </c>
      <c r="C524" s="215"/>
      <c r="D524" s="216" t="s">
        <v>52</v>
      </c>
      <c r="E524" s="216"/>
      <c r="F524" s="216" t="s">
        <v>53</v>
      </c>
      <c r="G524" s="216"/>
      <c r="H524" s="56"/>
      <c r="I524" s="56"/>
      <c r="J524" s="148" t="s">
        <v>54</v>
      </c>
      <c r="K524" s="217" t="s">
        <v>55</v>
      </c>
      <c r="L524" s="218"/>
      <c r="M524" s="219" t="s">
        <v>56</v>
      </c>
      <c r="N524" s="220"/>
    </row>
    <row r="525" spans="1:28" x14ac:dyDescent="0.2">
      <c r="B525" s="222">
        <f>E513+S513</f>
        <v>627200</v>
      </c>
      <c r="C525" s="222"/>
      <c r="D525" s="212">
        <f>L512+Z512</f>
        <v>73776</v>
      </c>
      <c r="E525" s="212"/>
      <c r="F525" s="212">
        <f>L515+Z515</f>
        <v>55497</v>
      </c>
      <c r="G525" s="212"/>
      <c r="H525" s="56"/>
      <c r="I525" s="56"/>
      <c r="J525" s="144" t="e">
        <f>B516+#REF!+#REF!</f>
        <v>#REF!</v>
      </c>
      <c r="K525" s="213" t="e">
        <f>D525+#REF!+#REF!</f>
        <v>#REF!</v>
      </c>
      <c r="L525" s="213"/>
      <c r="M525" s="213" t="e">
        <f>F525+#REF!+#REF!</f>
        <v>#REF!</v>
      </c>
      <c r="N525" s="214"/>
    </row>
    <row r="526" spans="1:28" x14ac:dyDescent="0.2">
      <c r="B526" s="68"/>
      <c r="C526" s="68"/>
      <c r="D526" s="126" t="s">
        <v>57</v>
      </c>
      <c r="E526" s="72">
        <f>D525/B516</f>
        <v>0.11762755102040816</v>
      </c>
      <c r="F526" s="9"/>
      <c r="G526" s="9"/>
      <c r="H526" s="56"/>
      <c r="J526" s="146" t="s">
        <v>58</v>
      </c>
      <c r="K526" s="128" t="s">
        <v>57</v>
      </c>
      <c r="L526" s="129" t="e">
        <f>K525/J525</f>
        <v>#REF!</v>
      </c>
    </row>
    <row r="527" spans="1:28" x14ac:dyDescent="0.2">
      <c r="B527"/>
      <c r="D527" s="124"/>
      <c r="E527" s="125"/>
      <c r="F527" s="1"/>
      <c r="G527" s="1"/>
      <c r="H527" s="56"/>
      <c r="J527" s="147" t="e">
        <f>B525+#REF!+#REF!</f>
        <v>#REF!</v>
      </c>
      <c r="K527"/>
    </row>
    <row r="528" spans="1:28" x14ac:dyDescent="0.2">
      <c r="E528" s="124"/>
      <c r="F528" s="125"/>
      <c r="G528" s="1"/>
      <c r="H528" s="1"/>
      <c r="K528"/>
    </row>
    <row r="529" spans="1:28" x14ac:dyDescent="0.2">
      <c r="A529" s="207" t="s">
        <v>0</v>
      </c>
      <c r="B529" s="207"/>
      <c r="C529" s="207"/>
      <c r="D529" s="207"/>
      <c r="E529" s="221" t="s">
        <v>1</v>
      </c>
      <c r="F529" s="221"/>
      <c r="G529" s="75"/>
      <c r="H529" s="75"/>
      <c r="I529" s="75"/>
      <c r="J529" s="78"/>
      <c r="K529" s="75"/>
      <c r="L529" s="75"/>
      <c r="M529" s="75"/>
      <c r="N529" s="76"/>
      <c r="O529" s="77"/>
      <c r="P529" s="207" t="s">
        <v>0</v>
      </c>
      <c r="Q529" s="207"/>
      <c r="R529" s="207"/>
      <c r="S529" s="221" t="s">
        <v>2</v>
      </c>
      <c r="T529" s="221"/>
      <c r="U529" s="75"/>
      <c r="V529" s="75"/>
      <c r="W529" s="75"/>
      <c r="X529" s="78"/>
      <c r="Y529" s="75"/>
      <c r="Z529" s="75"/>
      <c r="AA529" s="75"/>
      <c r="AB529" s="76"/>
    </row>
    <row r="530" spans="1:28" x14ac:dyDescent="0.2">
      <c r="A530" s="7" t="s">
        <v>3</v>
      </c>
      <c r="B530" s="80" t="s">
        <v>4</v>
      </c>
      <c r="C530" s="5" t="s">
        <v>5</v>
      </c>
      <c r="D530" s="5" t="s">
        <v>6</v>
      </c>
      <c r="E530" s="6" t="s">
        <v>7</v>
      </c>
      <c r="F530" s="5" t="s">
        <v>6</v>
      </c>
      <c r="G530" s="5" t="s">
        <v>8</v>
      </c>
      <c r="H530" s="5" t="s">
        <v>9</v>
      </c>
      <c r="I530" s="5" t="s">
        <v>10</v>
      </c>
      <c r="J530" s="38" t="s">
        <v>11</v>
      </c>
      <c r="K530" s="5" t="s">
        <v>12</v>
      </c>
      <c r="L530" s="5" t="s">
        <v>9</v>
      </c>
      <c r="M530" s="5" t="s">
        <v>13</v>
      </c>
      <c r="N530" s="5" t="s">
        <v>14</v>
      </c>
      <c r="O530" s="3"/>
      <c r="P530" s="7" t="s">
        <v>3</v>
      </c>
      <c r="Q530" s="5" t="s">
        <v>5</v>
      </c>
      <c r="R530" s="5" t="s">
        <v>6</v>
      </c>
      <c r="S530" s="6" t="s">
        <v>7</v>
      </c>
      <c r="T530" s="5" t="s">
        <v>6</v>
      </c>
      <c r="U530" s="5" t="s">
        <v>8</v>
      </c>
      <c r="V530" s="5" t="s">
        <v>9</v>
      </c>
      <c r="W530" s="5" t="s">
        <v>10</v>
      </c>
      <c r="X530" s="38" t="s">
        <v>11</v>
      </c>
      <c r="Y530" s="5" t="s">
        <v>12</v>
      </c>
      <c r="Z530" s="5" t="s">
        <v>9</v>
      </c>
      <c r="AA530" s="5" t="s">
        <v>13</v>
      </c>
      <c r="AB530" s="5" t="s">
        <v>14</v>
      </c>
    </row>
    <row r="531" spans="1:28" x14ac:dyDescent="0.2">
      <c r="A531" s="12">
        <v>45859</v>
      </c>
      <c r="B531" s="81">
        <v>885</v>
      </c>
      <c r="C531" s="36">
        <v>679</v>
      </c>
      <c r="D531" s="36">
        <v>92</v>
      </c>
      <c r="E531" s="36">
        <v>8</v>
      </c>
      <c r="F531" s="36">
        <v>3</v>
      </c>
      <c r="G531" s="36">
        <v>4</v>
      </c>
      <c r="H531" s="36">
        <v>3</v>
      </c>
      <c r="I531" s="36">
        <v>0</v>
      </c>
      <c r="J531" s="89" t="s">
        <v>15</v>
      </c>
      <c r="K531" s="49">
        <v>748</v>
      </c>
      <c r="L531" s="36">
        <v>2244</v>
      </c>
      <c r="M531" s="50">
        <v>0.24391304347826087</v>
      </c>
      <c r="N531" s="11"/>
      <c r="O531" s="1"/>
      <c r="P531" s="12">
        <v>45859</v>
      </c>
      <c r="Q531" s="36">
        <v>524</v>
      </c>
      <c r="R531" s="36">
        <v>84</v>
      </c>
      <c r="S531" s="36">
        <v>1</v>
      </c>
      <c r="T531" s="36">
        <v>2</v>
      </c>
      <c r="U531" s="36">
        <v>4</v>
      </c>
      <c r="V531" s="36">
        <v>3</v>
      </c>
      <c r="W531" s="36">
        <v>0</v>
      </c>
      <c r="X531" s="89" t="s">
        <v>38</v>
      </c>
      <c r="Y531" s="49">
        <v>957</v>
      </c>
      <c r="Z531" s="36">
        <v>2871</v>
      </c>
      <c r="AA531" s="50">
        <v>0.3417857142857143</v>
      </c>
      <c r="AB531" s="11"/>
    </row>
    <row r="532" spans="1:28" x14ac:dyDescent="0.2">
      <c r="A532" s="79"/>
      <c r="B532" s="8"/>
      <c r="C532" s="36">
        <v>669</v>
      </c>
      <c r="D532" s="9">
        <v>117</v>
      </c>
      <c r="E532" s="36">
        <v>21</v>
      </c>
      <c r="F532" s="9">
        <v>3</v>
      </c>
      <c r="G532" s="9">
        <v>15</v>
      </c>
      <c r="H532" s="9">
        <v>2</v>
      </c>
      <c r="I532" s="9">
        <v>0</v>
      </c>
      <c r="J532" s="89" t="s">
        <v>59</v>
      </c>
      <c r="K532" s="36">
        <v>275</v>
      </c>
      <c r="L532" s="9">
        <v>550</v>
      </c>
      <c r="M532" s="10">
        <v>4.7008547008547008E-2</v>
      </c>
      <c r="N532" s="11"/>
      <c r="O532" s="1"/>
      <c r="P532" s="12"/>
      <c r="Q532" s="36">
        <v>973</v>
      </c>
      <c r="R532" s="9">
        <v>176</v>
      </c>
      <c r="S532" s="36">
        <v>17</v>
      </c>
      <c r="T532" s="9">
        <v>4</v>
      </c>
      <c r="U532" s="9">
        <v>3</v>
      </c>
      <c r="V532" s="9">
        <v>4</v>
      </c>
      <c r="W532" s="9">
        <v>0</v>
      </c>
      <c r="X532" s="90" t="s">
        <v>18</v>
      </c>
      <c r="Y532" s="37">
        <v>1100</v>
      </c>
      <c r="Z532" s="9">
        <v>4400</v>
      </c>
      <c r="AA532" s="10">
        <v>0.25</v>
      </c>
      <c r="AB532" s="11"/>
    </row>
    <row r="533" spans="1:28" x14ac:dyDescent="0.2">
      <c r="A533" s="12"/>
      <c r="B533" s="8"/>
      <c r="C533" s="36">
        <v>392</v>
      </c>
      <c r="D533" s="9">
        <v>122</v>
      </c>
      <c r="E533" s="36">
        <v>18</v>
      </c>
      <c r="F533" s="9">
        <v>5</v>
      </c>
      <c r="G533" s="9">
        <v>66</v>
      </c>
      <c r="H533" s="9">
        <v>6</v>
      </c>
      <c r="I533" s="9">
        <v>0</v>
      </c>
      <c r="J533" s="39" t="s">
        <v>19</v>
      </c>
      <c r="K533" s="37">
        <v>110</v>
      </c>
      <c r="L533" s="9">
        <v>660</v>
      </c>
      <c r="M533" s="10">
        <v>5.4098360655737705E-2</v>
      </c>
      <c r="N533" s="11"/>
      <c r="O533" s="1"/>
      <c r="P533" s="12"/>
      <c r="Q533" s="36">
        <v>466</v>
      </c>
      <c r="R533" s="9">
        <v>61</v>
      </c>
      <c r="S533" s="36">
        <v>9999997</v>
      </c>
      <c r="T533" s="9">
        <v>1</v>
      </c>
      <c r="U533" s="9">
        <v>7</v>
      </c>
      <c r="V533" s="9">
        <v>1</v>
      </c>
      <c r="W533" s="9">
        <v>0</v>
      </c>
      <c r="X533" s="90" t="s">
        <v>60</v>
      </c>
      <c r="Y533" s="37">
        <v>726</v>
      </c>
      <c r="Z533" s="9">
        <v>726</v>
      </c>
      <c r="AA533" s="10">
        <v>0.11901639344262295</v>
      </c>
      <c r="AB533" s="11"/>
    </row>
    <row r="534" spans="1:28" ht="15" customHeight="1" thickBot="1" x14ac:dyDescent="0.25">
      <c r="A534" s="17"/>
      <c r="B534" s="82"/>
      <c r="C534" s="42">
        <v>473</v>
      </c>
      <c r="D534" s="42">
        <v>132</v>
      </c>
      <c r="E534" s="42">
        <v>12</v>
      </c>
      <c r="F534" s="18">
        <v>5</v>
      </c>
      <c r="G534" s="18">
        <v>38</v>
      </c>
      <c r="H534" s="18">
        <v>4</v>
      </c>
      <c r="I534" s="18">
        <v>0</v>
      </c>
      <c r="J534" s="40" t="s">
        <v>61</v>
      </c>
      <c r="K534" s="18">
        <v>682</v>
      </c>
      <c r="L534" s="18">
        <v>2728</v>
      </c>
      <c r="M534" s="19">
        <v>0.20666666666666667</v>
      </c>
      <c r="N534" s="11"/>
      <c r="O534" s="1"/>
      <c r="P534" s="17"/>
      <c r="Q534" s="42">
        <v>596</v>
      </c>
      <c r="R534" s="42">
        <v>101</v>
      </c>
      <c r="S534" s="42">
        <v>5</v>
      </c>
      <c r="T534" s="18">
        <v>2</v>
      </c>
      <c r="U534" s="18">
        <v>9</v>
      </c>
      <c r="V534" s="18">
        <v>2</v>
      </c>
      <c r="W534" s="18">
        <v>0</v>
      </c>
      <c r="X534" s="91" t="s">
        <v>62</v>
      </c>
      <c r="Y534" s="18">
        <v>1045</v>
      </c>
      <c r="Z534" s="18">
        <v>2090</v>
      </c>
      <c r="AA534" s="19">
        <v>0.20693069306930692</v>
      </c>
      <c r="AB534" s="11"/>
    </row>
    <row r="535" spans="1:28" ht="15" customHeight="1" thickTop="1" x14ac:dyDescent="0.2">
      <c r="A535" s="57">
        <v>45860</v>
      </c>
      <c r="B535" s="81">
        <f>SUM(D535:D538)+SUM(R535:R538)</f>
        <v>126</v>
      </c>
      <c r="C535" s="36">
        <v>684</v>
      </c>
      <c r="D535" s="36">
        <f t="shared" ref="D535:D538" si="257">IF(C535="","",C535-C531)</f>
        <v>5</v>
      </c>
      <c r="E535" s="36">
        <v>8</v>
      </c>
      <c r="F535" s="22">
        <f t="shared" ref="F535:F542" si="258">IF(E535="","",E535-E531)</f>
        <v>0</v>
      </c>
      <c r="G535" s="36">
        <v>4</v>
      </c>
      <c r="H535" s="36">
        <f t="shared" ref="H535:H546" si="259">IF(G535="","",G531+I531-G535)</f>
        <v>0</v>
      </c>
      <c r="I535" s="53">
        <v>0</v>
      </c>
      <c r="J535" s="39" t="str">
        <f t="shared" ref="J535:J546" si="260">IF(C535="","",J531)</f>
        <v>ジャグラーサウンドボタン</v>
      </c>
      <c r="K535" s="37">
        <f t="shared" ref="K535:K546" si="261">IF(D535="","",K531)</f>
        <v>748</v>
      </c>
      <c r="L535" s="22">
        <f t="shared" ref="L535:L586" si="262">IF(G535="","",H535*K535)</f>
        <v>0</v>
      </c>
      <c r="M535" s="23">
        <f t="shared" ref="M535:M586" si="263">IF(H535="","",L535/(D535*100))</f>
        <v>0</v>
      </c>
      <c r="N535" s="11"/>
      <c r="O535" s="1"/>
      <c r="P535" s="57">
        <f>IF(A535="","",A535)</f>
        <v>45860</v>
      </c>
      <c r="Q535" s="36">
        <v>536</v>
      </c>
      <c r="R535" s="36">
        <f t="shared" ref="R535:R538" si="264">IF(Q535="","",Q535-Q531)</f>
        <v>12</v>
      </c>
      <c r="S535" s="36">
        <v>1</v>
      </c>
      <c r="T535" s="22">
        <f t="shared" ref="T535:T586" si="265">IF(S535="","",S535-S531)</f>
        <v>0</v>
      </c>
      <c r="U535" s="36">
        <v>4</v>
      </c>
      <c r="V535" s="36">
        <f t="shared" ref="V535:V586" si="266">IF(U535="","",U531+W531-U535)</f>
        <v>0</v>
      </c>
      <c r="W535" s="53">
        <v>1</v>
      </c>
      <c r="X535" s="14" t="str">
        <f t="shared" ref="X535:X586" si="267">IF(Q535="","",X531)</f>
        <v>サンリオフェイスポーチ</v>
      </c>
      <c r="Y535" s="37">
        <f t="shared" ref="Y535:Y586" si="268">IF(R535="","",Y531)</f>
        <v>957</v>
      </c>
      <c r="Z535" s="22">
        <f t="shared" ref="Z535:Z586" si="269">IF(U535="","",V535*Y535)</f>
        <v>0</v>
      </c>
      <c r="AA535" s="23">
        <f t="shared" ref="AA535:AA586" si="270">IF(V535="","",Z535/(R535*100))</f>
        <v>0</v>
      </c>
      <c r="AB535" s="11"/>
    </row>
    <row r="536" spans="1:28" x14ac:dyDescent="0.2">
      <c r="A536" s="58"/>
      <c r="B536" s="83"/>
      <c r="C536" s="9">
        <v>672</v>
      </c>
      <c r="D536" s="9">
        <f t="shared" si="257"/>
        <v>3</v>
      </c>
      <c r="E536" s="9">
        <v>22</v>
      </c>
      <c r="F536" s="9">
        <f t="shared" si="258"/>
        <v>1</v>
      </c>
      <c r="G536" s="9">
        <v>14</v>
      </c>
      <c r="H536" s="9">
        <f t="shared" si="259"/>
        <v>1</v>
      </c>
      <c r="I536" s="13">
        <v>20</v>
      </c>
      <c r="J536" s="39" t="str">
        <f t="shared" si="260"/>
        <v>電ブルキュート</v>
      </c>
      <c r="K536" s="37">
        <f t="shared" si="261"/>
        <v>275</v>
      </c>
      <c r="L536" s="9">
        <f t="shared" si="262"/>
        <v>275</v>
      </c>
      <c r="M536" s="10">
        <f t="shared" si="263"/>
        <v>0.91666666666666663</v>
      </c>
      <c r="N536" s="11"/>
      <c r="O536" s="1"/>
      <c r="P536" s="58"/>
      <c r="Q536" s="9">
        <v>1033</v>
      </c>
      <c r="R536" s="9">
        <f t="shared" si="264"/>
        <v>60</v>
      </c>
      <c r="S536" s="9">
        <v>20</v>
      </c>
      <c r="T536" s="9">
        <f t="shared" si="265"/>
        <v>3</v>
      </c>
      <c r="U536" s="9">
        <v>0</v>
      </c>
      <c r="V536" s="9">
        <f t="shared" si="266"/>
        <v>3</v>
      </c>
      <c r="W536" s="13">
        <v>4</v>
      </c>
      <c r="X536" s="14" t="str">
        <f t="shared" si="267"/>
        <v>サンリオファン</v>
      </c>
      <c r="Y536" s="37">
        <f t="shared" si="268"/>
        <v>1100</v>
      </c>
      <c r="Z536" s="9">
        <f t="shared" si="269"/>
        <v>3300</v>
      </c>
      <c r="AA536" s="114">
        <f t="shared" si="270"/>
        <v>0.55000000000000004</v>
      </c>
      <c r="AB536" s="11"/>
    </row>
    <row r="537" spans="1:28" x14ac:dyDescent="0.2">
      <c r="A537" s="58"/>
      <c r="B537" s="83"/>
      <c r="C537" s="9">
        <v>415</v>
      </c>
      <c r="D537" s="9">
        <f t="shared" si="257"/>
        <v>23</v>
      </c>
      <c r="E537" s="9">
        <v>19</v>
      </c>
      <c r="F537" s="9">
        <f t="shared" si="258"/>
        <v>1</v>
      </c>
      <c r="G537" s="9">
        <v>65</v>
      </c>
      <c r="H537" s="9">
        <f t="shared" si="259"/>
        <v>1</v>
      </c>
      <c r="I537" s="13">
        <v>0</v>
      </c>
      <c r="J537" s="39" t="str">
        <f t="shared" si="260"/>
        <v>ＡＩモンスターラバー</v>
      </c>
      <c r="K537" s="37">
        <f t="shared" si="261"/>
        <v>110</v>
      </c>
      <c r="L537" s="9">
        <f t="shared" si="262"/>
        <v>110</v>
      </c>
      <c r="M537" s="10">
        <f t="shared" si="263"/>
        <v>4.7826086956521741E-2</v>
      </c>
      <c r="N537" s="11"/>
      <c r="O537" s="1"/>
      <c r="P537" s="58"/>
      <c r="Q537" s="9">
        <v>475</v>
      </c>
      <c r="R537" s="9">
        <f t="shared" si="264"/>
        <v>9</v>
      </c>
      <c r="S537" s="9">
        <v>9999997</v>
      </c>
      <c r="T537" s="9">
        <f t="shared" si="265"/>
        <v>0</v>
      </c>
      <c r="U537" s="9">
        <v>7</v>
      </c>
      <c r="V537" s="9">
        <f t="shared" si="266"/>
        <v>0</v>
      </c>
      <c r="W537" s="13">
        <v>0</v>
      </c>
      <c r="X537" s="14" t="str">
        <f t="shared" si="267"/>
        <v>サンリオスマートキーケース</v>
      </c>
      <c r="Y537" s="37">
        <f t="shared" si="268"/>
        <v>726</v>
      </c>
      <c r="Z537" s="9">
        <f t="shared" si="269"/>
        <v>0</v>
      </c>
      <c r="AA537" s="10">
        <f t="shared" si="270"/>
        <v>0</v>
      </c>
      <c r="AB537" s="11"/>
    </row>
    <row r="538" spans="1:28" ht="15" customHeight="1" thickBot="1" x14ac:dyDescent="0.25">
      <c r="A538" s="59"/>
      <c r="B538" s="82"/>
      <c r="C538" s="112">
        <v>477</v>
      </c>
      <c r="D538" s="43">
        <f t="shared" si="257"/>
        <v>4</v>
      </c>
      <c r="E538" s="43">
        <v>12</v>
      </c>
      <c r="F538" s="18">
        <f t="shared" si="258"/>
        <v>0</v>
      </c>
      <c r="G538" s="18">
        <v>38</v>
      </c>
      <c r="H538" s="18">
        <f t="shared" si="259"/>
        <v>0</v>
      </c>
      <c r="I538" s="31">
        <v>0</v>
      </c>
      <c r="J538" s="40" t="str">
        <f t="shared" si="260"/>
        <v>NICI</v>
      </c>
      <c r="K538" s="43">
        <f t="shared" si="261"/>
        <v>682</v>
      </c>
      <c r="L538" s="18">
        <f>IF(G538="","",H538*K538)</f>
        <v>0</v>
      </c>
      <c r="M538" s="19">
        <f t="shared" si="263"/>
        <v>0</v>
      </c>
      <c r="N538" s="11"/>
      <c r="O538" s="1"/>
      <c r="P538" s="59"/>
      <c r="Q538" s="112">
        <v>606</v>
      </c>
      <c r="R538" s="43">
        <f t="shared" si="264"/>
        <v>10</v>
      </c>
      <c r="S538" s="43">
        <v>5</v>
      </c>
      <c r="T538" s="18">
        <f t="shared" si="265"/>
        <v>0</v>
      </c>
      <c r="U538" s="18">
        <v>9</v>
      </c>
      <c r="V538" s="18">
        <f t="shared" si="266"/>
        <v>0</v>
      </c>
      <c r="W538" s="31">
        <v>0</v>
      </c>
      <c r="X538" s="21" t="str">
        <f t="shared" si="267"/>
        <v>デジタルミニカメラ</v>
      </c>
      <c r="Y538" s="43">
        <f t="shared" si="268"/>
        <v>1045</v>
      </c>
      <c r="Z538" s="18">
        <f t="shared" si="269"/>
        <v>0</v>
      </c>
      <c r="AA538" s="19">
        <f t="shared" si="270"/>
        <v>0</v>
      </c>
      <c r="AB538" s="11"/>
    </row>
    <row r="539" spans="1:28" ht="15" customHeight="1" thickTop="1" x14ac:dyDescent="0.2">
      <c r="A539" s="96">
        <v>45863</v>
      </c>
      <c r="B539" s="81">
        <f>SUM(D539:D542)+SUM(R539:R542)</f>
        <v>804</v>
      </c>
      <c r="C539" s="36">
        <v>794</v>
      </c>
      <c r="D539" s="36">
        <f t="shared" ref="D539:D542" si="271">IF(C539="","",C539-C535)</f>
        <v>110</v>
      </c>
      <c r="E539" s="36">
        <v>10</v>
      </c>
      <c r="F539" s="22">
        <f t="shared" si="258"/>
        <v>2</v>
      </c>
      <c r="G539" s="36">
        <v>2</v>
      </c>
      <c r="H539" s="36">
        <f t="shared" si="259"/>
        <v>2</v>
      </c>
      <c r="I539" s="53">
        <v>5</v>
      </c>
      <c r="J539" s="48" t="str">
        <f t="shared" si="260"/>
        <v>ジャグラーサウンドボタン</v>
      </c>
      <c r="K539" s="49">
        <f t="shared" si="261"/>
        <v>748</v>
      </c>
      <c r="L539" s="22">
        <f t="shared" si="262"/>
        <v>1496</v>
      </c>
      <c r="M539" s="23">
        <f t="shared" si="263"/>
        <v>0.13600000000000001</v>
      </c>
      <c r="N539" s="11"/>
      <c r="O539" s="1"/>
      <c r="P539" s="57">
        <f>IF(A539="","",A539)</f>
        <v>45863</v>
      </c>
      <c r="Q539" s="36">
        <v>650</v>
      </c>
      <c r="R539" s="36">
        <f t="shared" ref="R539:R586" si="272">IF(Q539="","",Q539-Q535)</f>
        <v>114</v>
      </c>
      <c r="S539" s="36">
        <v>2</v>
      </c>
      <c r="T539" s="22">
        <f t="shared" si="265"/>
        <v>1</v>
      </c>
      <c r="U539" s="36">
        <v>5</v>
      </c>
      <c r="V539" s="36">
        <f t="shared" si="266"/>
        <v>0</v>
      </c>
      <c r="W539" s="53">
        <v>0</v>
      </c>
      <c r="X539" s="48" t="str">
        <f t="shared" si="267"/>
        <v>サンリオフェイスポーチ</v>
      </c>
      <c r="Y539" s="49">
        <f t="shared" si="268"/>
        <v>957</v>
      </c>
      <c r="Z539" s="22">
        <f t="shared" si="269"/>
        <v>0</v>
      </c>
      <c r="AA539" s="23">
        <f t="shared" si="270"/>
        <v>0</v>
      </c>
      <c r="AB539" s="11"/>
    </row>
    <row r="540" spans="1:28" x14ac:dyDescent="0.2">
      <c r="A540" s="97"/>
      <c r="B540" s="81"/>
      <c r="C540" s="36">
        <v>780</v>
      </c>
      <c r="D540" s="9">
        <f t="shared" si="271"/>
        <v>108</v>
      </c>
      <c r="E540" s="9">
        <v>29</v>
      </c>
      <c r="F540" s="9">
        <f t="shared" si="258"/>
        <v>7</v>
      </c>
      <c r="G540" s="9">
        <v>28</v>
      </c>
      <c r="H540" s="9">
        <f t="shared" si="259"/>
        <v>6</v>
      </c>
      <c r="I540" s="13">
        <v>7</v>
      </c>
      <c r="J540" s="39" t="str">
        <f t="shared" si="260"/>
        <v>電ブルキュート</v>
      </c>
      <c r="K540" s="37">
        <f t="shared" si="261"/>
        <v>275</v>
      </c>
      <c r="L540" s="9">
        <f t="shared" si="262"/>
        <v>1650</v>
      </c>
      <c r="M540" s="10">
        <f t="shared" si="263"/>
        <v>0.15277777777777779</v>
      </c>
      <c r="N540" s="11"/>
      <c r="O540" s="1"/>
      <c r="P540" s="12"/>
      <c r="Q540" s="36">
        <v>1211</v>
      </c>
      <c r="R540" s="9">
        <f t="shared" si="272"/>
        <v>178</v>
      </c>
      <c r="S540" s="9">
        <v>21</v>
      </c>
      <c r="T540" s="9">
        <f t="shared" si="265"/>
        <v>1</v>
      </c>
      <c r="U540" s="9">
        <v>3</v>
      </c>
      <c r="V540" s="9">
        <f t="shared" si="266"/>
        <v>1</v>
      </c>
      <c r="W540" s="13">
        <v>6</v>
      </c>
      <c r="X540" s="39" t="str">
        <f t="shared" si="267"/>
        <v>サンリオファン</v>
      </c>
      <c r="Y540" s="37">
        <f t="shared" si="268"/>
        <v>1100</v>
      </c>
      <c r="Z540" s="9">
        <f t="shared" si="269"/>
        <v>1100</v>
      </c>
      <c r="AA540" s="10">
        <f t="shared" si="270"/>
        <v>6.1797752808988762E-2</v>
      </c>
      <c r="AB540" s="11"/>
    </row>
    <row r="541" spans="1:28" x14ac:dyDescent="0.2">
      <c r="A541" s="97"/>
      <c r="B541" s="84"/>
      <c r="C541" s="44">
        <v>483</v>
      </c>
      <c r="D541" s="9">
        <f t="shared" si="271"/>
        <v>68</v>
      </c>
      <c r="E541" s="9">
        <v>21</v>
      </c>
      <c r="F541" s="9">
        <f t="shared" si="258"/>
        <v>2</v>
      </c>
      <c r="G541" s="9">
        <v>63</v>
      </c>
      <c r="H541" s="9">
        <f t="shared" si="259"/>
        <v>2</v>
      </c>
      <c r="I541" s="13">
        <v>0</v>
      </c>
      <c r="J541" s="39" t="str">
        <f t="shared" si="260"/>
        <v>ＡＩモンスターラバー</v>
      </c>
      <c r="K541" s="9">
        <f t="shared" si="261"/>
        <v>110</v>
      </c>
      <c r="L541" s="9">
        <f t="shared" si="262"/>
        <v>220</v>
      </c>
      <c r="M541" s="10">
        <f t="shared" si="263"/>
        <v>3.2352941176470591E-2</v>
      </c>
      <c r="N541" s="11"/>
      <c r="O541" s="1"/>
      <c r="P541" s="12"/>
      <c r="Q541" s="44">
        <v>531</v>
      </c>
      <c r="R541" s="9">
        <f t="shared" si="272"/>
        <v>56</v>
      </c>
      <c r="S541" s="9">
        <v>9999997</v>
      </c>
      <c r="T541" s="9">
        <f t="shared" si="265"/>
        <v>0</v>
      </c>
      <c r="U541" s="9">
        <v>7</v>
      </c>
      <c r="V541" s="9">
        <f t="shared" si="266"/>
        <v>0</v>
      </c>
      <c r="W541" s="13">
        <v>0</v>
      </c>
      <c r="X541" s="39" t="str">
        <f t="shared" si="267"/>
        <v>サンリオスマートキーケース</v>
      </c>
      <c r="Y541" s="9">
        <f t="shared" si="268"/>
        <v>726</v>
      </c>
      <c r="Z541" s="9">
        <f t="shared" si="269"/>
        <v>0</v>
      </c>
      <c r="AA541" s="114">
        <f t="shared" si="270"/>
        <v>0</v>
      </c>
      <c r="AB541" s="11"/>
    </row>
    <row r="542" spans="1:28" ht="15" customHeight="1" thickBot="1" x14ac:dyDescent="0.25">
      <c r="A542" s="98"/>
      <c r="B542" s="85"/>
      <c r="C542" s="42">
        <v>547</v>
      </c>
      <c r="D542" s="43">
        <f t="shared" si="271"/>
        <v>70</v>
      </c>
      <c r="E542" s="18">
        <v>14</v>
      </c>
      <c r="F542" s="18">
        <f t="shared" si="258"/>
        <v>2</v>
      </c>
      <c r="G542" s="18">
        <v>36</v>
      </c>
      <c r="H542" s="18">
        <f t="shared" si="259"/>
        <v>2</v>
      </c>
      <c r="I542" s="31">
        <v>0</v>
      </c>
      <c r="J542" s="40" t="str">
        <f t="shared" si="260"/>
        <v>NICI</v>
      </c>
      <c r="K542" s="43">
        <f t="shared" si="261"/>
        <v>682</v>
      </c>
      <c r="L542" s="18">
        <f t="shared" si="262"/>
        <v>1364</v>
      </c>
      <c r="M542" s="19">
        <f t="shared" si="263"/>
        <v>0.19485714285714287</v>
      </c>
      <c r="N542" s="11"/>
      <c r="O542" s="1"/>
      <c r="P542" s="59"/>
      <c r="Q542" s="42">
        <v>706</v>
      </c>
      <c r="R542" s="43">
        <f t="shared" si="272"/>
        <v>100</v>
      </c>
      <c r="S542" s="18">
        <v>7</v>
      </c>
      <c r="T542" s="18">
        <f t="shared" si="265"/>
        <v>2</v>
      </c>
      <c r="U542" s="18">
        <v>7</v>
      </c>
      <c r="V542" s="18">
        <f t="shared" si="266"/>
        <v>2</v>
      </c>
      <c r="W542" s="31">
        <v>0</v>
      </c>
      <c r="X542" s="40" t="str">
        <f t="shared" si="267"/>
        <v>デジタルミニカメラ</v>
      </c>
      <c r="Y542" s="43">
        <f t="shared" si="268"/>
        <v>1045</v>
      </c>
      <c r="Z542" s="18">
        <f t="shared" si="269"/>
        <v>2090</v>
      </c>
      <c r="AA542" s="19">
        <f t="shared" si="270"/>
        <v>0.20899999999999999</v>
      </c>
      <c r="AB542" s="11"/>
    </row>
    <row r="543" spans="1:28" ht="15" customHeight="1" thickTop="1" x14ac:dyDescent="0.2">
      <c r="A543" s="96">
        <v>45865</v>
      </c>
      <c r="B543" s="81">
        <f>SUM(D543:D546)+SUM(R543:R546)</f>
        <v>413</v>
      </c>
      <c r="C543" s="36">
        <v>834</v>
      </c>
      <c r="D543" s="36">
        <f t="shared" ref="D543:D550" si="273">IF(C543="","",C543-C539)</f>
        <v>40</v>
      </c>
      <c r="E543" s="36">
        <v>11</v>
      </c>
      <c r="F543" s="22">
        <f t="shared" ref="F543:F550" si="274">IF(E543="","",E543-E539)</f>
        <v>1</v>
      </c>
      <c r="G543" s="36">
        <v>6</v>
      </c>
      <c r="H543" s="36">
        <f t="shared" si="259"/>
        <v>1</v>
      </c>
      <c r="I543" s="53">
        <v>0</v>
      </c>
      <c r="J543" s="48" t="str">
        <f t="shared" si="260"/>
        <v>ジャグラーサウンドボタン</v>
      </c>
      <c r="K543" s="49">
        <f t="shared" si="261"/>
        <v>748</v>
      </c>
      <c r="L543" s="22">
        <f t="shared" si="262"/>
        <v>748</v>
      </c>
      <c r="M543" s="23">
        <f t="shared" si="263"/>
        <v>0.187</v>
      </c>
      <c r="N543" s="11"/>
      <c r="O543" s="1"/>
      <c r="P543" s="104">
        <f>IF(A543="","",A543)</f>
        <v>45865</v>
      </c>
      <c r="Q543" s="36">
        <v>677</v>
      </c>
      <c r="R543" s="36">
        <f t="shared" si="272"/>
        <v>27</v>
      </c>
      <c r="S543" s="36">
        <v>2</v>
      </c>
      <c r="T543" s="22">
        <f t="shared" si="265"/>
        <v>0</v>
      </c>
      <c r="U543" s="36">
        <v>5</v>
      </c>
      <c r="V543" s="36">
        <f t="shared" si="266"/>
        <v>0</v>
      </c>
      <c r="W543" s="53">
        <v>0</v>
      </c>
      <c r="X543" s="48" t="str">
        <f t="shared" si="267"/>
        <v>サンリオフェイスポーチ</v>
      </c>
      <c r="Y543" s="49">
        <f t="shared" si="268"/>
        <v>957</v>
      </c>
      <c r="Z543" s="22">
        <f t="shared" si="269"/>
        <v>0</v>
      </c>
      <c r="AA543" s="23">
        <f t="shared" si="270"/>
        <v>0</v>
      </c>
      <c r="AB543" s="11"/>
    </row>
    <row r="544" spans="1:28" x14ac:dyDescent="0.2">
      <c r="A544" s="97"/>
      <c r="B544" s="8"/>
      <c r="C544" s="9">
        <v>841</v>
      </c>
      <c r="D544" s="9">
        <f t="shared" si="273"/>
        <v>61</v>
      </c>
      <c r="E544" s="9">
        <v>30</v>
      </c>
      <c r="F544" s="9">
        <f t="shared" si="274"/>
        <v>1</v>
      </c>
      <c r="G544" s="9">
        <v>34</v>
      </c>
      <c r="H544" s="9">
        <f t="shared" si="259"/>
        <v>1</v>
      </c>
      <c r="I544" s="13">
        <v>0</v>
      </c>
      <c r="J544" s="39" t="str">
        <f t="shared" si="260"/>
        <v>電ブルキュート</v>
      </c>
      <c r="K544" s="37">
        <f t="shared" si="261"/>
        <v>275</v>
      </c>
      <c r="L544" s="9">
        <f t="shared" si="262"/>
        <v>275</v>
      </c>
      <c r="M544" s="10">
        <f t="shared" si="263"/>
        <v>4.5081967213114756E-2</v>
      </c>
      <c r="N544" s="11"/>
      <c r="O544" s="1"/>
      <c r="P544" s="97"/>
      <c r="Q544" s="9">
        <v>1343</v>
      </c>
      <c r="R544" s="9">
        <f t="shared" si="272"/>
        <v>132</v>
      </c>
      <c r="S544" s="9">
        <v>22</v>
      </c>
      <c r="T544" s="9">
        <f t="shared" si="265"/>
        <v>1</v>
      </c>
      <c r="U544" s="9">
        <v>8</v>
      </c>
      <c r="V544" s="9">
        <f t="shared" si="266"/>
        <v>1</v>
      </c>
      <c r="W544" s="13">
        <v>1</v>
      </c>
      <c r="X544" s="39" t="str">
        <f t="shared" si="267"/>
        <v>サンリオファン</v>
      </c>
      <c r="Y544" s="37">
        <f t="shared" si="268"/>
        <v>1100</v>
      </c>
      <c r="Z544" s="9">
        <f t="shared" si="269"/>
        <v>1100</v>
      </c>
      <c r="AA544" s="10">
        <f t="shared" si="270"/>
        <v>8.3333333333333329E-2</v>
      </c>
      <c r="AB544" s="11"/>
    </row>
    <row r="545" spans="1:28" x14ac:dyDescent="0.2">
      <c r="A545" s="99"/>
      <c r="B545" s="86"/>
      <c r="C545" s="25">
        <v>540</v>
      </c>
      <c r="D545" s="9">
        <f t="shared" si="273"/>
        <v>57</v>
      </c>
      <c r="E545" s="9">
        <v>23</v>
      </c>
      <c r="F545" s="9">
        <f t="shared" si="274"/>
        <v>2</v>
      </c>
      <c r="G545" s="25">
        <v>60</v>
      </c>
      <c r="H545" s="9">
        <f t="shared" si="259"/>
        <v>3</v>
      </c>
      <c r="I545" s="32">
        <v>0</v>
      </c>
      <c r="J545" s="39" t="str">
        <f t="shared" si="260"/>
        <v>ＡＩモンスターラバー</v>
      </c>
      <c r="K545" s="9">
        <f t="shared" si="261"/>
        <v>110</v>
      </c>
      <c r="L545" s="9">
        <f t="shared" si="262"/>
        <v>330</v>
      </c>
      <c r="M545" s="10">
        <f t="shared" si="263"/>
        <v>5.7894736842105263E-2</v>
      </c>
      <c r="N545" s="11"/>
      <c r="P545" s="99"/>
      <c r="Q545" s="25">
        <v>569</v>
      </c>
      <c r="R545" s="9">
        <f t="shared" si="272"/>
        <v>38</v>
      </c>
      <c r="S545" s="9">
        <v>9999997</v>
      </c>
      <c r="T545" s="9">
        <f t="shared" si="265"/>
        <v>0</v>
      </c>
      <c r="U545" s="25">
        <v>7</v>
      </c>
      <c r="V545" s="9">
        <f t="shared" si="266"/>
        <v>0</v>
      </c>
      <c r="W545" s="32">
        <v>23</v>
      </c>
      <c r="X545" s="39" t="str">
        <f t="shared" si="267"/>
        <v>サンリオスマートキーケース</v>
      </c>
      <c r="Y545" s="9">
        <f t="shared" si="268"/>
        <v>726</v>
      </c>
      <c r="Z545" s="9">
        <f t="shared" si="269"/>
        <v>0</v>
      </c>
      <c r="AA545" s="10">
        <f t="shared" si="270"/>
        <v>0</v>
      </c>
      <c r="AB545" s="11" t="s">
        <v>63</v>
      </c>
    </row>
    <row r="546" spans="1:28" ht="15" customHeight="1" thickBot="1" x14ac:dyDescent="0.25">
      <c r="A546" s="100"/>
      <c r="B546" s="87"/>
      <c r="C546" s="18">
        <v>562</v>
      </c>
      <c r="D546" s="43">
        <f t="shared" si="273"/>
        <v>15</v>
      </c>
      <c r="E546" s="18">
        <v>14</v>
      </c>
      <c r="F546" s="18">
        <f t="shared" si="274"/>
        <v>0</v>
      </c>
      <c r="G546" s="18">
        <v>36</v>
      </c>
      <c r="H546" s="18">
        <f t="shared" si="259"/>
        <v>0</v>
      </c>
      <c r="I546" s="31">
        <v>0</v>
      </c>
      <c r="J546" s="40" t="str">
        <f t="shared" si="260"/>
        <v>NICI</v>
      </c>
      <c r="K546" s="43">
        <f t="shared" si="261"/>
        <v>682</v>
      </c>
      <c r="L546" s="18">
        <f t="shared" si="262"/>
        <v>0</v>
      </c>
      <c r="M546" s="19">
        <f t="shared" si="263"/>
        <v>0</v>
      </c>
      <c r="N546" s="11"/>
      <c r="P546" s="100"/>
      <c r="Q546" s="18">
        <v>749</v>
      </c>
      <c r="R546" s="43">
        <f t="shared" si="272"/>
        <v>43</v>
      </c>
      <c r="S546" s="18">
        <v>9</v>
      </c>
      <c r="T546" s="18">
        <f t="shared" si="265"/>
        <v>2</v>
      </c>
      <c r="U546" s="18">
        <v>5</v>
      </c>
      <c r="V546" s="18">
        <f t="shared" si="266"/>
        <v>2</v>
      </c>
      <c r="W546" s="31">
        <v>0</v>
      </c>
      <c r="X546" s="40" t="str">
        <f t="shared" si="267"/>
        <v>デジタルミニカメラ</v>
      </c>
      <c r="Y546" s="43">
        <f t="shared" si="268"/>
        <v>1045</v>
      </c>
      <c r="Z546" s="18">
        <f t="shared" si="269"/>
        <v>2090</v>
      </c>
      <c r="AA546" s="19">
        <f t="shared" si="270"/>
        <v>0.48604651162790696</v>
      </c>
      <c r="AB546" s="11"/>
    </row>
    <row r="547" spans="1:28" ht="15" customHeight="1" thickTop="1" x14ac:dyDescent="0.2">
      <c r="A547" s="96">
        <v>45872</v>
      </c>
      <c r="B547" s="81">
        <f>SUM(D547:D550)+SUM(R547:R550)</f>
        <v>1548</v>
      </c>
      <c r="C547" s="36">
        <v>1164</v>
      </c>
      <c r="D547" s="36">
        <f t="shared" si="273"/>
        <v>330</v>
      </c>
      <c r="E547" s="36">
        <v>15</v>
      </c>
      <c r="F547" s="22">
        <f t="shared" si="274"/>
        <v>4</v>
      </c>
      <c r="G547" s="36">
        <v>2</v>
      </c>
      <c r="H547" s="36">
        <f t="shared" ref="H547:H574" si="275">IF(G547="","",G543+I543-G547)</f>
        <v>4</v>
      </c>
      <c r="I547" s="53">
        <v>6</v>
      </c>
      <c r="J547" s="48" t="str">
        <f t="shared" ref="J547:J574" si="276">IF(C547="","",J543)</f>
        <v>ジャグラーサウンドボタン</v>
      </c>
      <c r="K547" s="49">
        <f t="shared" ref="K547:K574" si="277">IF(D547="","",K543)</f>
        <v>748</v>
      </c>
      <c r="L547" s="22">
        <f t="shared" ref="L547:L574" si="278">IF(G547="","",H547*K547)</f>
        <v>2992</v>
      </c>
      <c r="M547" s="23">
        <f t="shared" ref="M547:M574" si="279">IF(H547="","",L547/(D547*100))</f>
        <v>9.0666666666666673E-2</v>
      </c>
      <c r="N547" s="11"/>
      <c r="P547" s="104">
        <f>IF(A547="","",A547)</f>
        <v>45872</v>
      </c>
      <c r="Q547" s="36">
        <v>937</v>
      </c>
      <c r="R547" s="36">
        <f t="shared" si="272"/>
        <v>260</v>
      </c>
      <c r="S547" s="36">
        <v>6</v>
      </c>
      <c r="T547" s="22">
        <f t="shared" si="265"/>
        <v>4</v>
      </c>
      <c r="U547" s="36">
        <v>2</v>
      </c>
      <c r="V547" s="36">
        <f t="shared" si="266"/>
        <v>3</v>
      </c>
      <c r="W547" s="53">
        <v>3</v>
      </c>
      <c r="X547" s="48" t="str">
        <f t="shared" si="267"/>
        <v>サンリオフェイスポーチ</v>
      </c>
      <c r="Y547" s="49">
        <f t="shared" si="268"/>
        <v>957</v>
      </c>
      <c r="Z547" s="22">
        <f t="shared" si="269"/>
        <v>2871</v>
      </c>
      <c r="AA547" s="23">
        <f t="shared" si="270"/>
        <v>0.11042307692307693</v>
      </c>
      <c r="AB547" s="11" t="s">
        <v>64</v>
      </c>
    </row>
    <row r="548" spans="1:28" x14ac:dyDescent="0.2">
      <c r="A548" s="96"/>
      <c r="B548" s="81"/>
      <c r="C548" s="36">
        <v>1000</v>
      </c>
      <c r="D548" s="9">
        <f t="shared" si="273"/>
        <v>159</v>
      </c>
      <c r="E548" s="9">
        <v>38</v>
      </c>
      <c r="F548" s="9">
        <f t="shared" si="274"/>
        <v>8</v>
      </c>
      <c r="G548" s="9">
        <v>24</v>
      </c>
      <c r="H548" s="9">
        <f t="shared" si="275"/>
        <v>10</v>
      </c>
      <c r="I548" s="13">
        <v>4</v>
      </c>
      <c r="J548" s="39" t="str">
        <f t="shared" si="276"/>
        <v>電ブルキュート</v>
      </c>
      <c r="K548" s="37">
        <f t="shared" si="277"/>
        <v>275</v>
      </c>
      <c r="L548" s="9">
        <f t="shared" si="278"/>
        <v>2750</v>
      </c>
      <c r="M548" s="10">
        <f t="shared" si="279"/>
        <v>0.17295597484276728</v>
      </c>
      <c r="N548" s="11"/>
      <c r="P548" s="96"/>
      <c r="Q548" s="36">
        <v>1641</v>
      </c>
      <c r="R548" s="9">
        <f t="shared" si="272"/>
        <v>298</v>
      </c>
      <c r="S548" s="9">
        <v>27</v>
      </c>
      <c r="T548" s="9">
        <f t="shared" si="265"/>
        <v>5</v>
      </c>
      <c r="U548" s="9">
        <v>3</v>
      </c>
      <c r="V548" s="9">
        <f t="shared" si="266"/>
        <v>6</v>
      </c>
      <c r="W548" s="13">
        <v>7</v>
      </c>
      <c r="X548" s="39" t="str">
        <f t="shared" si="267"/>
        <v>サンリオファン</v>
      </c>
      <c r="Y548" s="37">
        <f t="shared" si="268"/>
        <v>1100</v>
      </c>
      <c r="Z548" s="9">
        <f t="shared" si="269"/>
        <v>6600</v>
      </c>
      <c r="AA548" s="10">
        <f t="shared" si="270"/>
        <v>0.22147651006711411</v>
      </c>
      <c r="AB548" s="11"/>
    </row>
    <row r="549" spans="1:28" ht="15" customHeight="1" x14ac:dyDescent="0.2">
      <c r="A549" s="96"/>
      <c r="B549" s="84"/>
      <c r="C549" s="44">
        <v>663</v>
      </c>
      <c r="D549" s="9">
        <f t="shared" si="273"/>
        <v>123</v>
      </c>
      <c r="E549" s="9">
        <v>25</v>
      </c>
      <c r="F549" s="9">
        <f t="shared" si="274"/>
        <v>2</v>
      </c>
      <c r="G549" s="9">
        <v>54</v>
      </c>
      <c r="H549" s="9">
        <f t="shared" si="275"/>
        <v>6</v>
      </c>
      <c r="I549" s="13">
        <v>0</v>
      </c>
      <c r="J549" s="39" t="str">
        <f t="shared" si="276"/>
        <v>ＡＩモンスターラバー</v>
      </c>
      <c r="K549" s="9">
        <f t="shared" si="277"/>
        <v>110</v>
      </c>
      <c r="L549" s="9">
        <f t="shared" si="278"/>
        <v>660</v>
      </c>
      <c r="M549" s="10">
        <f t="shared" si="279"/>
        <v>5.3658536585365853E-2</v>
      </c>
      <c r="N549" s="11"/>
      <c r="P549" s="96"/>
      <c r="Q549" s="44">
        <v>696</v>
      </c>
      <c r="R549" s="9">
        <f t="shared" si="272"/>
        <v>127</v>
      </c>
      <c r="S549" s="9">
        <v>11</v>
      </c>
      <c r="T549" s="9">
        <v>17</v>
      </c>
      <c r="U549" s="9">
        <v>20</v>
      </c>
      <c r="V549" s="9">
        <f t="shared" si="266"/>
        <v>10</v>
      </c>
      <c r="W549" s="13">
        <v>10</v>
      </c>
      <c r="X549" s="39" t="s">
        <v>20</v>
      </c>
      <c r="Y549" s="9">
        <f t="shared" si="268"/>
        <v>726</v>
      </c>
      <c r="Z549" s="9">
        <f t="shared" si="269"/>
        <v>7260</v>
      </c>
      <c r="AA549" s="10">
        <f t="shared" si="270"/>
        <v>0.57165354330708662</v>
      </c>
      <c r="AB549" s="11" t="s">
        <v>65</v>
      </c>
    </row>
    <row r="550" spans="1:28" ht="15" customHeight="1" thickBot="1" x14ac:dyDescent="0.25">
      <c r="A550" s="100"/>
      <c r="B550" s="87"/>
      <c r="C550" s="42">
        <v>650</v>
      </c>
      <c r="D550" s="43">
        <f t="shared" si="273"/>
        <v>88</v>
      </c>
      <c r="E550" s="18">
        <v>19</v>
      </c>
      <c r="F550" s="18">
        <f t="shared" si="274"/>
        <v>5</v>
      </c>
      <c r="G550" s="18">
        <v>31</v>
      </c>
      <c r="H550" s="18">
        <f t="shared" si="275"/>
        <v>5</v>
      </c>
      <c r="I550" s="31">
        <v>-23</v>
      </c>
      <c r="J550" s="40" t="str">
        <f t="shared" si="276"/>
        <v>NICI</v>
      </c>
      <c r="K550" s="43">
        <f t="shared" si="277"/>
        <v>682</v>
      </c>
      <c r="L550" s="18">
        <f t="shared" si="278"/>
        <v>3410</v>
      </c>
      <c r="M550" s="19">
        <f t="shared" si="279"/>
        <v>0.38750000000000001</v>
      </c>
      <c r="N550" s="11" t="s">
        <v>66</v>
      </c>
      <c r="P550" s="100"/>
      <c r="Q550" s="42">
        <v>912</v>
      </c>
      <c r="R550" s="43">
        <f t="shared" si="272"/>
        <v>163</v>
      </c>
      <c r="S550" s="18">
        <v>12</v>
      </c>
      <c r="T550" s="18">
        <f t="shared" si="265"/>
        <v>3</v>
      </c>
      <c r="U550" s="18">
        <v>3</v>
      </c>
      <c r="V550" s="18">
        <f t="shared" si="266"/>
        <v>2</v>
      </c>
      <c r="W550" s="31">
        <v>1</v>
      </c>
      <c r="X550" s="40" t="str">
        <f t="shared" si="267"/>
        <v>デジタルミニカメラ</v>
      </c>
      <c r="Y550" s="43">
        <f t="shared" si="268"/>
        <v>1045</v>
      </c>
      <c r="Z550" s="18">
        <f t="shared" si="269"/>
        <v>2090</v>
      </c>
      <c r="AA550" s="19">
        <f t="shared" si="270"/>
        <v>0.12822085889570553</v>
      </c>
      <c r="AB550" s="11" t="s">
        <v>67</v>
      </c>
    </row>
    <row r="551" spans="1:28" ht="15" customHeight="1" thickTop="1" x14ac:dyDescent="0.2">
      <c r="A551" s="96">
        <v>45877</v>
      </c>
      <c r="B551" s="81">
        <f>SUM(D551:D554)+SUM(R551:R554)</f>
        <v>719</v>
      </c>
      <c r="C551" s="36">
        <v>1239</v>
      </c>
      <c r="D551" s="36">
        <f t="shared" ref="D551:D574" si="280">IF(C551="","",C551-C547)</f>
        <v>75</v>
      </c>
      <c r="E551" s="36">
        <v>17</v>
      </c>
      <c r="F551" s="22">
        <f t="shared" ref="F551:F574" si="281">IF(E551="","",E551-E547)</f>
        <v>2</v>
      </c>
      <c r="G551" s="36">
        <v>7</v>
      </c>
      <c r="H551" s="36">
        <f t="shared" si="275"/>
        <v>1</v>
      </c>
      <c r="I551" s="53">
        <v>2</v>
      </c>
      <c r="J551" s="48" t="str">
        <f t="shared" si="276"/>
        <v>ジャグラーサウンドボタン</v>
      </c>
      <c r="K551" s="49">
        <f t="shared" si="277"/>
        <v>748</v>
      </c>
      <c r="L551" s="22">
        <f t="shared" si="278"/>
        <v>748</v>
      </c>
      <c r="M551" s="23">
        <f t="shared" si="279"/>
        <v>9.9733333333333327E-2</v>
      </c>
      <c r="N551" s="11"/>
      <c r="P551" s="104">
        <f>IF(A551="","",A551)</f>
        <v>45877</v>
      </c>
      <c r="Q551" s="36">
        <v>987</v>
      </c>
      <c r="R551" s="36">
        <f t="shared" si="272"/>
        <v>50</v>
      </c>
      <c r="S551" s="36">
        <v>10</v>
      </c>
      <c r="T551" s="22">
        <f t="shared" si="265"/>
        <v>4</v>
      </c>
      <c r="U551" s="36">
        <v>4</v>
      </c>
      <c r="V551" s="36">
        <f t="shared" si="266"/>
        <v>1</v>
      </c>
      <c r="W551" s="53">
        <v>26</v>
      </c>
      <c r="X551" s="48" t="s">
        <v>68</v>
      </c>
      <c r="Y551" s="49">
        <v>1100</v>
      </c>
      <c r="Z551" s="22">
        <f t="shared" si="269"/>
        <v>1100</v>
      </c>
      <c r="AA551" s="23">
        <f t="shared" si="270"/>
        <v>0.22</v>
      </c>
      <c r="AB551" s="11" t="s">
        <v>69</v>
      </c>
    </row>
    <row r="552" spans="1:28" ht="15" customHeight="1" x14ac:dyDescent="0.2">
      <c r="A552" s="97"/>
      <c r="B552" s="8"/>
      <c r="C552" s="9">
        <v>1122</v>
      </c>
      <c r="D552" s="9">
        <f t="shared" si="280"/>
        <v>122</v>
      </c>
      <c r="E552" s="9">
        <v>39</v>
      </c>
      <c r="F552" s="9">
        <f t="shared" si="281"/>
        <v>1</v>
      </c>
      <c r="G552" s="9">
        <v>27</v>
      </c>
      <c r="H552" s="9">
        <f t="shared" si="275"/>
        <v>1</v>
      </c>
      <c r="I552" s="13">
        <v>-20</v>
      </c>
      <c r="J552" s="39" t="str">
        <f t="shared" si="276"/>
        <v>電ブルキュート</v>
      </c>
      <c r="K552" s="37">
        <f t="shared" si="277"/>
        <v>275</v>
      </c>
      <c r="L552" s="9">
        <f t="shared" si="278"/>
        <v>275</v>
      </c>
      <c r="M552" s="10">
        <f t="shared" si="279"/>
        <v>2.2540983606557378E-2</v>
      </c>
      <c r="N552" s="11" t="s">
        <v>17</v>
      </c>
      <c r="P552" s="97"/>
      <c r="Q552" s="9">
        <v>1819</v>
      </c>
      <c r="R552" s="9">
        <f t="shared" si="272"/>
        <v>178</v>
      </c>
      <c r="S552" s="9">
        <v>30</v>
      </c>
      <c r="T552" s="9">
        <f t="shared" si="265"/>
        <v>3</v>
      </c>
      <c r="U552" s="9">
        <v>7</v>
      </c>
      <c r="V552" s="9">
        <f t="shared" si="266"/>
        <v>3</v>
      </c>
      <c r="W552" s="13">
        <v>2</v>
      </c>
      <c r="X552" s="39" t="str">
        <f t="shared" si="267"/>
        <v>サンリオファン</v>
      </c>
      <c r="Y552" s="37">
        <f t="shared" si="268"/>
        <v>1100</v>
      </c>
      <c r="Z552" s="9">
        <f t="shared" si="269"/>
        <v>3300</v>
      </c>
      <c r="AA552" s="10">
        <f t="shared" si="270"/>
        <v>0.1853932584269663</v>
      </c>
      <c r="AB552" s="11"/>
    </row>
    <row r="553" spans="1:28" ht="15" customHeight="1" x14ac:dyDescent="0.2">
      <c r="A553" s="97"/>
      <c r="B553" s="86"/>
      <c r="C553" s="25">
        <v>785</v>
      </c>
      <c r="D553" s="9">
        <f t="shared" si="280"/>
        <v>122</v>
      </c>
      <c r="E553" s="9">
        <v>28</v>
      </c>
      <c r="F553" s="9">
        <f t="shared" si="281"/>
        <v>3</v>
      </c>
      <c r="G553" s="25">
        <v>51</v>
      </c>
      <c r="H553" s="9">
        <f t="shared" si="275"/>
        <v>3</v>
      </c>
      <c r="I553" s="32">
        <v>10</v>
      </c>
      <c r="J553" s="39" t="str">
        <f t="shared" si="276"/>
        <v>ＡＩモンスターラバー</v>
      </c>
      <c r="K553" s="9">
        <f t="shared" si="277"/>
        <v>110</v>
      </c>
      <c r="L553" s="9">
        <f t="shared" si="278"/>
        <v>330</v>
      </c>
      <c r="M553" s="10">
        <f t="shared" si="279"/>
        <v>2.7049180327868853E-2</v>
      </c>
      <c r="N553" s="11"/>
      <c r="P553" s="97"/>
      <c r="Q553" s="25">
        <v>759</v>
      </c>
      <c r="R553" s="9">
        <f t="shared" si="272"/>
        <v>63</v>
      </c>
      <c r="S553" s="9">
        <v>13</v>
      </c>
      <c r="T553" s="9">
        <f t="shared" si="265"/>
        <v>2</v>
      </c>
      <c r="U553" s="25">
        <v>28</v>
      </c>
      <c r="V553" s="9">
        <f t="shared" si="266"/>
        <v>2</v>
      </c>
      <c r="W553" s="32">
        <v>0</v>
      </c>
      <c r="X553" s="39" t="str">
        <f t="shared" si="267"/>
        <v>ギャルキティサンダル</v>
      </c>
      <c r="Y553" s="9">
        <f t="shared" si="268"/>
        <v>726</v>
      </c>
      <c r="Z553" s="9">
        <f t="shared" si="269"/>
        <v>1452</v>
      </c>
      <c r="AA553" s="10">
        <f t="shared" si="270"/>
        <v>0.23047619047619047</v>
      </c>
      <c r="AB553" s="11"/>
    </row>
    <row r="554" spans="1:28" ht="15" customHeight="1" thickBot="1" x14ac:dyDescent="0.25">
      <c r="A554" s="100"/>
      <c r="B554" s="87"/>
      <c r="C554" s="18">
        <v>730</v>
      </c>
      <c r="D554" s="43">
        <f t="shared" si="280"/>
        <v>80</v>
      </c>
      <c r="E554" s="18">
        <v>20</v>
      </c>
      <c r="F554" s="18">
        <f t="shared" si="281"/>
        <v>1</v>
      </c>
      <c r="G554" s="18">
        <v>7</v>
      </c>
      <c r="H554" s="18">
        <f t="shared" si="275"/>
        <v>1</v>
      </c>
      <c r="I554" s="31">
        <v>0</v>
      </c>
      <c r="J554" s="40" t="s">
        <v>62</v>
      </c>
      <c r="K554" s="43">
        <v>1045</v>
      </c>
      <c r="L554" s="18">
        <f t="shared" si="278"/>
        <v>1045</v>
      </c>
      <c r="M554" s="19">
        <f t="shared" si="279"/>
        <v>0.13062499999999999</v>
      </c>
      <c r="N554" s="11"/>
      <c r="P554" s="100"/>
      <c r="Q554" s="18">
        <v>941</v>
      </c>
      <c r="R554" s="43">
        <f t="shared" si="272"/>
        <v>29</v>
      </c>
      <c r="S554" s="18">
        <v>13</v>
      </c>
      <c r="T554" s="18">
        <f t="shared" si="265"/>
        <v>1</v>
      </c>
      <c r="U554" s="18">
        <v>4</v>
      </c>
      <c r="V554" s="18">
        <f t="shared" si="266"/>
        <v>0</v>
      </c>
      <c r="W554" s="31">
        <v>0</v>
      </c>
      <c r="X554" s="40" t="s">
        <v>38</v>
      </c>
      <c r="Y554" s="43">
        <v>957</v>
      </c>
      <c r="Z554" s="18">
        <f t="shared" si="269"/>
        <v>0</v>
      </c>
      <c r="AA554" s="19">
        <f t="shared" si="270"/>
        <v>0</v>
      </c>
      <c r="AB554" s="11" t="s">
        <v>70</v>
      </c>
    </row>
    <row r="555" spans="1:28" ht="15" customHeight="1" thickTop="1" x14ac:dyDescent="0.2">
      <c r="A555" s="96">
        <v>45880</v>
      </c>
      <c r="B555" s="81">
        <f>SUM(D555:D558)+SUM(R555:R558)</f>
        <v>715</v>
      </c>
      <c r="C555" s="36">
        <v>1355</v>
      </c>
      <c r="D555" s="36">
        <f t="shared" si="280"/>
        <v>116</v>
      </c>
      <c r="E555" s="36">
        <v>20</v>
      </c>
      <c r="F555" s="22">
        <f t="shared" si="281"/>
        <v>3</v>
      </c>
      <c r="G555" s="36">
        <v>6</v>
      </c>
      <c r="H555" s="36">
        <f t="shared" si="275"/>
        <v>3</v>
      </c>
      <c r="I555" s="53">
        <v>0</v>
      </c>
      <c r="J555" s="48" t="str">
        <f t="shared" si="276"/>
        <v>ジャグラーサウンドボタン</v>
      </c>
      <c r="K555" s="49">
        <f t="shared" si="277"/>
        <v>748</v>
      </c>
      <c r="L555" s="22">
        <f t="shared" si="278"/>
        <v>2244</v>
      </c>
      <c r="M555" s="23">
        <f t="shared" si="279"/>
        <v>0.19344827586206897</v>
      </c>
      <c r="N555" s="11"/>
      <c r="P555" s="104">
        <f>IF(A555="","",A555)</f>
        <v>45880</v>
      </c>
      <c r="Q555" s="36">
        <v>1012</v>
      </c>
      <c r="R555" s="36">
        <f t="shared" si="272"/>
        <v>25</v>
      </c>
      <c r="S555" s="36">
        <v>14</v>
      </c>
      <c r="T555" s="22">
        <f t="shared" si="265"/>
        <v>4</v>
      </c>
      <c r="U555" s="36">
        <v>28</v>
      </c>
      <c r="V555" s="36">
        <f t="shared" si="266"/>
        <v>2</v>
      </c>
      <c r="W555" s="53">
        <v>15</v>
      </c>
      <c r="X555" s="48" t="str">
        <f t="shared" si="267"/>
        <v>サンリオボアポーチミラー</v>
      </c>
      <c r="Y555" s="49">
        <v>275</v>
      </c>
      <c r="Z555" s="22">
        <f t="shared" si="269"/>
        <v>550</v>
      </c>
      <c r="AA555" s="23">
        <f t="shared" si="270"/>
        <v>0.22</v>
      </c>
      <c r="AB555" s="11"/>
    </row>
    <row r="556" spans="1:28" ht="15" customHeight="1" x14ac:dyDescent="0.2">
      <c r="A556" s="96"/>
      <c r="B556" s="81"/>
      <c r="C556" s="36">
        <v>1224</v>
      </c>
      <c r="D556" s="9">
        <f t="shared" si="280"/>
        <v>102</v>
      </c>
      <c r="E556" s="9">
        <v>42</v>
      </c>
      <c r="F556" s="9">
        <f t="shared" si="281"/>
        <v>3</v>
      </c>
      <c r="G556" s="9">
        <v>5</v>
      </c>
      <c r="H556" s="9">
        <f t="shared" si="275"/>
        <v>2</v>
      </c>
      <c r="I556" s="13"/>
      <c r="J556" s="39" t="s">
        <v>17</v>
      </c>
      <c r="K556" s="37">
        <v>1100</v>
      </c>
      <c r="L556" s="9">
        <f t="shared" si="278"/>
        <v>2200</v>
      </c>
      <c r="M556" s="10">
        <f t="shared" si="279"/>
        <v>0.21568627450980393</v>
      </c>
      <c r="N556" s="11"/>
      <c r="P556" s="96"/>
      <c r="Q556" s="36">
        <v>1932</v>
      </c>
      <c r="R556" s="9">
        <f t="shared" si="272"/>
        <v>113</v>
      </c>
      <c r="S556" s="9">
        <v>32</v>
      </c>
      <c r="T556" s="9">
        <f t="shared" si="265"/>
        <v>2</v>
      </c>
      <c r="U556" s="9">
        <v>7</v>
      </c>
      <c r="V556" s="9">
        <f t="shared" si="266"/>
        <v>2</v>
      </c>
      <c r="W556" s="13">
        <v>0</v>
      </c>
      <c r="X556" s="39" t="str">
        <f t="shared" si="267"/>
        <v>サンリオファン</v>
      </c>
      <c r="Y556" s="37">
        <f t="shared" si="268"/>
        <v>1100</v>
      </c>
      <c r="Z556" s="9">
        <f t="shared" si="269"/>
        <v>2200</v>
      </c>
      <c r="AA556" s="10">
        <f t="shared" si="270"/>
        <v>0.19469026548672566</v>
      </c>
      <c r="AB556" s="11"/>
    </row>
    <row r="557" spans="1:28" ht="15" customHeight="1" x14ac:dyDescent="0.2">
      <c r="A557" s="97"/>
      <c r="B557" s="8"/>
      <c r="C557" s="44">
        <v>931</v>
      </c>
      <c r="D557" s="9">
        <f t="shared" si="280"/>
        <v>146</v>
      </c>
      <c r="E557" s="9">
        <v>31</v>
      </c>
      <c r="F557" s="9">
        <f t="shared" si="281"/>
        <v>3</v>
      </c>
      <c r="G557" s="9">
        <v>58</v>
      </c>
      <c r="H557" s="9">
        <f t="shared" si="275"/>
        <v>3</v>
      </c>
      <c r="I557" s="13"/>
      <c r="J557" s="39" t="str">
        <f t="shared" si="276"/>
        <v>ＡＩモンスターラバー</v>
      </c>
      <c r="K557" s="9">
        <v>198</v>
      </c>
      <c r="L557" s="9">
        <f t="shared" si="278"/>
        <v>594</v>
      </c>
      <c r="M557" s="10">
        <f t="shared" si="279"/>
        <v>4.0684931506849313E-2</v>
      </c>
      <c r="N557" s="11"/>
      <c r="P557" s="97"/>
      <c r="Q557" s="44">
        <v>815</v>
      </c>
      <c r="R557" s="9">
        <f t="shared" si="272"/>
        <v>56</v>
      </c>
      <c r="S557" s="9">
        <v>15</v>
      </c>
      <c r="T557" s="9">
        <f t="shared" si="265"/>
        <v>2</v>
      </c>
      <c r="U557" s="9">
        <v>26</v>
      </c>
      <c r="V557" s="9">
        <f t="shared" si="266"/>
        <v>2</v>
      </c>
      <c r="W557" s="13">
        <v>0</v>
      </c>
      <c r="X557" s="39" t="str">
        <f t="shared" si="267"/>
        <v>ギャルキティサンダル</v>
      </c>
      <c r="Y557" s="9">
        <f t="shared" si="268"/>
        <v>726</v>
      </c>
      <c r="Z557" s="9">
        <f t="shared" si="269"/>
        <v>1452</v>
      </c>
      <c r="AA557" s="10">
        <f t="shared" si="270"/>
        <v>0.25928571428571429</v>
      </c>
      <c r="AB557" s="11"/>
    </row>
    <row r="558" spans="1:28" ht="15" customHeight="1" thickBot="1" x14ac:dyDescent="0.25">
      <c r="A558" s="100"/>
      <c r="B558" s="87"/>
      <c r="C558" s="42">
        <v>776</v>
      </c>
      <c r="D558" s="43">
        <f t="shared" si="280"/>
        <v>46</v>
      </c>
      <c r="E558" s="18">
        <v>21</v>
      </c>
      <c r="F558" s="18">
        <f t="shared" si="281"/>
        <v>1</v>
      </c>
      <c r="G558" s="18">
        <v>5</v>
      </c>
      <c r="H558" s="18">
        <f t="shared" si="275"/>
        <v>2</v>
      </c>
      <c r="I558" s="31"/>
      <c r="J558" s="40" t="str">
        <f t="shared" si="276"/>
        <v>デジタルミニカメラ</v>
      </c>
      <c r="K558" s="43">
        <f t="shared" si="277"/>
        <v>1045</v>
      </c>
      <c r="L558" s="18">
        <f t="shared" si="278"/>
        <v>2090</v>
      </c>
      <c r="M558" s="19">
        <f t="shared" si="279"/>
        <v>0.45434782608695651</v>
      </c>
      <c r="N558" s="11"/>
      <c r="P558" s="100"/>
      <c r="Q558" s="42">
        <v>1052</v>
      </c>
      <c r="R558" s="43">
        <f t="shared" si="272"/>
        <v>111</v>
      </c>
      <c r="S558" s="18">
        <v>13</v>
      </c>
      <c r="T558" s="18">
        <f t="shared" si="265"/>
        <v>0</v>
      </c>
      <c r="U558" s="18">
        <v>4</v>
      </c>
      <c r="V558" s="18">
        <f t="shared" si="266"/>
        <v>0</v>
      </c>
      <c r="W558" s="31">
        <v>0</v>
      </c>
      <c r="X558" s="40" t="s">
        <v>22</v>
      </c>
      <c r="Y558" s="43">
        <v>1100</v>
      </c>
      <c r="Z558" s="18">
        <f t="shared" si="269"/>
        <v>0</v>
      </c>
      <c r="AA558" s="19">
        <f t="shared" si="270"/>
        <v>0</v>
      </c>
      <c r="AB558" s="11"/>
    </row>
    <row r="559" spans="1:28" ht="15" customHeight="1" thickTop="1" x14ac:dyDescent="0.2">
      <c r="A559" s="96">
        <v>45883</v>
      </c>
      <c r="B559" s="81">
        <f>SUM(D559:D562)+SUM(R559:R562)</f>
        <v>1156</v>
      </c>
      <c r="C559" s="36">
        <v>1472</v>
      </c>
      <c r="D559" s="36">
        <f t="shared" si="280"/>
        <v>117</v>
      </c>
      <c r="E559" s="36">
        <v>22</v>
      </c>
      <c r="F559" s="22">
        <f t="shared" si="281"/>
        <v>2</v>
      </c>
      <c r="G559" s="36">
        <v>4</v>
      </c>
      <c r="H559" s="36">
        <f t="shared" si="275"/>
        <v>2</v>
      </c>
      <c r="I559" s="53">
        <v>6</v>
      </c>
      <c r="J559" s="48" t="str">
        <f t="shared" si="276"/>
        <v>ジャグラーサウンドボタン</v>
      </c>
      <c r="K559" s="49">
        <f t="shared" si="277"/>
        <v>748</v>
      </c>
      <c r="L559" s="22">
        <f t="shared" si="278"/>
        <v>1496</v>
      </c>
      <c r="M559" s="23">
        <f t="shared" si="279"/>
        <v>0.12786324786324788</v>
      </c>
      <c r="N559" s="11"/>
      <c r="P559" s="104">
        <f>IF(A559="","",A559)</f>
        <v>45883</v>
      </c>
      <c r="Q559" s="36">
        <v>1114</v>
      </c>
      <c r="R559" s="36">
        <f t="shared" si="272"/>
        <v>102</v>
      </c>
      <c r="S559" s="36">
        <v>20</v>
      </c>
      <c r="T559" s="22">
        <f t="shared" si="265"/>
        <v>6</v>
      </c>
      <c r="U559" s="36">
        <v>38</v>
      </c>
      <c r="V559" s="36">
        <f t="shared" si="266"/>
        <v>5</v>
      </c>
      <c r="W559" s="53">
        <v>0</v>
      </c>
      <c r="X559" s="48" t="s">
        <v>16</v>
      </c>
      <c r="Y559" s="49">
        <f t="shared" si="268"/>
        <v>275</v>
      </c>
      <c r="Z559" s="22">
        <f t="shared" si="269"/>
        <v>1375</v>
      </c>
      <c r="AA559" s="23">
        <f t="shared" si="270"/>
        <v>0.13480392156862744</v>
      </c>
      <c r="AB559" s="11"/>
    </row>
    <row r="560" spans="1:28" ht="15" customHeight="1" x14ac:dyDescent="0.2">
      <c r="A560" s="97"/>
      <c r="B560" s="81"/>
      <c r="C560" s="9">
        <v>1428</v>
      </c>
      <c r="D560" s="9">
        <f t="shared" si="280"/>
        <v>204</v>
      </c>
      <c r="E560" s="9">
        <v>44</v>
      </c>
      <c r="F560" s="9">
        <f t="shared" si="281"/>
        <v>2</v>
      </c>
      <c r="G560" s="9">
        <v>2</v>
      </c>
      <c r="H560" s="9">
        <f t="shared" si="275"/>
        <v>3</v>
      </c>
      <c r="I560" s="13">
        <v>2</v>
      </c>
      <c r="J560" s="39" t="str">
        <f t="shared" si="276"/>
        <v>ジャグラーサウンドフラッシュボタンDX</v>
      </c>
      <c r="K560" s="37">
        <f t="shared" si="277"/>
        <v>1100</v>
      </c>
      <c r="L560" s="9">
        <f t="shared" si="278"/>
        <v>3300</v>
      </c>
      <c r="M560" s="10">
        <f t="shared" si="279"/>
        <v>0.16176470588235295</v>
      </c>
      <c r="N560" s="11"/>
      <c r="P560" s="97"/>
      <c r="Q560" s="9">
        <v>2057</v>
      </c>
      <c r="R560" s="9">
        <f t="shared" si="272"/>
        <v>125</v>
      </c>
      <c r="S560" s="9">
        <v>34</v>
      </c>
      <c r="T560" s="9">
        <f t="shared" si="265"/>
        <v>2</v>
      </c>
      <c r="U560" s="9">
        <v>5</v>
      </c>
      <c r="V560" s="9">
        <f t="shared" si="266"/>
        <v>2</v>
      </c>
      <c r="W560" s="13">
        <v>2</v>
      </c>
      <c r="X560" s="39" t="str">
        <f t="shared" si="267"/>
        <v>サンリオファン</v>
      </c>
      <c r="Y560" s="37">
        <f t="shared" si="268"/>
        <v>1100</v>
      </c>
      <c r="Z560" s="9">
        <f t="shared" si="269"/>
        <v>2200</v>
      </c>
      <c r="AA560" s="10">
        <f t="shared" si="270"/>
        <v>0.17599999999999999</v>
      </c>
      <c r="AB560" s="11"/>
    </row>
    <row r="561" spans="1:28" ht="15" customHeight="1" x14ac:dyDescent="0.2">
      <c r="A561" s="97"/>
      <c r="B561" s="8"/>
      <c r="C561" s="25">
        <v>1260</v>
      </c>
      <c r="D561" s="9">
        <f t="shared" si="280"/>
        <v>329</v>
      </c>
      <c r="E561" s="9">
        <v>37</v>
      </c>
      <c r="F561" s="9">
        <f t="shared" si="281"/>
        <v>6</v>
      </c>
      <c r="G561" s="25">
        <v>52</v>
      </c>
      <c r="H561" s="9">
        <f t="shared" si="275"/>
        <v>6</v>
      </c>
      <c r="I561" s="32">
        <v>0</v>
      </c>
      <c r="J561" s="39" t="str">
        <f t="shared" si="276"/>
        <v>ＡＩモンスターラバー</v>
      </c>
      <c r="K561" s="9">
        <f t="shared" si="277"/>
        <v>198</v>
      </c>
      <c r="L561" s="9">
        <f t="shared" si="278"/>
        <v>1188</v>
      </c>
      <c r="M561" s="10">
        <f t="shared" si="279"/>
        <v>3.6109422492401219E-2</v>
      </c>
      <c r="N561" s="11"/>
      <c r="P561" s="97"/>
      <c r="Q561" s="25">
        <v>880</v>
      </c>
      <c r="R561" s="108">
        <f t="shared" si="272"/>
        <v>65</v>
      </c>
      <c r="S561" s="9">
        <v>16</v>
      </c>
      <c r="T561" s="9">
        <f t="shared" si="265"/>
        <v>1</v>
      </c>
      <c r="U561" s="25">
        <v>25</v>
      </c>
      <c r="V561" s="9">
        <f t="shared" si="266"/>
        <v>1</v>
      </c>
      <c r="W561" s="32">
        <v>0</v>
      </c>
      <c r="X561" s="39" t="str">
        <f t="shared" si="267"/>
        <v>ギャルキティサンダル</v>
      </c>
      <c r="Y561" s="9">
        <f t="shared" si="268"/>
        <v>726</v>
      </c>
      <c r="Z561" s="9">
        <f t="shared" si="269"/>
        <v>726</v>
      </c>
      <c r="AA561" s="10">
        <f t="shared" si="270"/>
        <v>0.11169230769230769</v>
      </c>
      <c r="AB561" s="11"/>
    </row>
    <row r="562" spans="1:28" ht="15" customHeight="1" thickBot="1" x14ac:dyDescent="0.25">
      <c r="A562" s="100"/>
      <c r="B562" s="87"/>
      <c r="C562" s="18">
        <v>806</v>
      </c>
      <c r="D562" s="117">
        <f t="shared" si="280"/>
        <v>30</v>
      </c>
      <c r="E562" s="18">
        <v>21</v>
      </c>
      <c r="F562" s="18">
        <f t="shared" si="281"/>
        <v>0</v>
      </c>
      <c r="G562" s="18">
        <v>5</v>
      </c>
      <c r="H562" s="18">
        <f t="shared" si="275"/>
        <v>0</v>
      </c>
      <c r="I562" s="31">
        <v>0</v>
      </c>
      <c r="J562" s="40" t="str">
        <f t="shared" si="276"/>
        <v>デジタルミニカメラ</v>
      </c>
      <c r="K562" s="43">
        <f t="shared" si="277"/>
        <v>1045</v>
      </c>
      <c r="L562" s="18">
        <f t="shared" si="278"/>
        <v>0</v>
      </c>
      <c r="M562" s="19">
        <f t="shared" si="279"/>
        <v>0</v>
      </c>
      <c r="N562" s="11" t="s">
        <v>71</v>
      </c>
      <c r="P562" s="100"/>
      <c r="Q562" s="18">
        <v>1236</v>
      </c>
      <c r="R562" s="43">
        <f t="shared" si="272"/>
        <v>184</v>
      </c>
      <c r="S562" s="18">
        <v>13</v>
      </c>
      <c r="T562" s="18">
        <f t="shared" si="265"/>
        <v>0</v>
      </c>
      <c r="U562" s="18">
        <v>3</v>
      </c>
      <c r="V562" s="18">
        <f t="shared" si="266"/>
        <v>1</v>
      </c>
      <c r="W562" s="31">
        <v>0</v>
      </c>
      <c r="X562" s="40" t="str">
        <f>IF(Q562="","",X558)</f>
        <v>サンリオボアポーチ・ミラー</v>
      </c>
      <c r="Y562" s="43">
        <f t="shared" si="268"/>
        <v>1100</v>
      </c>
      <c r="Z562" s="18">
        <f t="shared" si="269"/>
        <v>1100</v>
      </c>
      <c r="AA562" s="19">
        <f t="shared" si="270"/>
        <v>5.9782608695652176E-2</v>
      </c>
      <c r="AB562" s="11"/>
    </row>
    <row r="563" spans="1:28" ht="15" customHeight="1" thickTop="1" x14ac:dyDescent="0.2">
      <c r="A563" s="96">
        <v>45886</v>
      </c>
      <c r="B563" s="81">
        <f>SUM(D563:D566)+SUM(R563:R566)</f>
        <v>787</v>
      </c>
      <c r="C563" s="36">
        <v>1564</v>
      </c>
      <c r="D563" s="36">
        <f t="shared" si="280"/>
        <v>92</v>
      </c>
      <c r="E563" s="36">
        <v>26</v>
      </c>
      <c r="F563" s="22">
        <f t="shared" si="281"/>
        <v>4</v>
      </c>
      <c r="G563" s="36">
        <v>7</v>
      </c>
      <c r="H563" s="36">
        <f t="shared" si="275"/>
        <v>3</v>
      </c>
      <c r="I563" s="53">
        <v>0</v>
      </c>
      <c r="J563" s="48" t="str">
        <f t="shared" si="276"/>
        <v>ジャグラーサウンドボタン</v>
      </c>
      <c r="K563" s="49">
        <f t="shared" si="277"/>
        <v>748</v>
      </c>
      <c r="L563" s="22">
        <f t="shared" si="278"/>
        <v>2244</v>
      </c>
      <c r="M563" s="23">
        <f t="shared" si="279"/>
        <v>0.24391304347826087</v>
      </c>
      <c r="N563" s="11"/>
      <c r="P563" s="104">
        <f>IF(A563="","",A563)</f>
        <v>45886</v>
      </c>
      <c r="Q563" s="36">
        <v>1198</v>
      </c>
      <c r="R563" s="36">
        <f t="shared" si="272"/>
        <v>84</v>
      </c>
      <c r="S563" s="36">
        <v>34</v>
      </c>
      <c r="T563" s="22">
        <f t="shared" si="265"/>
        <v>14</v>
      </c>
      <c r="U563" s="36">
        <v>24</v>
      </c>
      <c r="V563" s="36">
        <f t="shared" si="266"/>
        <v>14</v>
      </c>
      <c r="W563" s="53">
        <v>0</v>
      </c>
      <c r="X563" s="48" t="str">
        <f t="shared" si="267"/>
        <v>電ブル</v>
      </c>
      <c r="Y563" s="49">
        <f t="shared" si="268"/>
        <v>275</v>
      </c>
      <c r="Z563" s="22">
        <f t="shared" si="269"/>
        <v>3850</v>
      </c>
      <c r="AA563" s="119">
        <f t="shared" si="270"/>
        <v>0.45833333333333331</v>
      </c>
      <c r="AB563" s="11" t="s">
        <v>72</v>
      </c>
    </row>
    <row r="564" spans="1:28" ht="15" customHeight="1" x14ac:dyDescent="0.2">
      <c r="A564" s="97"/>
      <c r="B564" s="81"/>
      <c r="C564" s="36">
        <v>1568</v>
      </c>
      <c r="D564" s="9">
        <f t="shared" si="280"/>
        <v>140</v>
      </c>
      <c r="E564" s="9">
        <v>47</v>
      </c>
      <c r="F564" s="9">
        <f t="shared" si="281"/>
        <v>3</v>
      </c>
      <c r="G564" s="9">
        <v>2</v>
      </c>
      <c r="H564" s="9">
        <f t="shared" si="275"/>
        <v>2</v>
      </c>
      <c r="I564" s="13">
        <v>4</v>
      </c>
      <c r="J564" s="39" t="str">
        <f t="shared" si="276"/>
        <v>ジャグラーサウンドフラッシュボタンDX</v>
      </c>
      <c r="K564" s="37">
        <f t="shared" si="277"/>
        <v>1100</v>
      </c>
      <c r="L564" s="9">
        <f t="shared" si="278"/>
        <v>2200</v>
      </c>
      <c r="M564" s="10">
        <f t="shared" si="279"/>
        <v>0.15714285714285714</v>
      </c>
      <c r="N564" s="11"/>
      <c r="P564" s="97"/>
      <c r="Q564" s="36">
        <v>2257</v>
      </c>
      <c r="R564" s="9">
        <f t="shared" si="272"/>
        <v>200</v>
      </c>
      <c r="S564" s="9">
        <v>36</v>
      </c>
      <c r="T564" s="9">
        <f t="shared" si="265"/>
        <v>2</v>
      </c>
      <c r="U564" s="9">
        <v>5</v>
      </c>
      <c r="V564" s="9">
        <f t="shared" si="266"/>
        <v>2</v>
      </c>
      <c r="W564" s="13">
        <v>0</v>
      </c>
      <c r="X564" s="39" t="str">
        <f t="shared" si="267"/>
        <v>サンリオファン</v>
      </c>
      <c r="Y564" s="37">
        <f t="shared" si="268"/>
        <v>1100</v>
      </c>
      <c r="Z564" s="9">
        <f t="shared" si="269"/>
        <v>2200</v>
      </c>
      <c r="AA564" s="10">
        <f t="shared" si="270"/>
        <v>0.11</v>
      </c>
      <c r="AB564" s="11"/>
    </row>
    <row r="565" spans="1:28" ht="15" customHeight="1" x14ac:dyDescent="0.2">
      <c r="A565" s="97"/>
      <c r="B565" s="8"/>
      <c r="C565" s="44">
        <v>1347</v>
      </c>
      <c r="D565" s="9">
        <f t="shared" si="280"/>
        <v>87</v>
      </c>
      <c r="E565" s="9">
        <v>42</v>
      </c>
      <c r="F565" s="9">
        <f t="shared" si="281"/>
        <v>5</v>
      </c>
      <c r="G565" s="9">
        <v>48</v>
      </c>
      <c r="H565" s="9">
        <f t="shared" si="275"/>
        <v>4</v>
      </c>
      <c r="I565" s="13">
        <v>65</v>
      </c>
      <c r="J565" s="39" t="str">
        <f t="shared" si="276"/>
        <v>ＡＩモンスターラバー</v>
      </c>
      <c r="K565" s="9">
        <f t="shared" si="277"/>
        <v>198</v>
      </c>
      <c r="L565" s="9">
        <f t="shared" si="278"/>
        <v>792</v>
      </c>
      <c r="M565" s="10">
        <f t="shared" si="279"/>
        <v>9.1034482758620694E-2</v>
      </c>
      <c r="N565" s="11"/>
      <c r="P565" s="97"/>
      <c r="Q565" s="44">
        <v>911</v>
      </c>
      <c r="R565" s="108">
        <f t="shared" si="272"/>
        <v>31</v>
      </c>
      <c r="S565" s="9">
        <v>17</v>
      </c>
      <c r="T565" s="9">
        <f t="shared" si="265"/>
        <v>1</v>
      </c>
      <c r="U565" s="9">
        <v>23</v>
      </c>
      <c r="V565" s="9">
        <f t="shared" si="266"/>
        <v>2</v>
      </c>
      <c r="W565" s="13">
        <v>0</v>
      </c>
      <c r="X565" s="39" t="str">
        <f t="shared" si="267"/>
        <v>ギャルキティサンダル</v>
      </c>
      <c r="Y565" s="9">
        <f t="shared" si="268"/>
        <v>726</v>
      </c>
      <c r="Z565" s="9">
        <f t="shared" si="269"/>
        <v>1452</v>
      </c>
      <c r="AA565" s="120">
        <f t="shared" si="270"/>
        <v>0.46838709677419355</v>
      </c>
      <c r="AB565" s="11"/>
    </row>
    <row r="566" spans="1:28" ht="15" customHeight="1" thickBot="1" x14ac:dyDescent="0.25">
      <c r="A566" s="100"/>
      <c r="B566" s="87"/>
      <c r="C566" s="42">
        <v>844</v>
      </c>
      <c r="D566" s="117">
        <f t="shared" si="280"/>
        <v>38</v>
      </c>
      <c r="E566" s="18">
        <v>26</v>
      </c>
      <c r="F566" s="18">
        <f t="shared" si="281"/>
        <v>5</v>
      </c>
      <c r="G566" s="18">
        <v>3</v>
      </c>
      <c r="H566" s="18">
        <f t="shared" si="275"/>
        <v>2</v>
      </c>
      <c r="I566" s="31">
        <v>5</v>
      </c>
      <c r="J566" s="40" t="s">
        <v>21</v>
      </c>
      <c r="K566" s="43">
        <v>286</v>
      </c>
      <c r="L566" s="18">
        <f t="shared" si="278"/>
        <v>572</v>
      </c>
      <c r="M566" s="118">
        <f t="shared" si="279"/>
        <v>0.15052631578947367</v>
      </c>
      <c r="N566" s="11"/>
      <c r="P566" s="100"/>
      <c r="Q566" s="42">
        <v>1351</v>
      </c>
      <c r="R566" s="43">
        <f t="shared" si="272"/>
        <v>115</v>
      </c>
      <c r="S566" s="18">
        <v>13</v>
      </c>
      <c r="T566" s="18">
        <f t="shared" si="265"/>
        <v>0</v>
      </c>
      <c r="U566" s="18">
        <v>3</v>
      </c>
      <c r="V566" s="18">
        <f t="shared" si="266"/>
        <v>0</v>
      </c>
      <c r="W566" s="31">
        <v>0</v>
      </c>
      <c r="X566" s="40" t="str">
        <f t="shared" si="267"/>
        <v>サンリオボアポーチ・ミラー</v>
      </c>
      <c r="Y566" s="43">
        <f t="shared" si="268"/>
        <v>1100</v>
      </c>
      <c r="Z566" s="18">
        <f t="shared" si="269"/>
        <v>0</v>
      </c>
      <c r="AA566" s="19">
        <f t="shared" si="270"/>
        <v>0</v>
      </c>
      <c r="AB566" s="11"/>
    </row>
    <row r="567" spans="1:28" ht="15" customHeight="1" thickTop="1" x14ac:dyDescent="0.2">
      <c r="A567" s="96">
        <v>45887</v>
      </c>
      <c r="B567" s="81">
        <f>SUM(D567:D570)+SUM(R567:R570)</f>
        <v>299</v>
      </c>
      <c r="C567" s="36">
        <v>1612</v>
      </c>
      <c r="D567" s="36">
        <f t="shared" si="280"/>
        <v>48</v>
      </c>
      <c r="E567" s="36">
        <v>27</v>
      </c>
      <c r="F567" s="22">
        <f t="shared" si="281"/>
        <v>1</v>
      </c>
      <c r="G567" s="36">
        <v>6</v>
      </c>
      <c r="H567" s="36">
        <f t="shared" si="275"/>
        <v>1</v>
      </c>
      <c r="I567" s="53">
        <v>0</v>
      </c>
      <c r="J567" s="48" t="str">
        <f t="shared" si="276"/>
        <v>ジャグラーサウンドボタン</v>
      </c>
      <c r="K567" s="49">
        <f t="shared" si="277"/>
        <v>748</v>
      </c>
      <c r="L567" s="22">
        <f t="shared" si="278"/>
        <v>748</v>
      </c>
      <c r="M567" s="23">
        <f t="shared" si="279"/>
        <v>0.15583333333333332</v>
      </c>
      <c r="N567" s="11"/>
      <c r="P567" s="104">
        <f>IF(A567="","",A567)</f>
        <v>45887</v>
      </c>
      <c r="Q567" s="36">
        <v>1205</v>
      </c>
      <c r="R567" s="36">
        <f t="shared" si="272"/>
        <v>7</v>
      </c>
      <c r="S567" s="36">
        <v>34</v>
      </c>
      <c r="T567" s="22">
        <f t="shared" si="265"/>
        <v>0</v>
      </c>
      <c r="U567" s="36">
        <v>24</v>
      </c>
      <c r="V567" s="36">
        <f t="shared" si="266"/>
        <v>0</v>
      </c>
      <c r="W567" s="53">
        <v>0</v>
      </c>
      <c r="X567" s="48" t="str">
        <f t="shared" si="267"/>
        <v>電ブル</v>
      </c>
      <c r="Y567" s="49">
        <f t="shared" si="268"/>
        <v>275</v>
      </c>
      <c r="Z567" s="22">
        <f t="shared" si="269"/>
        <v>0</v>
      </c>
      <c r="AA567" s="23">
        <f t="shared" si="270"/>
        <v>0</v>
      </c>
      <c r="AB567" s="11"/>
    </row>
    <row r="568" spans="1:28" ht="15" customHeight="1" x14ac:dyDescent="0.2">
      <c r="A568" s="97"/>
      <c r="B568" s="8"/>
      <c r="C568" s="9">
        <v>1615</v>
      </c>
      <c r="D568" s="9">
        <f t="shared" si="280"/>
        <v>47</v>
      </c>
      <c r="E568" s="9">
        <v>48</v>
      </c>
      <c r="F568" s="9">
        <f t="shared" si="281"/>
        <v>1</v>
      </c>
      <c r="G568" s="9">
        <v>6</v>
      </c>
      <c r="H568" s="9">
        <f t="shared" si="275"/>
        <v>0</v>
      </c>
      <c r="I568" s="13">
        <v>3</v>
      </c>
      <c r="J568" s="39" t="str">
        <f t="shared" si="276"/>
        <v>ジャグラーサウンドフラッシュボタンDX</v>
      </c>
      <c r="K568" s="37">
        <f t="shared" si="277"/>
        <v>1100</v>
      </c>
      <c r="L568" s="9">
        <f t="shared" si="278"/>
        <v>0</v>
      </c>
      <c r="M568" s="10">
        <f t="shared" si="279"/>
        <v>0</v>
      </c>
      <c r="N568" s="11"/>
      <c r="P568" s="97"/>
      <c r="Q568" s="9">
        <v>2296</v>
      </c>
      <c r="R568" s="9">
        <f t="shared" si="272"/>
        <v>39</v>
      </c>
      <c r="S568" s="9">
        <v>36</v>
      </c>
      <c r="T568" s="9">
        <f t="shared" si="265"/>
        <v>0</v>
      </c>
      <c r="U568" s="9">
        <v>4</v>
      </c>
      <c r="V568" s="9">
        <f t="shared" si="266"/>
        <v>1</v>
      </c>
      <c r="W568" s="13">
        <v>5</v>
      </c>
      <c r="X568" s="39" t="str">
        <f t="shared" si="267"/>
        <v>サンリオファン</v>
      </c>
      <c r="Y568" s="37">
        <f t="shared" si="268"/>
        <v>1100</v>
      </c>
      <c r="Z568" s="9">
        <f t="shared" si="269"/>
        <v>1100</v>
      </c>
      <c r="AA568" s="10">
        <f t="shared" si="270"/>
        <v>0.28205128205128205</v>
      </c>
      <c r="AB568" s="11"/>
    </row>
    <row r="569" spans="1:28" ht="15" customHeight="1" x14ac:dyDescent="0.2">
      <c r="A569" s="97"/>
      <c r="B569" s="8"/>
      <c r="C569" s="25">
        <v>1466</v>
      </c>
      <c r="D569" s="9">
        <f t="shared" si="280"/>
        <v>119</v>
      </c>
      <c r="E569" s="9">
        <v>43</v>
      </c>
      <c r="F569" s="9">
        <f t="shared" si="281"/>
        <v>1</v>
      </c>
      <c r="G569" s="25">
        <v>112</v>
      </c>
      <c r="H569" s="9">
        <f t="shared" si="275"/>
        <v>1</v>
      </c>
      <c r="I569" s="32">
        <v>-31</v>
      </c>
      <c r="J569" s="39" t="str">
        <f t="shared" si="276"/>
        <v>ＡＩモンスターラバー</v>
      </c>
      <c r="K569" s="9">
        <f t="shared" si="277"/>
        <v>198</v>
      </c>
      <c r="L569" s="9">
        <f t="shared" si="278"/>
        <v>198</v>
      </c>
      <c r="M569" s="10">
        <f t="shared" si="279"/>
        <v>1.6638655462184872E-2</v>
      </c>
      <c r="N569" s="11"/>
      <c r="P569" s="97"/>
      <c r="Q569" s="25">
        <v>927</v>
      </c>
      <c r="R569" s="9">
        <f t="shared" si="272"/>
        <v>16</v>
      </c>
      <c r="S569" s="9">
        <v>17</v>
      </c>
      <c r="T569" s="9">
        <f t="shared" si="265"/>
        <v>0</v>
      </c>
      <c r="U569" s="25">
        <v>21</v>
      </c>
      <c r="V569" s="9">
        <f t="shared" si="266"/>
        <v>2</v>
      </c>
      <c r="W569" s="32">
        <v>0</v>
      </c>
      <c r="X569" s="39" t="str">
        <f t="shared" si="267"/>
        <v>ギャルキティサンダル</v>
      </c>
      <c r="Y569" s="9">
        <f t="shared" si="268"/>
        <v>726</v>
      </c>
      <c r="Z569" s="9">
        <f t="shared" si="269"/>
        <v>1452</v>
      </c>
      <c r="AA569" s="10">
        <f t="shared" si="270"/>
        <v>0.90749999999999997</v>
      </c>
      <c r="AB569" s="11"/>
    </row>
    <row r="570" spans="1:28" ht="15" customHeight="1" thickBot="1" x14ac:dyDescent="0.25">
      <c r="A570" s="100"/>
      <c r="B570" s="82"/>
      <c r="C570" s="18">
        <v>863</v>
      </c>
      <c r="D570" s="43">
        <f t="shared" si="280"/>
        <v>19</v>
      </c>
      <c r="E570" s="18">
        <v>28</v>
      </c>
      <c r="F570" s="18">
        <f t="shared" si="281"/>
        <v>2</v>
      </c>
      <c r="G570" s="18">
        <v>7</v>
      </c>
      <c r="H570" s="18">
        <f t="shared" si="275"/>
        <v>1</v>
      </c>
      <c r="I570" s="31">
        <v>3</v>
      </c>
      <c r="J570" s="40" t="str">
        <f t="shared" si="276"/>
        <v>AIマスコット</v>
      </c>
      <c r="K570" s="43">
        <f t="shared" si="277"/>
        <v>286</v>
      </c>
      <c r="L570" s="18">
        <f t="shared" si="278"/>
        <v>286</v>
      </c>
      <c r="M570" s="19">
        <f t="shared" si="279"/>
        <v>0.15052631578947367</v>
      </c>
      <c r="N570" s="11"/>
      <c r="P570" s="100"/>
      <c r="Q570" s="18">
        <v>1355</v>
      </c>
      <c r="R570" s="43">
        <f t="shared" si="272"/>
        <v>4</v>
      </c>
      <c r="S570" s="18">
        <v>13</v>
      </c>
      <c r="T570" s="18">
        <f t="shared" si="265"/>
        <v>0</v>
      </c>
      <c r="U570" s="18">
        <v>3</v>
      </c>
      <c r="V570" s="18">
        <f t="shared" si="266"/>
        <v>0</v>
      </c>
      <c r="W570" s="31">
        <v>0</v>
      </c>
      <c r="X570" s="40" t="str">
        <f t="shared" si="267"/>
        <v>サンリオボアポーチ・ミラー</v>
      </c>
      <c r="Y570" s="43">
        <f t="shared" si="268"/>
        <v>1100</v>
      </c>
      <c r="Z570" s="18">
        <f t="shared" si="269"/>
        <v>0</v>
      </c>
      <c r="AA570" s="19">
        <f t="shared" si="270"/>
        <v>0</v>
      </c>
      <c r="AB570" s="11"/>
    </row>
    <row r="571" spans="1:28" ht="15" customHeight="1" thickTop="1" x14ac:dyDescent="0.2">
      <c r="A571" s="96">
        <v>45888</v>
      </c>
      <c r="B571" s="81">
        <f>SUM(D571:D574)+SUM(R571:R574)</f>
        <v>302</v>
      </c>
      <c r="C571" s="36">
        <v>1682</v>
      </c>
      <c r="D571" s="36">
        <f t="shared" si="280"/>
        <v>70</v>
      </c>
      <c r="E571" s="36">
        <v>27</v>
      </c>
      <c r="F571" s="22">
        <f t="shared" si="281"/>
        <v>0</v>
      </c>
      <c r="G571" s="36">
        <v>6</v>
      </c>
      <c r="H571" s="36">
        <f t="shared" si="275"/>
        <v>0</v>
      </c>
      <c r="I571" s="53">
        <v>10</v>
      </c>
      <c r="J571" s="48" t="str">
        <f t="shared" si="276"/>
        <v>ジャグラーサウンドボタン</v>
      </c>
      <c r="K571" s="49">
        <f t="shared" si="277"/>
        <v>748</v>
      </c>
      <c r="L571" s="22">
        <f t="shared" si="278"/>
        <v>0</v>
      </c>
      <c r="M571" s="23">
        <f t="shared" si="279"/>
        <v>0</v>
      </c>
      <c r="N571" s="11"/>
      <c r="P571" s="104">
        <f>IF(A571="","",A571)</f>
        <v>45888</v>
      </c>
      <c r="Q571" s="36">
        <v>1210</v>
      </c>
      <c r="R571" s="36">
        <f t="shared" si="272"/>
        <v>5</v>
      </c>
      <c r="S571" s="36">
        <v>35</v>
      </c>
      <c r="T571" s="22">
        <f t="shared" si="265"/>
        <v>1</v>
      </c>
      <c r="U571" s="36">
        <v>17</v>
      </c>
      <c r="V571" s="36">
        <f t="shared" si="266"/>
        <v>7</v>
      </c>
      <c r="W571" s="53">
        <v>9</v>
      </c>
      <c r="X571" s="48" t="str">
        <f t="shared" si="267"/>
        <v>電ブル</v>
      </c>
      <c r="Y571" s="49">
        <f t="shared" si="268"/>
        <v>275</v>
      </c>
      <c r="Z571" s="22">
        <f t="shared" si="269"/>
        <v>1925</v>
      </c>
      <c r="AA571" s="23">
        <f t="shared" si="270"/>
        <v>3.85</v>
      </c>
      <c r="AB571" s="11"/>
    </row>
    <row r="572" spans="1:28" ht="15" customHeight="1" x14ac:dyDescent="0.2">
      <c r="A572" s="97"/>
      <c r="B572" s="8"/>
      <c r="C572" s="36">
        <v>1623</v>
      </c>
      <c r="D572" s="9">
        <f t="shared" si="280"/>
        <v>8</v>
      </c>
      <c r="E572" s="9">
        <v>48</v>
      </c>
      <c r="F572" s="9">
        <f t="shared" si="281"/>
        <v>0</v>
      </c>
      <c r="G572" s="9">
        <v>9</v>
      </c>
      <c r="H572" s="9">
        <f t="shared" si="275"/>
        <v>0</v>
      </c>
      <c r="I572" s="13">
        <v>0</v>
      </c>
      <c r="J572" s="39" t="str">
        <f t="shared" si="276"/>
        <v>ジャグラーサウンドフラッシュボタンDX</v>
      </c>
      <c r="K572" s="37">
        <f t="shared" si="277"/>
        <v>1100</v>
      </c>
      <c r="L572" s="9">
        <f t="shared" si="278"/>
        <v>0</v>
      </c>
      <c r="M572" s="10">
        <f t="shared" si="279"/>
        <v>0</v>
      </c>
      <c r="N572" s="11"/>
      <c r="P572" s="97"/>
      <c r="Q572" s="36">
        <v>2341</v>
      </c>
      <c r="R572" s="9">
        <f t="shared" si="272"/>
        <v>45</v>
      </c>
      <c r="S572" s="9">
        <v>37</v>
      </c>
      <c r="T572" s="9">
        <f t="shared" si="265"/>
        <v>1</v>
      </c>
      <c r="U572" s="9">
        <v>7</v>
      </c>
      <c r="V572" s="9">
        <f t="shared" si="266"/>
        <v>2</v>
      </c>
      <c r="W572" s="13">
        <v>5</v>
      </c>
      <c r="X572" s="39" t="str">
        <f t="shared" si="267"/>
        <v>サンリオファン</v>
      </c>
      <c r="Y572" s="37">
        <f t="shared" si="268"/>
        <v>1100</v>
      </c>
      <c r="Z572" s="9">
        <f t="shared" si="269"/>
        <v>2200</v>
      </c>
      <c r="AA572" s="10">
        <f t="shared" si="270"/>
        <v>0.48888888888888887</v>
      </c>
      <c r="AB572" s="11"/>
    </row>
    <row r="573" spans="1:28" ht="15" customHeight="1" x14ac:dyDescent="0.2">
      <c r="A573" s="97"/>
      <c r="B573" s="8"/>
      <c r="C573" s="44">
        <v>1552</v>
      </c>
      <c r="D573" s="9">
        <f t="shared" si="280"/>
        <v>86</v>
      </c>
      <c r="E573" s="9">
        <v>44</v>
      </c>
      <c r="F573" s="9">
        <f t="shared" si="281"/>
        <v>1</v>
      </c>
      <c r="G573" s="9">
        <v>80</v>
      </c>
      <c r="H573" s="9">
        <f t="shared" si="275"/>
        <v>1</v>
      </c>
      <c r="I573" s="13">
        <v>0</v>
      </c>
      <c r="J573" s="39" t="str">
        <f t="shared" si="276"/>
        <v>ＡＩモンスターラバー</v>
      </c>
      <c r="K573" s="9">
        <f t="shared" si="277"/>
        <v>198</v>
      </c>
      <c r="L573" s="9">
        <f t="shared" si="278"/>
        <v>198</v>
      </c>
      <c r="M573" s="10">
        <f t="shared" si="279"/>
        <v>2.3023255813953487E-2</v>
      </c>
      <c r="N573" s="11" t="s">
        <v>73</v>
      </c>
      <c r="P573" s="97"/>
      <c r="Q573" s="44">
        <v>930</v>
      </c>
      <c r="R573" s="9">
        <f t="shared" si="272"/>
        <v>3</v>
      </c>
      <c r="S573" s="9">
        <v>17</v>
      </c>
      <c r="T573" s="9">
        <f t="shared" si="265"/>
        <v>0</v>
      </c>
      <c r="U573" s="9">
        <v>16</v>
      </c>
      <c r="V573" s="9">
        <f t="shared" si="266"/>
        <v>5</v>
      </c>
      <c r="W573" s="13">
        <v>0</v>
      </c>
      <c r="X573" s="39" t="str">
        <f t="shared" si="267"/>
        <v>ギャルキティサンダル</v>
      </c>
      <c r="Y573" s="9">
        <f t="shared" si="268"/>
        <v>726</v>
      </c>
      <c r="Z573" s="9">
        <f t="shared" si="269"/>
        <v>3630</v>
      </c>
      <c r="AA573" s="10">
        <f t="shared" si="270"/>
        <v>12.1</v>
      </c>
      <c r="AB573" s="11"/>
    </row>
    <row r="574" spans="1:28" ht="15" customHeight="1" thickBot="1" x14ac:dyDescent="0.25">
      <c r="A574" s="100"/>
      <c r="B574" s="82"/>
      <c r="C574" s="42">
        <v>927</v>
      </c>
      <c r="D574" s="43">
        <f t="shared" si="280"/>
        <v>64</v>
      </c>
      <c r="E574" s="18">
        <v>34</v>
      </c>
      <c r="F574" s="18">
        <f t="shared" si="281"/>
        <v>6</v>
      </c>
      <c r="G574" s="18">
        <v>5</v>
      </c>
      <c r="H574" s="18">
        <f t="shared" si="275"/>
        <v>5</v>
      </c>
      <c r="I574" s="31">
        <v>8</v>
      </c>
      <c r="J574" s="40" t="str">
        <f t="shared" si="276"/>
        <v>AIマスコット</v>
      </c>
      <c r="K574" s="43">
        <f t="shared" si="277"/>
        <v>286</v>
      </c>
      <c r="L574" s="18">
        <f t="shared" si="278"/>
        <v>1430</v>
      </c>
      <c r="M574" s="19">
        <f t="shared" si="279"/>
        <v>0.22343750000000001</v>
      </c>
      <c r="N574" s="11" t="s">
        <v>72</v>
      </c>
      <c r="P574" s="100"/>
      <c r="Q574" s="42">
        <v>1376</v>
      </c>
      <c r="R574" s="43">
        <f t="shared" si="272"/>
        <v>21</v>
      </c>
      <c r="S574" s="18">
        <v>13</v>
      </c>
      <c r="T574" s="18">
        <f t="shared" si="265"/>
        <v>0</v>
      </c>
      <c r="U574" s="18">
        <v>2</v>
      </c>
      <c r="V574" s="18">
        <f t="shared" si="266"/>
        <v>1</v>
      </c>
      <c r="W574" s="31">
        <v>3</v>
      </c>
      <c r="X574" s="40" t="str">
        <f t="shared" si="267"/>
        <v>サンリオボアポーチ・ミラー</v>
      </c>
      <c r="Y574" s="43">
        <f t="shared" si="268"/>
        <v>1100</v>
      </c>
      <c r="Z574" s="18">
        <f t="shared" si="269"/>
        <v>1100</v>
      </c>
      <c r="AA574" s="19">
        <f t="shared" si="270"/>
        <v>0.52380952380952384</v>
      </c>
      <c r="AB574" s="11"/>
    </row>
    <row r="575" spans="1:28" ht="15" customHeight="1" thickTop="1" x14ac:dyDescent="0.2">
      <c r="A575" s="96"/>
      <c r="B575" s="81"/>
      <c r="C575" s="36"/>
      <c r="D575" s="36"/>
      <c r="E575" s="36"/>
      <c r="F575" s="22"/>
      <c r="G575" s="36"/>
      <c r="H575" s="36"/>
      <c r="I575" s="13"/>
      <c r="J575" s="48"/>
      <c r="K575" s="49"/>
      <c r="L575" s="22"/>
      <c r="M575" s="23"/>
      <c r="N575" s="11"/>
      <c r="P575" s="104"/>
      <c r="Q575" s="36"/>
      <c r="R575" s="36"/>
      <c r="S575" s="36"/>
      <c r="T575" s="22"/>
      <c r="U575" s="36"/>
      <c r="V575" s="36"/>
      <c r="W575" s="53"/>
      <c r="X575" s="48"/>
      <c r="Y575" s="49"/>
      <c r="Z575" s="22"/>
      <c r="AA575" s="23"/>
      <c r="AB575" s="11"/>
    </row>
    <row r="576" spans="1:28" ht="15" customHeight="1" x14ac:dyDescent="0.2">
      <c r="A576" s="97"/>
      <c r="B576" s="8"/>
      <c r="C576" s="9"/>
      <c r="D576" s="9"/>
      <c r="E576" s="9"/>
      <c r="F576" s="9"/>
      <c r="G576" s="9"/>
      <c r="H576" s="9"/>
      <c r="I576" s="13"/>
      <c r="J576" s="39"/>
      <c r="K576" s="37"/>
      <c r="L576" s="9"/>
      <c r="M576" s="10"/>
      <c r="N576" s="11"/>
      <c r="P576" s="97"/>
      <c r="Q576" s="9"/>
      <c r="R576" s="9"/>
      <c r="S576" s="9"/>
      <c r="T576" s="9"/>
      <c r="U576" s="9"/>
      <c r="V576" s="9"/>
      <c r="W576" s="13"/>
      <c r="X576" s="39"/>
      <c r="Y576" s="37"/>
      <c r="Z576" s="9"/>
      <c r="AA576" s="10"/>
      <c r="AB576" s="11"/>
    </row>
    <row r="577" spans="1:28" ht="15" customHeight="1" x14ac:dyDescent="0.2">
      <c r="A577" s="97"/>
      <c r="B577" s="8"/>
      <c r="C577" s="25"/>
      <c r="D577" s="9"/>
      <c r="E577" s="9"/>
      <c r="F577" s="9"/>
      <c r="G577" s="25"/>
      <c r="H577" s="9"/>
      <c r="I577" s="13"/>
      <c r="J577" s="39"/>
      <c r="K577" s="9"/>
      <c r="L577" s="9"/>
      <c r="M577" s="10"/>
      <c r="N577" s="11"/>
      <c r="P577" s="12"/>
      <c r="Q577" s="25"/>
      <c r="R577" s="9"/>
      <c r="S577" s="9"/>
      <c r="T577" s="9"/>
      <c r="U577" s="25"/>
      <c r="V577" s="9"/>
      <c r="W577" s="32"/>
      <c r="X577" s="39"/>
      <c r="Y577" s="9"/>
      <c r="Z577" s="9"/>
      <c r="AA577" s="10"/>
      <c r="AB577" s="11"/>
    </row>
    <row r="578" spans="1:28" ht="15" customHeight="1" thickBot="1" x14ac:dyDescent="0.25">
      <c r="A578" s="100"/>
      <c r="B578" s="87"/>
      <c r="C578" s="18"/>
      <c r="D578" s="43"/>
      <c r="E578" s="18"/>
      <c r="F578" s="18"/>
      <c r="G578" s="121"/>
      <c r="H578" s="18"/>
      <c r="I578" s="13"/>
      <c r="J578" s="40"/>
      <c r="K578" s="43"/>
      <c r="L578" s="18"/>
      <c r="M578" s="19"/>
      <c r="N578" s="11"/>
      <c r="P578" s="17"/>
      <c r="Q578" s="18"/>
      <c r="R578" s="43"/>
      <c r="S578" s="18"/>
      <c r="T578" s="18"/>
      <c r="U578" s="18"/>
      <c r="V578" s="18"/>
      <c r="W578" s="31"/>
      <c r="X578" s="40"/>
      <c r="Y578" s="43"/>
      <c r="Z578" s="18"/>
      <c r="AA578" s="19"/>
      <c r="AB578" s="11"/>
    </row>
    <row r="579" spans="1:28" ht="15" customHeight="1" thickTop="1" x14ac:dyDescent="0.2">
      <c r="A579" s="96"/>
      <c r="B579" s="81">
        <f>SUM(D579:D582)+SUM(R579:R582)</f>
        <v>0</v>
      </c>
      <c r="C579" s="36"/>
      <c r="D579" s="36" t="str">
        <f t="shared" ref="D579:D586" si="282">IF(C579="","",C579-C575)</f>
        <v/>
      </c>
      <c r="E579" s="36"/>
      <c r="F579" s="22" t="str">
        <f t="shared" ref="F579:F586" si="283">IF(E579="","",E579-E575)</f>
        <v/>
      </c>
      <c r="G579" s="36"/>
      <c r="H579" s="36" t="str">
        <f t="shared" ref="H579:H586" si="284">IF(G579="","",G575+I575-G579)</f>
        <v/>
      </c>
      <c r="I579" s="36"/>
      <c r="J579" s="48" t="str">
        <f t="shared" ref="J579:J586" si="285">IF(C579="","",J575)</f>
        <v/>
      </c>
      <c r="K579" s="49" t="str">
        <f t="shared" ref="K579:K586" si="286">IF(D579="","",K575)</f>
        <v/>
      </c>
      <c r="L579" s="22" t="str">
        <f t="shared" si="262"/>
        <v/>
      </c>
      <c r="M579" s="23" t="str">
        <f t="shared" si="263"/>
        <v/>
      </c>
      <c r="N579" s="11"/>
      <c r="P579" s="57" t="str">
        <f>IF(A579="","",A579)</f>
        <v/>
      </c>
      <c r="Q579" s="36"/>
      <c r="R579" s="36" t="str">
        <f t="shared" si="272"/>
        <v/>
      </c>
      <c r="S579" s="36"/>
      <c r="T579" s="22" t="str">
        <f t="shared" si="265"/>
        <v/>
      </c>
      <c r="U579" s="36"/>
      <c r="V579" s="36" t="str">
        <f t="shared" si="266"/>
        <v/>
      </c>
      <c r="W579" s="36"/>
      <c r="X579" s="51" t="str">
        <f t="shared" si="267"/>
        <v/>
      </c>
      <c r="Y579" s="49" t="str">
        <f t="shared" si="268"/>
        <v/>
      </c>
      <c r="Z579" s="22" t="str">
        <f t="shared" si="269"/>
        <v/>
      </c>
      <c r="AA579" s="23" t="str">
        <f t="shared" si="270"/>
        <v/>
      </c>
      <c r="AB579" s="11"/>
    </row>
    <row r="580" spans="1:28" ht="15" customHeight="1" x14ac:dyDescent="0.2">
      <c r="A580" s="97"/>
      <c r="B580" s="8"/>
      <c r="C580" s="9"/>
      <c r="D580" s="9" t="str">
        <f t="shared" si="282"/>
        <v/>
      </c>
      <c r="E580" s="9"/>
      <c r="F580" s="9" t="str">
        <f t="shared" si="283"/>
        <v/>
      </c>
      <c r="G580" s="9"/>
      <c r="H580" s="9" t="str">
        <f t="shared" si="284"/>
        <v/>
      </c>
      <c r="I580" s="9"/>
      <c r="J580" s="39" t="str">
        <f t="shared" si="285"/>
        <v/>
      </c>
      <c r="K580" s="37" t="str">
        <f t="shared" si="286"/>
        <v/>
      </c>
      <c r="L580" s="9" t="str">
        <f t="shared" si="262"/>
        <v/>
      </c>
      <c r="M580" s="10" t="str">
        <f t="shared" si="263"/>
        <v/>
      </c>
      <c r="N580" s="11"/>
      <c r="P580" s="12"/>
      <c r="Q580" s="9"/>
      <c r="R580" s="9" t="str">
        <f t="shared" si="272"/>
        <v/>
      </c>
      <c r="S580" s="9"/>
      <c r="T580" s="9" t="str">
        <f t="shared" si="265"/>
        <v/>
      </c>
      <c r="U580" s="9"/>
      <c r="V580" s="9" t="str">
        <f t="shared" si="266"/>
        <v/>
      </c>
      <c r="W580" s="9"/>
      <c r="X580" s="14" t="str">
        <f t="shared" si="267"/>
        <v/>
      </c>
      <c r="Y580" s="37" t="str">
        <f t="shared" si="268"/>
        <v/>
      </c>
      <c r="Z580" s="9" t="str">
        <f t="shared" si="269"/>
        <v/>
      </c>
      <c r="AA580" s="10" t="str">
        <f t="shared" si="270"/>
        <v/>
      </c>
      <c r="AB580" s="11"/>
    </row>
    <row r="581" spans="1:28" ht="15" customHeight="1" x14ac:dyDescent="0.2">
      <c r="A581" s="97"/>
      <c r="B581" s="8"/>
      <c r="C581" s="9"/>
      <c r="D581" s="9" t="str">
        <f t="shared" si="282"/>
        <v/>
      </c>
      <c r="E581" s="9"/>
      <c r="F581" s="9" t="str">
        <f t="shared" si="283"/>
        <v/>
      </c>
      <c r="G581" s="9"/>
      <c r="H581" s="9" t="str">
        <f t="shared" si="284"/>
        <v/>
      </c>
      <c r="I581" s="9"/>
      <c r="J581" s="39" t="str">
        <f t="shared" si="285"/>
        <v/>
      </c>
      <c r="K581" s="9" t="str">
        <f t="shared" si="286"/>
        <v/>
      </c>
      <c r="L581" s="9" t="str">
        <f t="shared" si="262"/>
        <v/>
      </c>
      <c r="M581" s="10" t="str">
        <f t="shared" si="263"/>
        <v/>
      </c>
      <c r="N581" s="11"/>
      <c r="P581" s="12"/>
      <c r="Q581" s="9"/>
      <c r="R581" s="9" t="str">
        <f t="shared" si="272"/>
        <v/>
      </c>
      <c r="S581" s="9"/>
      <c r="T581" s="9" t="str">
        <f t="shared" si="265"/>
        <v/>
      </c>
      <c r="U581" s="9"/>
      <c r="V581" s="9" t="str">
        <f t="shared" si="266"/>
        <v/>
      </c>
      <c r="W581" s="9"/>
      <c r="X581" s="14" t="str">
        <f t="shared" si="267"/>
        <v/>
      </c>
      <c r="Y581" s="9" t="str">
        <f t="shared" si="268"/>
        <v/>
      </c>
      <c r="Z581" s="9" t="str">
        <f t="shared" si="269"/>
        <v/>
      </c>
      <c r="AA581" s="10" t="str">
        <f t="shared" si="270"/>
        <v/>
      </c>
      <c r="AB581" s="11"/>
    </row>
    <row r="582" spans="1:28" ht="15" customHeight="1" thickBot="1" x14ac:dyDescent="0.25">
      <c r="A582" s="100"/>
      <c r="B582" s="87"/>
      <c r="C582" s="18"/>
      <c r="D582" s="18" t="str">
        <f t="shared" si="282"/>
        <v/>
      </c>
      <c r="E582" s="18"/>
      <c r="F582" s="18" t="str">
        <f t="shared" si="283"/>
        <v/>
      </c>
      <c r="G582" s="18"/>
      <c r="H582" s="18"/>
      <c r="I582" s="18"/>
      <c r="J582" s="40" t="str">
        <f t="shared" si="285"/>
        <v/>
      </c>
      <c r="K582" s="43" t="str">
        <f t="shared" si="286"/>
        <v/>
      </c>
      <c r="L582" s="18" t="str">
        <f t="shared" si="262"/>
        <v/>
      </c>
      <c r="M582" s="19" t="str">
        <f t="shared" si="263"/>
        <v/>
      </c>
      <c r="N582" s="11"/>
      <c r="P582" s="17"/>
      <c r="Q582" s="18"/>
      <c r="R582" s="18" t="str">
        <f t="shared" si="272"/>
        <v/>
      </c>
      <c r="S582" s="18"/>
      <c r="T582" s="18" t="str">
        <f t="shared" si="265"/>
        <v/>
      </c>
      <c r="U582" s="18"/>
      <c r="V582" s="18" t="str">
        <f t="shared" si="266"/>
        <v/>
      </c>
      <c r="W582" s="18"/>
      <c r="X582" s="21" t="str">
        <f t="shared" si="267"/>
        <v/>
      </c>
      <c r="Y582" s="43" t="str">
        <f t="shared" si="268"/>
        <v/>
      </c>
      <c r="Z582" s="18" t="str">
        <f t="shared" si="269"/>
        <v/>
      </c>
      <c r="AA582" s="19" t="str">
        <f t="shared" si="270"/>
        <v/>
      </c>
      <c r="AB582" s="11"/>
    </row>
    <row r="583" spans="1:28" ht="15" customHeight="1" thickTop="1" x14ac:dyDescent="0.2">
      <c r="A583" s="96"/>
      <c r="B583" s="81">
        <f>SUM(D583:D586)+SUM(R583:R586)</f>
        <v>0</v>
      </c>
      <c r="C583" s="36"/>
      <c r="D583" s="36" t="str">
        <f t="shared" si="282"/>
        <v/>
      </c>
      <c r="E583" s="36"/>
      <c r="F583" s="36" t="str">
        <f t="shared" si="283"/>
        <v/>
      </c>
      <c r="G583" s="36"/>
      <c r="H583" s="36" t="str">
        <f t="shared" si="284"/>
        <v/>
      </c>
      <c r="I583" s="36"/>
      <c r="J583" s="48" t="str">
        <f t="shared" si="285"/>
        <v/>
      </c>
      <c r="K583" s="36" t="str">
        <f t="shared" si="286"/>
        <v/>
      </c>
      <c r="L583" s="36" t="str">
        <f t="shared" si="262"/>
        <v/>
      </c>
      <c r="M583" s="36" t="str">
        <f t="shared" si="263"/>
        <v/>
      </c>
      <c r="N583" s="11"/>
      <c r="P583" s="57" t="str">
        <f>IF(A583="","",A583)</f>
        <v/>
      </c>
      <c r="Q583" s="36"/>
      <c r="R583" s="36" t="str">
        <f t="shared" si="272"/>
        <v/>
      </c>
      <c r="S583" s="36"/>
      <c r="T583" s="36" t="str">
        <f t="shared" si="265"/>
        <v/>
      </c>
      <c r="U583" s="36"/>
      <c r="V583" s="36" t="str">
        <f t="shared" si="266"/>
        <v/>
      </c>
      <c r="W583" s="36"/>
      <c r="X583" s="51" t="str">
        <f t="shared" si="267"/>
        <v/>
      </c>
      <c r="Y583" s="36" t="str">
        <f t="shared" si="268"/>
        <v/>
      </c>
      <c r="Z583" s="36" t="str">
        <f t="shared" si="269"/>
        <v/>
      </c>
      <c r="AA583" s="36" t="str">
        <f t="shared" si="270"/>
        <v/>
      </c>
      <c r="AB583" s="11"/>
    </row>
    <row r="584" spans="1:28" ht="15" customHeight="1" x14ac:dyDescent="0.2">
      <c r="A584" s="96"/>
      <c r="B584" s="81"/>
      <c r="C584" s="36"/>
      <c r="D584" s="36" t="str">
        <f t="shared" si="282"/>
        <v/>
      </c>
      <c r="E584" s="36"/>
      <c r="F584" s="36" t="str">
        <f t="shared" si="283"/>
        <v/>
      </c>
      <c r="G584" s="36"/>
      <c r="H584" s="36" t="str">
        <f t="shared" si="284"/>
        <v/>
      </c>
      <c r="I584" s="36"/>
      <c r="J584" s="48" t="str">
        <f t="shared" si="285"/>
        <v/>
      </c>
      <c r="K584" s="36" t="str">
        <f t="shared" si="286"/>
        <v/>
      </c>
      <c r="L584" s="36" t="str">
        <f t="shared" si="262"/>
        <v/>
      </c>
      <c r="M584" s="36" t="str">
        <f t="shared" si="263"/>
        <v/>
      </c>
      <c r="N584" s="11"/>
      <c r="P584" s="52"/>
      <c r="Q584" s="36"/>
      <c r="R584" s="36" t="str">
        <f t="shared" si="272"/>
        <v/>
      </c>
      <c r="S584" s="36"/>
      <c r="T584" s="36" t="str">
        <f t="shared" si="265"/>
        <v/>
      </c>
      <c r="U584" s="36"/>
      <c r="V584" s="36" t="str">
        <f t="shared" si="266"/>
        <v/>
      </c>
      <c r="W584" s="36"/>
      <c r="X584" s="51" t="str">
        <f t="shared" si="267"/>
        <v/>
      </c>
      <c r="Y584" s="36" t="str">
        <f t="shared" si="268"/>
        <v/>
      </c>
      <c r="Z584" s="36" t="str">
        <f t="shared" si="269"/>
        <v/>
      </c>
      <c r="AA584" s="36" t="str">
        <f t="shared" si="270"/>
        <v/>
      </c>
      <c r="AB584" s="11"/>
    </row>
    <row r="585" spans="1:28" ht="15" customHeight="1" x14ac:dyDescent="0.2">
      <c r="A585" s="4"/>
      <c r="B585" s="84"/>
      <c r="C585" s="44"/>
      <c r="D585" s="44" t="str">
        <f t="shared" si="282"/>
        <v/>
      </c>
      <c r="E585" s="44"/>
      <c r="F585" s="44" t="str">
        <f t="shared" si="283"/>
        <v/>
      </c>
      <c r="G585" s="44"/>
      <c r="H585" s="44" t="str">
        <f t="shared" si="284"/>
        <v/>
      </c>
      <c r="I585" s="44"/>
      <c r="J585" s="67" t="str">
        <f t="shared" si="285"/>
        <v/>
      </c>
      <c r="K585" s="44" t="str">
        <f t="shared" si="286"/>
        <v/>
      </c>
      <c r="L585" s="44" t="str">
        <f t="shared" si="262"/>
        <v/>
      </c>
      <c r="M585" s="44" t="str">
        <f t="shared" si="263"/>
        <v/>
      </c>
      <c r="N585" s="28"/>
      <c r="P585" s="64"/>
      <c r="Q585" s="44"/>
      <c r="R585" s="44" t="str">
        <f t="shared" si="272"/>
        <v/>
      </c>
      <c r="S585" s="44"/>
      <c r="T585" s="44" t="str">
        <f t="shared" si="265"/>
        <v/>
      </c>
      <c r="U585" s="44"/>
      <c r="V585" s="44" t="str">
        <f t="shared" si="266"/>
        <v/>
      </c>
      <c r="W585" s="44"/>
      <c r="X585" s="65" t="str">
        <f t="shared" si="267"/>
        <v/>
      </c>
      <c r="Y585" s="44" t="str">
        <f t="shared" si="268"/>
        <v/>
      </c>
      <c r="Z585" s="44" t="str">
        <f t="shared" si="269"/>
        <v/>
      </c>
      <c r="AA585" s="44" t="str">
        <f t="shared" si="270"/>
        <v/>
      </c>
      <c r="AB585" s="28"/>
    </row>
    <row r="586" spans="1:28" ht="15" customHeight="1" thickBot="1" x14ac:dyDescent="0.25">
      <c r="A586" s="74"/>
      <c r="B586" s="85"/>
      <c r="C586" s="42"/>
      <c r="D586" s="42" t="str">
        <f t="shared" si="282"/>
        <v/>
      </c>
      <c r="E586" s="42"/>
      <c r="F586" s="42" t="str">
        <f t="shared" si="283"/>
        <v/>
      </c>
      <c r="G586" s="42"/>
      <c r="H586" s="42" t="str">
        <f t="shared" si="284"/>
        <v/>
      </c>
      <c r="I586" s="42"/>
      <c r="J586" s="66" t="str">
        <f t="shared" si="285"/>
        <v/>
      </c>
      <c r="K586" s="42" t="str">
        <f t="shared" si="286"/>
        <v/>
      </c>
      <c r="L586" s="42" t="str">
        <f t="shared" si="262"/>
        <v/>
      </c>
      <c r="M586" s="42" t="str">
        <f t="shared" si="263"/>
        <v/>
      </c>
      <c r="N586" s="63"/>
      <c r="P586" s="61"/>
      <c r="Q586" s="42"/>
      <c r="R586" s="42" t="str">
        <f t="shared" si="272"/>
        <v/>
      </c>
      <c r="S586" s="42"/>
      <c r="T586" s="42" t="str">
        <f t="shared" si="265"/>
        <v/>
      </c>
      <c r="U586" s="42"/>
      <c r="V586" s="42" t="str">
        <f t="shared" si="266"/>
        <v/>
      </c>
      <c r="W586" s="42"/>
      <c r="X586" s="62" t="str">
        <f t="shared" si="267"/>
        <v/>
      </c>
      <c r="Y586" s="42" t="str">
        <f t="shared" si="268"/>
        <v/>
      </c>
      <c r="Z586" s="42" t="str">
        <f t="shared" si="269"/>
        <v/>
      </c>
      <c r="AA586" s="42" t="str">
        <f t="shared" si="270"/>
        <v/>
      </c>
      <c r="AB586" s="63"/>
    </row>
    <row r="587" spans="1:28" ht="15" customHeight="1" thickTop="1" x14ac:dyDescent="0.2">
      <c r="A587" s="52"/>
      <c r="B587" s="81"/>
      <c r="C587" s="60" t="s">
        <v>40</v>
      </c>
      <c r="D587" s="36">
        <f>SUM(D531:D583)*100</f>
        <v>403400</v>
      </c>
      <c r="E587" s="93" t="s">
        <v>41</v>
      </c>
      <c r="F587" s="36"/>
      <c r="G587" s="60"/>
      <c r="H587" s="36"/>
      <c r="I587" s="36"/>
      <c r="J587" s="209" t="s">
        <v>42</v>
      </c>
      <c r="K587" s="209"/>
      <c r="L587" s="36">
        <f>SUM(L531:L583)</f>
        <v>46640</v>
      </c>
      <c r="M587" s="36"/>
      <c r="N587" s="55"/>
      <c r="P587" s="52"/>
      <c r="Q587" s="60" t="s">
        <v>40</v>
      </c>
      <c r="R587" s="36">
        <f>SUM(R531:R583)*100</f>
        <v>372000</v>
      </c>
      <c r="S587" s="93" t="s">
        <v>41</v>
      </c>
      <c r="T587" s="36"/>
      <c r="U587" s="60"/>
      <c r="V587" s="36"/>
      <c r="W587" s="36"/>
      <c r="X587" s="209" t="s">
        <v>42</v>
      </c>
      <c r="Y587" s="209"/>
      <c r="Z587" s="36">
        <f>SUM(Z531:Z583)</f>
        <v>72952</v>
      </c>
      <c r="AA587" s="36"/>
      <c r="AB587" s="55"/>
    </row>
    <row r="588" spans="1:28" ht="15" customHeight="1" x14ac:dyDescent="0.2">
      <c r="A588" s="24"/>
      <c r="B588" s="86"/>
      <c r="C588" s="5" t="s">
        <v>43</v>
      </c>
      <c r="D588" s="9">
        <f>D587/A592</f>
        <v>13012.903225806451</v>
      </c>
      <c r="E588" s="9">
        <f>D588*A591</f>
        <v>403400</v>
      </c>
      <c r="F588" s="9"/>
      <c r="G588" s="5"/>
      <c r="H588" s="9"/>
      <c r="I588" s="9"/>
      <c r="J588" s="210" t="s">
        <v>44</v>
      </c>
      <c r="K588" s="210"/>
      <c r="L588" s="9"/>
      <c r="M588" s="26">
        <f>L587/D587</f>
        <v>0.11561725334655429</v>
      </c>
      <c r="N588" s="11"/>
      <c r="P588" s="34"/>
      <c r="Q588" s="5" t="s">
        <v>43</v>
      </c>
      <c r="R588" s="9">
        <f>R587/A592</f>
        <v>12000</v>
      </c>
      <c r="S588" s="9">
        <f>R588*A591</f>
        <v>372000</v>
      </c>
      <c r="T588" s="9"/>
      <c r="U588" s="5"/>
      <c r="V588" s="9"/>
      <c r="W588" s="9"/>
      <c r="X588" s="210" t="s">
        <v>44</v>
      </c>
      <c r="Y588" s="210"/>
      <c r="Z588" s="9"/>
      <c r="AA588" s="26">
        <f>Z587/R587</f>
        <v>0.19610752688172042</v>
      </c>
      <c r="AB588" s="11"/>
    </row>
    <row r="589" spans="1:28" ht="15" customHeight="1" x14ac:dyDescent="0.2">
      <c r="A589" s="12"/>
      <c r="B589" s="88"/>
      <c r="C589" s="47" t="s">
        <v>45</v>
      </c>
      <c r="D589" s="9">
        <f>D587*0.6</f>
        <v>242040</v>
      </c>
      <c r="E589" s="9"/>
      <c r="F589" s="9"/>
      <c r="G589" s="5"/>
      <c r="H589" s="9"/>
      <c r="I589" s="9"/>
      <c r="J589" s="210" t="s">
        <v>46</v>
      </c>
      <c r="K589" s="210"/>
      <c r="L589" s="9">
        <f>D589-L587</f>
        <v>195400</v>
      </c>
      <c r="M589" s="26">
        <f>L589/D587</f>
        <v>0.48438274665344572</v>
      </c>
      <c r="N589" s="11"/>
      <c r="P589" s="12"/>
      <c r="Q589" s="47" t="s">
        <v>45</v>
      </c>
      <c r="R589" s="9">
        <f>R587*0.6</f>
        <v>223200</v>
      </c>
      <c r="S589" s="9"/>
      <c r="T589" s="9"/>
      <c r="U589" s="5"/>
      <c r="V589" s="9"/>
      <c r="W589" s="9"/>
      <c r="X589" s="210" t="s">
        <v>46</v>
      </c>
      <c r="Y589" s="210"/>
      <c r="Z589" s="9">
        <f>R589-Z587</f>
        <v>150248</v>
      </c>
      <c r="AA589" s="26">
        <f>Z589/R587</f>
        <v>0.40389247311827958</v>
      </c>
      <c r="AB589" s="11"/>
    </row>
    <row r="590" spans="1:28" ht="15" customHeight="1" x14ac:dyDescent="0.2">
      <c r="A590" s="52"/>
      <c r="B590" s="81"/>
      <c r="C590" s="5" t="s">
        <v>47</v>
      </c>
      <c r="D590" s="9"/>
      <c r="E590" s="9"/>
      <c r="F590" s="9"/>
      <c r="G590" s="5"/>
      <c r="H590" s="9"/>
      <c r="I590" s="16"/>
      <c r="J590" s="205" t="s">
        <v>48</v>
      </c>
      <c r="K590" s="205"/>
      <c r="L590" s="36">
        <f>(G571+I571)*K571+(G572+I572)*K572+(G573+I573)*K573+(G574+I574)*K574</f>
        <v>41426</v>
      </c>
      <c r="M590" s="10"/>
      <c r="N590" s="11"/>
      <c r="P590" s="52"/>
      <c r="Q590" s="5" t="s">
        <v>47</v>
      </c>
      <c r="R590" s="9"/>
      <c r="S590" s="9"/>
      <c r="T590" s="9"/>
      <c r="U590" s="5"/>
      <c r="V590" s="9"/>
      <c r="W590" s="16"/>
      <c r="X590" s="205" t="s">
        <v>48</v>
      </c>
      <c r="Y590" s="205"/>
      <c r="Z590" s="36">
        <f>(U571+W571)*Y571+(U572+W572)*Y572+(U573+W573)*Y573+(U574+W574)*Y574</f>
        <v>37466</v>
      </c>
      <c r="AA590" s="10"/>
      <c r="AB590" s="11"/>
    </row>
    <row r="591" spans="1:28" ht="15" customHeight="1" x14ac:dyDescent="0.2">
      <c r="A591" s="4">
        <v>31</v>
      </c>
      <c r="B591" s="113">
        <f>SUM(B531:B583)*100</f>
        <v>775400</v>
      </c>
      <c r="C591" s="5"/>
      <c r="D591" s="9"/>
      <c r="E591" s="9"/>
      <c r="F591" s="9"/>
      <c r="G591" s="5"/>
      <c r="H591" s="9"/>
      <c r="I591" s="16"/>
      <c r="J591" s="140"/>
      <c r="K591" s="71"/>
      <c r="L591" s="49"/>
      <c r="M591" s="10"/>
      <c r="N591" s="11"/>
      <c r="P591" s="52"/>
      <c r="Q591" s="5"/>
      <c r="R591" s="9"/>
      <c r="S591" s="9"/>
      <c r="T591" s="9"/>
      <c r="U591" s="5"/>
      <c r="V591" s="9"/>
      <c r="W591" s="16"/>
      <c r="X591" s="70"/>
      <c r="Y591" s="71"/>
      <c r="Z591" s="49"/>
      <c r="AA591" s="10"/>
      <c r="AB591" s="11"/>
    </row>
    <row r="592" spans="1:28" ht="15" customHeight="1" x14ac:dyDescent="0.2">
      <c r="A592" s="69">
        <f>DATEDIF(A$653,A567,"d")</f>
        <v>31</v>
      </c>
      <c r="B592" s="81"/>
      <c r="C592" s="5"/>
      <c r="D592" s="9"/>
      <c r="E592" s="25"/>
      <c r="F592" s="9"/>
      <c r="G592" s="5"/>
      <c r="H592" s="9"/>
      <c r="I592" s="16"/>
      <c r="J592" s="140"/>
      <c r="K592" s="71"/>
      <c r="L592" s="49"/>
      <c r="M592" s="10"/>
      <c r="N592" s="11"/>
      <c r="P592" s="52"/>
      <c r="Q592" s="5"/>
      <c r="R592" s="9"/>
      <c r="S592" s="9"/>
      <c r="T592" s="9"/>
      <c r="U592" s="5"/>
      <c r="V592" s="9"/>
      <c r="W592" s="16"/>
      <c r="X592" s="70"/>
      <c r="Y592" s="71"/>
      <c r="Z592" s="49"/>
      <c r="AA592" s="10"/>
      <c r="AB592" s="11"/>
    </row>
    <row r="593" spans="1:28" x14ac:dyDescent="0.2">
      <c r="A593" s="206" t="s">
        <v>49</v>
      </c>
      <c r="B593" s="206"/>
      <c r="C593" s="206"/>
      <c r="D593" s="27">
        <f>SUM(D531,D535,D539,D543,D547,D551,D555,D559,D563,D567,D571,D575,D579)*100</f>
        <v>109500</v>
      </c>
      <c r="E593" s="37"/>
      <c r="F593" s="9"/>
      <c r="G593" s="5">
        <f>D593/H593</f>
        <v>5763.1578947368425</v>
      </c>
      <c r="H593" s="27">
        <f>SUM(H531,H535,H539,H543,H547,H551,H556,H559,H563,H567,H571,H575,H579)</f>
        <v>19</v>
      </c>
      <c r="I593" s="9"/>
      <c r="J593" s="48" t="str">
        <f t="shared" ref="J593:K593" si="287">J531</f>
        <v>ジャグラーサウンドボタン</v>
      </c>
      <c r="K593" s="49">
        <f t="shared" si="287"/>
        <v>748</v>
      </c>
      <c r="L593" s="27">
        <f>SUM(L531,L535,L539,L543,L547,L551,L556,L559,L563,L567,L571,L575,L579)</f>
        <v>14916</v>
      </c>
      <c r="M593" s="26">
        <f>L593/D593</f>
        <v>0.13621917808219178</v>
      </c>
      <c r="N593" s="11"/>
      <c r="O593" s="15"/>
      <c r="P593" s="206" t="s">
        <v>49</v>
      </c>
      <c r="Q593" s="206"/>
      <c r="R593" s="27">
        <f>SUM(R531,R535,R539,R543,R547,R551,R555,R559,R563,R567,R571,R575,R579)*100</f>
        <v>77000</v>
      </c>
      <c r="S593" s="37"/>
      <c r="T593" s="9"/>
      <c r="U593" s="5">
        <f>R593/V593</f>
        <v>2200</v>
      </c>
      <c r="V593" s="27">
        <f>SUM(V531,V535,V539,V543,V547,V551,V556,V559,V563,V567,V571,V575,V579)</f>
        <v>35</v>
      </c>
      <c r="W593" s="9"/>
      <c r="X593" s="48" t="str">
        <f t="shared" ref="X593:Y593" si="288">X531</f>
        <v>サンリオフェイスポーチ</v>
      </c>
      <c r="Y593" s="49">
        <f t="shared" si="288"/>
        <v>957</v>
      </c>
      <c r="Z593" s="27">
        <f>SUM(Z531,Z535,Z539,Z543,Z547,Z551,Z556,Z559,Z563,Z567,Z571,Z575,Z579)</f>
        <v>16192</v>
      </c>
      <c r="AA593" s="26">
        <f>Z593/R593</f>
        <v>0.2102857142857143</v>
      </c>
      <c r="AB593" s="11"/>
    </row>
    <row r="594" spans="1:28" x14ac:dyDescent="0.2">
      <c r="A594" s="206" t="s">
        <v>49</v>
      </c>
      <c r="B594" s="206"/>
      <c r="C594" s="206"/>
      <c r="D594" s="27">
        <f>SUM(D532,D536,D540,D544,D548,D552,D556,D560,D564,D568,D572,D576,D580)*100</f>
        <v>107100</v>
      </c>
      <c r="E594" s="37"/>
      <c r="F594" s="9"/>
      <c r="G594" s="5">
        <f>D594/H594</f>
        <v>3693.1034482758619</v>
      </c>
      <c r="H594" s="27">
        <f>SUM(H532,H536,H540,H544,H548,H552,H555,H560,H564,H568,H572,H576,H580)</f>
        <v>29</v>
      </c>
      <c r="I594" s="9"/>
      <c r="J594" s="48" t="str">
        <f t="shared" ref="J594:K594" si="289">J532</f>
        <v>電ブルキュート</v>
      </c>
      <c r="K594" s="49">
        <f t="shared" si="289"/>
        <v>275</v>
      </c>
      <c r="L594" s="27">
        <f>SUM(L532,L536,L540,L544,L548,L552,L555,L560,L564,L568,L572,L576,L580)</f>
        <v>13519</v>
      </c>
      <c r="M594" s="26">
        <f>L594/D594</f>
        <v>0.12622782446311859</v>
      </c>
      <c r="N594" s="11"/>
      <c r="O594" s="1"/>
      <c r="P594" s="206" t="s">
        <v>49</v>
      </c>
      <c r="Q594" s="206"/>
      <c r="R594" s="27">
        <f>SUM(R532,R536,R540,R544,R548,R552,R556,R560,R564,R568,R572,R576,R580)*100</f>
        <v>154400</v>
      </c>
      <c r="S594" s="37"/>
      <c r="T594" s="9"/>
      <c r="U594" s="5">
        <f>R594/V594</f>
        <v>5718.5185185185182</v>
      </c>
      <c r="V594" s="27">
        <f>SUM(V532,V536,V540,V544,V548,V552,V555,V560,V564,V568,V572,V576,V580)</f>
        <v>27</v>
      </c>
      <c r="W594" s="9"/>
      <c r="X594" s="48" t="str">
        <f t="shared" ref="X594:Y594" si="290">X532</f>
        <v>サンリオファン</v>
      </c>
      <c r="Y594" s="49">
        <f t="shared" si="290"/>
        <v>1100</v>
      </c>
      <c r="Z594" s="27">
        <f>SUM(Z532,Z536,Z540,Z544,Z548,Z552,Z555,Z560,Z564,Z568,Z572,Z576,Z580)</f>
        <v>28050</v>
      </c>
      <c r="AA594" s="26">
        <f>Z594/R594</f>
        <v>0.18167098445595856</v>
      </c>
      <c r="AB594" s="11"/>
    </row>
    <row r="595" spans="1:28" x14ac:dyDescent="0.2">
      <c r="A595" s="206" t="s">
        <v>49</v>
      </c>
      <c r="B595" s="206"/>
      <c r="C595" s="206"/>
      <c r="D595" s="27">
        <f>SUM(D533,D537,D541,D545,D549,D553,D557,D561,D565,D569,D573,D577,D581)*100</f>
        <v>128200</v>
      </c>
      <c r="E595" s="37"/>
      <c r="F595" s="9"/>
      <c r="G595" s="5">
        <f>D595/H595</f>
        <v>3884.848484848485</v>
      </c>
      <c r="H595" s="27">
        <f>SUM(H533,H537,H541,H546,H549,H553,H557,H561,H565,H569,H573,H577,H581)</f>
        <v>33</v>
      </c>
      <c r="I595" s="9"/>
      <c r="J595" s="48" t="str">
        <f t="shared" ref="J595:K595" si="291">J533</f>
        <v>ＡＩモンスターラバー</v>
      </c>
      <c r="K595" s="49">
        <f t="shared" si="291"/>
        <v>110</v>
      </c>
      <c r="L595" s="27">
        <f>SUM(L533,L537,L541,L546,L549,L553,L557,L561,L565,L569,L573,L577,L581)</f>
        <v>4950</v>
      </c>
      <c r="M595" s="26">
        <f>L595/D595</f>
        <v>3.8611544461778474E-2</v>
      </c>
      <c r="N595" s="11"/>
      <c r="O595" s="1"/>
      <c r="P595" s="206" t="s">
        <v>49</v>
      </c>
      <c r="Q595" s="206"/>
      <c r="R595" s="27">
        <f>SUM(R533,R537,R541,R545,R549,R553,R557,R561,R565,R569,R573,R577,R581)*100</f>
        <v>52500</v>
      </c>
      <c r="S595" s="37"/>
      <c r="T595" s="9"/>
      <c r="U595" s="5">
        <f>R595/V595</f>
        <v>1944.4444444444443</v>
      </c>
      <c r="V595" s="27">
        <f>SUM(V533,V537,V541,V546,V549,V553,V557,V561,V565,V569,V573,V577,V581)</f>
        <v>27</v>
      </c>
      <c r="W595" s="9"/>
      <c r="X595" s="48" t="str">
        <f t="shared" ref="X595:Y595" si="292">X533</f>
        <v>サンリオスマートキーケース</v>
      </c>
      <c r="Y595" s="49">
        <f t="shared" si="292"/>
        <v>726</v>
      </c>
      <c r="Z595" s="27">
        <f>SUM(Z533,Z537,Z541,Z546,Z549,Z553,Z557,Z561,Z565,Z569,Z573,Z577,Z581)</f>
        <v>20240</v>
      </c>
      <c r="AA595" s="26">
        <f>Z595/R595</f>
        <v>0.38552380952380955</v>
      </c>
      <c r="AB595" s="11"/>
    </row>
    <row r="596" spans="1:28" x14ac:dyDescent="0.2">
      <c r="A596" s="206" t="s">
        <v>49</v>
      </c>
      <c r="B596" s="206"/>
      <c r="C596" s="206"/>
      <c r="D596" s="27">
        <f>SUM(D534,D538,D542,D546,D550,D554,D558,D562,D566,D570,D574,D578,D582)*100</f>
        <v>58600</v>
      </c>
      <c r="E596" s="37"/>
      <c r="F596" s="9"/>
      <c r="G596" s="5">
        <f>D596/H596</f>
        <v>2344</v>
      </c>
      <c r="H596" s="27">
        <f>SUM(H534,H538,H542,H545,H550,H554,H558,H562,H566,H570,H574,H578,H582)</f>
        <v>25</v>
      </c>
      <c r="I596" s="9"/>
      <c r="J596" s="48" t="str">
        <f t="shared" ref="J596:K596" si="293">J534</f>
        <v>NICI</v>
      </c>
      <c r="K596" s="49">
        <f t="shared" si="293"/>
        <v>682</v>
      </c>
      <c r="L596" s="27">
        <f>SUM(L534,L538,L542,L545,L550,L554,L558,L562,L566,L570,L574,L578,L582)</f>
        <v>13255</v>
      </c>
      <c r="M596" s="26">
        <f>L596/D596</f>
        <v>0.22619453924914676</v>
      </c>
      <c r="N596" s="11"/>
      <c r="O596" s="1"/>
      <c r="P596" s="206" t="s">
        <v>49</v>
      </c>
      <c r="Q596" s="206"/>
      <c r="R596" s="27">
        <f>SUM(R534,R538,R542,R546,R550,R554,R558,R562,R566,R570,R574,R578,R582)*100</f>
        <v>88100</v>
      </c>
      <c r="S596" s="37"/>
      <c r="T596" s="9"/>
      <c r="U596" s="5">
        <f>R596/V596</f>
        <v>11012.5</v>
      </c>
      <c r="V596" s="27">
        <f>SUM(V534,V538,V542,V545,V550,V554,V558,V562,V566,V570,V574,V578,V582)</f>
        <v>8</v>
      </c>
      <c r="W596" s="9"/>
      <c r="X596" s="48" t="str">
        <f t="shared" ref="X596:Y596" si="294">X534</f>
        <v>デジタルミニカメラ</v>
      </c>
      <c r="Y596" s="49">
        <f t="shared" si="294"/>
        <v>1045</v>
      </c>
      <c r="Z596" s="27">
        <f>SUM(Z534,Z538,Z542,Z545,Z550,Z554,Z558,Z562,Z566,Z570,Z574,Z578,Z582)</f>
        <v>8470</v>
      </c>
      <c r="AA596" s="26">
        <f>Z596/R596</f>
        <v>9.6140749148694665E-2</v>
      </c>
      <c r="AB596" s="11"/>
    </row>
    <row r="597" spans="1:28" x14ac:dyDescent="0.2">
      <c r="A597" s="12"/>
      <c r="B597" s="8"/>
      <c r="C597" s="5" t="s">
        <v>40</v>
      </c>
      <c r="D597" s="9">
        <f>SUM(D593:D596)</f>
        <v>403400</v>
      </c>
      <c r="E597" s="37"/>
      <c r="F597" s="9"/>
      <c r="G597" s="9"/>
      <c r="H597" s="9">
        <f>SUM(H593:H596)</f>
        <v>106</v>
      </c>
      <c r="I597" s="9"/>
      <c r="J597" s="196" t="s">
        <v>50</v>
      </c>
      <c r="K597" s="196"/>
      <c r="L597" s="36">
        <f>SUM(L593:L596)</f>
        <v>46640</v>
      </c>
      <c r="M597" s="54">
        <f>L597/D597</f>
        <v>0.11561725334655429</v>
      </c>
      <c r="N597" s="55"/>
      <c r="O597" s="1"/>
      <c r="P597" s="12"/>
      <c r="Q597" s="5" t="s">
        <v>40</v>
      </c>
      <c r="R597" s="9">
        <f>SUM(R593:R596)</f>
        <v>372000</v>
      </c>
      <c r="S597" s="37"/>
      <c r="T597" s="9"/>
      <c r="U597" s="9"/>
      <c r="V597" s="9">
        <f>SUM(V593:V596)</f>
        <v>97</v>
      </c>
      <c r="W597" s="9"/>
      <c r="X597" s="196" t="s">
        <v>50</v>
      </c>
      <c r="Y597" s="196"/>
      <c r="Z597" s="36">
        <f>SUM(Z593:Z596)</f>
        <v>72952</v>
      </c>
      <c r="AA597" s="54">
        <f>Z597/R597</f>
        <v>0.19610752688172042</v>
      </c>
      <c r="AB597" s="11"/>
    </row>
    <row r="598" spans="1:28" x14ac:dyDescent="0.2">
      <c r="A598" s="30"/>
      <c r="B598" s="29"/>
      <c r="C598" s="2"/>
      <c r="D598" s="2"/>
      <c r="E598" s="2"/>
      <c r="F598" s="2"/>
      <c r="G598" s="2"/>
      <c r="H598" s="2"/>
      <c r="I598" s="2"/>
      <c r="J598" s="46"/>
      <c r="K598" s="2"/>
      <c r="L598" s="2"/>
      <c r="M598" s="2"/>
      <c r="N598" s="35"/>
      <c r="O598" s="1"/>
      <c r="P598" s="30"/>
      <c r="Q598" s="2"/>
      <c r="R598" s="2"/>
      <c r="S598" s="2"/>
      <c r="T598" s="2"/>
      <c r="U598" s="2"/>
      <c r="V598" s="2"/>
      <c r="W598" s="2"/>
      <c r="X598" s="46"/>
      <c r="Y598" s="2"/>
      <c r="Z598" s="2"/>
      <c r="AA598" s="2"/>
      <c r="AB598" s="35"/>
    </row>
    <row r="599" spans="1:28" ht="15" customHeight="1" x14ac:dyDescent="0.2">
      <c r="C599" s="215" t="s">
        <v>51</v>
      </c>
      <c r="D599" s="215"/>
      <c r="E599" s="216" t="s">
        <v>52</v>
      </c>
      <c r="F599" s="216"/>
      <c r="G599" s="216" t="s">
        <v>53</v>
      </c>
      <c r="H599" s="216"/>
      <c r="K599"/>
    </row>
    <row r="600" spans="1:28" x14ac:dyDescent="0.2">
      <c r="C600" s="222">
        <f>E588+S588</f>
        <v>775400</v>
      </c>
      <c r="D600" s="222"/>
      <c r="E600" s="212">
        <f>L587+Z587</f>
        <v>119592</v>
      </c>
      <c r="F600" s="212"/>
      <c r="G600" s="212">
        <f>L590+Z590</f>
        <v>78892</v>
      </c>
      <c r="H600" s="212"/>
      <c r="K600"/>
    </row>
    <row r="601" spans="1:28" x14ac:dyDescent="0.2">
      <c r="C601" s="68"/>
      <c r="D601" s="68"/>
      <c r="E601" s="92" t="s">
        <v>57</v>
      </c>
      <c r="F601" s="72">
        <f>E600/C600</f>
        <v>0.15423265411400566</v>
      </c>
      <c r="G601" s="9"/>
      <c r="H601" s="9"/>
      <c r="K601"/>
    </row>
    <row r="602" spans="1:28" x14ac:dyDescent="0.2">
      <c r="E602" s="115"/>
      <c r="F602" s="116"/>
      <c r="G602" s="1"/>
      <c r="H602" s="1"/>
      <c r="K602"/>
    </row>
    <row r="603" spans="1:28" x14ac:dyDescent="0.2">
      <c r="A603" s="207" t="s">
        <v>0</v>
      </c>
      <c r="B603" s="207"/>
      <c r="C603" s="207"/>
      <c r="D603" s="207"/>
      <c r="E603" s="221" t="s">
        <v>1</v>
      </c>
      <c r="F603" s="221"/>
      <c r="G603" s="75"/>
      <c r="H603" s="75"/>
      <c r="I603" s="75"/>
      <c r="J603" s="78"/>
      <c r="K603" s="75"/>
      <c r="L603" s="75"/>
      <c r="M603" s="75"/>
      <c r="N603" s="76"/>
      <c r="O603" s="77"/>
      <c r="P603" s="207" t="s">
        <v>0</v>
      </c>
      <c r="Q603" s="207"/>
      <c r="R603" s="207"/>
      <c r="S603" s="221" t="s">
        <v>2</v>
      </c>
      <c r="T603" s="221"/>
      <c r="U603" s="75"/>
      <c r="V603" s="75"/>
      <c r="W603" s="75"/>
      <c r="X603" s="78"/>
      <c r="Y603" s="75"/>
      <c r="Z603" s="75"/>
      <c r="AA603" s="75"/>
      <c r="AB603" s="76"/>
    </row>
    <row r="604" spans="1:28" x14ac:dyDescent="0.2">
      <c r="A604" s="7" t="s">
        <v>3</v>
      </c>
      <c r="B604" s="80" t="s">
        <v>4</v>
      </c>
      <c r="C604" s="5" t="s">
        <v>5</v>
      </c>
      <c r="D604" s="5" t="s">
        <v>6</v>
      </c>
      <c r="E604" s="6" t="s">
        <v>7</v>
      </c>
      <c r="F604" s="5" t="s">
        <v>6</v>
      </c>
      <c r="G604" s="5" t="s">
        <v>8</v>
      </c>
      <c r="H604" s="5" t="s">
        <v>9</v>
      </c>
      <c r="I604" s="5" t="s">
        <v>10</v>
      </c>
      <c r="J604" s="38" t="s">
        <v>11</v>
      </c>
      <c r="K604" s="5" t="s">
        <v>12</v>
      </c>
      <c r="L604" s="5" t="s">
        <v>9</v>
      </c>
      <c r="M604" s="5" t="s">
        <v>13</v>
      </c>
      <c r="N604" s="5" t="s">
        <v>14</v>
      </c>
      <c r="O604" s="3"/>
      <c r="P604" s="7" t="s">
        <v>3</v>
      </c>
      <c r="Q604" s="5" t="s">
        <v>5</v>
      </c>
      <c r="R604" s="5" t="s">
        <v>6</v>
      </c>
      <c r="S604" s="6" t="s">
        <v>7</v>
      </c>
      <c r="T604" s="5" t="s">
        <v>6</v>
      </c>
      <c r="U604" s="5" t="s">
        <v>8</v>
      </c>
      <c r="V604" s="5" t="s">
        <v>9</v>
      </c>
      <c r="W604" s="5" t="s">
        <v>10</v>
      </c>
      <c r="X604" s="38" t="s">
        <v>11</v>
      </c>
      <c r="Y604" s="5" t="s">
        <v>12</v>
      </c>
      <c r="Z604" s="5" t="s">
        <v>9</v>
      </c>
      <c r="AA604" s="5" t="s">
        <v>13</v>
      </c>
      <c r="AB604" s="5" t="s">
        <v>14</v>
      </c>
    </row>
    <row r="605" spans="1:28" x14ac:dyDescent="0.2">
      <c r="A605" s="12">
        <v>45834</v>
      </c>
      <c r="B605" s="81">
        <f>SUM(D605:D608)+SUM(R605:R608)</f>
        <v>0</v>
      </c>
      <c r="C605" s="36">
        <v>9999991</v>
      </c>
      <c r="D605" s="36"/>
      <c r="E605" s="36">
        <v>9999990</v>
      </c>
      <c r="F605" s="36"/>
      <c r="G605" s="36"/>
      <c r="H605" s="36"/>
      <c r="I605" s="36">
        <v>16</v>
      </c>
      <c r="J605" s="89" t="s">
        <v>74</v>
      </c>
      <c r="K605" s="49">
        <v>1020</v>
      </c>
      <c r="L605" s="36"/>
      <c r="M605" s="50"/>
      <c r="N605" s="11" t="s">
        <v>75</v>
      </c>
      <c r="O605" s="1"/>
      <c r="P605" s="12">
        <v>45834</v>
      </c>
      <c r="Q605" s="36">
        <v>9999991</v>
      </c>
      <c r="R605" s="36"/>
      <c r="S605" s="36">
        <v>9999990</v>
      </c>
      <c r="T605" s="36"/>
      <c r="U605" s="36"/>
      <c r="V605" s="36"/>
      <c r="W605" s="36">
        <v>17</v>
      </c>
      <c r="X605" s="89" t="s">
        <v>76</v>
      </c>
      <c r="Y605" s="49">
        <v>1100</v>
      </c>
      <c r="Z605" s="36"/>
      <c r="AA605" s="50"/>
      <c r="AB605" s="11" t="s">
        <v>77</v>
      </c>
    </row>
    <row r="606" spans="1:28" x14ac:dyDescent="0.2">
      <c r="A606" s="79" t="s">
        <v>78</v>
      </c>
      <c r="B606" s="8"/>
      <c r="C606" s="36">
        <v>9999994</v>
      </c>
      <c r="D606" s="9"/>
      <c r="E606" s="36">
        <v>9999992</v>
      </c>
      <c r="F606" s="9"/>
      <c r="G606" s="9"/>
      <c r="H606" s="9"/>
      <c r="I606" s="9">
        <v>35</v>
      </c>
      <c r="J606" s="89" t="s">
        <v>79</v>
      </c>
      <c r="K606" s="36">
        <v>275</v>
      </c>
      <c r="L606" s="9"/>
      <c r="M606" s="10"/>
      <c r="N606" s="11" t="s">
        <v>80</v>
      </c>
      <c r="O606" s="1"/>
      <c r="P606" s="12"/>
      <c r="Q606" s="36">
        <v>9999994</v>
      </c>
      <c r="R606" s="9"/>
      <c r="S606" s="36">
        <v>9999990</v>
      </c>
      <c r="T606" s="9"/>
      <c r="U606" s="9"/>
      <c r="V606" s="9"/>
      <c r="W606" s="9">
        <v>12</v>
      </c>
      <c r="X606" s="90" t="s">
        <v>81</v>
      </c>
      <c r="Y606" s="37">
        <v>748</v>
      </c>
      <c r="Z606" s="9"/>
      <c r="AA606" s="10"/>
      <c r="AB606" s="11" t="s">
        <v>82</v>
      </c>
    </row>
    <row r="607" spans="1:28" x14ac:dyDescent="0.2">
      <c r="A607" s="12"/>
      <c r="B607" s="8"/>
      <c r="C607" s="36">
        <v>9999993</v>
      </c>
      <c r="D607" s="9"/>
      <c r="E607" s="36">
        <v>9999991</v>
      </c>
      <c r="F607" s="9"/>
      <c r="G607" s="9"/>
      <c r="H607" s="9"/>
      <c r="I607" s="9">
        <v>26</v>
      </c>
      <c r="J607" s="39" t="s">
        <v>124</v>
      </c>
      <c r="K607" s="37">
        <v>187</v>
      </c>
      <c r="L607" s="9"/>
      <c r="M607" s="10"/>
      <c r="N607" s="11" t="s">
        <v>83</v>
      </c>
      <c r="O607" s="1"/>
      <c r="P607" s="12"/>
      <c r="Q607" s="36">
        <v>9999993</v>
      </c>
      <c r="R607" s="9"/>
      <c r="S607" s="36">
        <v>9999991</v>
      </c>
      <c r="T607" s="9"/>
      <c r="U607" s="9"/>
      <c r="V607" s="9"/>
      <c r="W607" s="9">
        <v>10</v>
      </c>
      <c r="X607" s="90" t="s">
        <v>84</v>
      </c>
      <c r="Y607" s="37">
        <v>726</v>
      </c>
      <c r="Z607" s="9"/>
      <c r="AA607" s="10"/>
      <c r="AB607" s="11" t="s">
        <v>82</v>
      </c>
    </row>
    <row r="608" spans="1:28" ht="15" customHeight="1" thickBot="1" x14ac:dyDescent="0.25">
      <c r="A608" s="17"/>
      <c r="B608" s="82"/>
      <c r="C608" s="42">
        <v>9999995</v>
      </c>
      <c r="D608" s="42"/>
      <c r="E608" s="42">
        <v>9999991</v>
      </c>
      <c r="F608" s="18"/>
      <c r="G608" s="18"/>
      <c r="H608" s="18"/>
      <c r="I608" s="18">
        <v>45</v>
      </c>
      <c r="J608" s="40" t="s">
        <v>85</v>
      </c>
      <c r="K608" s="18">
        <v>682</v>
      </c>
      <c r="L608" s="18"/>
      <c r="M608" s="19"/>
      <c r="N608" s="11" t="s">
        <v>86</v>
      </c>
      <c r="O608" s="1"/>
      <c r="P608" s="17"/>
      <c r="Q608" s="42">
        <v>9999995</v>
      </c>
      <c r="R608" s="42"/>
      <c r="S608" s="42">
        <v>9999991</v>
      </c>
      <c r="T608" s="18"/>
      <c r="U608" s="18"/>
      <c r="V608" s="18"/>
      <c r="W608" s="18">
        <v>10</v>
      </c>
      <c r="X608" s="91" t="s">
        <v>87</v>
      </c>
      <c r="Y608" s="18">
        <v>1100</v>
      </c>
      <c r="Z608" s="18"/>
      <c r="AA608" s="19"/>
      <c r="AB608" s="11" t="s">
        <v>88</v>
      </c>
    </row>
    <row r="609" spans="1:28" ht="15" customHeight="1" thickTop="1" x14ac:dyDescent="0.2">
      <c r="A609" s="57">
        <v>45835</v>
      </c>
      <c r="B609" s="81">
        <f>SUM(D609:D612)+SUM(R609:R612)</f>
        <v>192</v>
      </c>
      <c r="C609" s="36">
        <v>8</v>
      </c>
      <c r="D609" s="36">
        <f>IF(C609="","",C609-C605)+10000000</f>
        <v>17</v>
      </c>
      <c r="E609" s="36">
        <v>9999991</v>
      </c>
      <c r="F609" s="22">
        <f t="shared" ref="F609:F640" si="295">IF(E609="","",E609-E605)</f>
        <v>1</v>
      </c>
      <c r="G609" s="36">
        <v>15</v>
      </c>
      <c r="H609" s="36">
        <f t="shared" ref="H609:H640" si="296">IF(G609="","",G605+I605-G609)</f>
        <v>1</v>
      </c>
      <c r="I609" s="53">
        <v>0</v>
      </c>
      <c r="J609" s="39" t="str">
        <f t="shared" ref="J609:J624" si="297">IF(C609="","",J605)</f>
        <v>ズーシーアニマル</v>
      </c>
      <c r="K609" s="37">
        <f t="shared" ref="K609:K624" si="298">IF(D609="","",K605)</f>
        <v>1020</v>
      </c>
      <c r="L609" s="22">
        <f t="shared" ref="L609:L640" si="299">IF(G609="","",H609*K609)</f>
        <v>1020</v>
      </c>
      <c r="M609" s="94">
        <f t="shared" ref="M609:M640" si="300">IF(H609="","",L609/(D609*100))</f>
        <v>0.6</v>
      </c>
      <c r="N609" s="11"/>
      <c r="O609" s="1"/>
      <c r="P609" s="57">
        <f>IF(A609="","",A609)</f>
        <v>45835</v>
      </c>
      <c r="Q609" s="36">
        <v>9999997</v>
      </c>
      <c r="R609" s="36">
        <f t="shared" ref="R609" si="301">IF(Q609="","",Q609-Q605)</f>
        <v>6</v>
      </c>
      <c r="S609" s="36">
        <v>9999992</v>
      </c>
      <c r="T609" s="22">
        <f t="shared" ref="T609:T640" si="302">IF(S609="","",S609-S605)</f>
        <v>2</v>
      </c>
      <c r="U609" s="36">
        <v>16</v>
      </c>
      <c r="V609" s="36">
        <f t="shared" ref="V609:V640" si="303">IF(U609="","",U605+W605-U609)</f>
        <v>1</v>
      </c>
      <c r="W609" s="53">
        <v>0</v>
      </c>
      <c r="X609" s="14" t="str">
        <f t="shared" ref="X609:X640" si="304">IF(Q609="","",X605)</f>
        <v>ジャグラーイヤホン</v>
      </c>
      <c r="Y609" s="37">
        <f t="shared" ref="Y609:Y640" si="305">IF(R609="","",Y605)</f>
        <v>1100</v>
      </c>
      <c r="Z609" s="22">
        <f t="shared" ref="Z609:Z640" si="306">IF(U609="","",V609*Y609)</f>
        <v>1100</v>
      </c>
      <c r="AA609" s="94">
        <f t="shared" ref="AA609:AA640" si="307">IF(V609="","",Z609/(R609*100))</f>
        <v>1.8333333333333333</v>
      </c>
      <c r="AB609" s="11"/>
    </row>
    <row r="610" spans="1:28" x14ac:dyDescent="0.2">
      <c r="A610" s="58"/>
      <c r="B610" s="83"/>
      <c r="C610" s="9">
        <v>31</v>
      </c>
      <c r="D610" s="36">
        <f t="shared" ref="D610:D612" si="308">IF(C610="","",C610-C606)+10000000</f>
        <v>37</v>
      </c>
      <c r="E610" s="9">
        <v>9999996</v>
      </c>
      <c r="F610" s="9">
        <f t="shared" si="295"/>
        <v>4</v>
      </c>
      <c r="G610" s="9">
        <v>31</v>
      </c>
      <c r="H610" s="9">
        <f t="shared" si="296"/>
        <v>4</v>
      </c>
      <c r="I610" s="13">
        <v>0</v>
      </c>
      <c r="J610" s="39" t="str">
        <f t="shared" si="297"/>
        <v>電ブルキュート</v>
      </c>
      <c r="K610" s="37">
        <f t="shared" si="298"/>
        <v>275</v>
      </c>
      <c r="L610" s="9">
        <f t="shared" si="299"/>
        <v>1100</v>
      </c>
      <c r="M610" s="10">
        <f t="shared" si="300"/>
        <v>0.29729729729729731</v>
      </c>
      <c r="N610" s="11"/>
      <c r="O610" s="1"/>
      <c r="P610" s="58"/>
      <c r="Q610" s="9">
        <v>26</v>
      </c>
      <c r="R610" s="36">
        <f t="shared" ref="R610:R612" si="309">IF(Q610="","",Q610-Q606)+10000000</f>
        <v>32</v>
      </c>
      <c r="S610" s="9">
        <v>9999990</v>
      </c>
      <c r="T610" s="9">
        <f t="shared" si="302"/>
        <v>0</v>
      </c>
      <c r="U610" s="9">
        <v>12</v>
      </c>
      <c r="V610" s="9">
        <f t="shared" si="303"/>
        <v>0</v>
      </c>
      <c r="W610" s="13">
        <v>0</v>
      </c>
      <c r="X610" s="14" t="str">
        <f t="shared" si="304"/>
        <v>ジャグラーボタン</v>
      </c>
      <c r="Y610" s="37">
        <f t="shared" si="305"/>
        <v>748</v>
      </c>
      <c r="Z610" s="9">
        <f t="shared" si="306"/>
        <v>0</v>
      </c>
      <c r="AA610" s="10">
        <f t="shared" si="307"/>
        <v>0</v>
      </c>
      <c r="AB610" s="11"/>
    </row>
    <row r="611" spans="1:28" x14ac:dyDescent="0.2">
      <c r="A611" s="58"/>
      <c r="B611" s="83"/>
      <c r="C611" s="9">
        <v>9999994</v>
      </c>
      <c r="D611" s="9">
        <f>IF(C611="","",C611-C607)</f>
        <v>1</v>
      </c>
      <c r="E611" s="9">
        <v>9999991</v>
      </c>
      <c r="F611" s="9">
        <f t="shared" si="295"/>
        <v>0</v>
      </c>
      <c r="G611" s="9">
        <v>26</v>
      </c>
      <c r="H611" s="9">
        <f t="shared" si="296"/>
        <v>0</v>
      </c>
      <c r="I611" s="13">
        <v>53</v>
      </c>
      <c r="J611" s="39" t="str">
        <f t="shared" si="297"/>
        <v>SPGラバー</v>
      </c>
      <c r="K611" s="37">
        <f t="shared" si="298"/>
        <v>187</v>
      </c>
      <c r="L611" s="9">
        <f t="shared" si="299"/>
        <v>0</v>
      </c>
      <c r="M611" s="10">
        <f t="shared" si="300"/>
        <v>0</v>
      </c>
      <c r="N611" s="11"/>
      <c r="O611" s="1"/>
      <c r="P611" s="58"/>
      <c r="Q611" s="9">
        <v>49</v>
      </c>
      <c r="R611" s="44">
        <f t="shared" si="309"/>
        <v>56</v>
      </c>
      <c r="S611" s="9">
        <v>9999991</v>
      </c>
      <c r="T611" s="9">
        <f t="shared" si="302"/>
        <v>0</v>
      </c>
      <c r="U611" s="9">
        <v>10</v>
      </c>
      <c r="V611" s="9">
        <f t="shared" si="303"/>
        <v>0</v>
      </c>
      <c r="W611" s="13">
        <v>0</v>
      </c>
      <c r="X611" s="14" t="str">
        <f t="shared" si="304"/>
        <v>サンリオスマートキーケース</v>
      </c>
      <c r="Y611" s="37">
        <f t="shared" si="305"/>
        <v>726</v>
      </c>
      <c r="Z611" s="9">
        <f t="shared" si="306"/>
        <v>0</v>
      </c>
      <c r="AA611" s="10">
        <f t="shared" si="307"/>
        <v>0</v>
      </c>
      <c r="AB611" s="11"/>
    </row>
    <row r="612" spans="1:28" ht="15" customHeight="1" thickBot="1" x14ac:dyDescent="0.25">
      <c r="A612" s="59"/>
      <c r="B612" s="82"/>
      <c r="C612" s="20">
        <v>13</v>
      </c>
      <c r="D612" s="42">
        <f t="shared" si="308"/>
        <v>18</v>
      </c>
      <c r="E612" s="43">
        <v>9999993</v>
      </c>
      <c r="F612" s="18">
        <f t="shared" si="295"/>
        <v>2</v>
      </c>
      <c r="G612" s="18">
        <v>43</v>
      </c>
      <c r="H612" s="18">
        <f t="shared" si="296"/>
        <v>2</v>
      </c>
      <c r="I612" s="31">
        <v>0</v>
      </c>
      <c r="J612" s="40" t="str">
        <f t="shared" si="297"/>
        <v>NICI</v>
      </c>
      <c r="K612" s="43">
        <f t="shared" si="298"/>
        <v>682</v>
      </c>
      <c r="L612" s="18">
        <f t="shared" si="299"/>
        <v>1364</v>
      </c>
      <c r="M612" s="95">
        <f t="shared" si="300"/>
        <v>0.75777777777777777</v>
      </c>
      <c r="N612" s="11"/>
      <c r="O612" s="1"/>
      <c r="P612" s="59"/>
      <c r="Q612" s="20">
        <v>20</v>
      </c>
      <c r="R612" s="42">
        <f t="shared" si="309"/>
        <v>25</v>
      </c>
      <c r="S612" s="43">
        <v>9999994</v>
      </c>
      <c r="T612" s="18">
        <f t="shared" si="302"/>
        <v>3</v>
      </c>
      <c r="U612" s="18">
        <v>8</v>
      </c>
      <c r="V612" s="18">
        <f t="shared" si="303"/>
        <v>2</v>
      </c>
      <c r="W612" s="31">
        <v>0</v>
      </c>
      <c r="X612" s="21" t="str">
        <f t="shared" si="304"/>
        <v>サンリオファン</v>
      </c>
      <c r="Y612" s="43">
        <f t="shared" si="305"/>
        <v>1100</v>
      </c>
      <c r="Z612" s="18">
        <f t="shared" si="306"/>
        <v>2200</v>
      </c>
      <c r="AA612" s="95">
        <f t="shared" si="307"/>
        <v>0.88</v>
      </c>
      <c r="AB612" s="11"/>
    </row>
    <row r="613" spans="1:28" ht="15" customHeight="1" thickTop="1" x14ac:dyDescent="0.2">
      <c r="A613" s="96">
        <v>45836</v>
      </c>
      <c r="B613" s="81">
        <f>SUM(D613:D616)+SUM(R613:R616)</f>
        <v>55</v>
      </c>
      <c r="C613" s="36">
        <v>8</v>
      </c>
      <c r="D613" s="36">
        <f t="shared" ref="D613:D640" si="310">IF(C613="","",C613-C609)</f>
        <v>0</v>
      </c>
      <c r="E613" s="36">
        <v>9999991</v>
      </c>
      <c r="F613" s="22">
        <f t="shared" si="295"/>
        <v>0</v>
      </c>
      <c r="G613" s="36">
        <v>15</v>
      </c>
      <c r="H613" s="36">
        <f t="shared" si="296"/>
        <v>0</v>
      </c>
      <c r="I613" s="53">
        <v>0</v>
      </c>
      <c r="J613" s="48" t="str">
        <f t="shared" si="297"/>
        <v>ズーシーアニマル</v>
      </c>
      <c r="K613" s="49">
        <f t="shared" si="298"/>
        <v>1020</v>
      </c>
      <c r="L613" s="22">
        <f t="shared" si="299"/>
        <v>0</v>
      </c>
      <c r="M613" s="23" t="e">
        <f t="shared" si="300"/>
        <v>#DIV/0!</v>
      </c>
      <c r="N613" s="11"/>
      <c r="O613" s="1"/>
      <c r="P613" s="57">
        <f>IF(A613="","",A613)</f>
        <v>45836</v>
      </c>
      <c r="Q613" s="36">
        <v>9999997</v>
      </c>
      <c r="R613" s="36">
        <f t="shared" ref="R613:R640" si="311">IF(Q613="","",Q613-Q609)</f>
        <v>0</v>
      </c>
      <c r="S613" s="36">
        <v>9999992</v>
      </c>
      <c r="T613" s="22">
        <f t="shared" si="302"/>
        <v>0</v>
      </c>
      <c r="U613" s="36">
        <v>16</v>
      </c>
      <c r="V613" s="36">
        <f t="shared" si="303"/>
        <v>0</v>
      </c>
      <c r="W613" s="53">
        <v>0</v>
      </c>
      <c r="X613" s="48" t="str">
        <f t="shared" si="304"/>
        <v>ジャグラーイヤホン</v>
      </c>
      <c r="Y613" s="49">
        <f t="shared" si="305"/>
        <v>1100</v>
      </c>
      <c r="Z613" s="22">
        <f t="shared" si="306"/>
        <v>0</v>
      </c>
      <c r="AA613" s="23" t="e">
        <f t="shared" si="307"/>
        <v>#DIV/0!</v>
      </c>
      <c r="AB613" s="11" t="s">
        <v>89</v>
      </c>
    </row>
    <row r="614" spans="1:28" x14ac:dyDescent="0.2">
      <c r="A614" s="97"/>
      <c r="B614" s="81"/>
      <c r="C614" s="36">
        <v>33</v>
      </c>
      <c r="D614" s="9">
        <f t="shared" si="310"/>
        <v>2</v>
      </c>
      <c r="E614" s="9">
        <v>9999996</v>
      </c>
      <c r="F614" s="9">
        <f t="shared" si="295"/>
        <v>0</v>
      </c>
      <c r="G614" s="9">
        <v>31</v>
      </c>
      <c r="H614" s="9">
        <f t="shared" si="296"/>
        <v>0</v>
      </c>
      <c r="I614" s="13">
        <v>0</v>
      </c>
      <c r="J614" s="39" t="str">
        <f t="shared" si="297"/>
        <v>電ブルキュート</v>
      </c>
      <c r="K614" s="37">
        <f t="shared" si="298"/>
        <v>275</v>
      </c>
      <c r="L614" s="9">
        <f t="shared" si="299"/>
        <v>0</v>
      </c>
      <c r="M614" s="10">
        <f t="shared" si="300"/>
        <v>0</v>
      </c>
      <c r="N614" s="11"/>
      <c r="O614" s="1"/>
      <c r="P614" s="12"/>
      <c r="Q614" s="36">
        <v>26</v>
      </c>
      <c r="R614" s="9">
        <f t="shared" si="311"/>
        <v>0</v>
      </c>
      <c r="S614" s="9">
        <v>9999990</v>
      </c>
      <c r="T614" s="9">
        <f t="shared" si="302"/>
        <v>0</v>
      </c>
      <c r="U614" s="9">
        <v>12</v>
      </c>
      <c r="V614" s="9">
        <f t="shared" si="303"/>
        <v>0</v>
      </c>
      <c r="W614" s="13">
        <v>0</v>
      </c>
      <c r="X614" s="39" t="str">
        <f t="shared" si="304"/>
        <v>ジャグラーボタン</v>
      </c>
      <c r="Y614" s="37">
        <f t="shared" si="305"/>
        <v>748</v>
      </c>
      <c r="Z614" s="9">
        <f t="shared" si="306"/>
        <v>0</v>
      </c>
      <c r="AA614" s="10" t="e">
        <f t="shared" si="307"/>
        <v>#DIV/0!</v>
      </c>
      <c r="AB614" s="11"/>
    </row>
    <row r="615" spans="1:28" x14ac:dyDescent="0.2">
      <c r="A615" s="97"/>
      <c r="B615" s="84"/>
      <c r="C615" s="44">
        <v>9999994</v>
      </c>
      <c r="D615" s="9">
        <f t="shared" si="310"/>
        <v>0</v>
      </c>
      <c r="E615" s="9">
        <v>9999991</v>
      </c>
      <c r="F615" s="9">
        <f t="shared" si="295"/>
        <v>0</v>
      </c>
      <c r="G615" s="9">
        <v>79</v>
      </c>
      <c r="H615" s="9">
        <f t="shared" si="296"/>
        <v>0</v>
      </c>
      <c r="I615" s="13">
        <v>0</v>
      </c>
      <c r="J615" s="39" t="str">
        <f t="shared" si="297"/>
        <v>SPGラバー</v>
      </c>
      <c r="K615" s="9">
        <f t="shared" si="298"/>
        <v>187</v>
      </c>
      <c r="L615" s="9">
        <f t="shared" si="299"/>
        <v>0</v>
      </c>
      <c r="M615" s="10" t="e">
        <f t="shared" si="300"/>
        <v>#DIV/0!</v>
      </c>
      <c r="N615" s="11"/>
      <c r="O615" s="1"/>
      <c r="P615" s="12"/>
      <c r="Q615" s="44">
        <v>49</v>
      </c>
      <c r="R615" s="9">
        <f t="shared" si="311"/>
        <v>0</v>
      </c>
      <c r="S615" s="9">
        <v>9999991</v>
      </c>
      <c r="T615" s="9">
        <f t="shared" si="302"/>
        <v>0</v>
      </c>
      <c r="U615" s="9">
        <v>10</v>
      </c>
      <c r="V615" s="9">
        <f t="shared" si="303"/>
        <v>0</v>
      </c>
      <c r="W615" s="13">
        <v>0</v>
      </c>
      <c r="X615" s="39" t="str">
        <f t="shared" si="304"/>
        <v>サンリオスマートキーケース</v>
      </c>
      <c r="Y615" s="9">
        <f t="shared" si="305"/>
        <v>726</v>
      </c>
      <c r="Z615" s="9">
        <f t="shared" si="306"/>
        <v>0</v>
      </c>
      <c r="AA615" s="10" t="e">
        <f t="shared" si="307"/>
        <v>#DIV/0!</v>
      </c>
      <c r="AB615" s="11"/>
    </row>
    <row r="616" spans="1:28" ht="15" customHeight="1" thickBot="1" x14ac:dyDescent="0.25">
      <c r="A616" s="98"/>
      <c r="B616" s="85"/>
      <c r="C616" s="42">
        <v>56</v>
      </c>
      <c r="D616" s="43">
        <f t="shared" si="310"/>
        <v>43</v>
      </c>
      <c r="E616" s="18">
        <v>9999995</v>
      </c>
      <c r="F616" s="18">
        <f t="shared" si="295"/>
        <v>2</v>
      </c>
      <c r="G616" s="18">
        <v>41</v>
      </c>
      <c r="H616" s="18">
        <f t="shared" si="296"/>
        <v>2</v>
      </c>
      <c r="I616" s="31">
        <v>0</v>
      </c>
      <c r="J616" s="40" t="str">
        <f t="shared" si="297"/>
        <v>NICI</v>
      </c>
      <c r="K616" s="43">
        <f t="shared" si="298"/>
        <v>682</v>
      </c>
      <c r="L616" s="18">
        <f t="shared" si="299"/>
        <v>1364</v>
      </c>
      <c r="M616" s="19">
        <f t="shared" si="300"/>
        <v>0.31720930232558142</v>
      </c>
      <c r="N616" s="11" t="s">
        <v>90</v>
      </c>
      <c r="O616" s="1"/>
      <c r="P616" s="59"/>
      <c r="Q616" s="42">
        <v>30</v>
      </c>
      <c r="R616" s="43">
        <f t="shared" si="311"/>
        <v>10</v>
      </c>
      <c r="S616" s="18">
        <v>9999994</v>
      </c>
      <c r="T616" s="18">
        <f t="shared" si="302"/>
        <v>0</v>
      </c>
      <c r="U616" s="18">
        <v>8</v>
      </c>
      <c r="V616" s="18">
        <f t="shared" si="303"/>
        <v>0</v>
      </c>
      <c r="W616" s="31">
        <v>0</v>
      </c>
      <c r="X616" s="40" t="str">
        <f t="shared" si="304"/>
        <v>サンリオファン</v>
      </c>
      <c r="Y616" s="43">
        <f t="shared" si="305"/>
        <v>1100</v>
      </c>
      <c r="Z616" s="18">
        <f t="shared" si="306"/>
        <v>0</v>
      </c>
      <c r="AA616" s="19">
        <f t="shared" si="307"/>
        <v>0</v>
      </c>
      <c r="AB616" s="11" t="s">
        <v>91</v>
      </c>
    </row>
    <row r="617" spans="1:28" ht="15" customHeight="1" thickTop="1" x14ac:dyDescent="0.2">
      <c r="A617" s="96">
        <v>45837</v>
      </c>
      <c r="B617" s="81">
        <f>SUM(D617:D620)+SUM(R617:R620)</f>
        <v>238</v>
      </c>
      <c r="C617" s="36">
        <v>19</v>
      </c>
      <c r="D617" s="36">
        <f t="shared" si="310"/>
        <v>11</v>
      </c>
      <c r="E617" s="36">
        <v>9999991</v>
      </c>
      <c r="F617" s="22">
        <v>0</v>
      </c>
      <c r="G617" s="36">
        <v>15</v>
      </c>
      <c r="H617" s="36">
        <f t="shared" si="296"/>
        <v>0</v>
      </c>
      <c r="I617" s="53">
        <v>0</v>
      </c>
      <c r="J617" s="48" t="str">
        <f t="shared" si="297"/>
        <v>ズーシーアニマル</v>
      </c>
      <c r="K617" s="49">
        <f t="shared" si="298"/>
        <v>1020</v>
      </c>
      <c r="L617" s="22">
        <f t="shared" si="299"/>
        <v>0</v>
      </c>
      <c r="M617" s="23">
        <f t="shared" si="300"/>
        <v>0</v>
      </c>
      <c r="N617" s="11"/>
      <c r="O617" s="1"/>
      <c r="P617" s="104">
        <f>IF(A617="","",A617)</f>
        <v>45837</v>
      </c>
      <c r="Q617" s="36">
        <v>9</v>
      </c>
      <c r="R617" s="36">
        <v>12</v>
      </c>
      <c r="S617" s="36">
        <v>9999993</v>
      </c>
      <c r="T617" s="22">
        <f t="shared" si="302"/>
        <v>1</v>
      </c>
      <c r="U617" s="36">
        <v>15</v>
      </c>
      <c r="V617" s="36">
        <f t="shared" si="303"/>
        <v>1</v>
      </c>
      <c r="W617" s="53">
        <v>0</v>
      </c>
      <c r="X617" s="48" t="str">
        <f t="shared" si="304"/>
        <v>ジャグラーイヤホン</v>
      </c>
      <c r="Y617" s="49">
        <f t="shared" si="305"/>
        <v>1100</v>
      </c>
      <c r="Z617" s="22">
        <f t="shared" si="306"/>
        <v>1100</v>
      </c>
      <c r="AA617" s="101">
        <f t="shared" si="307"/>
        <v>0.91666666666666663</v>
      </c>
      <c r="AB617" s="11"/>
    </row>
    <row r="618" spans="1:28" x14ac:dyDescent="0.2">
      <c r="A618" s="97"/>
      <c r="B618" s="8"/>
      <c r="C618" s="9">
        <v>86</v>
      </c>
      <c r="D618" s="36">
        <f t="shared" si="310"/>
        <v>53</v>
      </c>
      <c r="E618" s="9">
        <v>0</v>
      </c>
      <c r="F618" s="9">
        <f>IF(E618="","",E618-E614)+10000000</f>
        <v>4</v>
      </c>
      <c r="G618" s="9">
        <v>27</v>
      </c>
      <c r="H618" s="9">
        <f t="shared" si="296"/>
        <v>4</v>
      </c>
      <c r="I618" s="13">
        <v>0</v>
      </c>
      <c r="J618" s="39" t="str">
        <f t="shared" si="297"/>
        <v>電ブルキュート</v>
      </c>
      <c r="K618" s="37">
        <f t="shared" si="298"/>
        <v>275</v>
      </c>
      <c r="L618" s="9">
        <f t="shared" si="299"/>
        <v>1100</v>
      </c>
      <c r="M618" s="10">
        <f t="shared" si="300"/>
        <v>0.20754716981132076</v>
      </c>
      <c r="N618" s="11"/>
      <c r="O618" s="1"/>
      <c r="P618" s="97"/>
      <c r="Q618" s="9">
        <v>65</v>
      </c>
      <c r="R618" s="36">
        <f t="shared" si="311"/>
        <v>39</v>
      </c>
      <c r="S618" s="9">
        <v>9999993</v>
      </c>
      <c r="T618" s="9">
        <f t="shared" si="302"/>
        <v>3</v>
      </c>
      <c r="U618" s="9">
        <v>11</v>
      </c>
      <c r="V618" s="9">
        <f t="shared" si="303"/>
        <v>1</v>
      </c>
      <c r="W618" s="13">
        <v>0</v>
      </c>
      <c r="X618" s="39" t="str">
        <f t="shared" si="304"/>
        <v>ジャグラーボタン</v>
      </c>
      <c r="Y618" s="37">
        <f t="shared" si="305"/>
        <v>748</v>
      </c>
      <c r="Z618" s="9">
        <f t="shared" si="306"/>
        <v>748</v>
      </c>
      <c r="AA618" s="10">
        <f t="shared" si="307"/>
        <v>0.19179487179487179</v>
      </c>
      <c r="AB618" s="11"/>
    </row>
    <row r="619" spans="1:28" x14ac:dyDescent="0.2">
      <c r="A619" s="99"/>
      <c r="B619" s="86"/>
      <c r="C619" s="25">
        <v>4</v>
      </c>
      <c r="D619" s="36">
        <v>10</v>
      </c>
      <c r="E619" s="25">
        <v>9999994</v>
      </c>
      <c r="F619" s="9">
        <f t="shared" si="295"/>
        <v>3</v>
      </c>
      <c r="G619" s="25">
        <v>77</v>
      </c>
      <c r="H619" s="9">
        <f t="shared" si="296"/>
        <v>2</v>
      </c>
      <c r="I619" s="32">
        <v>0</v>
      </c>
      <c r="J619" s="39" t="str">
        <f t="shared" si="297"/>
        <v>SPGラバー</v>
      </c>
      <c r="K619" s="9">
        <f t="shared" si="298"/>
        <v>187</v>
      </c>
      <c r="L619" s="9">
        <f t="shared" si="299"/>
        <v>374</v>
      </c>
      <c r="M619" s="10">
        <f t="shared" si="300"/>
        <v>0.374</v>
      </c>
      <c r="N619" s="11"/>
      <c r="P619" s="99"/>
      <c r="Q619" s="25">
        <v>68</v>
      </c>
      <c r="R619" s="36">
        <f t="shared" si="311"/>
        <v>19</v>
      </c>
      <c r="S619" s="25">
        <v>9999992</v>
      </c>
      <c r="T619" s="9">
        <f t="shared" si="302"/>
        <v>1</v>
      </c>
      <c r="U619" s="25">
        <v>9</v>
      </c>
      <c r="V619" s="9">
        <f t="shared" si="303"/>
        <v>1</v>
      </c>
      <c r="W619" s="32">
        <v>0</v>
      </c>
      <c r="X619" s="39" t="str">
        <f t="shared" si="304"/>
        <v>サンリオスマートキーケース</v>
      </c>
      <c r="Y619" s="9">
        <f t="shared" si="305"/>
        <v>726</v>
      </c>
      <c r="Z619" s="9">
        <f t="shared" si="306"/>
        <v>726</v>
      </c>
      <c r="AA619" s="103">
        <f t="shared" si="307"/>
        <v>0.38210526315789473</v>
      </c>
      <c r="AB619" s="11"/>
    </row>
    <row r="620" spans="1:28" ht="15" customHeight="1" thickBot="1" x14ac:dyDescent="0.25">
      <c r="A620" s="100"/>
      <c r="B620" s="87"/>
      <c r="C620" s="18">
        <v>86</v>
      </c>
      <c r="D620" s="42">
        <f t="shared" si="310"/>
        <v>30</v>
      </c>
      <c r="E620" s="18">
        <v>9999996</v>
      </c>
      <c r="F620" s="18">
        <f t="shared" si="295"/>
        <v>1</v>
      </c>
      <c r="G620" s="18">
        <v>40</v>
      </c>
      <c r="H620" s="18">
        <f t="shared" si="296"/>
        <v>1</v>
      </c>
      <c r="I620" s="31">
        <v>0</v>
      </c>
      <c r="J620" s="40" t="str">
        <f t="shared" si="297"/>
        <v>NICI</v>
      </c>
      <c r="K620" s="43">
        <f t="shared" si="298"/>
        <v>682</v>
      </c>
      <c r="L620" s="18">
        <f t="shared" si="299"/>
        <v>682</v>
      </c>
      <c r="M620" s="19">
        <f t="shared" si="300"/>
        <v>0.22733333333333333</v>
      </c>
      <c r="N620" s="11"/>
      <c r="P620" s="100"/>
      <c r="Q620" s="18">
        <v>94</v>
      </c>
      <c r="R620" s="42">
        <f t="shared" si="311"/>
        <v>64</v>
      </c>
      <c r="S620" s="18">
        <v>9999997</v>
      </c>
      <c r="T620" s="18">
        <f t="shared" si="302"/>
        <v>3</v>
      </c>
      <c r="U620" s="18">
        <v>5</v>
      </c>
      <c r="V620" s="18">
        <f t="shared" si="303"/>
        <v>3</v>
      </c>
      <c r="W620" s="31">
        <v>4</v>
      </c>
      <c r="X620" s="40" t="str">
        <f t="shared" si="304"/>
        <v>サンリオファン</v>
      </c>
      <c r="Y620" s="43">
        <f t="shared" si="305"/>
        <v>1100</v>
      </c>
      <c r="Z620" s="18">
        <f t="shared" si="306"/>
        <v>3300</v>
      </c>
      <c r="AA620" s="102">
        <f t="shared" si="307"/>
        <v>0.515625</v>
      </c>
      <c r="AB620" s="11"/>
    </row>
    <row r="621" spans="1:28" ht="15" customHeight="1" thickTop="1" x14ac:dyDescent="0.2">
      <c r="A621" s="96">
        <v>45838</v>
      </c>
      <c r="B621" s="81">
        <f>SUM(D621:D624)+SUM(R621:R624)</f>
        <v>132</v>
      </c>
      <c r="C621" s="36">
        <v>19</v>
      </c>
      <c r="D621" s="36">
        <f t="shared" si="310"/>
        <v>0</v>
      </c>
      <c r="E621" s="36">
        <v>9999991</v>
      </c>
      <c r="F621" s="22">
        <f t="shared" si="295"/>
        <v>0</v>
      </c>
      <c r="G621" s="36">
        <v>15</v>
      </c>
      <c r="H621" s="36">
        <f t="shared" si="296"/>
        <v>0</v>
      </c>
      <c r="I621" s="53">
        <v>-4</v>
      </c>
      <c r="J621" s="48" t="str">
        <f t="shared" si="297"/>
        <v>ズーシーアニマル</v>
      </c>
      <c r="K621" s="49">
        <f t="shared" si="298"/>
        <v>1020</v>
      </c>
      <c r="L621" s="22">
        <f t="shared" si="299"/>
        <v>0</v>
      </c>
      <c r="M621" s="23" t="e">
        <f t="shared" si="300"/>
        <v>#DIV/0!</v>
      </c>
      <c r="N621" s="11" t="s">
        <v>92</v>
      </c>
      <c r="P621" s="104">
        <f>IF(A621="","",A621)</f>
        <v>45838</v>
      </c>
      <c r="Q621" s="36">
        <v>19</v>
      </c>
      <c r="R621" s="36">
        <f t="shared" si="311"/>
        <v>10</v>
      </c>
      <c r="S621" s="36">
        <v>9999994</v>
      </c>
      <c r="T621" s="22">
        <f t="shared" si="302"/>
        <v>1</v>
      </c>
      <c r="U621" s="36">
        <v>14</v>
      </c>
      <c r="V621" s="36">
        <f t="shared" si="303"/>
        <v>1</v>
      </c>
      <c r="W621" s="53">
        <v>-7</v>
      </c>
      <c r="X621" s="48" t="str">
        <f t="shared" si="304"/>
        <v>ジャグラーイヤホン</v>
      </c>
      <c r="Y621" s="49">
        <f t="shared" si="305"/>
        <v>1100</v>
      </c>
      <c r="Z621" s="22">
        <f t="shared" si="306"/>
        <v>1100</v>
      </c>
      <c r="AA621" s="23">
        <f t="shared" si="307"/>
        <v>1.1000000000000001</v>
      </c>
      <c r="AB621" s="107" t="s">
        <v>93</v>
      </c>
    </row>
    <row r="622" spans="1:28" x14ac:dyDescent="0.2">
      <c r="A622" s="96"/>
      <c r="B622" s="81"/>
      <c r="C622" s="9">
        <v>87</v>
      </c>
      <c r="D622" s="9">
        <f t="shared" si="310"/>
        <v>1</v>
      </c>
      <c r="E622" s="9">
        <v>0</v>
      </c>
      <c r="F622" s="9">
        <f t="shared" si="295"/>
        <v>0</v>
      </c>
      <c r="G622" s="9">
        <v>27</v>
      </c>
      <c r="H622" s="9">
        <f t="shared" si="296"/>
        <v>0</v>
      </c>
      <c r="I622" s="13">
        <v>0</v>
      </c>
      <c r="J622" s="39" t="str">
        <f t="shared" si="297"/>
        <v>電ブルキュート</v>
      </c>
      <c r="K622" s="37">
        <f t="shared" si="298"/>
        <v>275</v>
      </c>
      <c r="L622" s="9">
        <f t="shared" si="299"/>
        <v>0</v>
      </c>
      <c r="M622" s="10">
        <f t="shared" si="300"/>
        <v>0</v>
      </c>
      <c r="N622" s="11"/>
      <c r="P622" s="96"/>
      <c r="Q622" s="9">
        <v>148</v>
      </c>
      <c r="R622" s="9">
        <f t="shared" si="311"/>
        <v>83</v>
      </c>
      <c r="S622" s="9">
        <v>9999994</v>
      </c>
      <c r="T622" s="9">
        <f t="shared" si="302"/>
        <v>1</v>
      </c>
      <c r="U622" s="9">
        <v>10</v>
      </c>
      <c r="V622" s="9">
        <f t="shared" si="303"/>
        <v>1</v>
      </c>
      <c r="W622" s="13">
        <v>-3</v>
      </c>
      <c r="X622" s="39" t="str">
        <f t="shared" si="304"/>
        <v>ジャグラーボタン</v>
      </c>
      <c r="Y622" s="37">
        <f t="shared" si="305"/>
        <v>748</v>
      </c>
      <c r="Z622" s="9">
        <f t="shared" si="306"/>
        <v>748</v>
      </c>
      <c r="AA622" s="10">
        <f t="shared" si="307"/>
        <v>9.0120481927710841E-2</v>
      </c>
      <c r="AB622" s="11" t="s">
        <v>94</v>
      </c>
    </row>
    <row r="623" spans="1:28" ht="15" customHeight="1" x14ac:dyDescent="0.2">
      <c r="A623" s="96"/>
      <c r="B623" s="84"/>
      <c r="C623" s="25">
        <v>4</v>
      </c>
      <c r="D623" s="9">
        <f t="shared" si="310"/>
        <v>0</v>
      </c>
      <c r="E623" s="25">
        <v>9999994</v>
      </c>
      <c r="F623" s="9">
        <f t="shared" si="295"/>
        <v>0</v>
      </c>
      <c r="G623" s="25">
        <v>77</v>
      </c>
      <c r="H623" s="9">
        <f t="shared" si="296"/>
        <v>0</v>
      </c>
      <c r="I623" s="32">
        <v>-73</v>
      </c>
      <c r="J623" s="39" t="str">
        <f t="shared" si="297"/>
        <v>SPGラバー</v>
      </c>
      <c r="K623" s="9">
        <f t="shared" si="298"/>
        <v>187</v>
      </c>
      <c r="L623" s="9">
        <f t="shared" si="299"/>
        <v>0</v>
      </c>
      <c r="M623" s="10" t="e">
        <f t="shared" si="300"/>
        <v>#DIV/0!</v>
      </c>
      <c r="N623" s="11" t="s">
        <v>67</v>
      </c>
      <c r="P623" s="96"/>
      <c r="Q623" s="25">
        <v>85</v>
      </c>
      <c r="R623" s="9">
        <f t="shared" si="311"/>
        <v>17</v>
      </c>
      <c r="S623" s="25">
        <v>9999992</v>
      </c>
      <c r="T623" s="9">
        <f t="shared" si="302"/>
        <v>0</v>
      </c>
      <c r="U623" s="25">
        <v>9</v>
      </c>
      <c r="V623" s="9">
        <f t="shared" si="303"/>
        <v>0</v>
      </c>
      <c r="W623" s="32">
        <v>0</v>
      </c>
      <c r="X623" s="39" t="str">
        <f t="shared" si="304"/>
        <v>サンリオスマートキーケース</v>
      </c>
      <c r="Y623" s="9">
        <f t="shared" si="305"/>
        <v>726</v>
      </c>
      <c r="Z623" s="9">
        <f t="shared" si="306"/>
        <v>0</v>
      </c>
      <c r="AA623" s="10">
        <f t="shared" si="307"/>
        <v>0</v>
      </c>
      <c r="AB623" s="11"/>
    </row>
    <row r="624" spans="1:28" ht="15" customHeight="1" thickBot="1" x14ac:dyDescent="0.25">
      <c r="A624" s="100"/>
      <c r="B624" s="87"/>
      <c r="C624" s="18">
        <v>94</v>
      </c>
      <c r="D624" s="18">
        <f t="shared" si="310"/>
        <v>8</v>
      </c>
      <c r="E624" s="18">
        <v>9999996</v>
      </c>
      <c r="F624" s="18">
        <f t="shared" si="295"/>
        <v>0</v>
      </c>
      <c r="G624" s="18">
        <v>40</v>
      </c>
      <c r="H624" s="18">
        <f t="shared" si="296"/>
        <v>0</v>
      </c>
      <c r="I624" s="31">
        <v>0</v>
      </c>
      <c r="J624" s="40" t="str">
        <f t="shared" si="297"/>
        <v>NICI</v>
      </c>
      <c r="K624" s="43">
        <f t="shared" si="298"/>
        <v>682</v>
      </c>
      <c r="L624" s="18">
        <f t="shared" si="299"/>
        <v>0</v>
      </c>
      <c r="M624" s="19">
        <f t="shared" si="300"/>
        <v>0</v>
      </c>
      <c r="N624" s="11"/>
      <c r="P624" s="100"/>
      <c r="Q624" s="18">
        <v>107</v>
      </c>
      <c r="R624" s="18">
        <f t="shared" si="311"/>
        <v>13</v>
      </c>
      <c r="S624" s="18">
        <v>9999997</v>
      </c>
      <c r="T624" s="18">
        <f t="shared" si="302"/>
        <v>0</v>
      </c>
      <c r="U624" s="18">
        <v>9</v>
      </c>
      <c r="V624" s="18">
        <f t="shared" si="303"/>
        <v>0</v>
      </c>
      <c r="W624" s="31">
        <v>-4</v>
      </c>
      <c r="X624" s="40" t="str">
        <f t="shared" si="304"/>
        <v>サンリオファン</v>
      </c>
      <c r="Y624" s="43">
        <f t="shared" si="305"/>
        <v>1100</v>
      </c>
      <c r="Z624" s="18">
        <f t="shared" si="306"/>
        <v>0</v>
      </c>
      <c r="AA624" s="106">
        <f t="shared" si="307"/>
        <v>0</v>
      </c>
      <c r="AB624" s="11"/>
    </row>
    <row r="625" spans="1:28" ht="15" customHeight="1" thickTop="1" x14ac:dyDescent="0.2">
      <c r="A625" s="96">
        <v>45839</v>
      </c>
      <c r="B625" s="81">
        <f>SUM(D625:D628)+SUM(R625:R628)</f>
        <v>238</v>
      </c>
      <c r="C625" s="36">
        <v>56</v>
      </c>
      <c r="D625" s="36">
        <f t="shared" si="310"/>
        <v>37</v>
      </c>
      <c r="E625" s="36">
        <v>9999992</v>
      </c>
      <c r="F625" s="22">
        <f t="shared" si="295"/>
        <v>1</v>
      </c>
      <c r="G625" s="36">
        <v>10</v>
      </c>
      <c r="H625" s="36">
        <f t="shared" si="296"/>
        <v>1</v>
      </c>
      <c r="I625" s="53">
        <v>0</v>
      </c>
      <c r="J625" s="142" t="s">
        <v>95</v>
      </c>
      <c r="K625" s="49">
        <v>748</v>
      </c>
      <c r="L625" s="22">
        <f t="shared" si="299"/>
        <v>748</v>
      </c>
      <c r="M625" s="23">
        <f t="shared" si="300"/>
        <v>0.20216216216216215</v>
      </c>
      <c r="N625" s="11"/>
      <c r="P625" s="104">
        <f>IF(A625="","",A625)</f>
        <v>45839</v>
      </c>
      <c r="Q625" s="36">
        <v>47</v>
      </c>
      <c r="R625" s="36">
        <f t="shared" si="311"/>
        <v>28</v>
      </c>
      <c r="S625" s="36">
        <v>9999995</v>
      </c>
      <c r="T625" s="22">
        <f t="shared" si="302"/>
        <v>1</v>
      </c>
      <c r="U625" s="36">
        <v>6</v>
      </c>
      <c r="V625" s="36">
        <f t="shared" si="303"/>
        <v>1</v>
      </c>
      <c r="W625" s="53">
        <v>0</v>
      </c>
      <c r="X625" s="48" t="s">
        <v>38</v>
      </c>
      <c r="Y625" s="49">
        <v>957</v>
      </c>
      <c r="Z625" s="22">
        <f t="shared" si="306"/>
        <v>957</v>
      </c>
      <c r="AA625" s="101">
        <f t="shared" si="307"/>
        <v>0.3417857142857143</v>
      </c>
      <c r="AB625" s="11" t="s">
        <v>96</v>
      </c>
    </row>
    <row r="626" spans="1:28" ht="15" customHeight="1" x14ac:dyDescent="0.2">
      <c r="A626" s="97"/>
      <c r="B626" s="8"/>
      <c r="C626" s="9">
        <v>108</v>
      </c>
      <c r="D626" s="9">
        <f t="shared" si="310"/>
        <v>21</v>
      </c>
      <c r="E626" s="9">
        <v>1</v>
      </c>
      <c r="F626" s="9">
        <f t="shared" si="295"/>
        <v>1</v>
      </c>
      <c r="G626" s="9">
        <v>26</v>
      </c>
      <c r="H626" s="9">
        <f t="shared" si="296"/>
        <v>1</v>
      </c>
      <c r="I626" s="13">
        <v>0</v>
      </c>
      <c r="J626" s="39" t="str">
        <f>IF(C626="","",J622)</f>
        <v>電ブルキュート</v>
      </c>
      <c r="K626" s="37">
        <f>IF(D626="","",K622)</f>
        <v>275</v>
      </c>
      <c r="L626" s="9">
        <f t="shared" si="299"/>
        <v>275</v>
      </c>
      <c r="M626" s="10">
        <f t="shared" si="300"/>
        <v>0.13095238095238096</v>
      </c>
      <c r="N626" s="11"/>
      <c r="P626" s="97"/>
      <c r="Q626" s="9">
        <v>214</v>
      </c>
      <c r="R626" s="9">
        <f t="shared" si="311"/>
        <v>66</v>
      </c>
      <c r="S626" s="9">
        <v>9999995</v>
      </c>
      <c r="T626" s="9">
        <f t="shared" si="302"/>
        <v>1</v>
      </c>
      <c r="U626" s="9">
        <v>6</v>
      </c>
      <c r="V626" s="9">
        <f t="shared" si="303"/>
        <v>1</v>
      </c>
      <c r="W626" s="13">
        <v>0</v>
      </c>
      <c r="X626" s="39" t="s">
        <v>18</v>
      </c>
      <c r="Y626" s="37">
        <v>1100</v>
      </c>
      <c r="Z626" s="9">
        <f t="shared" si="306"/>
        <v>1100</v>
      </c>
      <c r="AA626" s="10">
        <f t="shared" si="307"/>
        <v>0.16666666666666666</v>
      </c>
      <c r="AB626" s="11"/>
    </row>
    <row r="627" spans="1:28" ht="15" customHeight="1" x14ac:dyDescent="0.2">
      <c r="A627" s="97"/>
      <c r="B627" s="86"/>
      <c r="C627" s="25">
        <v>7</v>
      </c>
      <c r="D627" s="9">
        <v>13</v>
      </c>
      <c r="E627" s="25">
        <v>9999994</v>
      </c>
      <c r="F627" s="9">
        <f t="shared" si="295"/>
        <v>0</v>
      </c>
      <c r="G627" s="9">
        <v>4</v>
      </c>
      <c r="H627" s="9">
        <f t="shared" si="296"/>
        <v>0</v>
      </c>
      <c r="I627" s="13">
        <v>0</v>
      </c>
      <c r="J627" s="142" t="s">
        <v>97</v>
      </c>
      <c r="K627" s="9">
        <v>957</v>
      </c>
      <c r="L627" s="9">
        <f t="shared" si="299"/>
        <v>0</v>
      </c>
      <c r="M627" s="10">
        <f t="shared" si="300"/>
        <v>0</v>
      </c>
      <c r="N627" s="11"/>
      <c r="P627" s="97"/>
      <c r="Q627" s="25">
        <v>130</v>
      </c>
      <c r="R627" s="9">
        <f t="shared" si="311"/>
        <v>45</v>
      </c>
      <c r="S627" s="25">
        <v>9999992</v>
      </c>
      <c r="T627" s="9">
        <f t="shared" si="302"/>
        <v>0</v>
      </c>
      <c r="U627" s="9">
        <v>9</v>
      </c>
      <c r="V627" s="9">
        <f t="shared" si="303"/>
        <v>0</v>
      </c>
      <c r="W627" s="13">
        <v>0</v>
      </c>
      <c r="X627" s="39" t="str">
        <f t="shared" si="304"/>
        <v>サンリオスマートキーケース</v>
      </c>
      <c r="Y627" s="9">
        <f t="shared" si="305"/>
        <v>726</v>
      </c>
      <c r="Z627" s="9">
        <f t="shared" si="306"/>
        <v>0</v>
      </c>
      <c r="AA627" s="10">
        <f t="shared" si="307"/>
        <v>0</v>
      </c>
      <c r="AB627" s="11"/>
    </row>
    <row r="628" spans="1:28" ht="15" customHeight="1" thickBot="1" x14ac:dyDescent="0.25">
      <c r="A628" s="100"/>
      <c r="B628" s="87"/>
      <c r="C628" s="18">
        <v>104</v>
      </c>
      <c r="D628" s="18">
        <f t="shared" si="310"/>
        <v>10</v>
      </c>
      <c r="E628" s="18">
        <v>9999996</v>
      </c>
      <c r="F628" s="18">
        <f t="shared" si="295"/>
        <v>0</v>
      </c>
      <c r="G628" s="18">
        <v>40</v>
      </c>
      <c r="H628" s="18">
        <f t="shared" si="296"/>
        <v>0</v>
      </c>
      <c r="I628" s="31">
        <v>0</v>
      </c>
      <c r="J628" s="40" t="str">
        <f t="shared" ref="J628:K630" si="312">IF(C628="","",J624)</f>
        <v>NICI</v>
      </c>
      <c r="K628" s="43">
        <f t="shared" si="312"/>
        <v>682</v>
      </c>
      <c r="L628" s="18">
        <f t="shared" si="299"/>
        <v>0</v>
      </c>
      <c r="M628" s="19">
        <f t="shared" si="300"/>
        <v>0</v>
      </c>
      <c r="N628" s="11"/>
      <c r="P628" s="100"/>
      <c r="Q628" s="18">
        <v>125</v>
      </c>
      <c r="R628" s="18">
        <f t="shared" si="311"/>
        <v>18</v>
      </c>
      <c r="S628" s="18">
        <v>9999998</v>
      </c>
      <c r="T628" s="18">
        <f t="shared" si="302"/>
        <v>1</v>
      </c>
      <c r="U628" s="18">
        <v>4</v>
      </c>
      <c r="V628" s="18">
        <f t="shared" si="303"/>
        <v>1</v>
      </c>
      <c r="W628" s="31">
        <v>0</v>
      </c>
      <c r="X628" s="40" t="str">
        <f t="shared" si="304"/>
        <v>サンリオファン</v>
      </c>
      <c r="Y628" s="43">
        <f t="shared" si="305"/>
        <v>1100</v>
      </c>
      <c r="Z628" s="18">
        <f t="shared" si="306"/>
        <v>1100</v>
      </c>
      <c r="AA628" s="105">
        <f>IF(V628="","",Z628/(R628*100))</f>
        <v>0.61111111111111116</v>
      </c>
      <c r="AB628" s="11" t="s">
        <v>98</v>
      </c>
    </row>
    <row r="629" spans="1:28" ht="15" customHeight="1" thickTop="1" x14ac:dyDescent="0.2">
      <c r="A629" s="96">
        <v>45841</v>
      </c>
      <c r="B629" s="81">
        <f>SUM(D629:D632)+SUM(R629:R632)</f>
        <v>249</v>
      </c>
      <c r="C629" s="9">
        <v>79</v>
      </c>
      <c r="D629" s="36">
        <f t="shared" si="310"/>
        <v>23</v>
      </c>
      <c r="E629" s="9">
        <v>9999993</v>
      </c>
      <c r="F629" s="22">
        <f t="shared" si="295"/>
        <v>1</v>
      </c>
      <c r="G629" s="9">
        <v>9</v>
      </c>
      <c r="H629" s="36">
        <f t="shared" si="296"/>
        <v>1</v>
      </c>
      <c r="I629" s="13">
        <v>0</v>
      </c>
      <c r="J629" s="48" t="str">
        <f t="shared" si="312"/>
        <v>ジャグラーサウンド</v>
      </c>
      <c r="K629" s="49">
        <f t="shared" si="312"/>
        <v>748</v>
      </c>
      <c r="L629" s="22">
        <f t="shared" si="299"/>
        <v>748</v>
      </c>
      <c r="M629" s="23">
        <f t="shared" si="300"/>
        <v>0.32521739130434785</v>
      </c>
      <c r="N629" s="11"/>
      <c r="P629" s="104">
        <f>IF(A629="","",A629)</f>
        <v>45841</v>
      </c>
      <c r="Q629" s="9">
        <v>68</v>
      </c>
      <c r="R629" s="36">
        <f t="shared" si="311"/>
        <v>21</v>
      </c>
      <c r="S629" s="9">
        <v>9999995</v>
      </c>
      <c r="T629" s="22">
        <f t="shared" si="302"/>
        <v>0</v>
      </c>
      <c r="U629" s="9">
        <v>6</v>
      </c>
      <c r="V629" s="36">
        <f t="shared" si="303"/>
        <v>0</v>
      </c>
      <c r="W629" s="13">
        <v>3</v>
      </c>
      <c r="X629" s="48" t="str">
        <f t="shared" si="304"/>
        <v>サンリオフェイスポーチ</v>
      </c>
      <c r="Y629" s="48">
        <f t="shared" si="305"/>
        <v>957</v>
      </c>
      <c r="Z629" s="48">
        <f t="shared" ref="Z629" si="313">IF(S629="","",Z625)</f>
        <v>957</v>
      </c>
      <c r="AA629" s="48">
        <f t="shared" ref="AA629" si="314">IF(T629="","",AA625)</f>
        <v>0.3417857142857143</v>
      </c>
      <c r="AB629" s="11"/>
    </row>
    <row r="630" spans="1:28" ht="15" customHeight="1" x14ac:dyDescent="0.2">
      <c r="A630" s="96"/>
      <c r="B630" s="81"/>
      <c r="C630" s="36">
        <v>233</v>
      </c>
      <c r="D630" s="9">
        <f t="shared" si="310"/>
        <v>125</v>
      </c>
      <c r="E630" s="36">
        <v>3</v>
      </c>
      <c r="F630" s="9">
        <f t="shared" si="295"/>
        <v>2</v>
      </c>
      <c r="G630" s="9">
        <v>23</v>
      </c>
      <c r="H630" s="9">
        <f t="shared" si="296"/>
        <v>3</v>
      </c>
      <c r="I630" s="13">
        <v>0</v>
      </c>
      <c r="J630" s="39" t="str">
        <f t="shared" si="312"/>
        <v>電ブルキュート</v>
      </c>
      <c r="K630" s="37">
        <f t="shared" si="312"/>
        <v>275</v>
      </c>
      <c r="L630" s="9">
        <f t="shared" si="299"/>
        <v>825</v>
      </c>
      <c r="M630" s="10">
        <f t="shared" si="300"/>
        <v>6.6000000000000003E-2</v>
      </c>
      <c r="N630" s="11"/>
      <c r="P630" s="96"/>
      <c r="Q630" s="36">
        <v>233</v>
      </c>
      <c r="R630" s="9">
        <f t="shared" si="311"/>
        <v>19</v>
      </c>
      <c r="S630" s="36">
        <v>9999996</v>
      </c>
      <c r="T630" s="9">
        <f t="shared" si="302"/>
        <v>1</v>
      </c>
      <c r="U630" s="9">
        <v>6</v>
      </c>
      <c r="V630" s="9">
        <f t="shared" si="303"/>
        <v>0</v>
      </c>
      <c r="W630" s="13">
        <v>3</v>
      </c>
      <c r="X630" s="48" t="str">
        <f t="shared" ref="X630" si="315">IF(Q630="","",X626)</f>
        <v>サンリオファン</v>
      </c>
      <c r="Y630" s="48">
        <f t="shared" ref="Y630" si="316">IF(R630="","",Y626)</f>
        <v>1100</v>
      </c>
      <c r="Z630" s="48">
        <f t="shared" ref="Z630" si="317">IF(S630="","",Z626)</f>
        <v>1100</v>
      </c>
      <c r="AA630" s="48">
        <f t="shared" ref="AA630" si="318">IF(T630="","",AA626)</f>
        <v>0.16666666666666666</v>
      </c>
      <c r="AB630" s="11"/>
    </row>
    <row r="631" spans="1:28" ht="15" customHeight="1" x14ac:dyDescent="0.2">
      <c r="A631" s="97"/>
      <c r="B631" s="8"/>
      <c r="C631" s="9">
        <v>17</v>
      </c>
      <c r="D631" s="9">
        <f t="shared" si="310"/>
        <v>10</v>
      </c>
      <c r="E631" s="9">
        <v>9999994</v>
      </c>
      <c r="F631" s="9">
        <f t="shared" si="295"/>
        <v>0</v>
      </c>
      <c r="G631" s="9">
        <v>4</v>
      </c>
      <c r="H631" s="9">
        <f t="shared" si="296"/>
        <v>0</v>
      </c>
      <c r="I631" s="13">
        <v>5</v>
      </c>
      <c r="J631" s="39" t="str">
        <f>IF(C631="","",J627)</f>
        <v>サンリオフェイスポーチ</v>
      </c>
      <c r="K631" s="9">
        <v>495</v>
      </c>
      <c r="L631" s="9">
        <f t="shared" si="299"/>
        <v>0</v>
      </c>
      <c r="M631" s="10">
        <f t="shared" si="300"/>
        <v>0</v>
      </c>
      <c r="N631" s="11" t="s">
        <v>99</v>
      </c>
      <c r="P631" s="97"/>
      <c r="Q631" s="9">
        <v>148</v>
      </c>
      <c r="R631" s="9">
        <f t="shared" si="311"/>
        <v>18</v>
      </c>
      <c r="S631" s="9">
        <v>9999992</v>
      </c>
      <c r="T631" s="9">
        <f t="shared" si="302"/>
        <v>0</v>
      </c>
      <c r="U631" s="9">
        <v>9</v>
      </c>
      <c r="V631" s="9">
        <f t="shared" si="303"/>
        <v>0</v>
      </c>
      <c r="W631" s="13">
        <v>0</v>
      </c>
      <c r="X631" s="39" t="str">
        <f t="shared" si="304"/>
        <v>サンリオスマートキーケース</v>
      </c>
      <c r="Y631" s="9">
        <f t="shared" si="305"/>
        <v>726</v>
      </c>
      <c r="Z631" s="9">
        <f t="shared" si="306"/>
        <v>0</v>
      </c>
      <c r="AA631" s="10">
        <f t="shared" si="307"/>
        <v>0</v>
      </c>
      <c r="AB631" s="11"/>
    </row>
    <row r="632" spans="1:28" ht="15" customHeight="1" thickBot="1" x14ac:dyDescent="0.25">
      <c r="A632" s="100"/>
      <c r="B632" s="87"/>
      <c r="C632" s="18">
        <v>121</v>
      </c>
      <c r="D632" s="18">
        <f t="shared" si="310"/>
        <v>17</v>
      </c>
      <c r="E632" s="18">
        <v>9999997</v>
      </c>
      <c r="F632" s="18">
        <f t="shared" si="295"/>
        <v>1</v>
      </c>
      <c r="G632" s="18">
        <v>39</v>
      </c>
      <c r="H632" s="18">
        <f t="shared" si="296"/>
        <v>1</v>
      </c>
      <c r="I632" s="31">
        <v>0</v>
      </c>
      <c r="J632" s="40" t="str">
        <f>IF(C632="","",J628)</f>
        <v>NICI</v>
      </c>
      <c r="K632" s="43">
        <f>IF(D632="","",K628)</f>
        <v>682</v>
      </c>
      <c r="L632" s="18">
        <f t="shared" si="299"/>
        <v>682</v>
      </c>
      <c r="M632" s="19">
        <f t="shared" si="300"/>
        <v>0.4011764705882353</v>
      </c>
      <c r="N632" s="11"/>
      <c r="P632" s="100"/>
      <c r="Q632" s="18">
        <v>141</v>
      </c>
      <c r="R632" s="18">
        <f t="shared" si="311"/>
        <v>16</v>
      </c>
      <c r="S632" s="18">
        <v>9999998</v>
      </c>
      <c r="T632" s="18">
        <f t="shared" si="302"/>
        <v>0</v>
      </c>
      <c r="U632" s="18">
        <v>3</v>
      </c>
      <c r="V632" s="18">
        <f t="shared" si="303"/>
        <v>1</v>
      </c>
      <c r="W632" s="31">
        <v>2</v>
      </c>
      <c r="X632" s="40" t="str">
        <f>IF(Q632="","",X628)</f>
        <v>サンリオファン</v>
      </c>
      <c r="Y632" s="43">
        <f>IF(R632="","",Y628)</f>
        <v>1100</v>
      </c>
      <c r="Z632" s="18">
        <f t="shared" si="306"/>
        <v>1100</v>
      </c>
      <c r="AA632" s="19">
        <f t="shared" si="307"/>
        <v>0.6875</v>
      </c>
      <c r="AB632" s="11" t="s">
        <v>100</v>
      </c>
    </row>
    <row r="633" spans="1:28" ht="15" customHeight="1" thickTop="1" x14ac:dyDescent="0.2">
      <c r="A633" s="96">
        <v>45845</v>
      </c>
      <c r="B633" s="81">
        <f>SUM(D633:D636)+SUM(R633:R636)</f>
        <v>793</v>
      </c>
      <c r="C633" s="9">
        <v>230</v>
      </c>
      <c r="D633" s="36">
        <f t="shared" si="310"/>
        <v>151</v>
      </c>
      <c r="E633" s="9">
        <v>9999993</v>
      </c>
      <c r="F633" s="22">
        <f t="shared" si="295"/>
        <v>0</v>
      </c>
      <c r="G633" s="9">
        <v>9</v>
      </c>
      <c r="H633" s="36">
        <f t="shared" si="296"/>
        <v>0</v>
      </c>
      <c r="I633" s="53">
        <v>0</v>
      </c>
      <c r="J633" s="48" t="str">
        <f>IF(C633="","",J629)</f>
        <v>ジャグラーサウンド</v>
      </c>
      <c r="K633" s="49">
        <f>IF(D633="","",K629)</f>
        <v>748</v>
      </c>
      <c r="L633" s="22">
        <f t="shared" si="299"/>
        <v>0</v>
      </c>
      <c r="M633" s="23">
        <f t="shared" si="300"/>
        <v>0</v>
      </c>
      <c r="N633" s="11"/>
      <c r="P633" s="104">
        <f>IF(A633="","",A633)</f>
        <v>45845</v>
      </c>
      <c r="Q633" s="9">
        <v>188</v>
      </c>
      <c r="R633" s="36">
        <f t="shared" si="311"/>
        <v>120</v>
      </c>
      <c r="S633" s="9">
        <v>9999996</v>
      </c>
      <c r="T633" s="22">
        <f t="shared" si="302"/>
        <v>1</v>
      </c>
      <c r="U633" s="9">
        <v>8</v>
      </c>
      <c r="V633" s="36">
        <f t="shared" si="303"/>
        <v>1</v>
      </c>
      <c r="W633" s="53">
        <v>0</v>
      </c>
      <c r="X633" s="48" t="str">
        <f>IF(Q633="","",X629)</f>
        <v>サンリオフェイスポーチ</v>
      </c>
      <c r="Y633" s="49">
        <f t="shared" si="305"/>
        <v>957</v>
      </c>
      <c r="Z633" s="22">
        <f t="shared" si="306"/>
        <v>957</v>
      </c>
      <c r="AA633" s="23">
        <f t="shared" si="307"/>
        <v>7.9750000000000001E-2</v>
      </c>
      <c r="AB633" s="11"/>
    </row>
    <row r="634" spans="1:28" ht="15" customHeight="1" x14ac:dyDescent="0.2">
      <c r="A634" s="97"/>
      <c r="B634" s="81"/>
      <c r="C634" s="36">
        <v>334</v>
      </c>
      <c r="D634" s="9">
        <f t="shared" si="310"/>
        <v>101</v>
      </c>
      <c r="E634" s="36">
        <v>9</v>
      </c>
      <c r="F634" s="9">
        <f t="shared" si="295"/>
        <v>6</v>
      </c>
      <c r="G634" s="9">
        <v>17</v>
      </c>
      <c r="H634" s="9">
        <f t="shared" si="296"/>
        <v>6</v>
      </c>
      <c r="I634" s="13">
        <v>12</v>
      </c>
      <c r="J634" s="39" t="str">
        <f>IF(C634="","",J630)</f>
        <v>電ブルキュート</v>
      </c>
      <c r="K634" s="37">
        <f>IF(D634="","",K630)</f>
        <v>275</v>
      </c>
      <c r="L634" s="9">
        <f t="shared" si="299"/>
        <v>1650</v>
      </c>
      <c r="M634" s="10">
        <f t="shared" si="300"/>
        <v>0.16336633663366337</v>
      </c>
      <c r="N634" s="11"/>
      <c r="P634" s="97"/>
      <c r="Q634" s="36">
        <v>420</v>
      </c>
      <c r="R634" s="9">
        <f t="shared" si="311"/>
        <v>187</v>
      </c>
      <c r="S634" s="36">
        <v>5</v>
      </c>
      <c r="T634" s="9">
        <v>9</v>
      </c>
      <c r="U634" s="108">
        <v>3</v>
      </c>
      <c r="V634" s="9">
        <f t="shared" si="303"/>
        <v>6</v>
      </c>
      <c r="W634" s="13">
        <v>0</v>
      </c>
      <c r="X634" s="39" t="str">
        <f t="shared" si="304"/>
        <v>サンリオファン</v>
      </c>
      <c r="Y634" s="37">
        <f t="shared" si="305"/>
        <v>1100</v>
      </c>
      <c r="Z634" s="9">
        <f t="shared" si="306"/>
        <v>6600</v>
      </c>
      <c r="AA634" s="10">
        <f t="shared" si="307"/>
        <v>0.35294117647058826</v>
      </c>
      <c r="AB634" s="11"/>
    </row>
    <row r="635" spans="1:28" ht="15" customHeight="1" x14ac:dyDescent="0.2">
      <c r="A635" s="97"/>
      <c r="B635" s="8"/>
      <c r="C635" s="9">
        <v>33</v>
      </c>
      <c r="D635" s="9">
        <f t="shared" si="310"/>
        <v>16</v>
      </c>
      <c r="E635" s="9">
        <v>9999997</v>
      </c>
      <c r="F635" s="9">
        <f t="shared" si="295"/>
        <v>3</v>
      </c>
      <c r="G635" s="9">
        <v>8</v>
      </c>
      <c r="H635" s="9">
        <f t="shared" si="296"/>
        <v>1</v>
      </c>
      <c r="I635" s="32">
        <v>72</v>
      </c>
      <c r="J635" s="39" t="s">
        <v>101</v>
      </c>
      <c r="K635" s="108"/>
      <c r="L635" s="9">
        <f t="shared" si="299"/>
        <v>0</v>
      </c>
      <c r="M635" s="10">
        <f t="shared" si="300"/>
        <v>0</v>
      </c>
      <c r="N635" s="11" t="s">
        <v>102</v>
      </c>
      <c r="P635" s="97"/>
      <c r="Q635" s="9">
        <v>253</v>
      </c>
      <c r="R635" s="9">
        <f t="shared" si="311"/>
        <v>105</v>
      </c>
      <c r="S635" s="9">
        <v>9999994</v>
      </c>
      <c r="T635" s="9">
        <f t="shared" si="302"/>
        <v>2</v>
      </c>
      <c r="U635" s="9">
        <v>7</v>
      </c>
      <c r="V635" s="9">
        <f t="shared" si="303"/>
        <v>2</v>
      </c>
      <c r="W635" s="32">
        <v>0</v>
      </c>
      <c r="X635" s="39" t="str">
        <f t="shared" si="304"/>
        <v>サンリオスマートキーケース</v>
      </c>
      <c r="Y635" s="9">
        <f t="shared" si="305"/>
        <v>726</v>
      </c>
      <c r="Z635" s="9">
        <f t="shared" si="306"/>
        <v>1452</v>
      </c>
      <c r="AA635" s="10">
        <f t="shared" si="307"/>
        <v>0.13828571428571429</v>
      </c>
      <c r="AB635" s="11"/>
    </row>
    <row r="636" spans="1:28" ht="15" customHeight="1" thickBot="1" x14ac:dyDescent="0.25">
      <c r="A636" s="100"/>
      <c r="B636" s="87"/>
      <c r="C636" s="18">
        <v>190</v>
      </c>
      <c r="D636" s="18">
        <f t="shared" si="310"/>
        <v>69</v>
      </c>
      <c r="E636" s="18">
        <v>9999998</v>
      </c>
      <c r="F636" s="18">
        <f t="shared" si="295"/>
        <v>1</v>
      </c>
      <c r="G636" s="18">
        <v>38</v>
      </c>
      <c r="H636" s="18">
        <f t="shared" si="296"/>
        <v>1</v>
      </c>
      <c r="I636" s="31">
        <v>0</v>
      </c>
      <c r="J636" s="40" t="str">
        <f t="shared" ref="J636:K638" si="319">IF(C636="","",J632)</f>
        <v>NICI</v>
      </c>
      <c r="K636" s="43">
        <f t="shared" si="319"/>
        <v>682</v>
      </c>
      <c r="L636" s="18">
        <f t="shared" si="299"/>
        <v>682</v>
      </c>
      <c r="M636" s="19">
        <f t="shared" si="300"/>
        <v>9.8840579710144927E-2</v>
      </c>
      <c r="N636" s="11"/>
      <c r="P636" s="100"/>
      <c r="Q636" s="18">
        <v>185</v>
      </c>
      <c r="R636" s="18">
        <f t="shared" si="311"/>
        <v>44</v>
      </c>
      <c r="S636" s="18">
        <v>9999998</v>
      </c>
      <c r="T636" s="18">
        <f t="shared" si="302"/>
        <v>0</v>
      </c>
      <c r="U636" s="18">
        <v>5</v>
      </c>
      <c r="V636" s="18">
        <f t="shared" si="303"/>
        <v>0</v>
      </c>
      <c r="W636" s="31">
        <v>0</v>
      </c>
      <c r="X636" s="40" t="s">
        <v>103</v>
      </c>
      <c r="Y636" s="43">
        <v>1045</v>
      </c>
      <c r="Z636" s="18">
        <f t="shared" si="306"/>
        <v>0</v>
      </c>
      <c r="AA636" s="19">
        <f t="shared" si="307"/>
        <v>0</v>
      </c>
      <c r="AB636" s="11"/>
    </row>
    <row r="637" spans="1:28" ht="15" customHeight="1" thickTop="1" x14ac:dyDescent="0.2">
      <c r="A637" s="96">
        <v>45847</v>
      </c>
      <c r="B637" s="81">
        <f>SUM(D637:D640)+SUM(R637:R640)</f>
        <v>282</v>
      </c>
      <c r="C637" s="9">
        <v>281</v>
      </c>
      <c r="D637" s="36">
        <f t="shared" si="310"/>
        <v>51</v>
      </c>
      <c r="E637" s="9">
        <v>9999994</v>
      </c>
      <c r="F637" s="22">
        <f t="shared" si="295"/>
        <v>1</v>
      </c>
      <c r="G637" s="9">
        <v>8</v>
      </c>
      <c r="H637" s="36">
        <f t="shared" si="296"/>
        <v>1</v>
      </c>
      <c r="I637" s="53">
        <v>3</v>
      </c>
      <c r="J637" s="48" t="str">
        <f t="shared" si="319"/>
        <v>ジャグラーサウンド</v>
      </c>
      <c r="K637" s="49">
        <f t="shared" si="319"/>
        <v>748</v>
      </c>
      <c r="L637" s="22">
        <f t="shared" si="299"/>
        <v>748</v>
      </c>
      <c r="M637" s="23">
        <f t="shared" si="300"/>
        <v>0.14666666666666667</v>
      </c>
      <c r="N637" s="11"/>
      <c r="P637" s="104">
        <f>IF(A637="","",A637)</f>
        <v>45847</v>
      </c>
      <c r="Q637" s="9">
        <v>221</v>
      </c>
      <c r="R637" s="36">
        <f t="shared" si="311"/>
        <v>33</v>
      </c>
      <c r="S637" s="9">
        <v>9999997</v>
      </c>
      <c r="T637" s="22">
        <f t="shared" si="302"/>
        <v>1</v>
      </c>
      <c r="U637" s="9">
        <v>7</v>
      </c>
      <c r="V637" s="36">
        <f t="shared" si="303"/>
        <v>1</v>
      </c>
      <c r="W637" s="53">
        <v>2</v>
      </c>
      <c r="X637" s="48" t="str">
        <f t="shared" si="304"/>
        <v>サンリオフェイスポーチ</v>
      </c>
      <c r="Y637" s="49">
        <f t="shared" si="305"/>
        <v>957</v>
      </c>
      <c r="Z637" s="22">
        <f t="shared" si="306"/>
        <v>957</v>
      </c>
      <c r="AA637" s="23">
        <f t="shared" si="307"/>
        <v>0.28999999999999998</v>
      </c>
      <c r="AB637" s="11"/>
    </row>
    <row r="638" spans="1:28" ht="15" customHeight="1" x14ac:dyDescent="0.2">
      <c r="A638" s="97"/>
      <c r="B638" s="81"/>
      <c r="C638" s="36">
        <v>380</v>
      </c>
      <c r="D638" s="9">
        <f t="shared" si="310"/>
        <v>46</v>
      </c>
      <c r="E638" s="36">
        <v>12</v>
      </c>
      <c r="F638" s="9">
        <f t="shared" si="295"/>
        <v>3</v>
      </c>
      <c r="G638" s="9">
        <v>26</v>
      </c>
      <c r="H638" s="9">
        <f t="shared" si="296"/>
        <v>3</v>
      </c>
      <c r="I638" s="13">
        <v>0</v>
      </c>
      <c r="J638" s="39" t="str">
        <f t="shared" si="319"/>
        <v>電ブルキュート</v>
      </c>
      <c r="K638" s="37">
        <f t="shared" si="319"/>
        <v>275</v>
      </c>
      <c r="L638" s="9">
        <f t="shared" si="299"/>
        <v>825</v>
      </c>
      <c r="M638" s="10">
        <f t="shared" si="300"/>
        <v>0.17934782608695651</v>
      </c>
      <c r="N638" s="11"/>
      <c r="P638" s="97"/>
      <c r="Q638" s="36">
        <v>466</v>
      </c>
      <c r="R638" s="9">
        <f t="shared" si="311"/>
        <v>46</v>
      </c>
      <c r="S638" s="36">
        <v>6</v>
      </c>
      <c r="T638" s="9">
        <f t="shared" si="302"/>
        <v>1</v>
      </c>
      <c r="U638" s="9">
        <v>3</v>
      </c>
      <c r="V638" s="9">
        <f t="shared" si="303"/>
        <v>0</v>
      </c>
      <c r="W638" s="13">
        <v>7</v>
      </c>
      <c r="X638" s="39" t="str">
        <f t="shared" si="304"/>
        <v>サンリオファン</v>
      </c>
      <c r="Y638" s="37">
        <f t="shared" si="305"/>
        <v>1100</v>
      </c>
      <c r="Z638" s="9">
        <f t="shared" si="306"/>
        <v>0</v>
      </c>
      <c r="AA638" s="10">
        <f t="shared" si="307"/>
        <v>0</v>
      </c>
      <c r="AB638" s="11"/>
    </row>
    <row r="639" spans="1:28" ht="15" customHeight="1" x14ac:dyDescent="0.2">
      <c r="A639" s="97"/>
      <c r="B639" s="8"/>
      <c r="C639" s="9">
        <v>57</v>
      </c>
      <c r="D639" s="9">
        <f t="shared" si="310"/>
        <v>24</v>
      </c>
      <c r="E639" s="9">
        <v>9999999</v>
      </c>
      <c r="F639" s="9">
        <f t="shared" si="295"/>
        <v>2</v>
      </c>
      <c r="G639" s="9">
        <v>78</v>
      </c>
      <c r="H639" s="9">
        <f t="shared" si="296"/>
        <v>2</v>
      </c>
      <c r="I639" s="13">
        <v>9</v>
      </c>
      <c r="J639" s="39" t="s">
        <v>19</v>
      </c>
      <c r="K639" s="9">
        <v>110</v>
      </c>
      <c r="L639" s="9">
        <f t="shared" si="299"/>
        <v>220</v>
      </c>
      <c r="M639" s="10">
        <f t="shared" si="300"/>
        <v>9.166666666666666E-2</v>
      </c>
      <c r="N639" s="11"/>
      <c r="P639" s="97"/>
      <c r="Q639" s="9">
        <v>289</v>
      </c>
      <c r="R639" s="9">
        <f t="shared" si="311"/>
        <v>36</v>
      </c>
      <c r="S639" s="9">
        <v>9999994</v>
      </c>
      <c r="T639" s="9">
        <f t="shared" si="302"/>
        <v>0</v>
      </c>
      <c r="U639" s="9">
        <v>7</v>
      </c>
      <c r="V639" s="9">
        <f t="shared" si="303"/>
        <v>0</v>
      </c>
      <c r="W639" s="13">
        <v>0</v>
      </c>
      <c r="X639" s="39" t="str">
        <f t="shared" si="304"/>
        <v>サンリオスマートキーケース</v>
      </c>
      <c r="Y639" s="9">
        <f t="shared" si="305"/>
        <v>726</v>
      </c>
      <c r="Z639" s="9">
        <f t="shared" si="306"/>
        <v>0</v>
      </c>
      <c r="AA639" s="10">
        <f t="shared" si="307"/>
        <v>0</v>
      </c>
      <c r="AB639" s="11"/>
    </row>
    <row r="640" spans="1:28" ht="15" customHeight="1" thickBot="1" x14ac:dyDescent="0.25">
      <c r="A640" s="100"/>
      <c r="B640" s="87"/>
      <c r="C640" s="18">
        <v>203</v>
      </c>
      <c r="D640" s="18">
        <f t="shared" si="310"/>
        <v>13</v>
      </c>
      <c r="E640" s="18">
        <v>9999998</v>
      </c>
      <c r="F640" s="18">
        <f t="shared" si="295"/>
        <v>0</v>
      </c>
      <c r="G640" s="18">
        <v>38</v>
      </c>
      <c r="H640" s="18">
        <f t="shared" si="296"/>
        <v>0</v>
      </c>
      <c r="I640" s="31">
        <v>12</v>
      </c>
      <c r="J640" s="40" t="str">
        <f t="shared" ref="J640:J660" si="320">IF(C640="","",J636)</f>
        <v>NICI</v>
      </c>
      <c r="K640" s="43">
        <f t="shared" ref="K640:K660" si="321">IF(D640="","",K636)</f>
        <v>682</v>
      </c>
      <c r="L640" s="18">
        <f t="shared" si="299"/>
        <v>0</v>
      </c>
      <c r="M640" s="19">
        <f t="shared" si="300"/>
        <v>0</v>
      </c>
      <c r="N640" s="11"/>
      <c r="P640" s="100"/>
      <c r="Q640" s="18">
        <v>218</v>
      </c>
      <c r="R640" s="18">
        <f t="shared" si="311"/>
        <v>33</v>
      </c>
      <c r="S640" s="18">
        <v>9999999</v>
      </c>
      <c r="T640" s="18">
        <f t="shared" si="302"/>
        <v>1</v>
      </c>
      <c r="U640" s="18">
        <v>4</v>
      </c>
      <c r="V640" s="18">
        <f t="shared" si="303"/>
        <v>1</v>
      </c>
      <c r="W640" s="31">
        <v>2</v>
      </c>
      <c r="X640" s="40" t="str">
        <f t="shared" si="304"/>
        <v>ジョージファン</v>
      </c>
      <c r="Y640" s="43">
        <f t="shared" si="305"/>
        <v>1045</v>
      </c>
      <c r="Z640" s="18">
        <f t="shared" si="306"/>
        <v>1045</v>
      </c>
      <c r="AA640" s="19">
        <f t="shared" si="307"/>
        <v>0.31666666666666665</v>
      </c>
      <c r="AB640" s="11"/>
    </row>
    <row r="641" spans="1:28" ht="15" customHeight="1" thickTop="1" x14ac:dyDescent="0.2">
      <c r="A641" s="96">
        <v>45848</v>
      </c>
      <c r="B641" s="81">
        <f>SUM(D641:D644)+SUM(R641:R644)</f>
        <v>221</v>
      </c>
      <c r="C641" s="36">
        <v>416</v>
      </c>
      <c r="D641" s="36">
        <f t="shared" ref="D641:D660" si="322">IF(C641="","",C641-C637)</f>
        <v>135</v>
      </c>
      <c r="E641" s="36">
        <v>9999995</v>
      </c>
      <c r="F641" s="22">
        <f t="shared" ref="F641:F660" si="323">IF(E641="","",E641-E637)</f>
        <v>1</v>
      </c>
      <c r="G641" s="36">
        <v>11</v>
      </c>
      <c r="H641" s="36">
        <f t="shared" ref="H641:H660" si="324">IF(G641="","",G637+I637-G641)</f>
        <v>0</v>
      </c>
      <c r="I641" s="53">
        <v>0</v>
      </c>
      <c r="J641" s="48" t="str">
        <f t="shared" si="320"/>
        <v>ジャグラーサウンド</v>
      </c>
      <c r="K641" s="49">
        <f t="shared" si="321"/>
        <v>748</v>
      </c>
      <c r="L641" s="22">
        <f t="shared" ref="L641:L660" si="325">IF(G641="","",H641*K641)</f>
        <v>0</v>
      </c>
      <c r="M641" s="23">
        <f t="shared" ref="M641:M660" si="326">IF(H641="","",L641/(D641*100))</f>
        <v>0</v>
      </c>
      <c r="N641" s="11" t="s">
        <v>104</v>
      </c>
      <c r="P641" s="104">
        <f>IF(A641="","",A641)</f>
        <v>45848</v>
      </c>
      <c r="Q641" s="36">
        <v>237</v>
      </c>
      <c r="R641" s="36">
        <f t="shared" ref="R641:R660" si="327">IF(Q641="","",Q641-Q637)</f>
        <v>16</v>
      </c>
      <c r="S641" s="36">
        <v>9999997</v>
      </c>
      <c r="T641" s="22">
        <f t="shared" ref="T641:T660" si="328">IF(S641="","",S641-S637)</f>
        <v>0</v>
      </c>
      <c r="U641" s="36">
        <v>9</v>
      </c>
      <c r="V641" s="36">
        <f t="shared" ref="V641:V660" si="329">IF(U641="","",U637+W637-U641)</f>
        <v>0</v>
      </c>
      <c r="W641" s="53">
        <v>0</v>
      </c>
      <c r="X641" s="48" t="str">
        <f t="shared" ref="X641:X660" si="330">IF(Q641="","",X637)</f>
        <v>サンリオフェイスポーチ</v>
      </c>
      <c r="Y641" s="49">
        <f t="shared" ref="Y641:Y660" si="331">IF(R641="","",Y637)</f>
        <v>957</v>
      </c>
      <c r="Z641" s="22">
        <f t="shared" ref="Z641:Z660" si="332">IF(U641="","",V641*Y641)</f>
        <v>0</v>
      </c>
      <c r="AA641" s="23">
        <f t="shared" ref="AA641:AA660" si="333">IF(V641="","",Z641/(R641*100))</f>
        <v>0</v>
      </c>
      <c r="AB641" s="11"/>
    </row>
    <row r="642" spans="1:28" ht="15" customHeight="1" x14ac:dyDescent="0.2">
      <c r="A642" s="97"/>
      <c r="B642" s="8"/>
      <c r="C642" s="9">
        <v>394</v>
      </c>
      <c r="D642" s="36">
        <f t="shared" si="322"/>
        <v>14</v>
      </c>
      <c r="E642" s="9">
        <v>14</v>
      </c>
      <c r="F642" s="9">
        <f t="shared" si="323"/>
        <v>2</v>
      </c>
      <c r="G642" s="9">
        <v>22</v>
      </c>
      <c r="H642" s="9">
        <f t="shared" si="324"/>
        <v>4</v>
      </c>
      <c r="I642" s="13">
        <v>0</v>
      </c>
      <c r="J642" s="39" t="str">
        <f t="shared" si="320"/>
        <v>電ブルキュート</v>
      </c>
      <c r="K642" s="37">
        <f t="shared" si="321"/>
        <v>275</v>
      </c>
      <c r="L642" s="9">
        <f t="shared" si="325"/>
        <v>1100</v>
      </c>
      <c r="M642" s="10">
        <f t="shared" si="326"/>
        <v>0.7857142857142857</v>
      </c>
      <c r="N642" s="11" t="s">
        <v>105</v>
      </c>
      <c r="P642" s="97"/>
      <c r="Q642" s="9">
        <v>485</v>
      </c>
      <c r="R642" s="36">
        <f t="shared" si="327"/>
        <v>19</v>
      </c>
      <c r="S642" s="9">
        <v>6</v>
      </c>
      <c r="T642" s="9">
        <f t="shared" si="328"/>
        <v>0</v>
      </c>
      <c r="U642" s="9">
        <v>7</v>
      </c>
      <c r="V642" s="9">
        <f t="shared" si="329"/>
        <v>3</v>
      </c>
      <c r="W642" s="13">
        <v>0</v>
      </c>
      <c r="X642" s="39" t="str">
        <f t="shared" si="330"/>
        <v>サンリオファン</v>
      </c>
      <c r="Y642" s="37">
        <f t="shared" si="331"/>
        <v>1100</v>
      </c>
      <c r="Z642" s="9">
        <f t="shared" si="332"/>
        <v>3300</v>
      </c>
      <c r="AA642" s="10">
        <f t="shared" si="333"/>
        <v>1.736842105263158</v>
      </c>
      <c r="AB642" s="11" t="s">
        <v>106</v>
      </c>
    </row>
    <row r="643" spans="1:28" ht="15" customHeight="1" x14ac:dyDescent="0.2">
      <c r="A643" s="97"/>
      <c r="B643" s="8"/>
      <c r="C643" s="9">
        <v>70</v>
      </c>
      <c r="D643" s="44">
        <f t="shared" si="322"/>
        <v>13</v>
      </c>
      <c r="E643" s="9">
        <v>9999999</v>
      </c>
      <c r="F643" s="9">
        <f t="shared" si="323"/>
        <v>0</v>
      </c>
      <c r="G643" s="25">
        <v>87</v>
      </c>
      <c r="H643" s="25">
        <f t="shared" si="324"/>
        <v>0</v>
      </c>
      <c r="I643" s="13">
        <v>0</v>
      </c>
      <c r="J643" s="39" t="str">
        <f t="shared" si="320"/>
        <v>ＡＩモンスターラバー</v>
      </c>
      <c r="K643" s="9">
        <f t="shared" si="321"/>
        <v>110</v>
      </c>
      <c r="L643" s="9">
        <f t="shared" si="325"/>
        <v>0</v>
      </c>
      <c r="M643" s="10">
        <f t="shared" si="326"/>
        <v>0</v>
      </c>
      <c r="N643" s="11" t="s">
        <v>107</v>
      </c>
      <c r="P643" s="97"/>
      <c r="Q643" s="9">
        <v>298</v>
      </c>
      <c r="R643" s="44">
        <f t="shared" si="327"/>
        <v>9</v>
      </c>
      <c r="S643" s="9">
        <v>9999994</v>
      </c>
      <c r="T643" s="9">
        <f t="shared" si="328"/>
        <v>0</v>
      </c>
      <c r="U643" s="25">
        <v>7</v>
      </c>
      <c r="V643" s="25">
        <f t="shared" si="329"/>
        <v>0</v>
      </c>
      <c r="W643" s="13">
        <v>0</v>
      </c>
      <c r="X643" s="39" t="str">
        <f t="shared" si="330"/>
        <v>サンリオスマートキーケース</v>
      </c>
      <c r="Y643" s="9">
        <f t="shared" si="331"/>
        <v>726</v>
      </c>
      <c r="Z643" s="9">
        <f t="shared" si="332"/>
        <v>0</v>
      </c>
      <c r="AA643" s="10">
        <f t="shared" si="333"/>
        <v>0</v>
      </c>
      <c r="AB643" s="11"/>
    </row>
    <row r="644" spans="1:28" ht="15" customHeight="1" thickBot="1" x14ac:dyDescent="0.25">
      <c r="A644" s="100"/>
      <c r="B644" s="82"/>
      <c r="C644" s="20">
        <v>217</v>
      </c>
      <c r="D644" s="42">
        <f t="shared" si="322"/>
        <v>14</v>
      </c>
      <c r="E644" s="43">
        <v>0</v>
      </c>
      <c r="F644" s="20">
        <f>IF(E644="","",E644-E640)+10000000</f>
        <v>2</v>
      </c>
      <c r="G644" s="45">
        <v>48</v>
      </c>
      <c r="H644" s="45">
        <f t="shared" si="324"/>
        <v>2</v>
      </c>
      <c r="I644" s="73">
        <v>0</v>
      </c>
      <c r="J644" s="40" t="str">
        <f t="shared" si="320"/>
        <v>NICI</v>
      </c>
      <c r="K644" s="43">
        <f t="shared" si="321"/>
        <v>682</v>
      </c>
      <c r="L644" s="18">
        <f t="shared" si="325"/>
        <v>1364</v>
      </c>
      <c r="M644" s="19">
        <f t="shared" si="326"/>
        <v>0.97428571428571431</v>
      </c>
      <c r="N644" s="11" t="s">
        <v>108</v>
      </c>
      <c r="P644" s="100"/>
      <c r="Q644" s="20">
        <v>219</v>
      </c>
      <c r="R644" s="42">
        <f t="shared" si="327"/>
        <v>1</v>
      </c>
      <c r="S644" s="43">
        <v>9999999</v>
      </c>
      <c r="T644" s="20">
        <f t="shared" si="328"/>
        <v>0</v>
      </c>
      <c r="U644" s="45">
        <v>6</v>
      </c>
      <c r="V644" s="45">
        <f t="shared" si="329"/>
        <v>0</v>
      </c>
      <c r="W644" s="73">
        <v>2</v>
      </c>
      <c r="X644" s="40" t="str">
        <f t="shared" si="330"/>
        <v>ジョージファン</v>
      </c>
      <c r="Y644" s="43">
        <f t="shared" si="331"/>
        <v>1045</v>
      </c>
      <c r="Z644" s="18">
        <f t="shared" si="332"/>
        <v>0</v>
      </c>
      <c r="AA644" s="19">
        <f t="shared" si="333"/>
        <v>0</v>
      </c>
      <c r="AB644" s="11" t="s">
        <v>109</v>
      </c>
    </row>
    <row r="645" spans="1:28" ht="15" customHeight="1" thickTop="1" x14ac:dyDescent="0.2">
      <c r="A645" s="96">
        <v>45850</v>
      </c>
      <c r="B645" s="81">
        <f>SUM(D645:D648)+SUM(R645:R648)</f>
        <v>656</v>
      </c>
      <c r="C645" s="36">
        <v>467</v>
      </c>
      <c r="D645" s="36">
        <f t="shared" si="322"/>
        <v>51</v>
      </c>
      <c r="E645" s="36">
        <v>9999998</v>
      </c>
      <c r="F645" s="22">
        <f t="shared" si="323"/>
        <v>3</v>
      </c>
      <c r="G645" s="36">
        <v>6</v>
      </c>
      <c r="H645" s="109">
        <f t="shared" si="324"/>
        <v>5</v>
      </c>
      <c r="I645" s="53">
        <v>0</v>
      </c>
      <c r="J645" s="48" t="str">
        <f t="shared" si="320"/>
        <v>ジャグラーサウンド</v>
      </c>
      <c r="K645" s="49">
        <f t="shared" si="321"/>
        <v>748</v>
      </c>
      <c r="L645" s="22">
        <f t="shared" si="325"/>
        <v>3740</v>
      </c>
      <c r="M645" s="111">
        <f t="shared" si="326"/>
        <v>0.73333333333333328</v>
      </c>
      <c r="N645" s="11" t="s">
        <v>110</v>
      </c>
      <c r="P645" s="104">
        <f>IF(A645="","",A645)</f>
        <v>45850</v>
      </c>
      <c r="Q645" s="36">
        <v>319</v>
      </c>
      <c r="R645" s="36">
        <f t="shared" si="327"/>
        <v>82</v>
      </c>
      <c r="S645" s="36">
        <v>9999998</v>
      </c>
      <c r="T645" s="22">
        <f t="shared" si="328"/>
        <v>1</v>
      </c>
      <c r="U645" s="36">
        <v>8</v>
      </c>
      <c r="V645" s="36">
        <f t="shared" si="329"/>
        <v>1</v>
      </c>
      <c r="W645" s="53">
        <v>0</v>
      </c>
      <c r="X645" s="14" t="str">
        <f t="shared" si="330"/>
        <v>サンリオフェイスポーチ</v>
      </c>
      <c r="Y645" s="37">
        <f t="shared" si="331"/>
        <v>957</v>
      </c>
      <c r="Z645" s="22">
        <f t="shared" si="332"/>
        <v>957</v>
      </c>
      <c r="AA645" s="23">
        <f t="shared" si="333"/>
        <v>0.11670731707317074</v>
      </c>
      <c r="AB645" s="11"/>
    </row>
    <row r="646" spans="1:28" ht="15" customHeight="1" x14ac:dyDescent="0.2">
      <c r="A646" s="97"/>
      <c r="B646" s="8"/>
      <c r="C646" s="9">
        <v>465</v>
      </c>
      <c r="D646" s="36">
        <f t="shared" si="322"/>
        <v>71</v>
      </c>
      <c r="E646" s="9">
        <v>16</v>
      </c>
      <c r="F646" s="9">
        <f t="shared" si="323"/>
        <v>2</v>
      </c>
      <c r="G646" s="9">
        <v>20</v>
      </c>
      <c r="H646" s="9">
        <f t="shared" si="324"/>
        <v>2</v>
      </c>
      <c r="I646" s="13">
        <v>0</v>
      </c>
      <c r="J646" s="39" t="str">
        <f t="shared" si="320"/>
        <v>電ブルキュート</v>
      </c>
      <c r="K646" s="37">
        <f t="shared" si="321"/>
        <v>275</v>
      </c>
      <c r="L646" s="9">
        <f t="shared" si="325"/>
        <v>550</v>
      </c>
      <c r="M646" s="10">
        <f t="shared" si="326"/>
        <v>7.746478873239436E-2</v>
      </c>
      <c r="N646" s="11"/>
      <c r="P646" s="97"/>
      <c r="Q646" s="9">
        <v>633</v>
      </c>
      <c r="R646" s="36">
        <f t="shared" si="327"/>
        <v>148</v>
      </c>
      <c r="S646" s="9">
        <v>8</v>
      </c>
      <c r="T646" s="9">
        <f t="shared" si="328"/>
        <v>2</v>
      </c>
      <c r="U646" s="9">
        <v>4</v>
      </c>
      <c r="V646" s="110">
        <f t="shared" si="329"/>
        <v>3</v>
      </c>
      <c r="W646" s="13">
        <v>5</v>
      </c>
      <c r="X646" s="14" t="str">
        <f t="shared" si="330"/>
        <v>サンリオファン</v>
      </c>
      <c r="Y646" s="37">
        <f t="shared" si="331"/>
        <v>1100</v>
      </c>
      <c r="Z646" s="9">
        <f t="shared" si="332"/>
        <v>3300</v>
      </c>
      <c r="AA646" s="10">
        <f t="shared" si="333"/>
        <v>0.22297297297297297</v>
      </c>
      <c r="AB646" s="11"/>
    </row>
    <row r="647" spans="1:28" ht="15" customHeight="1" x14ac:dyDescent="0.2">
      <c r="A647" s="97"/>
      <c r="B647" s="8"/>
      <c r="C647" s="9">
        <v>170</v>
      </c>
      <c r="D647" s="44">
        <f t="shared" si="322"/>
        <v>100</v>
      </c>
      <c r="E647" s="9">
        <v>7</v>
      </c>
      <c r="F647" s="9">
        <v>8</v>
      </c>
      <c r="G647" s="9">
        <v>79</v>
      </c>
      <c r="H647" s="9">
        <f t="shared" si="324"/>
        <v>8</v>
      </c>
      <c r="I647" s="13">
        <v>0</v>
      </c>
      <c r="J647" s="39" t="str">
        <f t="shared" si="320"/>
        <v>ＡＩモンスターラバー</v>
      </c>
      <c r="K647" s="9">
        <f t="shared" si="321"/>
        <v>110</v>
      </c>
      <c r="L647" s="9">
        <f t="shared" si="325"/>
        <v>880</v>
      </c>
      <c r="M647" s="10">
        <f t="shared" si="326"/>
        <v>8.7999999999999995E-2</v>
      </c>
      <c r="N647" s="11"/>
      <c r="P647" s="97"/>
      <c r="Q647" s="9">
        <v>352</v>
      </c>
      <c r="R647" s="44">
        <f t="shared" si="327"/>
        <v>54</v>
      </c>
      <c r="S647" s="9">
        <v>9999995</v>
      </c>
      <c r="T647" s="9">
        <f t="shared" si="328"/>
        <v>1</v>
      </c>
      <c r="U647" s="9">
        <v>6</v>
      </c>
      <c r="V647" s="9">
        <f t="shared" si="329"/>
        <v>1</v>
      </c>
      <c r="W647" s="13">
        <v>0</v>
      </c>
      <c r="X647" s="14" t="str">
        <f t="shared" si="330"/>
        <v>サンリオスマートキーケース</v>
      </c>
      <c r="Y647" s="37">
        <f t="shared" si="331"/>
        <v>726</v>
      </c>
      <c r="Z647" s="9">
        <f t="shared" si="332"/>
        <v>726</v>
      </c>
      <c r="AA647" s="10">
        <f t="shared" si="333"/>
        <v>0.13444444444444445</v>
      </c>
      <c r="AB647" s="11"/>
    </row>
    <row r="648" spans="1:28" ht="15" customHeight="1" thickBot="1" x14ac:dyDescent="0.25">
      <c r="A648" s="100"/>
      <c r="B648" s="82"/>
      <c r="C648" s="20">
        <v>251</v>
      </c>
      <c r="D648" s="42">
        <f t="shared" si="322"/>
        <v>34</v>
      </c>
      <c r="E648" s="43">
        <v>2</v>
      </c>
      <c r="F648" s="18">
        <f t="shared" si="323"/>
        <v>2</v>
      </c>
      <c r="G648" s="18">
        <v>46</v>
      </c>
      <c r="H648" s="18">
        <f t="shared" si="324"/>
        <v>2</v>
      </c>
      <c r="I648" s="31">
        <v>0</v>
      </c>
      <c r="J648" s="40" t="str">
        <f t="shared" si="320"/>
        <v>NICI</v>
      </c>
      <c r="K648" s="43">
        <f t="shared" si="321"/>
        <v>682</v>
      </c>
      <c r="L648" s="18">
        <f t="shared" si="325"/>
        <v>1364</v>
      </c>
      <c r="M648" s="95">
        <f t="shared" si="326"/>
        <v>0.4011764705882353</v>
      </c>
      <c r="N648" s="11"/>
      <c r="P648" s="100"/>
      <c r="Q648" s="20">
        <v>335</v>
      </c>
      <c r="R648" s="42">
        <f t="shared" si="327"/>
        <v>116</v>
      </c>
      <c r="S648" s="43">
        <v>1</v>
      </c>
      <c r="T648" s="18">
        <v>2</v>
      </c>
      <c r="U648" s="18">
        <v>6</v>
      </c>
      <c r="V648" s="18">
        <f t="shared" si="329"/>
        <v>2</v>
      </c>
      <c r="W648" s="31">
        <v>0</v>
      </c>
      <c r="X648" s="21" t="s">
        <v>62</v>
      </c>
      <c r="Y648" s="43">
        <f t="shared" si="331"/>
        <v>1045</v>
      </c>
      <c r="Z648" s="18">
        <f t="shared" si="332"/>
        <v>2090</v>
      </c>
      <c r="AA648" s="19">
        <f t="shared" si="333"/>
        <v>0.18017241379310345</v>
      </c>
      <c r="AB648" s="11"/>
    </row>
    <row r="649" spans="1:28" ht="15" customHeight="1" thickTop="1" x14ac:dyDescent="0.2">
      <c r="A649" s="96">
        <v>45855</v>
      </c>
      <c r="B649" s="81">
        <f>SUM(D649:D652)+SUM(R649:R652)</f>
        <v>882</v>
      </c>
      <c r="C649" s="36">
        <v>587</v>
      </c>
      <c r="D649" s="36">
        <f t="shared" si="322"/>
        <v>120</v>
      </c>
      <c r="E649" s="36">
        <v>5</v>
      </c>
      <c r="F649" s="22">
        <v>7</v>
      </c>
      <c r="G649" s="36">
        <v>2</v>
      </c>
      <c r="H649" s="36">
        <f>IF(G649="","",G645+I645-G649)</f>
        <v>4</v>
      </c>
      <c r="I649" s="36">
        <v>5</v>
      </c>
      <c r="J649" s="39" t="str">
        <f t="shared" si="320"/>
        <v>ジャグラーサウンド</v>
      </c>
      <c r="K649" s="37">
        <f t="shared" si="321"/>
        <v>748</v>
      </c>
      <c r="L649" s="22">
        <f t="shared" si="325"/>
        <v>2992</v>
      </c>
      <c r="M649" s="23">
        <f t="shared" si="326"/>
        <v>0.24933333333333332</v>
      </c>
      <c r="N649" s="11"/>
      <c r="P649" s="104">
        <f>IF(A649="","",A649)</f>
        <v>45855</v>
      </c>
      <c r="Q649" s="36">
        <v>435</v>
      </c>
      <c r="R649" s="36">
        <f t="shared" si="327"/>
        <v>116</v>
      </c>
      <c r="S649" s="36">
        <v>9999999</v>
      </c>
      <c r="T649" s="22">
        <f t="shared" si="328"/>
        <v>1</v>
      </c>
      <c r="U649" s="36">
        <v>6</v>
      </c>
      <c r="V649" s="36">
        <f t="shared" si="329"/>
        <v>2</v>
      </c>
      <c r="W649" s="36">
        <v>0</v>
      </c>
      <c r="X649" s="48" t="str">
        <f t="shared" si="330"/>
        <v>サンリオフェイスポーチ</v>
      </c>
      <c r="Y649" s="49">
        <f t="shared" si="331"/>
        <v>957</v>
      </c>
      <c r="Z649" s="22">
        <f t="shared" si="332"/>
        <v>1914</v>
      </c>
      <c r="AA649" s="23">
        <f t="shared" si="333"/>
        <v>0.16500000000000001</v>
      </c>
      <c r="AB649" s="11"/>
    </row>
    <row r="650" spans="1:28" ht="15" customHeight="1" x14ac:dyDescent="0.2">
      <c r="A650" s="97"/>
      <c r="B650" s="8"/>
      <c r="C650" s="9">
        <v>552</v>
      </c>
      <c r="D650" s="9">
        <f t="shared" si="322"/>
        <v>87</v>
      </c>
      <c r="E650" s="9">
        <v>18</v>
      </c>
      <c r="F650" s="9">
        <f t="shared" si="323"/>
        <v>2</v>
      </c>
      <c r="G650" s="9">
        <v>17</v>
      </c>
      <c r="H650" s="9">
        <f t="shared" si="324"/>
        <v>3</v>
      </c>
      <c r="I650" s="9">
        <v>0</v>
      </c>
      <c r="J650" s="39" t="str">
        <f t="shared" si="320"/>
        <v>電ブルキュート</v>
      </c>
      <c r="K650" s="37">
        <f t="shared" si="321"/>
        <v>275</v>
      </c>
      <c r="L650" s="9">
        <f t="shared" si="325"/>
        <v>825</v>
      </c>
      <c r="M650" s="10">
        <f t="shared" si="326"/>
        <v>9.4827586206896547E-2</v>
      </c>
      <c r="N650" s="11"/>
      <c r="P650" s="97"/>
      <c r="Q650" s="9">
        <v>789</v>
      </c>
      <c r="R650" s="9">
        <f t="shared" si="327"/>
        <v>156</v>
      </c>
      <c r="S650" s="9">
        <v>13</v>
      </c>
      <c r="T650" s="9">
        <f t="shared" si="328"/>
        <v>5</v>
      </c>
      <c r="U650" s="9">
        <v>2</v>
      </c>
      <c r="V650" s="9">
        <f t="shared" si="329"/>
        <v>7</v>
      </c>
      <c r="W650" s="9">
        <v>5</v>
      </c>
      <c r="X650" s="39" t="str">
        <f t="shared" si="330"/>
        <v>サンリオファン</v>
      </c>
      <c r="Y650" s="37">
        <f t="shared" si="331"/>
        <v>1100</v>
      </c>
      <c r="Z650" s="9">
        <f t="shared" si="332"/>
        <v>7700</v>
      </c>
      <c r="AA650" s="10">
        <f t="shared" si="333"/>
        <v>0.49358974358974361</v>
      </c>
      <c r="AB650" s="11"/>
    </row>
    <row r="651" spans="1:28" ht="15" customHeight="1" x14ac:dyDescent="0.2">
      <c r="A651" s="97"/>
      <c r="B651" s="8"/>
      <c r="C651" s="9">
        <v>270</v>
      </c>
      <c r="D651" s="9">
        <f t="shared" si="322"/>
        <v>100</v>
      </c>
      <c r="E651" s="9">
        <v>13</v>
      </c>
      <c r="F651" s="9">
        <f t="shared" si="323"/>
        <v>6</v>
      </c>
      <c r="G651" s="9">
        <v>72</v>
      </c>
      <c r="H651" s="9">
        <f t="shared" si="324"/>
        <v>7</v>
      </c>
      <c r="I651" s="9">
        <v>0</v>
      </c>
      <c r="J651" s="39" t="str">
        <f t="shared" si="320"/>
        <v>ＡＩモンスターラバー</v>
      </c>
      <c r="K651" s="37">
        <f t="shared" si="321"/>
        <v>110</v>
      </c>
      <c r="L651" s="9">
        <f t="shared" si="325"/>
        <v>770</v>
      </c>
      <c r="M651" s="10">
        <f t="shared" si="326"/>
        <v>7.6999999999999999E-2</v>
      </c>
      <c r="N651" s="11"/>
      <c r="P651" s="12"/>
      <c r="Q651" s="9">
        <v>405</v>
      </c>
      <c r="R651" s="9">
        <f t="shared" si="327"/>
        <v>53</v>
      </c>
      <c r="S651" s="9">
        <v>9999996</v>
      </c>
      <c r="T651" s="9">
        <f t="shared" si="328"/>
        <v>1</v>
      </c>
      <c r="U651" s="9">
        <v>5</v>
      </c>
      <c r="V651" s="9">
        <f t="shared" si="329"/>
        <v>1</v>
      </c>
      <c r="W651" s="9">
        <v>3</v>
      </c>
      <c r="X651" s="39" t="str">
        <f t="shared" si="330"/>
        <v>サンリオスマートキーケース</v>
      </c>
      <c r="Y651" s="9">
        <f t="shared" si="331"/>
        <v>726</v>
      </c>
      <c r="Z651" s="9">
        <f t="shared" si="332"/>
        <v>726</v>
      </c>
      <c r="AA651" s="10">
        <f t="shared" si="333"/>
        <v>0.13698113207547169</v>
      </c>
      <c r="AB651" s="11"/>
    </row>
    <row r="652" spans="1:28" ht="15" customHeight="1" thickBot="1" x14ac:dyDescent="0.25">
      <c r="A652" s="100"/>
      <c r="B652" s="87"/>
      <c r="C652" s="18">
        <v>341</v>
      </c>
      <c r="D652" s="18">
        <f t="shared" si="322"/>
        <v>90</v>
      </c>
      <c r="E652" s="18">
        <v>7</v>
      </c>
      <c r="F652" s="18">
        <f t="shared" si="323"/>
        <v>5</v>
      </c>
      <c r="G652" s="18">
        <v>42</v>
      </c>
      <c r="H652" s="18">
        <f t="shared" si="324"/>
        <v>4</v>
      </c>
      <c r="I652" s="18">
        <v>0</v>
      </c>
      <c r="J652" s="40" t="str">
        <f t="shared" si="320"/>
        <v>NICI</v>
      </c>
      <c r="K652" s="43">
        <f t="shared" si="321"/>
        <v>682</v>
      </c>
      <c r="L652" s="18">
        <f t="shared" si="325"/>
        <v>2728</v>
      </c>
      <c r="M652" s="19">
        <f t="shared" si="326"/>
        <v>0.30311111111111111</v>
      </c>
      <c r="N652" s="11"/>
      <c r="P652" s="17"/>
      <c r="Q652" s="18">
        <v>495</v>
      </c>
      <c r="R652" s="18">
        <f t="shared" si="327"/>
        <v>160</v>
      </c>
      <c r="S652" s="18">
        <v>3</v>
      </c>
      <c r="T652" s="18">
        <f t="shared" si="328"/>
        <v>2</v>
      </c>
      <c r="U652" s="18">
        <v>3</v>
      </c>
      <c r="V652" s="18">
        <f t="shared" si="329"/>
        <v>3</v>
      </c>
      <c r="W652" s="18">
        <v>3</v>
      </c>
      <c r="X652" s="40" t="str">
        <f t="shared" si="330"/>
        <v>デジタルミニカメラ</v>
      </c>
      <c r="Y652" s="43">
        <f t="shared" si="331"/>
        <v>1045</v>
      </c>
      <c r="Z652" s="18">
        <f t="shared" si="332"/>
        <v>3135</v>
      </c>
      <c r="AA652" s="19">
        <f t="shared" si="333"/>
        <v>0.19593749999999999</v>
      </c>
      <c r="AB652" s="11"/>
    </row>
    <row r="653" spans="1:28" ht="15" customHeight="1" thickTop="1" x14ac:dyDescent="0.2">
      <c r="A653" s="96">
        <v>45856</v>
      </c>
      <c r="B653" s="81">
        <f>SUM(D653:D656)+SUM(R653:R656)</f>
        <v>13</v>
      </c>
      <c r="C653" s="36">
        <v>587</v>
      </c>
      <c r="D653" s="36">
        <f t="shared" si="322"/>
        <v>0</v>
      </c>
      <c r="E653" s="36">
        <v>5</v>
      </c>
      <c r="F653" s="22">
        <f t="shared" si="323"/>
        <v>0</v>
      </c>
      <c r="G653" s="36">
        <v>7</v>
      </c>
      <c r="H653" s="36">
        <f t="shared" si="324"/>
        <v>0</v>
      </c>
      <c r="I653" s="36">
        <v>0</v>
      </c>
      <c r="J653" s="48" t="str">
        <f t="shared" si="320"/>
        <v>ジャグラーサウンド</v>
      </c>
      <c r="K653" s="49">
        <f t="shared" si="321"/>
        <v>748</v>
      </c>
      <c r="L653" s="22">
        <f t="shared" si="325"/>
        <v>0</v>
      </c>
      <c r="M653" s="23" t="e">
        <f t="shared" si="326"/>
        <v>#DIV/0!</v>
      </c>
      <c r="N653" s="11"/>
      <c r="P653" s="57">
        <f>IF(A653="","",A653)</f>
        <v>45856</v>
      </c>
      <c r="Q653" s="36">
        <v>440</v>
      </c>
      <c r="R653" s="36">
        <f t="shared" si="327"/>
        <v>5</v>
      </c>
      <c r="S653" s="36">
        <v>9999999</v>
      </c>
      <c r="T653" s="22">
        <f t="shared" si="328"/>
        <v>0</v>
      </c>
      <c r="U653" s="36">
        <v>6</v>
      </c>
      <c r="V653" s="36">
        <f t="shared" si="329"/>
        <v>0</v>
      </c>
      <c r="W653" s="36">
        <v>1</v>
      </c>
      <c r="X653" s="48" t="str">
        <f t="shared" si="330"/>
        <v>サンリオフェイスポーチ</v>
      </c>
      <c r="Y653" s="49">
        <f t="shared" si="331"/>
        <v>957</v>
      </c>
      <c r="Z653" s="22">
        <f t="shared" si="332"/>
        <v>0</v>
      </c>
      <c r="AA653" s="23">
        <f t="shared" si="333"/>
        <v>0</v>
      </c>
      <c r="AB653" s="11"/>
    </row>
    <row r="654" spans="1:28" ht="15" customHeight="1" x14ac:dyDescent="0.2">
      <c r="A654" s="97"/>
      <c r="B654" s="8"/>
      <c r="C654" s="9">
        <v>552</v>
      </c>
      <c r="D654" s="9">
        <f t="shared" si="322"/>
        <v>0</v>
      </c>
      <c r="E654" s="9">
        <v>18</v>
      </c>
      <c r="F654" s="9">
        <f t="shared" si="323"/>
        <v>0</v>
      </c>
      <c r="G654" s="9">
        <v>17</v>
      </c>
      <c r="H654" s="9">
        <f t="shared" si="324"/>
        <v>0</v>
      </c>
      <c r="I654" s="9">
        <v>0</v>
      </c>
      <c r="J654" s="39" t="str">
        <f t="shared" si="320"/>
        <v>電ブルキュート</v>
      </c>
      <c r="K654" s="37">
        <f t="shared" si="321"/>
        <v>275</v>
      </c>
      <c r="L654" s="9">
        <f t="shared" si="325"/>
        <v>0</v>
      </c>
      <c r="M654" s="10" t="e">
        <f t="shared" si="326"/>
        <v>#DIV/0!</v>
      </c>
      <c r="N654" s="11"/>
      <c r="P654" s="12"/>
      <c r="Q654" s="9">
        <v>797</v>
      </c>
      <c r="R654" s="9">
        <f t="shared" si="327"/>
        <v>8</v>
      </c>
      <c r="S654" s="9">
        <v>13</v>
      </c>
      <c r="T654" s="9">
        <f t="shared" si="328"/>
        <v>0</v>
      </c>
      <c r="U654" s="9">
        <v>7</v>
      </c>
      <c r="V654" s="33">
        <f t="shared" si="329"/>
        <v>0</v>
      </c>
      <c r="W654" s="9">
        <v>0</v>
      </c>
      <c r="X654" s="39" t="str">
        <f t="shared" si="330"/>
        <v>サンリオファン</v>
      </c>
      <c r="Y654" s="37">
        <f t="shared" si="331"/>
        <v>1100</v>
      </c>
      <c r="Z654" s="9">
        <f t="shared" si="332"/>
        <v>0</v>
      </c>
      <c r="AA654" s="10">
        <f t="shared" si="333"/>
        <v>0</v>
      </c>
      <c r="AB654" s="11"/>
    </row>
    <row r="655" spans="1:28" ht="15" customHeight="1" x14ac:dyDescent="0.2">
      <c r="A655" s="97"/>
      <c r="B655" s="8"/>
      <c r="C655" s="9">
        <v>270</v>
      </c>
      <c r="D655" s="9">
        <f t="shared" si="322"/>
        <v>0</v>
      </c>
      <c r="E655" s="9">
        <v>13</v>
      </c>
      <c r="F655" s="9">
        <f t="shared" si="323"/>
        <v>0</v>
      </c>
      <c r="G655" s="9">
        <v>72</v>
      </c>
      <c r="H655" s="9">
        <f t="shared" si="324"/>
        <v>0</v>
      </c>
      <c r="I655" s="9">
        <v>0</v>
      </c>
      <c r="J655" s="39" t="str">
        <f t="shared" si="320"/>
        <v>ＡＩモンスターラバー</v>
      </c>
      <c r="K655" s="9">
        <f t="shared" si="321"/>
        <v>110</v>
      </c>
      <c r="L655" s="9">
        <f t="shared" si="325"/>
        <v>0</v>
      </c>
      <c r="M655" s="10" t="e">
        <f t="shared" si="326"/>
        <v>#DIV/0!</v>
      </c>
      <c r="N655" s="11"/>
      <c r="P655" s="12"/>
      <c r="Q655" s="9">
        <v>405</v>
      </c>
      <c r="R655" s="9">
        <f t="shared" si="327"/>
        <v>0</v>
      </c>
      <c r="S655" s="9">
        <v>9999996</v>
      </c>
      <c r="T655" s="9">
        <f t="shared" si="328"/>
        <v>0</v>
      </c>
      <c r="U655" s="9">
        <v>8</v>
      </c>
      <c r="V655" s="9">
        <f t="shared" si="329"/>
        <v>0</v>
      </c>
      <c r="W655" s="9">
        <v>0</v>
      </c>
      <c r="X655" s="39" t="str">
        <f t="shared" si="330"/>
        <v>サンリオスマートキーケース</v>
      </c>
      <c r="Y655" s="9">
        <f t="shared" si="331"/>
        <v>726</v>
      </c>
      <c r="Z655" s="9">
        <f t="shared" si="332"/>
        <v>0</v>
      </c>
      <c r="AA655" s="10" t="e">
        <f t="shared" si="333"/>
        <v>#DIV/0!</v>
      </c>
      <c r="AB655" s="11"/>
    </row>
    <row r="656" spans="1:28" ht="15" customHeight="1" thickBot="1" x14ac:dyDescent="0.25">
      <c r="A656" s="100"/>
      <c r="B656" s="87"/>
      <c r="C656" s="18">
        <v>341</v>
      </c>
      <c r="D656" s="18">
        <f t="shared" si="322"/>
        <v>0</v>
      </c>
      <c r="E656" s="18">
        <v>7</v>
      </c>
      <c r="F656" s="18">
        <f t="shared" si="323"/>
        <v>0</v>
      </c>
      <c r="G656" s="18">
        <v>42</v>
      </c>
      <c r="H656" s="18">
        <f t="shared" si="324"/>
        <v>0</v>
      </c>
      <c r="I656" s="18">
        <v>0</v>
      </c>
      <c r="J656" s="40" t="str">
        <f t="shared" si="320"/>
        <v>NICI</v>
      </c>
      <c r="K656" s="43">
        <f t="shared" si="321"/>
        <v>682</v>
      </c>
      <c r="L656" s="18">
        <f t="shared" si="325"/>
        <v>0</v>
      </c>
      <c r="M656" s="19" t="e">
        <f t="shared" si="326"/>
        <v>#DIV/0!</v>
      </c>
      <c r="N656" s="11"/>
      <c r="P656" s="17"/>
      <c r="Q656" s="18">
        <v>495</v>
      </c>
      <c r="R656" s="18">
        <f t="shared" si="327"/>
        <v>0</v>
      </c>
      <c r="S656" s="18">
        <v>3</v>
      </c>
      <c r="T656" s="18">
        <f t="shared" si="328"/>
        <v>0</v>
      </c>
      <c r="U656" s="18">
        <v>6</v>
      </c>
      <c r="V656" s="18">
        <f t="shared" si="329"/>
        <v>0</v>
      </c>
      <c r="W656" s="18">
        <v>0</v>
      </c>
      <c r="X656" s="40" t="str">
        <f t="shared" si="330"/>
        <v>デジタルミニカメラ</v>
      </c>
      <c r="Y656" s="43">
        <f t="shared" si="331"/>
        <v>1045</v>
      </c>
      <c r="Z656" s="18">
        <f t="shared" si="332"/>
        <v>0</v>
      </c>
      <c r="AA656" s="19" t="e">
        <f t="shared" si="333"/>
        <v>#DIV/0!</v>
      </c>
      <c r="AB656" s="11"/>
    </row>
    <row r="657" spans="1:28" ht="15" customHeight="1" thickTop="1" x14ac:dyDescent="0.2">
      <c r="A657" s="96"/>
      <c r="B657" s="81">
        <f>SUM(D657:D660)+SUM(R657:R660)</f>
        <v>0</v>
      </c>
      <c r="C657" s="36"/>
      <c r="D657" s="36" t="str">
        <f t="shared" si="322"/>
        <v/>
      </c>
      <c r="E657" s="36"/>
      <c r="F657" s="36" t="str">
        <f t="shared" si="323"/>
        <v/>
      </c>
      <c r="G657" s="36"/>
      <c r="H657" s="36" t="str">
        <f t="shared" si="324"/>
        <v/>
      </c>
      <c r="I657" s="36"/>
      <c r="J657" s="48" t="str">
        <f t="shared" si="320"/>
        <v/>
      </c>
      <c r="K657" s="36" t="str">
        <f t="shared" si="321"/>
        <v/>
      </c>
      <c r="L657" s="36" t="str">
        <f t="shared" si="325"/>
        <v/>
      </c>
      <c r="M657" s="36" t="str">
        <f t="shared" si="326"/>
        <v/>
      </c>
      <c r="N657" s="11"/>
      <c r="P657" s="57" t="str">
        <f>IF(A657="","",A657)</f>
        <v/>
      </c>
      <c r="Q657" s="36"/>
      <c r="R657" s="36" t="str">
        <f t="shared" si="327"/>
        <v/>
      </c>
      <c r="S657" s="36"/>
      <c r="T657" s="36" t="str">
        <f t="shared" si="328"/>
        <v/>
      </c>
      <c r="U657" s="36"/>
      <c r="V657" s="36" t="str">
        <f t="shared" si="329"/>
        <v/>
      </c>
      <c r="W657" s="36"/>
      <c r="X657" s="48" t="str">
        <f t="shared" si="330"/>
        <v/>
      </c>
      <c r="Y657" s="36" t="str">
        <f t="shared" si="331"/>
        <v/>
      </c>
      <c r="Z657" s="22" t="str">
        <f t="shared" si="332"/>
        <v/>
      </c>
      <c r="AA657" s="23" t="str">
        <f t="shared" si="333"/>
        <v/>
      </c>
      <c r="AB657" s="11"/>
    </row>
    <row r="658" spans="1:28" ht="15" customHeight="1" x14ac:dyDescent="0.2">
      <c r="A658" s="96"/>
      <c r="B658" s="81"/>
      <c r="C658" s="36"/>
      <c r="D658" s="36" t="str">
        <f t="shared" si="322"/>
        <v/>
      </c>
      <c r="E658" s="36"/>
      <c r="F658" s="36" t="str">
        <f t="shared" si="323"/>
        <v/>
      </c>
      <c r="G658" s="36"/>
      <c r="H658" s="36" t="str">
        <f t="shared" si="324"/>
        <v/>
      </c>
      <c r="I658" s="36"/>
      <c r="J658" s="48" t="str">
        <f t="shared" si="320"/>
        <v/>
      </c>
      <c r="K658" s="36" t="str">
        <f t="shared" si="321"/>
        <v/>
      </c>
      <c r="L658" s="36" t="str">
        <f t="shared" si="325"/>
        <v/>
      </c>
      <c r="M658" s="36" t="str">
        <f t="shared" si="326"/>
        <v/>
      </c>
      <c r="N658" s="11"/>
      <c r="P658" s="52"/>
      <c r="Q658" s="36"/>
      <c r="R658" s="36" t="str">
        <f t="shared" si="327"/>
        <v/>
      </c>
      <c r="S658" s="36"/>
      <c r="T658" s="36" t="str">
        <f t="shared" si="328"/>
        <v/>
      </c>
      <c r="U658" s="36"/>
      <c r="V658" s="36" t="str">
        <f t="shared" si="329"/>
        <v/>
      </c>
      <c r="W658" s="36"/>
      <c r="X658" s="48" t="str">
        <f t="shared" si="330"/>
        <v/>
      </c>
      <c r="Y658" s="36" t="str">
        <f t="shared" si="331"/>
        <v/>
      </c>
      <c r="Z658" s="9" t="str">
        <f t="shared" si="332"/>
        <v/>
      </c>
      <c r="AA658" s="10" t="str">
        <f t="shared" si="333"/>
        <v/>
      </c>
      <c r="AB658" s="11"/>
    </row>
    <row r="659" spans="1:28" ht="15" customHeight="1" x14ac:dyDescent="0.2">
      <c r="A659" s="4"/>
      <c r="B659" s="84"/>
      <c r="C659" s="44"/>
      <c r="D659" s="44" t="str">
        <f t="shared" si="322"/>
        <v/>
      </c>
      <c r="E659" s="44"/>
      <c r="F659" s="44" t="str">
        <f t="shared" si="323"/>
        <v/>
      </c>
      <c r="G659" s="44"/>
      <c r="H659" s="44" t="str">
        <f t="shared" si="324"/>
        <v/>
      </c>
      <c r="I659" s="44"/>
      <c r="J659" s="67" t="str">
        <f t="shared" si="320"/>
        <v/>
      </c>
      <c r="K659" s="44" t="str">
        <f t="shared" si="321"/>
        <v/>
      </c>
      <c r="L659" s="44" t="str">
        <f t="shared" si="325"/>
        <v/>
      </c>
      <c r="M659" s="44" t="str">
        <f t="shared" si="326"/>
        <v/>
      </c>
      <c r="N659" s="28"/>
      <c r="P659" s="64"/>
      <c r="Q659" s="44"/>
      <c r="R659" s="44" t="str">
        <f t="shared" si="327"/>
        <v/>
      </c>
      <c r="S659" s="44"/>
      <c r="T659" s="44" t="str">
        <f t="shared" si="328"/>
        <v/>
      </c>
      <c r="U659" s="44"/>
      <c r="V659" s="44" t="str">
        <f t="shared" si="329"/>
        <v/>
      </c>
      <c r="W659" s="44"/>
      <c r="X659" s="67" t="str">
        <f t="shared" si="330"/>
        <v/>
      </c>
      <c r="Y659" s="44" t="str">
        <f t="shared" si="331"/>
        <v/>
      </c>
      <c r="Z659" s="9" t="str">
        <f t="shared" si="332"/>
        <v/>
      </c>
      <c r="AA659" s="10" t="str">
        <f t="shared" si="333"/>
        <v/>
      </c>
      <c r="AB659" s="28"/>
    </row>
    <row r="660" spans="1:28" ht="15" customHeight="1" thickBot="1" x14ac:dyDescent="0.25">
      <c r="A660" s="74"/>
      <c r="B660" s="85"/>
      <c r="C660" s="42"/>
      <c r="D660" s="42" t="str">
        <f t="shared" si="322"/>
        <v/>
      </c>
      <c r="E660" s="42"/>
      <c r="F660" s="42" t="str">
        <f t="shared" si="323"/>
        <v/>
      </c>
      <c r="G660" s="42"/>
      <c r="H660" s="42" t="str">
        <f t="shared" si="324"/>
        <v/>
      </c>
      <c r="I660" s="42"/>
      <c r="J660" s="66" t="str">
        <f t="shared" si="320"/>
        <v/>
      </c>
      <c r="K660" s="42" t="str">
        <f t="shared" si="321"/>
        <v/>
      </c>
      <c r="L660" s="42" t="str">
        <f t="shared" si="325"/>
        <v/>
      </c>
      <c r="M660" s="42" t="str">
        <f t="shared" si="326"/>
        <v/>
      </c>
      <c r="N660" s="63"/>
      <c r="P660" s="61"/>
      <c r="Q660" s="42"/>
      <c r="R660" s="42" t="str">
        <f t="shared" si="327"/>
        <v/>
      </c>
      <c r="S660" s="42"/>
      <c r="T660" s="42" t="str">
        <f t="shared" si="328"/>
        <v/>
      </c>
      <c r="U660" s="42"/>
      <c r="V660" s="42" t="str">
        <f t="shared" si="329"/>
        <v/>
      </c>
      <c r="W660" s="42"/>
      <c r="X660" s="66" t="str">
        <f t="shared" si="330"/>
        <v/>
      </c>
      <c r="Y660" s="42" t="str">
        <f t="shared" si="331"/>
        <v/>
      </c>
      <c r="Z660" s="18" t="str">
        <f t="shared" si="332"/>
        <v/>
      </c>
      <c r="AA660" s="19" t="str">
        <f t="shared" si="333"/>
        <v/>
      </c>
      <c r="AB660" s="63"/>
    </row>
    <row r="661" spans="1:28" ht="15" customHeight="1" thickTop="1" x14ac:dyDescent="0.2">
      <c r="A661" s="52"/>
      <c r="B661" s="81"/>
      <c r="C661" s="60" t="s">
        <v>40</v>
      </c>
      <c r="D661" s="36">
        <f>SUM(D605:D657)*100</f>
        <v>178700</v>
      </c>
      <c r="E661" s="93" t="s">
        <v>41</v>
      </c>
      <c r="F661" s="36"/>
      <c r="G661" s="60"/>
      <c r="H661" s="36"/>
      <c r="I661" s="36"/>
      <c r="J661" s="209" t="s">
        <v>42</v>
      </c>
      <c r="K661" s="209"/>
      <c r="L661" s="36">
        <f>SUM(L605:L657)</f>
        <v>30720</v>
      </c>
      <c r="M661" s="36"/>
      <c r="N661" s="55"/>
      <c r="P661" s="52"/>
      <c r="Q661" s="60" t="s">
        <v>40</v>
      </c>
      <c r="R661" s="36">
        <f>SUM(R605:R657)*100</f>
        <v>216400</v>
      </c>
      <c r="S661" s="93" t="s">
        <v>41</v>
      </c>
      <c r="T661" s="36"/>
      <c r="U661" s="60"/>
      <c r="V661" s="36"/>
      <c r="W661" s="36"/>
      <c r="X661" s="209" t="s">
        <v>42</v>
      </c>
      <c r="Y661" s="209"/>
      <c r="Z661" s="36">
        <f>SUM(Z605:Z657)</f>
        <v>52195</v>
      </c>
      <c r="AA661" s="36"/>
      <c r="AB661" s="55"/>
    </row>
    <row r="662" spans="1:28" ht="15" customHeight="1" x14ac:dyDescent="0.2">
      <c r="A662" s="24"/>
      <c r="B662" s="86"/>
      <c r="C662" s="5" t="s">
        <v>43</v>
      </c>
      <c r="D662" s="9">
        <f>D661/A666</f>
        <v>8509.5238095238092</v>
      </c>
      <c r="E662" s="9">
        <f>D662*A665</f>
        <v>178700</v>
      </c>
      <c r="F662" s="9"/>
      <c r="G662" s="5"/>
      <c r="H662" s="9"/>
      <c r="I662" s="9"/>
      <c r="J662" s="210" t="s">
        <v>44</v>
      </c>
      <c r="K662" s="210"/>
      <c r="L662" s="9"/>
      <c r="M662" s="26">
        <f>L661/D661</f>
        <v>0.17190822607722439</v>
      </c>
      <c r="N662" s="11"/>
      <c r="P662" s="34"/>
      <c r="Q662" s="5" t="s">
        <v>43</v>
      </c>
      <c r="R662" s="9">
        <f>R661/A666</f>
        <v>10304.761904761905</v>
      </c>
      <c r="S662" s="9">
        <f>R662*A665</f>
        <v>216400</v>
      </c>
      <c r="T662" s="9"/>
      <c r="U662" s="5"/>
      <c r="V662" s="9"/>
      <c r="W662" s="9"/>
      <c r="X662" s="210" t="s">
        <v>44</v>
      </c>
      <c r="Y662" s="210"/>
      <c r="Z662" s="9"/>
      <c r="AA662" s="26">
        <f>Z661/R661</f>
        <v>0.24119685767097968</v>
      </c>
      <c r="AB662" s="11"/>
    </row>
    <row r="663" spans="1:28" ht="15" customHeight="1" x14ac:dyDescent="0.2">
      <c r="A663" s="12"/>
      <c r="B663" s="88"/>
      <c r="C663" s="47" t="s">
        <v>45</v>
      </c>
      <c r="D663" s="9">
        <f>D661*0.6</f>
        <v>107220</v>
      </c>
      <c r="E663" s="9"/>
      <c r="F663" s="9"/>
      <c r="G663" s="5"/>
      <c r="H663" s="9"/>
      <c r="I663" s="9"/>
      <c r="J663" s="210" t="s">
        <v>46</v>
      </c>
      <c r="K663" s="210"/>
      <c r="L663" s="9">
        <f>D663-L661</f>
        <v>76500</v>
      </c>
      <c r="M663" s="26">
        <f>L663/D661</f>
        <v>0.42809177392277559</v>
      </c>
      <c r="N663" s="11"/>
      <c r="P663" s="12"/>
      <c r="Q663" s="47" t="s">
        <v>45</v>
      </c>
      <c r="R663" s="9">
        <f>R661*0.6</f>
        <v>129840</v>
      </c>
      <c r="S663" s="9"/>
      <c r="T663" s="9"/>
      <c r="U663" s="5"/>
      <c r="V663" s="9"/>
      <c r="W663" s="9"/>
      <c r="X663" s="210" t="s">
        <v>46</v>
      </c>
      <c r="Y663" s="210"/>
      <c r="Z663" s="9">
        <f>R663-Z661</f>
        <v>77645</v>
      </c>
      <c r="AA663" s="26">
        <f>Z663/R661</f>
        <v>0.35880314232902033</v>
      </c>
      <c r="AB663" s="11"/>
    </row>
    <row r="664" spans="1:28" ht="15" customHeight="1" x14ac:dyDescent="0.2">
      <c r="A664" s="52"/>
      <c r="B664" s="81"/>
      <c r="C664" s="5" t="s">
        <v>47</v>
      </c>
      <c r="D664" s="9"/>
      <c r="E664" s="9"/>
      <c r="F664" s="9"/>
      <c r="G664" s="5"/>
      <c r="H664" s="9"/>
      <c r="I664" s="16"/>
      <c r="J664" s="205" t="s">
        <v>48</v>
      </c>
      <c r="K664" s="205"/>
      <c r="L664" s="36">
        <f>(G653+I653)*K653+(G654+I654)*K654+(G655+I655)*K655+(G656+I656)*K656</f>
        <v>46475</v>
      </c>
      <c r="M664" s="10"/>
      <c r="N664" s="11"/>
      <c r="P664" s="52"/>
      <c r="Q664" s="5" t="s">
        <v>47</v>
      </c>
      <c r="R664" s="9"/>
      <c r="S664" s="9"/>
      <c r="T664" s="9"/>
      <c r="U664" s="5"/>
      <c r="V664" s="9"/>
      <c r="W664" s="16"/>
      <c r="X664" s="205" t="s">
        <v>48</v>
      </c>
      <c r="Y664" s="205"/>
      <c r="Z664" s="36">
        <f>(U653+W653)*Y653+(U654+W654)*Y654+(U655+W655)*Y655+(U656+W656)*Y656</f>
        <v>26477</v>
      </c>
      <c r="AA664" s="10"/>
      <c r="AB664" s="11"/>
    </row>
    <row r="665" spans="1:28" ht="15" customHeight="1" x14ac:dyDescent="0.2">
      <c r="A665" s="4">
        <v>21</v>
      </c>
      <c r="B665" s="81">
        <f>SUM(B605:B657)*100</f>
        <v>395100</v>
      </c>
      <c r="C665" s="5"/>
      <c r="D665" s="9"/>
      <c r="E665" s="9"/>
      <c r="F665" s="9"/>
      <c r="G665" s="5"/>
      <c r="H665" s="9"/>
      <c r="I665" s="16"/>
      <c r="J665" s="140"/>
      <c r="K665" s="71"/>
      <c r="L665" s="49"/>
      <c r="M665" s="10"/>
      <c r="N665" s="11"/>
      <c r="P665" s="52"/>
      <c r="Q665" s="5"/>
      <c r="R665" s="9"/>
      <c r="S665" s="9"/>
      <c r="T665" s="9"/>
      <c r="U665" s="5"/>
      <c r="V665" s="9"/>
      <c r="W665" s="16"/>
      <c r="X665" s="70"/>
      <c r="Y665" s="71"/>
      <c r="Z665" s="49"/>
      <c r="AA665" s="10"/>
      <c r="AB665" s="11"/>
    </row>
    <row r="666" spans="1:28" ht="15" customHeight="1" x14ac:dyDescent="0.2">
      <c r="A666" s="69">
        <f>DATEDIF(A$605,A$649,"d")</f>
        <v>21</v>
      </c>
      <c r="B666" s="81"/>
      <c r="C666" s="5"/>
      <c r="D666" s="9"/>
      <c r="E666" s="25"/>
      <c r="F666" s="9"/>
      <c r="G666" s="5"/>
      <c r="H666" s="9"/>
      <c r="I666" s="16"/>
      <c r="J666" s="140"/>
      <c r="K666" s="71"/>
      <c r="L666" s="49"/>
      <c r="M666" s="10"/>
      <c r="N666" s="11"/>
      <c r="P666" s="52"/>
      <c r="Q666" s="5"/>
      <c r="R666" s="9"/>
      <c r="S666" s="9"/>
      <c r="T666" s="9"/>
      <c r="U666" s="5"/>
      <c r="V666" s="9"/>
      <c r="W666" s="16"/>
      <c r="X666" s="70"/>
      <c r="Y666" s="71"/>
      <c r="Z666" s="49"/>
      <c r="AA666" s="10"/>
      <c r="AB666" s="11"/>
    </row>
    <row r="667" spans="1:28" x14ac:dyDescent="0.2">
      <c r="A667" s="206" t="s">
        <v>49</v>
      </c>
      <c r="B667" s="206"/>
      <c r="C667" s="206"/>
      <c r="D667" s="27">
        <f>SUM(D605,D609,D613,D617,D621,D625,D629,D633,D637,D641,D645,D649,D653)*100</f>
        <v>59600</v>
      </c>
      <c r="E667" s="37"/>
      <c r="F667" s="9"/>
      <c r="G667" s="5">
        <f>D667/H667</f>
        <v>3973.3333333333335</v>
      </c>
      <c r="H667" s="27">
        <f>SUM(H605,H609,H613,H617,H621,H625,H630,H633,H637,H641,H645,H649,H653)</f>
        <v>15</v>
      </c>
      <c r="I667" s="9"/>
      <c r="J667" s="48" t="str">
        <f t="shared" ref="J667:K670" si="334">J605</f>
        <v>ズーシーアニマル</v>
      </c>
      <c r="K667" s="49">
        <f t="shared" si="334"/>
        <v>1020</v>
      </c>
      <c r="L667" s="27">
        <f>SUM(L605,L609,L613,L617,L621,L625,L630,L633,L637,L641,L645,L649,L653)</f>
        <v>10073</v>
      </c>
      <c r="M667" s="26">
        <f>L667/D667</f>
        <v>0.16901006711409397</v>
      </c>
      <c r="N667" s="11"/>
      <c r="O667" s="15"/>
      <c r="P667" s="206" t="s">
        <v>49</v>
      </c>
      <c r="Q667" s="206"/>
      <c r="R667" s="27">
        <f>SUM(R605,R609,R613,R617,R621,R625,R629,R633,R637,R641,R645,R649,R653)*100</f>
        <v>44900</v>
      </c>
      <c r="S667" s="37"/>
      <c r="T667" s="9"/>
      <c r="U667" s="5">
        <f>R667/V667</f>
        <v>4988.8888888888887</v>
      </c>
      <c r="V667" s="27">
        <f>SUM(V605,V609,V613,V617,V621,V625,V630,V633,V637,V641,V645,V649,V653)</f>
        <v>9</v>
      </c>
      <c r="W667" s="9"/>
      <c r="X667" s="48" t="str">
        <f t="shared" ref="X667:Y670" si="335">X605</f>
        <v>ジャグラーイヤホン</v>
      </c>
      <c r="Y667" s="49">
        <f t="shared" si="335"/>
        <v>1100</v>
      </c>
      <c r="Z667" s="27">
        <f>SUM(Z605,Z609,Z613,Z617,Z621,Z625,Z630,Z633,Z637,Z641,Z645,Z649,Z653)</f>
        <v>10142</v>
      </c>
      <c r="AA667" s="26">
        <f>Z667/R667</f>
        <v>0.22587973273942094</v>
      </c>
      <c r="AB667" s="11"/>
    </row>
    <row r="668" spans="1:28" x14ac:dyDescent="0.2">
      <c r="A668" s="206" t="s">
        <v>49</v>
      </c>
      <c r="B668" s="206"/>
      <c r="C668" s="206"/>
      <c r="D668" s="27">
        <f>SUM(D606,D610,D614,D618,D622,D626,D630,D634,D638,D642,D646,D650,D654)*100</f>
        <v>55800</v>
      </c>
      <c r="E668" s="37"/>
      <c r="F668" s="9"/>
      <c r="G668" s="5">
        <f>D668/H668</f>
        <v>1992.8571428571429</v>
      </c>
      <c r="H668" s="27">
        <f>SUM(H606,H610,H614,H618,H622,H626,H629,H634,H638,H642,H646,H650,H654)</f>
        <v>28</v>
      </c>
      <c r="I668" s="9"/>
      <c r="J668" s="48" t="str">
        <f t="shared" si="334"/>
        <v>電ブルキュート</v>
      </c>
      <c r="K668" s="49">
        <f t="shared" si="334"/>
        <v>275</v>
      </c>
      <c r="L668" s="27">
        <f>SUM(L606,L610,L614,L618,L622,L626,L629,L634,L638,L642,L646,L650,L654)</f>
        <v>8173</v>
      </c>
      <c r="M668" s="26">
        <f>L668/D668</f>
        <v>0.14646953405017921</v>
      </c>
      <c r="N668" s="11"/>
      <c r="O668" s="1"/>
      <c r="P668" s="206" t="s">
        <v>49</v>
      </c>
      <c r="Q668" s="206"/>
      <c r="R668" s="27">
        <f>SUM(R606,R610,R614,R618,R622,R626,R630,R634,R638,R642,R646,R650,R654)*100</f>
        <v>80300</v>
      </c>
      <c r="S668" s="37"/>
      <c r="T668" s="9"/>
      <c r="U668" s="5">
        <f>R668/V668</f>
        <v>3650</v>
      </c>
      <c r="V668" s="27">
        <f>SUM(V606,V610,V614,V618,V622,V626,V629,V634,V638,V642,V646,V650,V654)</f>
        <v>22</v>
      </c>
      <c r="W668" s="9"/>
      <c r="X668" s="48" t="str">
        <f t="shared" si="335"/>
        <v>ジャグラーボタン</v>
      </c>
      <c r="Y668" s="49">
        <f t="shared" si="335"/>
        <v>748</v>
      </c>
      <c r="Z668" s="27">
        <f>SUM(Z606,Z610,Z614,Z618,Z622,Z626,Z629,Z634,Z638,Z642,Z646,Z650,Z654)</f>
        <v>24453</v>
      </c>
      <c r="AA668" s="26">
        <f>Z668/R668</f>
        <v>0.3045205479452055</v>
      </c>
      <c r="AB668" s="11"/>
    </row>
    <row r="669" spans="1:28" x14ac:dyDescent="0.2">
      <c r="A669" s="206" t="s">
        <v>49</v>
      </c>
      <c r="B669" s="206"/>
      <c r="C669" s="206"/>
      <c r="D669" s="27">
        <f>SUM(D607,D611,D615,D619,D623,D627,D631,D635,D639,D643,D647,D651,D655)*100</f>
        <v>28700</v>
      </c>
      <c r="E669" s="37"/>
      <c r="F669" s="9"/>
      <c r="G669" s="5">
        <f>D669/H669</f>
        <v>1510.5263157894738</v>
      </c>
      <c r="H669" s="27">
        <f>SUM(H607,H611,H615,H620,H623,H627,H631,H635,H639,H643,H647,H651,H655)</f>
        <v>19</v>
      </c>
      <c r="I669" s="9"/>
      <c r="J669" s="48" t="str">
        <f t="shared" si="334"/>
        <v>SPGラバー</v>
      </c>
      <c r="K669" s="49">
        <f t="shared" si="334"/>
        <v>187</v>
      </c>
      <c r="L669" s="27">
        <f>SUM(L607,L611,L615,L620,L623,L627,L631,L635,L639,L643,L647,L651,L655)</f>
        <v>2552</v>
      </c>
      <c r="M669" s="26">
        <f>L669/D669</f>
        <v>8.8919860627177702E-2</v>
      </c>
      <c r="N669" s="11"/>
      <c r="O669" s="1"/>
      <c r="P669" s="206" t="s">
        <v>49</v>
      </c>
      <c r="Q669" s="206"/>
      <c r="R669" s="27">
        <f>SUM(R607,R611,R615,R619,R623,R627,R631,R635,R639,R643,R647,R651,R655)*100</f>
        <v>41200</v>
      </c>
      <c r="S669" s="37"/>
      <c r="T669" s="9"/>
      <c r="U669" s="5">
        <f>R669/V669</f>
        <v>5885.7142857142853</v>
      </c>
      <c r="V669" s="27">
        <f>SUM(V607,V611,V615,V620,V623,V627,V631,V635,V639,V643,V647,V651,V655)</f>
        <v>7</v>
      </c>
      <c r="W669" s="9"/>
      <c r="X669" s="48" t="str">
        <f t="shared" si="335"/>
        <v>サンリオスマートキーケース</v>
      </c>
      <c r="Y669" s="49">
        <f t="shared" si="335"/>
        <v>726</v>
      </c>
      <c r="Z669" s="27">
        <f>SUM(Z607,Z611,Z615,Z620,Z623,Z627,Z631,Z635,Z639,Z643,Z647,Z651,Z655)</f>
        <v>6204</v>
      </c>
      <c r="AA669" s="26">
        <f>Z669/R669</f>
        <v>0.15058252427184465</v>
      </c>
      <c r="AB669" s="11"/>
    </row>
    <row r="670" spans="1:28" x14ac:dyDescent="0.2">
      <c r="A670" s="206" t="s">
        <v>49</v>
      </c>
      <c r="B670" s="206"/>
      <c r="C670" s="206"/>
      <c r="D670" s="27">
        <f>SUM(D608,D612,D616,D620,D624,D628,D632,D636,D640,D644,D648,D652,D656)*100</f>
        <v>34600</v>
      </c>
      <c r="E670" s="37"/>
      <c r="F670" s="9"/>
      <c r="G670" s="5">
        <f>D670/H670</f>
        <v>2162.5</v>
      </c>
      <c r="H670" s="27">
        <f>SUM(H608,H612,H616,H619,H624,H628,H632,H636,H640,H644,H648,H652,H656)</f>
        <v>16</v>
      </c>
      <c r="I670" s="9"/>
      <c r="J670" s="48" t="str">
        <f t="shared" si="334"/>
        <v>NICI</v>
      </c>
      <c r="K670" s="49">
        <f t="shared" si="334"/>
        <v>682</v>
      </c>
      <c r="L670" s="27">
        <f>SUM(L608,L612,L616,L619,L624,L628,L632,L636,L640,L644,L648,L652,L656)</f>
        <v>9922</v>
      </c>
      <c r="M670" s="26">
        <f>L670/D670</f>
        <v>0.2867630057803468</v>
      </c>
      <c r="N670" s="11"/>
      <c r="O670" s="1"/>
      <c r="P670" s="206" t="s">
        <v>49</v>
      </c>
      <c r="Q670" s="206"/>
      <c r="R670" s="27">
        <f>SUM(R608,R612,R616,R620,R624,R628,R632,R636,R640,R644,R648,R652,R656)*100</f>
        <v>50000</v>
      </c>
      <c r="S670" s="37"/>
      <c r="T670" s="9"/>
      <c r="U670" s="5">
        <f>R670/V670</f>
        <v>4545.454545454545</v>
      </c>
      <c r="V670" s="27">
        <f>SUM(V608,V612,V616,V619,V624,V628,V632,V636,V640,V644,V648,V652,V656)</f>
        <v>11</v>
      </c>
      <c r="W670" s="9"/>
      <c r="X670" s="48" t="str">
        <f t="shared" si="335"/>
        <v>サンリオファン</v>
      </c>
      <c r="Y670" s="49">
        <f t="shared" si="335"/>
        <v>1100</v>
      </c>
      <c r="Z670" s="27">
        <f>SUM(Z608,Z612,Z616,Z619,Z624,Z628,Z632,Z636,Z640,Z644,Z648,Z652,Z656)</f>
        <v>11396</v>
      </c>
      <c r="AA670" s="26">
        <f>Z670/R670</f>
        <v>0.22792000000000001</v>
      </c>
      <c r="AB670" s="11"/>
    </row>
    <row r="671" spans="1:28" x14ac:dyDescent="0.2">
      <c r="A671" s="12"/>
      <c r="B671" s="8"/>
      <c r="C671" s="5" t="s">
        <v>40</v>
      </c>
      <c r="D671" s="9">
        <f>SUM(D667:D670)</f>
        <v>178700</v>
      </c>
      <c r="E671" s="37"/>
      <c r="F671" s="9"/>
      <c r="G671" s="9"/>
      <c r="H671" s="9">
        <f>SUM(H667:H670)</f>
        <v>78</v>
      </c>
      <c r="I671" s="9"/>
      <c r="J671" s="196" t="s">
        <v>50</v>
      </c>
      <c r="K671" s="196"/>
      <c r="L671" s="36">
        <f>SUM(L667:L670)</f>
        <v>30720</v>
      </c>
      <c r="M671" s="54">
        <f>L671/D671</f>
        <v>0.17190822607722439</v>
      </c>
      <c r="N671" s="55"/>
      <c r="O671" s="1"/>
      <c r="P671" s="12"/>
      <c r="Q671" s="5" t="s">
        <v>40</v>
      </c>
      <c r="R671" s="9">
        <f>SUM(R667:R670)</f>
        <v>216400</v>
      </c>
      <c r="S671" s="37"/>
      <c r="T671" s="9"/>
      <c r="U671" s="9"/>
      <c r="V671" s="9">
        <f>SUM(V667:V670)</f>
        <v>49</v>
      </c>
      <c r="W671" s="9"/>
      <c r="X671" s="196" t="s">
        <v>50</v>
      </c>
      <c r="Y671" s="196"/>
      <c r="Z671" s="36">
        <f>SUM(Z667:Z670)</f>
        <v>52195</v>
      </c>
      <c r="AA671" s="54">
        <f>Z671/R671</f>
        <v>0.24119685767097968</v>
      </c>
      <c r="AB671" s="11"/>
    </row>
    <row r="672" spans="1:28" x14ac:dyDescent="0.2">
      <c r="A672" s="30"/>
      <c r="B672" s="29"/>
      <c r="C672" s="2"/>
      <c r="D672" s="2"/>
      <c r="E672" s="2"/>
      <c r="F672" s="2"/>
      <c r="G672" s="2"/>
      <c r="H672" s="2"/>
      <c r="I672" s="2"/>
      <c r="J672" s="46"/>
      <c r="K672" s="2"/>
      <c r="L672" s="2"/>
      <c r="M672" s="2"/>
      <c r="N672" s="35"/>
      <c r="O672" s="1"/>
      <c r="P672" s="30"/>
      <c r="Q672" s="2"/>
      <c r="R672" s="2"/>
      <c r="S672" s="2"/>
      <c r="T672" s="2"/>
      <c r="U672" s="2"/>
      <c r="V672" s="2"/>
      <c r="W672" s="2"/>
      <c r="X672" s="46"/>
      <c r="Y672" s="2"/>
      <c r="Z672" s="2"/>
      <c r="AA672" s="2"/>
      <c r="AB672" s="35"/>
    </row>
    <row r="673" spans="3:11" ht="15" customHeight="1" x14ac:dyDescent="0.2">
      <c r="C673" s="215" t="s">
        <v>51</v>
      </c>
      <c r="D673" s="215"/>
      <c r="E673" s="216" t="s">
        <v>52</v>
      </c>
      <c r="F673" s="216"/>
      <c r="G673" s="216" t="s">
        <v>53</v>
      </c>
      <c r="H673" s="216"/>
      <c r="K673"/>
    </row>
    <row r="674" spans="3:11" x14ac:dyDescent="0.2">
      <c r="C674" s="222">
        <f>E662+S662</f>
        <v>395100</v>
      </c>
      <c r="D674" s="222"/>
      <c r="E674" s="212">
        <f>L661+Z661</f>
        <v>82915</v>
      </c>
      <c r="F674" s="212"/>
      <c r="G674" s="212">
        <f>L664+Z664</f>
        <v>72952</v>
      </c>
      <c r="H674" s="212"/>
      <c r="K674"/>
    </row>
    <row r="675" spans="3:11" x14ac:dyDescent="0.2">
      <c r="C675" s="68"/>
      <c r="D675" s="68"/>
      <c r="E675" s="92" t="s">
        <v>57</v>
      </c>
      <c r="F675" s="72">
        <f>E674/C674</f>
        <v>0.2098582637307011</v>
      </c>
      <c r="G675" s="9"/>
      <c r="H675" s="9"/>
      <c r="K675"/>
    </row>
    <row r="676" spans="3:11" ht="15" customHeight="1" x14ac:dyDescent="0.2">
      <c r="K676"/>
    </row>
    <row r="677" spans="3:11" ht="15" customHeight="1" x14ac:dyDescent="0.2">
      <c r="K677"/>
    </row>
    <row r="678" spans="3:11" ht="15" customHeight="1" x14ac:dyDescent="0.2">
      <c r="K678"/>
    </row>
    <row r="679" spans="3:11" ht="15" customHeight="1" x14ac:dyDescent="0.2">
      <c r="K679"/>
    </row>
    <row r="680" spans="3:11" ht="15" customHeight="1" x14ac:dyDescent="0.2">
      <c r="K680"/>
    </row>
    <row r="681" spans="3:11" ht="15" customHeight="1" x14ac:dyDescent="0.2">
      <c r="K681"/>
    </row>
    <row r="682" spans="3:11" x14ac:dyDescent="0.2">
      <c r="K682"/>
    </row>
    <row r="683" spans="3:11" x14ac:dyDescent="0.2">
      <c r="K683"/>
    </row>
    <row r="684" spans="3:11" x14ac:dyDescent="0.2">
      <c r="K684"/>
    </row>
    <row r="685" spans="3:11" x14ac:dyDescent="0.2">
      <c r="K685"/>
    </row>
    <row r="686" spans="3:11" x14ac:dyDescent="0.2">
      <c r="K686"/>
    </row>
    <row r="687" spans="3:11" ht="15" customHeight="1" x14ac:dyDescent="0.2">
      <c r="K687"/>
    </row>
    <row r="688" spans="3:11" ht="15" customHeight="1" x14ac:dyDescent="0.2">
      <c r="K688"/>
    </row>
    <row r="689" spans="11:11" x14ac:dyDescent="0.2">
      <c r="K689"/>
    </row>
    <row r="690" spans="11:11" x14ac:dyDescent="0.2">
      <c r="K690"/>
    </row>
    <row r="691" spans="11:11" ht="15" customHeight="1" x14ac:dyDescent="0.2">
      <c r="K691"/>
    </row>
    <row r="692" spans="11:11" ht="15" customHeight="1" x14ac:dyDescent="0.2">
      <c r="K692"/>
    </row>
    <row r="693" spans="11:11" x14ac:dyDescent="0.2">
      <c r="K693"/>
    </row>
    <row r="694" spans="11:11" x14ac:dyDescent="0.2">
      <c r="K694"/>
    </row>
    <row r="695" spans="11:11" ht="15" customHeight="1" x14ac:dyDescent="0.2">
      <c r="K695"/>
    </row>
    <row r="696" spans="11:11" ht="15" customHeight="1" x14ac:dyDescent="0.2">
      <c r="K696"/>
    </row>
    <row r="697" spans="11:11" x14ac:dyDescent="0.2">
      <c r="K697"/>
    </row>
    <row r="698" spans="11:11" x14ac:dyDescent="0.2">
      <c r="K698"/>
    </row>
    <row r="699" spans="11:11" ht="15" customHeight="1" x14ac:dyDescent="0.2">
      <c r="K699"/>
    </row>
    <row r="700" spans="11:11" ht="15" customHeight="1" x14ac:dyDescent="0.2">
      <c r="K700"/>
    </row>
    <row r="701" spans="11:11" x14ac:dyDescent="0.2">
      <c r="K701"/>
    </row>
    <row r="702" spans="11:11" ht="15" customHeight="1" x14ac:dyDescent="0.2">
      <c r="K702"/>
    </row>
    <row r="703" spans="11:11" ht="15" customHeight="1" x14ac:dyDescent="0.2">
      <c r="K703"/>
    </row>
    <row r="704" spans="11:11" ht="15" customHeight="1" x14ac:dyDescent="0.2">
      <c r="K704"/>
    </row>
    <row r="705" spans="11:11" ht="15" customHeight="1" x14ac:dyDescent="0.2">
      <c r="K705"/>
    </row>
    <row r="706" spans="11:11" ht="15" customHeight="1" x14ac:dyDescent="0.2">
      <c r="K706"/>
    </row>
    <row r="707" spans="11:11" ht="15" customHeight="1" x14ac:dyDescent="0.2">
      <c r="K707"/>
    </row>
    <row r="708" spans="11:11" ht="15" customHeight="1" x14ac:dyDescent="0.2">
      <c r="K708"/>
    </row>
    <row r="709" spans="11:11" ht="15" customHeight="1" x14ac:dyDescent="0.2">
      <c r="K709"/>
    </row>
    <row r="710" spans="11:11" ht="15" customHeight="1" x14ac:dyDescent="0.2">
      <c r="K710"/>
    </row>
    <row r="711" spans="11:11" ht="15" customHeight="1" x14ac:dyDescent="0.2">
      <c r="K711"/>
    </row>
    <row r="712" spans="11:11" ht="15" customHeight="1" x14ac:dyDescent="0.2">
      <c r="K712"/>
    </row>
    <row r="713" spans="11:11" ht="15" customHeight="1" x14ac:dyDescent="0.2">
      <c r="K713"/>
    </row>
    <row r="714" spans="11:11" ht="15" customHeight="1" x14ac:dyDescent="0.2">
      <c r="K714"/>
    </row>
    <row r="715" spans="11:11" ht="15" customHeight="1" x14ac:dyDescent="0.2">
      <c r="K715"/>
    </row>
    <row r="716" spans="11:11" ht="15" customHeight="1" x14ac:dyDescent="0.2">
      <c r="K716"/>
    </row>
    <row r="717" spans="11:11" ht="15" customHeight="1" x14ac:dyDescent="0.2">
      <c r="K717"/>
    </row>
    <row r="718" spans="11:11" ht="15" customHeight="1" x14ac:dyDescent="0.2">
      <c r="K718"/>
    </row>
    <row r="719" spans="11:11" ht="15" customHeight="1" x14ac:dyDescent="0.2">
      <c r="K719"/>
    </row>
    <row r="720" spans="11:11" ht="15" customHeight="1" x14ac:dyDescent="0.2">
      <c r="K720"/>
    </row>
    <row r="721" spans="11:11" ht="15" customHeight="1" x14ac:dyDescent="0.2">
      <c r="K721"/>
    </row>
    <row r="722" spans="11:11" ht="15" customHeight="1" x14ac:dyDescent="0.2">
      <c r="K722"/>
    </row>
    <row r="723" spans="11:11" ht="15" customHeight="1" x14ac:dyDescent="0.2">
      <c r="K723"/>
    </row>
    <row r="724" spans="11:11" ht="15" customHeight="1" x14ac:dyDescent="0.2">
      <c r="K724"/>
    </row>
    <row r="725" spans="11:11" ht="15" customHeight="1" x14ac:dyDescent="0.2">
      <c r="K725"/>
    </row>
    <row r="726" spans="11:11" ht="15" customHeight="1" x14ac:dyDescent="0.2">
      <c r="K726"/>
    </row>
    <row r="727" spans="11:11" ht="15" customHeight="1" x14ac:dyDescent="0.2">
      <c r="K727"/>
    </row>
    <row r="728" spans="11:11" ht="15" customHeight="1" x14ac:dyDescent="0.2">
      <c r="K728"/>
    </row>
    <row r="729" spans="11:11" ht="15" customHeight="1" x14ac:dyDescent="0.2">
      <c r="K729"/>
    </row>
    <row r="730" spans="11:11" ht="15" customHeight="1" x14ac:dyDescent="0.2">
      <c r="K730"/>
    </row>
    <row r="731" spans="11:11" ht="15" customHeight="1" x14ac:dyDescent="0.2">
      <c r="K731"/>
    </row>
    <row r="732" spans="11:11" ht="15" customHeight="1" x14ac:dyDescent="0.2">
      <c r="K732"/>
    </row>
    <row r="733" spans="11:11" ht="15" customHeight="1" x14ac:dyDescent="0.2">
      <c r="K733"/>
    </row>
    <row r="734" spans="11:11" ht="15" customHeight="1" x14ac:dyDescent="0.2">
      <c r="K734"/>
    </row>
    <row r="735" spans="11:11" ht="15" customHeight="1" x14ac:dyDescent="0.2">
      <c r="K735"/>
    </row>
    <row r="736" spans="11:11" ht="15" customHeight="1" x14ac:dyDescent="0.2">
      <c r="K736"/>
    </row>
    <row r="737" spans="11:11" ht="15" customHeight="1" x14ac:dyDescent="0.2">
      <c r="K737"/>
    </row>
    <row r="738" spans="11:11" ht="15" customHeight="1" x14ac:dyDescent="0.2">
      <c r="K738"/>
    </row>
    <row r="739" spans="11:11" ht="15" customHeight="1" x14ac:dyDescent="0.2">
      <c r="K739"/>
    </row>
    <row r="740" spans="11:11" ht="15" customHeight="1" x14ac:dyDescent="0.2">
      <c r="K740"/>
    </row>
    <row r="741" spans="11:11" ht="15" customHeight="1" x14ac:dyDescent="0.2">
      <c r="K741"/>
    </row>
    <row r="742" spans="11:11" ht="15" customHeight="1" x14ac:dyDescent="0.2">
      <c r="K742"/>
    </row>
    <row r="743" spans="11:11" ht="15" customHeight="1" x14ac:dyDescent="0.2">
      <c r="K743"/>
    </row>
    <row r="744" spans="11:11" ht="15" customHeight="1" x14ac:dyDescent="0.2">
      <c r="K744"/>
    </row>
    <row r="745" spans="11:11" x14ac:dyDescent="0.2">
      <c r="K745"/>
    </row>
    <row r="746" spans="11:11" x14ac:dyDescent="0.2">
      <c r="K746"/>
    </row>
    <row r="747" spans="11:11" ht="15" customHeight="1" x14ac:dyDescent="0.2">
      <c r="K747"/>
    </row>
    <row r="748" spans="11:11" ht="15" customHeight="1" x14ac:dyDescent="0.2">
      <c r="K748"/>
    </row>
    <row r="749" spans="11:11" ht="15" customHeight="1" x14ac:dyDescent="0.2">
      <c r="K749"/>
    </row>
    <row r="750" spans="11:11" ht="15" customHeight="1" x14ac:dyDescent="0.2">
      <c r="K750"/>
    </row>
    <row r="751" spans="11:11" ht="15" customHeight="1" x14ac:dyDescent="0.2">
      <c r="K751"/>
    </row>
    <row r="752" spans="11:11" ht="15" customHeight="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ht="15" customHeight="1" x14ac:dyDescent="0.2">
      <c r="K757"/>
    </row>
    <row r="758" spans="11:11" ht="15" customHeight="1" x14ac:dyDescent="0.2">
      <c r="K758"/>
    </row>
    <row r="759" spans="11:11" x14ac:dyDescent="0.2">
      <c r="K759"/>
    </row>
    <row r="760" spans="11:11" x14ac:dyDescent="0.2">
      <c r="K760"/>
    </row>
    <row r="761" spans="11:11" ht="15" customHeight="1" x14ac:dyDescent="0.2">
      <c r="K761"/>
    </row>
    <row r="762" spans="11:11" ht="15" customHeight="1" x14ac:dyDescent="0.2">
      <c r="K762"/>
    </row>
    <row r="763" spans="11:11" x14ac:dyDescent="0.2">
      <c r="K763"/>
    </row>
    <row r="764" spans="11:11" x14ac:dyDescent="0.2">
      <c r="K764"/>
    </row>
    <row r="765" spans="11:11" ht="15" customHeight="1" x14ac:dyDescent="0.2">
      <c r="K765"/>
    </row>
    <row r="766" spans="11:11" ht="15" customHeight="1" x14ac:dyDescent="0.2">
      <c r="K766"/>
    </row>
    <row r="767" spans="11:11" ht="15" customHeight="1" x14ac:dyDescent="0.2">
      <c r="K767"/>
    </row>
    <row r="768" spans="11:11" x14ac:dyDescent="0.2">
      <c r="K768"/>
    </row>
    <row r="769" spans="11:11" ht="15" customHeight="1" x14ac:dyDescent="0.2">
      <c r="K769"/>
    </row>
    <row r="770" spans="11:11" ht="15" customHeight="1" x14ac:dyDescent="0.2">
      <c r="K770"/>
    </row>
    <row r="771" spans="11:11" x14ac:dyDescent="0.2">
      <c r="K771"/>
    </row>
    <row r="772" spans="11:11" ht="15" customHeight="1" x14ac:dyDescent="0.2">
      <c r="K772"/>
    </row>
    <row r="773" spans="11:11" ht="15" customHeight="1" x14ac:dyDescent="0.2">
      <c r="K773"/>
    </row>
    <row r="774" spans="11:11" ht="15" customHeight="1" x14ac:dyDescent="0.2">
      <c r="K774"/>
    </row>
    <row r="775" spans="11:11" ht="15" customHeight="1" x14ac:dyDescent="0.2">
      <c r="K775"/>
    </row>
    <row r="776" spans="11:11" ht="15" customHeight="1" x14ac:dyDescent="0.2">
      <c r="K776"/>
    </row>
    <row r="777" spans="11:11" ht="15" customHeight="1" x14ac:dyDescent="0.2">
      <c r="K777"/>
    </row>
    <row r="778" spans="11:11" ht="15" customHeight="1" x14ac:dyDescent="0.2">
      <c r="K778"/>
    </row>
    <row r="779" spans="11:11" ht="15" customHeight="1" x14ac:dyDescent="0.2">
      <c r="K779"/>
    </row>
    <row r="780" spans="11:11" ht="15" customHeight="1" x14ac:dyDescent="0.2">
      <c r="K780"/>
    </row>
    <row r="781" spans="11:11" ht="15" customHeight="1" x14ac:dyDescent="0.2">
      <c r="K781"/>
    </row>
    <row r="782" spans="11:11" ht="15" customHeight="1" x14ac:dyDescent="0.2">
      <c r="K782"/>
    </row>
    <row r="783" spans="11:11" ht="15" customHeight="1" x14ac:dyDescent="0.2">
      <c r="K783"/>
    </row>
    <row r="784" spans="11:11" ht="15" customHeight="1" x14ac:dyDescent="0.2">
      <c r="K784"/>
    </row>
    <row r="785" spans="11:11" ht="15" customHeight="1" x14ac:dyDescent="0.2">
      <c r="K785"/>
    </row>
    <row r="786" spans="11:11" ht="15" customHeight="1" x14ac:dyDescent="0.2">
      <c r="K786"/>
    </row>
    <row r="787" spans="11:11" ht="15" customHeight="1" x14ac:dyDescent="0.2">
      <c r="K787"/>
    </row>
    <row r="788" spans="11:11" ht="15" customHeight="1" x14ac:dyDescent="0.2">
      <c r="K788"/>
    </row>
    <row r="789" spans="11:11" ht="15" customHeight="1" x14ac:dyDescent="0.2">
      <c r="K789"/>
    </row>
    <row r="790" spans="11:11" ht="15" customHeight="1" x14ac:dyDescent="0.2">
      <c r="K790"/>
    </row>
    <row r="791" spans="11:11" ht="15" customHeight="1" x14ac:dyDescent="0.2">
      <c r="K791"/>
    </row>
    <row r="792" spans="11:11" ht="15" customHeight="1" x14ac:dyDescent="0.2">
      <c r="K792"/>
    </row>
    <row r="793" spans="11:11" ht="15" customHeight="1" x14ac:dyDescent="0.2">
      <c r="K793"/>
    </row>
    <row r="794" spans="11:11" ht="15" customHeight="1" x14ac:dyDescent="0.2">
      <c r="K794"/>
    </row>
    <row r="795" spans="11:11" ht="15" customHeight="1" x14ac:dyDescent="0.2">
      <c r="K795"/>
    </row>
    <row r="796" spans="11:11" ht="15" customHeight="1" x14ac:dyDescent="0.2">
      <c r="K796"/>
    </row>
    <row r="797" spans="11:11" ht="15" customHeight="1" x14ac:dyDescent="0.2">
      <c r="K797"/>
    </row>
    <row r="798" spans="11:11" ht="15" customHeight="1" x14ac:dyDescent="0.2">
      <c r="K798"/>
    </row>
    <row r="799" spans="11:11" ht="15" customHeight="1" x14ac:dyDescent="0.2">
      <c r="K799"/>
    </row>
    <row r="800" spans="11:11" ht="15" customHeight="1" x14ac:dyDescent="0.2">
      <c r="K800"/>
    </row>
    <row r="801" spans="11:11" ht="15" customHeight="1" x14ac:dyDescent="0.2">
      <c r="K801"/>
    </row>
    <row r="802" spans="11:11" ht="15" customHeight="1" x14ac:dyDescent="0.2">
      <c r="K802"/>
    </row>
    <row r="803" spans="11:11" ht="15" customHeight="1" x14ac:dyDescent="0.2">
      <c r="K803"/>
    </row>
    <row r="804" spans="11:11" ht="15" customHeight="1" x14ac:dyDescent="0.2">
      <c r="K804"/>
    </row>
    <row r="805" spans="11:11" ht="15" customHeight="1" x14ac:dyDescent="0.2">
      <c r="K805"/>
    </row>
    <row r="806" spans="11:11" ht="15" customHeight="1" x14ac:dyDescent="0.2">
      <c r="K806"/>
    </row>
    <row r="807" spans="11:11" ht="15" customHeight="1" x14ac:dyDescent="0.2">
      <c r="K807"/>
    </row>
    <row r="808" spans="11:11" ht="15" customHeight="1" x14ac:dyDescent="0.2">
      <c r="K808"/>
    </row>
    <row r="809" spans="11:11" ht="15" customHeight="1" x14ac:dyDescent="0.2">
      <c r="K809"/>
    </row>
    <row r="810" spans="11:11" ht="15" customHeight="1" x14ac:dyDescent="0.2">
      <c r="K810"/>
    </row>
    <row r="811" spans="11:11" ht="15" customHeight="1" x14ac:dyDescent="0.2">
      <c r="K811"/>
    </row>
    <row r="812" spans="11:11" ht="15" customHeight="1" x14ac:dyDescent="0.2">
      <c r="K812"/>
    </row>
    <row r="813" spans="11:11" x14ac:dyDescent="0.2">
      <c r="K813"/>
    </row>
    <row r="814" spans="11:11" ht="15" customHeight="1" x14ac:dyDescent="0.2">
      <c r="K814"/>
    </row>
    <row r="815" spans="11:11" x14ac:dyDescent="0.2">
      <c r="K815"/>
    </row>
    <row r="816" spans="11:11" x14ac:dyDescent="0.2">
      <c r="K816"/>
    </row>
    <row r="817" spans="11:11" ht="15" customHeight="1" x14ac:dyDescent="0.2">
      <c r="K817"/>
    </row>
    <row r="818" spans="11:11" ht="15" customHeight="1" x14ac:dyDescent="0.2">
      <c r="K818"/>
    </row>
    <row r="819" spans="11:11" ht="15" customHeight="1" x14ac:dyDescent="0.2">
      <c r="K819"/>
    </row>
    <row r="820" spans="11:11" ht="15" customHeight="1" x14ac:dyDescent="0.2">
      <c r="K820"/>
    </row>
    <row r="821" spans="11:11" ht="15" customHeight="1" x14ac:dyDescent="0.2">
      <c r="K821"/>
    </row>
    <row r="822" spans="11:11" ht="15" customHeight="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ht="16.5" customHeight="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ht="15.75" customHeight="1" x14ac:dyDescent="0.2">
      <c r="K843"/>
    </row>
    <row r="844" spans="11:11" ht="15.75" customHeight="1" x14ac:dyDescent="0.2">
      <c r="K844"/>
    </row>
    <row r="845" spans="11:11" ht="15.75" customHeight="1" x14ac:dyDescent="0.2">
      <c r="K845"/>
    </row>
    <row r="846" spans="11:11" ht="15.75" customHeight="1" x14ac:dyDescent="0.2">
      <c r="K846"/>
    </row>
    <row r="847" spans="11:11" ht="15.75" customHeight="1" x14ac:dyDescent="0.2">
      <c r="K847"/>
    </row>
    <row r="848" spans="11:11" ht="15.75" customHeight="1" x14ac:dyDescent="0.2">
      <c r="K848"/>
    </row>
    <row r="849" spans="11:11" ht="15.75" customHeight="1" x14ac:dyDescent="0.2">
      <c r="K849"/>
    </row>
    <row r="850" spans="11:11" ht="15.75" customHeight="1" x14ac:dyDescent="0.2">
      <c r="K850"/>
    </row>
    <row r="851" spans="11:11" ht="15.75" customHeight="1" x14ac:dyDescent="0.2">
      <c r="K851"/>
    </row>
    <row r="852" spans="11:11" ht="15.75" customHeight="1" x14ac:dyDescent="0.2">
      <c r="K852"/>
    </row>
    <row r="853" spans="11:11" ht="15.75" customHeight="1" x14ac:dyDescent="0.2">
      <c r="K853"/>
    </row>
    <row r="854" spans="11:11" ht="15.75" customHeight="1" x14ac:dyDescent="0.2">
      <c r="K854"/>
    </row>
    <row r="855" spans="11:11" ht="15.75" customHeight="1" x14ac:dyDescent="0.2">
      <c r="K855"/>
    </row>
    <row r="856" spans="11:11" ht="15.75" customHeight="1" x14ac:dyDescent="0.2">
      <c r="K856"/>
    </row>
    <row r="857" spans="11:11" ht="15.75" customHeight="1" x14ac:dyDescent="0.2">
      <c r="K857"/>
    </row>
    <row r="858" spans="11:11" ht="15" customHeight="1" x14ac:dyDescent="0.2">
      <c r="K858"/>
    </row>
    <row r="859" spans="11:11" ht="15.75" customHeight="1" x14ac:dyDescent="0.2">
      <c r="K859"/>
    </row>
    <row r="860" spans="11:11" ht="15.75" customHeight="1" x14ac:dyDescent="0.2">
      <c r="K860"/>
    </row>
    <row r="861" spans="11:11" ht="15.75" customHeight="1" x14ac:dyDescent="0.2">
      <c r="K861"/>
    </row>
    <row r="862" spans="11:11" ht="15.75" customHeight="1" x14ac:dyDescent="0.2">
      <c r="K862"/>
    </row>
    <row r="863" spans="11:11" ht="15.75" customHeight="1" x14ac:dyDescent="0.2">
      <c r="K863"/>
    </row>
    <row r="864" spans="11:11" ht="15.75" customHeight="1" x14ac:dyDescent="0.2">
      <c r="K864"/>
    </row>
    <row r="865" spans="11:11" ht="15.75" customHeight="1" x14ac:dyDescent="0.2">
      <c r="K865"/>
    </row>
    <row r="866" spans="11:11" ht="15.75" customHeight="1" x14ac:dyDescent="0.2">
      <c r="K866"/>
    </row>
    <row r="867" spans="11:11" ht="15.75" customHeight="1" x14ac:dyDescent="0.2">
      <c r="K867"/>
    </row>
    <row r="868" spans="11:11" ht="15.75" customHeight="1" x14ac:dyDescent="0.2">
      <c r="K868"/>
    </row>
    <row r="869" spans="11:11" ht="15.75" customHeight="1" x14ac:dyDescent="0.2">
      <c r="K869"/>
    </row>
    <row r="870" spans="11:11" ht="15.75" customHeight="1" x14ac:dyDescent="0.2">
      <c r="K870"/>
    </row>
    <row r="871" spans="11:11" ht="15.75" customHeight="1" x14ac:dyDescent="0.2">
      <c r="K871"/>
    </row>
    <row r="872" spans="11:11" ht="15.75" customHeight="1" x14ac:dyDescent="0.2">
      <c r="K872"/>
    </row>
    <row r="873" spans="11:11" ht="15.75" customHeight="1" x14ac:dyDescent="0.2">
      <c r="K873"/>
    </row>
    <row r="874" spans="11:11" ht="15.75" customHeight="1" x14ac:dyDescent="0.2">
      <c r="K874"/>
    </row>
    <row r="875" spans="11:11" ht="15.75" customHeight="1" x14ac:dyDescent="0.2">
      <c r="K875"/>
    </row>
    <row r="876" spans="11:11" ht="15.75" customHeight="1" x14ac:dyDescent="0.2">
      <c r="K876"/>
    </row>
    <row r="877" spans="11:11" ht="15.75" customHeight="1" x14ac:dyDescent="0.2">
      <c r="K877"/>
    </row>
    <row r="878" spans="11:11" ht="15.75" customHeight="1" x14ac:dyDescent="0.2">
      <c r="K878"/>
    </row>
    <row r="879" spans="11:11" ht="15.75" customHeight="1" x14ac:dyDescent="0.2">
      <c r="K879"/>
    </row>
    <row r="880" spans="11:11" ht="15.75" customHeight="1" x14ac:dyDescent="0.2">
      <c r="K880"/>
    </row>
    <row r="881" spans="11:11" ht="15.75" customHeight="1" x14ac:dyDescent="0.2">
      <c r="K881"/>
    </row>
    <row r="882" spans="11:11" ht="15.75" customHeight="1" x14ac:dyDescent="0.2">
      <c r="K882"/>
    </row>
    <row r="883" spans="11:11" ht="15.75" customHeight="1" x14ac:dyDescent="0.2">
      <c r="K883"/>
    </row>
    <row r="884" spans="11:11" ht="15.75" customHeight="1" x14ac:dyDescent="0.2">
      <c r="K884"/>
    </row>
    <row r="885" spans="11:11" ht="15.75" customHeight="1" x14ac:dyDescent="0.2">
      <c r="K885"/>
    </row>
    <row r="886" spans="11:11" ht="15.75" customHeight="1" x14ac:dyDescent="0.2">
      <c r="K886"/>
    </row>
    <row r="887" spans="11:11" ht="15.75" customHeight="1" x14ac:dyDescent="0.2">
      <c r="K887"/>
    </row>
    <row r="888" spans="11:11" ht="15.75" customHeight="1" x14ac:dyDescent="0.2">
      <c r="K888"/>
    </row>
    <row r="889" spans="11:11" ht="15.75" customHeight="1" x14ac:dyDescent="0.2">
      <c r="K889"/>
    </row>
    <row r="890" spans="11:11" ht="15.75" customHeight="1" x14ac:dyDescent="0.2">
      <c r="K890"/>
    </row>
    <row r="891" spans="11:11" ht="15.75" customHeight="1" x14ac:dyDescent="0.2">
      <c r="K891"/>
    </row>
    <row r="892" spans="11:11" ht="15.75" customHeight="1" x14ac:dyDescent="0.2">
      <c r="K892"/>
    </row>
    <row r="893" spans="11:11" ht="15.75" customHeight="1" x14ac:dyDescent="0.2">
      <c r="K893"/>
    </row>
    <row r="894" spans="11:11" ht="15.75" customHeight="1" x14ac:dyDescent="0.2">
      <c r="K894"/>
    </row>
    <row r="895" spans="11:11" ht="15.75" customHeight="1" x14ac:dyDescent="0.2">
      <c r="K895"/>
    </row>
    <row r="896" spans="11:11" ht="15.75" customHeight="1" x14ac:dyDescent="0.2">
      <c r="K896"/>
    </row>
    <row r="897" spans="11:11" ht="15.75" customHeight="1" x14ac:dyDescent="0.2">
      <c r="K897"/>
    </row>
    <row r="898" spans="11:11" ht="15.75" customHeight="1" x14ac:dyDescent="0.2">
      <c r="K898"/>
    </row>
    <row r="899" spans="11:11" ht="15.75" customHeight="1" x14ac:dyDescent="0.2">
      <c r="K899"/>
    </row>
    <row r="900" spans="11:11" ht="15.75" customHeight="1" x14ac:dyDescent="0.2">
      <c r="K900"/>
    </row>
    <row r="901" spans="11:11" ht="15.75" customHeight="1" x14ac:dyDescent="0.2">
      <c r="K901"/>
    </row>
    <row r="902" spans="11:11" ht="15.75" customHeight="1" x14ac:dyDescent="0.2">
      <c r="K902"/>
    </row>
    <row r="903" spans="11:11" ht="15.75" customHeight="1" x14ac:dyDescent="0.2">
      <c r="K903"/>
    </row>
    <row r="904" spans="11:11" ht="15.75" customHeight="1" x14ac:dyDescent="0.2">
      <c r="K904"/>
    </row>
    <row r="905" spans="11:11" ht="15.75" customHeight="1" x14ac:dyDescent="0.2">
      <c r="K905"/>
    </row>
    <row r="906" spans="11:11" ht="15.75" customHeight="1" x14ac:dyDescent="0.2">
      <c r="K906"/>
    </row>
    <row r="907" spans="11:11" ht="15.75" customHeight="1" x14ac:dyDescent="0.2">
      <c r="K907"/>
    </row>
    <row r="908" spans="11:11" ht="15.75" customHeight="1" x14ac:dyDescent="0.2">
      <c r="K908"/>
    </row>
    <row r="909" spans="11:11" ht="16.5" customHeight="1" x14ac:dyDescent="0.2">
      <c r="K909"/>
    </row>
    <row r="910" spans="11:11" ht="15.75" customHeight="1" x14ac:dyDescent="0.2">
      <c r="K910"/>
    </row>
    <row r="911" spans="11:11" ht="15.75" customHeight="1" x14ac:dyDescent="0.2">
      <c r="K911"/>
    </row>
    <row r="912" spans="11:11" ht="15.75" customHeight="1" x14ac:dyDescent="0.2">
      <c r="K912"/>
    </row>
    <row r="913" spans="11:11" ht="15.75" customHeight="1" x14ac:dyDescent="0.2">
      <c r="K913"/>
    </row>
    <row r="914" spans="11:11" ht="15.75" customHeight="1" x14ac:dyDescent="0.2">
      <c r="K914"/>
    </row>
    <row r="915" spans="11:11" ht="15.75" customHeight="1" x14ac:dyDescent="0.2">
      <c r="K915"/>
    </row>
    <row r="916" spans="11:11" ht="15.75" customHeight="1" x14ac:dyDescent="0.2">
      <c r="K916"/>
    </row>
    <row r="917" spans="11:11" ht="15.75" customHeight="1" x14ac:dyDescent="0.2">
      <c r="K917"/>
    </row>
    <row r="918" spans="11:11" ht="15.75" customHeight="1" x14ac:dyDescent="0.2">
      <c r="K918"/>
    </row>
    <row r="919" spans="11:11" ht="15.75" customHeight="1" x14ac:dyDescent="0.2">
      <c r="K919"/>
    </row>
    <row r="920" spans="11:11" ht="15.75" customHeight="1" x14ac:dyDescent="0.2">
      <c r="K920"/>
    </row>
    <row r="921" spans="11:11" ht="15.75" customHeight="1" x14ac:dyDescent="0.2">
      <c r="K921"/>
    </row>
    <row r="922" spans="11:11" ht="15.75" customHeight="1" x14ac:dyDescent="0.2">
      <c r="K922"/>
    </row>
    <row r="923" spans="11:11" ht="15.75" customHeight="1" x14ac:dyDescent="0.2">
      <c r="K923"/>
    </row>
    <row r="924" spans="11:11" ht="15.75" customHeight="1" x14ac:dyDescent="0.2">
      <c r="K924"/>
    </row>
    <row r="925" spans="11:11" ht="15.75" customHeight="1" x14ac:dyDescent="0.2">
      <c r="K925"/>
    </row>
    <row r="926" spans="11:11" ht="15.75" customHeight="1" x14ac:dyDescent="0.2">
      <c r="K926"/>
    </row>
    <row r="927" spans="11:11" ht="15.75" customHeight="1" x14ac:dyDescent="0.2">
      <c r="K927"/>
    </row>
    <row r="928" spans="11:11" ht="15.75" customHeight="1" x14ac:dyDescent="0.2">
      <c r="K928"/>
    </row>
    <row r="929" spans="11:11" ht="15" customHeight="1" x14ac:dyDescent="0.2">
      <c r="K929"/>
    </row>
    <row r="930" spans="11:11" ht="15.75" customHeight="1" x14ac:dyDescent="0.2">
      <c r="K930"/>
    </row>
    <row r="931" spans="11:11" ht="15.75" customHeight="1" x14ac:dyDescent="0.2">
      <c r="K931"/>
    </row>
    <row r="932" spans="11:11" ht="15.75" customHeight="1" x14ac:dyDescent="0.2">
      <c r="K932"/>
    </row>
    <row r="933" spans="11:11" ht="15.75" customHeight="1" x14ac:dyDescent="0.2">
      <c r="K933"/>
    </row>
    <row r="934" spans="11:11" ht="15.75" customHeight="1" x14ac:dyDescent="0.2">
      <c r="K934"/>
    </row>
    <row r="935" spans="11:11" ht="15.75" customHeight="1" x14ac:dyDescent="0.2">
      <c r="K935"/>
    </row>
    <row r="936" spans="11:11" ht="15.75" customHeight="1" x14ac:dyDescent="0.2">
      <c r="K936"/>
    </row>
    <row r="937" spans="11:11" ht="15.75" customHeight="1" x14ac:dyDescent="0.2">
      <c r="K937"/>
    </row>
    <row r="938" spans="11:11" ht="15.75" customHeight="1" x14ac:dyDescent="0.2">
      <c r="K938"/>
    </row>
    <row r="939" spans="11:11" ht="15.75" customHeight="1" x14ac:dyDescent="0.2">
      <c r="K939"/>
    </row>
    <row r="940" spans="11:11" ht="15.75" customHeight="1" x14ac:dyDescent="0.2">
      <c r="K940"/>
    </row>
    <row r="941" spans="11:11" ht="15.75" customHeight="1" x14ac:dyDescent="0.2">
      <c r="K941"/>
    </row>
    <row r="942" spans="11:11" ht="15.75" customHeight="1" x14ac:dyDescent="0.2">
      <c r="K942"/>
    </row>
    <row r="943" spans="11:11" ht="15.75" customHeight="1" x14ac:dyDescent="0.2">
      <c r="K943"/>
    </row>
    <row r="944" spans="11:11" ht="15.75" customHeight="1" x14ac:dyDescent="0.2">
      <c r="K944"/>
    </row>
    <row r="945" spans="11:11" ht="15.75" customHeight="1" x14ac:dyDescent="0.2">
      <c r="K945"/>
    </row>
    <row r="946" spans="11:11" ht="15.75" customHeight="1" x14ac:dyDescent="0.2">
      <c r="K946"/>
    </row>
    <row r="947" spans="11:11" ht="15.75" customHeight="1" x14ac:dyDescent="0.2">
      <c r="K947"/>
    </row>
    <row r="948" spans="11:11" ht="15.75" customHeight="1" x14ac:dyDescent="0.2">
      <c r="K948"/>
    </row>
    <row r="949" spans="11:11" ht="15.75" customHeight="1" x14ac:dyDescent="0.2">
      <c r="K949"/>
    </row>
    <row r="950" spans="11:11" ht="15.75" customHeight="1" x14ac:dyDescent="0.2">
      <c r="K950"/>
    </row>
    <row r="951" spans="11:11" ht="15.75" customHeight="1" x14ac:dyDescent="0.2">
      <c r="K951"/>
    </row>
    <row r="952" spans="11:11" ht="15.75" customHeight="1" x14ac:dyDescent="0.2">
      <c r="K952"/>
    </row>
    <row r="953" spans="11:11" ht="15.75" customHeight="1" x14ac:dyDescent="0.2">
      <c r="K953"/>
    </row>
    <row r="954" spans="11:11" ht="15.75" customHeight="1" x14ac:dyDescent="0.2">
      <c r="K954"/>
    </row>
    <row r="955" spans="11:11" ht="15.75" customHeight="1" x14ac:dyDescent="0.2">
      <c r="K955"/>
    </row>
    <row r="956" spans="11:11" ht="15.75" customHeight="1" x14ac:dyDescent="0.2">
      <c r="K956"/>
    </row>
    <row r="957" spans="11:11" ht="15.75" customHeight="1" x14ac:dyDescent="0.2">
      <c r="K957"/>
    </row>
    <row r="958" spans="11:11" ht="15.75" customHeight="1" x14ac:dyDescent="0.2">
      <c r="K958"/>
    </row>
    <row r="959" spans="11:11" ht="15.75" customHeight="1" x14ac:dyDescent="0.2">
      <c r="K959"/>
    </row>
    <row r="960" spans="11:11" ht="15.75" customHeight="1" x14ac:dyDescent="0.2">
      <c r="K960"/>
    </row>
    <row r="961" spans="11:11" ht="15.75" customHeight="1" x14ac:dyDescent="0.2">
      <c r="K961"/>
    </row>
    <row r="962" spans="11:11" ht="15.75" customHeight="1" x14ac:dyDescent="0.2">
      <c r="K962"/>
    </row>
    <row r="963" spans="11:11" ht="15.75" customHeight="1" x14ac:dyDescent="0.2">
      <c r="K963"/>
    </row>
    <row r="964" spans="11:11" ht="15.75" customHeight="1" x14ac:dyDescent="0.2">
      <c r="K964"/>
    </row>
    <row r="965" spans="11:11" ht="15.75" customHeight="1" x14ac:dyDescent="0.2">
      <c r="K965"/>
    </row>
    <row r="966" spans="11:11" ht="15.75" customHeight="1" x14ac:dyDescent="0.2">
      <c r="K966"/>
    </row>
    <row r="967" spans="11:11" ht="15.75" customHeight="1" x14ac:dyDescent="0.2">
      <c r="K967"/>
    </row>
    <row r="968" spans="11:11" ht="15.75" customHeight="1" x14ac:dyDescent="0.2">
      <c r="K968"/>
    </row>
    <row r="969" spans="11:11" ht="15.75" customHeight="1" x14ac:dyDescent="0.2">
      <c r="K969"/>
    </row>
    <row r="970" spans="11:11" ht="15.75" customHeight="1" x14ac:dyDescent="0.2">
      <c r="K970"/>
    </row>
    <row r="971" spans="11:11" ht="15.75" customHeight="1" x14ac:dyDescent="0.2">
      <c r="K971"/>
    </row>
    <row r="972" spans="11:11" ht="15.75" customHeight="1" x14ac:dyDescent="0.2">
      <c r="K972"/>
    </row>
    <row r="973" spans="11:11" ht="15.75" customHeight="1" x14ac:dyDescent="0.2">
      <c r="K973"/>
    </row>
    <row r="974" spans="11:11" ht="15.75" customHeight="1" x14ac:dyDescent="0.2">
      <c r="K974"/>
    </row>
    <row r="975" spans="11:11" ht="15.75" customHeight="1" x14ac:dyDescent="0.2">
      <c r="K975"/>
    </row>
    <row r="976" spans="11:11" ht="15.75" customHeight="1" x14ac:dyDescent="0.2">
      <c r="K976"/>
    </row>
    <row r="977" spans="11:11" ht="15.75" customHeight="1" x14ac:dyDescent="0.2">
      <c r="K977"/>
    </row>
    <row r="978" spans="11:11" ht="15.75" customHeight="1" x14ac:dyDescent="0.2">
      <c r="K978"/>
    </row>
    <row r="979" spans="11:11" ht="15.75" customHeight="1" x14ac:dyDescent="0.2">
      <c r="K979"/>
    </row>
    <row r="980" spans="11:11" ht="16.5" customHeight="1" x14ac:dyDescent="0.2">
      <c r="K980"/>
    </row>
    <row r="981" spans="11:11" ht="15.75" customHeight="1" x14ac:dyDescent="0.2">
      <c r="K981"/>
    </row>
    <row r="982" spans="11:11" ht="15.75" customHeight="1" x14ac:dyDescent="0.2">
      <c r="K982"/>
    </row>
    <row r="983" spans="11:11" ht="15.75" customHeight="1" x14ac:dyDescent="0.2">
      <c r="K983"/>
    </row>
    <row r="984" spans="11:11" ht="15.75" customHeight="1" x14ac:dyDescent="0.2">
      <c r="K984"/>
    </row>
    <row r="985" spans="11:11" ht="15.75" customHeight="1" x14ac:dyDescent="0.2">
      <c r="K985"/>
    </row>
    <row r="986" spans="11:11" ht="15.75" customHeight="1" x14ac:dyDescent="0.2">
      <c r="K986"/>
    </row>
    <row r="987" spans="11:11" ht="15.75" customHeight="1" x14ac:dyDescent="0.2">
      <c r="K987"/>
    </row>
    <row r="988" spans="11:11" ht="15.75" customHeight="1" x14ac:dyDescent="0.2">
      <c r="K988"/>
    </row>
    <row r="989" spans="11:11" ht="15.75" customHeight="1" x14ac:dyDescent="0.2">
      <c r="K989"/>
    </row>
    <row r="990" spans="11:11" ht="15.75" customHeight="1" x14ac:dyDescent="0.2">
      <c r="K990"/>
    </row>
    <row r="991" spans="11:11" ht="15.75" customHeight="1" x14ac:dyDescent="0.2">
      <c r="K991"/>
    </row>
    <row r="992" spans="11:11" ht="15.75" customHeight="1" x14ac:dyDescent="0.2">
      <c r="K992"/>
    </row>
    <row r="993" spans="11:11" ht="15.75" customHeight="1" x14ac:dyDescent="0.2">
      <c r="K993"/>
    </row>
    <row r="994" spans="11:11" ht="15.75" customHeight="1" x14ac:dyDescent="0.2">
      <c r="K994"/>
    </row>
    <row r="995" spans="11:11" ht="15.75" customHeight="1" x14ac:dyDescent="0.2">
      <c r="K995"/>
    </row>
    <row r="996" spans="11:11" ht="15.75" customHeight="1" x14ac:dyDescent="0.2">
      <c r="K996"/>
    </row>
    <row r="997" spans="11:11" ht="15.75" customHeight="1" x14ac:dyDescent="0.2">
      <c r="K997"/>
    </row>
    <row r="998" spans="11:11" ht="15.75" customHeight="1" x14ac:dyDescent="0.2">
      <c r="K998"/>
    </row>
    <row r="999" spans="11:11" ht="15.75" customHeight="1" x14ac:dyDescent="0.2">
      <c r="K999"/>
    </row>
    <row r="1000" spans="11:11" ht="15" customHeight="1" x14ac:dyDescent="0.2">
      <c r="K1000"/>
    </row>
    <row r="1001" spans="11:11" ht="15.75" customHeight="1" x14ac:dyDescent="0.2">
      <c r="K1001"/>
    </row>
    <row r="1002" spans="11:11" ht="15.75" customHeight="1" x14ac:dyDescent="0.2">
      <c r="K1002"/>
    </row>
    <row r="1003" spans="11:11" ht="15.75" customHeight="1" x14ac:dyDescent="0.2">
      <c r="K1003"/>
    </row>
    <row r="1004" spans="11:11" ht="15.75" customHeight="1" x14ac:dyDescent="0.2">
      <c r="K1004"/>
    </row>
    <row r="1005" spans="11:11" ht="15.75" customHeight="1" x14ac:dyDescent="0.2">
      <c r="K1005"/>
    </row>
    <row r="1006" spans="11:11" ht="15.75" customHeight="1" x14ac:dyDescent="0.2">
      <c r="K1006"/>
    </row>
    <row r="1007" spans="11:11" ht="15.75" customHeight="1" x14ac:dyDescent="0.2">
      <c r="K1007"/>
    </row>
    <row r="1008" spans="11:11" ht="15.75" customHeight="1" x14ac:dyDescent="0.2">
      <c r="K1008"/>
    </row>
    <row r="1009" spans="11:11" ht="15.75" customHeight="1" x14ac:dyDescent="0.2">
      <c r="K1009"/>
    </row>
    <row r="1010" spans="11:11" ht="15.75" customHeight="1" x14ac:dyDescent="0.2">
      <c r="K1010"/>
    </row>
    <row r="1011" spans="11:11" ht="15.75" customHeight="1" x14ac:dyDescent="0.2">
      <c r="K1011"/>
    </row>
    <row r="1012" spans="11:11" ht="15.75" customHeight="1" x14ac:dyDescent="0.2">
      <c r="K1012"/>
    </row>
    <row r="1013" spans="11:11" ht="15.75" customHeight="1" x14ac:dyDescent="0.2">
      <c r="K1013"/>
    </row>
    <row r="1014" spans="11:11" ht="15.75" customHeight="1" x14ac:dyDescent="0.2">
      <c r="K1014"/>
    </row>
    <row r="1015" spans="11:11" ht="15.75" customHeight="1" x14ac:dyDescent="0.2">
      <c r="K1015"/>
    </row>
    <row r="1016" spans="11:11" ht="15.75" customHeight="1" x14ac:dyDescent="0.2">
      <c r="K1016"/>
    </row>
    <row r="1017" spans="11:11" ht="15.75" customHeight="1" x14ac:dyDescent="0.2">
      <c r="K1017"/>
    </row>
    <row r="1018" spans="11:11" ht="15.75" customHeight="1" x14ac:dyDescent="0.2">
      <c r="K1018"/>
    </row>
    <row r="1019" spans="11:11" ht="15.75" customHeight="1" x14ac:dyDescent="0.2">
      <c r="K1019"/>
    </row>
    <row r="1020" spans="11:11" ht="15.75" customHeight="1" x14ac:dyDescent="0.2">
      <c r="K1020"/>
    </row>
    <row r="1021" spans="11:11" ht="15.75" customHeight="1" x14ac:dyDescent="0.2">
      <c r="K1021"/>
    </row>
    <row r="1022" spans="11:11" ht="15.75" customHeight="1" x14ac:dyDescent="0.2">
      <c r="K1022"/>
    </row>
    <row r="1023" spans="11:11" ht="15.75" customHeight="1" x14ac:dyDescent="0.2">
      <c r="K1023"/>
    </row>
    <row r="1024" spans="11:11" ht="15.75" customHeight="1" x14ac:dyDescent="0.2">
      <c r="K1024"/>
    </row>
    <row r="1025" spans="11:11" ht="15.75" customHeight="1" x14ac:dyDescent="0.2">
      <c r="K1025"/>
    </row>
    <row r="1026" spans="11:11" ht="15.75" customHeight="1" x14ac:dyDescent="0.2">
      <c r="K1026"/>
    </row>
    <row r="1027" spans="11:11" ht="15.75" customHeight="1" x14ac:dyDescent="0.2">
      <c r="K1027"/>
    </row>
    <row r="1028" spans="11:11" ht="15.75" customHeight="1" x14ac:dyDescent="0.2">
      <c r="K1028"/>
    </row>
    <row r="1029" spans="11:11" ht="15.75" customHeight="1" x14ac:dyDescent="0.2">
      <c r="K1029"/>
    </row>
    <row r="1030" spans="11:11" ht="15.75" customHeight="1" x14ac:dyDescent="0.2">
      <c r="K1030"/>
    </row>
    <row r="1031" spans="11:11" ht="15.75" customHeight="1" x14ac:dyDescent="0.2">
      <c r="K1031"/>
    </row>
    <row r="1032" spans="11:11" ht="15.75" customHeight="1" x14ac:dyDescent="0.2">
      <c r="K1032"/>
    </row>
    <row r="1033" spans="11:11" ht="15.75" customHeight="1" x14ac:dyDescent="0.2">
      <c r="K1033"/>
    </row>
    <row r="1034" spans="11:11" ht="15.75" customHeight="1" x14ac:dyDescent="0.2">
      <c r="K1034"/>
    </row>
    <row r="1035" spans="11:11" ht="15.75" customHeight="1" x14ac:dyDescent="0.2">
      <c r="K1035"/>
    </row>
    <row r="1036" spans="11:11" ht="15.75" customHeight="1" x14ac:dyDescent="0.2">
      <c r="K1036"/>
    </row>
    <row r="1037" spans="11:11" ht="15.75" customHeight="1" x14ac:dyDescent="0.2">
      <c r="K1037"/>
    </row>
    <row r="1038" spans="11:11" ht="14.25" customHeight="1" x14ac:dyDescent="0.2">
      <c r="K1038"/>
    </row>
    <row r="1039" spans="11:11" ht="15.75" customHeight="1" x14ac:dyDescent="0.2">
      <c r="K1039"/>
    </row>
    <row r="1040" spans="11:11" ht="15.75" customHeight="1" x14ac:dyDescent="0.2">
      <c r="K1040"/>
    </row>
    <row r="1041" spans="11:11" ht="15.75" customHeight="1" x14ac:dyDescent="0.2">
      <c r="K1041"/>
    </row>
    <row r="1042" spans="11:11" ht="15.75" customHeight="1" x14ac:dyDescent="0.2">
      <c r="K1042"/>
    </row>
    <row r="1043" spans="11:11" ht="15.75" customHeight="1" x14ac:dyDescent="0.2">
      <c r="K1043"/>
    </row>
    <row r="1044" spans="11:11" ht="15.75" customHeight="1" x14ac:dyDescent="0.2">
      <c r="K1044"/>
    </row>
    <row r="1045" spans="11:11" ht="15.75" customHeight="1" x14ac:dyDescent="0.2">
      <c r="K1045"/>
    </row>
    <row r="1046" spans="11:11" ht="15.75" customHeight="1" x14ac:dyDescent="0.2">
      <c r="K1046"/>
    </row>
    <row r="1047" spans="11:11" ht="15.75" customHeight="1" x14ac:dyDescent="0.2">
      <c r="K1047"/>
    </row>
    <row r="1048" spans="11:11" ht="15.75" customHeight="1" x14ac:dyDescent="0.2">
      <c r="K1048"/>
    </row>
    <row r="1049" spans="11:11" ht="15.75" customHeight="1" x14ac:dyDescent="0.2">
      <c r="K1049"/>
    </row>
    <row r="1050" spans="11:11" ht="15.75" customHeight="1" x14ac:dyDescent="0.2">
      <c r="K1050"/>
    </row>
    <row r="1051" spans="11:11" ht="15.75" customHeight="1" x14ac:dyDescent="0.2">
      <c r="K1051"/>
    </row>
    <row r="1052" spans="11:11" ht="15.75" customHeight="1" x14ac:dyDescent="0.2">
      <c r="K1052"/>
    </row>
    <row r="1053" spans="11:11" ht="15.75" customHeight="1" x14ac:dyDescent="0.2">
      <c r="K1053"/>
    </row>
    <row r="1054" spans="11:11" ht="15.75" customHeight="1" x14ac:dyDescent="0.2">
      <c r="K1054"/>
    </row>
    <row r="1055" spans="11:11" ht="16.5" customHeight="1" x14ac:dyDescent="0.2">
      <c r="K1055"/>
    </row>
    <row r="1056" spans="11:11" ht="15.75" customHeight="1" x14ac:dyDescent="0.2">
      <c r="K1056"/>
    </row>
    <row r="1057" spans="11:11" ht="15.75" customHeight="1" x14ac:dyDescent="0.2">
      <c r="K1057"/>
    </row>
    <row r="1058" spans="11:11" ht="15.75" customHeight="1" x14ac:dyDescent="0.2">
      <c r="K1058"/>
    </row>
    <row r="1059" spans="11:11" ht="15.75" customHeight="1" x14ac:dyDescent="0.2">
      <c r="K1059"/>
    </row>
    <row r="1060" spans="11:11" ht="15.75" customHeight="1" x14ac:dyDescent="0.2">
      <c r="K1060"/>
    </row>
    <row r="1061" spans="11:11" ht="15.75" customHeight="1" x14ac:dyDescent="0.2">
      <c r="K1061"/>
    </row>
    <row r="1062" spans="11:11" ht="15.75" customHeight="1" x14ac:dyDescent="0.2">
      <c r="K1062"/>
    </row>
    <row r="1063" spans="11:11" ht="15.75" customHeight="1" x14ac:dyDescent="0.2">
      <c r="K1063"/>
    </row>
    <row r="1064" spans="11:11" ht="15.75" customHeight="1" x14ac:dyDescent="0.2">
      <c r="K1064"/>
    </row>
    <row r="1065" spans="11:11" ht="15.75" customHeight="1" x14ac:dyDescent="0.2">
      <c r="K1065"/>
    </row>
    <row r="1066" spans="11:11" ht="15.75" customHeight="1" x14ac:dyDescent="0.2">
      <c r="K1066"/>
    </row>
    <row r="1067" spans="11:11" ht="15.75" customHeight="1" x14ac:dyDescent="0.2">
      <c r="K1067"/>
    </row>
    <row r="1068" spans="11:11" ht="15.75" customHeight="1" x14ac:dyDescent="0.2">
      <c r="K1068"/>
    </row>
    <row r="1069" spans="11:11" ht="15.75" customHeight="1" x14ac:dyDescent="0.2">
      <c r="K1069"/>
    </row>
    <row r="1070" spans="11:11" ht="15.75" customHeight="1" x14ac:dyDescent="0.2">
      <c r="K1070"/>
    </row>
    <row r="1071" spans="11:11" ht="15.75" customHeight="1" x14ac:dyDescent="0.2">
      <c r="K1071"/>
    </row>
    <row r="1072" spans="11:11" ht="15.75" customHeight="1" x14ac:dyDescent="0.2">
      <c r="K1072"/>
    </row>
    <row r="1073" spans="11:11" ht="15.75" customHeight="1" x14ac:dyDescent="0.2">
      <c r="K1073"/>
    </row>
    <row r="1074" spans="11:11" ht="15.75" customHeight="1" x14ac:dyDescent="0.2">
      <c r="K1074"/>
    </row>
    <row r="1075" spans="11:11" ht="15" customHeight="1" x14ac:dyDescent="0.2">
      <c r="K1075"/>
    </row>
    <row r="1076" spans="11:11" ht="15.75" customHeight="1" x14ac:dyDescent="0.2">
      <c r="K1076"/>
    </row>
    <row r="1077" spans="11:11" ht="15.75" customHeight="1" x14ac:dyDescent="0.2">
      <c r="K1077"/>
    </row>
    <row r="1078" spans="11:11" ht="15.75" customHeight="1" x14ac:dyDescent="0.2">
      <c r="K1078"/>
    </row>
    <row r="1079" spans="11:11" ht="15.75" customHeight="1" x14ac:dyDescent="0.2">
      <c r="K1079"/>
    </row>
    <row r="1080" spans="11:11" ht="15.75" customHeight="1" x14ac:dyDescent="0.2">
      <c r="K1080"/>
    </row>
    <row r="1081" spans="11:11" ht="15.75" customHeight="1" x14ac:dyDescent="0.2">
      <c r="K1081"/>
    </row>
    <row r="1082" spans="11:11" ht="15.75" customHeight="1" x14ac:dyDescent="0.2">
      <c r="K1082"/>
    </row>
    <row r="1083" spans="11:11" ht="15.75" customHeight="1" x14ac:dyDescent="0.2">
      <c r="K1083"/>
    </row>
    <row r="1084" spans="11:11" ht="15.75" customHeight="1" x14ac:dyDescent="0.2">
      <c r="K1084"/>
    </row>
    <row r="1085" spans="11:11" ht="15.75" customHeight="1" x14ac:dyDescent="0.2">
      <c r="K1085"/>
    </row>
    <row r="1086" spans="11:11" ht="15.75" customHeight="1" x14ac:dyDescent="0.2">
      <c r="K1086"/>
    </row>
    <row r="1087" spans="11:11" ht="15.75" customHeight="1" x14ac:dyDescent="0.2">
      <c r="K1087"/>
    </row>
    <row r="1088" spans="11:11" ht="15.75" customHeight="1" x14ac:dyDescent="0.2">
      <c r="K1088"/>
    </row>
    <row r="1089" spans="11:11" ht="15.75" customHeight="1" x14ac:dyDescent="0.2">
      <c r="K1089"/>
    </row>
    <row r="1090" spans="11:11" ht="15.75" customHeight="1" x14ac:dyDescent="0.2">
      <c r="K1090"/>
    </row>
    <row r="1091" spans="11:11" ht="15.75" customHeight="1" x14ac:dyDescent="0.2">
      <c r="K1091"/>
    </row>
    <row r="1092" spans="11:11" ht="15.75" customHeight="1" x14ac:dyDescent="0.2">
      <c r="K1092"/>
    </row>
    <row r="1093" spans="11:11" ht="15.75" customHeight="1" x14ac:dyDescent="0.2">
      <c r="K1093"/>
    </row>
    <row r="1094" spans="11:11" ht="15.75" customHeight="1" x14ac:dyDescent="0.2">
      <c r="K1094"/>
    </row>
    <row r="1095" spans="11:11" ht="15.75" customHeight="1" x14ac:dyDescent="0.2">
      <c r="K1095"/>
    </row>
    <row r="1096" spans="11:11" ht="15.75" customHeight="1" x14ac:dyDescent="0.2">
      <c r="K1096"/>
    </row>
    <row r="1097" spans="11:11" ht="15.75" customHeight="1" x14ac:dyDescent="0.2">
      <c r="K1097"/>
    </row>
    <row r="1098" spans="11:11" ht="15.75" customHeight="1" x14ac:dyDescent="0.2">
      <c r="K1098"/>
    </row>
    <row r="1099" spans="11:11" ht="15.75" customHeight="1" x14ac:dyDescent="0.2">
      <c r="K1099"/>
    </row>
    <row r="1100" spans="11:11" ht="15.75" customHeight="1" x14ac:dyDescent="0.2">
      <c r="K1100"/>
    </row>
    <row r="1101" spans="11:11" ht="15.75" customHeight="1" x14ac:dyDescent="0.2">
      <c r="K1101"/>
    </row>
    <row r="1102" spans="11:11" ht="15.75" customHeight="1" x14ac:dyDescent="0.2">
      <c r="K1102"/>
    </row>
    <row r="1103" spans="11:11" ht="15.75" customHeight="1" x14ac:dyDescent="0.2">
      <c r="K1103"/>
    </row>
    <row r="1104" spans="11:11" ht="15.75" customHeight="1" x14ac:dyDescent="0.2">
      <c r="K1104"/>
    </row>
    <row r="1105" spans="11:11" ht="15.75" customHeight="1" x14ac:dyDescent="0.2">
      <c r="K1105"/>
    </row>
    <row r="1106" spans="11:11" ht="15.75" customHeight="1" x14ac:dyDescent="0.2">
      <c r="K1106"/>
    </row>
    <row r="1107" spans="11:11" ht="15.75" customHeight="1" x14ac:dyDescent="0.2">
      <c r="K1107"/>
    </row>
    <row r="1108" spans="11:11" ht="15.75" customHeight="1" x14ac:dyDescent="0.2">
      <c r="K1108"/>
    </row>
    <row r="1109" spans="11:11" ht="15.75" customHeight="1" x14ac:dyDescent="0.2">
      <c r="K1109"/>
    </row>
    <row r="1110" spans="11:11" ht="15.75" customHeight="1" x14ac:dyDescent="0.2">
      <c r="K1110"/>
    </row>
    <row r="1111" spans="11:11" ht="15.75" customHeight="1" x14ac:dyDescent="0.2">
      <c r="K1111"/>
    </row>
    <row r="1112" spans="11:11" ht="15.75" customHeight="1" x14ac:dyDescent="0.2">
      <c r="K1112"/>
    </row>
    <row r="1113" spans="11:11" ht="15.75" customHeight="1" x14ac:dyDescent="0.2">
      <c r="K1113"/>
    </row>
    <row r="1114" spans="11:11" ht="15.75" customHeight="1" x14ac:dyDescent="0.2">
      <c r="K1114"/>
    </row>
    <row r="1115" spans="11:11" ht="15.75" customHeight="1" x14ac:dyDescent="0.2">
      <c r="K1115"/>
    </row>
    <row r="1116" spans="11:11" ht="15.75" customHeight="1" x14ac:dyDescent="0.2">
      <c r="K1116"/>
    </row>
    <row r="1117" spans="11:11" ht="15.75" customHeight="1" x14ac:dyDescent="0.2">
      <c r="K1117"/>
    </row>
    <row r="1118" spans="11:11" ht="15.75" customHeight="1" x14ac:dyDescent="0.2">
      <c r="K1118"/>
    </row>
    <row r="1119" spans="11:11" ht="15.75" customHeight="1" x14ac:dyDescent="0.2">
      <c r="K1119"/>
    </row>
    <row r="1120" spans="11:11" ht="15.75" customHeight="1" x14ac:dyDescent="0.2">
      <c r="K1120"/>
    </row>
    <row r="1121" spans="11:11" ht="15.75" customHeight="1" x14ac:dyDescent="0.2">
      <c r="K1121"/>
    </row>
    <row r="1122" spans="11:11" ht="15.75" customHeight="1" x14ac:dyDescent="0.2">
      <c r="K1122"/>
    </row>
    <row r="1123" spans="11:11" ht="15.75" customHeight="1" x14ac:dyDescent="0.2">
      <c r="K1123"/>
    </row>
    <row r="1124" spans="11:11" ht="15.75" customHeight="1" x14ac:dyDescent="0.2">
      <c r="K1124"/>
    </row>
    <row r="1125" spans="11:11" ht="15.75" customHeight="1" x14ac:dyDescent="0.2">
      <c r="K1125"/>
    </row>
    <row r="1126" spans="11:11" ht="15.75" customHeight="1" x14ac:dyDescent="0.2">
      <c r="K1126"/>
    </row>
    <row r="1127" spans="11:11" ht="15.75" customHeight="1" x14ac:dyDescent="0.2">
      <c r="K1127"/>
    </row>
    <row r="1128" spans="11:11" ht="15.75" customHeight="1" x14ac:dyDescent="0.2">
      <c r="K1128"/>
    </row>
    <row r="1129" spans="11:11" ht="15.75" customHeight="1" x14ac:dyDescent="0.2">
      <c r="K1129"/>
    </row>
    <row r="1130" spans="11:11" ht="12.75" customHeight="1" x14ac:dyDescent="0.2">
      <c r="K1130"/>
    </row>
    <row r="1131" spans="11:11" ht="15.75" customHeight="1" x14ac:dyDescent="0.2">
      <c r="K1131"/>
    </row>
    <row r="1132" spans="11:11" ht="15.75" customHeight="1" x14ac:dyDescent="0.2">
      <c r="K1132"/>
    </row>
    <row r="1133" spans="11:11" ht="15.75" customHeight="1" x14ac:dyDescent="0.2">
      <c r="K1133"/>
    </row>
    <row r="1134" spans="11:11" ht="15.75" customHeight="1" x14ac:dyDescent="0.2">
      <c r="K1134"/>
    </row>
    <row r="1135" spans="11:11" ht="15.75" customHeight="1" x14ac:dyDescent="0.2">
      <c r="K1135"/>
    </row>
    <row r="1136" spans="11:11" ht="15.75" customHeight="1" x14ac:dyDescent="0.2">
      <c r="K1136"/>
    </row>
    <row r="1137" spans="11:11" ht="15.75" customHeight="1" x14ac:dyDescent="0.2">
      <c r="K1137"/>
    </row>
    <row r="1138" spans="11:11" ht="15.75" customHeight="1" x14ac:dyDescent="0.2">
      <c r="K1138"/>
    </row>
    <row r="1139" spans="11:11" ht="15.75" customHeight="1" x14ac:dyDescent="0.2">
      <c r="K1139"/>
    </row>
    <row r="1140" spans="11:11" ht="15.75" customHeight="1" x14ac:dyDescent="0.2">
      <c r="K1140"/>
    </row>
    <row r="1141" spans="11:11" ht="15.75" customHeight="1" x14ac:dyDescent="0.2">
      <c r="K1141"/>
    </row>
    <row r="1142" spans="11:11" ht="15.75" customHeight="1" x14ac:dyDescent="0.2">
      <c r="K1142"/>
    </row>
    <row r="1143" spans="11:11" ht="15.75" customHeight="1" x14ac:dyDescent="0.2">
      <c r="K1143"/>
    </row>
    <row r="1144" spans="11:11" ht="15.75" customHeight="1" x14ac:dyDescent="0.2">
      <c r="K1144"/>
    </row>
    <row r="1145" spans="11:11" ht="15.75" customHeight="1" x14ac:dyDescent="0.2">
      <c r="K1145"/>
    </row>
    <row r="1146" spans="11:11" ht="15.75" customHeight="1" x14ac:dyDescent="0.2">
      <c r="K1146"/>
    </row>
    <row r="1147" spans="11:11" ht="15.75" customHeight="1" x14ac:dyDescent="0.2">
      <c r="K1147"/>
    </row>
    <row r="1148" spans="11:11" ht="15.75" customHeight="1" x14ac:dyDescent="0.2">
      <c r="K1148"/>
    </row>
    <row r="1149" spans="11:11" ht="15.75" customHeight="1" x14ac:dyDescent="0.2">
      <c r="K1149"/>
    </row>
    <row r="1150" spans="11:11" ht="15" customHeight="1" x14ac:dyDescent="0.2">
      <c r="K1150"/>
    </row>
    <row r="1151" spans="11:11" ht="15.75" customHeight="1" x14ac:dyDescent="0.2">
      <c r="K1151"/>
    </row>
    <row r="1152" spans="11:11" ht="15.75" customHeight="1" x14ac:dyDescent="0.2">
      <c r="K1152"/>
    </row>
    <row r="1153" spans="11:11" ht="15.75" customHeight="1" x14ac:dyDescent="0.2">
      <c r="K1153"/>
    </row>
    <row r="1154" spans="11:11" ht="15.75" customHeight="1" x14ac:dyDescent="0.2">
      <c r="K1154"/>
    </row>
    <row r="1155" spans="11:11" ht="15.75" customHeight="1" x14ac:dyDescent="0.2">
      <c r="K1155"/>
    </row>
    <row r="1156" spans="11:11" ht="15.75" customHeight="1" x14ac:dyDescent="0.2">
      <c r="K1156"/>
    </row>
    <row r="1157" spans="11:11" ht="15.75" customHeight="1" x14ac:dyDescent="0.2">
      <c r="K1157"/>
    </row>
    <row r="1158" spans="11:11" ht="15.75" customHeight="1" x14ac:dyDescent="0.2">
      <c r="K1158"/>
    </row>
    <row r="1159" spans="11:11" ht="15.75" customHeight="1" x14ac:dyDescent="0.2">
      <c r="K1159"/>
    </row>
    <row r="1160" spans="11:11" ht="15.75" customHeight="1" x14ac:dyDescent="0.2">
      <c r="K1160"/>
    </row>
    <row r="1161" spans="11:11" ht="15.75" customHeight="1" x14ac:dyDescent="0.2">
      <c r="K1161"/>
    </row>
    <row r="1162" spans="11:11" ht="15.75" customHeight="1" x14ac:dyDescent="0.2">
      <c r="K1162"/>
    </row>
    <row r="1163" spans="11:11" ht="15.75" customHeight="1" x14ac:dyDescent="0.2">
      <c r="K1163"/>
    </row>
    <row r="1164" spans="11:11" ht="15.75" customHeight="1" x14ac:dyDescent="0.2">
      <c r="K1164"/>
    </row>
    <row r="1165" spans="11:11" ht="15.75" customHeight="1" x14ac:dyDescent="0.2">
      <c r="K1165"/>
    </row>
    <row r="1166" spans="11:11" ht="15.75" customHeight="1" x14ac:dyDescent="0.2">
      <c r="K1166"/>
    </row>
    <row r="1167" spans="11:11" ht="15.75" customHeight="1" x14ac:dyDescent="0.2">
      <c r="K1167"/>
    </row>
    <row r="1168" spans="11:11" ht="15.75" customHeight="1" x14ac:dyDescent="0.2">
      <c r="K1168"/>
    </row>
    <row r="1169" spans="11:11" ht="15.75" customHeight="1" x14ac:dyDescent="0.2">
      <c r="K1169"/>
    </row>
    <row r="1170" spans="11:11" ht="15.75" customHeight="1" x14ac:dyDescent="0.2">
      <c r="K1170"/>
    </row>
    <row r="1171" spans="11:11" ht="15.75" customHeight="1" x14ac:dyDescent="0.2">
      <c r="K1171"/>
    </row>
    <row r="1172" spans="11:11" ht="15.75" customHeight="1" x14ac:dyDescent="0.2">
      <c r="K1172"/>
    </row>
    <row r="1173" spans="11:11" ht="15.75" customHeight="1" x14ac:dyDescent="0.2">
      <c r="K1173"/>
    </row>
    <row r="1174" spans="11:11" ht="15.75" customHeight="1" x14ac:dyDescent="0.2">
      <c r="K1174"/>
    </row>
    <row r="1175" spans="11:11" ht="15.75" customHeight="1" x14ac:dyDescent="0.2">
      <c r="K1175"/>
    </row>
    <row r="1176" spans="11:11" ht="15.75" customHeight="1" x14ac:dyDescent="0.2">
      <c r="K1176"/>
    </row>
    <row r="1177" spans="11:11" ht="15.75" customHeight="1" x14ac:dyDescent="0.2">
      <c r="K1177"/>
    </row>
    <row r="1178" spans="11:11" ht="15.75" customHeight="1" x14ac:dyDescent="0.2">
      <c r="K1178"/>
    </row>
    <row r="1179" spans="11:11" ht="15.75" customHeight="1" x14ac:dyDescent="0.2">
      <c r="K1179"/>
    </row>
    <row r="1180" spans="11:11" ht="15.75" customHeight="1" x14ac:dyDescent="0.2">
      <c r="K1180"/>
    </row>
    <row r="1181" spans="11:11" ht="15.75" customHeight="1" x14ac:dyDescent="0.2">
      <c r="K1181"/>
    </row>
    <row r="1182" spans="11:11" ht="15.75" customHeight="1" x14ac:dyDescent="0.2">
      <c r="K1182"/>
    </row>
    <row r="1183" spans="11:11" ht="15.75" customHeight="1" x14ac:dyDescent="0.2">
      <c r="K1183"/>
    </row>
    <row r="1184" spans="11:11" ht="15.75" customHeight="1" x14ac:dyDescent="0.2">
      <c r="K1184"/>
    </row>
    <row r="1185" spans="11:11" ht="15.75" customHeight="1" x14ac:dyDescent="0.2">
      <c r="K1185"/>
    </row>
    <row r="1186" spans="11:11" ht="15.75" customHeight="1" x14ac:dyDescent="0.2">
      <c r="K1186"/>
    </row>
    <row r="1187" spans="11:11" ht="15.75" customHeight="1" x14ac:dyDescent="0.2">
      <c r="K1187"/>
    </row>
    <row r="1188" spans="11:11" ht="15.75" customHeight="1" x14ac:dyDescent="0.2">
      <c r="K1188"/>
    </row>
    <row r="1189" spans="11:11" ht="15.75" customHeight="1" x14ac:dyDescent="0.2">
      <c r="K1189"/>
    </row>
    <row r="1190" spans="11:11" ht="15.75" customHeight="1" x14ac:dyDescent="0.2">
      <c r="K1190"/>
    </row>
    <row r="1191" spans="11:11" ht="15.75" customHeight="1" x14ac:dyDescent="0.2">
      <c r="K1191"/>
    </row>
    <row r="1192" spans="11:11" ht="15.75" customHeight="1" x14ac:dyDescent="0.2">
      <c r="K1192"/>
    </row>
    <row r="1193" spans="11:11" ht="15.75" customHeight="1" x14ac:dyDescent="0.2">
      <c r="K1193"/>
    </row>
    <row r="1194" spans="11:11" ht="15.75" customHeight="1" x14ac:dyDescent="0.2">
      <c r="K1194"/>
    </row>
    <row r="1195" spans="11:11" ht="15.75" customHeight="1" x14ac:dyDescent="0.2">
      <c r="K1195"/>
    </row>
    <row r="1196" spans="11:11" ht="15.75" customHeight="1" x14ac:dyDescent="0.2">
      <c r="K1196"/>
    </row>
    <row r="1197" spans="11:11" ht="15.75" customHeight="1" x14ac:dyDescent="0.2">
      <c r="K1197"/>
    </row>
    <row r="1198" spans="11:11" ht="15.75" customHeight="1" x14ac:dyDescent="0.2">
      <c r="K1198"/>
    </row>
    <row r="1199" spans="11:11" ht="15.75" customHeight="1" x14ac:dyDescent="0.2">
      <c r="K1199"/>
    </row>
    <row r="1200" spans="11:11" ht="15.75" customHeight="1" x14ac:dyDescent="0.2">
      <c r="K1200"/>
    </row>
    <row r="1201" spans="11:11" ht="15.75" customHeight="1" x14ac:dyDescent="0.2">
      <c r="K1201"/>
    </row>
    <row r="1202" spans="11:11" ht="15.75" customHeight="1" x14ac:dyDescent="0.2">
      <c r="K1202"/>
    </row>
    <row r="1203" spans="11:11" ht="15.75" customHeight="1" x14ac:dyDescent="0.2">
      <c r="K1203"/>
    </row>
    <row r="1204" spans="11:11" ht="15.75" customHeight="1" x14ac:dyDescent="0.2">
      <c r="K1204"/>
    </row>
    <row r="1205" spans="11:11" ht="15.75" customHeight="1" x14ac:dyDescent="0.2">
      <c r="K1205"/>
    </row>
    <row r="1206" spans="11:11" ht="15.75" customHeight="1" x14ac:dyDescent="0.2">
      <c r="K1206"/>
    </row>
    <row r="1207" spans="11:11" ht="15.75" customHeight="1" x14ac:dyDescent="0.2">
      <c r="K1207"/>
    </row>
    <row r="1208" spans="11:11" ht="15.75" customHeight="1" x14ac:dyDescent="0.2">
      <c r="K1208"/>
    </row>
    <row r="1209" spans="11:11" ht="15.75" customHeight="1" x14ac:dyDescent="0.2">
      <c r="K1209"/>
    </row>
    <row r="1210" spans="11:11" ht="15.75" customHeight="1" x14ac:dyDescent="0.2">
      <c r="K1210"/>
    </row>
    <row r="1211" spans="11:11" ht="15.75" customHeight="1" x14ac:dyDescent="0.2">
      <c r="K1211"/>
    </row>
    <row r="1212" spans="11:11" ht="15.75" customHeight="1" x14ac:dyDescent="0.2">
      <c r="K1212"/>
    </row>
    <row r="1213" spans="11:11" ht="15.75" customHeight="1" x14ac:dyDescent="0.2">
      <c r="K1213"/>
    </row>
    <row r="1214" spans="11:11" ht="15.75" customHeight="1" x14ac:dyDescent="0.2">
      <c r="K1214"/>
    </row>
    <row r="1215" spans="11:11" ht="15.75" customHeight="1" x14ac:dyDescent="0.2">
      <c r="K1215"/>
    </row>
    <row r="1216" spans="11:11" ht="15.75" customHeight="1" x14ac:dyDescent="0.2">
      <c r="K1216"/>
    </row>
    <row r="1217" spans="11:11" ht="15.75" customHeight="1" x14ac:dyDescent="0.2">
      <c r="K1217"/>
    </row>
    <row r="1218" spans="11:11" ht="15.75" customHeight="1" x14ac:dyDescent="0.2">
      <c r="K1218"/>
    </row>
    <row r="1219" spans="11:11" ht="15.75" customHeight="1" x14ac:dyDescent="0.2">
      <c r="K1219"/>
    </row>
    <row r="1220" spans="11:11" ht="15.75" customHeight="1" x14ac:dyDescent="0.2">
      <c r="K1220"/>
    </row>
    <row r="1221" spans="11:11" ht="15.75" customHeight="1" x14ac:dyDescent="0.2">
      <c r="K1221"/>
    </row>
    <row r="1222" spans="11:11" ht="15.75" customHeight="1" x14ac:dyDescent="0.2">
      <c r="K1222"/>
    </row>
    <row r="1223" spans="11:11" ht="15.75" customHeight="1" x14ac:dyDescent="0.2">
      <c r="K1223"/>
    </row>
    <row r="1224" spans="11:11" ht="15.75" customHeight="1" x14ac:dyDescent="0.2">
      <c r="K1224"/>
    </row>
    <row r="1225" spans="11:11" ht="15.75" customHeight="1" x14ac:dyDescent="0.2">
      <c r="K1225"/>
    </row>
    <row r="1226" spans="11:11" ht="15.75" customHeight="1" x14ac:dyDescent="0.2">
      <c r="K1226"/>
    </row>
    <row r="1227" spans="11:11" ht="15.75" customHeight="1" x14ac:dyDescent="0.2">
      <c r="K1227"/>
    </row>
    <row r="1228" spans="11:11" ht="15.75" customHeight="1" x14ac:dyDescent="0.2">
      <c r="K1228"/>
    </row>
    <row r="1229" spans="11:11" ht="15.75" customHeight="1" x14ac:dyDescent="0.2">
      <c r="K1229"/>
    </row>
    <row r="1230" spans="11:11" ht="15.75" customHeight="1" x14ac:dyDescent="0.2">
      <c r="K1230"/>
    </row>
    <row r="1231" spans="11:11" ht="15.75" customHeight="1" x14ac:dyDescent="0.2">
      <c r="K1231"/>
    </row>
    <row r="1232" spans="11:11" ht="15.75" customHeight="1" x14ac:dyDescent="0.2">
      <c r="K1232"/>
    </row>
    <row r="1233" spans="11:11" ht="15.75" customHeight="1" x14ac:dyDescent="0.2">
      <c r="K1233"/>
    </row>
    <row r="1234" spans="11:11" ht="15.75" customHeight="1" x14ac:dyDescent="0.2">
      <c r="K1234"/>
    </row>
    <row r="1235" spans="11:11" ht="15.75" customHeight="1" x14ac:dyDescent="0.2">
      <c r="K1235"/>
    </row>
    <row r="1236" spans="11:11" ht="15.75" customHeight="1" x14ac:dyDescent="0.2">
      <c r="K1236"/>
    </row>
    <row r="1237" spans="11:11" ht="15.75" customHeight="1" x14ac:dyDescent="0.2">
      <c r="K1237"/>
    </row>
    <row r="1238" spans="11:11" ht="15.75" customHeight="1" x14ac:dyDescent="0.2">
      <c r="K1238"/>
    </row>
    <row r="1239" spans="11:11" ht="15.75" customHeight="1" x14ac:dyDescent="0.2">
      <c r="K1239"/>
    </row>
    <row r="1240" spans="11:11" ht="15.75" customHeight="1" x14ac:dyDescent="0.2">
      <c r="K1240"/>
    </row>
    <row r="1241" spans="11:11" ht="15.75" customHeight="1" x14ac:dyDescent="0.2">
      <c r="K1241"/>
    </row>
    <row r="1242" spans="11:11" ht="15.75" customHeight="1" x14ac:dyDescent="0.2">
      <c r="K1242"/>
    </row>
    <row r="1243" spans="11:11" ht="15.75" customHeight="1" x14ac:dyDescent="0.2">
      <c r="K1243"/>
    </row>
    <row r="1244" spans="11:11" ht="15.75" customHeight="1" x14ac:dyDescent="0.2">
      <c r="K1244"/>
    </row>
    <row r="1245" spans="11:11" ht="15.75" customHeight="1" x14ac:dyDescent="0.2">
      <c r="K1245"/>
    </row>
    <row r="1246" spans="11:11" ht="15.75" customHeight="1" x14ac:dyDescent="0.2">
      <c r="K1246"/>
    </row>
    <row r="1247" spans="11:11" ht="15.75" customHeight="1" x14ac:dyDescent="0.2">
      <c r="K1247"/>
    </row>
    <row r="1248" spans="11:11" ht="15.75" customHeight="1" x14ac:dyDescent="0.2">
      <c r="K1248"/>
    </row>
    <row r="1249" spans="11:11" ht="15.75" customHeight="1" x14ac:dyDescent="0.2">
      <c r="K1249"/>
    </row>
    <row r="1250" spans="11:11" ht="15.75" customHeight="1" x14ac:dyDescent="0.2">
      <c r="K1250"/>
    </row>
    <row r="1251" spans="11:11" ht="15.75" customHeight="1" x14ac:dyDescent="0.2">
      <c r="K1251"/>
    </row>
    <row r="1252" spans="11:11" ht="15.75" customHeight="1" x14ac:dyDescent="0.2">
      <c r="K1252"/>
    </row>
    <row r="1253" spans="11:11" ht="15.75" customHeight="1" x14ac:dyDescent="0.2">
      <c r="K1253"/>
    </row>
    <row r="1254" spans="11:11" ht="15.75" customHeight="1" x14ac:dyDescent="0.2">
      <c r="K1254"/>
    </row>
    <row r="1255" spans="11:11" ht="15.75" customHeight="1" x14ac:dyDescent="0.2">
      <c r="K1255"/>
    </row>
    <row r="1256" spans="11:11" ht="15.75" customHeight="1" x14ac:dyDescent="0.2">
      <c r="K1256"/>
    </row>
    <row r="1257" spans="11:11" ht="15.75" customHeight="1" x14ac:dyDescent="0.2">
      <c r="K1257"/>
    </row>
    <row r="1258" spans="11:11" ht="15.75" customHeight="1" x14ac:dyDescent="0.2">
      <c r="K1258"/>
    </row>
    <row r="1259" spans="11:11" ht="15.75" customHeight="1" x14ac:dyDescent="0.2">
      <c r="K1259"/>
    </row>
    <row r="1260" spans="11:11" ht="15.75" customHeight="1" x14ac:dyDescent="0.2">
      <c r="K1260"/>
    </row>
    <row r="1261" spans="11:11" ht="15.75" customHeight="1" x14ac:dyDescent="0.2">
      <c r="K1261"/>
    </row>
    <row r="1262" spans="11:11" ht="15.75" customHeight="1" x14ac:dyDescent="0.2">
      <c r="K1262"/>
    </row>
    <row r="1263" spans="11:11" ht="15.75" customHeight="1" x14ac:dyDescent="0.2">
      <c r="K1263"/>
    </row>
    <row r="1264" spans="11:11" ht="15.75" customHeight="1" x14ac:dyDescent="0.2">
      <c r="K1264"/>
    </row>
    <row r="1265" spans="11:11" ht="15.75" customHeight="1" x14ac:dyDescent="0.2">
      <c r="K1265"/>
    </row>
    <row r="1266" spans="11:11" ht="15.75" customHeight="1" x14ac:dyDescent="0.2">
      <c r="K1266"/>
    </row>
    <row r="1267" spans="11:11" ht="15.75" customHeight="1" x14ac:dyDescent="0.2">
      <c r="K1267"/>
    </row>
    <row r="1268" spans="11:11" ht="15.75" customHeight="1" x14ac:dyDescent="0.2">
      <c r="K1268"/>
    </row>
    <row r="1269" spans="11:11" ht="15.75" customHeight="1" x14ac:dyDescent="0.2">
      <c r="K1269"/>
    </row>
    <row r="1270" spans="11:11" ht="15.75" customHeight="1" x14ac:dyDescent="0.2">
      <c r="K1270"/>
    </row>
    <row r="1271" spans="11:11" ht="15.75" customHeight="1" x14ac:dyDescent="0.2">
      <c r="K1271"/>
    </row>
    <row r="1272" spans="11:11" ht="15.75" customHeight="1" x14ac:dyDescent="0.2">
      <c r="K1272"/>
    </row>
    <row r="1273" spans="11:11" ht="15.75" customHeight="1" x14ac:dyDescent="0.2">
      <c r="K1273"/>
    </row>
    <row r="1274" spans="11:11" ht="15.75" customHeight="1" x14ac:dyDescent="0.2">
      <c r="K1274"/>
    </row>
    <row r="1275" spans="11:11" ht="15.75" customHeight="1" x14ac:dyDescent="0.2">
      <c r="K1275"/>
    </row>
    <row r="1276" spans="11:11" ht="15.75" customHeight="1" x14ac:dyDescent="0.2">
      <c r="K1276"/>
    </row>
    <row r="1277" spans="11:11" ht="15.75" customHeight="1" x14ac:dyDescent="0.2">
      <c r="K1277"/>
    </row>
    <row r="1278" spans="11:11" ht="15.75" customHeight="1" x14ac:dyDescent="0.2">
      <c r="K1278"/>
    </row>
    <row r="1279" spans="11:11" ht="15.75" customHeight="1" x14ac:dyDescent="0.2">
      <c r="K1279"/>
    </row>
    <row r="1280" spans="11:11" ht="15.75" customHeight="1" x14ac:dyDescent="0.2">
      <c r="K1280"/>
    </row>
    <row r="1281" spans="11:11" ht="15.75" customHeight="1" x14ac:dyDescent="0.2">
      <c r="K1281"/>
    </row>
    <row r="1282" spans="11:11" ht="15.75" customHeight="1" x14ac:dyDescent="0.2">
      <c r="K1282"/>
    </row>
    <row r="1283" spans="11:11" ht="15.75" customHeight="1" x14ac:dyDescent="0.2">
      <c r="K1283"/>
    </row>
    <row r="1284" spans="11:11" ht="15.75" customHeight="1" x14ac:dyDescent="0.2">
      <c r="K1284"/>
    </row>
    <row r="1285" spans="11:11" ht="15.75" customHeight="1" x14ac:dyDescent="0.2">
      <c r="K1285"/>
    </row>
    <row r="1286" spans="11:11" ht="15.75" customHeight="1" x14ac:dyDescent="0.2">
      <c r="K1286"/>
    </row>
    <row r="1287" spans="11:11" ht="15.75" customHeight="1" x14ac:dyDescent="0.2">
      <c r="K1287"/>
    </row>
    <row r="1288" spans="11:11" ht="15.75" customHeight="1" x14ac:dyDescent="0.2">
      <c r="K1288"/>
    </row>
    <row r="1289" spans="11:11" ht="15.75" customHeight="1" x14ac:dyDescent="0.2">
      <c r="K1289"/>
    </row>
    <row r="1290" spans="11:11" ht="15.75" customHeight="1" x14ac:dyDescent="0.2">
      <c r="K1290"/>
    </row>
    <row r="1291" spans="11:11" ht="15.75" customHeight="1" x14ac:dyDescent="0.2">
      <c r="K1291"/>
    </row>
    <row r="1292" spans="11:11" ht="15.75" customHeight="1" x14ac:dyDescent="0.2">
      <c r="K1292"/>
    </row>
    <row r="1293" spans="11:11" ht="15.75" customHeight="1" x14ac:dyDescent="0.2">
      <c r="K1293"/>
    </row>
    <row r="1294" spans="11:11" ht="15.75" customHeight="1" x14ac:dyDescent="0.2">
      <c r="K1294"/>
    </row>
    <row r="1295" spans="11:11" ht="15.75" customHeight="1" x14ac:dyDescent="0.2">
      <c r="K1295"/>
    </row>
    <row r="1296" spans="11:11" ht="15.75" customHeight="1" x14ac:dyDescent="0.2">
      <c r="K1296"/>
    </row>
    <row r="1297" spans="11:11" ht="15.75" customHeight="1" x14ac:dyDescent="0.2">
      <c r="K1297"/>
    </row>
    <row r="1298" spans="11:11" ht="15.75" customHeight="1" x14ac:dyDescent="0.2">
      <c r="K1298"/>
    </row>
    <row r="1299" spans="11:11" ht="15.75" customHeight="1" x14ac:dyDescent="0.2">
      <c r="K1299"/>
    </row>
    <row r="1300" spans="11:11" ht="15.75" customHeight="1" x14ac:dyDescent="0.2">
      <c r="K1300"/>
    </row>
    <row r="1301" spans="11:11" ht="15.75" customHeight="1" x14ac:dyDescent="0.2">
      <c r="K1301"/>
    </row>
    <row r="1302" spans="11:11" ht="15.75" customHeight="1" x14ac:dyDescent="0.2">
      <c r="K1302"/>
    </row>
    <row r="1303" spans="11:11" ht="15.75" customHeight="1" x14ac:dyDescent="0.2">
      <c r="K1303"/>
    </row>
    <row r="1304" spans="11:11" ht="15.75" customHeight="1" x14ac:dyDescent="0.2">
      <c r="K1304"/>
    </row>
    <row r="1305" spans="11:11" ht="15.75" customHeight="1" x14ac:dyDescent="0.2">
      <c r="K1305"/>
    </row>
    <row r="1306" spans="11:11" ht="15.75" customHeight="1" x14ac:dyDescent="0.2">
      <c r="K1306"/>
    </row>
    <row r="1307" spans="11:11" ht="15.75" customHeight="1" x14ac:dyDescent="0.2">
      <c r="K1307"/>
    </row>
    <row r="1308" spans="11:11" ht="15.75" customHeight="1" x14ac:dyDescent="0.2">
      <c r="K1308"/>
    </row>
    <row r="1309" spans="11:11" ht="15.75" customHeight="1" x14ac:dyDescent="0.2">
      <c r="K1309"/>
    </row>
    <row r="1310" spans="11:11" ht="15.75" customHeight="1" x14ac:dyDescent="0.2">
      <c r="K1310"/>
    </row>
    <row r="1311" spans="11:11" ht="15.75" customHeight="1" x14ac:dyDescent="0.2">
      <c r="K1311"/>
    </row>
    <row r="1312" spans="11:11" ht="15.75" customHeight="1" x14ac:dyDescent="0.2">
      <c r="K1312"/>
    </row>
    <row r="1313" spans="11:11" ht="15.75" customHeight="1" x14ac:dyDescent="0.2">
      <c r="K1313"/>
    </row>
    <row r="1314" spans="11:11" ht="15.75" customHeight="1" x14ac:dyDescent="0.2">
      <c r="K1314"/>
    </row>
    <row r="1315" spans="11:11" ht="15.75" customHeight="1" x14ac:dyDescent="0.2">
      <c r="K1315"/>
    </row>
    <row r="1316" spans="11:11" ht="15.75" customHeight="1" x14ac:dyDescent="0.2">
      <c r="K1316"/>
    </row>
    <row r="1317" spans="11:11" ht="15.75" customHeight="1" x14ac:dyDescent="0.2">
      <c r="K1317"/>
    </row>
    <row r="1318" spans="11:11" ht="15.75" customHeight="1" x14ac:dyDescent="0.2">
      <c r="K1318"/>
    </row>
    <row r="1319" spans="11:11" ht="15.75" customHeight="1" x14ac:dyDescent="0.2">
      <c r="K1319"/>
    </row>
    <row r="1320" spans="11:11" ht="15.75" customHeight="1" x14ac:dyDescent="0.2">
      <c r="K1320"/>
    </row>
    <row r="1321" spans="11:11" ht="15.75" customHeight="1" x14ac:dyDescent="0.2">
      <c r="K1321"/>
    </row>
    <row r="1322" spans="11:11" ht="15.75" customHeight="1" x14ac:dyDescent="0.2">
      <c r="K1322"/>
    </row>
    <row r="1323" spans="11:11" ht="15.75" customHeight="1" x14ac:dyDescent="0.2">
      <c r="K1323"/>
    </row>
    <row r="1324" spans="11:11" ht="15.75" customHeight="1" x14ac:dyDescent="0.2">
      <c r="K1324"/>
    </row>
    <row r="1325" spans="11:11" ht="15.75" customHeight="1" x14ac:dyDescent="0.2">
      <c r="K1325"/>
    </row>
    <row r="1326" spans="11:11" ht="15.75" customHeight="1" x14ac:dyDescent="0.2">
      <c r="K1326"/>
    </row>
    <row r="1327" spans="11:11" ht="15.75" customHeight="1" x14ac:dyDescent="0.2">
      <c r="K1327"/>
    </row>
    <row r="1328" spans="11:11" ht="15.75" customHeight="1" x14ac:dyDescent="0.2">
      <c r="K1328"/>
    </row>
    <row r="1329" spans="11:11" ht="15.75" customHeight="1" x14ac:dyDescent="0.2">
      <c r="K1329"/>
    </row>
    <row r="1330" spans="11:11" ht="15.75" customHeight="1" x14ac:dyDescent="0.2">
      <c r="K1330"/>
    </row>
    <row r="1331" spans="11:11" ht="15.75" customHeight="1" x14ac:dyDescent="0.2">
      <c r="K1331"/>
    </row>
    <row r="1332" spans="11:11" ht="15.75" customHeight="1" x14ac:dyDescent="0.2">
      <c r="K1332"/>
    </row>
    <row r="1333" spans="11:11" ht="15.75" customHeight="1" x14ac:dyDescent="0.2">
      <c r="K1333"/>
    </row>
    <row r="1334" spans="11:11" ht="15.75" customHeight="1" x14ac:dyDescent="0.2">
      <c r="K1334"/>
    </row>
    <row r="1335" spans="11:11" ht="15.75" customHeight="1" x14ac:dyDescent="0.2">
      <c r="K1335"/>
    </row>
    <row r="1336" spans="11:11" ht="15.75" customHeight="1" x14ac:dyDescent="0.2">
      <c r="K1336"/>
    </row>
    <row r="1337" spans="11:11" ht="15.75" customHeight="1" x14ac:dyDescent="0.2">
      <c r="K1337"/>
    </row>
    <row r="1338" spans="11:11" ht="15.75" customHeight="1" x14ac:dyDescent="0.2">
      <c r="K1338"/>
    </row>
    <row r="1339" spans="11:11" ht="15.75" customHeight="1" x14ac:dyDescent="0.2">
      <c r="K1339"/>
    </row>
    <row r="1340" spans="11:11" ht="15.75" customHeight="1" x14ac:dyDescent="0.2">
      <c r="K1340"/>
    </row>
    <row r="1341" spans="11:11" ht="15.75" customHeight="1" x14ac:dyDescent="0.2">
      <c r="K1341"/>
    </row>
    <row r="1342" spans="11:11" ht="15.75" customHeight="1" x14ac:dyDescent="0.2">
      <c r="K1342"/>
    </row>
    <row r="1343" spans="11:11" ht="15.75" customHeight="1" x14ac:dyDescent="0.2">
      <c r="K1343"/>
    </row>
    <row r="1344" spans="11:11" ht="15.75" customHeight="1" x14ac:dyDescent="0.2">
      <c r="K1344"/>
    </row>
    <row r="1345" spans="11:11" ht="15.75" customHeight="1" x14ac:dyDescent="0.2">
      <c r="K1345"/>
    </row>
    <row r="1346" spans="11:11" ht="15.75" customHeight="1" x14ac:dyDescent="0.2">
      <c r="K1346"/>
    </row>
    <row r="1347" spans="11:11" ht="15.75" customHeight="1" x14ac:dyDescent="0.2">
      <c r="K1347"/>
    </row>
    <row r="1348" spans="11:11" ht="15.75" customHeight="1" x14ac:dyDescent="0.2">
      <c r="K1348"/>
    </row>
    <row r="1349" spans="11:11" ht="15.75" customHeight="1" x14ac:dyDescent="0.2">
      <c r="K1349"/>
    </row>
    <row r="1350" spans="11:11" ht="15.75" customHeight="1" x14ac:dyDescent="0.2">
      <c r="K1350"/>
    </row>
    <row r="1351" spans="11:11" ht="15.75" customHeight="1" x14ac:dyDescent="0.2">
      <c r="K1351"/>
    </row>
    <row r="1352" spans="11:11" ht="15.75" customHeight="1" x14ac:dyDescent="0.2">
      <c r="K1352"/>
    </row>
    <row r="1353" spans="11:11" ht="15.75" customHeight="1" x14ac:dyDescent="0.2">
      <c r="K1353"/>
    </row>
    <row r="1354" spans="11:11" ht="15.75" customHeight="1" x14ac:dyDescent="0.2">
      <c r="K1354"/>
    </row>
    <row r="1355" spans="11:11" ht="15.75" customHeight="1" x14ac:dyDescent="0.2">
      <c r="K1355"/>
    </row>
    <row r="1356" spans="11:11" ht="15.75" customHeight="1" x14ac:dyDescent="0.2">
      <c r="K1356"/>
    </row>
    <row r="1357" spans="11:11" ht="15.75" customHeight="1" x14ac:dyDescent="0.2">
      <c r="K1357"/>
    </row>
    <row r="1358" spans="11:11" ht="15.75" customHeight="1" x14ac:dyDescent="0.2">
      <c r="K1358"/>
    </row>
    <row r="1359" spans="11:11" ht="15.75" customHeight="1" x14ac:dyDescent="0.2">
      <c r="K1359"/>
    </row>
    <row r="1360" spans="11:11" ht="15.75" customHeight="1" x14ac:dyDescent="0.2">
      <c r="K1360"/>
    </row>
    <row r="1361" spans="11:11" ht="15.75" customHeight="1" x14ac:dyDescent="0.2">
      <c r="K1361"/>
    </row>
    <row r="1362" spans="11:11" ht="15.75" customHeight="1" x14ac:dyDescent="0.2">
      <c r="K1362"/>
    </row>
    <row r="1363" spans="11:11" ht="15.75" customHeight="1" x14ac:dyDescent="0.2">
      <c r="K1363"/>
    </row>
    <row r="1364" spans="11:11" ht="15.75" customHeight="1" x14ac:dyDescent="0.2">
      <c r="K1364"/>
    </row>
    <row r="1365" spans="11:11" ht="15.75" customHeight="1" x14ac:dyDescent="0.2">
      <c r="K1365"/>
    </row>
    <row r="1366" spans="11:11" ht="15.75" customHeight="1" x14ac:dyDescent="0.2">
      <c r="K1366"/>
    </row>
    <row r="1367" spans="11:11" ht="15.75" customHeight="1" x14ac:dyDescent="0.2">
      <c r="K1367"/>
    </row>
    <row r="1368" spans="11:11" ht="15.75" customHeight="1" x14ac:dyDescent="0.2">
      <c r="K1368"/>
    </row>
    <row r="1369" spans="11:11" ht="15.75" customHeight="1" x14ac:dyDescent="0.2">
      <c r="K1369"/>
    </row>
    <row r="1370" spans="11:11" ht="15.75" customHeight="1" x14ac:dyDescent="0.2">
      <c r="K1370"/>
    </row>
    <row r="1371" spans="11:11" ht="15.75" customHeight="1" x14ac:dyDescent="0.2">
      <c r="K1371"/>
    </row>
    <row r="1372" spans="11:11" ht="15.75" customHeight="1" x14ac:dyDescent="0.2">
      <c r="K1372"/>
    </row>
    <row r="1373" spans="11:11" ht="15.75" customHeight="1" x14ac:dyDescent="0.2">
      <c r="K1373"/>
    </row>
    <row r="1374" spans="11:11" ht="15.75" customHeight="1" x14ac:dyDescent="0.2">
      <c r="K1374"/>
    </row>
    <row r="1375" spans="11:11" ht="15.75" customHeight="1" x14ac:dyDescent="0.2">
      <c r="K1375"/>
    </row>
    <row r="1376" spans="11:11" ht="15.75" customHeight="1" x14ac:dyDescent="0.2">
      <c r="K1376"/>
    </row>
    <row r="1377" spans="11:11" ht="15.75" customHeight="1" x14ac:dyDescent="0.2">
      <c r="K1377"/>
    </row>
    <row r="1378" spans="11:11" ht="15.75" customHeight="1" x14ac:dyDescent="0.2">
      <c r="K1378"/>
    </row>
    <row r="1379" spans="11:11" ht="15.75" customHeight="1" x14ac:dyDescent="0.2">
      <c r="K1379"/>
    </row>
    <row r="1380" spans="11:11" ht="15.75" customHeight="1" x14ac:dyDescent="0.2">
      <c r="K1380"/>
    </row>
    <row r="1381" spans="11:11" ht="15.75" customHeight="1" x14ac:dyDescent="0.2">
      <c r="K1381"/>
    </row>
    <row r="1382" spans="11:11" ht="15.75" customHeight="1" x14ac:dyDescent="0.2">
      <c r="K1382"/>
    </row>
    <row r="1383" spans="11:11" ht="15.75" customHeight="1" x14ac:dyDescent="0.2">
      <c r="K1383"/>
    </row>
    <row r="1384" spans="11:11" ht="15.75" customHeight="1" x14ac:dyDescent="0.2">
      <c r="K1384"/>
    </row>
    <row r="1385" spans="11:11" ht="15.75" customHeight="1" x14ac:dyDescent="0.2">
      <c r="K1385"/>
    </row>
    <row r="1386" spans="11:11" ht="15.75" customHeight="1" x14ac:dyDescent="0.2">
      <c r="K1386"/>
    </row>
    <row r="1387" spans="11:11" ht="15.75" customHeight="1" x14ac:dyDescent="0.2">
      <c r="K1387"/>
    </row>
    <row r="1388" spans="11:11" ht="15.75" customHeight="1" x14ac:dyDescent="0.2">
      <c r="K1388"/>
    </row>
    <row r="1389" spans="11:11" ht="15.75" customHeight="1" x14ac:dyDescent="0.2">
      <c r="K1389"/>
    </row>
    <row r="1390" spans="11:11" ht="15.75" customHeight="1" x14ac:dyDescent="0.2">
      <c r="K1390"/>
    </row>
    <row r="1391" spans="11:11" ht="15.75" customHeight="1" x14ac:dyDescent="0.2">
      <c r="K1391"/>
    </row>
    <row r="1392" spans="11:11" ht="15.75" customHeight="1" x14ac:dyDescent="0.2">
      <c r="K1392"/>
    </row>
    <row r="1393" spans="11:11" ht="15.75" customHeight="1" x14ac:dyDescent="0.2">
      <c r="K1393"/>
    </row>
    <row r="1394" spans="11:11" ht="15.75" customHeight="1" x14ac:dyDescent="0.2">
      <c r="K1394"/>
    </row>
    <row r="1395" spans="11:11" ht="15.75" customHeight="1" x14ac:dyDescent="0.2">
      <c r="K1395"/>
    </row>
    <row r="1396" spans="11:11" ht="15.75" customHeight="1" x14ac:dyDescent="0.2">
      <c r="K1396"/>
    </row>
    <row r="1397" spans="11:11" ht="15.75" customHeight="1" x14ac:dyDescent="0.2">
      <c r="K1397"/>
    </row>
    <row r="1398" spans="11:11" ht="15.75" customHeight="1" x14ac:dyDescent="0.2">
      <c r="K1398"/>
    </row>
    <row r="1399" spans="11:11" ht="15.75" customHeight="1" x14ac:dyDescent="0.2">
      <c r="K1399"/>
    </row>
    <row r="1400" spans="11:11" ht="15.75" customHeight="1" x14ac:dyDescent="0.2">
      <c r="K1400"/>
    </row>
    <row r="1401" spans="11:11" ht="15.75" customHeight="1" x14ac:dyDescent="0.2">
      <c r="K1401"/>
    </row>
    <row r="1402" spans="11:11" ht="15.75" customHeight="1" x14ac:dyDescent="0.2">
      <c r="K1402"/>
    </row>
    <row r="1403" spans="11:11" ht="15.75" customHeight="1" x14ac:dyDescent="0.2">
      <c r="K1403"/>
    </row>
    <row r="1404" spans="11:11" ht="15.75" customHeight="1" x14ac:dyDescent="0.2">
      <c r="K1404"/>
    </row>
    <row r="1405" spans="11:11" ht="15.75" customHeight="1" x14ac:dyDescent="0.2">
      <c r="K1405"/>
    </row>
    <row r="1406" spans="11:11" ht="15.75" customHeight="1" x14ac:dyDescent="0.2">
      <c r="K1406"/>
    </row>
    <row r="1407" spans="11:11" ht="15.75" customHeight="1" x14ac:dyDescent="0.2">
      <c r="K1407"/>
    </row>
    <row r="1408" spans="11:11" ht="15.75" customHeight="1" x14ac:dyDescent="0.2">
      <c r="K1408"/>
    </row>
    <row r="1409" spans="11:11" ht="15.75" customHeight="1" x14ac:dyDescent="0.2">
      <c r="K1409"/>
    </row>
    <row r="1410" spans="11:11" ht="15.75" customHeight="1" x14ac:dyDescent="0.2">
      <c r="K1410"/>
    </row>
    <row r="1411" spans="11:11" ht="15.75" customHeight="1" x14ac:dyDescent="0.2">
      <c r="K1411"/>
    </row>
    <row r="1412" spans="11:11" ht="15.75" customHeight="1" x14ac:dyDescent="0.2">
      <c r="K1412"/>
    </row>
    <row r="1413" spans="11:11" ht="15.75" customHeight="1" x14ac:dyDescent="0.2">
      <c r="K1413"/>
    </row>
    <row r="1414" spans="11:11" ht="15.75" customHeight="1" x14ac:dyDescent="0.2">
      <c r="K1414"/>
    </row>
    <row r="1415" spans="11:11" ht="15.75" customHeight="1" x14ac:dyDescent="0.2">
      <c r="K1415"/>
    </row>
    <row r="1416" spans="11:11" ht="15.75" customHeight="1" x14ac:dyDescent="0.2">
      <c r="K1416"/>
    </row>
    <row r="1417" spans="11:11" ht="15.75" customHeight="1" x14ac:dyDescent="0.2">
      <c r="K1417"/>
    </row>
    <row r="1418" spans="11:11" ht="15.75" customHeight="1" x14ac:dyDescent="0.2">
      <c r="K1418"/>
    </row>
    <row r="1419" spans="11:11" ht="15.75" customHeight="1" x14ac:dyDescent="0.2">
      <c r="K1419"/>
    </row>
    <row r="1420" spans="11:11" ht="15.75" customHeight="1" x14ac:dyDescent="0.2">
      <c r="K1420"/>
    </row>
    <row r="1421" spans="11:11" ht="15.75" customHeight="1" x14ac:dyDescent="0.2">
      <c r="K1421"/>
    </row>
    <row r="1422" spans="11:11" ht="15.75" customHeight="1" x14ac:dyDescent="0.2">
      <c r="K1422"/>
    </row>
    <row r="1423" spans="11:11" ht="15.75" customHeight="1" x14ac:dyDescent="0.2">
      <c r="K1423"/>
    </row>
    <row r="1424" spans="11:11" ht="15.75" customHeight="1" x14ac:dyDescent="0.2">
      <c r="K1424"/>
    </row>
    <row r="1425" spans="11:11" ht="15.75" customHeight="1" x14ac:dyDescent="0.2">
      <c r="K1425"/>
    </row>
    <row r="1426" spans="11:11" ht="15.75" customHeight="1" x14ac:dyDescent="0.2">
      <c r="K1426"/>
    </row>
    <row r="1427" spans="11:11" ht="15.75" customHeight="1" x14ac:dyDescent="0.2">
      <c r="K1427"/>
    </row>
    <row r="1428" spans="11:11" ht="15.75" customHeight="1" x14ac:dyDescent="0.2">
      <c r="K1428"/>
    </row>
    <row r="1429" spans="11:11" ht="15.75" customHeight="1" x14ac:dyDescent="0.2">
      <c r="K1429"/>
    </row>
    <row r="1430" spans="11:11" ht="15.75" customHeight="1" x14ac:dyDescent="0.2">
      <c r="K1430"/>
    </row>
    <row r="1431" spans="11:11" ht="15.75" customHeight="1" x14ac:dyDescent="0.2">
      <c r="K1431"/>
    </row>
    <row r="1432" spans="11:11" ht="15.75" customHeight="1" x14ac:dyDescent="0.2">
      <c r="K1432"/>
    </row>
    <row r="1433" spans="11:11" ht="15.75" customHeight="1" x14ac:dyDescent="0.2">
      <c r="K1433"/>
    </row>
    <row r="1434" spans="11:11" ht="15.75" customHeight="1" x14ac:dyDescent="0.2">
      <c r="K1434"/>
    </row>
    <row r="1435" spans="11:11" ht="15.75" customHeight="1" x14ac:dyDescent="0.2">
      <c r="K1435"/>
    </row>
    <row r="1436" spans="11:11" ht="15.75" customHeight="1" x14ac:dyDescent="0.2">
      <c r="K1436"/>
    </row>
    <row r="1437" spans="11:11" ht="15.75" customHeight="1" x14ac:dyDescent="0.2">
      <c r="K1437"/>
    </row>
    <row r="1438" spans="11:11" ht="15.75" customHeight="1" x14ac:dyDescent="0.2">
      <c r="K1438"/>
    </row>
    <row r="1439" spans="11:11" ht="15.75" customHeight="1" x14ac:dyDescent="0.2">
      <c r="K1439"/>
    </row>
    <row r="1440" spans="11:11" ht="15.75" customHeight="1" x14ac:dyDescent="0.2">
      <c r="K1440"/>
    </row>
    <row r="1441" spans="11:11" ht="15.75" customHeight="1" x14ac:dyDescent="0.2">
      <c r="K1441"/>
    </row>
    <row r="1442" spans="11:11" ht="15.75" customHeight="1" x14ac:dyDescent="0.2">
      <c r="K1442"/>
    </row>
    <row r="1443" spans="11:11" ht="15.75" customHeight="1" x14ac:dyDescent="0.2">
      <c r="K1443"/>
    </row>
    <row r="1444" spans="11:11" ht="15.75" customHeight="1" x14ac:dyDescent="0.2">
      <c r="K1444"/>
    </row>
    <row r="1445" spans="11:11" ht="15.75" customHeight="1" x14ac:dyDescent="0.2">
      <c r="K1445"/>
    </row>
    <row r="1446" spans="11:11" ht="15.75" customHeight="1" x14ac:dyDescent="0.2">
      <c r="K1446"/>
    </row>
    <row r="1447" spans="11:11" ht="15.75" customHeight="1" x14ac:dyDescent="0.2">
      <c r="K1447"/>
    </row>
    <row r="1448" spans="11:11" ht="15.75" customHeight="1" x14ac:dyDescent="0.2">
      <c r="K1448"/>
    </row>
    <row r="1449" spans="11:11" ht="15.75" customHeight="1" x14ac:dyDescent="0.2">
      <c r="K1449"/>
    </row>
    <row r="1450" spans="11:11" ht="15.75" customHeight="1" x14ac:dyDescent="0.2">
      <c r="K1450"/>
    </row>
    <row r="1451" spans="11:11" ht="15.75" customHeight="1" x14ac:dyDescent="0.2">
      <c r="K1451"/>
    </row>
    <row r="1452" spans="11:11" ht="15.75" customHeight="1" x14ac:dyDescent="0.2">
      <c r="K1452"/>
    </row>
    <row r="1453" spans="11:11" ht="15.75" customHeight="1" x14ac:dyDescent="0.2">
      <c r="K1453"/>
    </row>
    <row r="1454" spans="11:11" ht="15.75" customHeight="1" x14ac:dyDescent="0.2">
      <c r="K1454"/>
    </row>
    <row r="1455" spans="11:11" ht="15.75" customHeight="1" x14ac:dyDescent="0.2">
      <c r="K1455"/>
    </row>
    <row r="1456" spans="11:11" ht="15.75" customHeight="1" x14ac:dyDescent="0.2">
      <c r="K1456"/>
    </row>
    <row r="1457" spans="11:11" ht="15.75" customHeight="1" x14ac:dyDescent="0.2">
      <c r="K1457"/>
    </row>
    <row r="1458" spans="11:11" ht="15.75" customHeight="1" x14ac:dyDescent="0.2">
      <c r="K1458"/>
    </row>
    <row r="1459" spans="11:11" ht="15.75" customHeight="1" x14ac:dyDescent="0.2">
      <c r="K1459"/>
    </row>
    <row r="1460" spans="11:11" ht="15.75" customHeight="1" x14ac:dyDescent="0.2">
      <c r="K1460"/>
    </row>
    <row r="1461" spans="11:11" ht="15.75" customHeight="1" x14ac:dyDescent="0.2">
      <c r="K1461"/>
    </row>
    <row r="1462" spans="11:11" ht="15.75" customHeight="1" x14ac:dyDescent="0.2">
      <c r="K1462"/>
    </row>
    <row r="1463" spans="11:11" ht="15.75" customHeight="1" x14ac:dyDescent="0.2">
      <c r="K1463"/>
    </row>
    <row r="1464" spans="11:11" ht="15.75" customHeight="1" x14ac:dyDescent="0.2">
      <c r="K1464"/>
    </row>
    <row r="1465" spans="11:11" ht="15.75" customHeight="1" x14ac:dyDescent="0.2">
      <c r="K1465"/>
    </row>
    <row r="1466" spans="11:11" ht="15.75" customHeight="1" x14ac:dyDescent="0.2">
      <c r="K1466"/>
    </row>
    <row r="1467" spans="11:11" ht="15.75" customHeight="1" x14ac:dyDescent="0.2">
      <c r="K1467"/>
    </row>
    <row r="1468" spans="11:11" ht="15.75" customHeight="1" x14ac:dyDescent="0.2">
      <c r="K1468"/>
    </row>
    <row r="1469" spans="11:11" ht="15.75" customHeight="1" x14ac:dyDescent="0.2">
      <c r="K1469"/>
    </row>
    <row r="1470" spans="11:11" ht="15.75" customHeight="1" x14ac:dyDescent="0.2">
      <c r="K1470"/>
    </row>
    <row r="1471" spans="11:11" ht="15.75" customHeight="1" x14ac:dyDescent="0.2">
      <c r="K1471"/>
    </row>
    <row r="1472" spans="11:11" ht="15.75" customHeight="1" x14ac:dyDescent="0.2">
      <c r="K1472"/>
    </row>
    <row r="1473" spans="11:11" ht="15.75" customHeight="1" x14ac:dyDescent="0.2">
      <c r="K1473"/>
    </row>
    <row r="1474" spans="11:11" ht="15.75" customHeight="1" x14ac:dyDescent="0.2">
      <c r="K1474"/>
    </row>
    <row r="1475" spans="11:11" ht="15.75" customHeight="1" x14ac:dyDescent="0.2">
      <c r="K1475"/>
    </row>
    <row r="1476" spans="11:11" ht="15.75" customHeight="1" x14ac:dyDescent="0.2">
      <c r="K1476"/>
    </row>
    <row r="1477" spans="11:11" ht="15.75" customHeight="1" x14ac:dyDescent="0.2">
      <c r="K1477"/>
    </row>
    <row r="1478" spans="11:11" ht="15.75" customHeight="1" x14ac:dyDescent="0.2">
      <c r="K1478"/>
    </row>
    <row r="1479" spans="11:11" ht="15.75" customHeight="1" x14ac:dyDescent="0.2">
      <c r="K1479"/>
    </row>
    <row r="1480" spans="11:11" ht="15.75" customHeight="1" x14ac:dyDescent="0.2">
      <c r="K1480"/>
    </row>
    <row r="1481" spans="11:11" ht="15.75" customHeight="1" x14ac:dyDescent="0.2">
      <c r="K1481"/>
    </row>
    <row r="1482" spans="11:11" ht="15.75" customHeight="1" x14ac:dyDescent="0.2">
      <c r="K1482"/>
    </row>
    <row r="1483" spans="11:11" ht="15.75" customHeight="1" x14ac:dyDescent="0.2">
      <c r="K1483"/>
    </row>
    <row r="1484" spans="11:11" ht="15.75" customHeight="1" x14ac:dyDescent="0.2">
      <c r="K1484"/>
    </row>
    <row r="1485" spans="11:11" ht="15.75" customHeight="1" x14ac:dyDescent="0.2">
      <c r="K1485"/>
    </row>
    <row r="1486" spans="11:11" ht="15.75" customHeight="1" x14ac:dyDescent="0.2">
      <c r="K1486"/>
    </row>
    <row r="1487" spans="11:11" ht="15.75" customHeight="1" x14ac:dyDescent="0.2">
      <c r="K1487"/>
    </row>
    <row r="1488" spans="11:11" ht="15.75" customHeight="1" x14ac:dyDescent="0.2">
      <c r="K1488"/>
    </row>
    <row r="1489" spans="11:11" ht="15.75" customHeight="1" x14ac:dyDescent="0.2">
      <c r="K1489"/>
    </row>
    <row r="1490" spans="11:11" ht="15.75" customHeight="1" x14ac:dyDescent="0.2">
      <c r="K1490"/>
    </row>
    <row r="1491" spans="11:11" ht="15.75" customHeight="1" x14ac:dyDescent="0.2">
      <c r="K1491"/>
    </row>
    <row r="1492" spans="11:11" ht="15.75" customHeight="1" x14ac:dyDescent="0.2">
      <c r="K1492"/>
    </row>
    <row r="1493" spans="11:11" ht="15.75" customHeight="1" x14ac:dyDescent="0.2">
      <c r="K1493"/>
    </row>
    <row r="1494" spans="11:11" ht="15.75" customHeight="1" x14ac:dyDescent="0.2">
      <c r="K1494"/>
    </row>
    <row r="1495" spans="11:11" ht="15.75" customHeight="1" x14ac:dyDescent="0.2">
      <c r="K1495"/>
    </row>
    <row r="1496" spans="11:11" ht="15.75" customHeight="1" x14ac:dyDescent="0.2">
      <c r="K1496"/>
    </row>
    <row r="1497" spans="11:11" ht="15.75" customHeight="1" x14ac:dyDescent="0.2">
      <c r="K1497"/>
    </row>
    <row r="1498" spans="11:11" ht="15.75" customHeight="1" x14ac:dyDescent="0.2">
      <c r="K1498"/>
    </row>
    <row r="1499" spans="11:11" ht="15.75" customHeight="1" x14ac:dyDescent="0.2">
      <c r="K1499"/>
    </row>
    <row r="1500" spans="11:11" ht="15.75" customHeight="1" x14ac:dyDescent="0.2">
      <c r="K1500"/>
    </row>
    <row r="1501" spans="11:11" ht="15.75" customHeight="1" x14ac:dyDescent="0.2">
      <c r="K1501"/>
    </row>
    <row r="1502" spans="11:11" ht="15.75" customHeight="1" x14ac:dyDescent="0.2">
      <c r="K1502"/>
    </row>
    <row r="1503" spans="11:11" ht="15.75" customHeight="1" x14ac:dyDescent="0.2">
      <c r="K1503"/>
    </row>
    <row r="1504" spans="11:11" ht="15.75" customHeight="1" x14ac:dyDescent="0.2">
      <c r="K1504"/>
    </row>
    <row r="1505" spans="11:11" ht="15.75" customHeight="1" x14ac:dyDescent="0.2">
      <c r="K1505"/>
    </row>
    <row r="1506" spans="11:11" ht="15.75" customHeight="1" x14ac:dyDescent="0.2">
      <c r="K1506"/>
    </row>
    <row r="1507" spans="11:11" ht="15.75" customHeight="1" x14ac:dyDescent="0.2">
      <c r="K1507"/>
    </row>
    <row r="1508" spans="11:11" ht="15.75" customHeight="1" x14ac:dyDescent="0.2">
      <c r="K1508"/>
    </row>
    <row r="1509" spans="11:11" ht="15.75" customHeight="1" x14ac:dyDescent="0.2">
      <c r="K1509"/>
    </row>
    <row r="1510" spans="11:11" ht="15.75" customHeight="1" x14ac:dyDescent="0.2">
      <c r="K1510"/>
    </row>
    <row r="1511" spans="11:11" ht="15.75" customHeight="1" x14ac:dyDescent="0.2">
      <c r="K1511"/>
    </row>
    <row r="1512" spans="11:11" ht="15.75" customHeight="1" x14ac:dyDescent="0.2">
      <c r="K1512"/>
    </row>
    <row r="1513" spans="11:11" ht="15.75" customHeight="1" x14ac:dyDescent="0.2">
      <c r="K1513"/>
    </row>
    <row r="1514" spans="11:11" ht="15.75" customHeight="1" x14ac:dyDescent="0.2">
      <c r="K1514"/>
    </row>
    <row r="1515" spans="11:11" ht="15.75" customHeight="1" x14ac:dyDescent="0.2">
      <c r="K1515"/>
    </row>
    <row r="1516" spans="11:11" ht="15.75" customHeight="1" x14ac:dyDescent="0.2">
      <c r="K1516"/>
    </row>
    <row r="1517" spans="11:11" ht="15.75" customHeight="1" x14ac:dyDescent="0.2">
      <c r="K1517"/>
    </row>
    <row r="1518" spans="11:11" ht="15.75" customHeight="1" x14ac:dyDescent="0.2">
      <c r="K1518"/>
    </row>
    <row r="1519" spans="11:11" ht="15.75" customHeight="1" x14ac:dyDescent="0.2">
      <c r="K1519"/>
    </row>
    <row r="1520" spans="11:11" ht="15.75" customHeight="1" x14ac:dyDescent="0.2">
      <c r="K1520"/>
    </row>
    <row r="1521" spans="11:11" ht="15.75" customHeight="1" x14ac:dyDescent="0.2">
      <c r="K1521"/>
    </row>
    <row r="1522" spans="11:11" ht="15.75" customHeight="1" x14ac:dyDescent="0.2">
      <c r="K1522"/>
    </row>
    <row r="1523" spans="11:11" ht="15.75" customHeight="1" x14ac:dyDescent="0.2">
      <c r="K1523"/>
    </row>
    <row r="1524" spans="11:11" ht="15.75" customHeight="1" x14ac:dyDescent="0.2">
      <c r="K1524"/>
    </row>
    <row r="1525" spans="11:11" ht="15.75" customHeight="1" x14ac:dyDescent="0.2">
      <c r="K1525"/>
    </row>
    <row r="1526" spans="11:11" ht="15.75" customHeight="1" x14ac:dyDescent="0.2">
      <c r="K1526"/>
    </row>
    <row r="1527" spans="11:11" ht="15.75" customHeight="1" x14ac:dyDescent="0.2">
      <c r="K1527"/>
    </row>
    <row r="1528" spans="11:11" ht="15.75" customHeight="1" x14ac:dyDescent="0.2">
      <c r="K1528"/>
    </row>
    <row r="1529" spans="11:11" ht="15.75" customHeight="1" x14ac:dyDescent="0.2">
      <c r="K1529"/>
    </row>
    <row r="1530" spans="11:11" ht="15.75" customHeight="1" x14ac:dyDescent="0.2">
      <c r="K1530"/>
    </row>
    <row r="1531" spans="11:11" ht="15.75" customHeight="1" x14ac:dyDescent="0.2">
      <c r="K1531"/>
    </row>
    <row r="1532" spans="11:11" ht="15.75" customHeight="1" x14ac:dyDescent="0.2">
      <c r="K1532"/>
    </row>
    <row r="1533" spans="11:11" ht="15.75" customHeight="1" x14ac:dyDescent="0.2">
      <c r="K1533"/>
    </row>
    <row r="1534" spans="11:11" ht="15.75" customHeight="1" x14ac:dyDescent="0.2">
      <c r="K1534"/>
    </row>
    <row r="1535" spans="11:11" ht="15.75" customHeight="1" x14ac:dyDescent="0.2">
      <c r="K1535"/>
    </row>
    <row r="1536" spans="11:11" ht="15.75" customHeight="1" x14ac:dyDescent="0.2">
      <c r="K1536"/>
    </row>
    <row r="1537" spans="11:11" ht="15.75" customHeight="1" x14ac:dyDescent="0.2">
      <c r="K1537"/>
    </row>
    <row r="1538" spans="11:11" ht="15.75" customHeight="1" x14ac:dyDescent="0.2">
      <c r="K1538"/>
    </row>
    <row r="1539" spans="11:11" ht="15.75" customHeight="1" x14ac:dyDescent="0.2">
      <c r="K1539"/>
    </row>
    <row r="1540" spans="11:11" ht="15.75" customHeight="1" x14ac:dyDescent="0.2">
      <c r="K1540"/>
    </row>
    <row r="1541" spans="11:11" ht="15.75" customHeight="1" x14ac:dyDescent="0.2">
      <c r="K1541"/>
    </row>
    <row r="1542" spans="11:11" ht="15.75" customHeight="1" x14ac:dyDescent="0.2">
      <c r="K1542"/>
    </row>
    <row r="1543" spans="11:11" ht="15.75" customHeight="1" x14ac:dyDescent="0.2">
      <c r="K1543"/>
    </row>
    <row r="1544" spans="11:11" ht="15.75" customHeight="1" x14ac:dyDescent="0.2">
      <c r="K1544"/>
    </row>
    <row r="1545" spans="11:11" ht="15.75" customHeight="1" x14ac:dyDescent="0.2">
      <c r="K1545"/>
    </row>
    <row r="1546" spans="11:11" ht="15.75" customHeight="1" x14ac:dyDescent="0.2">
      <c r="K1546"/>
    </row>
    <row r="1547" spans="11:11" ht="15.75" customHeight="1" x14ac:dyDescent="0.2">
      <c r="K1547"/>
    </row>
    <row r="1548" spans="11:11" ht="15.75" customHeight="1" x14ac:dyDescent="0.2">
      <c r="K1548"/>
    </row>
    <row r="1549" spans="11:11" ht="15.75" customHeight="1" x14ac:dyDescent="0.2">
      <c r="K1549"/>
    </row>
    <row r="1550" spans="11:11" ht="15.75" customHeight="1" x14ac:dyDescent="0.2">
      <c r="K1550"/>
    </row>
    <row r="1551" spans="11:11" ht="15.75" customHeight="1" x14ac:dyDescent="0.2">
      <c r="K1551"/>
    </row>
    <row r="1552" spans="11:11" ht="15.75" customHeight="1" x14ac:dyDescent="0.2">
      <c r="K1552"/>
    </row>
    <row r="1553" spans="11:11" ht="15.75" customHeight="1" x14ac:dyDescent="0.2">
      <c r="K1553"/>
    </row>
    <row r="1554" spans="11:11" ht="15.75" customHeight="1" x14ac:dyDescent="0.2">
      <c r="K1554"/>
    </row>
    <row r="1555" spans="11:11" ht="15.75" customHeight="1" x14ac:dyDescent="0.2">
      <c r="K1555"/>
    </row>
    <row r="1556" spans="11:11" ht="15.75" customHeight="1" x14ac:dyDescent="0.2">
      <c r="K1556"/>
    </row>
    <row r="1557" spans="11:11" ht="15.75" customHeight="1" x14ac:dyDescent="0.2">
      <c r="K1557"/>
    </row>
    <row r="1558" spans="11:11" ht="15.75" customHeight="1" x14ac:dyDescent="0.2">
      <c r="K1558"/>
    </row>
    <row r="1559" spans="11:11" ht="15.75" customHeight="1" x14ac:dyDescent="0.2">
      <c r="K1559"/>
    </row>
    <row r="1560" spans="11:11" ht="15.75" customHeight="1" x14ac:dyDescent="0.2">
      <c r="K1560"/>
    </row>
    <row r="1561" spans="11:11" ht="15.75" customHeight="1" x14ac:dyDescent="0.2">
      <c r="K1561"/>
    </row>
    <row r="1562" spans="11:11" ht="15.75" customHeight="1" x14ac:dyDescent="0.2">
      <c r="K1562"/>
    </row>
    <row r="1563" spans="11:11" ht="15.75" customHeight="1" x14ac:dyDescent="0.2">
      <c r="K1563"/>
    </row>
    <row r="1564" spans="11:11" ht="15.75" customHeight="1" x14ac:dyDescent="0.2">
      <c r="K1564"/>
    </row>
    <row r="1565" spans="11:11" ht="15.75" customHeight="1" x14ac:dyDescent="0.2">
      <c r="K1565"/>
    </row>
    <row r="1566" spans="11:11" ht="15.75" customHeight="1" x14ac:dyDescent="0.2">
      <c r="K1566"/>
    </row>
    <row r="1567" spans="11:11" ht="15.75" customHeight="1" x14ac:dyDescent="0.2">
      <c r="K1567"/>
    </row>
    <row r="1568" spans="11:11" ht="15.75" customHeight="1" x14ac:dyDescent="0.2">
      <c r="K1568"/>
    </row>
    <row r="1569" spans="11:11" ht="15.75" customHeight="1" x14ac:dyDescent="0.2">
      <c r="K1569"/>
    </row>
    <row r="1570" spans="11:11" ht="15.75" customHeight="1" x14ac:dyDescent="0.2">
      <c r="K1570"/>
    </row>
    <row r="1571" spans="11:11" ht="15.75" customHeight="1" x14ac:dyDescent="0.2">
      <c r="K1571"/>
    </row>
    <row r="1572" spans="11:11" ht="15.75" customHeight="1" x14ac:dyDescent="0.2">
      <c r="K1572"/>
    </row>
    <row r="1573" spans="11:11" ht="15.75" customHeight="1" x14ac:dyDescent="0.2">
      <c r="K1573"/>
    </row>
    <row r="1574" spans="11:11" ht="15.75" customHeight="1" x14ac:dyDescent="0.2">
      <c r="K1574"/>
    </row>
    <row r="1575" spans="11:11" ht="15.75" customHeight="1" x14ac:dyDescent="0.2">
      <c r="K1575"/>
    </row>
    <row r="1576" spans="11:11" ht="15.75" customHeight="1" x14ac:dyDescent="0.2">
      <c r="K1576"/>
    </row>
    <row r="1577" spans="11:11" ht="15.75" customHeight="1" x14ac:dyDescent="0.2">
      <c r="K1577"/>
    </row>
    <row r="1578" spans="11:11" ht="15.75" customHeight="1" x14ac:dyDescent="0.2">
      <c r="K1578"/>
    </row>
    <row r="1579" spans="11:11" ht="15.75" customHeight="1" x14ac:dyDescent="0.2">
      <c r="K1579"/>
    </row>
    <row r="1580" spans="11:11" ht="15.75" customHeight="1" x14ac:dyDescent="0.2">
      <c r="K1580"/>
    </row>
    <row r="1581" spans="11:11" ht="15.75" customHeight="1" x14ac:dyDescent="0.2">
      <c r="K1581"/>
    </row>
    <row r="1582" spans="11:11" ht="15.75" customHeight="1" x14ac:dyDescent="0.2">
      <c r="K1582"/>
    </row>
    <row r="1583" spans="11:11" ht="15.75" customHeight="1" x14ac:dyDescent="0.2">
      <c r="K1583"/>
    </row>
    <row r="1584" spans="11:11" ht="15.75" customHeight="1" x14ac:dyDescent="0.2">
      <c r="K1584"/>
    </row>
    <row r="1585" spans="11:11" ht="15.75" customHeight="1" x14ac:dyDescent="0.2">
      <c r="K1585"/>
    </row>
    <row r="1586" spans="11:11" ht="15.75" customHeight="1" x14ac:dyDescent="0.2">
      <c r="K1586"/>
    </row>
    <row r="1587" spans="11:11" ht="15.75" customHeight="1" x14ac:dyDescent="0.2">
      <c r="K1587"/>
    </row>
    <row r="1588" spans="11:11" ht="15.75" customHeight="1" x14ac:dyDescent="0.2">
      <c r="K1588"/>
    </row>
    <row r="1589" spans="11:11" ht="15.75" customHeight="1" x14ac:dyDescent="0.2">
      <c r="K1589"/>
    </row>
    <row r="1590" spans="11:11" ht="15.75" customHeight="1" x14ac:dyDescent="0.2">
      <c r="K1590"/>
    </row>
    <row r="1591" spans="11:11" ht="15.75" customHeight="1" x14ac:dyDescent="0.2">
      <c r="K1591"/>
    </row>
    <row r="1592" spans="11:11" ht="15.75" customHeight="1" x14ac:dyDescent="0.2">
      <c r="K1592"/>
    </row>
    <row r="1593" spans="11:11" ht="15.75" customHeight="1" x14ac:dyDescent="0.2">
      <c r="K1593"/>
    </row>
    <row r="1594" spans="11:11" ht="15.75" customHeight="1" x14ac:dyDescent="0.2">
      <c r="K1594"/>
    </row>
    <row r="1595" spans="11:11" ht="15.75" customHeight="1" x14ac:dyDescent="0.2">
      <c r="K1595"/>
    </row>
    <row r="1596" spans="11:11" ht="15.75" customHeight="1" x14ac:dyDescent="0.2">
      <c r="K1596"/>
    </row>
    <row r="1597" spans="11:11" ht="15.75" customHeight="1" x14ac:dyDescent="0.2">
      <c r="K1597"/>
    </row>
    <row r="1598" spans="11:11" ht="15.75" customHeight="1" x14ac:dyDescent="0.2">
      <c r="K1598"/>
    </row>
    <row r="1599" spans="11:11" ht="15.75" customHeight="1" x14ac:dyDescent="0.2">
      <c r="K1599"/>
    </row>
    <row r="1600" spans="11:11" ht="15.75" customHeight="1" x14ac:dyDescent="0.2">
      <c r="K1600"/>
    </row>
    <row r="1601" spans="11:11" ht="15.75" customHeight="1" x14ac:dyDescent="0.2">
      <c r="K1601"/>
    </row>
    <row r="1602" spans="11:11" ht="15.75" customHeight="1" x14ac:dyDescent="0.2">
      <c r="K1602"/>
    </row>
    <row r="1603" spans="11:11" ht="15.75" customHeight="1" x14ac:dyDescent="0.2">
      <c r="K1603"/>
    </row>
    <row r="1604" spans="11:11" ht="15.75" customHeight="1" x14ac:dyDescent="0.2">
      <c r="K1604"/>
    </row>
    <row r="1605" spans="11:11" ht="15.75" customHeight="1" x14ac:dyDescent="0.2">
      <c r="K1605"/>
    </row>
    <row r="1606" spans="11:11" ht="15.75" customHeight="1" x14ac:dyDescent="0.2">
      <c r="K1606"/>
    </row>
    <row r="1607" spans="11:11" ht="15.75" customHeight="1" x14ac:dyDescent="0.2">
      <c r="K1607"/>
    </row>
    <row r="1608" spans="11:11" ht="15.75" customHeight="1" x14ac:dyDescent="0.2">
      <c r="K1608"/>
    </row>
    <row r="1609" spans="11:11" ht="15.75" customHeight="1" x14ac:dyDescent="0.2">
      <c r="K1609"/>
    </row>
    <row r="1610" spans="11:11" ht="15.75" customHeight="1" x14ac:dyDescent="0.2">
      <c r="K1610"/>
    </row>
    <row r="1611" spans="11:11" ht="15.75" customHeight="1" x14ac:dyDescent="0.2">
      <c r="K1611"/>
    </row>
    <row r="1612" spans="11:11" ht="15.75" customHeight="1" x14ac:dyDescent="0.2">
      <c r="K1612"/>
    </row>
    <row r="1613" spans="11:11" ht="15.75" customHeight="1" x14ac:dyDescent="0.2">
      <c r="K1613"/>
    </row>
    <row r="1614" spans="11:11" ht="15.75" customHeight="1" x14ac:dyDescent="0.2">
      <c r="K1614"/>
    </row>
    <row r="1615" spans="11:11" ht="15.75" customHeight="1" x14ac:dyDescent="0.2">
      <c r="K1615"/>
    </row>
    <row r="1616" spans="11:11" ht="15.75" customHeight="1" x14ac:dyDescent="0.2">
      <c r="K1616"/>
    </row>
    <row r="1617" spans="11:11" ht="15.75" customHeight="1" x14ac:dyDescent="0.2">
      <c r="K1617"/>
    </row>
    <row r="1618" spans="11:11" ht="15.75" customHeight="1" x14ac:dyDescent="0.2">
      <c r="K1618"/>
    </row>
    <row r="1619" spans="11:11" ht="15.75" customHeight="1" x14ac:dyDescent="0.2">
      <c r="K1619"/>
    </row>
    <row r="1620" spans="11:11" ht="15.75" customHeight="1" x14ac:dyDescent="0.2">
      <c r="K1620"/>
    </row>
    <row r="1621" spans="11:11" ht="15.75" customHeight="1" x14ac:dyDescent="0.2">
      <c r="K1621"/>
    </row>
    <row r="1622" spans="11:11" ht="15.75" customHeight="1" x14ac:dyDescent="0.2">
      <c r="K1622"/>
    </row>
    <row r="1623" spans="11:11" ht="15.75" customHeight="1" x14ac:dyDescent="0.2">
      <c r="K1623"/>
    </row>
    <row r="1624" spans="11:11" ht="15.75" customHeight="1" x14ac:dyDescent="0.2">
      <c r="K1624"/>
    </row>
    <row r="1625" spans="11:11" ht="15.75" customHeight="1" x14ac:dyDescent="0.2">
      <c r="K1625"/>
    </row>
    <row r="1626" spans="11:11" ht="15.75" customHeight="1" x14ac:dyDescent="0.2">
      <c r="K1626"/>
    </row>
    <row r="1627" spans="11:11" ht="15.75" customHeight="1" x14ac:dyDescent="0.2">
      <c r="K1627"/>
    </row>
    <row r="1628" spans="11:11" ht="15.75" customHeight="1" x14ac:dyDescent="0.2">
      <c r="K1628"/>
    </row>
    <row r="1629" spans="11:11" ht="15.75" customHeight="1" x14ac:dyDescent="0.2">
      <c r="K1629"/>
    </row>
    <row r="1630" spans="11:11" ht="15.75" customHeight="1" x14ac:dyDescent="0.2">
      <c r="K1630"/>
    </row>
    <row r="1631" spans="11:11" ht="15.75" customHeight="1" x14ac:dyDescent="0.2">
      <c r="K1631"/>
    </row>
    <row r="1632" spans="11:11" ht="15.75" customHeight="1" x14ac:dyDescent="0.2">
      <c r="K1632"/>
    </row>
    <row r="1633" spans="11:11" ht="15.75" customHeight="1" x14ac:dyDescent="0.2">
      <c r="K1633"/>
    </row>
    <row r="1634" spans="11:11" ht="15.75" customHeight="1" x14ac:dyDescent="0.2">
      <c r="K1634"/>
    </row>
    <row r="1635" spans="11:11" ht="15.75" customHeight="1" x14ac:dyDescent="0.2">
      <c r="K1635"/>
    </row>
    <row r="1636" spans="11:11" ht="15.75" customHeight="1" x14ac:dyDescent="0.2">
      <c r="K1636"/>
    </row>
    <row r="1637" spans="11:11" ht="15.75" customHeight="1" x14ac:dyDescent="0.2">
      <c r="K1637"/>
    </row>
    <row r="1638" spans="11:11" ht="15.75" customHeight="1" x14ac:dyDescent="0.2">
      <c r="K1638"/>
    </row>
    <row r="1639" spans="11:11" ht="15.75" customHeight="1" x14ac:dyDescent="0.2">
      <c r="K1639"/>
    </row>
    <row r="1640" spans="11:11" ht="15.75" customHeight="1" x14ac:dyDescent="0.2">
      <c r="K1640"/>
    </row>
    <row r="1641" spans="11:11" ht="15.75" customHeight="1" x14ac:dyDescent="0.2">
      <c r="K1641"/>
    </row>
    <row r="1642" spans="11:11" ht="15.75" customHeight="1" x14ac:dyDescent="0.2">
      <c r="K1642"/>
    </row>
    <row r="1643" spans="11:11" ht="15.75" customHeight="1" x14ac:dyDescent="0.2">
      <c r="K1643"/>
    </row>
    <row r="1644" spans="11:11" ht="15.75" customHeight="1" x14ac:dyDescent="0.2">
      <c r="K1644"/>
    </row>
    <row r="1645" spans="11:11" ht="15.75" customHeight="1" x14ac:dyDescent="0.2">
      <c r="K1645"/>
    </row>
    <row r="1646" spans="11:11" ht="15.75" customHeight="1" x14ac:dyDescent="0.2">
      <c r="K1646"/>
    </row>
    <row r="1647" spans="11:11" ht="15.75" customHeight="1" x14ac:dyDescent="0.2">
      <c r="K1647"/>
    </row>
    <row r="1648" spans="11:11" ht="15.75" customHeight="1" x14ac:dyDescent="0.2">
      <c r="K1648"/>
    </row>
    <row r="1649" spans="11:11" ht="15.75" customHeight="1" x14ac:dyDescent="0.2">
      <c r="K1649"/>
    </row>
    <row r="1650" spans="11:11" ht="15.75" customHeight="1" x14ac:dyDescent="0.2">
      <c r="K1650"/>
    </row>
    <row r="1651" spans="11:11" ht="15.75" customHeight="1" x14ac:dyDescent="0.2">
      <c r="K1651"/>
    </row>
    <row r="1652" spans="11:11" ht="15.75" customHeight="1" x14ac:dyDescent="0.2">
      <c r="K1652"/>
    </row>
    <row r="1653" spans="11:11" ht="15.75" customHeight="1" x14ac:dyDescent="0.2">
      <c r="K1653"/>
    </row>
    <row r="1654" spans="11:11" ht="15.75" customHeight="1" x14ac:dyDescent="0.2">
      <c r="K1654"/>
    </row>
    <row r="1655" spans="11:11" ht="15.75" customHeight="1" x14ac:dyDescent="0.2">
      <c r="K1655"/>
    </row>
    <row r="1656" spans="11:11" ht="15.75" customHeight="1" x14ac:dyDescent="0.2">
      <c r="K1656"/>
    </row>
    <row r="1657" spans="11:11" ht="15.75" customHeight="1" x14ac:dyDescent="0.2">
      <c r="K1657"/>
    </row>
    <row r="1658" spans="11:11" ht="15.75" customHeight="1" x14ac:dyDescent="0.2">
      <c r="K1658"/>
    </row>
    <row r="1659" spans="11:11" ht="15.75" customHeight="1" x14ac:dyDescent="0.2">
      <c r="K1659"/>
    </row>
    <row r="1660" spans="11:11" ht="15.75" customHeight="1" x14ac:dyDescent="0.2">
      <c r="K1660"/>
    </row>
    <row r="1661" spans="11:11" ht="15.75" customHeight="1" x14ac:dyDescent="0.2">
      <c r="K1661"/>
    </row>
    <row r="1662" spans="11:11" ht="15.75" customHeight="1" x14ac:dyDescent="0.2">
      <c r="K1662"/>
    </row>
    <row r="1663" spans="11:11" ht="15.75" customHeight="1" x14ac:dyDescent="0.2">
      <c r="K1663"/>
    </row>
    <row r="1664" spans="11:11" ht="15.75" customHeight="1" x14ac:dyDescent="0.2">
      <c r="K1664"/>
    </row>
    <row r="1665" spans="11:11" ht="15.75" customHeight="1" x14ac:dyDescent="0.2">
      <c r="K1665"/>
    </row>
    <row r="1666" spans="11:11" ht="15.75" customHeight="1" x14ac:dyDescent="0.2">
      <c r="K1666"/>
    </row>
    <row r="1667" spans="11:11" ht="15.75" customHeight="1" x14ac:dyDescent="0.2">
      <c r="K1667"/>
    </row>
    <row r="1668" spans="11:11" ht="15.75" customHeight="1" x14ac:dyDescent="0.2">
      <c r="K1668"/>
    </row>
    <row r="1669" spans="11:11" ht="15.75" customHeight="1" x14ac:dyDescent="0.2">
      <c r="K1669"/>
    </row>
    <row r="1670" spans="11:11" ht="15.75" customHeight="1" x14ac:dyDescent="0.2">
      <c r="K1670"/>
    </row>
    <row r="1671" spans="11:11" ht="15.75" customHeight="1" x14ac:dyDescent="0.2">
      <c r="K1671"/>
    </row>
    <row r="1672" spans="11:11" ht="15.75" customHeight="1" x14ac:dyDescent="0.2">
      <c r="K1672"/>
    </row>
    <row r="1673" spans="11:11" ht="15.75" customHeight="1" x14ac:dyDescent="0.2">
      <c r="K1673"/>
    </row>
    <row r="1674" spans="11:11" ht="15.75" customHeight="1" x14ac:dyDescent="0.2">
      <c r="K1674"/>
    </row>
    <row r="1675" spans="11:11" ht="15.75" customHeight="1" x14ac:dyDescent="0.2">
      <c r="K1675"/>
    </row>
    <row r="1676" spans="11:11" ht="15.75" customHeight="1" x14ac:dyDescent="0.2">
      <c r="K1676"/>
    </row>
    <row r="1677" spans="11:11" ht="15.75" customHeight="1" x14ac:dyDescent="0.2">
      <c r="K1677"/>
    </row>
    <row r="1678" spans="11:11" ht="15.75" customHeight="1" x14ac:dyDescent="0.2">
      <c r="K1678"/>
    </row>
    <row r="1679" spans="11:11" ht="15.75" customHeight="1" x14ac:dyDescent="0.2">
      <c r="K1679"/>
    </row>
    <row r="1680" spans="11:11" ht="15.75" customHeight="1" x14ac:dyDescent="0.2">
      <c r="K1680"/>
    </row>
    <row r="1681" spans="11:11" ht="15.75" customHeight="1" x14ac:dyDescent="0.2">
      <c r="K1681"/>
    </row>
    <row r="1682" spans="11:11" ht="15.75" customHeight="1" x14ac:dyDescent="0.2">
      <c r="K1682"/>
    </row>
    <row r="1683" spans="11:11" ht="15.75" customHeight="1" x14ac:dyDescent="0.2">
      <c r="K1683"/>
    </row>
    <row r="1684" spans="11:11" ht="15.75" customHeight="1" x14ac:dyDescent="0.2">
      <c r="K1684"/>
    </row>
    <row r="1685" spans="11:11" ht="15.75" customHeight="1" x14ac:dyDescent="0.2">
      <c r="K1685"/>
    </row>
    <row r="1686" spans="11:11" ht="15.75" customHeight="1" x14ac:dyDescent="0.2">
      <c r="K1686"/>
    </row>
    <row r="1687" spans="11:11" ht="15.75" customHeight="1" x14ac:dyDescent="0.2">
      <c r="K1687"/>
    </row>
    <row r="1688" spans="11:11" ht="15.75" customHeight="1" x14ac:dyDescent="0.2">
      <c r="K1688"/>
    </row>
    <row r="1689" spans="11:11" ht="15.75" customHeight="1" x14ac:dyDescent="0.2">
      <c r="K1689"/>
    </row>
    <row r="1690" spans="11:11" ht="15.75" customHeight="1" x14ac:dyDescent="0.2">
      <c r="K1690"/>
    </row>
    <row r="1691" spans="11:11" ht="15.75" customHeight="1" x14ac:dyDescent="0.2">
      <c r="K1691"/>
    </row>
    <row r="1692" spans="11:11" ht="15.75" customHeight="1" x14ac:dyDescent="0.2">
      <c r="K1692"/>
    </row>
    <row r="1693" spans="11:11" ht="15.75" customHeight="1" x14ac:dyDescent="0.2">
      <c r="K1693"/>
    </row>
    <row r="1694" spans="11:11" ht="15.75" customHeight="1" x14ac:dyDescent="0.2">
      <c r="K1694"/>
    </row>
    <row r="1695" spans="11:11" ht="15.75" customHeight="1" x14ac:dyDescent="0.2">
      <c r="K1695"/>
    </row>
    <row r="1696" spans="11:11" ht="15.75" customHeight="1" x14ac:dyDescent="0.2">
      <c r="K1696"/>
    </row>
    <row r="1697" spans="11:11" ht="15.75" customHeight="1" x14ac:dyDescent="0.2">
      <c r="K1697"/>
    </row>
    <row r="1698" spans="11:11" ht="15.75" customHeight="1" x14ac:dyDescent="0.2">
      <c r="K1698"/>
    </row>
    <row r="1699" spans="11:11" ht="15.75" customHeight="1" x14ac:dyDescent="0.2">
      <c r="K1699"/>
    </row>
    <row r="1700" spans="11:11" ht="15.75" customHeight="1" x14ac:dyDescent="0.2">
      <c r="K1700"/>
    </row>
    <row r="1701" spans="11:11" ht="15.75" customHeight="1" x14ac:dyDescent="0.2">
      <c r="K1701"/>
    </row>
    <row r="1702" spans="11:11" ht="15.75" customHeight="1" x14ac:dyDescent="0.2">
      <c r="K1702"/>
    </row>
    <row r="1703" spans="11:11" ht="15.75" customHeight="1" x14ac:dyDescent="0.2">
      <c r="K1703"/>
    </row>
    <row r="1704" spans="11:11" ht="15.75" customHeight="1" x14ac:dyDescent="0.2">
      <c r="K1704"/>
    </row>
    <row r="1705" spans="11:11" ht="15.75" customHeight="1" x14ac:dyDescent="0.2">
      <c r="K1705"/>
    </row>
    <row r="1706" spans="11:11" ht="15.75" customHeight="1" x14ac:dyDescent="0.2">
      <c r="K1706"/>
    </row>
    <row r="1707" spans="11:11" ht="15.75" customHeight="1" x14ac:dyDescent="0.2">
      <c r="K1707"/>
    </row>
    <row r="1708" spans="11:11" ht="15.75" customHeight="1" x14ac:dyDescent="0.2">
      <c r="K1708"/>
    </row>
    <row r="1709" spans="11:11" ht="15.75" customHeight="1" x14ac:dyDescent="0.2">
      <c r="K1709"/>
    </row>
    <row r="1710" spans="11:11" ht="15.75" customHeight="1" x14ac:dyDescent="0.2">
      <c r="K1710"/>
    </row>
    <row r="1711" spans="11:11" ht="15.75" customHeight="1" x14ac:dyDescent="0.2">
      <c r="K1711"/>
    </row>
    <row r="1712" spans="11:11" ht="15.75" customHeight="1" x14ac:dyDescent="0.2">
      <c r="K1712"/>
    </row>
    <row r="1713" spans="11:11" ht="15.75" customHeight="1" x14ac:dyDescent="0.2">
      <c r="K1713"/>
    </row>
    <row r="1714" spans="11:11" ht="15.75" customHeight="1" x14ac:dyDescent="0.2">
      <c r="K1714"/>
    </row>
    <row r="1715" spans="11:11" ht="15.75" customHeight="1" x14ac:dyDescent="0.2">
      <c r="K1715"/>
    </row>
    <row r="1716" spans="11:11" ht="15.75" customHeight="1" x14ac:dyDescent="0.2">
      <c r="K1716"/>
    </row>
    <row r="1717" spans="11:11" ht="15.75" customHeight="1" x14ac:dyDescent="0.2">
      <c r="K1717"/>
    </row>
    <row r="1718" spans="11:11" ht="15.75" customHeight="1" x14ac:dyDescent="0.2">
      <c r="K1718"/>
    </row>
    <row r="1719" spans="11:11" ht="15.75" customHeight="1" x14ac:dyDescent="0.2">
      <c r="K1719"/>
    </row>
    <row r="1720" spans="11:11" ht="15.75" customHeight="1" x14ac:dyDescent="0.2">
      <c r="K1720"/>
    </row>
    <row r="1721" spans="11:11" ht="15.75" customHeight="1" x14ac:dyDescent="0.2">
      <c r="K1721"/>
    </row>
    <row r="1722" spans="11:11" ht="15.75" customHeight="1" x14ac:dyDescent="0.2">
      <c r="K1722"/>
    </row>
    <row r="1723" spans="11:11" ht="15.75" customHeight="1" x14ac:dyDescent="0.2">
      <c r="K1723"/>
    </row>
    <row r="1724" spans="11:11" ht="15.75" customHeight="1" x14ac:dyDescent="0.2">
      <c r="K1724"/>
    </row>
    <row r="1725" spans="11:11" ht="15.75" customHeight="1" x14ac:dyDescent="0.2">
      <c r="K1725"/>
    </row>
    <row r="1726" spans="11:11" ht="15.75" customHeight="1" x14ac:dyDescent="0.2">
      <c r="K1726"/>
    </row>
    <row r="1727" spans="11:11" ht="15.75" customHeight="1" x14ac:dyDescent="0.2">
      <c r="K1727"/>
    </row>
    <row r="1728" spans="11:11" ht="15.75" customHeight="1" x14ac:dyDescent="0.2">
      <c r="K1728"/>
    </row>
    <row r="1729" spans="11:11" ht="15.75" customHeight="1" x14ac:dyDescent="0.2">
      <c r="K1729"/>
    </row>
    <row r="1730" spans="11:11" ht="15.75" customHeight="1" x14ac:dyDescent="0.2">
      <c r="K1730"/>
    </row>
    <row r="1731" spans="11:11" ht="15.75" customHeight="1" x14ac:dyDescent="0.2">
      <c r="K1731"/>
    </row>
    <row r="1732" spans="11:11" ht="15.75" customHeight="1" x14ac:dyDescent="0.2">
      <c r="K1732"/>
    </row>
    <row r="1733" spans="11:11" ht="15.75" customHeight="1" x14ac:dyDescent="0.2">
      <c r="K1733"/>
    </row>
    <row r="1734" spans="11:11" ht="15.75" customHeight="1" x14ac:dyDescent="0.2">
      <c r="K1734"/>
    </row>
    <row r="1735" spans="11:11" ht="15.75" customHeight="1" x14ac:dyDescent="0.2">
      <c r="K1735"/>
    </row>
    <row r="1736" spans="11:11" ht="15.75" customHeight="1" x14ac:dyDescent="0.2">
      <c r="K1736"/>
    </row>
    <row r="1737" spans="11:11" ht="15.75" customHeight="1" x14ac:dyDescent="0.2">
      <c r="K1737"/>
    </row>
    <row r="1738" spans="11:11" ht="15.75" customHeight="1" x14ac:dyDescent="0.2">
      <c r="K1738"/>
    </row>
    <row r="1739" spans="11:11" ht="15.75" customHeight="1" x14ac:dyDescent="0.2">
      <c r="K1739"/>
    </row>
    <row r="1740" spans="11:11" ht="15.75" customHeight="1" x14ac:dyDescent="0.2">
      <c r="K1740"/>
    </row>
    <row r="1741" spans="11:11" ht="15.75" customHeight="1" x14ac:dyDescent="0.2">
      <c r="K1741"/>
    </row>
    <row r="1742" spans="11:11" ht="15.75" customHeight="1" x14ac:dyDescent="0.2">
      <c r="K1742"/>
    </row>
    <row r="1743" spans="11:11" ht="15.75" customHeight="1" x14ac:dyDescent="0.2">
      <c r="K1743"/>
    </row>
    <row r="1744" spans="11:11" ht="15.75" customHeight="1" x14ac:dyDescent="0.2">
      <c r="K1744"/>
    </row>
    <row r="1745" spans="11:11" ht="15.75" customHeight="1" x14ac:dyDescent="0.2">
      <c r="K1745"/>
    </row>
    <row r="1746" spans="11:11" ht="15.75" customHeight="1" x14ac:dyDescent="0.2">
      <c r="K1746"/>
    </row>
    <row r="1747" spans="11:11" ht="15.75" customHeight="1" x14ac:dyDescent="0.2">
      <c r="K1747"/>
    </row>
    <row r="1748" spans="11:11" ht="15.75" customHeight="1" x14ac:dyDescent="0.2">
      <c r="K1748"/>
    </row>
    <row r="1749" spans="11:11" ht="15.75" customHeight="1" x14ac:dyDescent="0.2">
      <c r="K1749"/>
    </row>
    <row r="1750" spans="11:11" ht="15.75" customHeight="1" x14ac:dyDescent="0.2">
      <c r="K1750"/>
    </row>
    <row r="1751" spans="11:11" ht="15.75" customHeight="1" x14ac:dyDescent="0.2">
      <c r="K1751"/>
    </row>
    <row r="1752" spans="11:11" ht="15.75" customHeight="1" x14ac:dyDescent="0.2">
      <c r="K1752"/>
    </row>
    <row r="1753" spans="11:11" ht="15.75" customHeight="1" x14ac:dyDescent="0.2">
      <c r="K1753"/>
    </row>
    <row r="1754" spans="11:11" ht="15.75" customHeight="1" x14ac:dyDescent="0.2">
      <c r="K1754"/>
    </row>
    <row r="1755" spans="11:11" ht="15.75" customHeight="1" x14ac:dyDescent="0.2">
      <c r="K1755"/>
    </row>
    <row r="1756" spans="11:11" ht="15.75" customHeight="1" x14ac:dyDescent="0.2">
      <c r="K1756"/>
    </row>
    <row r="1757" spans="11:11" ht="15.75" customHeight="1" x14ac:dyDescent="0.2">
      <c r="K1757"/>
    </row>
    <row r="1758" spans="11:11" ht="15.75" customHeight="1" x14ac:dyDescent="0.2">
      <c r="K1758"/>
    </row>
    <row r="1759" spans="11:11" ht="15.75" customHeight="1" x14ac:dyDescent="0.2">
      <c r="K1759"/>
    </row>
    <row r="1760" spans="11:11" ht="15.75" customHeight="1" x14ac:dyDescent="0.2">
      <c r="K1760"/>
    </row>
    <row r="1761" spans="11:11" ht="15.75" customHeight="1" x14ac:dyDescent="0.2">
      <c r="K1761"/>
    </row>
    <row r="1762" spans="11:11" ht="15.75" customHeight="1" x14ac:dyDescent="0.2">
      <c r="K1762"/>
    </row>
    <row r="1763" spans="11:11" ht="15.75" customHeight="1" x14ac:dyDescent="0.2">
      <c r="K1763"/>
    </row>
    <row r="1764" spans="11:11" ht="15.75" customHeight="1" x14ac:dyDescent="0.2">
      <c r="K1764"/>
    </row>
    <row r="1765" spans="11:11" ht="15.75" customHeight="1" x14ac:dyDescent="0.2">
      <c r="K1765"/>
    </row>
    <row r="1766" spans="11:11" ht="15.75" customHeight="1" x14ac:dyDescent="0.2">
      <c r="K1766"/>
    </row>
    <row r="1767" spans="11:11" ht="15.75" customHeight="1" x14ac:dyDescent="0.2">
      <c r="K1767"/>
    </row>
    <row r="1768" spans="11:11" ht="15.75" customHeight="1" x14ac:dyDescent="0.2">
      <c r="K1768"/>
    </row>
    <row r="1769" spans="11:11" ht="15.75" customHeight="1" x14ac:dyDescent="0.2">
      <c r="K1769"/>
    </row>
    <row r="1770" spans="11:11" ht="15.75" customHeight="1" x14ac:dyDescent="0.2">
      <c r="K1770"/>
    </row>
    <row r="1771" spans="11:11" ht="15.75" customHeight="1" x14ac:dyDescent="0.2">
      <c r="K1771"/>
    </row>
    <row r="1772" spans="11:11" ht="15.75" customHeight="1" x14ac:dyDescent="0.2">
      <c r="K1772"/>
    </row>
    <row r="1773" spans="11:11" ht="15.75" customHeight="1" x14ac:dyDescent="0.2">
      <c r="K1773"/>
    </row>
    <row r="1774" spans="11:11" ht="15.75" customHeight="1" x14ac:dyDescent="0.2">
      <c r="K1774"/>
    </row>
    <row r="1775" spans="11:11" ht="15.75" customHeight="1" x14ac:dyDescent="0.2">
      <c r="K1775"/>
    </row>
    <row r="1776" spans="11:11" ht="15.75" customHeight="1" x14ac:dyDescent="0.2">
      <c r="K1776"/>
    </row>
    <row r="1777" spans="11:11" ht="15.75" customHeight="1" x14ac:dyDescent="0.2">
      <c r="K1777"/>
    </row>
    <row r="1778" spans="11:11" ht="15.75" customHeight="1" x14ac:dyDescent="0.2">
      <c r="K1778"/>
    </row>
    <row r="1779" spans="11:11" ht="15.75" customHeight="1" x14ac:dyDescent="0.2">
      <c r="K1779"/>
    </row>
    <row r="1780" spans="11:11" ht="15.75" customHeight="1" x14ac:dyDescent="0.2">
      <c r="K1780"/>
    </row>
    <row r="1781" spans="11:11" ht="15.75" customHeight="1" x14ac:dyDescent="0.2">
      <c r="K1781"/>
    </row>
    <row r="1782" spans="11:11" ht="15.75" customHeight="1" x14ac:dyDescent="0.2">
      <c r="K1782"/>
    </row>
    <row r="1783" spans="11:11" ht="15.75" customHeight="1" x14ac:dyDescent="0.2">
      <c r="K1783"/>
    </row>
    <row r="1784" spans="11:11" ht="15.75" customHeight="1" x14ac:dyDescent="0.2">
      <c r="K1784"/>
    </row>
    <row r="1785" spans="11:11" ht="15.75" customHeight="1" x14ac:dyDescent="0.2">
      <c r="K1785"/>
    </row>
    <row r="1786" spans="11:11" ht="15.75" customHeight="1" x14ac:dyDescent="0.2">
      <c r="K1786"/>
    </row>
    <row r="1787" spans="11:11" ht="15.75" customHeight="1" x14ac:dyDescent="0.2">
      <c r="K1787"/>
    </row>
    <row r="1788" spans="11:11" ht="15.75" customHeight="1" x14ac:dyDescent="0.2">
      <c r="K1788"/>
    </row>
    <row r="1789" spans="11:11" ht="15.75" customHeight="1" x14ac:dyDescent="0.2">
      <c r="K1789"/>
    </row>
    <row r="1790" spans="11:11" ht="15.75" customHeight="1" x14ac:dyDescent="0.2">
      <c r="K1790"/>
    </row>
    <row r="1791" spans="11:11" ht="15.75" customHeight="1" x14ac:dyDescent="0.2">
      <c r="K1791"/>
    </row>
    <row r="1792" spans="11:11" ht="15.75" customHeight="1" x14ac:dyDescent="0.2">
      <c r="K1792"/>
    </row>
    <row r="1793" spans="11:11" ht="15.75" customHeight="1" x14ac:dyDescent="0.2">
      <c r="K1793"/>
    </row>
    <row r="1794" spans="11:11" ht="15.75" customHeight="1" x14ac:dyDescent="0.2">
      <c r="K1794"/>
    </row>
    <row r="1795" spans="11:11" ht="15.75" customHeight="1" x14ac:dyDescent="0.2">
      <c r="K1795"/>
    </row>
    <row r="1796" spans="11:11" ht="15.75" customHeight="1" x14ac:dyDescent="0.2">
      <c r="K1796"/>
    </row>
    <row r="1797" spans="11:11" ht="15.75" customHeight="1" x14ac:dyDescent="0.2">
      <c r="K1797"/>
    </row>
    <row r="1798" spans="11:11" ht="15.75" customHeight="1" x14ac:dyDescent="0.2">
      <c r="K1798"/>
    </row>
    <row r="1799" spans="11:11" ht="15.75" customHeight="1" x14ac:dyDescent="0.2">
      <c r="K1799"/>
    </row>
    <row r="1800" spans="11:11" ht="15.75" customHeight="1" x14ac:dyDescent="0.2">
      <c r="K1800"/>
    </row>
    <row r="1801" spans="11:11" ht="15.75" customHeight="1" x14ac:dyDescent="0.2">
      <c r="K1801"/>
    </row>
    <row r="1802" spans="11:11" ht="15.75" customHeight="1" x14ac:dyDescent="0.2">
      <c r="K1802"/>
    </row>
    <row r="1803" spans="11:11" ht="15.75" customHeight="1" x14ac:dyDescent="0.2">
      <c r="K1803"/>
    </row>
    <row r="1804" spans="11:11" ht="15.75" customHeight="1" x14ac:dyDescent="0.2">
      <c r="K1804"/>
    </row>
    <row r="1805" spans="11:11" ht="15.75" customHeight="1" x14ac:dyDescent="0.2">
      <c r="K1805"/>
    </row>
    <row r="1806" spans="11:11" ht="15.75" customHeight="1" x14ac:dyDescent="0.2">
      <c r="K1806"/>
    </row>
    <row r="1807" spans="11:11" ht="15.75" customHeight="1" x14ac:dyDescent="0.2">
      <c r="K1807"/>
    </row>
    <row r="1808" spans="11:11" ht="15.75" customHeight="1" x14ac:dyDescent="0.2">
      <c r="K1808"/>
    </row>
    <row r="1809" spans="11:11" ht="15.75" customHeight="1" x14ac:dyDescent="0.2">
      <c r="K1809"/>
    </row>
    <row r="1810" spans="11:11" ht="15.75" customHeight="1" x14ac:dyDescent="0.2">
      <c r="K1810"/>
    </row>
    <row r="1811" spans="11:11" ht="15.75" customHeight="1" x14ac:dyDescent="0.2">
      <c r="K1811"/>
    </row>
    <row r="1812" spans="11:11" ht="15.75" customHeight="1" x14ac:dyDescent="0.2">
      <c r="K1812"/>
    </row>
    <row r="1813" spans="11:11" ht="15.75" customHeight="1" x14ac:dyDescent="0.2">
      <c r="K1813"/>
    </row>
    <row r="1814" spans="11:11" ht="15.75" customHeight="1" x14ac:dyDescent="0.2">
      <c r="K1814"/>
    </row>
    <row r="1815" spans="11:11" ht="15.75" customHeight="1" x14ac:dyDescent="0.2">
      <c r="K1815"/>
    </row>
    <row r="1816" spans="11:11" ht="15.75" customHeight="1" x14ac:dyDescent="0.2">
      <c r="K1816"/>
    </row>
    <row r="1817" spans="11:11" ht="15.75" customHeight="1" x14ac:dyDescent="0.2">
      <c r="K1817"/>
    </row>
    <row r="1818" spans="11:11" ht="15.75" customHeight="1" x14ac:dyDescent="0.2">
      <c r="K1818"/>
    </row>
    <row r="1819" spans="11:11" ht="15.75" customHeight="1" x14ac:dyDescent="0.2">
      <c r="K1819"/>
    </row>
    <row r="1820" spans="11:11" ht="15.75" customHeight="1" x14ac:dyDescent="0.2">
      <c r="K1820"/>
    </row>
    <row r="1821" spans="11:11" ht="15.75" customHeight="1" x14ac:dyDescent="0.2">
      <c r="K1821"/>
    </row>
    <row r="1822" spans="11:11" ht="15.75" customHeight="1" x14ac:dyDescent="0.2">
      <c r="K1822"/>
    </row>
    <row r="1823" spans="11:11" ht="15.75" customHeight="1" x14ac:dyDescent="0.2">
      <c r="K1823"/>
    </row>
    <row r="1824" spans="11:11" ht="15.75" customHeight="1" x14ac:dyDescent="0.2">
      <c r="K1824"/>
    </row>
    <row r="1825" spans="11:11" ht="15.75" customHeight="1" x14ac:dyDescent="0.2">
      <c r="K1825"/>
    </row>
    <row r="1826" spans="11:11" ht="15.75" customHeight="1" x14ac:dyDescent="0.2">
      <c r="K1826"/>
    </row>
    <row r="1827" spans="11:11" ht="15.75" customHeight="1" x14ac:dyDescent="0.2">
      <c r="K1827"/>
    </row>
    <row r="1828" spans="11:11" ht="15.75" customHeight="1" x14ac:dyDescent="0.2">
      <c r="K1828"/>
    </row>
    <row r="1829" spans="11:11" ht="15.75" customHeight="1" x14ac:dyDescent="0.2">
      <c r="K1829"/>
    </row>
    <row r="1830" spans="11:11" ht="15.75" customHeight="1" x14ac:dyDescent="0.2">
      <c r="K1830"/>
    </row>
    <row r="1831" spans="11:11" ht="15.75" customHeight="1" x14ac:dyDescent="0.2">
      <c r="K1831"/>
    </row>
    <row r="1832" spans="11:11" ht="15.75" customHeight="1" x14ac:dyDescent="0.2">
      <c r="K1832"/>
    </row>
    <row r="1833" spans="11:11" ht="15.75" customHeight="1" x14ac:dyDescent="0.2">
      <c r="K1833"/>
    </row>
    <row r="1834" spans="11:11" ht="15.75" customHeight="1" x14ac:dyDescent="0.2">
      <c r="K1834"/>
    </row>
    <row r="1835" spans="11:11" ht="15.75" customHeight="1" x14ac:dyDescent="0.2">
      <c r="K1835"/>
    </row>
    <row r="1836" spans="11:11" ht="15.75" customHeight="1" x14ac:dyDescent="0.2">
      <c r="K1836"/>
    </row>
    <row r="1837" spans="11:11" ht="15.75" customHeight="1" x14ac:dyDescent="0.2">
      <c r="K1837"/>
    </row>
    <row r="1838" spans="11:11" ht="15.75" customHeight="1" x14ac:dyDescent="0.2">
      <c r="K1838"/>
    </row>
    <row r="1839" spans="11:11" ht="15.75" customHeight="1" x14ac:dyDescent="0.2">
      <c r="K1839"/>
    </row>
    <row r="1840" spans="11:11" ht="15.75" customHeight="1" x14ac:dyDescent="0.2">
      <c r="K1840"/>
    </row>
    <row r="1841" spans="11:11" ht="15.75" customHeight="1" x14ac:dyDescent="0.2">
      <c r="K1841"/>
    </row>
    <row r="1842" spans="11:11" ht="15.75" customHeight="1" x14ac:dyDescent="0.2">
      <c r="K1842"/>
    </row>
    <row r="1843" spans="11:11" ht="15.75" customHeight="1" x14ac:dyDescent="0.2">
      <c r="K1843"/>
    </row>
    <row r="1844" spans="11:11" ht="15.75" customHeight="1" x14ac:dyDescent="0.2">
      <c r="K1844"/>
    </row>
    <row r="1845" spans="11:11" ht="15.75" customHeight="1" x14ac:dyDescent="0.2">
      <c r="K1845"/>
    </row>
    <row r="1846" spans="11:11" ht="15.75" customHeight="1" x14ac:dyDescent="0.2">
      <c r="K1846"/>
    </row>
    <row r="1847" spans="11:11" ht="15.75" customHeight="1" x14ac:dyDescent="0.2">
      <c r="K1847"/>
    </row>
    <row r="1848" spans="11:11" ht="15.75" customHeight="1" x14ac:dyDescent="0.2">
      <c r="K1848"/>
    </row>
    <row r="1849" spans="11:11" ht="15.75" customHeight="1" x14ac:dyDescent="0.2">
      <c r="K1849"/>
    </row>
    <row r="1850" spans="11:11" ht="15.75" customHeight="1" x14ac:dyDescent="0.2">
      <c r="K1850"/>
    </row>
    <row r="1851" spans="11:11" ht="15.75" customHeight="1" x14ac:dyDescent="0.2">
      <c r="K1851"/>
    </row>
    <row r="1852" spans="11:11" ht="15.75" customHeight="1" x14ac:dyDescent="0.2">
      <c r="K1852"/>
    </row>
    <row r="1853" spans="11:11" ht="15.75" customHeight="1" x14ac:dyDescent="0.2">
      <c r="K1853"/>
    </row>
    <row r="1854" spans="11:11" ht="15.75" customHeight="1" x14ac:dyDescent="0.2">
      <c r="K1854"/>
    </row>
    <row r="1855" spans="11:11" ht="15.75" customHeight="1" x14ac:dyDescent="0.2">
      <c r="K1855"/>
    </row>
    <row r="1856" spans="11:11" ht="15.75" customHeight="1" x14ac:dyDescent="0.2">
      <c r="K1856"/>
    </row>
    <row r="1857" spans="11:11" ht="15.75" customHeight="1" x14ac:dyDescent="0.2">
      <c r="K1857"/>
    </row>
    <row r="1858" spans="11:11" ht="15.75" customHeight="1" x14ac:dyDescent="0.2">
      <c r="K1858"/>
    </row>
    <row r="1859" spans="11:11" ht="15.75" customHeight="1" x14ac:dyDescent="0.2">
      <c r="K1859"/>
    </row>
    <row r="1860" spans="11:11" ht="15.75" customHeight="1" x14ac:dyDescent="0.2">
      <c r="K1860"/>
    </row>
    <row r="1861" spans="11:11" ht="15.75" customHeight="1" x14ac:dyDescent="0.2">
      <c r="K1861"/>
    </row>
    <row r="1862" spans="11:11" ht="15.75" customHeight="1" x14ac:dyDescent="0.2">
      <c r="K1862"/>
    </row>
    <row r="1863" spans="11:11" ht="15.75" customHeight="1" x14ac:dyDescent="0.2">
      <c r="K1863"/>
    </row>
    <row r="1864" spans="11:11" ht="15.75" customHeight="1" x14ac:dyDescent="0.2">
      <c r="K1864"/>
    </row>
    <row r="1865" spans="11:11" ht="15.75" customHeight="1" x14ac:dyDescent="0.2">
      <c r="K1865"/>
    </row>
    <row r="1866" spans="11:11" ht="15.75" customHeight="1" x14ac:dyDescent="0.2">
      <c r="K1866"/>
    </row>
    <row r="1867" spans="11:11" ht="15.75" customHeight="1" x14ac:dyDescent="0.2">
      <c r="K1867"/>
    </row>
    <row r="1868" spans="11:11" ht="15.75" customHeight="1" x14ac:dyDescent="0.2">
      <c r="K1868"/>
    </row>
    <row r="1869" spans="11:11" ht="15.75" customHeight="1" x14ac:dyDescent="0.2">
      <c r="K1869"/>
    </row>
    <row r="1870" spans="11:11" ht="15.75" customHeight="1" x14ac:dyDescent="0.2">
      <c r="K1870"/>
    </row>
    <row r="1871" spans="11:11" ht="15.75" customHeight="1" x14ac:dyDescent="0.2">
      <c r="K1871"/>
    </row>
    <row r="1872" spans="11:11" ht="15.75" customHeight="1" x14ac:dyDescent="0.2">
      <c r="K1872"/>
    </row>
    <row r="1873" spans="11:11" ht="15.75" customHeight="1" x14ac:dyDescent="0.2">
      <c r="K1873"/>
    </row>
    <row r="1874" spans="11:11" ht="15.75" customHeight="1" x14ac:dyDescent="0.2">
      <c r="K1874"/>
    </row>
    <row r="1875" spans="11:11" ht="15.75" customHeight="1" x14ac:dyDescent="0.2">
      <c r="K1875"/>
    </row>
    <row r="1876" spans="11:11" ht="15.75" customHeight="1" x14ac:dyDescent="0.2">
      <c r="K1876"/>
    </row>
    <row r="1877" spans="11:11" ht="15.75" customHeight="1" x14ac:dyDescent="0.2">
      <c r="K1877"/>
    </row>
    <row r="1878" spans="11:11" ht="15.75" customHeight="1" x14ac:dyDescent="0.2">
      <c r="K1878"/>
    </row>
    <row r="1879" spans="11:11" ht="15.75" customHeight="1" x14ac:dyDescent="0.2">
      <c r="K1879"/>
    </row>
    <row r="1880" spans="11:11" ht="15.75" customHeight="1" x14ac:dyDescent="0.2">
      <c r="K1880"/>
    </row>
    <row r="1881" spans="11:11" ht="15.75" customHeight="1" x14ac:dyDescent="0.2">
      <c r="K1881"/>
    </row>
    <row r="1882" spans="11:11" ht="15.75" customHeight="1" x14ac:dyDescent="0.2">
      <c r="K1882"/>
    </row>
    <row r="1883" spans="11:11" ht="15.75" customHeight="1" x14ac:dyDescent="0.2">
      <c r="K1883"/>
    </row>
    <row r="1884" spans="11:11" ht="15.75" customHeight="1" x14ac:dyDescent="0.2">
      <c r="K1884"/>
    </row>
    <row r="1885" spans="11:11" ht="15.75" customHeight="1" x14ac:dyDescent="0.2">
      <c r="K1885"/>
    </row>
    <row r="1886" spans="11:11" ht="15.75" customHeight="1" x14ac:dyDescent="0.2">
      <c r="K1886"/>
    </row>
    <row r="1887" spans="11:11" ht="15.75" customHeight="1" x14ac:dyDescent="0.2">
      <c r="K1887"/>
    </row>
    <row r="1888" spans="11:11" ht="15.75" customHeight="1" x14ac:dyDescent="0.2">
      <c r="K1888"/>
    </row>
    <row r="1889" spans="11:11" ht="15.75" customHeight="1" x14ac:dyDescent="0.2">
      <c r="K1889"/>
    </row>
    <row r="1890" spans="11:11" ht="15.75" customHeight="1" x14ac:dyDescent="0.2">
      <c r="K1890"/>
    </row>
    <row r="1891" spans="11:11" ht="15.75" customHeight="1" x14ac:dyDescent="0.2">
      <c r="K1891"/>
    </row>
    <row r="1892" spans="11:11" ht="15.75" customHeight="1" x14ac:dyDescent="0.2">
      <c r="K1892"/>
    </row>
    <row r="1893" spans="11:11" ht="15.75" customHeight="1" x14ac:dyDescent="0.2">
      <c r="K1893"/>
    </row>
    <row r="1894" spans="11:11" ht="15.75" customHeight="1" x14ac:dyDescent="0.2">
      <c r="K1894"/>
    </row>
    <row r="1895" spans="11:11" ht="15.75" customHeight="1" x14ac:dyDescent="0.2">
      <c r="K1895"/>
    </row>
    <row r="1896" spans="11:11" ht="15.75" customHeight="1" x14ac:dyDescent="0.2">
      <c r="K1896"/>
    </row>
    <row r="1897" spans="11:11" ht="15.75" customHeight="1" x14ac:dyDescent="0.2">
      <c r="K1897"/>
    </row>
    <row r="1898" spans="11:11" ht="15.75" customHeight="1" x14ac:dyDescent="0.2">
      <c r="K1898"/>
    </row>
    <row r="1899" spans="11:11" ht="15.75" customHeight="1" x14ac:dyDescent="0.2">
      <c r="K1899"/>
    </row>
    <row r="1900" spans="11:11" ht="15.75" customHeight="1" x14ac:dyDescent="0.2">
      <c r="K1900"/>
    </row>
    <row r="1901" spans="11:11" ht="15.75" customHeight="1" x14ac:dyDescent="0.2">
      <c r="K1901"/>
    </row>
    <row r="1902" spans="11:11" ht="15.75" customHeight="1" x14ac:dyDescent="0.2">
      <c r="K1902"/>
    </row>
    <row r="1903" spans="11:11" ht="15.75" customHeight="1" x14ac:dyDescent="0.2">
      <c r="K1903"/>
    </row>
    <row r="1904" spans="11:11" ht="15.75" customHeight="1" x14ac:dyDescent="0.2">
      <c r="K1904"/>
    </row>
    <row r="1905" spans="11:11" ht="15.75" customHeight="1" x14ac:dyDescent="0.2">
      <c r="K1905"/>
    </row>
    <row r="1906" spans="11:11" ht="15.75" customHeight="1" x14ac:dyDescent="0.2">
      <c r="K1906"/>
    </row>
    <row r="1907" spans="11:11" ht="15.75" customHeight="1" x14ac:dyDescent="0.2">
      <c r="K1907"/>
    </row>
    <row r="1908" spans="11:11" ht="15.75" customHeight="1" x14ac:dyDescent="0.2">
      <c r="K1908"/>
    </row>
    <row r="1909" spans="11:11" ht="15.75" customHeight="1" x14ac:dyDescent="0.2">
      <c r="K1909"/>
    </row>
    <row r="1910" spans="11:11" ht="15.75" customHeight="1" x14ac:dyDescent="0.2">
      <c r="K1910"/>
    </row>
    <row r="1911" spans="11:11" ht="15.75" customHeight="1" x14ac:dyDescent="0.2">
      <c r="K1911"/>
    </row>
    <row r="1912" spans="11:11" ht="15.75" customHeight="1" x14ac:dyDescent="0.2">
      <c r="K1912"/>
    </row>
    <row r="1913" spans="11:11" ht="15.75" customHeight="1" x14ac:dyDescent="0.2">
      <c r="K1913"/>
    </row>
    <row r="1914" spans="11:11" ht="15.75" customHeight="1" x14ac:dyDescent="0.2">
      <c r="K1914"/>
    </row>
    <row r="1915" spans="11:11" ht="15.75" customHeight="1" x14ac:dyDescent="0.2">
      <c r="K1915"/>
    </row>
    <row r="1916" spans="11:11" ht="15.75" customHeight="1" x14ac:dyDescent="0.2">
      <c r="K1916"/>
    </row>
    <row r="1917" spans="11:11" ht="15.75" customHeight="1" x14ac:dyDescent="0.2">
      <c r="K1917"/>
    </row>
    <row r="1918" spans="11:11" ht="15.75" customHeight="1" x14ac:dyDescent="0.2">
      <c r="K1918"/>
    </row>
    <row r="1919" spans="11:11" ht="15.75" customHeight="1" x14ac:dyDescent="0.2">
      <c r="K1919"/>
    </row>
    <row r="1920" spans="11:11" ht="15.75" customHeight="1" x14ac:dyDescent="0.2">
      <c r="K1920"/>
    </row>
    <row r="1921" spans="11:11" ht="15.75" customHeight="1" x14ac:dyDescent="0.2">
      <c r="K1921"/>
    </row>
    <row r="1922" spans="11:11" ht="15.75" customHeight="1" x14ac:dyDescent="0.2">
      <c r="K1922"/>
    </row>
    <row r="1923" spans="11:11" ht="15.75" customHeight="1" x14ac:dyDescent="0.2">
      <c r="K1923"/>
    </row>
    <row r="1924" spans="11:11" ht="15.75" customHeight="1" x14ac:dyDescent="0.2">
      <c r="K1924"/>
    </row>
    <row r="1925" spans="11:11" ht="15.75" customHeight="1" x14ac:dyDescent="0.2">
      <c r="K1925"/>
    </row>
    <row r="1926" spans="11:11" ht="15.75" customHeight="1" x14ac:dyDescent="0.2">
      <c r="K1926"/>
    </row>
    <row r="1927" spans="11:11" ht="15.75" customHeight="1" x14ac:dyDescent="0.2">
      <c r="K1927"/>
    </row>
    <row r="1928" spans="11:11" ht="15.75" customHeight="1" x14ac:dyDescent="0.2">
      <c r="K1928"/>
    </row>
    <row r="1929" spans="11:11" ht="15.75" customHeight="1" x14ac:dyDescent="0.2">
      <c r="K1929"/>
    </row>
    <row r="1930" spans="11:11" ht="15.75" customHeight="1" x14ac:dyDescent="0.2">
      <c r="K1930"/>
    </row>
    <row r="1931" spans="11:11" ht="15.75" customHeight="1" x14ac:dyDescent="0.2">
      <c r="K1931"/>
    </row>
    <row r="1932" spans="11:11" ht="15.75" customHeight="1" x14ac:dyDescent="0.2">
      <c r="K1932"/>
    </row>
    <row r="1933" spans="11:11" ht="15.75" customHeight="1" x14ac:dyDescent="0.2">
      <c r="K1933"/>
    </row>
    <row r="1934" spans="11:11" ht="15.75" customHeight="1" x14ac:dyDescent="0.2">
      <c r="K1934"/>
    </row>
    <row r="1935" spans="11:11" ht="15.75" customHeight="1" x14ac:dyDescent="0.2">
      <c r="K1935"/>
    </row>
    <row r="1936" spans="11:11" ht="15.75" customHeight="1" x14ac:dyDescent="0.2">
      <c r="K1936"/>
    </row>
    <row r="1937" spans="11:11" ht="15.75" customHeight="1" x14ac:dyDescent="0.2">
      <c r="K1937"/>
    </row>
    <row r="1938" spans="11:11" ht="15.75" customHeight="1" x14ac:dyDescent="0.2">
      <c r="K1938"/>
    </row>
    <row r="1939" spans="11:11" ht="15.75" customHeight="1" x14ac:dyDescent="0.2">
      <c r="K1939"/>
    </row>
    <row r="1940" spans="11:11" ht="15.75" customHeight="1" x14ac:dyDescent="0.2">
      <c r="K1940"/>
    </row>
    <row r="1941" spans="11:11" ht="15.75" customHeight="1" x14ac:dyDescent="0.2">
      <c r="K1941"/>
    </row>
    <row r="1942" spans="11:11" ht="15.75" customHeight="1" x14ac:dyDescent="0.2">
      <c r="K1942"/>
    </row>
    <row r="1943" spans="11:11" ht="15.75" customHeight="1" x14ac:dyDescent="0.2">
      <c r="K1943"/>
    </row>
    <row r="1944" spans="11:11" ht="15.75" customHeight="1" x14ac:dyDescent="0.2">
      <c r="K1944"/>
    </row>
    <row r="1945" spans="11:11" ht="15.75" customHeight="1" x14ac:dyDescent="0.2">
      <c r="K1945"/>
    </row>
    <row r="1946" spans="11:11" ht="15.75" customHeight="1" x14ac:dyDescent="0.2">
      <c r="K1946"/>
    </row>
    <row r="1947" spans="11:11" ht="15.75" customHeight="1" x14ac:dyDescent="0.2">
      <c r="K1947"/>
    </row>
    <row r="1948" spans="11:11" ht="15.75" customHeight="1" x14ac:dyDescent="0.2">
      <c r="K1948"/>
    </row>
    <row r="1949" spans="11:11" ht="15.75" customHeight="1" x14ac:dyDescent="0.2">
      <c r="K1949"/>
    </row>
    <row r="1950" spans="11:11" ht="15.75" customHeight="1" x14ac:dyDescent="0.2">
      <c r="K1950"/>
    </row>
    <row r="1951" spans="11:11" ht="15.75" customHeight="1" x14ac:dyDescent="0.2">
      <c r="K1951"/>
    </row>
    <row r="1952" spans="11:11" ht="15.75" customHeight="1" x14ac:dyDescent="0.2">
      <c r="K1952"/>
    </row>
    <row r="1953" spans="11:11" ht="15.75" customHeight="1" x14ac:dyDescent="0.2">
      <c r="K1953"/>
    </row>
    <row r="1954" spans="11:11" ht="15.75" customHeight="1" x14ac:dyDescent="0.2">
      <c r="K1954"/>
    </row>
    <row r="1955" spans="11:11" ht="15.75" customHeight="1" x14ac:dyDescent="0.2">
      <c r="K1955"/>
    </row>
    <row r="1956" spans="11:11" ht="15.75" customHeight="1" x14ac:dyDescent="0.2">
      <c r="K1956"/>
    </row>
    <row r="1957" spans="11:11" ht="15.75" customHeight="1" x14ac:dyDescent="0.2">
      <c r="K1957"/>
    </row>
    <row r="1958" spans="11:11" ht="15.75" customHeight="1" x14ac:dyDescent="0.2">
      <c r="K1958"/>
    </row>
    <row r="1959" spans="11:11" ht="15.75" customHeight="1" x14ac:dyDescent="0.2">
      <c r="K1959"/>
    </row>
    <row r="1960" spans="11:11" ht="15.75" customHeight="1" x14ac:dyDescent="0.2">
      <c r="K1960"/>
    </row>
    <row r="1961" spans="11:11" ht="15.75" customHeight="1" x14ac:dyDescent="0.2">
      <c r="K1961"/>
    </row>
    <row r="1962" spans="11:11" ht="15.75" customHeight="1" x14ac:dyDescent="0.2">
      <c r="K1962"/>
    </row>
    <row r="1963" spans="11:11" ht="15.75" customHeight="1" x14ac:dyDescent="0.2">
      <c r="K1963"/>
    </row>
    <row r="1964" spans="11:11" ht="15.75" customHeight="1" x14ac:dyDescent="0.2">
      <c r="K1964"/>
    </row>
    <row r="1965" spans="11:11" ht="15.75" customHeight="1" x14ac:dyDescent="0.2">
      <c r="K1965"/>
    </row>
    <row r="1966" spans="11:11" ht="15.75" customHeight="1" x14ac:dyDescent="0.2">
      <c r="K1966"/>
    </row>
    <row r="1967" spans="11:11" ht="15.75" customHeight="1" x14ac:dyDescent="0.2">
      <c r="K1967"/>
    </row>
    <row r="1968" spans="11:11" ht="15.75" customHeight="1" x14ac:dyDescent="0.2">
      <c r="K1968"/>
    </row>
    <row r="1969" spans="11:11" ht="15.75" customHeight="1" x14ac:dyDescent="0.2">
      <c r="K1969"/>
    </row>
    <row r="1970" spans="11:11" ht="15.75" customHeight="1" x14ac:dyDescent="0.2">
      <c r="K1970"/>
    </row>
    <row r="1971" spans="11:11" ht="15.75" customHeight="1" x14ac:dyDescent="0.2">
      <c r="K1971"/>
    </row>
    <row r="1972" spans="11:11" ht="15.75" customHeight="1" x14ac:dyDescent="0.2">
      <c r="K1972"/>
    </row>
    <row r="1973" spans="11:11" ht="15.75" customHeight="1" x14ac:dyDescent="0.2">
      <c r="K1973"/>
    </row>
    <row r="1974" spans="11:11" ht="15.75" customHeight="1" x14ac:dyDescent="0.2">
      <c r="K1974"/>
    </row>
    <row r="1975" spans="11:11" ht="15.75" customHeight="1" x14ac:dyDescent="0.2">
      <c r="K1975"/>
    </row>
    <row r="1976" spans="11:11" ht="15.75" customHeight="1" x14ac:dyDescent="0.2">
      <c r="K1976"/>
    </row>
    <row r="1977" spans="11:11" ht="15.75" customHeight="1" x14ac:dyDescent="0.2">
      <c r="K1977"/>
    </row>
    <row r="1978" spans="11:11" ht="15.75" customHeight="1" x14ac:dyDescent="0.2">
      <c r="K1978"/>
    </row>
    <row r="1979" spans="11:11" ht="15.75" customHeight="1" x14ac:dyDescent="0.2">
      <c r="K1979"/>
    </row>
    <row r="1980" spans="11:11" ht="15.75" customHeight="1" x14ac:dyDescent="0.2">
      <c r="K1980"/>
    </row>
    <row r="1981" spans="11:11" ht="15.75" customHeight="1" x14ac:dyDescent="0.2">
      <c r="K1981"/>
    </row>
    <row r="1982" spans="11:11" ht="15.75" customHeight="1" x14ac:dyDescent="0.2">
      <c r="K1982"/>
    </row>
    <row r="1983" spans="11:11" ht="15.75" customHeight="1" x14ac:dyDescent="0.2">
      <c r="K1983"/>
    </row>
    <row r="1984" spans="11:11" ht="15.75" customHeight="1" x14ac:dyDescent="0.2">
      <c r="K1984"/>
    </row>
    <row r="1985" spans="11:11" ht="15.75" customHeight="1" x14ac:dyDescent="0.2">
      <c r="K1985"/>
    </row>
    <row r="1986" spans="11:11" ht="15.75" customHeight="1" x14ac:dyDescent="0.2">
      <c r="K1986"/>
    </row>
    <row r="1987" spans="11:11" ht="15.75" customHeight="1" x14ac:dyDescent="0.2">
      <c r="K1987"/>
    </row>
    <row r="1988" spans="11:11" ht="15.75" customHeight="1" x14ac:dyDescent="0.2">
      <c r="K1988"/>
    </row>
    <row r="1989" spans="11:11" ht="15.75" customHeight="1" x14ac:dyDescent="0.2">
      <c r="K1989"/>
    </row>
    <row r="1990" spans="11:11" ht="15.75" customHeight="1" x14ac:dyDescent="0.2">
      <c r="K1990"/>
    </row>
    <row r="1991" spans="11:11" ht="15.75" customHeight="1" x14ac:dyDescent="0.2">
      <c r="K1991"/>
    </row>
    <row r="1992" spans="11:11" ht="15.75" customHeight="1" x14ac:dyDescent="0.2">
      <c r="K1992"/>
    </row>
    <row r="1993" spans="11:11" ht="15.75" customHeight="1" x14ac:dyDescent="0.2">
      <c r="K1993"/>
    </row>
    <row r="1994" spans="11:11" ht="15.75" customHeight="1" x14ac:dyDescent="0.2">
      <c r="K1994"/>
    </row>
    <row r="1995" spans="11:11" ht="15.75" customHeight="1" x14ac:dyDescent="0.2">
      <c r="K1995"/>
    </row>
    <row r="1996" spans="11:11" ht="15.75" customHeight="1" x14ac:dyDescent="0.2">
      <c r="K1996"/>
    </row>
    <row r="1997" spans="11:11" ht="15.75" customHeight="1" x14ac:dyDescent="0.2">
      <c r="K1997"/>
    </row>
    <row r="1998" spans="11:11" ht="15.75" customHeight="1" x14ac:dyDescent="0.2">
      <c r="K1998"/>
    </row>
    <row r="1999" spans="11:11" ht="15.75" customHeight="1" x14ac:dyDescent="0.2">
      <c r="K1999"/>
    </row>
    <row r="2000" spans="11:11" ht="15.75" customHeight="1" x14ac:dyDescent="0.2">
      <c r="K2000"/>
    </row>
    <row r="2001" spans="11:11" ht="15.75" customHeight="1" x14ac:dyDescent="0.2">
      <c r="K2001"/>
    </row>
    <row r="2002" spans="11:11" ht="15.75" customHeight="1" x14ac:dyDescent="0.2">
      <c r="K2002"/>
    </row>
    <row r="2003" spans="11:11" ht="15.75" customHeight="1" x14ac:dyDescent="0.2">
      <c r="K2003"/>
    </row>
    <row r="2004" spans="11:11" ht="15.75" customHeight="1" x14ac:dyDescent="0.2">
      <c r="K2004"/>
    </row>
    <row r="2005" spans="11:11" ht="15.75" customHeight="1" x14ac:dyDescent="0.2">
      <c r="K2005"/>
    </row>
    <row r="2006" spans="11:11" ht="15.75" customHeight="1" x14ac:dyDescent="0.2">
      <c r="K2006"/>
    </row>
    <row r="2007" spans="11:11" ht="15.75" customHeight="1" x14ac:dyDescent="0.2">
      <c r="K2007"/>
    </row>
    <row r="2008" spans="11:11" ht="15.75" customHeight="1" x14ac:dyDescent="0.2">
      <c r="K2008"/>
    </row>
    <row r="2009" spans="11:11" ht="15.75" customHeight="1" x14ac:dyDescent="0.2">
      <c r="K2009"/>
    </row>
    <row r="2010" spans="11:11" ht="15.75" customHeight="1" x14ac:dyDescent="0.2">
      <c r="K2010"/>
    </row>
    <row r="2011" spans="11:11" ht="15.75" customHeight="1" x14ac:dyDescent="0.2">
      <c r="K2011"/>
    </row>
    <row r="2012" spans="11:11" ht="15.75" customHeight="1" x14ac:dyDescent="0.2">
      <c r="K2012"/>
    </row>
    <row r="2013" spans="11:11" ht="15.75" customHeight="1" x14ac:dyDescent="0.2">
      <c r="K2013"/>
    </row>
    <row r="2014" spans="11:11" ht="15.75" customHeight="1" x14ac:dyDescent="0.2">
      <c r="K2014"/>
    </row>
    <row r="2015" spans="11:11" ht="15.75" customHeight="1" x14ac:dyDescent="0.2">
      <c r="K2015"/>
    </row>
    <row r="2016" spans="11:11" ht="15.75" customHeight="1" x14ac:dyDescent="0.2">
      <c r="K2016"/>
    </row>
    <row r="2017" spans="11:11" ht="15.75" customHeight="1" x14ac:dyDescent="0.2">
      <c r="K2017"/>
    </row>
    <row r="2018" spans="11:11" ht="15.75" customHeight="1" x14ac:dyDescent="0.2">
      <c r="K2018"/>
    </row>
    <row r="2019" spans="11:11" ht="15.75" customHeight="1" x14ac:dyDescent="0.2">
      <c r="K2019"/>
    </row>
    <row r="2020" spans="11:11" ht="15.75" customHeight="1" x14ac:dyDescent="0.2">
      <c r="K2020"/>
    </row>
    <row r="2021" spans="11:11" ht="15.75" customHeight="1" x14ac:dyDescent="0.2">
      <c r="K2021"/>
    </row>
    <row r="2022" spans="11:11" ht="15.75" customHeight="1" x14ac:dyDescent="0.2">
      <c r="K2022"/>
    </row>
    <row r="2023" spans="11:11" ht="15.75" customHeight="1" x14ac:dyDescent="0.2">
      <c r="K2023"/>
    </row>
    <row r="2024" spans="11:11" ht="15.75" customHeight="1" x14ac:dyDescent="0.2">
      <c r="K2024"/>
    </row>
    <row r="2025" spans="11:11" ht="15.75" customHeight="1" x14ac:dyDescent="0.2">
      <c r="K2025"/>
    </row>
    <row r="2026" spans="11:11" ht="15.75" customHeight="1" x14ac:dyDescent="0.2">
      <c r="K2026"/>
    </row>
    <row r="2027" spans="11:11" ht="15.75" customHeight="1" x14ac:dyDescent="0.2">
      <c r="K2027"/>
    </row>
    <row r="2028" spans="11:11" ht="15.75" customHeight="1" x14ac:dyDescent="0.2">
      <c r="K2028"/>
    </row>
    <row r="2029" spans="11:11" ht="15.75" customHeight="1" x14ac:dyDescent="0.2">
      <c r="K2029"/>
    </row>
    <row r="2030" spans="11:11" ht="15.75" customHeight="1" x14ac:dyDescent="0.2">
      <c r="K2030"/>
    </row>
    <row r="2031" spans="11:11" ht="15.75" customHeight="1" x14ac:dyDescent="0.2">
      <c r="K2031"/>
    </row>
    <row r="2032" spans="11:11" ht="15.75" customHeight="1" x14ac:dyDescent="0.2">
      <c r="K2032"/>
    </row>
    <row r="2033" spans="11:11" ht="15.75" customHeight="1" x14ac:dyDescent="0.2">
      <c r="K2033"/>
    </row>
    <row r="2034" spans="11:11" ht="15.75" customHeight="1" x14ac:dyDescent="0.2">
      <c r="K2034"/>
    </row>
    <row r="2035" spans="11:11" ht="15.75" customHeight="1" x14ac:dyDescent="0.2">
      <c r="K2035"/>
    </row>
    <row r="2036" spans="11:11" ht="15.75" customHeight="1" x14ac:dyDescent="0.2">
      <c r="K2036"/>
    </row>
    <row r="2037" spans="11:11" ht="15.75" customHeight="1" x14ac:dyDescent="0.2">
      <c r="K2037"/>
    </row>
    <row r="2038" spans="11:11" ht="15.75" customHeight="1" x14ac:dyDescent="0.2">
      <c r="K2038"/>
    </row>
    <row r="2039" spans="11:11" ht="15.75" customHeight="1" x14ac:dyDescent="0.2">
      <c r="K2039"/>
    </row>
    <row r="2040" spans="11:11" ht="15.75" customHeight="1" x14ac:dyDescent="0.2">
      <c r="K2040"/>
    </row>
    <row r="2041" spans="11:11" ht="15.75" customHeight="1" x14ac:dyDescent="0.2">
      <c r="K2041"/>
    </row>
    <row r="2042" spans="11:11" ht="15.75" customHeight="1" x14ac:dyDescent="0.2">
      <c r="K2042"/>
    </row>
    <row r="2043" spans="11:11" ht="15.75" customHeight="1" x14ac:dyDescent="0.2">
      <c r="K2043"/>
    </row>
    <row r="2044" spans="11:11" ht="15.75" customHeight="1" x14ac:dyDescent="0.2">
      <c r="K2044"/>
    </row>
    <row r="2045" spans="11:11" ht="15.75" customHeight="1" x14ac:dyDescent="0.2">
      <c r="K2045"/>
    </row>
    <row r="2046" spans="11:11" ht="15.75" customHeight="1" x14ac:dyDescent="0.2">
      <c r="K2046"/>
    </row>
    <row r="2047" spans="11:11" ht="15.75" customHeight="1" x14ac:dyDescent="0.2">
      <c r="K2047"/>
    </row>
    <row r="2048" spans="11:11" ht="15.75" customHeight="1" x14ac:dyDescent="0.2">
      <c r="K2048"/>
    </row>
    <row r="2049" spans="11:11" ht="15.75" customHeight="1" x14ac:dyDescent="0.2">
      <c r="K2049"/>
    </row>
    <row r="2050" spans="11:11" ht="15.75" customHeight="1" x14ac:dyDescent="0.2">
      <c r="K2050"/>
    </row>
    <row r="2051" spans="11:11" ht="15.75" customHeight="1" x14ac:dyDescent="0.2">
      <c r="K2051"/>
    </row>
    <row r="2052" spans="11:11" ht="15.75" customHeight="1" x14ac:dyDescent="0.2">
      <c r="K2052"/>
    </row>
    <row r="2053" spans="11:11" ht="15.75" customHeight="1" x14ac:dyDescent="0.2">
      <c r="K2053"/>
    </row>
    <row r="2054" spans="11:11" ht="15.75" customHeight="1" x14ac:dyDescent="0.2">
      <c r="K2054"/>
    </row>
    <row r="2055" spans="11:11" ht="15.75" customHeight="1" x14ac:dyDescent="0.2">
      <c r="K2055"/>
    </row>
    <row r="2056" spans="11:11" ht="15.75" customHeight="1" x14ac:dyDescent="0.2">
      <c r="K2056"/>
    </row>
    <row r="2057" spans="11:11" ht="15.75" customHeight="1" x14ac:dyDescent="0.2">
      <c r="K2057"/>
    </row>
    <row r="2058" spans="11:11" ht="15.75" customHeight="1" x14ac:dyDescent="0.2">
      <c r="K2058"/>
    </row>
    <row r="2059" spans="11:11" ht="15.75" customHeight="1" x14ac:dyDescent="0.2">
      <c r="K2059"/>
    </row>
    <row r="2060" spans="11:11" ht="15.75" customHeight="1" x14ac:dyDescent="0.2">
      <c r="K2060"/>
    </row>
    <row r="2061" spans="11:11" ht="15.75" customHeight="1" x14ac:dyDescent="0.2">
      <c r="K2061"/>
    </row>
    <row r="2062" spans="11:11" ht="15.75" customHeight="1" x14ac:dyDescent="0.2">
      <c r="K2062"/>
    </row>
    <row r="2063" spans="11:11" ht="15.75" customHeight="1" x14ac:dyDescent="0.2">
      <c r="K2063"/>
    </row>
    <row r="2064" spans="11:11" ht="15.75" customHeight="1" x14ac:dyDescent="0.2">
      <c r="K2064"/>
    </row>
    <row r="2065" spans="11:11" ht="15.75" customHeight="1" x14ac:dyDescent="0.2">
      <c r="K2065"/>
    </row>
    <row r="2066" spans="11:11" ht="15.75" customHeight="1" x14ac:dyDescent="0.2">
      <c r="K2066"/>
    </row>
    <row r="2067" spans="11:11" ht="15.75" customHeight="1" x14ac:dyDescent="0.2">
      <c r="K2067"/>
    </row>
    <row r="2068" spans="11:11" ht="15.75" customHeight="1" x14ac:dyDescent="0.2">
      <c r="K2068"/>
    </row>
    <row r="2069" spans="11:11" ht="15.75" customHeight="1" x14ac:dyDescent="0.2">
      <c r="K2069"/>
    </row>
    <row r="2070" spans="11:11" ht="15.75" customHeight="1" x14ac:dyDescent="0.2">
      <c r="K2070"/>
    </row>
    <row r="2071" spans="11:11" ht="15.75" customHeight="1" x14ac:dyDescent="0.2">
      <c r="K2071"/>
    </row>
    <row r="2072" spans="11:11" ht="15.75" customHeight="1" x14ac:dyDescent="0.2">
      <c r="K2072"/>
    </row>
    <row r="2073" spans="11:11" ht="15.75" customHeight="1" x14ac:dyDescent="0.2">
      <c r="K2073"/>
    </row>
    <row r="2074" spans="11:11" ht="15.75" customHeight="1" x14ac:dyDescent="0.2">
      <c r="K2074"/>
    </row>
    <row r="2075" spans="11:11" ht="15.75" customHeight="1" x14ac:dyDescent="0.2">
      <c r="K2075"/>
    </row>
    <row r="2076" spans="11:11" ht="15.75" customHeight="1" x14ac:dyDescent="0.2">
      <c r="K2076"/>
    </row>
    <row r="2077" spans="11:11" ht="15.75" customHeight="1" x14ac:dyDescent="0.2">
      <c r="K2077"/>
    </row>
    <row r="2078" spans="11:11" ht="15.75" customHeight="1" x14ac:dyDescent="0.2">
      <c r="K2078"/>
    </row>
    <row r="2079" spans="11:11" ht="15.75" customHeight="1" x14ac:dyDescent="0.2">
      <c r="K2079"/>
    </row>
    <row r="2080" spans="11:11" ht="15.75" customHeight="1" x14ac:dyDescent="0.2">
      <c r="K2080"/>
    </row>
    <row r="2081" spans="11:11" ht="15.75" customHeight="1" x14ac:dyDescent="0.2">
      <c r="K2081"/>
    </row>
    <row r="2082" spans="11:11" ht="15.75" customHeight="1" x14ac:dyDescent="0.2">
      <c r="K2082"/>
    </row>
    <row r="2083" spans="11:11" ht="15.75" customHeight="1" x14ac:dyDescent="0.2">
      <c r="K2083"/>
    </row>
    <row r="2084" spans="11:11" ht="15.75" customHeight="1" x14ac:dyDescent="0.2">
      <c r="K2084"/>
    </row>
    <row r="2085" spans="11:11" ht="15.75" customHeight="1" x14ac:dyDescent="0.2">
      <c r="K2085"/>
    </row>
    <row r="2086" spans="11:11" ht="15.75" customHeight="1" x14ac:dyDescent="0.2">
      <c r="K2086"/>
    </row>
    <row r="2087" spans="11:11" ht="15.75" customHeight="1" x14ac:dyDescent="0.2">
      <c r="K2087"/>
    </row>
    <row r="2088" spans="11:11" ht="15.75" customHeight="1" x14ac:dyDescent="0.2">
      <c r="K2088"/>
    </row>
    <row r="2089" spans="11:11" ht="15.75" customHeight="1" x14ac:dyDescent="0.2">
      <c r="K2089"/>
    </row>
    <row r="2090" spans="11:11" ht="15.75" customHeight="1" x14ac:dyDescent="0.2">
      <c r="K2090"/>
    </row>
    <row r="2091" spans="11:11" ht="15.75" customHeight="1" x14ac:dyDescent="0.2">
      <c r="K2091"/>
    </row>
    <row r="2092" spans="11:11" ht="15.75" customHeight="1" x14ac:dyDescent="0.2">
      <c r="K2092"/>
    </row>
    <row r="2093" spans="11:11" ht="15.75" customHeight="1" x14ac:dyDescent="0.2">
      <c r="K2093"/>
    </row>
    <row r="2094" spans="11:11" ht="15.75" customHeight="1" x14ac:dyDescent="0.2">
      <c r="K2094"/>
    </row>
    <row r="2095" spans="11:11" ht="15.75" customHeight="1" x14ac:dyDescent="0.2">
      <c r="K2095"/>
    </row>
    <row r="2096" spans="11:11" ht="15.75" customHeight="1" x14ac:dyDescent="0.2">
      <c r="K2096"/>
    </row>
    <row r="2097" spans="11:11" ht="15.75" customHeight="1" x14ac:dyDescent="0.2">
      <c r="K2097"/>
    </row>
    <row r="2098" spans="11:11" ht="15.75" customHeight="1" x14ac:dyDescent="0.2">
      <c r="K2098"/>
    </row>
    <row r="2099" spans="11:11" ht="15.75" customHeight="1" x14ac:dyDescent="0.2">
      <c r="K2099"/>
    </row>
    <row r="2100" spans="11:11" ht="15.75" customHeight="1" x14ac:dyDescent="0.2">
      <c r="K2100"/>
    </row>
    <row r="2101" spans="11:11" ht="15.75" customHeight="1" x14ac:dyDescent="0.2">
      <c r="K2101"/>
    </row>
    <row r="2102" spans="11:11" ht="15.75" customHeight="1" x14ac:dyDescent="0.2">
      <c r="K2102"/>
    </row>
    <row r="2103" spans="11:11" ht="15.75" customHeight="1" x14ac:dyDescent="0.2">
      <c r="K2103"/>
    </row>
    <row r="2104" spans="11:11" ht="15.75" customHeight="1" x14ac:dyDescent="0.2">
      <c r="K2104"/>
    </row>
    <row r="2105" spans="11:11" ht="15.75" customHeight="1" x14ac:dyDescent="0.2">
      <c r="K2105"/>
    </row>
    <row r="2106" spans="11:11" ht="15.75" customHeight="1" x14ac:dyDescent="0.2">
      <c r="K2106"/>
    </row>
    <row r="2107" spans="11:11" ht="15.75" customHeight="1" x14ac:dyDescent="0.2">
      <c r="K2107"/>
    </row>
    <row r="2108" spans="11:11" ht="15.75" customHeight="1" x14ac:dyDescent="0.2">
      <c r="K2108"/>
    </row>
    <row r="2109" spans="11:11" ht="15.75" customHeight="1" x14ac:dyDescent="0.2">
      <c r="K2109"/>
    </row>
    <row r="2110" spans="11:11" ht="15.75" customHeight="1" x14ac:dyDescent="0.2">
      <c r="K2110"/>
    </row>
    <row r="2111" spans="11:11" ht="15.75" customHeight="1" x14ac:dyDescent="0.2">
      <c r="K2111"/>
    </row>
    <row r="2112" spans="11:11" ht="15.75" customHeight="1" x14ac:dyDescent="0.2">
      <c r="K2112"/>
    </row>
    <row r="2113" spans="11:11" ht="15.75" customHeight="1" x14ac:dyDescent="0.2">
      <c r="K2113"/>
    </row>
    <row r="2114" spans="11:11" ht="15.75" customHeight="1" x14ac:dyDescent="0.2">
      <c r="K2114"/>
    </row>
    <row r="2115" spans="11:11" ht="15.75" customHeight="1" x14ac:dyDescent="0.2">
      <c r="K2115"/>
    </row>
    <row r="2116" spans="11:11" ht="15.75" customHeight="1" x14ac:dyDescent="0.2">
      <c r="K2116"/>
    </row>
    <row r="2117" spans="11:11" ht="15.75" customHeight="1" x14ac:dyDescent="0.2">
      <c r="K2117"/>
    </row>
    <row r="2118" spans="11:11" ht="15.75" customHeight="1" x14ac:dyDescent="0.2">
      <c r="K2118"/>
    </row>
    <row r="2119" spans="11:11" ht="15.75" customHeight="1" x14ac:dyDescent="0.2">
      <c r="K2119"/>
    </row>
    <row r="2120" spans="11:11" ht="15.75" customHeight="1" x14ac:dyDescent="0.2">
      <c r="K2120"/>
    </row>
    <row r="2121" spans="11:11" ht="15.75" customHeight="1" x14ac:dyDescent="0.2">
      <c r="K2121"/>
    </row>
    <row r="2122" spans="11:11" ht="15.75" customHeight="1" x14ac:dyDescent="0.2">
      <c r="K2122"/>
    </row>
    <row r="2123" spans="11:11" ht="15.75" customHeight="1" x14ac:dyDescent="0.2">
      <c r="K2123"/>
    </row>
    <row r="2124" spans="11:11" ht="15.75" customHeight="1" x14ac:dyDescent="0.2">
      <c r="K2124"/>
    </row>
    <row r="2125" spans="11:11" ht="15.75" customHeight="1" x14ac:dyDescent="0.2">
      <c r="K2125"/>
    </row>
    <row r="2126" spans="11:11" ht="15.75" customHeight="1" x14ac:dyDescent="0.2">
      <c r="K2126"/>
    </row>
    <row r="2127" spans="11:11" ht="15.75" customHeight="1" x14ac:dyDescent="0.2">
      <c r="K2127"/>
    </row>
    <row r="2128" spans="11:11" ht="15.75" customHeight="1" x14ac:dyDescent="0.2">
      <c r="K2128"/>
    </row>
    <row r="2129" spans="11:11" ht="15.75" customHeight="1" x14ac:dyDescent="0.2">
      <c r="K2129"/>
    </row>
    <row r="2130" spans="11:11" ht="15.75" customHeight="1" x14ac:dyDescent="0.2">
      <c r="K2130"/>
    </row>
    <row r="2131" spans="11:11" ht="15.75" customHeight="1" x14ac:dyDescent="0.2">
      <c r="K2131"/>
    </row>
    <row r="2132" spans="11:11" ht="15.75" customHeight="1" x14ac:dyDescent="0.2">
      <c r="K2132"/>
    </row>
    <row r="2133" spans="11:11" ht="15.75" customHeight="1" x14ac:dyDescent="0.2">
      <c r="K2133"/>
    </row>
    <row r="2134" spans="11:11" ht="15.75" customHeight="1" x14ac:dyDescent="0.2">
      <c r="K2134"/>
    </row>
    <row r="2135" spans="11:11" ht="15.75" customHeight="1" x14ac:dyDescent="0.2">
      <c r="K2135"/>
    </row>
    <row r="2136" spans="11:11" ht="15.75" customHeight="1" x14ac:dyDescent="0.2">
      <c r="K2136"/>
    </row>
    <row r="2137" spans="11:11" ht="15.75" customHeight="1" x14ac:dyDescent="0.2">
      <c r="K2137"/>
    </row>
    <row r="2138" spans="11:11" ht="15.75" customHeight="1" x14ac:dyDescent="0.2">
      <c r="K2138"/>
    </row>
    <row r="2139" spans="11:11" ht="15.75" customHeight="1" x14ac:dyDescent="0.2">
      <c r="K2139"/>
    </row>
    <row r="2140" spans="11:11" ht="15.75" customHeight="1" x14ac:dyDescent="0.2">
      <c r="K2140"/>
    </row>
    <row r="2141" spans="11:11" ht="15.75" customHeight="1" x14ac:dyDescent="0.2">
      <c r="K2141"/>
    </row>
    <row r="2142" spans="11:11" ht="15.75" customHeight="1" x14ac:dyDescent="0.2">
      <c r="K2142"/>
    </row>
    <row r="2143" spans="11:11" ht="15.75" customHeight="1" x14ac:dyDescent="0.2">
      <c r="K2143"/>
    </row>
    <row r="2144" spans="11:11" ht="15.75" customHeight="1" x14ac:dyDescent="0.2">
      <c r="K2144"/>
    </row>
    <row r="2145" spans="11:11" ht="15.75" customHeight="1" x14ac:dyDescent="0.2">
      <c r="K2145"/>
    </row>
    <row r="2146" spans="11:11" ht="15.75" customHeight="1" x14ac:dyDescent="0.2">
      <c r="K2146"/>
    </row>
    <row r="2147" spans="11:11" ht="15.75" customHeight="1" x14ac:dyDescent="0.2">
      <c r="K2147"/>
    </row>
    <row r="2148" spans="11:11" ht="15.75" customHeight="1" x14ac:dyDescent="0.2">
      <c r="K2148"/>
    </row>
    <row r="2149" spans="11:11" ht="15.75" customHeight="1" x14ac:dyDescent="0.2">
      <c r="K2149"/>
    </row>
    <row r="2150" spans="11:11" ht="15.75" customHeight="1" x14ac:dyDescent="0.2">
      <c r="K2150"/>
    </row>
    <row r="2151" spans="11:11" ht="15.75" customHeight="1" x14ac:dyDescent="0.2">
      <c r="K2151"/>
    </row>
    <row r="2152" spans="11:11" ht="15.75" customHeight="1" x14ac:dyDescent="0.2">
      <c r="K2152"/>
    </row>
    <row r="2153" spans="11:11" ht="15.75" customHeight="1" x14ac:dyDescent="0.2">
      <c r="K2153"/>
    </row>
    <row r="2154" spans="11:11" ht="15.75" customHeight="1" x14ac:dyDescent="0.2">
      <c r="K2154"/>
    </row>
    <row r="2155" spans="11:11" ht="15.75" customHeight="1" x14ac:dyDescent="0.2">
      <c r="K2155"/>
    </row>
    <row r="2156" spans="11:11" ht="15.75" customHeight="1" x14ac:dyDescent="0.2">
      <c r="K2156"/>
    </row>
    <row r="2157" spans="11:11" ht="15.75" customHeight="1" x14ac:dyDescent="0.2">
      <c r="K2157"/>
    </row>
    <row r="2158" spans="11:11" ht="15.75" customHeight="1" x14ac:dyDescent="0.2">
      <c r="K2158"/>
    </row>
    <row r="2159" spans="11:11" ht="15.75" customHeight="1" x14ac:dyDescent="0.2">
      <c r="K2159"/>
    </row>
    <row r="2160" spans="11:11" ht="15.75" customHeight="1" x14ac:dyDescent="0.2">
      <c r="K2160"/>
    </row>
    <row r="2161" spans="11:11" ht="15.75" customHeight="1" x14ac:dyDescent="0.2">
      <c r="K2161"/>
    </row>
    <row r="2162" spans="11:11" ht="15.75" customHeight="1" x14ac:dyDescent="0.2">
      <c r="K2162"/>
    </row>
    <row r="2163" spans="11:11" ht="15.75" customHeight="1" x14ac:dyDescent="0.2">
      <c r="K2163"/>
    </row>
    <row r="2164" spans="11:11" ht="15.75" customHeight="1" x14ac:dyDescent="0.2">
      <c r="K2164"/>
    </row>
    <row r="2165" spans="11:11" ht="15.75" customHeight="1" x14ac:dyDescent="0.2">
      <c r="K2165"/>
    </row>
    <row r="2166" spans="11:11" ht="15.75" customHeight="1" x14ac:dyDescent="0.2">
      <c r="K2166"/>
    </row>
    <row r="2167" spans="11:11" ht="15.75" customHeight="1" x14ac:dyDescent="0.2">
      <c r="K2167"/>
    </row>
    <row r="2168" spans="11:11" ht="15.75" customHeight="1" x14ac:dyDescent="0.2">
      <c r="K2168"/>
    </row>
    <row r="2169" spans="11:11" ht="15.75" customHeight="1" x14ac:dyDescent="0.2">
      <c r="K2169"/>
    </row>
    <row r="2170" spans="11:11" ht="15.75" customHeight="1" x14ac:dyDescent="0.2">
      <c r="K2170"/>
    </row>
    <row r="2171" spans="11:11" ht="15.75" customHeight="1" x14ac:dyDescent="0.2">
      <c r="K2171"/>
    </row>
    <row r="2172" spans="11:11" ht="15.75" customHeight="1" x14ac:dyDescent="0.2">
      <c r="K2172"/>
    </row>
    <row r="2173" spans="11:11" ht="15.75" customHeight="1" x14ac:dyDescent="0.2">
      <c r="K2173"/>
    </row>
    <row r="2174" spans="11:11" ht="15.75" customHeight="1" x14ac:dyDescent="0.2">
      <c r="K2174"/>
    </row>
    <row r="2175" spans="11:11" ht="15.75" customHeight="1" x14ac:dyDescent="0.2">
      <c r="K2175"/>
    </row>
    <row r="2176" spans="11:11" ht="15.75" customHeight="1" x14ac:dyDescent="0.2">
      <c r="K2176"/>
    </row>
    <row r="2177" spans="11:11" ht="15.75" customHeight="1" x14ac:dyDescent="0.2">
      <c r="K2177"/>
    </row>
    <row r="2178" spans="11:11" ht="15.75" customHeight="1" x14ac:dyDescent="0.2">
      <c r="K2178"/>
    </row>
    <row r="2179" spans="11:11" ht="15.75" customHeight="1" x14ac:dyDescent="0.2">
      <c r="K2179"/>
    </row>
    <row r="2180" spans="11:11" ht="15.75" customHeight="1" x14ac:dyDescent="0.2">
      <c r="K2180"/>
    </row>
    <row r="2181" spans="11:11" ht="15.75" customHeight="1" x14ac:dyDescent="0.2">
      <c r="K2181"/>
    </row>
    <row r="2182" spans="11:11" ht="15.75" customHeight="1" x14ac:dyDescent="0.2">
      <c r="K2182"/>
    </row>
    <row r="2183" spans="11:11" ht="15.75" customHeight="1" x14ac:dyDescent="0.2">
      <c r="K2183"/>
    </row>
    <row r="2184" spans="11:11" ht="15.75" customHeight="1" x14ac:dyDescent="0.2">
      <c r="K2184"/>
    </row>
    <row r="2185" spans="11:11" ht="15.75" customHeight="1" x14ac:dyDescent="0.2">
      <c r="K2185"/>
    </row>
    <row r="2186" spans="11:11" ht="15.75" customHeight="1" x14ac:dyDescent="0.2">
      <c r="K2186"/>
    </row>
    <row r="2187" spans="11:11" ht="15.75" customHeight="1" x14ac:dyDescent="0.2">
      <c r="K2187"/>
    </row>
    <row r="2188" spans="11:11" ht="15.75" customHeight="1" x14ac:dyDescent="0.2">
      <c r="K2188"/>
    </row>
    <row r="2189" spans="11:11" ht="15.75" customHeight="1" x14ac:dyDescent="0.2">
      <c r="K2189"/>
    </row>
    <row r="2190" spans="11:11" ht="15.75" customHeight="1" x14ac:dyDescent="0.2">
      <c r="K2190"/>
    </row>
    <row r="2191" spans="11:11" ht="15.75" customHeight="1" x14ac:dyDescent="0.2">
      <c r="K2191"/>
    </row>
    <row r="2192" spans="11:11" ht="15.75" customHeight="1" x14ac:dyDescent="0.2">
      <c r="K2192"/>
    </row>
    <row r="2193" spans="11:11" ht="15.75" customHeight="1" x14ac:dyDescent="0.2">
      <c r="K2193"/>
    </row>
    <row r="2194" spans="11:11" ht="15.75" customHeight="1" x14ac:dyDescent="0.2">
      <c r="K2194"/>
    </row>
    <row r="2195" spans="11:11" ht="15.75" customHeight="1" x14ac:dyDescent="0.2">
      <c r="K2195"/>
    </row>
    <row r="2196" spans="11:11" ht="15.75" customHeight="1" x14ac:dyDescent="0.2">
      <c r="K2196"/>
    </row>
    <row r="2197" spans="11:11" ht="15.75" customHeight="1" x14ac:dyDescent="0.2">
      <c r="K2197"/>
    </row>
    <row r="2198" spans="11:11" ht="15.75" customHeight="1" x14ac:dyDescent="0.2">
      <c r="K2198"/>
    </row>
    <row r="2199" spans="11:11" ht="15.75" customHeight="1" x14ac:dyDescent="0.2">
      <c r="K2199"/>
    </row>
    <row r="2200" spans="11:11" ht="15.75" customHeight="1" x14ac:dyDescent="0.2">
      <c r="K2200"/>
    </row>
    <row r="2201" spans="11:11" ht="15.75" customHeight="1" x14ac:dyDescent="0.2">
      <c r="K2201"/>
    </row>
    <row r="2202" spans="11:11" ht="15.75" customHeight="1" x14ac:dyDescent="0.2">
      <c r="K2202"/>
    </row>
    <row r="2203" spans="11:11" ht="15.75" customHeight="1" x14ac:dyDescent="0.2">
      <c r="K2203"/>
    </row>
    <row r="2204" spans="11:11" ht="15.75" customHeight="1" x14ac:dyDescent="0.2">
      <c r="K2204"/>
    </row>
    <row r="2205" spans="11:11" ht="15.75" customHeight="1" x14ac:dyDescent="0.2">
      <c r="K2205"/>
    </row>
    <row r="2206" spans="11:11" ht="15.75" customHeight="1" x14ac:dyDescent="0.2">
      <c r="K2206"/>
    </row>
    <row r="2207" spans="11:11" ht="15.75" customHeight="1" x14ac:dyDescent="0.2">
      <c r="K2207"/>
    </row>
    <row r="2208" spans="11:11" ht="15.75" customHeight="1" x14ac:dyDescent="0.2">
      <c r="K2208"/>
    </row>
    <row r="2209" spans="11:11" ht="15.75" customHeight="1" x14ac:dyDescent="0.2">
      <c r="K2209"/>
    </row>
    <row r="2210" spans="11:11" ht="15.75" customHeight="1" x14ac:dyDescent="0.2">
      <c r="K2210"/>
    </row>
    <row r="2211" spans="11:11" ht="15.75" customHeight="1" x14ac:dyDescent="0.2">
      <c r="K2211"/>
    </row>
    <row r="2212" spans="11:11" ht="15.75" customHeight="1" x14ac:dyDescent="0.2">
      <c r="K2212"/>
    </row>
    <row r="2213" spans="11:11" ht="15.75" customHeight="1" x14ac:dyDescent="0.2">
      <c r="K2213"/>
    </row>
    <row r="2214" spans="11:11" ht="15.75" customHeight="1" x14ac:dyDescent="0.2">
      <c r="K2214"/>
    </row>
    <row r="2215" spans="11:11" ht="15.75" customHeight="1" x14ac:dyDescent="0.2">
      <c r="K2215"/>
    </row>
    <row r="2216" spans="11:11" ht="15.75" customHeight="1" x14ac:dyDescent="0.2">
      <c r="K2216"/>
    </row>
    <row r="2217" spans="11:11" ht="15.75" customHeight="1" x14ac:dyDescent="0.2">
      <c r="K2217"/>
    </row>
    <row r="2218" spans="11:11" ht="15.75" customHeight="1" x14ac:dyDescent="0.2">
      <c r="K2218"/>
    </row>
    <row r="2219" spans="11:11" ht="15.75" customHeight="1" x14ac:dyDescent="0.2">
      <c r="K2219"/>
    </row>
    <row r="2220" spans="11:11" ht="15.75" customHeight="1" x14ac:dyDescent="0.2">
      <c r="K2220"/>
    </row>
    <row r="2221" spans="11:11" ht="15.75" customHeight="1" x14ac:dyDescent="0.2">
      <c r="K2221"/>
    </row>
    <row r="2222" spans="11:11" ht="15.75" customHeight="1" x14ac:dyDescent="0.2">
      <c r="K2222"/>
    </row>
    <row r="2223" spans="11:11" ht="15.75" customHeight="1" x14ac:dyDescent="0.2">
      <c r="K2223"/>
    </row>
    <row r="2224" spans="11:11" ht="15.75" customHeight="1" x14ac:dyDescent="0.2">
      <c r="K2224"/>
    </row>
    <row r="2225" spans="11:11" ht="15.75" customHeight="1" x14ac:dyDescent="0.2">
      <c r="K2225"/>
    </row>
    <row r="2226" spans="11:11" ht="15.75" customHeight="1" x14ac:dyDescent="0.2">
      <c r="K2226"/>
    </row>
    <row r="2227" spans="11:11" ht="15.75" customHeight="1" x14ac:dyDescent="0.2">
      <c r="K2227"/>
    </row>
    <row r="2228" spans="11:11" ht="15.75" customHeight="1" x14ac:dyDescent="0.2">
      <c r="K2228"/>
    </row>
    <row r="2229" spans="11:11" ht="15.75" customHeight="1" x14ac:dyDescent="0.2">
      <c r="K2229"/>
    </row>
    <row r="2230" spans="11:11" ht="15.75" customHeight="1" x14ac:dyDescent="0.2">
      <c r="K2230"/>
    </row>
    <row r="2231" spans="11:11" ht="15.75" customHeight="1" x14ac:dyDescent="0.2">
      <c r="K2231"/>
    </row>
    <row r="2232" spans="11:11" ht="15.75" customHeight="1" x14ac:dyDescent="0.2">
      <c r="K2232"/>
    </row>
    <row r="2233" spans="11:11" ht="15.75" customHeight="1" x14ac:dyDescent="0.2">
      <c r="K2233"/>
    </row>
    <row r="2234" spans="11:11" ht="15.75" customHeight="1" x14ac:dyDescent="0.2">
      <c r="K2234"/>
    </row>
    <row r="2235" spans="11:11" ht="15.75" customHeight="1" x14ac:dyDescent="0.2">
      <c r="K2235"/>
    </row>
    <row r="2236" spans="11:11" ht="15.75" customHeight="1" x14ac:dyDescent="0.2">
      <c r="K2236"/>
    </row>
    <row r="2237" spans="11:11" ht="15.75" customHeight="1" x14ac:dyDescent="0.2">
      <c r="K2237"/>
    </row>
    <row r="2238" spans="11:11" ht="15.75" customHeight="1" x14ac:dyDescent="0.2">
      <c r="K2238"/>
    </row>
    <row r="2239" spans="11:11" ht="15.75" customHeight="1" x14ac:dyDescent="0.2">
      <c r="K2239"/>
    </row>
    <row r="2240" spans="11:11" ht="15.75" customHeight="1" x14ac:dyDescent="0.2">
      <c r="K2240"/>
    </row>
    <row r="2241" spans="11:11" ht="15.75" customHeight="1" x14ac:dyDescent="0.2">
      <c r="K2241"/>
    </row>
    <row r="2242" spans="11:11" ht="15.75" customHeight="1" x14ac:dyDescent="0.2">
      <c r="K2242"/>
    </row>
    <row r="2243" spans="11:11" ht="15.75" customHeight="1" x14ac:dyDescent="0.2">
      <c r="K2243"/>
    </row>
    <row r="2244" spans="11:11" ht="15.75" customHeight="1" x14ac:dyDescent="0.2">
      <c r="K2244"/>
    </row>
    <row r="2245" spans="11:11" ht="15.75" customHeight="1" x14ac:dyDescent="0.2">
      <c r="K2245"/>
    </row>
    <row r="2246" spans="11:11" ht="15.75" customHeight="1" x14ac:dyDescent="0.2">
      <c r="K2246"/>
    </row>
    <row r="2247" spans="11:11" ht="15.75" customHeight="1" x14ac:dyDescent="0.2">
      <c r="K2247"/>
    </row>
    <row r="2248" spans="11:11" ht="15.75" customHeight="1" x14ac:dyDescent="0.2">
      <c r="K2248"/>
    </row>
    <row r="2249" spans="11:11" ht="15.75" customHeight="1" x14ac:dyDescent="0.2">
      <c r="K2249"/>
    </row>
    <row r="2250" spans="11:11" ht="15.75" customHeight="1" x14ac:dyDescent="0.2">
      <c r="K2250"/>
    </row>
    <row r="2251" spans="11:11" ht="15.75" customHeight="1" x14ac:dyDescent="0.2">
      <c r="K2251"/>
    </row>
    <row r="2252" spans="11:11" ht="15.75" customHeight="1" x14ac:dyDescent="0.2">
      <c r="K2252"/>
    </row>
    <row r="2253" spans="11:11" ht="15.75" customHeight="1" x14ac:dyDescent="0.2">
      <c r="K2253"/>
    </row>
    <row r="2254" spans="11:11" ht="15.75" customHeight="1" x14ac:dyDescent="0.2">
      <c r="K2254"/>
    </row>
    <row r="2255" spans="11:11" ht="15.75" customHeight="1" x14ac:dyDescent="0.2">
      <c r="K2255"/>
    </row>
    <row r="2256" spans="11:11" ht="15.75" customHeight="1" x14ac:dyDescent="0.2">
      <c r="K2256"/>
    </row>
    <row r="2257" spans="11:11" ht="15.75" customHeight="1" x14ac:dyDescent="0.2">
      <c r="K2257"/>
    </row>
    <row r="2258" spans="11:11" ht="15.75" customHeight="1" x14ac:dyDescent="0.2">
      <c r="K2258"/>
    </row>
    <row r="2259" spans="11:11" ht="15.75" customHeight="1" x14ac:dyDescent="0.2">
      <c r="K2259"/>
    </row>
    <row r="2260" spans="11:11" ht="15.75" customHeight="1" x14ac:dyDescent="0.2">
      <c r="K2260"/>
    </row>
    <row r="2261" spans="11:11" ht="15.75" customHeight="1" x14ac:dyDescent="0.2">
      <c r="K2261"/>
    </row>
    <row r="2262" spans="11:11" ht="15.75" customHeight="1" x14ac:dyDescent="0.2">
      <c r="K2262"/>
    </row>
    <row r="2263" spans="11:11" ht="15.75" customHeight="1" x14ac:dyDescent="0.2">
      <c r="K2263"/>
    </row>
    <row r="2264" spans="11:11" ht="15.75" customHeight="1" x14ac:dyDescent="0.2">
      <c r="K2264"/>
    </row>
    <row r="2265" spans="11:11" ht="15.75" customHeight="1" x14ac:dyDescent="0.2">
      <c r="K2265"/>
    </row>
    <row r="2266" spans="11:11" ht="15.75" customHeight="1" x14ac:dyDescent="0.2">
      <c r="K2266"/>
    </row>
    <row r="2267" spans="11:11" ht="15.75" customHeight="1" x14ac:dyDescent="0.2">
      <c r="K2267"/>
    </row>
    <row r="2268" spans="11:11" ht="15.75" customHeight="1" x14ac:dyDescent="0.2">
      <c r="K2268"/>
    </row>
    <row r="2269" spans="11:11" ht="15.75" customHeight="1" x14ac:dyDescent="0.2">
      <c r="K2269"/>
    </row>
    <row r="2270" spans="11:11" ht="15.75" customHeight="1" x14ac:dyDescent="0.2">
      <c r="K2270"/>
    </row>
    <row r="2271" spans="11:11" ht="15.75" customHeight="1" x14ac:dyDescent="0.2">
      <c r="K2271"/>
    </row>
    <row r="2272" spans="11:11" ht="15.75" customHeight="1" x14ac:dyDescent="0.2">
      <c r="K2272"/>
    </row>
    <row r="2273" spans="11:11" ht="15.75" customHeight="1" x14ac:dyDescent="0.2">
      <c r="K2273"/>
    </row>
    <row r="2274" spans="11:11" ht="15.75" customHeight="1" x14ac:dyDescent="0.2">
      <c r="K2274"/>
    </row>
    <row r="2275" spans="11:11" ht="15.75" customHeight="1" x14ac:dyDescent="0.2">
      <c r="K2275"/>
    </row>
    <row r="2276" spans="11:11" ht="15.75" customHeight="1" x14ac:dyDescent="0.2">
      <c r="K2276"/>
    </row>
    <row r="2277" spans="11:11" ht="15.75" customHeight="1" x14ac:dyDescent="0.2">
      <c r="K2277"/>
    </row>
    <row r="2278" spans="11:11" ht="15.75" customHeight="1" x14ac:dyDescent="0.2">
      <c r="K2278"/>
    </row>
    <row r="2279" spans="11:11" ht="15.75" customHeight="1" x14ac:dyDescent="0.2">
      <c r="K2279"/>
    </row>
    <row r="2280" spans="11:11" ht="15.75" customHeight="1" x14ac:dyDescent="0.2">
      <c r="K2280"/>
    </row>
    <row r="2281" spans="11:11" ht="15.75" customHeight="1" x14ac:dyDescent="0.2">
      <c r="K2281"/>
    </row>
    <row r="2282" spans="11:11" ht="15.75" customHeight="1" x14ac:dyDescent="0.2">
      <c r="K2282"/>
    </row>
    <row r="2283" spans="11:11" ht="15.75" customHeight="1" x14ac:dyDescent="0.2">
      <c r="K2283"/>
    </row>
    <row r="2284" spans="11:11" ht="15.75" customHeight="1" x14ac:dyDescent="0.2">
      <c r="K2284"/>
    </row>
    <row r="2285" spans="11:11" ht="15.75" customHeight="1" x14ac:dyDescent="0.2">
      <c r="K2285"/>
    </row>
    <row r="2286" spans="11:11" ht="15.75" customHeight="1" x14ac:dyDescent="0.2">
      <c r="K2286"/>
    </row>
    <row r="2287" spans="11:11" ht="15.75" customHeight="1" x14ac:dyDescent="0.2">
      <c r="K2287"/>
    </row>
    <row r="2288" spans="11:11" ht="15.75" customHeight="1" x14ac:dyDescent="0.2">
      <c r="K2288"/>
    </row>
    <row r="2289" spans="11:11" ht="15.75" customHeight="1" x14ac:dyDescent="0.2">
      <c r="K2289"/>
    </row>
    <row r="2290" spans="11:11" ht="15.75" customHeight="1" x14ac:dyDescent="0.2">
      <c r="K2290"/>
    </row>
    <row r="2291" spans="11:11" ht="15.75" customHeight="1" x14ac:dyDescent="0.2">
      <c r="K2291"/>
    </row>
    <row r="2292" spans="11:11" ht="15.75" customHeight="1" x14ac:dyDescent="0.2">
      <c r="K2292"/>
    </row>
    <row r="2293" spans="11:11" ht="15.75" customHeight="1" x14ac:dyDescent="0.2">
      <c r="K2293"/>
    </row>
    <row r="2294" spans="11:11" ht="15.75" customHeight="1" x14ac:dyDescent="0.2">
      <c r="K2294"/>
    </row>
    <row r="2295" spans="11:11" ht="15.75" customHeight="1" x14ac:dyDescent="0.2">
      <c r="K2295"/>
    </row>
    <row r="2296" spans="11:11" ht="15.75" customHeight="1" x14ac:dyDescent="0.2">
      <c r="K2296"/>
    </row>
    <row r="2297" spans="11:11" ht="15.75" customHeight="1" x14ac:dyDescent="0.2">
      <c r="K2297"/>
    </row>
    <row r="2298" spans="11:11" ht="15.75" customHeight="1" x14ac:dyDescent="0.2">
      <c r="K2298"/>
    </row>
    <row r="2299" spans="11:11" ht="15.75" customHeight="1" x14ac:dyDescent="0.2">
      <c r="K2299"/>
    </row>
    <row r="2300" spans="11:11" ht="15.75" customHeight="1" x14ac:dyDescent="0.2">
      <c r="K2300"/>
    </row>
    <row r="2301" spans="11:11" ht="15.75" customHeight="1" x14ac:dyDescent="0.2">
      <c r="K2301"/>
    </row>
    <row r="2302" spans="11:11" ht="15.75" customHeight="1" x14ac:dyDescent="0.2">
      <c r="K2302"/>
    </row>
    <row r="2303" spans="11:11" ht="15.75" customHeight="1" x14ac:dyDescent="0.2">
      <c r="K2303"/>
    </row>
    <row r="2304" spans="11:11" ht="15.75" customHeight="1" x14ac:dyDescent="0.2">
      <c r="K2304"/>
    </row>
    <row r="2305" spans="11:11" ht="15.75" customHeight="1" x14ac:dyDescent="0.2">
      <c r="K2305"/>
    </row>
    <row r="2306" spans="11:11" ht="15.75" customHeight="1" x14ac:dyDescent="0.2">
      <c r="K2306"/>
    </row>
    <row r="2307" spans="11:11" ht="15.75" customHeight="1" x14ac:dyDescent="0.2">
      <c r="K2307"/>
    </row>
    <row r="2308" spans="11:11" ht="15.75" customHeight="1" x14ac:dyDescent="0.2">
      <c r="K2308"/>
    </row>
    <row r="2309" spans="11:11" ht="15.75" customHeight="1" x14ac:dyDescent="0.2">
      <c r="K2309"/>
    </row>
    <row r="2310" spans="11:11" ht="15.75" customHeight="1" x14ac:dyDescent="0.2">
      <c r="K2310"/>
    </row>
    <row r="2311" spans="11:11" ht="15.75" customHeight="1" x14ac:dyDescent="0.2">
      <c r="K2311"/>
    </row>
    <row r="2312" spans="11:11" ht="15.75" customHeight="1" x14ac:dyDescent="0.2">
      <c r="K2312"/>
    </row>
    <row r="2313" spans="11:11" ht="15.75" customHeight="1" x14ac:dyDescent="0.2">
      <c r="K2313"/>
    </row>
    <row r="2314" spans="11:11" ht="15.75" customHeight="1" x14ac:dyDescent="0.2">
      <c r="K2314"/>
    </row>
    <row r="2315" spans="11:11" ht="15.75" customHeight="1" x14ac:dyDescent="0.2">
      <c r="K2315"/>
    </row>
    <row r="2316" spans="11:11" ht="15.75" customHeight="1" x14ac:dyDescent="0.2">
      <c r="K2316"/>
    </row>
    <row r="2317" spans="11:11" ht="15.75" customHeight="1" x14ac:dyDescent="0.2">
      <c r="K2317"/>
    </row>
    <row r="2318" spans="11:11" ht="15.75" customHeight="1" x14ac:dyDescent="0.2">
      <c r="K2318"/>
    </row>
    <row r="2319" spans="11:11" ht="15.75" customHeight="1" x14ac:dyDescent="0.2">
      <c r="K2319"/>
    </row>
    <row r="2320" spans="11:11" ht="15.75" customHeight="1" x14ac:dyDescent="0.2">
      <c r="K2320"/>
    </row>
    <row r="2321" spans="11:11" ht="15.75" customHeight="1" x14ac:dyDescent="0.2">
      <c r="K2321"/>
    </row>
    <row r="2322" spans="11:11" ht="15.75" customHeight="1" x14ac:dyDescent="0.2">
      <c r="K2322"/>
    </row>
    <row r="2323" spans="11:11" ht="15.75" customHeight="1" x14ac:dyDescent="0.2">
      <c r="K2323"/>
    </row>
    <row r="2324" spans="11:11" ht="15.75" customHeight="1" x14ac:dyDescent="0.2">
      <c r="K2324"/>
    </row>
    <row r="2325" spans="11:11" ht="15.75" customHeight="1" x14ac:dyDescent="0.2">
      <c r="K2325"/>
    </row>
    <row r="2326" spans="11:11" ht="15.75" customHeight="1" x14ac:dyDescent="0.2">
      <c r="K2326"/>
    </row>
    <row r="2327" spans="11:11" ht="15.75" customHeight="1" x14ac:dyDescent="0.2">
      <c r="K2327"/>
    </row>
    <row r="2328" spans="11:11" ht="15.75" customHeight="1" x14ac:dyDescent="0.2">
      <c r="K2328"/>
    </row>
    <row r="2329" spans="11:11" ht="15.75" customHeight="1" x14ac:dyDescent="0.2">
      <c r="K2329"/>
    </row>
    <row r="2330" spans="11:11" ht="15.75" customHeight="1" x14ac:dyDescent="0.2">
      <c r="K2330"/>
    </row>
    <row r="2331" spans="11:11" ht="15.75" customHeight="1" x14ac:dyDescent="0.2">
      <c r="K2331"/>
    </row>
    <row r="2332" spans="11:11" ht="15.75" customHeight="1" x14ac:dyDescent="0.2">
      <c r="K2332"/>
    </row>
    <row r="2333" spans="11:11" ht="15.75" customHeight="1" x14ac:dyDescent="0.2">
      <c r="K2333"/>
    </row>
    <row r="2334" spans="11:11" ht="15.75" customHeight="1" x14ac:dyDescent="0.2">
      <c r="K2334"/>
    </row>
    <row r="2335" spans="11:11" ht="15.75" customHeight="1" x14ac:dyDescent="0.2">
      <c r="K2335"/>
    </row>
    <row r="2336" spans="11:11" ht="15.75" customHeight="1" x14ac:dyDescent="0.2">
      <c r="K2336"/>
    </row>
    <row r="2337" spans="11:11" ht="15.75" customHeight="1" x14ac:dyDescent="0.2">
      <c r="K2337"/>
    </row>
    <row r="2338" spans="11:11" ht="15.75" customHeight="1" x14ac:dyDescent="0.2">
      <c r="K2338"/>
    </row>
    <row r="2339" spans="11:11" ht="15.75" customHeight="1" x14ac:dyDescent="0.2">
      <c r="K2339"/>
    </row>
    <row r="2340" spans="11:11" ht="15.75" customHeight="1" x14ac:dyDescent="0.2">
      <c r="K2340"/>
    </row>
    <row r="2341" spans="11:11" ht="15.75" customHeight="1" x14ac:dyDescent="0.2">
      <c r="K2341"/>
    </row>
    <row r="2342" spans="11:11" ht="15.75" customHeight="1" x14ac:dyDescent="0.2">
      <c r="K2342"/>
    </row>
    <row r="2343" spans="11:11" ht="15.75" customHeight="1" x14ac:dyDescent="0.2">
      <c r="K2343"/>
    </row>
    <row r="2344" spans="11:11" ht="15.75" customHeight="1" x14ac:dyDescent="0.2">
      <c r="K2344"/>
    </row>
    <row r="2345" spans="11:11" ht="15.75" customHeight="1" x14ac:dyDescent="0.2">
      <c r="K2345"/>
    </row>
    <row r="2346" spans="11:11" ht="15.75" customHeight="1" x14ac:dyDescent="0.2">
      <c r="K2346"/>
    </row>
    <row r="2347" spans="11:11" ht="15.75" customHeight="1" x14ac:dyDescent="0.2">
      <c r="K2347"/>
    </row>
    <row r="2348" spans="11:11" ht="15.75" customHeight="1" x14ac:dyDescent="0.2">
      <c r="K2348"/>
    </row>
    <row r="2349" spans="11:11" ht="15.75" customHeight="1" x14ac:dyDescent="0.2">
      <c r="K2349"/>
    </row>
    <row r="2350" spans="11:11" ht="15.75" customHeight="1" x14ac:dyDescent="0.2">
      <c r="K2350"/>
    </row>
    <row r="2351" spans="11:11" ht="15.75" customHeight="1" x14ac:dyDescent="0.2">
      <c r="K2351"/>
    </row>
    <row r="2352" spans="11:11" ht="15.75" customHeight="1" x14ac:dyDescent="0.2">
      <c r="K2352"/>
    </row>
    <row r="2353" spans="11:11" ht="15.75" customHeight="1" x14ac:dyDescent="0.2">
      <c r="K2353"/>
    </row>
    <row r="2354" spans="11:11" ht="15.75" customHeight="1" x14ac:dyDescent="0.2">
      <c r="K2354"/>
    </row>
    <row r="2355" spans="11:11" ht="15.75" customHeight="1" x14ac:dyDescent="0.2">
      <c r="K2355"/>
    </row>
    <row r="2356" spans="11:11" ht="15.75" customHeight="1" x14ac:dyDescent="0.2">
      <c r="K2356"/>
    </row>
    <row r="2357" spans="11:11" ht="15.75" customHeight="1" x14ac:dyDescent="0.2">
      <c r="K2357"/>
    </row>
    <row r="2358" spans="11:11" ht="15.75" customHeight="1" x14ac:dyDescent="0.2">
      <c r="K2358"/>
    </row>
    <row r="2359" spans="11:11" ht="15.75" customHeight="1" x14ac:dyDescent="0.2">
      <c r="K2359"/>
    </row>
    <row r="2360" spans="11:11" ht="15.75" customHeight="1" x14ac:dyDescent="0.2">
      <c r="K2360"/>
    </row>
    <row r="2361" spans="11:11" ht="15.75" customHeight="1" x14ac:dyDescent="0.2">
      <c r="K2361"/>
    </row>
    <row r="2362" spans="11:11" ht="15.75" customHeight="1" x14ac:dyDescent="0.2">
      <c r="K2362"/>
    </row>
    <row r="2363" spans="11:11" ht="15.75" customHeight="1" x14ac:dyDescent="0.2">
      <c r="K2363"/>
    </row>
    <row r="2364" spans="11:11" ht="15.75" customHeight="1" x14ac:dyDescent="0.2">
      <c r="K2364"/>
    </row>
    <row r="2365" spans="11:11" ht="15.75" customHeight="1" x14ac:dyDescent="0.2">
      <c r="K2365"/>
    </row>
    <row r="2366" spans="11:11" ht="15.75" customHeight="1" x14ac:dyDescent="0.2">
      <c r="K2366"/>
    </row>
    <row r="2367" spans="11:11" ht="15.75" customHeight="1" x14ac:dyDescent="0.2">
      <c r="K2367"/>
    </row>
    <row r="2368" spans="11:11" ht="15.75" customHeight="1" x14ac:dyDescent="0.2">
      <c r="K2368"/>
    </row>
    <row r="2369" spans="11:11" ht="15.75" customHeight="1" x14ac:dyDescent="0.2">
      <c r="K2369"/>
    </row>
    <row r="2370" spans="11:11" ht="15.75" customHeight="1" x14ac:dyDescent="0.2">
      <c r="K2370"/>
    </row>
    <row r="2371" spans="11:11" ht="15.75" customHeight="1" x14ac:dyDescent="0.2">
      <c r="K2371"/>
    </row>
    <row r="2372" spans="11:11" ht="15.75" customHeight="1" x14ac:dyDescent="0.2">
      <c r="K2372"/>
    </row>
    <row r="2373" spans="11:11" ht="15.75" customHeight="1" x14ac:dyDescent="0.2">
      <c r="K2373"/>
    </row>
    <row r="2374" spans="11:11" ht="15.75" customHeight="1" x14ac:dyDescent="0.2">
      <c r="K2374"/>
    </row>
    <row r="2375" spans="11:11" ht="15.75" customHeight="1" x14ac:dyDescent="0.2">
      <c r="K2375"/>
    </row>
    <row r="2376" spans="11:11" ht="15.75" customHeight="1" x14ac:dyDescent="0.2">
      <c r="K2376"/>
    </row>
    <row r="2377" spans="11:11" ht="15.75" customHeight="1" x14ac:dyDescent="0.2">
      <c r="K2377"/>
    </row>
    <row r="2378" spans="11:11" ht="15.75" customHeight="1" x14ac:dyDescent="0.2">
      <c r="K2378"/>
    </row>
    <row r="2379" spans="11:11" ht="15.75" customHeight="1" x14ac:dyDescent="0.2">
      <c r="K2379"/>
    </row>
    <row r="2380" spans="11:11" ht="15.75" customHeight="1" x14ac:dyDescent="0.2">
      <c r="K2380"/>
    </row>
    <row r="2381" spans="11:11" ht="15.75" customHeight="1" x14ac:dyDescent="0.2">
      <c r="K2381"/>
    </row>
    <row r="2382" spans="11:11" ht="15.75" customHeight="1" x14ac:dyDescent="0.2">
      <c r="K2382"/>
    </row>
    <row r="2383" spans="11:11" ht="15.75" customHeight="1" x14ac:dyDescent="0.2">
      <c r="K2383"/>
    </row>
    <row r="2384" spans="11:11" ht="15.75" customHeight="1" x14ac:dyDescent="0.2">
      <c r="K2384"/>
    </row>
    <row r="2385" spans="11:11" ht="15.75" customHeight="1" x14ac:dyDescent="0.2">
      <c r="K2385"/>
    </row>
    <row r="2386" spans="11:11" ht="15.75" customHeight="1" x14ac:dyDescent="0.2">
      <c r="K2386"/>
    </row>
    <row r="2387" spans="11:11" ht="15.75" customHeight="1" x14ac:dyDescent="0.2">
      <c r="K2387"/>
    </row>
    <row r="2388" spans="11:11" ht="15.75" customHeight="1" x14ac:dyDescent="0.2">
      <c r="K2388"/>
    </row>
    <row r="2389" spans="11:11" ht="15.75" customHeight="1" x14ac:dyDescent="0.2">
      <c r="K2389"/>
    </row>
    <row r="2390" spans="11:11" ht="15.75" customHeight="1" x14ac:dyDescent="0.2">
      <c r="K2390"/>
    </row>
    <row r="2391" spans="11:11" ht="15.75" customHeight="1" x14ac:dyDescent="0.2">
      <c r="K2391"/>
    </row>
    <row r="2392" spans="11:11" ht="15.75" customHeight="1" x14ac:dyDescent="0.2">
      <c r="K2392"/>
    </row>
    <row r="2393" spans="11:11" ht="15.75" customHeight="1" x14ac:dyDescent="0.2">
      <c r="K2393"/>
    </row>
    <row r="2394" spans="11:11" ht="15.75" customHeight="1" x14ac:dyDescent="0.2">
      <c r="K2394"/>
    </row>
    <row r="2395" spans="11:11" ht="15.75" customHeight="1" x14ac:dyDescent="0.2">
      <c r="K2395"/>
    </row>
    <row r="2396" spans="11:11" ht="15.75" customHeight="1" x14ac:dyDescent="0.2">
      <c r="K2396"/>
    </row>
    <row r="2397" spans="11:11" ht="15.75" customHeight="1" x14ac:dyDescent="0.2">
      <c r="K2397"/>
    </row>
    <row r="2398" spans="11:11" ht="15.75" customHeight="1" x14ac:dyDescent="0.2">
      <c r="K2398"/>
    </row>
    <row r="2399" spans="11:11" ht="15.75" customHeight="1" x14ac:dyDescent="0.2">
      <c r="K2399"/>
    </row>
    <row r="2400" spans="11:11" ht="15.75" customHeight="1" x14ac:dyDescent="0.2">
      <c r="K2400"/>
    </row>
    <row r="2401" spans="11:11" ht="15.75" customHeight="1" x14ac:dyDescent="0.2">
      <c r="K2401"/>
    </row>
    <row r="2402" spans="11:11" ht="15.75" customHeight="1" x14ac:dyDescent="0.2">
      <c r="K2402"/>
    </row>
    <row r="2403" spans="11:11" ht="15.75" customHeight="1" x14ac:dyDescent="0.2">
      <c r="K2403"/>
    </row>
    <row r="2404" spans="11:11" ht="15.75" customHeight="1" x14ac:dyDescent="0.2">
      <c r="K2404"/>
    </row>
    <row r="2405" spans="11:11" ht="15.75" customHeight="1" x14ac:dyDescent="0.2">
      <c r="K2405"/>
    </row>
    <row r="2406" spans="11:11" ht="15.75" customHeight="1" x14ac:dyDescent="0.2">
      <c r="K2406"/>
    </row>
    <row r="2407" spans="11:11" ht="15.75" customHeight="1" x14ac:dyDescent="0.2">
      <c r="K2407"/>
    </row>
    <row r="2408" spans="11:11" ht="15.75" customHeight="1" x14ac:dyDescent="0.2">
      <c r="K2408"/>
    </row>
    <row r="2409" spans="11:11" ht="15.75" customHeight="1" x14ac:dyDescent="0.2">
      <c r="K2409"/>
    </row>
    <row r="2410" spans="11:11" ht="15.75" customHeight="1" x14ac:dyDescent="0.2">
      <c r="K2410"/>
    </row>
    <row r="2411" spans="11:11" ht="15.75" customHeight="1" x14ac:dyDescent="0.2">
      <c r="K2411"/>
    </row>
    <row r="2412" spans="11:11" ht="15.75" customHeight="1" x14ac:dyDescent="0.2">
      <c r="K2412"/>
    </row>
    <row r="2413" spans="11:11" ht="15.75" customHeight="1" x14ac:dyDescent="0.2">
      <c r="K2413"/>
    </row>
    <row r="2414" spans="11:11" ht="15.75" customHeight="1" x14ac:dyDescent="0.2">
      <c r="K2414"/>
    </row>
    <row r="2415" spans="11:11" ht="15.75" customHeight="1" x14ac:dyDescent="0.2">
      <c r="K2415"/>
    </row>
    <row r="2416" spans="11:11" ht="15.75" customHeight="1" x14ac:dyDescent="0.2">
      <c r="K2416"/>
    </row>
    <row r="2417" spans="11:11" ht="15.75" customHeight="1" x14ac:dyDescent="0.2">
      <c r="K2417"/>
    </row>
    <row r="2418" spans="11:11" ht="15.75" customHeight="1" x14ac:dyDescent="0.2">
      <c r="K2418"/>
    </row>
    <row r="2419" spans="11:11" ht="15.75" customHeight="1" x14ac:dyDescent="0.2">
      <c r="K2419"/>
    </row>
    <row r="2420" spans="11:11" ht="15.75" customHeight="1" x14ac:dyDescent="0.2">
      <c r="K2420"/>
    </row>
    <row r="2421" spans="11:11" ht="15.75" customHeight="1" x14ac:dyDescent="0.2">
      <c r="K2421"/>
    </row>
    <row r="2422" spans="11:11" ht="15.75" customHeight="1" x14ac:dyDescent="0.2">
      <c r="K2422"/>
    </row>
    <row r="2423" spans="11:11" ht="15.75" customHeight="1" x14ac:dyDescent="0.2">
      <c r="K2423"/>
    </row>
    <row r="2424" spans="11:11" ht="15.75" customHeight="1" x14ac:dyDescent="0.2">
      <c r="K2424"/>
    </row>
    <row r="2425" spans="11:11" ht="15.75" customHeight="1" x14ac:dyDescent="0.2">
      <c r="K2425"/>
    </row>
    <row r="2426" spans="11:11" ht="15.75" customHeight="1" x14ac:dyDescent="0.2">
      <c r="K2426"/>
    </row>
    <row r="2427" spans="11:11" ht="15.75" customHeight="1" x14ac:dyDescent="0.2">
      <c r="K2427"/>
    </row>
    <row r="2428" spans="11:11" ht="15.75" customHeight="1" x14ac:dyDescent="0.2">
      <c r="K2428"/>
    </row>
    <row r="2429" spans="11:11" ht="15.75" customHeight="1" x14ac:dyDescent="0.2">
      <c r="K2429"/>
    </row>
    <row r="2430" spans="11:11" ht="15.75" customHeight="1" x14ac:dyDescent="0.2">
      <c r="K2430"/>
    </row>
    <row r="2431" spans="11:11" ht="15.75" customHeight="1" x14ac:dyDescent="0.2">
      <c r="K2431"/>
    </row>
    <row r="2432" spans="11:11" ht="15.75" customHeight="1" x14ac:dyDescent="0.2">
      <c r="K2432"/>
    </row>
    <row r="2433" spans="11:11" ht="15.75" customHeight="1" x14ac:dyDescent="0.2">
      <c r="K2433"/>
    </row>
    <row r="2434" spans="11:11" ht="15.75" customHeight="1" x14ac:dyDescent="0.2">
      <c r="K2434"/>
    </row>
    <row r="2435" spans="11:11" ht="15.75" customHeight="1" x14ac:dyDescent="0.2">
      <c r="K2435"/>
    </row>
    <row r="2436" spans="11:11" ht="15.75" customHeight="1" x14ac:dyDescent="0.2">
      <c r="K2436"/>
    </row>
    <row r="2437" spans="11:11" ht="15.75" customHeight="1" x14ac:dyDescent="0.2">
      <c r="K2437"/>
    </row>
    <row r="2438" spans="11:11" ht="15.75" customHeight="1" x14ac:dyDescent="0.2">
      <c r="K2438"/>
    </row>
    <row r="2439" spans="11:11" ht="15.75" customHeight="1" x14ac:dyDescent="0.2">
      <c r="K2439"/>
    </row>
    <row r="2440" spans="11:11" ht="15.75" customHeight="1" x14ac:dyDescent="0.2">
      <c r="K2440"/>
    </row>
    <row r="2441" spans="11:11" ht="15.75" customHeight="1" x14ac:dyDescent="0.2">
      <c r="K2441"/>
    </row>
    <row r="2442" spans="11:11" ht="15.75" customHeight="1" x14ac:dyDescent="0.2">
      <c r="K2442"/>
    </row>
    <row r="2443" spans="11:11" ht="15.75" customHeight="1" x14ac:dyDescent="0.2">
      <c r="K2443"/>
    </row>
    <row r="2444" spans="11:11" ht="15.75" customHeight="1" x14ac:dyDescent="0.2">
      <c r="K2444"/>
    </row>
    <row r="2445" spans="11:11" ht="15.75" customHeight="1" x14ac:dyDescent="0.2">
      <c r="K2445"/>
    </row>
    <row r="2446" spans="11:11" ht="15.75" customHeight="1" x14ac:dyDescent="0.2">
      <c r="K2446"/>
    </row>
    <row r="2447" spans="11:11" ht="15.75" customHeight="1" x14ac:dyDescent="0.2">
      <c r="K2447"/>
    </row>
    <row r="2448" spans="11:11" ht="15.75" customHeight="1" x14ac:dyDescent="0.2">
      <c r="K2448"/>
    </row>
    <row r="2449" spans="11:11" ht="15.75" customHeight="1" x14ac:dyDescent="0.2">
      <c r="K2449"/>
    </row>
    <row r="2450" spans="11:11" ht="15.75" customHeight="1" x14ac:dyDescent="0.2">
      <c r="K2450"/>
    </row>
    <row r="2451" spans="11:11" ht="15.75" customHeight="1" x14ac:dyDescent="0.2">
      <c r="K2451"/>
    </row>
    <row r="2452" spans="11:11" ht="15.75" customHeight="1" x14ac:dyDescent="0.2">
      <c r="K2452"/>
    </row>
    <row r="2453" spans="11:11" ht="15.75" customHeight="1" x14ac:dyDescent="0.2">
      <c r="K2453"/>
    </row>
    <row r="2454" spans="11:11" ht="15.75" customHeight="1" x14ac:dyDescent="0.2">
      <c r="K2454"/>
    </row>
    <row r="2455" spans="11:11" ht="15.75" customHeight="1" x14ac:dyDescent="0.2">
      <c r="K2455"/>
    </row>
    <row r="2456" spans="11:11" ht="15.75" customHeight="1" x14ac:dyDescent="0.2">
      <c r="K2456"/>
    </row>
    <row r="2457" spans="11:11" ht="15.75" customHeight="1" x14ac:dyDescent="0.2">
      <c r="K2457"/>
    </row>
    <row r="2458" spans="11:11" ht="15.75" customHeight="1" x14ac:dyDescent="0.2">
      <c r="K2458"/>
    </row>
    <row r="2459" spans="11:11" ht="15.75" customHeight="1" x14ac:dyDescent="0.2">
      <c r="K2459"/>
    </row>
    <row r="2460" spans="11:11" ht="15.75" customHeight="1" x14ac:dyDescent="0.2">
      <c r="K2460"/>
    </row>
    <row r="2461" spans="11:11" ht="15.75" customHeight="1" x14ac:dyDescent="0.2">
      <c r="K2461"/>
    </row>
    <row r="2462" spans="11:11" ht="15.75" customHeight="1" x14ac:dyDescent="0.2">
      <c r="K2462"/>
    </row>
    <row r="2463" spans="11:11" ht="15.75" customHeight="1" x14ac:dyDescent="0.2">
      <c r="K2463"/>
    </row>
    <row r="2464" spans="11:11" ht="15.75" customHeight="1" x14ac:dyDescent="0.2">
      <c r="K2464"/>
    </row>
    <row r="2465" spans="11:11" ht="15.75" customHeight="1" x14ac:dyDescent="0.2">
      <c r="K2465"/>
    </row>
    <row r="2466" spans="11:11" ht="15.75" customHeight="1" x14ac:dyDescent="0.2">
      <c r="K2466"/>
    </row>
    <row r="2467" spans="11:11" ht="15.75" customHeight="1" x14ac:dyDescent="0.2">
      <c r="K2467"/>
    </row>
    <row r="2468" spans="11:11" ht="15.75" customHeight="1" x14ac:dyDescent="0.2">
      <c r="K2468"/>
    </row>
    <row r="2469" spans="11:11" ht="15.75" customHeight="1" x14ac:dyDescent="0.2">
      <c r="K2469"/>
    </row>
    <row r="2470" spans="11:11" ht="15.75" customHeight="1" x14ac:dyDescent="0.2">
      <c r="K2470"/>
    </row>
    <row r="2471" spans="11:11" ht="15.75" customHeight="1" x14ac:dyDescent="0.2">
      <c r="K2471"/>
    </row>
    <row r="2472" spans="11:11" ht="15.75" customHeight="1" x14ac:dyDescent="0.2">
      <c r="K2472"/>
    </row>
    <row r="2473" spans="11:11" ht="15.75" customHeight="1" x14ac:dyDescent="0.2">
      <c r="K2473"/>
    </row>
    <row r="2474" spans="11:11" ht="15.75" customHeight="1" x14ac:dyDescent="0.2">
      <c r="K2474"/>
    </row>
    <row r="2475" spans="11:11" ht="15.75" customHeight="1" x14ac:dyDescent="0.2">
      <c r="K2475"/>
    </row>
    <row r="2476" spans="11:11" ht="15.75" customHeight="1" x14ac:dyDescent="0.2">
      <c r="K2476"/>
    </row>
    <row r="2477" spans="11:11" ht="15.75" customHeight="1" x14ac:dyDescent="0.2">
      <c r="K2477"/>
    </row>
    <row r="2478" spans="11:11" ht="15.75" customHeight="1" x14ac:dyDescent="0.2">
      <c r="K2478"/>
    </row>
    <row r="2479" spans="11:11" ht="15.75" customHeight="1" x14ac:dyDescent="0.2">
      <c r="K2479"/>
    </row>
    <row r="2480" spans="11:11" ht="15.75" customHeight="1" x14ac:dyDescent="0.2">
      <c r="K2480"/>
    </row>
    <row r="2481" spans="11:11" ht="15.75" customHeight="1" x14ac:dyDescent="0.2">
      <c r="K2481"/>
    </row>
    <row r="2482" spans="11:11" ht="15.75" customHeight="1" x14ac:dyDescent="0.2">
      <c r="K2482"/>
    </row>
    <row r="2483" spans="11:11" ht="15.75" customHeight="1" x14ac:dyDescent="0.2">
      <c r="K2483"/>
    </row>
    <row r="2484" spans="11:11" ht="15.75" customHeight="1" x14ac:dyDescent="0.2">
      <c r="K2484"/>
    </row>
    <row r="2485" spans="11:11" ht="15.75" customHeight="1" x14ac:dyDescent="0.2">
      <c r="K2485"/>
    </row>
    <row r="2486" spans="11:11" ht="15.75" customHeight="1" x14ac:dyDescent="0.2">
      <c r="K2486"/>
    </row>
    <row r="2487" spans="11:11" ht="15.75" customHeight="1" x14ac:dyDescent="0.2">
      <c r="K2487"/>
    </row>
    <row r="2488" spans="11:11" ht="15.75" customHeight="1" x14ac:dyDescent="0.2">
      <c r="K2488"/>
    </row>
    <row r="2489" spans="11:11" ht="15.75" customHeight="1" x14ac:dyDescent="0.2">
      <c r="K2489"/>
    </row>
    <row r="2490" spans="11:11" ht="15.75" customHeight="1" x14ac:dyDescent="0.2">
      <c r="K2490"/>
    </row>
    <row r="2491" spans="11:11" ht="15.75" customHeight="1" x14ac:dyDescent="0.2">
      <c r="K2491"/>
    </row>
    <row r="2492" spans="11:11" ht="15.75" customHeight="1" x14ac:dyDescent="0.2">
      <c r="K2492"/>
    </row>
    <row r="2493" spans="11:11" ht="15.75" customHeight="1" x14ac:dyDescent="0.2">
      <c r="K2493"/>
    </row>
    <row r="2494" spans="11:11" ht="15.75" customHeight="1" x14ac:dyDescent="0.2">
      <c r="K2494"/>
    </row>
    <row r="2495" spans="11:11" ht="15.75" customHeight="1" x14ac:dyDescent="0.2">
      <c r="K2495"/>
    </row>
    <row r="2496" spans="11:11" ht="15.75" customHeight="1" x14ac:dyDescent="0.2">
      <c r="K2496"/>
    </row>
    <row r="2497" spans="11:11" ht="15.75" customHeight="1" x14ac:dyDescent="0.2">
      <c r="K2497"/>
    </row>
    <row r="2498" spans="11:11" ht="15.75" customHeight="1" x14ac:dyDescent="0.2">
      <c r="K2498"/>
    </row>
    <row r="2499" spans="11:11" ht="15.75" customHeight="1" x14ac:dyDescent="0.2">
      <c r="K2499"/>
    </row>
    <row r="2500" spans="11:11" ht="15.75" customHeight="1" x14ac:dyDescent="0.2">
      <c r="K2500"/>
    </row>
    <row r="2501" spans="11:11" ht="15.75" customHeight="1" x14ac:dyDescent="0.2">
      <c r="K2501"/>
    </row>
    <row r="2502" spans="11:11" ht="15.75" customHeight="1" x14ac:dyDescent="0.2">
      <c r="K2502"/>
    </row>
    <row r="2503" spans="11:11" ht="15.75" customHeight="1" x14ac:dyDescent="0.2">
      <c r="K2503"/>
    </row>
    <row r="2504" spans="11:11" ht="15.75" customHeight="1" x14ac:dyDescent="0.2">
      <c r="K2504"/>
    </row>
    <row r="2505" spans="11:11" ht="15.75" customHeight="1" x14ac:dyDescent="0.2">
      <c r="K2505"/>
    </row>
    <row r="2506" spans="11:11" ht="15.75" customHeight="1" x14ac:dyDescent="0.2">
      <c r="K2506"/>
    </row>
    <row r="2507" spans="11:11" ht="15.75" customHeight="1" x14ac:dyDescent="0.2">
      <c r="K2507"/>
    </row>
    <row r="2508" spans="11:11" ht="15.75" customHeight="1" x14ac:dyDescent="0.2">
      <c r="K2508"/>
    </row>
    <row r="2509" spans="11:11" ht="15.75" customHeight="1" x14ac:dyDescent="0.2">
      <c r="K2509"/>
    </row>
    <row r="2510" spans="11:11" ht="15.75" customHeight="1" x14ac:dyDescent="0.2">
      <c r="K2510"/>
    </row>
    <row r="2511" spans="11:11" ht="15.75" customHeight="1" x14ac:dyDescent="0.2">
      <c r="K2511"/>
    </row>
    <row r="2512" spans="11:11" ht="15.75" customHeight="1" x14ac:dyDescent="0.2">
      <c r="K2512"/>
    </row>
    <row r="2513" spans="11:11" ht="15.75" customHeight="1" x14ac:dyDescent="0.2">
      <c r="K2513"/>
    </row>
    <row r="2514" spans="11:11" ht="15.75" customHeight="1" x14ac:dyDescent="0.2">
      <c r="K2514"/>
    </row>
    <row r="2515" spans="11:11" ht="15.75" customHeight="1" x14ac:dyDescent="0.2">
      <c r="K2515"/>
    </row>
    <row r="2516" spans="11:11" ht="15.75" customHeight="1" x14ac:dyDescent="0.2">
      <c r="K2516"/>
    </row>
    <row r="2517" spans="11:11" ht="15.75" customHeight="1" x14ac:dyDescent="0.2">
      <c r="K2517"/>
    </row>
    <row r="2518" spans="11:11" ht="15.75" customHeight="1" x14ac:dyDescent="0.2">
      <c r="K2518"/>
    </row>
    <row r="2519" spans="11:11" ht="15.75" customHeight="1" x14ac:dyDescent="0.2">
      <c r="K2519"/>
    </row>
    <row r="2520" spans="11:11" ht="15.75" customHeight="1" x14ac:dyDescent="0.2">
      <c r="K2520"/>
    </row>
    <row r="2521" spans="11:11" ht="15.75" customHeight="1" x14ac:dyDescent="0.2">
      <c r="K2521"/>
    </row>
    <row r="2522" spans="11:11" ht="15.75" customHeight="1" x14ac:dyDescent="0.2">
      <c r="K2522"/>
    </row>
    <row r="2523" spans="11:11" ht="15.75" customHeight="1" x14ac:dyDescent="0.2">
      <c r="K2523"/>
    </row>
    <row r="2524" spans="11:11" ht="15.75" customHeight="1" x14ac:dyDescent="0.2">
      <c r="K2524"/>
    </row>
    <row r="2525" spans="11:11" ht="15.75" customHeight="1" x14ac:dyDescent="0.2">
      <c r="K2525"/>
    </row>
    <row r="2526" spans="11:11" ht="15.75" customHeight="1" x14ac:dyDescent="0.2">
      <c r="K2526"/>
    </row>
    <row r="2527" spans="11:11" ht="15.75" customHeight="1" x14ac:dyDescent="0.2">
      <c r="K2527"/>
    </row>
    <row r="2528" spans="11:11" ht="15.75" customHeight="1" x14ac:dyDescent="0.2">
      <c r="K2528"/>
    </row>
    <row r="2529" spans="11:11" ht="15.75" customHeight="1" x14ac:dyDescent="0.2">
      <c r="K2529"/>
    </row>
    <row r="2530" spans="11:11" ht="15.75" customHeight="1" x14ac:dyDescent="0.2">
      <c r="K2530"/>
    </row>
    <row r="2531" spans="11:11" ht="15.75" customHeight="1" x14ac:dyDescent="0.2">
      <c r="K2531"/>
    </row>
    <row r="2532" spans="11:11" ht="15.75" customHeight="1" x14ac:dyDescent="0.2">
      <c r="K2532"/>
    </row>
    <row r="2533" spans="11:11" ht="15.75" customHeight="1" x14ac:dyDescent="0.2">
      <c r="K2533"/>
    </row>
    <row r="2534" spans="11:11" ht="15.75" customHeight="1" x14ac:dyDescent="0.2">
      <c r="K2534"/>
    </row>
    <row r="2535" spans="11:11" ht="15.75" customHeight="1" x14ac:dyDescent="0.2">
      <c r="K2535"/>
    </row>
    <row r="2536" spans="11:11" ht="15.75" customHeight="1" x14ac:dyDescent="0.2">
      <c r="K2536"/>
    </row>
    <row r="2537" spans="11:11" ht="15.75" customHeight="1" x14ac:dyDescent="0.2">
      <c r="K2537"/>
    </row>
    <row r="2538" spans="11:11" ht="15.75" customHeight="1" x14ac:dyDescent="0.2">
      <c r="K2538"/>
    </row>
    <row r="2539" spans="11:11" ht="15.75" customHeight="1" x14ac:dyDescent="0.2">
      <c r="K2539"/>
    </row>
    <row r="2540" spans="11:11" ht="15.75" customHeight="1" x14ac:dyDescent="0.2">
      <c r="K2540"/>
    </row>
    <row r="2541" spans="11:11" ht="15.75" customHeight="1" x14ac:dyDescent="0.2">
      <c r="K2541"/>
    </row>
    <row r="2542" spans="11:11" ht="15.75" customHeight="1" x14ac:dyDescent="0.2">
      <c r="K2542"/>
    </row>
    <row r="2543" spans="11:11" ht="15.75" customHeight="1" x14ac:dyDescent="0.2">
      <c r="K2543"/>
    </row>
    <row r="2544" spans="11:11" ht="15.75" customHeight="1" x14ac:dyDescent="0.2">
      <c r="K2544"/>
    </row>
    <row r="2545" spans="11:11" ht="15.75" customHeight="1" x14ac:dyDescent="0.2">
      <c r="K2545"/>
    </row>
    <row r="2546" spans="11:11" ht="15.75" customHeight="1" x14ac:dyDescent="0.2">
      <c r="K2546"/>
    </row>
    <row r="2547" spans="11:11" ht="15.75" customHeight="1" x14ac:dyDescent="0.2">
      <c r="K2547"/>
    </row>
    <row r="2548" spans="11:11" ht="15.75" customHeight="1" x14ac:dyDescent="0.2">
      <c r="K2548"/>
    </row>
    <row r="2549" spans="11:11" ht="15.75" customHeight="1" x14ac:dyDescent="0.2">
      <c r="K2549"/>
    </row>
    <row r="2550" spans="11:11" ht="15.75" customHeight="1" x14ac:dyDescent="0.2">
      <c r="K2550"/>
    </row>
    <row r="2551" spans="11:11" ht="15.75" customHeight="1" x14ac:dyDescent="0.2">
      <c r="K2551"/>
    </row>
    <row r="2552" spans="11:11" ht="15.75" customHeight="1" x14ac:dyDescent="0.2">
      <c r="K2552"/>
    </row>
    <row r="2553" spans="11:11" ht="15.75" customHeight="1" x14ac:dyDescent="0.2">
      <c r="K2553"/>
    </row>
    <row r="2554" spans="11:11" ht="15.75" customHeight="1" x14ac:dyDescent="0.2">
      <c r="K2554"/>
    </row>
    <row r="2555" spans="11:11" ht="15.75" customHeight="1" x14ac:dyDescent="0.2">
      <c r="K2555"/>
    </row>
    <row r="2556" spans="11:11" ht="15.75" customHeight="1" x14ac:dyDescent="0.2">
      <c r="K2556"/>
    </row>
    <row r="2557" spans="11:11" ht="15.75" customHeight="1" x14ac:dyDescent="0.2">
      <c r="K2557"/>
    </row>
    <row r="2558" spans="11:11" ht="15.75" customHeight="1" x14ac:dyDescent="0.2">
      <c r="K2558"/>
    </row>
    <row r="2559" spans="11:11" ht="15.75" customHeight="1" x14ac:dyDescent="0.2">
      <c r="K2559"/>
    </row>
    <row r="2560" spans="11:11" ht="15.75" customHeight="1" x14ac:dyDescent="0.2">
      <c r="K2560"/>
    </row>
    <row r="2561" spans="11:11" ht="15.75" customHeight="1" x14ac:dyDescent="0.2">
      <c r="K2561"/>
    </row>
    <row r="2562" spans="11:11" ht="15.75" customHeight="1" x14ac:dyDescent="0.2">
      <c r="K2562"/>
    </row>
    <row r="2563" spans="11:11" ht="15.75" customHeight="1" x14ac:dyDescent="0.2">
      <c r="K2563"/>
    </row>
    <row r="2564" spans="11:11" ht="15.75" customHeight="1" x14ac:dyDescent="0.2">
      <c r="K2564"/>
    </row>
    <row r="2565" spans="11:11" ht="15.75" customHeight="1" x14ac:dyDescent="0.2">
      <c r="K2565"/>
    </row>
    <row r="2566" spans="11:11" ht="15.75" customHeight="1" x14ac:dyDescent="0.2">
      <c r="K2566"/>
    </row>
    <row r="2567" spans="11:11" ht="15.75" customHeight="1" x14ac:dyDescent="0.2">
      <c r="K2567"/>
    </row>
    <row r="2568" spans="11:11" ht="15.75" customHeight="1" x14ac:dyDescent="0.2">
      <c r="K2568"/>
    </row>
    <row r="2569" spans="11:11" ht="15.75" customHeight="1" x14ac:dyDescent="0.2">
      <c r="K2569"/>
    </row>
    <row r="2570" spans="11:11" ht="15.75" customHeight="1" x14ac:dyDescent="0.2">
      <c r="K2570"/>
    </row>
    <row r="2571" spans="11:11" ht="15.75" customHeight="1" x14ac:dyDescent="0.2">
      <c r="K2571"/>
    </row>
    <row r="2572" spans="11:11" ht="15.75" customHeight="1" x14ac:dyDescent="0.2">
      <c r="K2572"/>
    </row>
    <row r="2573" spans="11:11" ht="15.75" customHeight="1" x14ac:dyDescent="0.2">
      <c r="K2573"/>
    </row>
    <row r="2574" spans="11:11" ht="15.75" customHeight="1" x14ac:dyDescent="0.2">
      <c r="K2574"/>
    </row>
    <row r="2575" spans="11:11" ht="15.75" customHeight="1" x14ac:dyDescent="0.2">
      <c r="K2575"/>
    </row>
    <row r="2576" spans="11:11" ht="15.75" customHeight="1" x14ac:dyDescent="0.2">
      <c r="K2576"/>
    </row>
    <row r="2577" spans="11:11" ht="15.75" customHeight="1" x14ac:dyDescent="0.2">
      <c r="K2577"/>
    </row>
    <row r="2578" spans="11:11" ht="15.75" customHeight="1" x14ac:dyDescent="0.2">
      <c r="K2578"/>
    </row>
    <row r="2579" spans="11:11" ht="15.75" customHeight="1" x14ac:dyDescent="0.2">
      <c r="K2579"/>
    </row>
    <row r="2580" spans="11:11" ht="15.75" customHeight="1" x14ac:dyDescent="0.2">
      <c r="K2580"/>
    </row>
    <row r="2581" spans="11:11" ht="15.75" customHeight="1" x14ac:dyDescent="0.2">
      <c r="K2581"/>
    </row>
    <row r="2582" spans="11:11" ht="15.75" customHeight="1" x14ac:dyDescent="0.2">
      <c r="K2582"/>
    </row>
    <row r="2583" spans="11:11" ht="15.75" customHeight="1" x14ac:dyDescent="0.2">
      <c r="K2583"/>
    </row>
    <row r="2584" spans="11:11" ht="15.75" customHeight="1" x14ac:dyDescent="0.2">
      <c r="K2584"/>
    </row>
    <row r="2585" spans="11:11" ht="15.75" customHeight="1" x14ac:dyDescent="0.2">
      <c r="K2585"/>
    </row>
    <row r="2586" spans="11:11" ht="15.75" customHeight="1" x14ac:dyDescent="0.2">
      <c r="K2586"/>
    </row>
    <row r="2587" spans="11:11" ht="15.75" customHeight="1" x14ac:dyDescent="0.2">
      <c r="K2587"/>
    </row>
    <row r="2588" spans="11:11" ht="15.75" customHeight="1" x14ac:dyDescent="0.2">
      <c r="K2588"/>
    </row>
    <row r="2589" spans="11:11" ht="15.75" customHeight="1" x14ac:dyDescent="0.2">
      <c r="K2589"/>
    </row>
    <row r="2590" spans="11:11" ht="15.75" customHeight="1" x14ac:dyDescent="0.2">
      <c r="K2590"/>
    </row>
    <row r="2591" spans="11:11" ht="15.75" customHeight="1" x14ac:dyDescent="0.2">
      <c r="K2591"/>
    </row>
    <row r="2592" spans="11:11" ht="15.75" customHeight="1" x14ac:dyDescent="0.2">
      <c r="K2592"/>
    </row>
    <row r="2593" spans="11:11" ht="15.75" customHeight="1" x14ac:dyDescent="0.2">
      <c r="K2593"/>
    </row>
    <row r="2594" spans="11:11" ht="15.75" customHeight="1" x14ac:dyDescent="0.2">
      <c r="K2594"/>
    </row>
    <row r="2595" spans="11:11" ht="15.75" customHeight="1" x14ac:dyDescent="0.2">
      <c r="K2595"/>
    </row>
    <row r="2596" spans="11:11" ht="15.75" customHeight="1" x14ac:dyDescent="0.2">
      <c r="K2596"/>
    </row>
    <row r="2597" spans="11:11" ht="15.75" customHeight="1" x14ac:dyDescent="0.2">
      <c r="K2597"/>
    </row>
    <row r="2598" spans="11:11" ht="15.75" customHeight="1" x14ac:dyDescent="0.2">
      <c r="K2598"/>
    </row>
    <row r="2599" spans="11:11" ht="15.75" customHeight="1" x14ac:dyDescent="0.2">
      <c r="K2599"/>
    </row>
    <row r="2600" spans="11:11" ht="15.75" customHeight="1" x14ac:dyDescent="0.2">
      <c r="K2600"/>
    </row>
    <row r="2601" spans="11:11" ht="15.75" customHeight="1" x14ac:dyDescent="0.2">
      <c r="K2601"/>
    </row>
    <row r="2602" spans="11:11" ht="15.75" customHeight="1" x14ac:dyDescent="0.2">
      <c r="K2602"/>
    </row>
    <row r="2603" spans="11:11" ht="15.75" customHeight="1" x14ac:dyDescent="0.2">
      <c r="K2603"/>
    </row>
    <row r="2604" spans="11:11" ht="15.75" customHeight="1" x14ac:dyDescent="0.2">
      <c r="K2604"/>
    </row>
    <row r="2605" spans="11:11" ht="15.75" customHeight="1" x14ac:dyDescent="0.2">
      <c r="K2605"/>
    </row>
    <row r="2606" spans="11:11" ht="15.75" customHeight="1" x14ac:dyDescent="0.2">
      <c r="K2606"/>
    </row>
    <row r="2607" spans="11:11" ht="15.75" customHeight="1" x14ac:dyDescent="0.2">
      <c r="K2607"/>
    </row>
    <row r="2608" spans="11:11" ht="15.75" customHeight="1" x14ac:dyDescent="0.2">
      <c r="K2608"/>
    </row>
    <row r="2609" spans="11:11" ht="15.75" customHeight="1" x14ac:dyDescent="0.2">
      <c r="K2609"/>
    </row>
    <row r="2610" spans="11:11" ht="15.75" customHeight="1" x14ac:dyDescent="0.2">
      <c r="K2610"/>
    </row>
    <row r="2611" spans="11:11" ht="15.75" customHeight="1" x14ac:dyDescent="0.2">
      <c r="K2611"/>
    </row>
    <row r="2612" spans="11:11" ht="15.75" customHeight="1" x14ac:dyDescent="0.2">
      <c r="K2612"/>
    </row>
    <row r="2613" spans="11:11" ht="15.75" customHeight="1" x14ac:dyDescent="0.2">
      <c r="K2613"/>
    </row>
    <row r="2614" spans="11:11" ht="15.75" customHeight="1" x14ac:dyDescent="0.2">
      <c r="K2614"/>
    </row>
    <row r="2615" spans="11:11" ht="15.75" customHeight="1" x14ac:dyDescent="0.2">
      <c r="K2615"/>
    </row>
    <row r="2616" spans="11:11" ht="15.75" customHeight="1" x14ac:dyDescent="0.2">
      <c r="K2616"/>
    </row>
    <row r="2617" spans="11:11" ht="15.75" customHeight="1" x14ac:dyDescent="0.2">
      <c r="K2617"/>
    </row>
    <row r="2618" spans="11:11" ht="15.75" customHeight="1" x14ac:dyDescent="0.2">
      <c r="K2618"/>
    </row>
    <row r="2619" spans="11:11" ht="15.75" customHeight="1" x14ac:dyDescent="0.2">
      <c r="K2619"/>
    </row>
    <row r="2620" spans="11:11" ht="15.75" customHeight="1" x14ac:dyDescent="0.2">
      <c r="K2620"/>
    </row>
    <row r="2621" spans="11:11" ht="15.75" customHeight="1" x14ac:dyDescent="0.2">
      <c r="K2621"/>
    </row>
    <row r="2622" spans="11:11" ht="15.75" customHeight="1" x14ac:dyDescent="0.2">
      <c r="K2622"/>
    </row>
    <row r="2623" spans="11:11" ht="15.75" customHeight="1" x14ac:dyDescent="0.2">
      <c r="K2623"/>
    </row>
    <row r="2624" spans="11:11" ht="15.75" customHeight="1" x14ac:dyDescent="0.2">
      <c r="K2624"/>
    </row>
    <row r="2625" spans="11:11" ht="15.75" customHeight="1" x14ac:dyDescent="0.2">
      <c r="K2625"/>
    </row>
    <row r="2626" spans="11:11" ht="15.75" customHeight="1" x14ac:dyDescent="0.2">
      <c r="K2626"/>
    </row>
    <row r="2627" spans="11:11" ht="15.75" customHeight="1" x14ac:dyDescent="0.2">
      <c r="K2627"/>
    </row>
    <row r="2628" spans="11:11" ht="15.75" customHeight="1" x14ac:dyDescent="0.2">
      <c r="K2628"/>
    </row>
    <row r="2629" spans="11:11" ht="15.75" customHeight="1" x14ac:dyDescent="0.2">
      <c r="K2629"/>
    </row>
    <row r="2630" spans="11:11" ht="15.75" customHeight="1" x14ac:dyDescent="0.2">
      <c r="K2630"/>
    </row>
    <row r="2631" spans="11:11" ht="15.75" customHeight="1" x14ac:dyDescent="0.2">
      <c r="K2631"/>
    </row>
    <row r="2632" spans="11:11" ht="15.75" customHeight="1" x14ac:dyDescent="0.2">
      <c r="K2632"/>
    </row>
    <row r="2633" spans="11:11" ht="15.75" customHeight="1" x14ac:dyDescent="0.2">
      <c r="K2633"/>
    </row>
    <row r="2634" spans="11:11" ht="15.75" customHeight="1" x14ac:dyDescent="0.2">
      <c r="K2634"/>
    </row>
    <row r="2635" spans="11:11" ht="15.75" customHeight="1" x14ac:dyDescent="0.2">
      <c r="K2635"/>
    </row>
    <row r="2636" spans="11:11" ht="15.75" customHeight="1" x14ac:dyDescent="0.2">
      <c r="K2636"/>
    </row>
    <row r="2637" spans="11:11" ht="15.75" customHeight="1" x14ac:dyDescent="0.2">
      <c r="K2637"/>
    </row>
    <row r="2638" spans="11:11" ht="15.75" customHeight="1" x14ac:dyDescent="0.2">
      <c r="K2638"/>
    </row>
    <row r="2639" spans="11:11" ht="15.75" customHeight="1" x14ac:dyDescent="0.2">
      <c r="K2639"/>
    </row>
    <row r="2640" spans="11:11" ht="15.75" customHeight="1" x14ac:dyDescent="0.2">
      <c r="K2640"/>
    </row>
    <row r="2641" spans="11:11" ht="15.75" customHeight="1" x14ac:dyDescent="0.2">
      <c r="K2641"/>
    </row>
    <row r="2642" spans="11:11" ht="15.75" customHeight="1" x14ac:dyDescent="0.2">
      <c r="K2642"/>
    </row>
    <row r="2643" spans="11:11" ht="15.75" customHeight="1" x14ac:dyDescent="0.2">
      <c r="K2643"/>
    </row>
    <row r="2644" spans="11:11" ht="15.75" customHeight="1" x14ac:dyDescent="0.2">
      <c r="K2644"/>
    </row>
    <row r="2645" spans="11:11" ht="15.75" customHeight="1" x14ac:dyDescent="0.2">
      <c r="K2645"/>
    </row>
    <row r="2646" spans="11:11" ht="15.75" customHeight="1" x14ac:dyDescent="0.2">
      <c r="K2646"/>
    </row>
    <row r="2647" spans="11:11" ht="15.75" customHeight="1" x14ac:dyDescent="0.2">
      <c r="K2647"/>
    </row>
    <row r="2648" spans="11:11" ht="15.75" customHeight="1" x14ac:dyDescent="0.2">
      <c r="K2648"/>
    </row>
    <row r="2649" spans="11:11" ht="15.75" customHeight="1" x14ac:dyDescent="0.2">
      <c r="K2649"/>
    </row>
    <row r="2650" spans="11:11" ht="15.75" customHeight="1" x14ac:dyDescent="0.2">
      <c r="K2650"/>
    </row>
    <row r="2651" spans="11:11" ht="15.75" customHeight="1" x14ac:dyDescent="0.2">
      <c r="K2651"/>
    </row>
    <row r="2652" spans="11:11" ht="15.75" customHeight="1" x14ac:dyDescent="0.2">
      <c r="K2652"/>
    </row>
    <row r="2653" spans="11:11" ht="15.75" customHeight="1" x14ac:dyDescent="0.2">
      <c r="K2653"/>
    </row>
    <row r="2654" spans="11:11" ht="15.75" customHeight="1" x14ac:dyDescent="0.2">
      <c r="K2654"/>
    </row>
    <row r="2655" spans="11:11" ht="15.75" customHeight="1" x14ac:dyDescent="0.2">
      <c r="K2655"/>
    </row>
    <row r="2656" spans="11:11" ht="15.75" customHeight="1" x14ac:dyDescent="0.2">
      <c r="K2656"/>
    </row>
    <row r="2657" spans="11:11" ht="15.75" customHeight="1" x14ac:dyDescent="0.2">
      <c r="K2657"/>
    </row>
    <row r="2658" spans="11:11" ht="15.75" customHeight="1" x14ac:dyDescent="0.2">
      <c r="K2658"/>
    </row>
    <row r="2659" spans="11:11" ht="15.75" customHeight="1" x14ac:dyDescent="0.2">
      <c r="K2659"/>
    </row>
    <row r="2660" spans="11:11" ht="15.75" customHeight="1" x14ac:dyDescent="0.2">
      <c r="K2660"/>
    </row>
    <row r="2661" spans="11:11" ht="15.75" customHeight="1" x14ac:dyDescent="0.2">
      <c r="K2661"/>
    </row>
    <row r="2662" spans="11:11" ht="15.75" customHeight="1" x14ac:dyDescent="0.2">
      <c r="K2662"/>
    </row>
    <row r="2663" spans="11:11" ht="15.75" customHeight="1" x14ac:dyDescent="0.2">
      <c r="K2663"/>
    </row>
    <row r="2664" spans="11:11" ht="15.75" customHeight="1" x14ac:dyDescent="0.2">
      <c r="K2664"/>
    </row>
    <row r="2665" spans="11:11" ht="15.75" customHeight="1" x14ac:dyDescent="0.2">
      <c r="K2665"/>
    </row>
    <row r="2666" spans="11:11" ht="15.75" customHeight="1" x14ac:dyDescent="0.2">
      <c r="K2666"/>
    </row>
    <row r="2667" spans="11:11" ht="15.75" customHeight="1" x14ac:dyDescent="0.2">
      <c r="K2667"/>
    </row>
    <row r="2668" spans="11:11" ht="15.75" customHeight="1" x14ac:dyDescent="0.2">
      <c r="K2668"/>
    </row>
    <row r="2669" spans="11:11" ht="15.75" customHeight="1" x14ac:dyDescent="0.2">
      <c r="K2669"/>
    </row>
    <row r="2670" spans="11:11" ht="15.75" customHeight="1" x14ac:dyDescent="0.2">
      <c r="K2670"/>
    </row>
    <row r="2671" spans="11:11" ht="15.75" customHeight="1" x14ac:dyDescent="0.2">
      <c r="K2671"/>
    </row>
    <row r="2672" spans="11:11" ht="15.75" customHeight="1" x14ac:dyDescent="0.2">
      <c r="K2672"/>
    </row>
    <row r="2673" spans="11:11" ht="15.75" customHeight="1" x14ac:dyDescent="0.2">
      <c r="K2673"/>
    </row>
    <row r="2674" spans="11:11" ht="15.75" customHeight="1" x14ac:dyDescent="0.2">
      <c r="K2674"/>
    </row>
    <row r="2675" spans="11:11" ht="15.75" customHeight="1" x14ac:dyDescent="0.2">
      <c r="K2675"/>
    </row>
    <row r="2676" spans="11:11" ht="15.75" customHeight="1" x14ac:dyDescent="0.2">
      <c r="K2676"/>
    </row>
    <row r="2677" spans="11:11" ht="15.75" customHeight="1" x14ac:dyDescent="0.2">
      <c r="K2677"/>
    </row>
    <row r="2678" spans="11:11" ht="15.75" customHeight="1" x14ac:dyDescent="0.2">
      <c r="K2678"/>
    </row>
    <row r="2679" spans="11:11" ht="15.75" customHeight="1" x14ac:dyDescent="0.2">
      <c r="K2679"/>
    </row>
    <row r="2680" spans="11:11" ht="15.75" customHeight="1" x14ac:dyDescent="0.2">
      <c r="K2680"/>
    </row>
    <row r="2681" spans="11:11" ht="15.75" customHeight="1" x14ac:dyDescent="0.2">
      <c r="K2681"/>
    </row>
    <row r="2682" spans="11:11" ht="15.75" customHeight="1" x14ac:dyDescent="0.2">
      <c r="K2682"/>
    </row>
    <row r="2683" spans="11:11" ht="15.75" customHeight="1" x14ac:dyDescent="0.2">
      <c r="K2683"/>
    </row>
    <row r="2684" spans="11:11" ht="15.75" customHeight="1" x14ac:dyDescent="0.2">
      <c r="K2684"/>
    </row>
    <row r="2685" spans="11:11" ht="15.75" customHeight="1" x14ac:dyDescent="0.2">
      <c r="K2685"/>
    </row>
    <row r="2686" spans="11:11" ht="15.75" customHeight="1" x14ac:dyDescent="0.2">
      <c r="K2686"/>
    </row>
    <row r="2687" spans="11:11" ht="15.75" customHeight="1" x14ac:dyDescent="0.2">
      <c r="K2687"/>
    </row>
    <row r="2688" spans="11:11" ht="15.75" customHeight="1" x14ac:dyDescent="0.2">
      <c r="K2688"/>
    </row>
    <row r="2689" spans="11:11" ht="15.75" customHeight="1" x14ac:dyDescent="0.2">
      <c r="K2689"/>
    </row>
    <row r="2690" spans="11:11" ht="15.75" customHeight="1" x14ac:dyDescent="0.2">
      <c r="K2690"/>
    </row>
    <row r="2691" spans="11:11" ht="15.75" customHeight="1" x14ac:dyDescent="0.2">
      <c r="K2691"/>
    </row>
    <row r="2692" spans="11:11" ht="15.75" customHeight="1" x14ac:dyDescent="0.2">
      <c r="K2692"/>
    </row>
    <row r="2693" spans="11:11" ht="15.75" customHeight="1" x14ac:dyDescent="0.2">
      <c r="K2693"/>
    </row>
    <row r="2694" spans="11:11" ht="15.75" customHeight="1" x14ac:dyDescent="0.2">
      <c r="K2694"/>
    </row>
    <row r="2695" spans="11:11" ht="15.75" customHeight="1" x14ac:dyDescent="0.2">
      <c r="K2695"/>
    </row>
    <row r="2696" spans="11:11" ht="15.75" customHeight="1" x14ac:dyDescent="0.2">
      <c r="K2696"/>
    </row>
    <row r="2697" spans="11:11" ht="15.75" customHeight="1" x14ac:dyDescent="0.2">
      <c r="K2697"/>
    </row>
    <row r="2698" spans="11:11" ht="15.75" customHeight="1" x14ac:dyDescent="0.2">
      <c r="K2698"/>
    </row>
    <row r="2699" spans="11:11" ht="15.75" customHeight="1" x14ac:dyDescent="0.2">
      <c r="K2699"/>
    </row>
    <row r="2700" spans="11:11" ht="15.75" customHeight="1" x14ac:dyDescent="0.2">
      <c r="K2700"/>
    </row>
    <row r="2701" spans="11:11" ht="15.75" customHeight="1" x14ac:dyDescent="0.2">
      <c r="K2701"/>
    </row>
    <row r="2702" spans="11:11" ht="15.75" customHeight="1" x14ac:dyDescent="0.2">
      <c r="K2702"/>
    </row>
    <row r="2703" spans="11:11" ht="15.75" customHeight="1" x14ac:dyDescent="0.2">
      <c r="K2703"/>
    </row>
    <row r="2704" spans="11:11" ht="15.75" customHeight="1" x14ac:dyDescent="0.2">
      <c r="K2704"/>
    </row>
    <row r="2705" spans="11:11" ht="15.75" customHeight="1" x14ac:dyDescent="0.2">
      <c r="K2705"/>
    </row>
    <row r="2706" spans="11:11" ht="15.75" customHeight="1" x14ac:dyDescent="0.2">
      <c r="K2706"/>
    </row>
    <row r="2707" spans="11:11" ht="15.75" customHeight="1" x14ac:dyDescent="0.2">
      <c r="K2707"/>
    </row>
    <row r="2708" spans="11:11" ht="15.75" customHeight="1" x14ac:dyDescent="0.2">
      <c r="K2708"/>
    </row>
    <row r="2709" spans="11:11" ht="15.75" customHeight="1" x14ac:dyDescent="0.2">
      <c r="K2709"/>
    </row>
    <row r="2710" spans="11:11" ht="15.75" customHeight="1" x14ac:dyDescent="0.2">
      <c r="K2710"/>
    </row>
    <row r="2711" spans="11:11" ht="15.75" customHeight="1" x14ac:dyDescent="0.2">
      <c r="K2711"/>
    </row>
    <row r="2712" spans="11:11" ht="15.75" customHeight="1" x14ac:dyDescent="0.2">
      <c r="K2712"/>
    </row>
    <row r="2713" spans="11:11" ht="15.75" customHeight="1" x14ac:dyDescent="0.2">
      <c r="K2713"/>
    </row>
    <row r="2714" spans="11:11" ht="15.75" customHeight="1" x14ac:dyDescent="0.2">
      <c r="K2714"/>
    </row>
    <row r="2715" spans="11:11" ht="15.75" customHeight="1" x14ac:dyDescent="0.2">
      <c r="K2715"/>
    </row>
    <row r="2716" spans="11:11" ht="15.75" customHeight="1" x14ac:dyDescent="0.2">
      <c r="K2716"/>
    </row>
    <row r="2717" spans="11:11" ht="15.75" customHeight="1" x14ac:dyDescent="0.2">
      <c r="K2717"/>
    </row>
    <row r="2718" spans="11:11" ht="15.75" customHeight="1" x14ac:dyDescent="0.2">
      <c r="K2718"/>
    </row>
    <row r="2719" spans="11:11" ht="15.75" customHeight="1" x14ac:dyDescent="0.2">
      <c r="K2719"/>
    </row>
    <row r="2720" spans="11:11" ht="15.75" customHeight="1" x14ac:dyDescent="0.2">
      <c r="K2720"/>
    </row>
    <row r="2721" spans="11:11" ht="15.75" customHeight="1" x14ac:dyDescent="0.2">
      <c r="K2721"/>
    </row>
    <row r="2722" spans="11:11" ht="15.75" customHeight="1" x14ac:dyDescent="0.2">
      <c r="K2722"/>
    </row>
    <row r="2723" spans="11:11" ht="15.75" customHeight="1" x14ac:dyDescent="0.2">
      <c r="K2723"/>
    </row>
    <row r="2724" spans="11:11" ht="15.75" customHeight="1" x14ac:dyDescent="0.2">
      <c r="K2724"/>
    </row>
    <row r="2725" spans="11:11" ht="15.75" customHeight="1" x14ac:dyDescent="0.2">
      <c r="K2725"/>
    </row>
    <row r="2726" spans="11:11" ht="15.75" customHeight="1" x14ac:dyDescent="0.2">
      <c r="K2726"/>
    </row>
    <row r="2727" spans="11:11" ht="15.75" customHeight="1" x14ac:dyDescent="0.2">
      <c r="K2727"/>
    </row>
    <row r="2728" spans="11:11" ht="15.75" customHeight="1" x14ac:dyDescent="0.2">
      <c r="K2728"/>
    </row>
    <row r="2729" spans="11:11" ht="15.75" customHeight="1" x14ac:dyDescent="0.2">
      <c r="K2729"/>
    </row>
    <row r="2730" spans="11:11" ht="15.75" customHeight="1" x14ac:dyDescent="0.2">
      <c r="K2730"/>
    </row>
    <row r="2731" spans="11:11" ht="15.75" customHeight="1" x14ac:dyDescent="0.2">
      <c r="K2731"/>
    </row>
    <row r="2732" spans="11:11" ht="15.75" customHeight="1" x14ac:dyDescent="0.2">
      <c r="K2732"/>
    </row>
    <row r="2733" spans="11:11" ht="15.75" customHeight="1" x14ac:dyDescent="0.2">
      <c r="K2733"/>
    </row>
    <row r="2734" spans="11:11" ht="15.75" customHeight="1" x14ac:dyDescent="0.2">
      <c r="K2734"/>
    </row>
    <row r="2735" spans="11:11" ht="15.75" customHeight="1" x14ac:dyDescent="0.2">
      <c r="K2735"/>
    </row>
    <row r="2736" spans="11:11" ht="15.75" customHeight="1" x14ac:dyDescent="0.2">
      <c r="K2736"/>
    </row>
    <row r="2737" spans="11:11" ht="15.75" customHeight="1" x14ac:dyDescent="0.2">
      <c r="K2737"/>
    </row>
    <row r="2738" spans="11:11" ht="15.75" customHeight="1" x14ac:dyDescent="0.2">
      <c r="K2738"/>
    </row>
    <row r="2739" spans="11:11" ht="15.75" customHeight="1" x14ac:dyDescent="0.2">
      <c r="K2739"/>
    </row>
    <row r="2740" spans="11:11" ht="15.75" customHeight="1" x14ac:dyDescent="0.2">
      <c r="K2740"/>
    </row>
    <row r="2741" spans="11:11" ht="15.75" customHeight="1" x14ac:dyDescent="0.2">
      <c r="K2741"/>
    </row>
    <row r="2742" spans="11:11" ht="15.75" customHeight="1" x14ac:dyDescent="0.2">
      <c r="K2742"/>
    </row>
    <row r="2743" spans="11:11" ht="15.75" customHeight="1" x14ac:dyDescent="0.2">
      <c r="K2743"/>
    </row>
    <row r="2744" spans="11:11" ht="15.75" customHeight="1" x14ac:dyDescent="0.2">
      <c r="K2744"/>
    </row>
    <row r="2745" spans="11:11" ht="15.75" customHeight="1" x14ac:dyDescent="0.2">
      <c r="K2745"/>
    </row>
    <row r="2746" spans="11:11" ht="15.75" customHeight="1" x14ac:dyDescent="0.2">
      <c r="K2746"/>
    </row>
    <row r="2747" spans="11:11" ht="15.75" customHeight="1" x14ac:dyDescent="0.2">
      <c r="K2747"/>
    </row>
    <row r="2748" spans="11:11" ht="15.75" customHeight="1" x14ac:dyDescent="0.2">
      <c r="K2748"/>
    </row>
    <row r="2749" spans="11:11" ht="15.75" customHeight="1" x14ac:dyDescent="0.2">
      <c r="K2749"/>
    </row>
    <row r="2750" spans="11:11" ht="15.75" customHeight="1" x14ac:dyDescent="0.2">
      <c r="K2750"/>
    </row>
    <row r="2751" spans="11:11" ht="15.75" customHeight="1" x14ac:dyDescent="0.2">
      <c r="K2751"/>
    </row>
    <row r="2752" spans="11:11" ht="15.75" customHeight="1" x14ac:dyDescent="0.2">
      <c r="K2752"/>
    </row>
    <row r="2753" spans="11:11" ht="15.75" customHeight="1" x14ac:dyDescent="0.2">
      <c r="K2753"/>
    </row>
    <row r="2754" spans="11:11" ht="15.75" customHeight="1" x14ac:dyDescent="0.2">
      <c r="K2754"/>
    </row>
    <row r="2755" spans="11:11" ht="15.75" customHeight="1" x14ac:dyDescent="0.2">
      <c r="K2755"/>
    </row>
    <row r="2756" spans="11:11" ht="15.75" customHeight="1" x14ac:dyDescent="0.2">
      <c r="K2756"/>
    </row>
    <row r="2757" spans="11:11" ht="15.75" customHeight="1" x14ac:dyDescent="0.2">
      <c r="K2757"/>
    </row>
    <row r="2758" spans="11:11" ht="15.75" customHeight="1" x14ac:dyDescent="0.2">
      <c r="K2758"/>
    </row>
    <row r="2759" spans="11:11" ht="15.75" customHeight="1" x14ac:dyDescent="0.2">
      <c r="K2759"/>
    </row>
    <row r="2760" spans="11:11" ht="15.75" customHeight="1" x14ac:dyDescent="0.2">
      <c r="K2760"/>
    </row>
    <row r="2761" spans="11:11" ht="15.75" customHeight="1" x14ac:dyDescent="0.2">
      <c r="K2761"/>
    </row>
    <row r="2762" spans="11:11" ht="15.75" customHeight="1" x14ac:dyDescent="0.2">
      <c r="K2762"/>
    </row>
    <row r="2763" spans="11:11" ht="15.75" customHeight="1" x14ac:dyDescent="0.2">
      <c r="K2763"/>
    </row>
    <row r="2764" spans="11:11" ht="15.75" customHeight="1" x14ac:dyDescent="0.2">
      <c r="K2764"/>
    </row>
    <row r="2765" spans="11:11" ht="15.75" customHeight="1" x14ac:dyDescent="0.2">
      <c r="K2765"/>
    </row>
    <row r="2766" spans="11:11" ht="15.75" customHeight="1" x14ac:dyDescent="0.2">
      <c r="K2766"/>
    </row>
    <row r="2767" spans="11:11" ht="15.75" customHeight="1" x14ac:dyDescent="0.2">
      <c r="K2767"/>
    </row>
    <row r="2768" spans="11:11" ht="15.75" customHeight="1" x14ac:dyDescent="0.2">
      <c r="K2768"/>
    </row>
    <row r="2769" spans="11:11" ht="15.75" customHeight="1" x14ac:dyDescent="0.2">
      <c r="K2769"/>
    </row>
    <row r="2770" spans="11:11" ht="15.75" customHeight="1" x14ac:dyDescent="0.2">
      <c r="K2770"/>
    </row>
    <row r="2771" spans="11:11" ht="15.75" customHeight="1" x14ac:dyDescent="0.2">
      <c r="K2771"/>
    </row>
    <row r="2772" spans="11:11" ht="15.75" customHeight="1" x14ac:dyDescent="0.2">
      <c r="K2772"/>
    </row>
    <row r="2773" spans="11:11" ht="15.75" customHeight="1" x14ac:dyDescent="0.2">
      <c r="K2773"/>
    </row>
    <row r="2774" spans="11:11" ht="15.75" customHeight="1" x14ac:dyDescent="0.2">
      <c r="K2774"/>
    </row>
    <row r="2775" spans="11:11" ht="15.75" customHeight="1" x14ac:dyDescent="0.2">
      <c r="K2775"/>
    </row>
    <row r="2776" spans="11:11" ht="15.75" customHeight="1" x14ac:dyDescent="0.2">
      <c r="K2776"/>
    </row>
    <row r="2777" spans="11:11" ht="15.75" customHeight="1" x14ac:dyDescent="0.2">
      <c r="K2777"/>
    </row>
    <row r="2778" spans="11:11" ht="15.75" customHeight="1" x14ac:dyDescent="0.2">
      <c r="K2778"/>
    </row>
    <row r="2779" spans="11:11" ht="15.75" customHeight="1" x14ac:dyDescent="0.2">
      <c r="K2779"/>
    </row>
    <row r="2780" spans="11:11" ht="15.75" customHeight="1" x14ac:dyDescent="0.2">
      <c r="K2780"/>
    </row>
    <row r="2781" spans="11:11" ht="15.75" customHeight="1" x14ac:dyDescent="0.2">
      <c r="K2781"/>
    </row>
    <row r="2782" spans="11:11" ht="15.75" customHeight="1" x14ac:dyDescent="0.2">
      <c r="K2782"/>
    </row>
    <row r="2783" spans="11:11" ht="15.75" customHeight="1" x14ac:dyDescent="0.2">
      <c r="K2783"/>
    </row>
    <row r="2784" spans="11:11" ht="15.75" customHeight="1" x14ac:dyDescent="0.2">
      <c r="K2784"/>
    </row>
    <row r="2785" spans="11:11" ht="15.75" customHeight="1" x14ac:dyDescent="0.2">
      <c r="K2785"/>
    </row>
    <row r="2786" spans="11:11" ht="15.75" customHeight="1" x14ac:dyDescent="0.2">
      <c r="K2786"/>
    </row>
    <row r="2787" spans="11:11" ht="15.75" customHeight="1" x14ac:dyDescent="0.2">
      <c r="K2787"/>
    </row>
    <row r="2788" spans="11:11" ht="15.75" customHeight="1" x14ac:dyDescent="0.2">
      <c r="K2788"/>
    </row>
    <row r="2789" spans="11:11" ht="15.75" customHeight="1" x14ac:dyDescent="0.2">
      <c r="K2789"/>
    </row>
    <row r="2790" spans="11:11" ht="15.75" customHeight="1" x14ac:dyDescent="0.2">
      <c r="K2790"/>
    </row>
    <row r="2791" spans="11:11" ht="15.75" customHeight="1" x14ac:dyDescent="0.2">
      <c r="K2791"/>
    </row>
    <row r="2792" spans="11:11" ht="15.75" customHeight="1" x14ac:dyDescent="0.2">
      <c r="K2792"/>
    </row>
    <row r="2793" spans="11:11" ht="15.75" customHeight="1" x14ac:dyDescent="0.2">
      <c r="K2793"/>
    </row>
    <row r="2794" spans="11:11" ht="15.75" customHeight="1" x14ac:dyDescent="0.2">
      <c r="K2794"/>
    </row>
    <row r="2795" spans="11:11" ht="15.75" customHeight="1" x14ac:dyDescent="0.2">
      <c r="K2795"/>
    </row>
    <row r="2796" spans="11:11" ht="15.75" customHeight="1" x14ac:dyDescent="0.2">
      <c r="K2796"/>
    </row>
    <row r="2797" spans="11:11" ht="15.75" customHeight="1" x14ac:dyDescent="0.2">
      <c r="K2797"/>
    </row>
    <row r="2798" spans="11:11" ht="15.75" customHeight="1" x14ac:dyDescent="0.2">
      <c r="K2798"/>
    </row>
    <row r="2799" spans="11:11" ht="15.75" customHeight="1" x14ac:dyDescent="0.2">
      <c r="K2799"/>
    </row>
    <row r="2800" spans="11:11" ht="15.75" customHeight="1" x14ac:dyDescent="0.2">
      <c r="K2800"/>
    </row>
    <row r="2801" spans="11:11" ht="15.75" customHeight="1" x14ac:dyDescent="0.2">
      <c r="K2801"/>
    </row>
    <row r="2802" spans="11:11" ht="15.75" customHeight="1" x14ac:dyDescent="0.2">
      <c r="K2802"/>
    </row>
    <row r="2803" spans="11:11" ht="15.75" customHeight="1" x14ac:dyDescent="0.2">
      <c r="K2803"/>
    </row>
    <row r="2804" spans="11:11" ht="15.75" customHeight="1" x14ac:dyDescent="0.2">
      <c r="K2804"/>
    </row>
    <row r="2805" spans="11:11" ht="15.75" customHeight="1" x14ac:dyDescent="0.2">
      <c r="K2805"/>
    </row>
    <row r="2806" spans="11:11" ht="15.75" customHeight="1" x14ac:dyDescent="0.2">
      <c r="K2806"/>
    </row>
    <row r="2807" spans="11:11" ht="15.75" customHeight="1" x14ac:dyDescent="0.2">
      <c r="K2807"/>
    </row>
    <row r="2808" spans="11:11" ht="15.75" customHeight="1" x14ac:dyDescent="0.2">
      <c r="K2808"/>
    </row>
    <row r="2809" spans="11:11" ht="15.75" customHeight="1" x14ac:dyDescent="0.2">
      <c r="K2809"/>
    </row>
    <row r="2810" spans="11:11" ht="15.75" customHeight="1" x14ac:dyDescent="0.2">
      <c r="K2810"/>
    </row>
    <row r="2811" spans="11:11" ht="15.75" customHeight="1" x14ac:dyDescent="0.2">
      <c r="K2811"/>
    </row>
    <row r="2812" spans="11:11" ht="15.75" customHeight="1" x14ac:dyDescent="0.2">
      <c r="K2812"/>
    </row>
    <row r="2813" spans="11:11" ht="15.75" customHeight="1" x14ac:dyDescent="0.2">
      <c r="K2813"/>
    </row>
    <row r="2814" spans="11:11" ht="15.75" customHeight="1" x14ac:dyDescent="0.2">
      <c r="K2814"/>
    </row>
    <row r="2815" spans="11:11" ht="15.75" customHeight="1" x14ac:dyDescent="0.2">
      <c r="K2815"/>
    </row>
    <row r="2816" spans="11:11" ht="15.75" customHeight="1" x14ac:dyDescent="0.2">
      <c r="K2816"/>
    </row>
    <row r="2817" spans="11:11" ht="15.75" customHeight="1" x14ac:dyDescent="0.2">
      <c r="K2817"/>
    </row>
    <row r="2818" spans="11:11" ht="15.75" customHeight="1" x14ac:dyDescent="0.2">
      <c r="K2818"/>
    </row>
    <row r="2819" spans="11:11" ht="15.75" customHeight="1" x14ac:dyDescent="0.2">
      <c r="K2819"/>
    </row>
    <row r="2820" spans="11:11" ht="15.75" customHeight="1" x14ac:dyDescent="0.2">
      <c r="K2820"/>
    </row>
    <row r="2821" spans="11:11" ht="15.75" customHeight="1" x14ac:dyDescent="0.2">
      <c r="K2821"/>
    </row>
    <row r="2822" spans="11:11" ht="15.75" customHeight="1" x14ac:dyDescent="0.2">
      <c r="K2822"/>
    </row>
    <row r="2823" spans="11:11" ht="15.75" customHeight="1" x14ac:dyDescent="0.2">
      <c r="K2823"/>
    </row>
    <row r="2824" spans="11:11" ht="15.75" customHeight="1" x14ac:dyDescent="0.2">
      <c r="K2824"/>
    </row>
    <row r="2825" spans="11:11" ht="15.75" customHeight="1" x14ac:dyDescent="0.2">
      <c r="K2825"/>
    </row>
    <row r="2826" spans="11:11" ht="15.75" customHeight="1" x14ac:dyDescent="0.2">
      <c r="K2826"/>
    </row>
    <row r="2827" spans="11:11" ht="15.75" customHeight="1" x14ac:dyDescent="0.2">
      <c r="K2827"/>
    </row>
    <row r="2828" spans="11:11" ht="15.75" customHeight="1" x14ac:dyDescent="0.2">
      <c r="K2828"/>
    </row>
    <row r="2829" spans="11:11" ht="15.75" customHeight="1" x14ac:dyDescent="0.2">
      <c r="K2829"/>
    </row>
    <row r="2830" spans="11:11" ht="15.75" customHeight="1" x14ac:dyDescent="0.2">
      <c r="K2830"/>
    </row>
    <row r="2831" spans="11:11" ht="15.75" customHeight="1" x14ac:dyDescent="0.2">
      <c r="K2831"/>
    </row>
    <row r="2832" spans="11:11" ht="15.75" customHeight="1" x14ac:dyDescent="0.2">
      <c r="K2832"/>
    </row>
    <row r="2833" spans="11:11" ht="15.75" customHeight="1" x14ac:dyDescent="0.2">
      <c r="K2833"/>
    </row>
    <row r="2834" spans="11:11" ht="15.75" customHeight="1" x14ac:dyDescent="0.2">
      <c r="K2834"/>
    </row>
    <row r="2835" spans="11:11" ht="15.75" customHeight="1" x14ac:dyDescent="0.2">
      <c r="K2835"/>
    </row>
    <row r="2836" spans="11:11" ht="15.75" customHeight="1" x14ac:dyDescent="0.2">
      <c r="K2836"/>
    </row>
    <row r="2837" spans="11:11" ht="15.75" customHeight="1" x14ac:dyDescent="0.2">
      <c r="K2837"/>
    </row>
    <row r="2838" spans="11:11" ht="15.75" customHeight="1" x14ac:dyDescent="0.2">
      <c r="K2838"/>
    </row>
    <row r="2839" spans="11:11" ht="15.75" customHeight="1" x14ac:dyDescent="0.2">
      <c r="K2839"/>
    </row>
    <row r="2840" spans="11:11" ht="15.75" customHeight="1" x14ac:dyDescent="0.2">
      <c r="K2840"/>
    </row>
    <row r="2841" spans="11:11" ht="15.75" customHeight="1" x14ac:dyDescent="0.2">
      <c r="K2841"/>
    </row>
    <row r="2842" spans="11:11" ht="15.75" customHeight="1" x14ac:dyDescent="0.2">
      <c r="K2842"/>
    </row>
    <row r="2843" spans="11:11" ht="15.75" customHeight="1" x14ac:dyDescent="0.2">
      <c r="K2843"/>
    </row>
    <row r="2844" spans="11:11" ht="15.75" customHeight="1" x14ac:dyDescent="0.2">
      <c r="K2844"/>
    </row>
    <row r="2845" spans="11:11" ht="15.75" customHeight="1" x14ac:dyDescent="0.2">
      <c r="K2845"/>
    </row>
    <row r="2846" spans="11:11" ht="15.75" customHeight="1" x14ac:dyDescent="0.2">
      <c r="K2846"/>
    </row>
    <row r="2847" spans="11:11" ht="15.75" customHeight="1" x14ac:dyDescent="0.2">
      <c r="K2847"/>
    </row>
    <row r="2848" spans="11:11" ht="15.75" customHeight="1" x14ac:dyDescent="0.2">
      <c r="K2848"/>
    </row>
    <row r="2849" spans="11:11" ht="15.75" customHeight="1" x14ac:dyDescent="0.2">
      <c r="K2849"/>
    </row>
    <row r="2850" spans="11:11" ht="15.75" customHeight="1" x14ac:dyDescent="0.2">
      <c r="K2850"/>
    </row>
    <row r="2851" spans="11:11" ht="15.75" customHeight="1" x14ac:dyDescent="0.2">
      <c r="K2851"/>
    </row>
    <row r="2852" spans="11:11" ht="15.75" customHeight="1" x14ac:dyDescent="0.2">
      <c r="K2852"/>
    </row>
    <row r="2853" spans="11:11" ht="15.75" customHeight="1" x14ac:dyDescent="0.2">
      <c r="K2853"/>
    </row>
    <row r="2854" spans="11:11" ht="15.75" customHeight="1" x14ac:dyDescent="0.2">
      <c r="K2854"/>
    </row>
    <row r="2855" spans="11:11" ht="15.75" customHeight="1" x14ac:dyDescent="0.2">
      <c r="K2855"/>
    </row>
    <row r="2856" spans="11:11" ht="15.75" customHeight="1" x14ac:dyDescent="0.2">
      <c r="K2856"/>
    </row>
    <row r="2857" spans="11:11" ht="15.75" customHeight="1" x14ac:dyDescent="0.2">
      <c r="K2857"/>
    </row>
    <row r="2858" spans="11:11" ht="15.75" customHeight="1" x14ac:dyDescent="0.2">
      <c r="K2858"/>
    </row>
    <row r="2859" spans="11:11" ht="15.75" customHeight="1" x14ac:dyDescent="0.2">
      <c r="K2859"/>
    </row>
    <row r="2860" spans="11:11" ht="15.75" customHeight="1" x14ac:dyDescent="0.2">
      <c r="K2860"/>
    </row>
    <row r="2861" spans="11:11" ht="15.75" customHeight="1" x14ac:dyDescent="0.2">
      <c r="K2861"/>
    </row>
    <row r="2862" spans="11:11" ht="15.75" customHeight="1" x14ac:dyDescent="0.2">
      <c r="K2862"/>
    </row>
    <row r="2863" spans="11:11" ht="15.75" customHeight="1" x14ac:dyDescent="0.2">
      <c r="K2863"/>
    </row>
    <row r="2864" spans="11:11" ht="15.75" customHeight="1" x14ac:dyDescent="0.2">
      <c r="K2864"/>
    </row>
    <row r="2865" spans="11:11" ht="15.75" customHeight="1" x14ac:dyDescent="0.2">
      <c r="K2865"/>
    </row>
    <row r="2866" spans="11:11" ht="15.75" customHeight="1" x14ac:dyDescent="0.2">
      <c r="K2866"/>
    </row>
    <row r="2867" spans="11:11" ht="15.75" customHeight="1" x14ac:dyDescent="0.2">
      <c r="K2867"/>
    </row>
    <row r="2868" spans="11:11" ht="15.75" customHeight="1" x14ac:dyDescent="0.2">
      <c r="K2868"/>
    </row>
    <row r="2869" spans="11:11" ht="15.75" customHeight="1" x14ac:dyDescent="0.2">
      <c r="K2869"/>
    </row>
    <row r="2870" spans="11:11" ht="15.75" customHeight="1" x14ac:dyDescent="0.2">
      <c r="K2870"/>
    </row>
    <row r="2871" spans="11:11" ht="15.75" customHeight="1" x14ac:dyDescent="0.2">
      <c r="K2871"/>
    </row>
    <row r="2872" spans="11:11" ht="15.75" customHeight="1" x14ac:dyDescent="0.2">
      <c r="K2872"/>
    </row>
    <row r="2873" spans="11:11" ht="15.75" customHeight="1" x14ac:dyDescent="0.2">
      <c r="K2873"/>
    </row>
    <row r="2874" spans="11:11" ht="15.75" customHeight="1" x14ac:dyDescent="0.2">
      <c r="K2874"/>
    </row>
    <row r="2875" spans="11:11" ht="15.75" customHeight="1" x14ac:dyDescent="0.2">
      <c r="K2875"/>
    </row>
    <row r="2876" spans="11:11" ht="15.75" customHeight="1" x14ac:dyDescent="0.2">
      <c r="K2876"/>
    </row>
    <row r="2877" spans="11:11" ht="15.75" customHeight="1" x14ac:dyDescent="0.2">
      <c r="K2877"/>
    </row>
    <row r="2878" spans="11:11" ht="15.75" customHeight="1" x14ac:dyDescent="0.2">
      <c r="K2878"/>
    </row>
    <row r="2879" spans="11:11" ht="15.75" customHeight="1" x14ac:dyDescent="0.2">
      <c r="K2879"/>
    </row>
    <row r="2880" spans="11:11" ht="15.75" customHeight="1" x14ac:dyDescent="0.2">
      <c r="K2880"/>
    </row>
    <row r="2881" spans="3:11" ht="15.75" customHeight="1" x14ac:dyDescent="0.2">
      <c r="K2881"/>
    </row>
    <row r="2882" spans="3:11" ht="15.75" customHeight="1" x14ac:dyDescent="0.2">
      <c r="K2882"/>
    </row>
    <row r="2883" spans="3:11" ht="15.75" customHeight="1" x14ac:dyDescent="0.2">
      <c r="K2883"/>
    </row>
    <row r="2884" spans="3:11" ht="15.75" customHeight="1" x14ac:dyDescent="0.2">
      <c r="C2884" s="29"/>
    </row>
    <row r="2885" spans="3:11" ht="15.75" customHeight="1" x14ac:dyDescent="0.2">
      <c r="C2885" s="29"/>
    </row>
    <row r="2886" spans="3:11" ht="15.75" customHeight="1" x14ac:dyDescent="0.2">
      <c r="C2886" s="29"/>
    </row>
    <row r="2887" spans="3:11" ht="15.75" customHeight="1" x14ac:dyDescent="0.2">
      <c r="C2887" s="29"/>
    </row>
    <row r="2888" spans="3:11" ht="15.75" customHeight="1" x14ac:dyDescent="0.2">
      <c r="C2888" s="29"/>
    </row>
    <row r="2889" spans="3:11" ht="15.75" customHeight="1" x14ac:dyDescent="0.2">
      <c r="C2889" s="29"/>
    </row>
    <row r="2890" spans="3:11" ht="15.75" customHeight="1" x14ac:dyDescent="0.2">
      <c r="C2890" s="29"/>
    </row>
    <row r="2891" spans="3:11" ht="15.75" customHeight="1" x14ac:dyDescent="0.2">
      <c r="C2891" s="29"/>
    </row>
    <row r="2892" spans="3:11" ht="15.75" customHeight="1" x14ac:dyDescent="0.2">
      <c r="C2892" s="29"/>
    </row>
    <row r="2893" spans="3:11" ht="15.75" customHeight="1" x14ac:dyDescent="0.2">
      <c r="C2893" s="29"/>
    </row>
    <row r="2894" spans="3:11" ht="15.75" customHeight="1" x14ac:dyDescent="0.2">
      <c r="C2894" s="29"/>
    </row>
    <row r="2895" spans="3:11" ht="15.75" customHeight="1" x14ac:dyDescent="0.2">
      <c r="C2895" s="29"/>
    </row>
    <row r="2896" spans="3:11" ht="15.75" customHeight="1" x14ac:dyDescent="0.2">
      <c r="C2896" s="29"/>
    </row>
    <row r="2897" spans="3:3" ht="15.75" customHeight="1" x14ac:dyDescent="0.2">
      <c r="C2897" s="29"/>
    </row>
    <row r="2898" spans="3:3" ht="15.75" customHeight="1" x14ac:dyDescent="0.2">
      <c r="C2898" s="29"/>
    </row>
    <row r="2899" spans="3:3" ht="15.75" customHeight="1" x14ac:dyDescent="0.2">
      <c r="C2899" s="29"/>
    </row>
    <row r="2900" spans="3:3" ht="15.75" customHeight="1" x14ac:dyDescent="0.2">
      <c r="C2900" s="29"/>
    </row>
    <row r="2901" spans="3:3" ht="15.75" customHeight="1" x14ac:dyDescent="0.2">
      <c r="C2901" s="29"/>
    </row>
    <row r="2902" spans="3:3" ht="15.75" customHeight="1" x14ac:dyDescent="0.2">
      <c r="C2902" s="29"/>
    </row>
    <row r="2903" spans="3:3" ht="15.75" customHeight="1" x14ac:dyDescent="0.2">
      <c r="C2903" s="29"/>
    </row>
    <row r="2904" spans="3:3" ht="15.75" customHeight="1" x14ac:dyDescent="0.2">
      <c r="C2904" s="29"/>
    </row>
    <row r="2905" spans="3:3" ht="15.75" customHeight="1" x14ac:dyDescent="0.2">
      <c r="C2905" s="29"/>
    </row>
    <row r="2906" spans="3:3" ht="15.75" customHeight="1" x14ac:dyDescent="0.2">
      <c r="C2906" s="29"/>
    </row>
    <row r="2907" spans="3:3" ht="15.75" customHeight="1" x14ac:dyDescent="0.2">
      <c r="C2907" s="29"/>
    </row>
    <row r="2908" spans="3:3" ht="15.75" customHeight="1" x14ac:dyDescent="0.2">
      <c r="C2908" s="29"/>
    </row>
    <row r="2909" spans="3:3" ht="15.75" customHeight="1" x14ac:dyDescent="0.2">
      <c r="C2909" s="29"/>
    </row>
    <row r="2910" spans="3:3" ht="15.75" customHeight="1" x14ac:dyDescent="0.2">
      <c r="C2910" s="29"/>
    </row>
    <row r="2911" spans="3:3" ht="15.75" customHeight="1" x14ac:dyDescent="0.2">
      <c r="C2911" s="29"/>
    </row>
    <row r="2912" spans="3:3" ht="15.75" customHeight="1" x14ac:dyDescent="0.2">
      <c r="C2912" s="29"/>
    </row>
    <row r="2913" spans="3:3" ht="15.75" customHeight="1" x14ac:dyDescent="0.2">
      <c r="C2913" s="29"/>
    </row>
    <row r="2914" spans="3:3" ht="15.75" customHeight="1" x14ac:dyDescent="0.2">
      <c r="C2914" s="29"/>
    </row>
    <row r="2915" spans="3:3" ht="15.75" customHeight="1" x14ac:dyDescent="0.2">
      <c r="C2915" s="29"/>
    </row>
    <row r="2916" spans="3:3" ht="15.75" customHeight="1" x14ac:dyDescent="0.2">
      <c r="C2916" s="29"/>
    </row>
    <row r="2917" spans="3:3" ht="15.75" customHeight="1" x14ac:dyDescent="0.2">
      <c r="C2917" s="29"/>
    </row>
    <row r="2918" spans="3:3" ht="15.75" customHeight="1" x14ac:dyDescent="0.2">
      <c r="C2918" s="29"/>
    </row>
    <row r="2919" spans="3:3" ht="15.75" customHeight="1" x14ac:dyDescent="0.2">
      <c r="C2919" s="29"/>
    </row>
    <row r="2920" spans="3:3" ht="15.75" customHeight="1" x14ac:dyDescent="0.2">
      <c r="C2920" s="29"/>
    </row>
    <row r="2921" spans="3:3" ht="15.75" customHeight="1" x14ac:dyDescent="0.2">
      <c r="C2921" s="29"/>
    </row>
    <row r="2922" spans="3:3" ht="15.75" customHeight="1" x14ac:dyDescent="0.2">
      <c r="C2922" s="29"/>
    </row>
    <row r="2923" spans="3:3" ht="15.75" customHeight="1" x14ac:dyDescent="0.2">
      <c r="C2923" s="29"/>
    </row>
    <row r="2924" spans="3:3" ht="15.75" customHeight="1" x14ac:dyDescent="0.2">
      <c r="C2924" s="29"/>
    </row>
    <row r="2925" spans="3:3" ht="15.75" customHeight="1" x14ac:dyDescent="0.2">
      <c r="C2925" s="29"/>
    </row>
    <row r="2926" spans="3:3" ht="15.75" customHeight="1" x14ac:dyDescent="0.2">
      <c r="C2926" s="29"/>
    </row>
    <row r="2927" spans="3:3" ht="15.75" customHeight="1" x14ac:dyDescent="0.2">
      <c r="C2927" s="29"/>
    </row>
    <row r="2928" spans="3:3" ht="15.75" customHeight="1" x14ac:dyDescent="0.2">
      <c r="C2928" s="29"/>
    </row>
    <row r="2929" spans="3:3" ht="15.75" customHeight="1" x14ac:dyDescent="0.2">
      <c r="C2929" s="29"/>
    </row>
    <row r="2930" spans="3:3" ht="15.75" customHeight="1" x14ac:dyDescent="0.2">
      <c r="C2930" s="29"/>
    </row>
    <row r="2931" spans="3:3" ht="15.75" customHeight="1" x14ac:dyDescent="0.2">
      <c r="C2931" s="29"/>
    </row>
    <row r="2932" spans="3:3" ht="15.75" customHeight="1" x14ac:dyDescent="0.2">
      <c r="C2932" s="29"/>
    </row>
    <row r="2933" spans="3:3" ht="15.75" customHeight="1" x14ac:dyDescent="0.2"/>
    <row r="2934" spans="3:3" ht="15.75" customHeight="1" x14ac:dyDescent="0.2"/>
  </sheetData>
  <mergeCells count="264">
    <mergeCell ref="J69:K69"/>
    <mergeCell ref="X69:Y69"/>
    <mergeCell ref="B71:C71"/>
    <mergeCell ref="D71:E71"/>
    <mergeCell ref="F71:G71"/>
    <mergeCell ref="B72:C72"/>
    <mergeCell ref="D72:E72"/>
    <mergeCell ref="F72:G72"/>
    <mergeCell ref="J62:K62"/>
    <mergeCell ref="X62:Y62"/>
    <mergeCell ref="A65:C65"/>
    <mergeCell ref="P65:Q65"/>
    <mergeCell ref="A66:C66"/>
    <mergeCell ref="P66:Q66"/>
    <mergeCell ref="A67:C67"/>
    <mergeCell ref="P67:Q67"/>
    <mergeCell ref="A68:C68"/>
    <mergeCell ref="P68:Q68"/>
    <mergeCell ref="A1:D1"/>
    <mergeCell ref="E1:F1"/>
    <mergeCell ref="P1:R1"/>
    <mergeCell ref="S1:T1"/>
    <mergeCell ref="J59:K59"/>
    <mergeCell ref="X59:Y59"/>
    <mergeCell ref="J60:K60"/>
    <mergeCell ref="X60:Y60"/>
    <mergeCell ref="J61:K61"/>
    <mergeCell ref="X61:Y61"/>
    <mergeCell ref="J144:K144"/>
    <mergeCell ref="X144:Y144"/>
    <mergeCell ref="B146:C146"/>
    <mergeCell ref="D146:E146"/>
    <mergeCell ref="F146:G146"/>
    <mergeCell ref="B147:C147"/>
    <mergeCell ref="D147:E147"/>
    <mergeCell ref="F147:G147"/>
    <mergeCell ref="J137:K137"/>
    <mergeCell ref="X137:Y137"/>
    <mergeCell ref="A140:C140"/>
    <mergeCell ref="P140:Q140"/>
    <mergeCell ref="A141:C141"/>
    <mergeCell ref="P141:Q141"/>
    <mergeCell ref="A142:C142"/>
    <mergeCell ref="P142:Q142"/>
    <mergeCell ref="A143:C143"/>
    <mergeCell ref="P143:Q143"/>
    <mergeCell ref="A76:D76"/>
    <mergeCell ref="E76:F76"/>
    <mergeCell ref="P76:R76"/>
    <mergeCell ref="S76:T76"/>
    <mergeCell ref="J134:K134"/>
    <mergeCell ref="X134:Y134"/>
    <mergeCell ref="J135:K135"/>
    <mergeCell ref="X135:Y135"/>
    <mergeCell ref="J136:K136"/>
    <mergeCell ref="X136:Y136"/>
    <mergeCell ref="J372:K372"/>
    <mergeCell ref="X372:Y372"/>
    <mergeCell ref="B374:C374"/>
    <mergeCell ref="D374:E374"/>
    <mergeCell ref="F374:G374"/>
    <mergeCell ref="K374:L374"/>
    <mergeCell ref="M374:N374"/>
    <mergeCell ref="B375:C375"/>
    <mergeCell ref="D375:E375"/>
    <mergeCell ref="F375:G375"/>
    <mergeCell ref="K375:L375"/>
    <mergeCell ref="M375:N375"/>
    <mergeCell ref="J365:K365"/>
    <mergeCell ref="X365:Y365"/>
    <mergeCell ref="A368:C368"/>
    <mergeCell ref="P368:Q368"/>
    <mergeCell ref="A369:C369"/>
    <mergeCell ref="P369:Q369"/>
    <mergeCell ref="A370:C370"/>
    <mergeCell ref="P370:Q370"/>
    <mergeCell ref="A371:C371"/>
    <mergeCell ref="P371:Q371"/>
    <mergeCell ref="A304:D304"/>
    <mergeCell ref="E304:F304"/>
    <mergeCell ref="P304:R304"/>
    <mergeCell ref="S304:T304"/>
    <mergeCell ref="J362:K362"/>
    <mergeCell ref="X362:Y362"/>
    <mergeCell ref="J363:K363"/>
    <mergeCell ref="X363:Y363"/>
    <mergeCell ref="J364:K364"/>
    <mergeCell ref="X364:Y364"/>
    <mergeCell ref="B525:C525"/>
    <mergeCell ref="D525:E525"/>
    <mergeCell ref="F525:G525"/>
    <mergeCell ref="K524:L524"/>
    <mergeCell ref="M524:N524"/>
    <mergeCell ref="K525:L525"/>
    <mergeCell ref="M525:N525"/>
    <mergeCell ref="A520:C520"/>
    <mergeCell ref="P520:Q520"/>
    <mergeCell ref="A521:C521"/>
    <mergeCell ref="P521:Q521"/>
    <mergeCell ref="J522:K522"/>
    <mergeCell ref="X522:Y522"/>
    <mergeCell ref="B524:C524"/>
    <mergeCell ref="D524:E524"/>
    <mergeCell ref="F524:G524"/>
    <mergeCell ref="J597:K597"/>
    <mergeCell ref="X597:Y597"/>
    <mergeCell ref="C599:D599"/>
    <mergeCell ref="E599:F599"/>
    <mergeCell ref="G599:H599"/>
    <mergeCell ref="P594:Q594"/>
    <mergeCell ref="A595:C595"/>
    <mergeCell ref="P595:Q595"/>
    <mergeCell ref="A596:C596"/>
    <mergeCell ref="P596:Q596"/>
    <mergeCell ref="A529:D529"/>
    <mergeCell ref="E529:F529"/>
    <mergeCell ref="P529:R529"/>
    <mergeCell ref="S529:T529"/>
    <mergeCell ref="J587:K587"/>
    <mergeCell ref="X587:Y587"/>
    <mergeCell ref="J588:K588"/>
    <mergeCell ref="X588:Y588"/>
    <mergeCell ref="J589:K589"/>
    <mergeCell ref="X589:Y589"/>
    <mergeCell ref="C600:D600"/>
    <mergeCell ref="E600:F600"/>
    <mergeCell ref="G600:H600"/>
    <mergeCell ref="A454:D454"/>
    <mergeCell ref="E454:F454"/>
    <mergeCell ref="P454:R454"/>
    <mergeCell ref="S454:T454"/>
    <mergeCell ref="J512:K512"/>
    <mergeCell ref="X512:Y512"/>
    <mergeCell ref="J513:K513"/>
    <mergeCell ref="X513:Y513"/>
    <mergeCell ref="J514:K514"/>
    <mergeCell ref="X514:Y514"/>
    <mergeCell ref="J515:K515"/>
    <mergeCell ref="X515:Y515"/>
    <mergeCell ref="A518:C518"/>
    <mergeCell ref="P518:Q518"/>
    <mergeCell ref="A519:C519"/>
    <mergeCell ref="P519:Q519"/>
    <mergeCell ref="J590:K590"/>
    <mergeCell ref="X590:Y590"/>
    <mergeCell ref="A593:C593"/>
    <mergeCell ref="P593:Q593"/>
    <mergeCell ref="A594:C594"/>
    <mergeCell ref="S603:T603"/>
    <mergeCell ref="X663:Y663"/>
    <mergeCell ref="J664:K664"/>
    <mergeCell ref="X664:Y664"/>
    <mergeCell ref="A603:D603"/>
    <mergeCell ref="E603:F603"/>
    <mergeCell ref="P603:R603"/>
    <mergeCell ref="J661:K661"/>
    <mergeCell ref="X661:Y661"/>
    <mergeCell ref="J662:K662"/>
    <mergeCell ref="X662:Y662"/>
    <mergeCell ref="J663:K663"/>
    <mergeCell ref="C673:D673"/>
    <mergeCell ref="E673:F673"/>
    <mergeCell ref="G673:H673"/>
    <mergeCell ref="C674:D674"/>
    <mergeCell ref="E674:F674"/>
    <mergeCell ref="G674:H674"/>
    <mergeCell ref="J671:K671"/>
    <mergeCell ref="X671:Y671"/>
    <mergeCell ref="A667:C667"/>
    <mergeCell ref="P667:Q667"/>
    <mergeCell ref="A668:C668"/>
    <mergeCell ref="P668:Q668"/>
    <mergeCell ref="A669:C669"/>
    <mergeCell ref="P669:Q669"/>
    <mergeCell ref="A670:C670"/>
    <mergeCell ref="P670:Q670"/>
    <mergeCell ref="X437:Y437"/>
    <mergeCell ref="J438:K438"/>
    <mergeCell ref="X438:Y438"/>
    <mergeCell ref="J439:K439"/>
    <mergeCell ref="X439:Y439"/>
    <mergeCell ref="A379:D379"/>
    <mergeCell ref="E379:F379"/>
    <mergeCell ref="P379:R379"/>
    <mergeCell ref="S379:T379"/>
    <mergeCell ref="J437:K437"/>
    <mergeCell ref="A445:C445"/>
    <mergeCell ref="P445:Q445"/>
    <mergeCell ref="A446:C446"/>
    <mergeCell ref="P446:Q446"/>
    <mergeCell ref="J447:K447"/>
    <mergeCell ref="J440:K440"/>
    <mergeCell ref="X440:Y440"/>
    <mergeCell ref="A443:C443"/>
    <mergeCell ref="P443:Q443"/>
    <mergeCell ref="A444:C444"/>
    <mergeCell ref="P444:Q444"/>
    <mergeCell ref="B450:C450"/>
    <mergeCell ref="D450:E450"/>
    <mergeCell ref="F450:G450"/>
    <mergeCell ref="K450:L450"/>
    <mergeCell ref="M450:N450"/>
    <mergeCell ref="X447:Y447"/>
    <mergeCell ref="B449:C449"/>
    <mergeCell ref="D449:E449"/>
    <mergeCell ref="F449:G449"/>
    <mergeCell ref="K449:L449"/>
    <mergeCell ref="M449:N449"/>
    <mergeCell ref="A226:D226"/>
    <mergeCell ref="E226:F226"/>
    <mergeCell ref="P226:R226"/>
    <mergeCell ref="S226:T226"/>
    <mergeCell ref="J284:K284"/>
    <mergeCell ref="X284:Y284"/>
    <mergeCell ref="J285:K285"/>
    <mergeCell ref="X285:Y285"/>
    <mergeCell ref="J286:K286"/>
    <mergeCell ref="X286:Y286"/>
    <mergeCell ref="B296:C296"/>
    <mergeCell ref="D296:E296"/>
    <mergeCell ref="F296:G296"/>
    <mergeCell ref="B297:C297"/>
    <mergeCell ref="D297:E297"/>
    <mergeCell ref="F297:G297"/>
    <mergeCell ref="J294:K294"/>
    <mergeCell ref="X294:Y294"/>
    <mergeCell ref="J287:K287"/>
    <mergeCell ref="X287:Y287"/>
    <mergeCell ref="A290:C290"/>
    <mergeCell ref="P290:Q290"/>
    <mergeCell ref="A291:C291"/>
    <mergeCell ref="P291:Q291"/>
    <mergeCell ref="A292:C292"/>
    <mergeCell ref="P292:Q292"/>
    <mergeCell ref="A293:C293"/>
    <mergeCell ref="P293:Q293"/>
    <mergeCell ref="A151:D151"/>
    <mergeCell ref="E151:F151"/>
    <mergeCell ref="P151:R151"/>
    <mergeCell ref="S151:T151"/>
    <mergeCell ref="J209:K209"/>
    <mergeCell ref="X209:Y209"/>
    <mergeCell ref="J210:K210"/>
    <mergeCell ref="X210:Y210"/>
    <mergeCell ref="J211:K211"/>
    <mergeCell ref="X211:Y211"/>
    <mergeCell ref="J219:K219"/>
    <mergeCell ref="X219:Y219"/>
    <mergeCell ref="B221:C221"/>
    <mergeCell ref="D221:E221"/>
    <mergeCell ref="F221:G221"/>
    <mergeCell ref="B222:C222"/>
    <mergeCell ref="D222:E222"/>
    <mergeCell ref="F222:G222"/>
    <mergeCell ref="J212:K212"/>
    <mergeCell ref="X212:Y212"/>
    <mergeCell ref="A215:C215"/>
    <mergeCell ref="P215:Q215"/>
    <mergeCell ref="A216:C216"/>
    <mergeCell ref="P216:Q216"/>
    <mergeCell ref="A217:C217"/>
    <mergeCell ref="P217:Q217"/>
    <mergeCell ref="A218:C218"/>
    <mergeCell ref="P218:Q218"/>
  </mergeCells>
  <phoneticPr fontId="10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西新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sakamoto</dc:creator>
  <cp:keywords/>
  <dc:description/>
  <cp:lastModifiedBy>浩一 坂本</cp:lastModifiedBy>
  <cp:revision/>
  <dcterms:created xsi:type="dcterms:W3CDTF">2022-10-04T13:26:53Z</dcterms:created>
  <dcterms:modified xsi:type="dcterms:W3CDTF">2026-05-18T13:01:21Z</dcterms:modified>
  <cp:category/>
  <cp:contentStatus/>
</cp:coreProperties>
</file>