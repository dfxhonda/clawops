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ドキュメント/"/>
    </mc:Choice>
  </mc:AlternateContent>
  <xr:revisionPtr revIDLastSave="451" documentId="8_{B51B1838-43C0-4F59-B871-FEC4E73AD200}" xr6:coauthVersionLast="47" xr6:coauthVersionMax="47" xr10:uidLastSave="{B1DAFE81-710D-2C46-AF5E-B226BD134A4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RGlGLzZ55DEJt98NC+NyCA2vNpri7Ffh+DPZGskf+w="/>
    </ext>
  </extLst>
</workbook>
</file>

<file path=xl/calcChain.xml><?xml version="1.0" encoding="utf-8"?>
<calcChain xmlns="http://schemas.openxmlformats.org/spreadsheetml/2006/main">
  <c r="A60" i="1" l="1"/>
  <c r="D28" i="1"/>
  <c r="J11" i="1"/>
  <c r="D39" i="1"/>
  <c r="D40" i="1"/>
  <c r="D41" i="1"/>
  <c r="D42" i="1"/>
  <c r="AT12" i="1"/>
  <c r="BH12" i="1"/>
  <c r="B39" i="1"/>
  <c r="D35" i="1"/>
  <c r="D36" i="1"/>
  <c r="D37" i="1"/>
  <c r="D38" i="1"/>
  <c r="AT11" i="1"/>
  <c r="BH11" i="1"/>
  <c r="B35" i="1"/>
  <c r="D31" i="1"/>
  <c r="D32" i="1"/>
  <c r="D33" i="1"/>
  <c r="D34" i="1"/>
  <c r="AT10" i="1"/>
  <c r="BH10" i="1"/>
  <c r="B31" i="1"/>
  <c r="D27" i="1"/>
  <c r="D29" i="1"/>
  <c r="D30" i="1"/>
  <c r="AT9" i="1"/>
  <c r="BH9" i="1"/>
  <c r="B27" i="1"/>
  <c r="D23" i="1"/>
  <c r="D24" i="1"/>
  <c r="D25" i="1"/>
  <c r="D26" i="1"/>
  <c r="BH8" i="1"/>
  <c r="AT8" i="1"/>
  <c r="B23" i="1"/>
  <c r="D19" i="1"/>
  <c r="D20" i="1"/>
  <c r="D21" i="1"/>
  <c r="D22" i="1"/>
  <c r="AT7" i="1"/>
  <c r="BH7" i="1"/>
  <c r="B19" i="1"/>
  <c r="D15" i="1"/>
  <c r="D16" i="1"/>
  <c r="D17" i="1"/>
  <c r="D18" i="1"/>
  <c r="AT6" i="1"/>
  <c r="BH6" i="1"/>
  <c r="B15" i="1"/>
  <c r="D11" i="1"/>
  <c r="D12" i="1"/>
  <c r="D13" i="1"/>
  <c r="D14" i="1"/>
  <c r="AT5" i="1"/>
  <c r="BH5" i="1"/>
  <c r="B11" i="1"/>
  <c r="B7" i="1"/>
  <c r="AL12" i="1"/>
  <c r="AF12" i="1"/>
  <c r="AM12" i="1"/>
  <c r="AL13" i="1"/>
  <c r="AF13" i="1"/>
  <c r="AM13" i="1"/>
  <c r="AL14" i="1"/>
  <c r="AF14" i="1"/>
  <c r="AM14" i="1"/>
  <c r="AL15" i="1"/>
  <c r="AF15" i="1"/>
  <c r="AM15" i="1"/>
  <c r="AF16" i="1"/>
  <c r="AM16" i="1"/>
  <c r="X7" i="1"/>
  <c r="R7" i="1"/>
  <c r="Y7" i="1"/>
  <c r="X8" i="1"/>
  <c r="R8" i="1"/>
  <c r="Y8" i="1"/>
  <c r="X14" i="1"/>
  <c r="R14" i="1"/>
  <c r="Y14" i="1"/>
  <c r="X15" i="1"/>
  <c r="R15" i="1"/>
  <c r="Y15" i="1"/>
  <c r="K17" i="1"/>
  <c r="J13" i="1"/>
  <c r="K13" i="1"/>
  <c r="V7" i="1"/>
  <c r="Z7" i="1"/>
  <c r="AA7" i="1"/>
  <c r="V8" i="1"/>
  <c r="Z8" i="1"/>
  <c r="AA8" i="1"/>
  <c r="X9" i="1"/>
  <c r="R9" i="1"/>
  <c r="Y9" i="1"/>
  <c r="V9" i="1"/>
  <c r="Z9" i="1"/>
  <c r="AA9" i="1"/>
  <c r="X10" i="1"/>
  <c r="R10" i="1"/>
  <c r="Y10" i="1"/>
  <c r="V10" i="1"/>
  <c r="Z10" i="1"/>
  <c r="AA10" i="1"/>
  <c r="J7" i="1"/>
  <c r="D7" i="1"/>
  <c r="K7" i="1"/>
  <c r="L7" i="1"/>
  <c r="M7" i="1"/>
  <c r="J8" i="1"/>
  <c r="D8" i="1"/>
  <c r="K8" i="1"/>
  <c r="L8" i="1"/>
  <c r="M8" i="1"/>
  <c r="J9" i="1"/>
  <c r="D9" i="1"/>
  <c r="K9" i="1"/>
  <c r="L9" i="1"/>
  <c r="M9" i="1"/>
  <c r="J10" i="1"/>
  <c r="D10" i="1"/>
  <c r="K10" i="1"/>
  <c r="L10" i="1"/>
  <c r="M10" i="1"/>
  <c r="BV4" i="1"/>
  <c r="BX4" i="1"/>
  <c r="BZ4" i="1"/>
  <c r="CB4" i="1"/>
  <c r="CC4" i="1"/>
  <c r="CD4" i="1"/>
  <c r="CE4" i="1"/>
  <c r="BV5" i="1"/>
  <c r="BX5" i="1"/>
  <c r="BZ5" i="1"/>
  <c r="CB5" i="1"/>
  <c r="CC5" i="1"/>
  <c r="CD5" i="1"/>
  <c r="CE5" i="1"/>
  <c r="BV6" i="1"/>
  <c r="BX6" i="1"/>
  <c r="BZ6" i="1"/>
  <c r="CB6" i="1"/>
  <c r="CC6" i="1"/>
  <c r="CD6" i="1"/>
  <c r="CE6" i="1"/>
  <c r="BV7" i="1"/>
  <c r="BX7" i="1"/>
  <c r="BZ7" i="1"/>
  <c r="CB7" i="1"/>
  <c r="CC7" i="1"/>
  <c r="CD7" i="1"/>
  <c r="CE7" i="1"/>
  <c r="BV8" i="1"/>
  <c r="BX8" i="1"/>
  <c r="BZ8" i="1"/>
  <c r="CB8" i="1"/>
  <c r="CC8" i="1"/>
  <c r="CD8" i="1"/>
  <c r="CE8" i="1"/>
  <c r="BV9" i="1"/>
  <c r="BX9" i="1"/>
  <c r="BZ9" i="1"/>
  <c r="CB9" i="1"/>
  <c r="CC9" i="1"/>
  <c r="CD9" i="1"/>
  <c r="CE9" i="1"/>
  <c r="BV10" i="1"/>
  <c r="BX10" i="1"/>
  <c r="BZ10" i="1"/>
  <c r="CB10" i="1"/>
  <c r="CC10" i="1"/>
  <c r="CD10" i="1"/>
  <c r="CE10" i="1"/>
  <c r="BV11" i="1"/>
  <c r="BX11" i="1"/>
  <c r="BZ11" i="1"/>
  <c r="CB11" i="1"/>
  <c r="CC11" i="1"/>
  <c r="CD11" i="1"/>
  <c r="CE11" i="1"/>
  <c r="BH4" i="1"/>
  <c r="BJ4" i="1"/>
  <c r="BL4" i="1"/>
  <c r="BN4" i="1"/>
  <c r="BO4" i="1"/>
  <c r="BP4" i="1"/>
  <c r="BQ4" i="1"/>
  <c r="BJ5" i="1"/>
  <c r="BL5" i="1"/>
  <c r="BN5" i="1"/>
  <c r="BO5" i="1"/>
  <c r="BP5" i="1"/>
  <c r="BQ5" i="1"/>
  <c r="BJ6" i="1"/>
  <c r="BL6" i="1"/>
  <c r="BN6" i="1"/>
  <c r="BO6" i="1"/>
  <c r="BP6" i="1"/>
  <c r="BQ6" i="1"/>
  <c r="BJ7" i="1"/>
  <c r="BN7" i="1"/>
  <c r="BO7" i="1"/>
  <c r="BP7" i="1"/>
  <c r="BQ7" i="1"/>
  <c r="BJ8" i="1"/>
  <c r="BL8" i="1"/>
  <c r="BN8" i="1"/>
  <c r="BO8" i="1"/>
  <c r="BP8" i="1"/>
  <c r="BQ8" i="1"/>
  <c r="BJ9" i="1"/>
  <c r="BL9" i="1"/>
  <c r="BN9" i="1"/>
  <c r="BO9" i="1"/>
  <c r="BP9" i="1"/>
  <c r="BQ9" i="1"/>
  <c r="BJ10" i="1"/>
  <c r="BL10" i="1"/>
  <c r="BN10" i="1"/>
  <c r="BO10" i="1"/>
  <c r="BP10" i="1"/>
  <c r="BQ10" i="1"/>
  <c r="BJ11" i="1"/>
  <c r="BL11" i="1"/>
  <c r="BN11" i="1"/>
  <c r="BO11" i="1"/>
  <c r="BP11" i="1"/>
  <c r="BQ11" i="1"/>
  <c r="AL7" i="1"/>
  <c r="AF7" i="1"/>
  <c r="AM7" i="1"/>
  <c r="AJ7" i="1"/>
  <c r="AN7" i="1"/>
  <c r="AO7" i="1"/>
  <c r="AL8" i="1"/>
  <c r="AF8" i="1"/>
  <c r="AM8" i="1"/>
  <c r="AJ8" i="1"/>
  <c r="AN8" i="1"/>
  <c r="AO8" i="1"/>
  <c r="AL9" i="1"/>
  <c r="AF9" i="1"/>
  <c r="AM9" i="1"/>
  <c r="AJ9" i="1"/>
  <c r="AN9" i="1"/>
  <c r="AO9" i="1"/>
  <c r="AL10" i="1"/>
  <c r="AF10" i="1"/>
  <c r="AM10" i="1"/>
  <c r="AJ10" i="1"/>
  <c r="AN10" i="1"/>
  <c r="AO10" i="1"/>
  <c r="AH7" i="1"/>
  <c r="AH8" i="1"/>
  <c r="AH9" i="1"/>
  <c r="AH10" i="1"/>
  <c r="AF11" i="1"/>
  <c r="AH11" i="1"/>
  <c r="AJ11" i="1"/>
  <c r="AL11" i="1"/>
  <c r="AM11" i="1"/>
  <c r="AN11" i="1"/>
  <c r="AO11" i="1"/>
  <c r="AH12" i="1"/>
  <c r="AJ12" i="1"/>
  <c r="AN12" i="1"/>
  <c r="AO12" i="1"/>
  <c r="AH13" i="1"/>
  <c r="AJ13" i="1"/>
  <c r="AN13" i="1"/>
  <c r="AO13" i="1"/>
  <c r="AH14" i="1"/>
  <c r="AJ14" i="1"/>
  <c r="AN14" i="1"/>
  <c r="AO14" i="1"/>
  <c r="AH15" i="1"/>
  <c r="AJ15" i="1"/>
  <c r="AN15" i="1"/>
  <c r="AO15" i="1"/>
  <c r="AH16" i="1"/>
  <c r="AJ16" i="1"/>
  <c r="AL16" i="1"/>
  <c r="AN16" i="1"/>
  <c r="AO16" i="1"/>
  <c r="AF17" i="1"/>
  <c r="AH17" i="1"/>
  <c r="AJ17" i="1"/>
  <c r="AL17" i="1"/>
  <c r="AM17" i="1"/>
  <c r="AN17" i="1"/>
  <c r="AO17" i="1"/>
  <c r="AF18" i="1"/>
  <c r="AH18" i="1"/>
  <c r="AJ18" i="1"/>
  <c r="AL18" i="1"/>
  <c r="AM18" i="1"/>
  <c r="AN18" i="1"/>
  <c r="AO18" i="1"/>
  <c r="AF19" i="1"/>
  <c r="AH19" i="1"/>
  <c r="AJ19" i="1"/>
  <c r="AL19" i="1"/>
  <c r="AM19" i="1"/>
  <c r="AN19" i="1"/>
  <c r="AO19" i="1"/>
  <c r="AF20" i="1"/>
  <c r="AH20" i="1"/>
  <c r="AJ20" i="1"/>
  <c r="AL20" i="1"/>
  <c r="AM20" i="1"/>
  <c r="AN20" i="1"/>
  <c r="AO20" i="1"/>
  <c r="AF21" i="1"/>
  <c r="AH21" i="1"/>
  <c r="AJ21" i="1"/>
  <c r="AL21" i="1"/>
  <c r="AM21" i="1"/>
  <c r="AN21" i="1"/>
  <c r="AO21" i="1"/>
  <c r="AF22" i="1"/>
  <c r="AH22" i="1"/>
  <c r="AJ22" i="1"/>
  <c r="AL22" i="1"/>
  <c r="AM22" i="1"/>
  <c r="AN22" i="1"/>
  <c r="AO22" i="1"/>
  <c r="AF23" i="1"/>
  <c r="AH23" i="1"/>
  <c r="AJ23" i="1"/>
  <c r="AL23" i="1"/>
  <c r="AM23" i="1"/>
  <c r="AN23" i="1"/>
  <c r="AO23" i="1"/>
  <c r="AF24" i="1"/>
  <c r="AH24" i="1"/>
  <c r="AJ24" i="1"/>
  <c r="AL24" i="1"/>
  <c r="AM24" i="1"/>
  <c r="AN24" i="1"/>
  <c r="AO24" i="1"/>
  <c r="AF25" i="1"/>
  <c r="AH25" i="1"/>
  <c r="AJ25" i="1"/>
  <c r="AL25" i="1"/>
  <c r="AM25" i="1"/>
  <c r="AN25" i="1"/>
  <c r="AO25" i="1"/>
  <c r="AF26" i="1"/>
  <c r="AH26" i="1"/>
  <c r="AJ26" i="1"/>
  <c r="AL26" i="1"/>
  <c r="AM26" i="1"/>
  <c r="AN26" i="1"/>
  <c r="AO26" i="1"/>
  <c r="AF27" i="1"/>
  <c r="AH27" i="1"/>
  <c r="AJ27" i="1"/>
  <c r="AL27" i="1"/>
  <c r="AM27" i="1"/>
  <c r="AN27" i="1"/>
  <c r="AO27" i="1"/>
  <c r="AF28" i="1"/>
  <c r="AH28" i="1"/>
  <c r="AJ28" i="1"/>
  <c r="AL28" i="1"/>
  <c r="AM28" i="1"/>
  <c r="AN28" i="1"/>
  <c r="AO28" i="1"/>
  <c r="AF29" i="1"/>
  <c r="AH29" i="1"/>
  <c r="AJ29" i="1"/>
  <c r="AL29" i="1"/>
  <c r="AM29" i="1"/>
  <c r="AN29" i="1"/>
  <c r="AO29" i="1"/>
  <c r="AF30" i="1"/>
  <c r="AH30" i="1"/>
  <c r="AJ30" i="1"/>
  <c r="AL30" i="1"/>
  <c r="AM30" i="1"/>
  <c r="AN30" i="1"/>
  <c r="AO30" i="1"/>
  <c r="AF31" i="1"/>
  <c r="AH31" i="1"/>
  <c r="AJ31" i="1"/>
  <c r="AL31" i="1"/>
  <c r="AM31" i="1"/>
  <c r="AN31" i="1"/>
  <c r="AO31" i="1"/>
  <c r="AF32" i="1"/>
  <c r="AH32" i="1"/>
  <c r="AJ32" i="1"/>
  <c r="AL32" i="1"/>
  <c r="AM32" i="1"/>
  <c r="AN32" i="1"/>
  <c r="AO32" i="1"/>
  <c r="AF33" i="1"/>
  <c r="AH33" i="1"/>
  <c r="AJ33" i="1"/>
  <c r="AL33" i="1"/>
  <c r="AM33" i="1"/>
  <c r="AN33" i="1"/>
  <c r="AO33" i="1"/>
  <c r="AF34" i="1"/>
  <c r="AH34" i="1"/>
  <c r="AJ34" i="1"/>
  <c r="AL34" i="1"/>
  <c r="AM34" i="1"/>
  <c r="AN34" i="1"/>
  <c r="AO34" i="1"/>
  <c r="AF35" i="1"/>
  <c r="AH35" i="1"/>
  <c r="AJ35" i="1"/>
  <c r="AL35" i="1"/>
  <c r="AM35" i="1"/>
  <c r="AN35" i="1"/>
  <c r="AO35" i="1"/>
  <c r="AF36" i="1"/>
  <c r="AH36" i="1"/>
  <c r="AJ36" i="1"/>
  <c r="AL36" i="1"/>
  <c r="AM36" i="1"/>
  <c r="AN36" i="1"/>
  <c r="AO36" i="1"/>
  <c r="AF37" i="1"/>
  <c r="AH37" i="1"/>
  <c r="AJ37" i="1"/>
  <c r="AL37" i="1"/>
  <c r="AM37" i="1"/>
  <c r="AN37" i="1"/>
  <c r="AO37" i="1"/>
  <c r="AF38" i="1"/>
  <c r="AH38" i="1"/>
  <c r="AJ38" i="1"/>
  <c r="AL38" i="1"/>
  <c r="AM38" i="1"/>
  <c r="AN38" i="1"/>
  <c r="AO38" i="1"/>
  <c r="T7" i="1"/>
  <c r="T8" i="1"/>
  <c r="T9" i="1"/>
  <c r="T10" i="1"/>
  <c r="R11" i="1"/>
  <c r="T11" i="1"/>
  <c r="V11" i="1"/>
  <c r="X11" i="1"/>
  <c r="Y11" i="1"/>
  <c r="Z11" i="1"/>
  <c r="AA11" i="1"/>
  <c r="R12" i="1"/>
  <c r="T12" i="1"/>
  <c r="V12" i="1"/>
  <c r="X12" i="1"/>
  <c r="Y12" i="1"/>
  <c r="Z12" i="1"/>
  <c r="AA12" i="1"/>
  <c r="R13" i="1"/>
  <c r="T13" i="1"/>
  <c r="V13" i="1"/>
  <c r="X13" i="1"/>
  <c r="Y13" i="1"/>
  <c r="Z13" i="1"/>
  <c r="AA13" i="1"/>
  <c r="T14" i="1"/>
  <c r="V14" i="1"/>
  <c r="Z14" i="1"/>
  <c r="AA14" i="1"/>
  <c r="T15" i="1"/>
  <c r="V15" i="1"/>
  <c r="Z15" i="1"/>
  <c r="AA15" i="1"/>
  <c r="R16" i="1"/>
  <c r="T16" i="1"/>
  <c r="V16" i="1"/>
  <c r="X16" i="1"/>
  <c r="Y16" i="1"/>
  <c r="Z16" i="1"/>
  <c r="AA16" i="1"/>
  <c r="R17" i="1"/>
  <c r="T17" i="1"/>
  <c r="V17" i="1"/>
  <c r="X17" i="1"/>
  <c r="Y17" i="1"/>
  <c r="Z17" i="1"/>
  <c r="AA17" i="1"/>
  <c r="R18" i="1"/>
  <c r="T18" i="1"/>
  <c r="V18" i="1"/>
  <c r="X18" i="1"/>
  <c r="Y18" i="1"/>
  <c r="Z18" i="1"/>
  <c r="AA18" i="1"/>
  <c r="R19" i="1"/>
  <c r="T19" i="1"/>
  <c r="V19" i="1"/>
  <c r="X19" i="1"/>
  <c r="Y19" i="1"/>
  <c r="Z19" i="1"/>
  <c r="AA19" i="1"/>
  <c r="R20" i="1"/>
  <c r="T20" i="1"/>
  <c r="V20" i="1"/>
  <c r="X20" i="1"/>
  <c r="Y20" i="1"/>
  <c r="Z20" i="1"/>
  <c r="AA20" i="1"/>
  <c r="R21" i="1"/>
  <c r="T21" i="1"/>
  <c r="V21" i="1"/>
  <c r="X21" i="1"/>
  <c r="Y21" i="1"/>
  <c r="Z21" i="1"/>
  <c r="AA21" i="1"/>
  <c r="R22" i="1"/>
  <c r="T22" i="1"/>
  <c r="V22" i="1"/>
  <c r="X22" i="1"/>
  <c r="Y22" i="1"/>
  <c r="Z22" i="1"/>
  <c r="AA22" i="1"/>
  <c r="R23" i="1"/>
  <c r="T23" i="1"/>
  <c r="V23" i="1"/>
  <c r="X23" i="1"/>
  <c r="Y23" i="1"/>
  <c r="Z23" i="1"/>
  <c r="AA23" i="1"/>
  <c r="R24" i="1"/>
  <c r="T24" i="1"/>
  <c r="V24" i="1"/>
  <c r="X24" i="1"/>
  <c r="Y24" i="1"/>
  <c r="Z24" i="1"/>
  <c r="AA24" i="1"/>
  <c r="R25" i="1"/>
  <c r="T25" i="1"/>
  <c r="V25" i="1"/>
  <c r="X25" i="1"/>
  <c r="Y25" i="1"/>
  <c r="Z25" i="1"/>
  <c r="AA25" i="1"/>
  <c r="R26" i="1"/>
  <c r="T26" i="1"/>
  <c r="V26" i="1"/>
  <c r="X26" i="1"/>
  <c r="Y26" i="1"/>
  <c r="Z26" i="1"/>
  <c r="AA26" i="1"/>
  <c r="R27" i="1"/>
  <c r="T27" i="1"/>
  <c r="V27" i="1"/>
  <c r="X27" i="1"/>
  <c r="Y27" i="1"/>
  <c r="Z27" i="1"/>
  <c r="AA27" i="1"/>
  <c r="R28" i="1"/>
  <c r="T28" i="1"/>
  <c r="V28" i="1"/>
  <c r="X28" i="1"/>
  <c r="Y28" i="1"/>
  <c r="Z28" i="1"/>
  <c r="AA28" i="1"/>
  <c r="R29" i="1"/>
  <c r="T29" i="1"/>
  <c r="V29" i="1"/>
  <c r="X29" i="1"/>
  <c r="Y29" i="1"/>
  <c r="Z29" i="1"/>
  <c r="AA29" i="1"/>
  <c r="R30" i="1"/>
  <c r="T30" i="1"/>
  <c r="V30" i="1"/>
  <c r="X30" i="1"/>
  <c r="Y30" i="1"/>
  <c r="Z30" i="1"/>
  <c r="AA30" i="1"/>
  <c r="R31" i="1"/>
  <c r="T31" i="1"/>
  <c r="V31" i="1"/>
  <c r="X31" i="1"/>
  <c r="Y31" i="1"/>
  <c r="Z31" i="1"/>
  <c r="AA31" i="1"/>
  <c r="R32" i="1"/>
  <c r="T32" i="1"/>
  <c r="V32" i="1"/>
  <c r="X32" i="1"/>
  <c r="Y32" i="1"/>
  <c r="Z32" i="1"/>
  <c r="AA32" i="1"/>
  <c r="R33" i="1"/>
  <c r="T33" i="1"/>
  <c r="V33" i="1"/>
  <c r="X33" i="1"/>
  <c r="Y33" i="1"/>
  <c r="Z33" i="1"/>
  <c r="AA33" i="1"/>
  <c r="R34" i="1"/>
  <c r="T34" i="1"/>
  <c r="V34" i="1"/>
  <c r="X34" i="1"/>
  <c r="Y34" i="1"/>
  <c r="Z34" i="1"/>
  <c r="AA34" i="1"/>
  <c r="R35" i="1"/>
  <c r="T35" i="1"/>
  <c r="V35" i="1"/>
  <c r="X35" i="1"/>
  <c r="Y35" i="1"/>
  <c r="Z35" i="1"/>
  <c r="AA35" i="1"/>
  <c r="R36" i="1"/>
  <c r="T36" i="1"/>
  <c r="V36" i="1"/>
  <c r="X36" i="1"/>
  <c r="Y36" i="1"/>
  <c r="Z36" i="1"/>
  <c r="AA36" i="1"/>
  <c r="R37" i="1"/>
  <c r="T37" i="1"/>
  <c r="V37" i="1"/>
  <c r="X37" i="1"/>
  <c r="Y37" i="1"/>
  <c r="Z37" i="1"/>
  <c r="AA37" i="1"/>
  <c r="R38" i="1"/>
  <c r="T38" i="1"/>
  <c r="V38" i="1"/>
  <c r="X38" i="1"/>
  <c r="Y38" i="1"/>
  <c r="Z38" i="1"/>
  <c r="AA38" i="1"/>
  <c r="J15" i="1"/>
  <c r="J19" i="1"/>
  <c r="J23" i="1"/>
  <c r="K11" i="1"/>
  <c r="K15" i="1"/>
  <c r="K19" i="1"/>
  <c r="K23" i="1"/>
  <c r="H23" i="1"/>
  <c r="L23" i="1"/>
  <c r="J16" i="1"/>
  <c r="J20" i="1"/>
  <c r="J24" i="1"/>
  <c r="K12" i="1"/>
  <c r="K16" i="1"/>
  <c r="K20" i="1"/>
  <c r="K24" i="1"/>
  <c r="H24" i="1"/>
  <c r="L24" i="1"/>
  <c r="J17" i="1"/>
  <c r="J21" i="1"/>
  <c r="J25" i="1"/>
  <c r="K21" i="1"/>
  <c r="K25" i="1"/>
  <c r="H25" i="1"/>
  <c r="L25" i="1"/>
  <c r="J14" i="1"/>
  <c r="J18" i="1"/>
  <c r="J22" i="1"/>
  <c r="J26" i="1"/>
  <c r="K14" i="1"/>
  <c r="K18" i="1"/>
  <c r="K22" i="1"/>
  <c r="K26" i="1"/>
  <c r="H26" i="1"/>
  <c r="L26" i="1"/>
  <c r="D43" i="1"/>
  <c r="D44" i="1"/>
  <c r="D45" i="1"/>
  <c r="D46" i="1"/>
  <c r="D47" i="1"/>
  <c r="D48" i="1"/>
  <c r="D49" i="1"/>
  <c r="D50" i="1"/>
  <c r="D51" i="1"/>
  <c r="D52" i="1"/>
  <c r="D53" i="1"/>
  <c r="D54" i="1"/>
  <c r="D59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9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9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9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9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9" i="1"/>
  <c r="D71" i="1"/>
  <c r="E71" i="1"/>
  <c r="D72" i="1"/>
  <c r="E72" i="1"/>
  <c r="G72" i="1"/>
  <c r="H11" i="1"/>
  <c r="L11" i="1"/>
  <c r="H12" i="1"/>
  <c r="L12" i="1"/>
  <c r="H13" i="1"/>
  <c r="L13" i="1"/>
  <c r="H14" i="1"/>
  <c r="L14" i="1"/>
  <c r="H15" i="1"/>
  <c r="L15" i="1"/>
  <c r="H16" i="1"/>
  <c r="L16" i="1"/>
  <c r="H17" i="1"/>
  <c r="L17" i="1"/>
  <c r="H18" i="1"/>
  <c r="L18" i="1"/>
  <c r="H19" i="1"/>
  <c r="L19" i="1"/>
  <c r="H20" i="1"/>
  <c r="L20" i="1"/>
  <c r="H21" i="1"/>
  <c r="L21" i="1"/>
  <c r="H22" i="1"/>
  <c r="L22" i="1"/>
  <c r="H27" i="1"/>
  <c r="K27" i="1"/>
  <c r="L27" i="1"/>
  <c r="H28" i="1"/>
  <c r="K28" i="1"/>
  <c r="L28" i="1"/>
  <c r="H29" i="1"/>
  <c r="K29" i="1"/>
  <c r="L29" i="1"/>
  <c r="H30" i="1"/>
  <c r="K30" i="1"/>
  <c r="L30" i="1"/>
  <c r="H31" i="1"/>
  <c r="K31" i="1"/>
  <c r="L31" i="1"/>
  <c r="H32" i="1"/>
  <c r="K32" i="1"/>
  <c r="L32" i="1"/>
  <c r="H33" i="1"/>
  <c r="L33" i="1"/>
  <c r="H34" i="1"/>
  <c r="K34" i="1"/>
  <c r="L34" i="1"/>
  <c r="H35" i="1"/>
  <c r="K35" i="1"/>
  <c r="L35" i="1"/>
  <c r="H36" i="1"/>
  <c r="K36" i="1"/>
  <c r="L36" i="1"/>
  <c r="H37" i="1"/>
  <c r="K37" i="1"/>
  <c r="L37" i="1"/>
  <c r="H38" i="1"/>
  <c r="K38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9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9" i="1"/>
  <c r="BA4" i="1"/>
  <c r="AX4" i="1"/>
  <c r="BB4" i="1"/>
  <c r="BA5" i="1"/>
  <c r="AX5" i="1"/>
  <c r="BB5" i="1"/>
  <c r="BA6" i="1"/>
  <c r="AX6" i="1"/>
  <c r="BB6" i="1"/>
  <c r="BA7" i="1"/>
  <c r="AX7" i="1"/>
  <c r="BB7" i="1"/>
  <c r="BA8" i="1"/>
  <c r="AX8" i="1"/>
  <c r="BB8" i="1"/>
  <c r="BA9" i="1"/>
  <c r="AX9" i="1"/>
  <c r="BB9" i="1"/>
  <c r="BA10" i="1"/>
  <c r="AX10" i="1"/>
  <c r="BB10" i="1"/>
  <c r="BA11" i="1"/>
  <c r="AX11" i="1"/>
  <c r="BB11" i="1"/>
  <c r="BA12" i="1"/>
  <c r="BB12" i="1"/>
  <c r="BA13" i="1"/>
  <c r="BB13" i="1"/>
  <c r="BA14" i="1"/>
  <c r="BB14" i="1"/>
  <c r="BB15" i="1"/>
  <c r="BB16" i="1"/>
  <c r="BB17" i="1"/>
  <c r="BB18" i="1"/>
  <c r="BA19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60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9" i="1"/>
  <c r="BO12" i="1"/>
  <c r="BP12" i="1"/>
  <c r="BO13" i="1"/>
  <c r="BP13" i="1"/>
  <c r="BO14" i="1"/>
  <c r="BP14" i="1"/>
  <c r="BP15" i="1"/>
  <c r="BP16" i="1"/>
  <c r="BP17" i="1"/>
  <c r="BO18" i="1"/>
  <c r="BP18" i="1"/>
  <c r="BO19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60" i="1"/>
  <c r="D73" i="1"/>
  <c r="E73" i="1"/>
  <c r="D74" i="1"/>
  <c r="E74" i="1"/>
  <c r="L58" i="1"/>
  <c r="Z58" i="1"/>
  <c r="AN58" i="1"/>
  <c r="BC59" i="1"/>
  <c r="BQ59" i="1"/>
  <c r="G74" i="1"/>
  <c r="D65" i="1"/>
  <c r="E65" i="1"/>
  <c r="H39" i="1"/>
  <c r="H43" i="1"/>
  <c r="H47" i="1"/>
  <c r="H51" i="1"/>
  <c r="H65" i="1"/>
  <c r="G65" i="1"/>
  <c r="J65" i="1"/>
  <c r="K65" i="1"/>
  <c r="L65" i="1"/>
  <c r="M65" i="1"/>
  <c r="R65" i="1"/>
  <c r="S65" i="1"/>
  <c r="V39" i="1"/>
  <c r="V43" i="1"/>
  <c r="V47" i="1"/>
  <c r="V51" i="1"/>
  <c r="V65" i="1"/>
  <c r="U65" i="1"/>
  <c r="X65" i="1"/>
  <c r="Y65" i="1"/>
  <c r="Z65" i="1"/>
  <c r="AA65" i="1"/>
  <c r="AF65" i="1"/>
  <c r="AG65" i="1"/>
  <c r="AJ39" i="1"/>
  <c r="AJ43" i="1"/>
  <c r="AJ47" i="1"/>
  <c r="AJ51" i="1"/>
  <c r="AJ65" i="1"/>
  <c r="AI65" i="1"/>
  <c r="AL65" i="1"/>
  <c r="AM65" i="1"/>
  <c r="AN65" i="1"/>
  <c r="AO65" i="1"/>
  <c r="D66" i="1"/>
  <c r="E66" i="1"/>
  <c r="H40" i="1"/>
  <c r="H44" i="1"/>
  <c r="H48" i="1"/>
  <c r="H52" i="1"/>
  <c r="H66" i="1"/>
  <c r="G66" i="1"/>
  <c r="J66" i="1"/>
  <c r="K66" i="1"/>
  <c r="L66" i="1"/>
  <c r="M66" i="1"/>
  <c r="R66" i="1"/>
  <c r="S66" i="1"/>
  <c r="V40" i="1"/>
  <c r="V44" i="1"/>
  <c r="V48" i="1"/>
  <c r="V52" i="1"/>
  <c r="V66" i="1"/>
  <c r="U66" i="1"/>
  <c r="X66" i="1"/>
  <c r="Y66" i="1"/>
  <c r="Z66" i="1"/>
  <c r="AA66" i="1"/>
  <c r="AF66" i="1"/>
  <c r="AG66" i="1"/>
  <c r="AJ40" i="1"/>
  <c r="AJ44" i="1"/>
  <c r="AJ48" i="1"/>
  <c r="AJ52" i="1"/>
  <c r="AJ66" i="1"/>
  <c r="AI66" i="1"/>
  <c r="AL66" i="1"/>
  <c r="AM66" i="1"/>
  <c r="AN66" i="1"/>
  <c r="AO66" i="1"/>
  <c r="D67" i="1"/>
  <c r="E67" i="1"/>
  <c r="H41" i="1"/>
  <c r="H45" i="1"/>
  <c r="H49" i="1"/>
  <c r="H53" i="1"/>
  <c r="H67" i="1"/>
  <c r="G67" i="1"/>
  <c r="J67" i="1"/>
  <c r="K67" i="1"/>
  <c r="L67" i="1"/>
  <c r="M67" i="1"/>
  <c r="R67" i="1"/>
  <c r="S67" i="1"/>
  <c r="V41" i="1"/>
  <c r="V45" i="1"/>
  <c r="V49" i="1"/>
  <c r="V53" i="1"/>
  <c r="V67" i="1"/>
  <c r="U67" i="1"/>
  <c r="X67" i="1"/>
  <c r="Y67" i="1"/>
  <c r="Z67" i="1"/>
  <c r="AA67" i="1"/>
  <c r="AF67" i="1"/>
  <c r="AG67" i="1"/>
  <c r="AJ41" i="1"/>
  <c r="AJ45" i="1"/>
  <c r="AJ49" i="1"/>
  <c r="AJ53" i="1"/>
  <c r="AJ67" i="1"/>
  <c r="AI67" i="1"/>
  <c r="AL67" i="1"/>
  <c r="AM67" i="1"/>
  <c r="AN67" i="1"/>
  <c r="AO67" i="1"/>
  <c r="D68" i="1"/>
  <c r="E68" i="1"/>
  <c r="H42" i="1"/>
  <c r="H46" i="1"/>
  <c r="H50" i="1"/>
  <c r="H54" i="1"/>
  <c r="H68" i="1"/>
  <c r="G68" i="1"/>
  <c r="J68" i="1"/>
  <c r="K68" i="1"/>
  <c r="L68" i="1"/>
  <c r="M68" i="1"/>
  <c r="R68" i="1"/>
  <c r="S68" i="1"/>
  <c r="V42" i="1"/>
  <c r="V46" i="1"/>
  <c r="V50" i="1"/>
  <c r="V54" i="1"/>
  <c r="V68" i="1"/>
  <c r="U68" i="1"/>
  <c r="X68" i="1"/>
  <c r="Y68" i="1"/>
  <c r="Z68" i="1"/>
  <c r="AA68" i="1"/>
  <c r="AF68" i="1"/>
  <c r="AG68" i="1"/>
  <c r="AJ42" i="1"/>
  <c r="AJ46" i="1"/>
  <c r="AJ50" i="1"/>
  <c r="AJ54" i="1"/>
  <c r="AJ68" i="1"/>
  <c r="AI68" i="1"/>
  <c r="AL68" i="1"/>
  <c r="AM68" i="1"/>
  <c r="AN68" i="1"/>
  <c r="AO68" i="1"/>
  <c r="D69" i="1"/>
  <c r="H69" i="1"/>
  <c r="L69" i="1"/>
  <c r="M69" i="1"/>
  <c r="R69" i="1"/>
  <c r="V69" i="1"/>
  <c r="Z69" i="1"/>
  <c r="AA69" i="1"/>
  <c r="AF69" i="1"/>
  <c r="AJ69" i="1"/>
  <c r="AN69" i="1"/>
  <c r="AO69" i="1"/>
  <c r="B43" i="1"/>
  <c r="B47" i="1"/>
  <c r="B51" i="1"/>
  <c r="B59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9" i="1"/>
  <c r="H59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9" i="1"/>
  <c r="V59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9" i="1"/>
  <c r="AJ59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59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9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59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9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59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9" i="1"/>
  <c r="CE59" i="1"/>
  <c r="B60" i="1"/>
  <c r="D60" i="1"/>
  <c r="E60" i="1"/>
  <c r="M60" i="1"/>
  <c r="R60" i="1"/>
  <c r="S60" i="1"/>
  <c r="AA60" i="1"/>
  <c r="AF60" i="1"/>
  <c r="AG60" i="1"/>
  <c r="AO60" i="1"/>
  <c r="AT60" i="1"/>
  <c r="AU60" i="1"/>
  <c r="BC60" i="1"/>
  <c r="BH60" i="1"/>
  <c r="BI60" i="1"/>
  <c r="BQ60" i="1"/>
  <c r="BV60" i="1"/>
  <c r="BW60" i="1"/>
  <c r="CC12" i="1"/>
  <c r="CD12" i="1"/>
  <c r="CC13" i="1"/>
  <c r="CD13" i="1"/>
  <c r="CC14" i="1"/>
  <c r="CD14" i="1"/>
  <c r="CC15" i="1"/>
  <c r="CD15" i="1"/>
  <c r="CD16" i="1"/>
  <c r="CD17" i="1"/>
  <c r="CC18" i="1"/>
  <c r="CD18" i="1"/>
  <c r="CC19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60" i="1"/>
  <c r="CE60" i="1"/>
  <c r="D61" i="1"/>
  <c r="L61" i="1"/>
  <c r="M61" i="1"/>
  <c r="R61" i="1"/>
  <c r="Z61" i="1"/>
  <c r="AA61" i="1"/>
  <c r="AF61" i="1"/>
  <c r="AN61" i="1"/>
  <c r="AO61" i="1"/>
  <c r="AT61" i="1"/>
  <c r="BB61" i="1"/>
  <c r="BC61" i="1"/>
  <c r="BH61" i="1"/>
  <c r="BP61" i="1"/>
  <c r="BQ61" i="1"/>
  <c r="BV61" i="1"/>
  <c r="CD61" i="1"/>
  <c r="CE61" i="1"/>
  <c r="D62" i="1"/>
  <c r="R62" i="1"/>
  <c r="AF62" i="1"/>
  <c r="AT62" i="1"/>
  <c r="BH62" i="1"/>
  <c r="BV62" i="1"/>
  <c r="AR4" i="1"/>
  <c r="AZ4" i="1"/>
  <c r="BF4" i="1"/>
  <c r="BT4" i="1"/>
  <c r="AR5" i="1"/>
  <c r="AZ5" i="1"/>
  <c r="BC5" i="1"/>
  <c r="BF5" i="1"/>
  <c r="BT5" i="1"/>
  <c r="AR6" i="1"/>
  <c r="AZ6" i="1"/>
  <c r="BC6" i="1"/>
  <c r="BF6" i="1"/>
  <c r="BT6" i="1"/>
  <c r="P7" i="1"/>
  <c r="AD7" i="1"/>
  <c r="AR7" i="1"/>
  <c r="AZ7" i="1"/>
  <c r="BC7" i="1"/>
  <c r="BF7" i="1"/>
  <c r="BT7" i="1"/>
  <c r="AR8" i="1"/>
  <c r="AZ8" i="1"/>
  <c r="BC8" i="1"/>
  <c r="BF8" i="1"/>
  <c r="BT8" i="1"/>
  <c r="AZ9" i="1"/>
  <c r="BC9" i="1"/>
  <c r="BF9" i="1"/>
  <c r="BT9" i="1"/>
  <c r="AR10" i="1"/>
  <c r="AZ10" i="1"/>
  <c r="BC10" i="1"/>
  <c r="BF10" i="1"/>
  <c r="BT10" i="1"/>
  <c r="M11" i="1"/>
  <c r="P11" i="1"/>
  <c r="AD11" i="1"/>
  <c r="AR11" i="1"/>
  <c r="AZ11" i="1"/>
  <c r="BC11" i="1"/>
  <c r="BF11" i="1"/>
  <c r="BT11" i="1"/>
  <c r="M12" i="1"/>
  <c r="AR12" i="1"/>
  <c r="AZ12" i="1"/>
  <c r="BC12" i="1"/>
  <c r="BF12" i="1"/>
  <c r="BN12" i="1"/>
  <c r="BQ12" i="1"/>
  <c r="BT12" i="1"/>
  <c r="CB12" i="1"/>
  <c r="CE12" i="1"/>
  <c r="M13" i="1"/>
  <c r="AR13" i="1"/>
  <c r="AZ13" i="1"/>
  <c r="BC13" i="1"/>
  <c r="BF13" i="1"/>
  <c r="BN13" i="1"/>
  <c r="BQ13" i="1"/>
  <c r="BT13" i="1"/>
  <c r="CB13" i="1"/>
  <c r="CE13" i="1"/>
  <c r="M14" i="1"/>
  <c r="AR14" i="1"/>
  <c r="AZ14" i="1"/>
  <c r="BC14" i="1"/>
  <c r="BF14" i="1"/>
  <c r="BN14" i="1"/>
  <c r="BQ14" i="1"/>
  <c r="BT14" i="1"/>
  <c r="CB14" i="1"/>
  <c r="CE14" i="1"/>
  <c r="M15" i="1"/>
  <c r="P15" i="1"/>
  <c r="AD15" i="1"/>
  <c r="AR15" i="1"/>
  <c r="AZ15" i="1"/>
  <c r="BC15" i="1"/>
  <c r="BN15" i="1"/>
  <c r="BQ15" i="1"/>
  <c r="CB15" i="1"/>
  <c r="CE15" i="1"/>
  <c r="M16" i="1"/>
  <c r="AZ16" i="1"/>
  <c r="BC16" i="1"/>
  <c r="BN16" i="1"/>
  <c r="BQ16" i="1"/>
  <c r="CB16" i="1"/>
  <c r="CE16" i="1"/>
  <c r="M17" i="1"/>
  <c r="AZ17" i="1"/>
  <c r="BC17" i="1"/>
  <c r="BN17" i="1"/>
  <c r="BQ17" i="1"/>
  <c r="CB17" i="1"/>
  <c r="CE17" i="1"/>
  <c r="M18" i="1"/>
  <c r="AZ18" i="1"/>
  <c r="BC18" i="1"/>
  <c r="BN18" i="1"/>
  <c r="BQ18" i="1"/>
  <c r="CB18" i="1"/>
  <c r="CE18" i="1"/>
  <c r="M19" i="1"/>
  <c r="P19" i="1"/>
  <c r="AD19" i="1"/>
  <c r="AZ19" i="1"/>
  <c r="BC19" i="1"/>
  <c r="BN19" i="1"/>
  <c r="BQ19" i="1"/>
  <c r="CB19" i="1"/>
  <c r="CE19" i="1"/>
  <c r="M20" i="1"/>
  <c r="AZ20" i="1"/>
  <c r="BC20" i="1"/>
  <c r="BN20" i="1"/>
  <c r="BQ20" i="1"/>
  <c r="CB20" i="1"/>
  <c r="CE20" i="1"/>
  <c r="M21" i="1"/>
  <c r="AR21" i="1"/>
  <c r="AZ21" i="1"/>
  <c r="BC21" i="1"/>
  <c r="BN21" i="1"/>
  <c r="BQ21" i="1"/>
  <c r="CB21" i="1"/>
  <c r="CE21" i="1"/>
  <c r="M22" i="1"/>
  <c r="AR22" i="1"/>
  <c r="AZ22" i="1"/>
  <c r="BC22" i="1"/>
  <c r="BN22" i="1"/>
  <c r="BQ22" i="1"/>
  <c r="CB22" i="1"/>
  <c r="CE22" i="1"/>
  <c r="M23" i="1"/>
  <c r="P23" i="1"/>
  <c r="AD23" i="1"/>
  <c r="AR23" i="1"/>
  <c r="AZ23" i="1"/>
  <c r="BC23" i="1"/>
  <c r="BN23" i="1"/>
  <c r="BQ23" i="1"/>
  <c r="CB23" i="1"/>
  <c r="CE23" i="1"/>
  <c r="M24" i="1"/>
  <c r="AZ24" i="1"/>
  <c r="BC24" i="1"/>
  <c r="BN24" i="1"/>
  <c r="BQ24" i="1"/>
  <c r="CB24" i="1"/>
  <c r="CE24" i="1"/>
  <c r="M25" i="1"/>
  <c r="AR25" i="1"/>
  <c r="BC25" i="1"/>
  <c r="BQ25" i="1"/>
  <c r="CE25" i="1"/>
  <c r="M26" i="1"/>
  <c r="BC26" i="1"/>
  <c r="BQ26" i="1"/>
  <c r="CE26" i="1"/>
  <c r="J27" i="1"/>
  <c r="M27" i="1"/>
  <c r="P27" i="1"/>
  <c r="AD27" i="1"/>
  <c r="BC27" i="1"/>
  <c r="BQ27" i="1"/>
  <c r="CE27" i="1"/>
  <c r="M28" i="1"/>
  <c r="BC28" i="1"/>
  <c r="BQ28" i="1"/>
  <c r="CE28" i="1"/>
  <c r="M29" i="1"/>
  <c r="BC29" i="1"/>
  <c r="BQ29" i="1"/>
  <c r="CE29" i="1"/>
  <c r="J30" i="1"/>
  <c r="M30" i="1"/>
  <c r="BC30" i="1"/>
  <c r="BQ30" i="1"/>
  <c r="CE30" i="1"/>
  <c r="J31" i="1"/>
  <c r="M31" i="1"/>
  <c r="P31" i="1"/>
  <c r="AD31" i="1"/>
  <c r="BC31" i="1"/>
  <c r="BQ31" i="1"/>
  <c r="CE31" i="1"/>
  <c r="J32" i="1"/>
  <c r="M32" i="1"/>
  <c r="BC32" i="1"/>
  <c r="BQ32" i="1"/>
  <c r="CE32" i="1"/>
  <c r="J33" i="1"/>
  <c r="M33" i="1"/>
  <c r="BC33" i="1"/>
  <c r="BQ33" i="1"/>
  <c r="CE33" i="1"/>
  <c r="J34" i="1"/>
  <c r="M34" i="1"/>
  <c r="BC34" i="1"/>
  <c r="BQ34" i="1"/>
  <c r="CE34" i="1"/>
  <c r="J35" i="1"/>
  <c r="M35" i="1"/>
  <c r="P35" i="1"/>
  <c r="AD35" i="1"/>
  <c r="AV35" i="1"/>
  <c r="BC35" i="1"/>
  <c r="BJ35" i="1"/>
  <c r="BQ35" i="1"/>
  <c r="BX35" i="1"/>
  <c r="CE35" i="1"/>
  <c r="J36" i="1"/>
  <c r="M36" i="1"/>
  <c r="AV36" i="1"/>
  <c r="BC36" i="1"/>
  <c r="BJ36" i="1"/>
  <c r="BQ36" i="1"/>
  <c r="BX36" i="1"/>
  <c r="CE36" i="1"/>
  <c r="J37" i="1"/>
  <c r="M37" i="1"/>
  <c r="AV37" i="1"/>
  <c r="BC37" i="1"/>
  <c r="BJ37" i="1"/>
  <c r="BQ37" i="1"/>
  <c r="BX37" i="1"/>
  <c r="CE37" i="1"/>
  <c r="J38" i="1"/>
  <c r="M38" i="1"/>
  <c r="AV38" i="1"/>
  <c r="BC38" i="1"/>
  <c r="BJ38" i="1"/>
  <c r="BQ38" i="1"/>
  <c r="BX38" i="1"/>
  <c r="CE38" i="1"/>
  <c r="J39" i="1"/>
  <c r="K39" i="1"/>
  <c r="M39" i="1"/>
  <c r="P39" i="1"/>
  <c r="X39" i="1"/>
  <c r="Y39" i="1"/>
  <c r="AA39" i="1"/>
  <c r="AD39" i="1"/>
  <c r="AL39" i="1"/>
  <c r="AM39" i="1"/>
  <c r="AO39" i="1"/>
  <c r="AV39" i="1"/>
  <c r="BC39" i="1"/>
  <c r="BJ39" i="1"/>
  <c r="BQ39" i="1"/>
  <c r="BX39" i="1"/>
  <c r="CE39" i="1"/>
  <c r="J40" i="1"/>
  <c r="K40" i="1"/>
  <c r="M40" i="1"/>
  <c r="X40" i="1"/>
  <c r="Y40" i="1"/>
  <c r="AA40" i="1"/>
  <c r="AL40" i="1"/>
  <c r="AM40" i="1"/>
  <c r="AO40" i="1"/>
  <c r="AV40" i="1"/>
  <c r="BC40" i="1"/>
  <c r="BJ40" i="1"/>
  <c r="BQ40" i="1"/>
  <c r="BX40" i="1"/>
  <c r="CE40" i="1"/>
  <c r="J41" i="1"/>
  <c r="K41" i="1"/>
  <c r="M41" i="1"/>
  <c r="X41" i="1"/>
  <c r="Y41" i="1"/>
  <c r="AA41" i="1"/>
  <c r="AL41" i="1"/>
  <c r="AM41" i="1"/>
  <c r="AO41" i="1"/>
  <c r="AV41" i="1"/>
  <c r="BC41" i="1"/>
  <c r="BJ41" i="1"/>
  <c r="BQ41" i="1"/>
  <c r="BX41" i="1"/>
  <c r="CE41" i="1"/>
  <c r="J42" i="1"/>
  <c r="K42" i="1"/>
  <c r="M42" i="1"/>
  <c r="X42" i="1"/>
  <c r="Y42" i="1"/>
  <c r="AA42" i="1"/>
  <c r="AL42" i="1"/>
  <c r="AM42" i="1"/>
  <c r="AO42" i="1"/>
  <c r="AV42" i="1"/>
  <c r="BC42" i="1"/>
  <c r="BJ42" i="1"/>
  <c r="BQ42" i="1"/>
  <c r="BX42" i="1"/>
  <c r="CE42" i="1"/>
  <c r="J43" i="1"/>
  <c r="K43" i="1"/>
  <c r="M43" i="1"/>
  <c r="P43" i="1"/>
  <c r="X43" i="1"/>
  <c r="Y43" i="1"/>
  <c r="AA43" i="1"/>
  <c r="AD43" i="1"/>
  <c r="AL43" i="1"/>
  <c r="AM43" i="1"/>
  <c r="AO43" i="1"/>
  <c r="AV43" i="1"/>
  <c r="BC43" i="1"/>
  <c r="BJ43" i="1"/>
  <c r="BQ43" i="1"/>
  <c r="BX43" i="1"/>
  <c r="CE43" i="1"/>
  <c r="J44" i="1"/>
  <c r="K44" i="1"/>
  <c r="M44" i="1"/>
  <c r="X44" i="1"/>
  <c r="Y44" i="1"/>
  <c r="AA44" i="1"/>
  <c r="AL44" i="1"/>
  <c r="AM44" i="1"/>
  <c r="AO44" i="1"/>
  <c r="AV44" i="1"/>
  <c r="BC44" i="1"/>
  <c r="BJ44" i="1"/>
  <c r="BQ44" i="1"/>
  <c r="BX44" i="1"/>
  <c r="CE44" i="1"/>
  <c r="J45" i="1"/>
  <c r="K45" i="1"/>
  <c r="M45" i="1"/>
  <c r="X45" i="1"/>
  <c r="Y45" i="1"/>
  <c r="AA45" i="1"/>
  <c r="AL45" i="1"/>
  <c r="AM45" i="1"/>
  <c r="AO45" i="1"/>
  <c r="AV45" i="1"/>
  <c r="BC45" i="1"/>
  <c r="BJ45" i="1"/>
  <c r="BQ45" i="1"/>
  <c r="BX45" i="1"/>
  <c r="CE45" i="1"/>
  <c r="J46" i="1"/>
  <c r="K46" i="1"/>
  <c r="M46" i="1"/>
  <c r="X46" i="1"/>
  <c r="Y46" i="1"/>
  <c r="AA46" i="1"/>
  <c r="AL46" i="1"/>
  <c r="AM46" i="1"/>
  <c r="AO46" i="1"/>
  <c r="AV46" i="1"/>
  <c r="BC46" i="1"/>
  <c r="BJ46" i="1"/>
  <c r="BQ46" i="1"/>
  <c r="BX46" i="1"/>
  <c r="CE46" i="1"/>
  <c r="J47" i="1"/>
  <c r="K47" i="1"/>
  <c r="M47" i="1"/>
  <c r="P47" i="1"/>
  <c r="X47" i="1"/>
  <c r="Y47" i="1"/>
  <c r="AA47" i="1"/>
  <c r="AD47" i="1"/>
  <c r="AL47" i="1"/>
  <c r="AM47" i="1"/>
  <c r="AO47" i="1"/>
  <c r="AV47" i="1"/>
  <c r="BC47" i="1"/>
  <c r="BJ47" i="1"/>
  <c r="BQ47" i="1"/>
  <c r="BX47" i="1"/>
  <c r="CE47" i="1"/>
  <c r="J48" i="1"/>
  <c r="K48" i="1"/>
  <c r="M48" i="1"/>
  <c r="X48" i="1"/>
  <c r="Y48" i="1"/>
  <c r="AA48" i="1"/>
  <c r="AL48" i="1"/>
  <c r="AM48" i="1"/>
  <c r="AO48" i="1"/>
  <c r="AV48" i="1"/>
  <c r="BC48" i="1"/>
  <c r="BJ48" i="1"/>
  <c r="BQ48" i="1"/>
  <c r="BX48" i="1"/>
  <c r="CE48" i="1"/>
  <c r="J49" i="1"/>
  <c r="K49" i="1"/>
  <c r="M49" i="1"/>
  <c r="X49" i="1"/>
  <c r="Y49" i="1"/>
  <c r="AA49" i="1"/>
  <c r="AL49" i="1"/>
  <c r="AM49" i="1"/>
  <c r="AO49" i="1"/>
  <c r="AV49" i="1"/>
  <c r="BC49" i="1"/>
  <c r="BJ49" i="1"/>
  <c r="BQ49" i="1"/>
  <c r="BX49" i="1"/>
  <c r="CE49" i="1"/>
  <c r="J50" i="1"/>
  <c r="K50" i="1"/>
  <c r="M50" i="1"/>
  <c r="X50" i="1"/>
  <c r="Y50" i="1"/>
  <c r="AA50" i="1"/>
  <c r="AL50" i="1"/>
  <c r="AM50" i="1"/>
  <c r="AO50" i="1"/>
  <c r="AV50" i="1"/>
  <c r="BC50" i="1"/>
  <c r="BJ50" i="1"/>
  <c r="BQ50" i="1"/>
  <c r="BX50" i="1"/>
  <c r="CE50" i="1"/>
  <c r="J51" i="1"/>
  <c r="K51" i="1"/>
  <c r="M51" i="1"/>
  <c r="P51" i="1"/>
  <c r="X51" i="1"/>
  <c r="Y51" i="1"/>
  <c r="AA51" i="1"/>
  <c r="AD51" i="1"/>
  <c r="AL51" i="1"/>
  <c r="AM51" i="1"/>
  <c r="AO51" i="1"/>
  <c r="AV51" i="1"/>
  <c r="BC51" i="1"/>
  <c r="BJ51" i="1"/>
  <c r="BQ51" i="1"/>
  <c r="BX51" i="1"/>
  <c r="CE51" i="1"/>
  <c r="J52" i="1"/>
  <c r="K52" i="1"/>
  <c r="M52" i="1"/>
  <c r="X52" i="1"/>
  <c r="Y52" i="1"/>
  <c r="AA52" i="1"/>
  <c r="AL52" i="1"/>
  <c r="AM52" i="1"/>
  <c r="AO52" i="1"/>
  <c r="AV52" i="1"/>
  <c r="BC52" i="1"/>
  <c r="BJ52" i="1"/>
  <c r="BQ52" i="1"/>
  <c r="BX52" i="1"/>
  <c r="CE52" i="1"/>
  <c r="J53" i="1"/>
  <c r="K53" i="1"/>
  <c r="M53" i="1"/>
  <c r="X53" i="1"/>
  <c r="Y53" i="1"/>
  <c r="AA53" i="1"/>
  <c r="AL53" i="1"/>
  <c r="AM53" i="1"/>
  <c r="AO53" i="1"/>
  <c r="AV53" i="1"/>
  <c r="BC53" i="1"/>
  <c r="BJ53" i="1"/>
  <c r="BQ53" i="1"/>
  <c r="BX53" i="1"/>
  <c r="CE53" i="1"/>
  <c r="J54" i="1"/>
  <c r="K54" i="1"/>
  <c r="M54" i="1"/>
  <c r="X54" i="1"/>
  <c r="Y54" i="1"/>
  <c r="AA54" i="1"/>
  <c r="AL54" i="1"/>
  <c r="AM54" i="1"/>
  <c r="AO54" i="1"/>
  <c r="AV54" i="1"/>
  <c r="BC54" i="1"/>
  <c r="BJ54" i="1"/>
  <c r="BQ54" i="1"/>
  <c r="BX54" i="1"/>
  <c r="CE54" i="1"/>
  <c r="AV55" i="1"/>
  <c r="BC55" i="1"/>
  <c r="BJ55" i="1"/>
  <c r="BQ55" i="1"/>
  <c r="BX55" i="1"/>
  <c r="CE55" i="1"/>
</calcChain>
</file>

<file path=xl/sharedStrings.xml><?xml version="1.0" encoding="utf-8"?>
<sst xmlns="http://schemas.openxmlformats.org/spreadsheetml/2006/main" count="176" uniqueCount="52">
  <si>
    <t>カリーノミニSP</t>
    <phoneticPr fontId="10"/>
  </si>
  <si>
    <t>ロイヤルビンゴ</t>
    <phoneticPr fontId="10"/>
  </si>
  <si>
    <t>カリーノ７</t>
    <phoneticPr fontId="10"/>
  </si>
  <si>
    <t>日付</t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</si>
  <si>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</si>
  <si>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</si>
  <si>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</si>
  <si>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</si>
  <si>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</si>
  <si>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</si>
  <si>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</si>
  <si>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</si>
  <si>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</si>
  <si>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</si>
  <si>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r>
      <rPr>
        <sz val="8"/>
        <color theme="1"/>
        <rFont val="ＭＳ Ｐゴシック"/>
        <family val="3"/>
        <charset val="128"/>
      </rPr>
      <t>景品</t>
    </r>
    <rPh sb="0" eb="2">
      <t>ケイヒン</t>
    </rPh>
    <phoneticPr fontId="10"/>
  </si>
  <si>
    <t>払出額</t>
  </si>
  <si>
    <t>原価率</t>
  </si>
  <si>
    <r>
      <rPr>
        <sz val="8"/>
        <color theme="1"/>
        <rFont val="ＭＳ Ｐゴシック"/>
        <family val="2"/>
        <charset val="128"/>
      </rPr>
      <t>景品</t>
    </r>
    <rPh sb="0" eb="2">
      <t>ケイヒン</t>
    </rPh>
    <phoneticPr fontId="10"/>
  </si>
  <si>
    <t>たまごっちミニチュアポシェット</t>
  </si>
  <si>
    <r>
      <t>A</t>
    </r>
    <r>
      <rPr>
        <sz val="8"/>
        <color theme="1"/>
        <rFont val="ＭＳ Ｐゴシック"/>
        <family val="2"/>
        <charset val="128"/>
      </rPr>
      <t>景品</t>
    </r>
    <rPh sb="1" eb="3">
      <t>ケイヒン</t>
    </rPh>
    <phoneticPr fontId="10"/>
  </si>
  <si>
    <t>モンチッチフルーツMC</t>
  </si>
  <si>
    <t>筐体入れ替えでメーターも変わった</t>
    <rPh sb="0" eb="2">
      <t>キョウタイ</t>
    </rPh>
    <rPh sb="2" eb="3">
      <t>イ</t>
    </rPh>
    <rPh sb="4" eb="5">
      <t>カ</t>
    </rPh>
    <rPh sb="12" eb="13">
      <t>カ</t>
    </rPh>
    <phoneticPr fontId="10"/>
  </si>
  <si>
    <t>投入残も書いて！あと景品入れ替えヨロ</t>
    <rPh sb="0" eb="2">
      <t>トウニュウ</t>
    </rPh>
    <rPh sb="2" eb="3">
      <t>ザン</t>
    </rPh>
    <rPh sb="4" eb="5">
      <t>カ</t>
    </rPh>
    <rPh sb="10" eb="12">
      <t>ケイヒン</t>
    </rPh>
    <rPh sb="12" eb="13">
      <t>イ</t>
    </rPh>
    <rPh sb="14" eb="15">
      <t>カ</t>
    </rPh>
    <phoneticPr fontId="10"/>
  </si>
  <si>
    <t>フルーツスクイーズ</t>
  </si>
  <si>
    <t>ベーカリースクイーズ</t>
  </si>
  <si>
    <t>↓↓↓設定の数値を記入していって！</t>
    <rPh sb="3" eb="5">
      <t>セッテイ</t>
    </rPh>
    <rPh sb="6" eb="8">
      <t>スウチ</t>
    </rPh>
    <rPh sb="9" eb="11">
      <t>キニュウ</t>
    </rPh>
    <phoneticPr fontId="10"/>
  </si>
  <si>
    <t>ｱｼｽﾄ80 ｷｬｯﾁ13 ﾙｰｽﾞ9 ﾘﾀｰﾝ10</t>
  </si>
  <si>
    <t>パンケーキスクイーズ</t>
  </si>
  <si>
    <t>60 27 10 13</t>
  </si>
  <si>
    <r>
      <t>70 22 7 10</t>
    </r>
    <r>
      <rPr>
        <sz val="6"/>
        <color theme="1"/>
        <rFont val="ＭＳ Ｐゴシック"/>
        <family val="2"/>
        <charset val="128"/>
      </rPr>
      <t>　取れすぎ！2000～1500円で1個のペースに調整して</t>
    </r>
    <rPh sb="11" eb="12">
      <t>ト</t>
    </rPh>
    <rPh sb="25" eb="26">
      <t>エン</t>
    </rPh>
    <rPh sb="28" eb="29">
      <t>コ</t>
    </rPh>
    <rPh sb="34" eb="36">
      <t>チョウセイ</t>
    </rPh>
    <phoneticPr fontId="10"/>
  </si>
  <si>
    <r>
      <t xml:space="preserve">50 30 9 19 </t>
    </r>
    <r>
      <rPr>
        <sz val="6"/>
        <color theme="1"/>
        <rFont val="ＭＳ Ｐゴシック"/>
        <family val="2"/>
        <charset val="128"/>
      </rPr>
      <t>　補充無しの時は</t>
    </r>
    <r>
      <rPr>
        <sz val="6"/>
        <color theme="1"/>
        <rFont val="Calibri"/>
        <family val="2"/>
      </rPr>
      <t>0</t>
    </r>
    <r>
      <rPr>
        <sz val="6"/>
        <color theme="1"/>
        <rFont val="ＭＳ Ｐゴシック"/>
        <family val="2"/>
        <charset val="128"/>
      </rPr>
      <t>入力お願い</t>
    </r>
    <rPh sb="12" eb="14">
      <t>ホジュウ</t>
    </rPh>
    <rPh sb="14" eb="15">
      <t>ナ</t>
    </rPh>
    <rPh sb="17" eb="18">
      <t>トキ</t>
    </rPh>
    <rPh sb="20" eb="22">
      <t>ニュウリョク</t>
    </rPh>
    <rPh sb="23" eb="24">
      <t>ネガ</t>
    </rPh>
    <phoneticPr fontId="10"/>
  </si>
  <si>
    <r>
      <rPr>
        <sz val="11"/>
        <color theme="1"/>
        <rFont val="MS PGothic"/>
        <family val="3"/>
        <charset val="128"/>
      </rPr>
      <t>月末在庫金額</t>
    </r>
  </si>
  <si>
    <t>合計</t>
  </si>
  <si>
    <t>計</t>
  </si>
  <si>
    <t>トータル原価</t>
  </si>
  <si>
    <t>ave</t>
  </si>
  <si>
    <t>トータル出率</t>
  </si>
  <si>
    <t>原価</t>
  </si>
  <si>
    <t>取得</t>
  </si>
  <si>
    <t>利益</t>
  </si>
  <si>
    <t>前月</t>
  </si>
  <si>
    <t>ブース計</t>
  </si>
  <si>
    <t>払出合計</t>
  </si>
  <si>
    <t>月間合計</t>
  </si>
  <si>
    <r>
      <rPr>
        <sz val="11"/>
        <color theme="1"/>
        <rFont val="MS PGothic"/>
        <family val="3"/>
        <charset val="128"/>
      </rPr>
      <t>今月予想売上</t>
    </r>
  </si>
  <si>
    <t>月間取得</t>
  </si>
  <si>
    <r>
      <rPr>
        <sz val="10"/>
        <color theme="1"/>
        <rFont val="MS PGothic"/>
        <family val="3"/>
        <charset val="128"/>
      </rPr>
      <t>月末在庫金額</t>
    </r>
  </si>
  <si>
    <t>28 8 10(キャッチが弱いと判断)</t>
  </si>
  <si>
    <t>ジャグラーサウンドフラッシュDX</t>
  </si>
  <si>
    <t xml:space="preserve">28 7 11 （景品入替)　 </t>
  </si>
  <si>
    <t>スンスン金カラーがま口</t>
  </si>
  <si>
    <t>19 10 12（景品入替）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</si>
</sst>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/aaa"/>
    <numFmt numFmtId="177" formatCode="0_);[Red]\(0\)"/>
    <numFmt numFmtId="178" formatCode="#,##0_);[Red]\(#,##0\)"/>
    <numFmt numFmtId="179" formatCode="0.0%"/>
    <numFmt numFmtId="180" formatCode="yyyy/m/d/aaa"/>
  </numFmts>
  <fonts count="20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</font>
    <font>
      <sz val="11"/>
      <color theme="1"/>
      <name val="MS PGothic"/>
      <family val="3"/>
      <charset val="128"/>
    </font>
    <font>
      <sz val="8"/>
      <color theme="1"/>
      <name val="Calibri"/>
      <family val="2"/>
    </font>
    <font>
      <sz val="10"/>
      <color theme="1"/>
      <name val="MS PGothic"/>
      <family val="3"/>
      <charset val="128"/>
    </font>
    <font>
      <sz val="11"/>
      <color rgb="FF333333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8"/>
      <color theme="1"/>
      <name val="ＭＳ Ｐゴシック"/>
      <family val="3"/>
      <charset val="128"/>
    </font>
    <font>
      <sz val="8"/>
      <color rgb="FF333333"/>
      <name val="Calibri"/>
      <family val="2"/>
    </font>
    <font>
      <sz val="8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Calibri"/>
      <family val="2"/>
    </font>
    <font>
      <sz val="14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  <font>
      <sz val="6"/>
      <color theme="1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38" fontId="9" fillId="0" borderId="0" applyFont="0" applyFill="0" applyBorder="0" applyAlignment="0" applyProtection="0">
      <alignment vertical="center"/>
    </xf>
  </cellStyleXfs>
  <cellXfs count="122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horizontal="right" vertical="center"/>
    </xf>
    <xf numFmtId="38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38" fontId="1" fillId="0" borderId="3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38" fontId="1" fillId="0" borderId="4" xfId="0" applyNumberFormat="1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178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79" fontId="1" fillId="0" borderId="1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horizontal="center" vertical="center"/>
    </xf>
    <xf numFmtId="38" fontId="7" fillId="0" borderId="1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180" fontId="8" fillId="0" borderId="1" xfId="0" applyNumberFormat="1" applyFont="1" applyBorder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38" fontId="5" fillId="0" borderId="1" xfId="0" applyNumberFormat="1" applyFont="1" applyBorder="1" applyAlignment="1">
      <alignment vertical="center"/>
    </xf>
    <xf numFmtId="38" fontId="5" fillId="0" borderId="4" xfId="0" applyNumberFormat="1" applyFont="1" applyBorder="1" applyAlignment="1">
      <alignment vertical="center"/>
    </xf>
    <xf numFmtId="38" fontId="5" fillId="0" borderId="0" xfId="0" applyNumberFormat="1" applyFont="1" applyAlignment="1">
      <alignment horizontal="right" vertical="center"/>
    </xf>
    <xf numFmtId="38" fontId="5" fillId="0" borderId="9" xfId="0" applyNumberFormat="1" applyFont="1" applyBorder="1" applyAlignment="1">
      <alignment vertical="center"/>
    </xf>
    <xf numFmtId="38" fontId="5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38" fontId="1" fillId="0" borderId="6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8" fontId="1" fillId="2" borderId="0" xfId="0" applyNumberFormat="1" applyFont="1" applyFill="1" applyAlignment="1">
      <alignment vertical="center"/>
    </xf>
    <xf numFmtId="38" fontId="3" fillId="2" borderId="0" xfId="0" applyNumberFormat="1" applyFont="1" applyFill="1" applyAlignment="1">
      <alignment vertical="center"/>
    </xf>
    <xf numFmtId="176" fontId="1" fillId="0" borderId="6" xfId="0" applyNumberFormat="1" applyFont="1" applyBorder="1" applyAlignment="1">
      <alignment vertical="center"/>
    </xf>
    <xf numFmtId="38" fontId="5" fillId="0" borderId="6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9" fontId="1" fillId="0" borderId="6" xfId="0" applyNumberFormat="1" applyFont="1" applyBorder="1" applyAlignment="1">
      <alignment vertical="center"/>
    </xf>
    <xf numFmtId="38" fontId="3" fillId="0" borderId="6" xfId="0" applyNumberFormat="1" applyFont="1" applyBorder="1" applyAlignment="1">
      <alignment vertical="center"/>
    </xf>
    <xf numFmtId="38" fontId="1" fillId="0" borderId="13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horizontal="right" vertical="center"/>
    </xf>
    <xf numFmtId="9" fontId="1" fillId="0" borderId="13" xfId="0" applyNumberFormat="1" applyFont="1" applyBorder="1" applyAlignment="1">
      <alignment vertical="center"/>
    </xf>
    <xf numFmtId="38" fontId="5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38" fontId="1" fillId="0" borderId="6" xfId="0" applyNumberFormat="1" applyFont="1" applyBorder="1" applyAlignment="1">
      <alignment horizontal="center" vertical="center"/>
    </xf>
    <xf numFmtId="179" fontId="1" fillId="0" borderId="6" xfId="0" applyNumberFormat="1" applyFont="1" applyBorder="1" applyAlignment="1">
      <alignment vertical="center"/>
    </xf>
    <xf numFmtId="38" fontId="1" fillId="0" borderId="14" xfId="0" applyNumberFormat="1" applyFont="1" applyBorder="1" applyAlignment="1">
      <alignment vertical="center"/>
    </xf>
    <xf numFmtId="38" fontId="5" fillId="0" borderId="12" xfId="0" applyNumberFormat="1" applyFont="1" applyBorder="1" applyAlignment="1">
      <alignment vertical="center"/>
    </xf>
    <xf numFmtId="38" fontId="12" fillId="0" borderId="1" xfId="0" applyNumberFormat="1" applyFon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38" fontId="1" fillId="3" borderId="6" xfId="0" applyNumberFormat="1" applyFont="1" applyFill="1" applyBorder="1" applyAlignment="1">
      <alignment vertical="center"/>
    </xf>
    <xf numFmtId="38" fontId="1" fillId="3" borderId="1" xfId="0" applyNumberFormat="1" applyFont="1" applyFill="1" applyBorder="1" applyAlignment="1">
      <alignment vertical="center"/>
    </xf>
    <xf numFmtId="177" fontId="1" fillId="0" borderId="6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38" fontId="1" fillId="3" borderId="4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38" fontId="1" fillId="0" borderId="1" xfId="0" applyNumberFormat="1" applyFont="1" applyBorder="1" applyAlignment="1">
      <alignment horizontal="left" vertical="center"/>
    </xf>
    <xf numFmtId="38" fontId="3" fillId="0" borderId="6" xfId="0" applyNumberFormat="1" applyFont="1" applyBorder="1" applyAlignment="1">
      <alignment horizontal="left" vertical="center"/>
    </xf>
    <xf numFmtId="38" fontId="3" fillId="0" borderId="1" xfId="0" applyNumberFormat="1" applyFont="1" applyBorder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8" fontId="1" fillId="4" borderId="1" xfId="0" applyNumberFormat="1" applyFont="1" applyFill="1" applyBorder="1" applyAlignment="1">
      <alignment vertical="center"/>
    </xf>
    <xf numFmtId="3" fontId="2" fillId="0" borderId="4" xfId="0" applyNumberFormat="1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vertical="center"/>
    </xf>
    <xf numFmtId="176" fontId="1" fillId="3" borderId="6" xfId="0" applyNumberFormat="1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vertical="center"/>
    </xf>
    <xf numFmtId="38" fontId="5" fillId="2" borderId="0" xfId="0" applyNumberFormat="1" applyFont="1" applyFill="1" applyAlignment="1">
      <alignment vertical="center"/>
    </xf>
    <xf numFmtId="38" fontId="5" fillId="0" borderId="7" xfId="0" applyNumberFormat="1" applyFont="1" applyBorder="1" applyAlignment="1">
      <alignment vertical="center"/>
    </xf>
    <xf numFmtId="38" fontId="5" fillId="0" borderId="2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38" fontId="1" fillId="0" borderId="13" xfId="0" applyNumberFormat="1" applyFont="1" applyBorder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38" fontId="1" fillId="3" borderId="1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38" fontId="1" fillId="0" borderId="2" xfId="0" applyNumberFormat="1" applyFont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8" fillId="3" borderId="4" xfId="0" applyNumberFormat="1" applyFont="1" applyFill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3" fontId="2" fillId="3" borderId="4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6" fontId="8" fillId="0" borderId="4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right" vertical="center"/>
    </xf>
    <xf numFmtId="38" fontId="1" fillId="0" borderId="1" xfId="1" applyFont="1" applyFill="1" applyBorder="1" applyAlignment="1">
      <alignment horizontal="right" vertical="center"/>
    </xf>
    <xf numFmtId="177" fontId="1" fillId="0" borderId="6" xfId="0" applyNumberFormat="1" applyFont="1" applyBorder="1" applyAlignment="1">
      <alignment vertical="center"/>
    </xf>
    <xf numFmtId="38" fontId="18" fillId="0" borderId="1" xfId="0" applyNumberFormat="1" applyFont="1" applyBorder="1" applyAlignment="1">
      <alignment vertical="center"/>
    </xf>
    <xf numFmtId="38" fontId="1" fillId="4" borderId="1" xfId="0" applyNumberFormat="1" applyFont="1" applyFill="1" applyBorder="1" applyAlignment="1">
      <alignment vertical="center"/>
    </xf>
    <xf numFmtId="38" fontId="3" fillId="4" borderId="1" xfId="0" applyNumberFormat="1" applyFont="1" applyFill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38" fontId="18" fillId="0" borderId="1" xfId="0" applyNumberFormat="1" applyFont="1" applyFill="1" applyBorder="1" applyAlignment="1">
      <alignment vertical="center"/>
    </xf>
    <xf numFmtId="38" fontId="1" fillId="0" borderId="7" xfId="0" applyNumberFormat="1" applyFont="1" applyBorder="1" applyAlignment="1">
      <alignment horizontal="right" vertical="center"/>
    </xf>
    <xf numFmtId="0" fontId="15" fillId="0" borderId="1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38" fontId="2" fillId="0" borderId="7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38" fontId="1" fillId="0" borderId="7" xfId="0" applyNumberFormat="1" applyFont="1" applyBorder="1" applyAlignment="1">
      <alignment horizontal="center" vertical="center"/>
    </xf>
    <xf numFmtId="38" fontId="1" fillId="0" borderId="15" xfId="0" applyNumberFormat="1" applyFont="1" applyBorder="1" applyAlignment="1">
      <alignment horizontal="center" vertical="center"/>
    </xf>
    <xf numFmtId="38" fontId="2" fillId="0" borderId="7" xfId="0" applyNumberFormat="1" applyFont="1" applyBorder="1" applyAlignment="1">
      <alignment horizontal="right" vertical="center"/>
    </xf>
    <xf numFmtId="38" fontId="1" fillId="0" borderId="7" xfId="0" applyNumberFormat="1" applyFont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5" fillId="0" borderId="11" xfId="0" applyFont="1" applyBorder="1" applyAlignment="1">
      <alignment vertical="center"/>
    </xf>
    <xf numFmtId="38" fontId="17" fillId="2" borderId="11" xfId="0" applyNumberFormat="1" applyFont="1" applyFill="1" applyBorder="1" applyAlignment="1">
      <alignment horizontal="center" vertical="center"/>
    </xf>
    <xf numFmtId="38" fontId="1" fillId="2" borderId="11" xfId="0" applyNumberFormat="1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38" fontId="1" fillId="4" borderId="6" xfId="0" applyNumberFormat="1" applyFont="1" applyFill="1" applyBorder="1" applyAlignment="1">
      <alignment vertical="center"/>
    </xf>
    <xf numFmtId="38" fontId="1" fillId="4" borderId="4" xfId="0" applyNumberFormat="1" applyFon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75"/>
  <sheetViews>
    <sheetView tabSelected="1" zoomScale="80" zoomScaleNormal="80" workbookViewId="0">
      <pane xSplit="1" ySplit="2" topLeftCell="D29" activePane="bottomRight" state="frozen"/>
      <selection pane="bottomLeft" activeCell="A3" sqref="A3"/>
      <selection pane="topRight" activeCell="B1" sqref="B1"/>
      <selection pane="bottomRight" activeCell="G50" sqref="G50"/>
    </sheetView>
  </sheetViews>
  <sheetFormatPr defaultColWidth="12.5078125" defaultRowHeight="15" customHeight="1" x14ac:dyDescent="0.2"/>
  <cols>
    <col min="1" max="1" width="12.23828125" style="84" bestFit="1" customWidth="1"/>
    <col min="2" max="2" width="6.58984375" style="84" bestFit="1" customWidth="1"/>
    <col min="3" max="3" width="7.3984375" style="84" bestFit="1" customWidth="1"/>
    <col min="4" max="4" width="9.55078125" style="84" bestFit="1" customWidth="1"/>
    <col min="5" max="5" width="11.02734375" style="84" bestFit="1" customWidth="1"/>
    <col min="6" max="6" width="4.83984375" style="84" bestFit="1" customWidth="1"/>
    <col min="7" max="7" width="8.609375" style="84" bestFit="1" customWidth="1"/>
    <col min="8" max="8" width="6.58984375" style="84" bestFit="1" customWidth="1"/>
    <col min="9" max="9" width="6.3203125" style="84" bestFit="1" customWidth="1"/>
    <col min="10" max="10" width="27.84375" style="36" bestFit="1" customWidth="1"/>
    <col min="11" max="11" width="6.45703125" style="84" bestFit="1" customWidth="1"/>
    <col min="12" max="12" width="9.14453125" style="84" bestFit="1" customWidth="1"/>
    <col min="13" max="13" width="7.80078125" style="84" bestFit="1" customWidth="1"/>
    <col min="14" max="14" width="33.765625" style="84" customWidth="1"/>
    <col min="15" max="15" width="0.8046875" style="84" customWidth="1"/>
    <col min="16" max="16" width="9.68359375" style="84" hidden="1" customWidth="1"/>
    <col min="17" max="17" width="7.3984375" style="84" hidden="1" customWidth="1"/>
    <col min="18" max="18" width="8.47265625" style="84" hidden="1" customWidth="1"/>
    <col min="19" max="19" width="11.02734375" style="84" hidden="1" customWidth="1"/>
    <col min="20" max="20" width="4.83984375" style="84" hidden="1" customWidth="1"/>
    <col min="21" max="21" width="8.609375" style="84" hidden="1" customWidth="1"/>
    <col min="22" max="23" width="6.3203125" style="84" hidden="1" customWidth="1"/>
    <col min="24" max="24" width="29.59375" style="36" hidden="1" customWidth="1"/>
    <col min="25" max="25" width="6.45703125" style="84" hidden="1" customWidth="1"/>
    <col min="26" max="26" width="9.14453125" style="84" hidden="1" customWidth="1"/>
    <col min="27" max="27" width="8.47265625" style="84" hidden="1" customWidth="1"/>
    <col min="28" max="28" width="24.48046875" style="70" hidden="1" customWidth="1"/>
    <col min="29" max="29" width="2.15234375" style="84" hidden="1" customWidth="1"/>
    <col min="30" max="30" width="9.68359375" style="84" hidden="1" customWidth="1"/>
    <col min="31" max="31" width="9.953125" style="84" hidden="1" customWidth="1"/>
    <col min="32" max="32" width="8.47265625" style="84" hidden="1" customWidth="1"/>
    <col min="33" max="33" width="9.953125" style="84" hidden="1" customWidth="1"/>
    <col min="34" max="34" width="4.83984375" style="84" hidden="1" customWidth="1"/>
    <col min="35" max="35" width="8.609375" style="84" hidden="1" customWidth="1"/>
    <col min="36" max="37" width="6.3203125" style="84" hidden="1" customWidth="1"/>
    <col min="38" max="38" width="21.7890625" style="36" hidden="1" customWidth="1"/>
    <col min="39" max="39" width="6.45703125" style="84" hidden="1" customWidth="1"/>
    <col min="40" max="40" width="9.14453125" style="84" hidden="1" customWidth="1"/>
    <col min="41" max="41" width="8.47265625" style="84" hidden="1" customWidth="1"/>
    <col min="42" max="42" width="19.90625" style="84" hidden="1" customWidth="1"/>
    <col min="43" max="43" width="2.15234375" style="84" customWidth="1"/>
    <col min="44" max="44" width="9.68359375" style="84" bestFit="1" customWidth="1"/>
    <col min="45" max="45" width="7.3984375" style="84" bestFit="1" customWidth="1"/>
    <col min="46" max="46" width="8.47265625" style="84" bestFit="1" customWidth="1"/>
    <col min="47" max="47" width="11.1640625" style="84" bestFit="1" customWidth="1"/>
    <col min="48" max="48" width="4.83984375" style="84" bestFit="1" customWidth="1"/>
    <col min="49" max="49" width="8.609375" style="84" bestFit="1" customWidth="1"/>
    <col min="50" max="50" width="7.3984375" style="84" bestFit="1" customWidth="1"/>
    <col min="51" max="51" width="8.47265625" style="84" bestFit="1" customWidth="1"/>
    <col min="52" max="52" width="18.0234375" style="36" bestFit="1" customWidth="1"/>
    <col min="53" max="53" width="6.45703125" style="84" bestFit="1" customWidth="1"/>
    <col min="54" max="54" width="8.609375" style="84" bestFit="1" customWidth="1"/>
    <col min="55" max="55" width="9.14453125" style="84" bestFit="1" customWidth="1"/>
    <col min="56" max="56" width="20.3125" style="84" customWidth="1"/>
    <col min="57" max="57" width="2.15234375" style="84" customWidth="1"/>
    <col min="58" max="58" width="9.68359375" style="84" bestFit="1" customWidth="1"/>
    <col min="59" max="59" width="7.3984375" style="84" bestFit="1" customWidth="1"/>
    <col min="60" max="60" width="8.47265625" style="84" bestFit="1" customWidth="1"/>
    <col min="61" max="61" width="11.02734375" style="84" bestFit="1" customWidth="1"/>
    <col min="62" max="62" width="4.83984375" style="84" bestFit="1" customWidth="1"/>
    <col min="63" max="63" width="8.609375" style="84" bestFit="1" customWidth="1"/>
    <col min="64" max="64" width="7.3984375" style="84" bestFit="1" customWidth="1"/>
    <col min="65" max="65" width="8.47265625" style="84" bestFit="1" customWidth="1"/>
    <col min="66" max="66" width="18.0234375" style="84" bestFit="1" customWidth="1"/>
    <col min="67" max="67" width="6.3203125" style="84" bestFit="1" customWidth="1"/>
    <col min="68" max="68" width="8.609375" style="84" bestFit="1" customWidth="1"/>
    <col min="69" max="69" width="9.14453125" style="84" bestFit="1" customWidth="1"/>
    <col min="70" max="70" width="20.58203125" style="84" bestFit="1" customWidth="1"/>
    <col min="71" max="71" width="2.15234375" style="84" hidden="1" customWidth="1"/>
    <col min="72" max="84" width="0.265625" style="84" hidden="1" customWidth="1"/>
    <col min="85" max="85" width="12.5078125" style="84" hidden="1" customWidth="1"/>
    <col min="86" max="16384" width="12.5078125" style="84"/>
  </cols>
  <sheetData>
    <row r="1" spans="1:84" ht="21" customHeight="1" x14ac:dyDescent="0.2">
      <c r="A1" s="115"/>
      <c r="B1" s="116"/>
      <c r="C1" s="116"/>
      <c r="D1" s="116"/>
      <c r="E1" s="119" t="s">
        <v>0</v>
      </c>
      <c r="F1" s="119"/>
      <c r="G1" s="119"/>
      <c r="H1" s="38"/>
      <c r="I1" s="38"/>
      <c r="J1" s="39"/>
      <c r="K1" s="38"/>
      <c r="L1" s="38"/>
      <c r="M1" s="38"/>
      <c r="N1" s="40"/>
      <c r="O1" s="38"/>
      <c r="P1" s="115"/>
      <c r="Q1" s="116"/>
      <c r="R1" s="116"/>
      <c r="S1" s="63"/>
      <c r="T1" s="38"/>
      <c r="U1" s="38"/>
      <c r="V1" s="38"/>
      <c r="W1" s="38"/>
      <c r="X1" s="39"/>
      <c r="Y1" s="38"/>
      <c r="Z1" s="38"/>
      <c r="AA1" s="38"/>
      <c r="AB1" s="65"/>
      <c r="AC1" s="38"/>
      <c r="AD1" s="115"/>
      <c r="AE1" s="116"/>
      <c r="AF1" s="116"/>
      <c r="AG1" s="38"/>
      <c r="AH1" s="38"/>
      <c r="AI1" s="38"/>
      <c r="AJ1" s="38"/>
      <c r="AK1" s="38"/>
      <c r="AL1" s="39"/>
      <c r="AM1" s="38"/>
      <c r="AN1" s="38"/>
      <c r="AO1" s="38"/>
      <c r="AP1" s="40"/>
      <c r="AQ1" s="38"/>
      <c r="AR1" s="115"/>
      <c r="AS1" s="116"/>
      <c r="AT1" s="116"/>
      <c r="AU1" s="117" t="s">
        <v>1</v>
      </c>
      <c r="AV1" s="116"/>
      <c r="AW1" s="116"/>
      <c r="AX1" s="41"/>
      <c r="AY1" s="41"/>
      <c r="AZ1" s="76"/>
      <c r="BA1" s="41"/>
      <c r="BB1" s="41"/>
      <c r="BC1" s="41"/>
      <c r="BD1" s="42"/>
      <c r="BE1" s="38"/>
      <c r="BF1" s="115"/>
      <c r="BG1" s="116"/>
      <c r="BH1" s="116"/>
      <c r="BI1" s="117" t="s">
        <v>2</v>
      </c>
      <c r="BJ1" s="116"/>
      <c r="BK1" s="116"/>
      <c r="BL1" s="41"/>
      <c r="BM1" s="41"/>
      <c r="BN1" s="41"/>
      <c r="BO1" s="41"/>
      <c r="BP1" s="41"/>
      <c r="BQ1" s="41"/>
      <c r="BR1" s="42"/>
      <c r="BS1" s="38"/>
      <c r="BT1" s="115"/>
      <c r="BU1" s="116"/>
      <c r="BV1" s="116"/>
      <c r="BW1" s="118"/>
      <c r="BX1" s="116"/>
      <c r="BY1" s="116"/>
      <c r="BZ1" s="41"/>
      <c r="CA1" s="41"/>
      <c r="CB1" s="41"/>
      <c r="CC1" s="41"/>
      <c r="CD1" s="41"/>
      <c r="CE1" s="41"/>
      <c r="CF1" s="42"/>
    </row>
    <row r="2" spans="1:84" ht="15" customHeight="1" x14ac:dyDescent="0.2">
      <c r="A2" s="2" t="s">
        <v>3</v>
      </c>
      <c r="B2" s="2"/>
      <c r="C2" s="3" t="s">
        <v>4</v>
      </c>
      <c r="D2" s="3" t="s">
        <v>5</v>
      </c>
      <c r="E2" s="4" t="s">
        <v>6</v>
      </c>
      <c r="F2" s="3" t="s">
        <v>5</v>
      </c>
      <c r="G2" s="3" t="s">
        <v>7</v>
      </c>
      <c r="H2" s="3" t="s">
        <v>8</v>
      </c>
      <c r="I2" s="3" t="s">
        <v>9</v>
      </c>
      <c r="J2" s="4" t="s">
        <v>10</v>
      </c>
      <c r="K2" s="3" t="s">
        <v>11</v>
      </c>
      <c r="L2" s="3" t="s">
        <v>8</v>
      </c>
      <c r="M2" s="3" t="s">
        <v>12</v>
      </c>
      <c r="N2" s="3" t="s">
        <v>13</v>
      </c>
      <c r="P2" s="2" t="s">
        <v>3</v>
      </c>
      <c r="Q2" s="3" t="s">
        <v>4</v>
      </c>
      <c r="R2" s="3" t="s">
        <v>5</v>
      </c>
      <c r="S2" s="4" t="s">
        <v>6</v>
      </c>
      <c r="T2" s="3" t="s">
        <v>5</v>
      </c>
      <c r="U2" s="3" t="s">
        <v>7</v>
      </c>
      <c r="V2" s="3" t="s">
        <v>8</v>
      </c>
      <c r="W2" s="3" t="s">
        <v>9</v>
      </c>
      <c r="X2" s="4" t="s">
        <v>10</v>
      </c>
      <c r="Y2" s="3" t="s">
        <v>11</v>
      </c>
      <c r="Z2" s="3" t="s">
        <v>8</v>
      </c>
      <c r="AA2" s="3" t="s">
        <v>12</v>
      </c>
      <c r="AB2" s="3" t="s">
        <v>13</v>
      </c>
      <c r="AD2" s="2" t="s">
        <v>3</v>
      </c>
      <c r="AE2" s="3" t="s">
        <v>4</v>
      </c>
      <c r="AF2" s="3" t="s">
        <v>5</v>
      </c>
      <c r="AG2" s="4" t="s">
        <v>6</v>
      </c>
      <c r="AH2" s="3" t="s">
        <v>5</v>
      </c>
      <c r="AI2" s="3" t="s">
        <v>7</v>
      </c>
      <c r="AJ2" s="3" t="s">
        <v>8</v>
      </c>
      <c r="AK2" s="3" t="s">
        <v>9</v>
      </c>
      <c r="AL2" s="4" t="s">
        <v>10</v>
      </c>
      <c r="AM2" s="3" t="s">
        <v>11</v>
      </c>
      <c r="AN2" s="3" t="s">
        <v>8</v>
      </c>
      <c r="AO2" s="3" t="s">
        <v>12</v>
      </c>
      <c r="AP2" s="3" t="s">
        <v>13</v>
      </c>
      <c r="AR2" s="2" t="s">
        <v>3</v>
      </c>
      <c r="AS2" s="3" t="s">
        <v>4</v>
      </c>
      <c r="AT2" s="3" t="s">
        <v>5</v>
      </c>
      <c r="AU2" s="3" t="s">
        <v>6</v>
      </c>
      <c r="AV2" s="3" t="s">
        <v>5</v>
      </c>
      <c r="AW2" s="3" t="s">
        <v>7</v>
      </c>
      <c r="AX2" s="3" t="s">
        <v>8</v>
      </c>
      <c r="AY2" s="3" t="s">
        <v>9</v>
      </c>
      <c r="AZ2" s="4" t="s">
        <v>14</v>
      </c>
      <c r="BA2" s="3" t="s">
        <v>11</v>
      </c>
      <c r="BB2" s="3" t="s">
        <v>15</v>
      </c>
      <c r="BC2" s="3" t="s">
        <v>16</v>
      </c>
      <c r="BD2" s="3" t="s">
        <v>13</v>
      </c>
      <c r="BF2" s="2" t="s">
        <v>3</v>
      </c>
      <c r="BG2" s="3" t="s">
        <v>4</v>
      </c>
      <c r="BH2" s="3" t="s">
        <v>5</v>
      </c>
      <c r="BI2" s="3" t="s">
        <v>6</v>
      </c>
      <c r="BJ2" s="3" t="s">
        <v>5</v>
      </c>
      <c r="BK2" s="3" t="s">
        <v>7</v>
      </c>
      <c r="BL2" s="3" t="s">
        <v>8</v>
      </c>
      <c r="BM2" s="3" t="s">
        <v>9</v>
      </c>
      <c r="BN2" s="4" t="s">
        <v>17</v>
      </c>
      <c r="BO2" s="3" t="s">
        <v>11</v>
      </c>
      <c r="BP2" s="3" t="s">
        <v>15</v>
      </c>
      <c r="BQ2" s="3" t="s">
        <v>16</v>
      </c>
      <c r="BR2" s="3" t="s">
        <v>13</v>
      </c>
      <c r="BT2" s="2" t="s">
        <v>3</v>
      </c>
      <c r="BU2" s="3" t="s">
        <v>4</v>
      </c>
      <c r="BV2" s="3" t="s">
        <v>5</v>
      </c>
      <c r="BW2" s="3" t="s">
        <v>6</v>
      </c>
      <c r="BX2" s="3" t="s">
        <v>5</v>
      </c>
      <c r="BY2" s="3" t="s">
        <v>7</v>
      </c>
      <c r="BZ2" s="3" t="s">
        <v>8</v>
      </c>
      <c r="CA2" s="3" t="s">
        <v>9</v>
      </c>
      <c r="CB2" s="4" t="s">
        <v>17</v>
      </c>
      <c r="CC2" s="3" t="s">
        <v>11</v>
      </c>
      <c r="CD2" s="3" t="s">
        <v>15</v>
      </c>
      <c r="CE2" s="3" t="s">
        <v>16</v>
      </c>
      <c r="CF2" s="3" t="s">
        <v>13</v>
      </c>
    </row>
    <row r="3" spans="1:84" ht="15" customHeight="1" x14ac:dyDescent="0.2">
      <c r="A3" s="43">
        <v>46140</v>
      </c>
      <c r="B3" s="5"/>
      <c r="C3" s="37">
        <v>80</v>
      </c>
      <c r="D3" s="37"/>
      <c r="E3" s="37">
        <v>26</v>
      </c>
      <c r="F3" s="37"/>
      <c r="G3" s="37"/>
      <c r="H3" s="37"/>
      <c r="I3" s="37"/>
      <c r="J3" s="44" t="s">
        <v>18</v>
      </c>
      <c r="K3" s="45">
        <v>770</v>
      </c>
      <c r="L3" s="37"/>
      <c r="M3" s="46"/>
      <c r="N3" s="6"/>
      <c r="P3" s="43"/>
      <c r="Q3" s="37"/>
      <c r="R3" s="37"/>
      <c r="S3" s="37"/>
      <c r="T3" s="37"/>
      <c r="U3" s="37"/>
      <c r="V3" s="37"/>
      <c r="W3" s="37"/>
      <c r="X3" s="44"/>
      <c r="Y3" s="45"/>
      <c r="Z3" s="37"/>
      <c r="AA3" s="46"/>
      <c r="AB3" s="67"/>
      <c r="AD3" s="43"/>
      <c r="AE3" s="37"/>
      <c r="AF3" s="37"/>
      <c r="AG3" s="37"/>
      <c r="AH3" s="37"/>
      <c r="AI3" s="37"/>
      <c r="AJ3" s="37"/>
      <c r="AK3" s="37"/>
      <c r="AL3" s="44"/>
      <c r="AM3" s="45"/>
      <c r="AN3" s="37"/>
      <c r="AO3" s="46"/>
      <c r="AP3" s="47"/>
      <c r="AR3" s="43">
        <v>46140</v>
      </c>
      <c r="AS3" s="7">
        <v>357</v>
      </c>
      <c r="AT3" s="8"/>
      <c r="AU3" s="8">
        <v>15</v>
      </c>
      <c r="AV3" s="8"/>
      <c r="AW3" s="8"/>
      <c r="AX3" s="8"/>
      <c r="AY3" s="8">
        <v>9</v>
      </c>
      <c r="AZ3" s="31" t="s">
        <v>19</v>
      </c>
      <c r="BA3" s="37">
        <v>1100</v>
      </c>
      <c r="BB3" s="8"/>
      <c r="BC3" s="9"/>
      <c r="BD3" s="6"/>
      <c r="BF3" s="43">
        <v>46140</v>
      </c>
      <c r="BG3" s="7">
        <v>358</v>
      </c>
      <c r="BH3" s="8"/>
      <c r="BI3" s="8">
        <v>16</v>
      </c>
      <c r="BJ3" s="8"/>
      <c r="BK3" s="8"/>
      <c r="BL3" s="8"/>
      <c r="BM3" s="8">
        <v>15</v>
      </c>
      <c r="BN3" s="31" t="s">
        <v>19</v>
      </c>
      <c r="BO3" s="37">
        <v>1100</v>
      </c>
      <c r="BP3" s="8"/>
      <c r="BQ3" s="9"/>
      <c r="BR3" s="6"/>
      <c r="BT3" s="43"/>
      <c r="BU3" s="7"/>
      <c r="BV3" s="8"/>
      <c r="BW3" s="8"/>
      <c r="BX3" s="8"/>
      <c r="BY3" s="8"/>
      <c r="BZ3" s="8"/>
      <c r="CA3" s="8"/>
      <c r="CB3" s="31"/>
      <c r="CC3" s="37"/>
      <c r="CD3" s="8"/>
      <c r="CE3" s="9"/>
      <c r="CF3" s="6"/>
    </row>
    <row r="4" spans="1:84" ht="15" customHeight="1" x14ac:dyDescent="0.2">
      <c r="A4" s="10"/>
      <c r="B4" s="10"/>
      <c r="C4" s="8">
        <v>323</v>
      </c>
      <c r="D4" s="8"/>
      <c r="E4" s="8">
        <v>48</v>
      </c>
      <c r="F4" s="8"/>
      <c r="G4" s="8"/>
      <c r="H4" s="8"/>
      <c r="I4" s="8"/>
      <c r="J4" s="44" t="s">
        <v>20</v>
      </c>
      <c r="K4" s="37">
        <v>572</v>
      </c>
      <c r="L4" s="8"/>
      <c r="M4" s="9"/>
      <c r="N4" s="6"/>
      <c r="P4" s="10"/>
      <c r="Q4" s="8"/>
      <c r="R4" s="8"/>
      <c r="S4" s="8"/>
      <c r="T4" s="8"/>
      <c r="U4" s="8"/>
      <c r="V4" s="8"/>
      <c r="W4" s="8"/>
      <c r="X4" s="44"/>
      <c r="Y4" s="37"/>
      <c r="Z4" s="8"/>
      <c r="AA4" s="9"/>
      <c r="AB4" s="68"/>
      <c r="AD4" s="43"/>
      <c r="AE4" s="8"/>
      <c r="AF4" s="8"/>
      <c r="AG4" s="8"/>
      <c r="AH4" s="8"/>
      <c r="AI4" s="8"/>
      <c r="AJ4" s="8"/>
      <c r="AK4" s="8"/>
      <c r="AL4" s="44"/>
      <c r="AM4" s="37"/>
      <c r="AN4" s="8"/>
      <c r="AO4" s="9"/>
      <c r="AP4" s="6"/>
      <c r="AR4" s="43">
        <f>IF(A7="","",A7)</f>
        <v>46144</v>
      </c>
      <c r="AS4" s="8">
        <v>6</v>
      </c>
      <c r="AT4" s="8">
        <v>76</v>
      </c>
      <c r="AU4" s="8">
        <v>15</v>
      </c>
      <c r="AV4" s="8">
        <f t="shared" ref="AV4:AV33" si="0">IF(AU4="","",AU4-AU3)</f>
        <v>0</v>
      </c>
      <c r="AW4" s="8">
        <v>8</v>
      </c>
      <c r="AX4" s="8">
        <f t="shared" ref="AX4:AX33" si="1">IF(AW4="","",AW3+AY3-AW4)</f>
        <v>1</v>
      </c>
      <c r="AY4" s="8">
        <v>4</v>
      </c>
      <c r="AZ4" s="31" t="str">
        <f t="shared" ref="AZ4:AZ24" si="2">IF(AS4="","",AZ3)</f>
        <v>A景品</v>
      </c>
      <c r="BA4" s="37">
        <f t="shared" ref="BA4:BA14" si="3">IF(AS4="","",BA3)</f>
        <v>1100</v>
      </c>
      <c r="BB4" s="8">
        <f t="shared" ref="BB4:BB35" si="4">IF(BA4="","",AX4*BA4)</f>
        <v>1100</v>
      </c>
      <c r="BC4" s="9"/>
      <c r="BD4" s="101" t="s">
        <v>21</v>
      </c>
      <c r="BF4" s="43">
        <f>IF(A7="","",A7)</f>
        <v>46144</v>
      </c>
      <c r="BG4" s="8">
        <v>387</v>
      </c>
      <c r="BH4" s="102">
        <f t="shared" ref="BH4:BH33" si="5">IF(BG4="","",BG4-BG3)</f>
        <v>29</v>
      </c>
      <c r="BI4" s="8">
        <v>16</v>
      </c>
      <c r="BJ4" s="8">
        <f t="shared" ref="BJ4:BJ33" si="6">IF(BI4="","",BI4-BI3)</f>
        <v>0</v>
      </c>
      <c r="BK4" s="8">
        <v>15</v>
      </c>
      <c r="BL4" s="8">
        <f t="shared" ref="BL4:BL33" si="7">IF(BK4="","",BK3+BM3-BK4)</f>
        <v>0</v>
      </c>
      <c r="BM4" s="8">
        <v>0</v>
      </c>
      <c r="BN4" s="31" t="str">
        <f t="shared" ref="BN4:BN24" si="8">IF(BG4="","",BN3)</f>
        <v>A景品</v>
      </c>
      <c r="BO4" s="37">
        <f t="shared" ref="BO4:BO14" si="9">IF(BG4="","",BO3)</f>
        <v>1100</v>
      </c>
      <c r="BP4" s="8">
        <f t="shared" ref="BP4:BP35" si="10">IF(BO4="","",BL4*BO4)</f>
        <v>0</v>
      </c>
      <c r="BQ4" s="9">
        <f t="shared" ref="BQ4:BQ35" si="11">IF(BP4="","",BP4/(BH4*100))</f>
        <v>0</v>
      </c>
      <c r="BR4" s="101" t="s">
        <v>22</v>
      </c>
      <c r="BT4" s="43">
        <f>IF(A7="","",A7)</f>
        <v>46144</v>
      </c>
      <c r="BU4" s="8"/>
      <c r="BV4" s="8" t="str">
        <f t="shared" ref="BV4:BV33" si="12">IF(BU4="","",BU4-BU3)</f>
        <v/>
      </c>
      <c r="BW4" s="8"/>
      <c r="BX4" s="8" t="str">
        <f t="shared" ref="BX4:BX33" si="13">IF(BW4="","",BW4-BW3)</f>
        <v/>
      </c>
      <c r="BY4" s="8"/>
      <c r="BZ4" s="8" t="str">
        <f t="shared" ref="BZ4:BZ33" si="14">IF(BY4="","",BY3+CA3-BY4)</f>
        <v/>
      </c>
      <c r="CA4" s="8"/>
      <c r="CB4" s="31" t="str">
        <f t="shared" ref="CB4:CB24" si="15">IF(BU4="","",CB3)</f>
        <v/>
      </c>
      <c r="CC4" s="37" t="str">
        <f t="shared" ref="CC4:CC15" si="16">IF(BU4="","",CC3)</f>
        <v/>
      </c>
      <c r="CD4" s="8" t="str">
        <f t="shared" ref="CD4:CD35" si="17">IF(CC4="","",BZ4*CC4)</f>
        <v/>
      </c>
      <c r="CE4" s="9" t="str">
        <f t="shared" ref="CE4:CE35" si="18">IF(CD4="","",CD4/(BV4*100))</f>
        <v/>
      </c>
      <c r="CF4" s="6"/>
    </row>
    <row r="5" spans="1:84" ht="15" customHeight="1" x14ac:dyDescent="0.2">
      <c r="A5" s="10"/>
      <c r="B5" s="10"/>
      <c r="C5" s="8">
        <v>172</v>
      </c>
      <c r="D5" s="8"/>
      <c r="E5" s="8">
        <v>38</v>
      </c>
      <c r="F5" s="8"/>
      <c r="G5" s="8"/>
      <c r="H5" s="8"/>
      <c r="I5" s="8"/>
      <c r="J5" s="31" t="s">
        <v>23</v>
      </c>
      <c r="K5" s="48">
        <v>209</v>
      </c>
      <c r="L5" s="8"/>
      <c r="M5" s="9"/>
      <c r="N5" s="6"/>
      <c r="P5" s="10"/>
      <c r="Q5" s="8"/>
      <c r="R5" s="8"/>
      <c r="S5" s="8"/>
      <c r="T5" s="8"/>
      <c r="U5" s="8"/>
      <c r="V5" s="8"/>
      <c r="W5" s="8"/>
      <c r="X5" s="31"/>
      <c r="Y5" s="48"/>
      <c r="Z5" s="8"/>
      <c r="AA5" s="9"/>
      <c r="AB5" s="68"/>
      <c r="AD5" s="10"/>
      <c r="AE5" s="8"/>
      <c r="AF5" s="8"/>
      <c r="AG5" s="8"/>
      <c r="AH5" s="8"/>
      <c r="AI5" s="8"/>
      <c r="AJ5" s="8"/>
      <c r="AK5" s="8"/>
      <c r="AL5" s="31"/>
      <c r="AM5" s="48"/>
      <c r="AN5" s="8"/>
      <c r="AO5" s="9"/>
      <c r="AP5" s="6"/>
      <c r="AR5" s="43">
        <f>IF(A11="","",A11)</f>
        <v>46147</v>
      </c>
      <c r="AS5" s="8">
        <v>70</v>
      </c>
      <c r="AT5" s="8">
        <f t="shared" ref="AT5:AT33" si="19">IF(AS5="","",AS5-AS4)</f>
        <v>64</v>
      </c>
      <c r="AU5" s="8">
        <v>15</v>
      </c>
      <c r="AV5" s="8">
        <f t="shared" si="0"/>
        <v>0</v>
      </c>
      <c r="AW5" s="8">
        <v>12</v>
      </c>
      <c r="AX5" s="8">
        <f t="shared" si="1"/>
        <v>0</v>
      </c>
      <c r="AY5" s="8">
        <v>0</v>
      </c>
      <c r="AZ5" s="31" t="str">
        <f t="shared" si="2"/>
        <v>A景品</v>
      </c>
      <c r="BA5" s="37">
        <f t="shared" si="3"/>
        <v>1100</v>
      </c>
      <c r="BB5" s="8">
        <f t="shared" si="4"/>
        <v>0</v>
      </c>
      <c r="BC5" s="9">
        <f t="shared" ref="BC5:BC35" si="20">IF(BB5="","",BB5/(AT5*100))</f>
        <v>0</v>
      </c>
      <c r="BD5" s="6"/>
      <c r="BF5" s="43">
        <f>IF(A11="","",A11)</f>
        <v>46147</v>
      </c>
      <c r="BG5" s="8">
        <v>426</v>
      </c>
      <c r="BH5" s="102">
        <f t="shared" si="5"/>
        <v>39</v>
      </c>
      <c r="BI5" s="8">
        <v>16</v>
      </c>
      <c r="BJ5" s="8">
        <f t="shared" si="6"/>
        <v>0</v>
      </c>
      <c r="BK5" s="8">
        <v>15</v>
      </c>
      <c r="BL5" s="8">
        <f t="shared" si="7"/>
        <v>0</v>
      </c>
      <c r="BM5" s="8">
        <v>0</v>
      </c>
      <c r="BN5" s="31" t="str">
        <f t="shared" si="8"/>
        <v>A景品</v>
      </c>
      <c r="BO5" s="37">
        <f t="shared" si="9"/>
        <v>1100</v>
      </c>
      <c r="BP5" s="8">
        <f t="shared" si="10"/>
        <v>0</v>
      </c>
      <c r="BQ5" s="9">
        <f t="shared" si="11"/>
        <v>0</v>
      </c>
      <c r="BR5" s="6"/>
      <c r="BT5" s="43">
        <f>IF(A11="","",A11)</f>
        <v>46147</v>
      </c>
      <c r="BU5" s="8"/>
      <c r="BV5" s="8" t="str">
        <f t="shared" si="12"/>
        <v/>
      </c>
      <c r="BW5" s="8"/>
      <c r="BX5" s="8" t="str">
        <f t="shared" si="13"/>
        <v/>
      </c>
      <c r="BY5" s="8"/>
      <c r="BZ5" s="8" t="str">
        <f t="shared" si="14"/>
        <v/>
      </c>
      <c r="CA5" s="8"/>
      <c r="CB5" s="31" t="str">
        <f t="shared" si="15"/>
        <v/>
      </c>
      <c r="CC5" s="37" t="str">
        <f t="shared" si="16"/>
        <v/>
      </c>
      <c r="CD5" s="8" t="str">
        <f t="shared" si="17"/>
        <v/>
      </c>
      <c r="CE5" s="9" t="str">
        <f t="shared" si="18"/>
        <v/>
      </c>
      <c r="CF5" s="6"/>
    </row>
    <row r="6" spans="1:84" ht="15" customHeight="1" thickBot="1" x14ac:dyDescent="0.25">
      <c r="A6" s="13"/>
      <c r="B6" s="13"/>
      <c r="C6" s="14">
        <v>163</v>
      </c>
      <c r="D6" s="14"/>
      <c r="E6" s="14">
        <v>38</v>
      </c>
      <c r="F6" s="14"/>
      <c r="G6" s="14"/>
      <c r="H6" s="14"/>
      <c r="I6" s="14"/>
      <c r="J6" s="32" t="s">
        <v>24</v>
      </c>
      <c r="K6" s="14">
        <v>286</v>
      </c>
      <c r="L6" s="14"/>
      <c r="M6" s="15"/>
      <c r="N6" s="6"/>
      <c r="P6" s="13"/>
      <c r="Q6" s="14"/>
      <c r="R6" s="14"/>
      <c r="S6" s="14"/>
      <c r="T6" s="14"/>
      <c r="U6" s="14"/>
      <c r="V6" s="14"/>
      <c r="W6" s="14"/>
      <c r="X6" s="32"/>
      <c r="Y6" s="14"/>
      <c r="Z6" s="14"/>
      <c r="AA6" s="15"/>
      <c r="AB6" s="68"/>
      <c r="AD6" s="13"/>
      <c r="AE6" s="14"/>
      <c r="AF6" s="14"/>
      <c r="AG6" s="14"/>
      <c r="AH6" s="14"/>
      <c r="AI6" s="14"/>
      <c r="AJ6" s="14"/>
      <c r="AK6" s="14"/>
      <c r="AL6" s="32"/>
      <c r="AM6" s="14"/>
      <c r="AN6" s="14"/>
      <c r="AO6" s="15"/>
      <c r="AP6" s="6"/>
      <c r="AR6" s="43">
        <f>IF(A15="","",A15)</f>
        <v>46151</v>
      </c>
      <c r="AS6" s="8">
        <v>207</v>
      </c>
      <c r="AT6" s="8">
        <f t="shared" si="19"/>
        <v>137</v>
      </c>
      <c r="AU6" s="8">
        <v>17</v>
      </c>
      <c r="AV6" s="8">
        <f t="shared" si="0"/>
        <v>2</v>
      </c>
      <c r="AW6" s="8">
        <v>10</v>
      </c>
      <c r="AX6" s="8">
        <f t="shared" si="1"/>
        <v>2</v>
      </c>
      <c r="AY6" s="8">
        <v>2</v>
      </c>
      <c r="AZ6" s="31" t="str">
        <f t="shared" si="2"/>
        <v>A景品</v>
      </c>
      <c r="BA6" s="37">
        <f t="shared" si="3"/>
        <v>1100</v>
      </c>
      <c r="BB6" s="8">
        <f t="shared" si="4"/>
        <v>2200</v>
      </c>
      <c r="BC6" s="9">
        <f t="shared" si="20"/>
        <v>0.16058394160583941</v>
      </c>
      <c r="BD6" s="6"/>
      <c r="BF6" s="43">
        <f>IF(A15="","",A15)</f>
        <v>46151</v>
      </c>
      <c r="BG6" s="8">
        <v>475</v>
      </c>
      <c r="BH6" s="102">
        <f t="shared" si="5"/>
        <v>49</v>
      </c>
      <c r="BI6" s="8">
        <v>18</v>
      </c>
      <c r="BJ6" s="8">
        <f t="shared" si="6"/>
        <v>2</v>
      </c>
      <c r="BK6" s="8">
        <v>13</v>
      </c>
      <c r="BL6" s="8">
        <f t="shared" si="7"/>
        <v>2</v>
      </c>
      <c r="BM6" s="8">
        <v>2</v>
      </c>
      <c r="BN6" s="31" t="str">
        <f t="shared" si="8"/>
        <v>A景品</v>
      </c>
      <c r="BO6" s="37">
        <f t="shared" si="9"/>
        <v>1100</v>
      </c>
      <c r="BP6" s="8">
        <f t="shared" si="10"/>
        <v>2200</v>
      </c>
      <c r="BQ6" s="9">
        <f t="shared" si="11"/>
        <v>0.44897959183673469</v>
      </c>
      <c r="BR6" s="6"/>
      <c r="BT6" s="43">
        <f>IF(A15="","",A15)</f>
        <v>46151</v>
      </c>
      <c r="BU6" s="8"/>
      <c r="BV6" s="8" t="str">
        <f t="shared" si="12"/>
        <v/>
      </c>
      <c r="BW6" s="8"/>
      <c r="BX6" s="8" t="str">
        <f t="shared" si="13"/>
        <v/>
      </c>
      <c r="BY6" s="8"/>
      <c r="BZ6" s="8" t="str">
        <f t="shared" si="14"/>
        <v/>
      </c>
      <c r="CA6" s="8"/>
      <c r="CB6" s="31" t="str">
        <f t="shared" si="15"/>
        <v/>
      </c>
      <c r="CC6" s="37" t="str">
        <f t="shared" si="16"/>
        <v/>
      </c>
      <c r="CD6" s="8" t="str">
        <f t="shared" si="17"/>
        <v/>
      </c>
      <c r="CE6" s="9" t="str">
        <f t="shared" si="18"/>
        <v/>
      </c>
      <c r="CF6" s="6"/>
    </row>
    <row r="7" spans="1:84" ht="15" customHeight="1" thickTop="1" x14ac:dyDescent="0.2">
      <c r="A7" s="43">
        <v>46144</v>
      </c>
      <c r="B7" s="100">
        <f>SUM(D7:D10)+SUM(AT4,BH4)</f>
        <v>388</v>
      </c>
      <c r="C7" s="37">
        <v>182</v>
      </c>
      <c r="D7" s="37">
        <f t="shared" ref="D7:D54" si="21">IF(C7="","",C7-C3)</f>
        <v>102</v>
      </c>
      <c r="E7" s="37">
        <v>27</v>
      </c>
      <c r="F7" s="16">
        <f t="shared" ref="F7:F54" si="22">IF(E7="","",E7-E3)</f>
        <v>1</v>
      </c>
      <c r="G7" s="37">
        <v>13</v>
      </c>
      <c r="H7" s="37">
        <v>1</v>
      </c>
      <c r="I7" s="37">
        <v>0</v>
      </c>
      <c r="J7" s="44" t="str">
        <f t="shared" ref="J7:K12" si="23">IF(C7="","",J3)</f>
        <v>たまごっちミニチュアポシェット</v>
      </c>
      <c r="K7" s="45">
        <f t="shared" si="23"/>
        <v>770</v>
      </c>
      <c r="L7" s="16">
        <f t="shared" ref="L7:L54" si="24">IF(G7="","",H7*K7)</f>
        <v>770</v>
      </c>
      <c r="M7" s="17">
        <f t="shared" ref="M7:M54" si="25">IF(H7="","",L7/(D7*100))</f>
        <v>7.5490196078431368E-2</v>
      </c>
      <c r="N7" s="6"/>
      <c r="P7" s="43">
        <f>IF(A7="","",A7)</f>
        <v>46144</v>
      </c>
      <c r="Q7" s="37"/>
      <c r="R7" s="37" t="str">
        <f t="shared" ref="R7:R54" si="26">IF(Q7="","",Q7-Q3)</f>
        <v/>
      </c>
      <c r="S7" s="37"/>
      <c r="T7" s="16" t="str">
        <f t="shared" ref="T7:T54" si="27">IF(S7="","",S7-S3)</f>
        <v/>
      </c>
      <c r="U7" s="37"/>
      <c r="V7" s="37" t="str">
        <f t="shared" ref="V7:V54" si="28">IF(U7="","",U3+W3-U7)</f>
        <v/>
      </c>
      <c r="W7" s="37"/>
      <c r="X7" s="44" t="str">
        <f>IF(Q7="","",X3)</f>
        <v/>
      </c>
      <c r="Y7" s="45" t="str">
        <f>IF(R7="","",Y3)</f>
        <v/>
      </c>
      <c r="Z7" s="16" t="str">
        <f t="shared" ref="Z7:Z54" si="29">IF(U7="","",V7*Y7)</f>
        <v/>
      </c>
      <c r="AA7" s="17" t="str">
        <f t="shared" ref="AA7:AA54" si="30">IF(V7="","",Z7/(R7*100))</f>
        <v/>
      </c>
      <c r="AB7" s="6"/>
      <c r="AD7" s="43">
        <f>IF(A7="","",A7)</f>
        <v>46144</v>
      </c>
      <c r="AE7" s="37"/>
      <c r="AF7" s="37" t="str">
        <f t="shared" ref="AF7:AF54" si="31">IF(AE7="","",AE7-AE3)</f>
        <v/>
      </c>
      <c r="AG7" s="37"/>
      <c r="AH7" s="16" t="str">
        <f t="shared" ref="AH7:AH54" si="32">IF(AG7="","",AG7-AG3)</f>
        <v/>
      </c>
      <c r="AI7" s="37"/>
      <c r="AJ7" s="37" t="str">
        <f t="shared" ref="AJ7:AJ54" si="33">IF(AI7="","",AI3+AK3-AI7)</f>
        <v/>
      </c>
      <c r="AK7" s="37"/>
      <c r="AL7" s="44" t="str">
        <f t="shared" ref="AL7:AM11" si="34">IF(AE7="","",AL3)</f>
        <v/>
      </c>
      <c r="AM7" s="45" t="str">
        <f t="shared" si="34"/>
        <v/>
      </c>
      <c r="AN7" s="16" t="str">
        <f t="shared" ref="AN7:AN54" si="35">IF(AI7="","",AJ7*AM7)</f>
        <v/>
      </c>
      <c r="AO7" s="17" t="str">
        <f t="shared" ref="AO7:AO54" si="36">IF(AJ7="","",AN7/(AF7*100))</f>
        <v/>
      </c>
      <c r="AP7" s="6"/>
      <c r="AR7" s="43">
        <f>IF(A19="","",A19)</f>
        <v>46156</v>
      </c>
      <c r="AS7" s="8">
        <v>303</v>
      </c>
      <c r="AT7" s="8">
        <f t="shared" si="19"/>
        <v>96</v>
      </c>
      <c r="AU7" s="8">
        <v>18</v>
      </c>
      <c r="AV7" s="8">
        <f t="shared" si="0"/>
        <v>1</v>
      </c>
      <c r="AW7" s="8">
        <v>11</v>
      </c>
      <c r="AX7" s="8">
        <f t="shared" si="1"/>
        <v>1</v>
      </c>
      <c r="AY7" s="8">
        <v>0</v>
      </c>
      <c r="AZ7" s="31" t="str">
        <f t="shared" si="2"/>
        <v>A景品</v>
      </c>
      <c r="BA7" s="37">
        <f t="shared" si="3"/>
        <v>1100</v>
      </c>
      <c r="BB7" s="8">
        <f t="shared" si="4"/>
        <v>1100</v>
      </c>
      <c r="BC7" s="9">
        <f t="shared" si="20"/>
        <v>0.11458333333333333</v>
      </c>
      <c r="BD7" s="6"/>
      <c r="BF7" s="43">
        <f>IF(A19="","",A19)</f>
        <v>46156</v>
      </c>
      <c r="BG7" s="8">
        <v>542</v>
      </c>
      <c r="BH7" s="8">
        <f t="shared" si="5"/>
        <v>67</v>
      </c>
      <c r="BI7" s="8">
        <v>20</v>
      </c>
      <c r="BJ7" s="8">
        <f t="shared" si="6"/>
        <v>2</v>
      </c>
      <c r="BK7" s="8">
        <v>11</v>
      </c>
      <c r="BL7" s="8">
        <v>2</v>
      </c>
      <c r="BM7" s="8">
        <v>0</v>
      </c>
      <c r="BN7" s="31" t="str">
        <f t="shared" si="8"/>
        <v>A景品</v>
      </c>
      <c r="BO7" s="37">
        <f t="shared" si="9"/>
        <v>1100</v>
      </c>
      <c r="BP7" s="8">
        <f t="shared" si="10"/>
        <v>2200</v>
      </c>
      <c r="BQ7" s="9">
        <f t="shared" si="11"/>
        <v>0.32835820895522388</v>
      </c>
      <c r="BR7" s="6"/>
      <c r="BT7" s="43">
        <f>IF(A19="","",A19)</f>
        <v>46156</v>
      </c>
      <c r="BU7" s="8"/>
      <c r="BV7" s="8" t="str">
        <f t="shared" si="12"/>
        <v/>
      </c>
      <c r="BW7" s="8"/>
      <c r="BX7" s="8" t="str">
        <f t="shared" si="13"/>
        <v/>
      </c>
      <c r="BY7" s="8"/>
      <c r="BZ7" s="8" t="str">
        <f t="shared" si="14"/>
        <v/>
      </c>
      <c r="CA7" s="8"/>
      <c r="CB7" s="31" t="str">
        <f t="shared" si="15"/>
        <v/>
      </c>
      <c r="CC7" s="37" t="str">
        <f t="shared" si="16"/>
        <v/>
      </c>
      <c r="CD7" s="8" t="str">
        <f t="shared" si="17"/>
        <v/>
      </c>
      <c r="CE7" s="9" t="str">
        <f t="shared" si="18"/>
        <v/>
      </c>
      <c r="CF7" s="6"/>
    </row>
    <row r="8" spans="1:84" ht="15" customHeight="1" x14ac:dyDescent="0.2">
      <c r="A8" s="18"/>
      <c r="B8" s="10"/>
      <c r="C8" s="8">
        <v>372</v>
      </c>
      <c r="D8" s="8">
        <f t="shared" si="21"/>
        <v>49</v>
      </c>
      <c r="E8" s="8">
        <v>49</v>
      </c>
      <c r="F8" s="8">
        <f t="shared" si="22"/>
        <v>1</v>
      </c>
      <c r="G8" s="8">
        <v>7</v>
      </c>
      <c r="H8" s="8">
        <v>1</v>
      </c>
      <c r="I8" s="8">
        <v>0</v>
      </c>
      <c r="J8" s="31" t="str">
        <f t="shared" si="23"/>
        <v>モンチッチフルーツMC</v>
      </c>
      <c r="K8" s="48">
        <f t="shared" si="23"/>
        <v>572</v>
      </c>
      <c r="L8" s="8">
        <f t="shared" si="24"/>
        <v>572</v>
      </c>
      <c r="M8" s="9">
        <f t="shared" si="25"/>
        <v>0.11673469387755102</v>
      </c>
      <c r="N8" s="6"/>
      <c r="P8" s="10"/>
      <c r="Q8" s="8"/>
      <c r="R8" s="8" t="str">
        <f t="shared" si="26"/>
        <v/>
      </c>
      <c r="S8" s="8"/>
      <c r="T8" s="8" t="str">
        <f t="shared" si="27"/>
        <v/>
      </c>
      <c r="U8" s="8"/>
      <c r="V8" s="8" t="str">
        <f t="shared" si="28"/>
        <v/>
      </c>
      <c r="W8" s="8"/>
      <c r="X8" s="31" t="str">
        <f>IF(Q8="","",X4)</f>
        <v/>
      </c>
      <c r="Y8" s="48" t="str">
        <f>IF(R8="","",Y4)</f>
        <v/>
      </c>
      <c r="Z8" s="8" t="str">
        <f t="shared" si="29"/>
        <v/>
      </c>
      <c r="AA8" s="9" t="str">
        <f t="shared" si="30"/>
        <v/>
      </c>
      <c r="AB8" s="6"/>
      <c r="AD8" s="10"/>
      <c r="AE8" s="8"/>
      <c r="AF8" s="8" t="str">
        <f t="shared" si="31"/>
        <v/>
      </c>
      <c r="AG8" s="8"/>
      <c r="AH8" s="8" t="str">
        <f t="shared" si="32"/>
        <v/>
      </c>
      <c r="AI8" s="8"/>
      <c r="AJ8" s="8" t="str">
        <f t="shared" si="33"/>
        <v/>
      </c>
      <c r="AK8" s="8"/>
      <c r="AL8" s="31" t="str">
        <f t="shared" si="34"/>
        <v/>
      </c>
      <c r="AM8" s="48" t="str">
        <f t="shared" si="34"/>
        <v/>
      </c>
      <c r="AN8" s="8" t="str">
        <f t="shared" si="35"/>
        <v/>
      </c>
      <c r="AO8" s="9" t="str">
        <f t="shared" si="36"/>
        <v/>
      </c>
      <c r="AP8" s="6"/>
      <c r="AR8" s="43">
        <f>IF(A23="","",A23)</f>
        <v>46158</v>
      </c>
      <c r="AS8" s="8">
        <v>354</v>
      </c>
      <c r="AT8" s="8">
        <f t="shared" si="19"/>
        <v>51</v>
      </c>
      <c r="AU8" s="8">
        <v>18</v>
      </c>
      <c r="AV8" s="8">
        <f t="shared" si="0"/>
        <v>0</v>
      </c>
      <c r="AW8" s="8">
        <v>11</v>
      </c>
      <c r="AX8" s="8">
        <f t="shared" si="1"/>
        <v>0</v>
      </c>
      <c r="AY8" s="8">
        <v>0</v>
      </c>
      <c r="AZ8" s="31" t="str">
        <f t="shared" si="2"/>
        <v>A景品</v>
      </c>
      <c r="BA8" s="37">
        <f t="shared" si="3"/>
        <v>1100</v>
      </c>
      <c r="BB8" s="8">
        <f t="shared" si="4"/>
        <v>0</v>
      </c>
      <c r="BC8" s="9">
        <f t="shared" si="20"/>
        <v>0</v>
      </c>
      <c r="BD8" s="6"/>
      <c r="BF8" s="43">
        <f>IF(A23="","",A23)</f>
        <v>46158</v>
      </c>
      <c r="BG8" s="8">
        <v>571</v>
      </c>
      <c r="BH8" s="8">
        <f t="shared" si="5"/>
        <v>29</v>
      </c>
      <c r="BI8" s="8">
        <v>21</v>
      </c>
      <c r="BJ8" s="8">
        <f t="shared" si="6"/>
        <v>1</v>
      </c>
      <c r="BK8" s="8">
        <v>10</v>
      </c>
      <c r="BL8" s="8">
        <f t="shared" si="7"/>
        <v>1</v>
      </c>
      <c r="BM8" s="8">
        <v>2</v>
      </c>
      <c r="BN8" s="31" t="str">
        <f t="shared" si="8"/>
        <v>A景品</v>
      </c>
      <c r="BO8" s="37">
        <f t="shared" si="9"/>
        <v>1100</v>
      </c>
      <c r="BP8" s="8">
        <f t="shared" si="10"/>
        <v>1100</v>
      </c>
      <c r="BQ8" s="9">
        <f t="shared" si="11"/>
        <v>0.37931034482758619</v>
      </c>
      <c r="BR8" s="6"/>
      <c r="BT8" s="43">
        <f>IF(A23="","",A23)</f>
        <v>46158</v>
      </c>
      <c r="BU8" s="8"/>
      <c r="BV8" s="8" t="str">
        <f t="shared" si="12"/>
        <v/>
      </c>
      <c r="BW8" s="8"/>
      <c r="BX8" s="8" t="str">
        <f t="shared" si="13"/>
        <v/>
      </c>
      <c r="BY8" s="8"/>
      <c r="BZ8" s="8" t="str">
        <f t="shared" si="14"/>
        <v/>
      </c>
      <c r="CA8" s="8"/>
      <c r="CB8" s="31" t="str">
        <f t="shared" si="15"/>
        <v/>
      </c>
      <c r="CC8" s="37" t="str">
        <f t="shared" si="16"/>
        <v/>
      </c>
      <c r="CD8" s="8" t="str">
        <f t="shared" si="17"/>
        <v/>
      </c>
      <c r="CE8" s="9" t="str">
        <f t="shared" si="18"/>
        <v/>
      </c>
      <c r="CF8" s="6"/>
    </row>
    <row r="9" spans="1:84" ht="15" customHeight="1" x14ac:dyDescent="0.2">
      <c r="A9" s="3"/>
      <c r="B9" s="10"/>
      <c r="C9" s="8">
        <v>221</v>
      </c>
      <c r="D9" s="8">
        <f t="shared" si="21"/>
        <v>49</v>
      </c>
      <c r="E9" s="8">
        <v>44</v>
      </c>
      <c r="F9" s="8">
        <f t="shared" si="22"/>
        <v>6</v>
      </c>
      <c r="G9" s="8">
        <v>8</v>
      </c>
      <c r="H9" s="8">
        <v>6</v>
      </c>
      <c r="I9" s="8">
        <v>4</v>
      </c>
      <c r="J9" s="31" t="str">
        <f t="shared" si="23"/>
        <v>フルーツスクイーズ</v>
      </c>
      <c r="K9" s="8">
        <f t="shared" si="23"/>
        <v>209</v>
      </c>
      <c r="L9" s="8">
        <f t="shared" si="24"/>
        <v>1254</v>
      </c>
      <c r="M9" s="9">
        <f t="shared" si="25"/>
        <v>0.25591836734693879</v>
      </c>
      <c r="N9" s="6"/>
      <c r="P9" s="10"/>
      <c r="Q9" s="8"/>
      <c r="R9" s="8" t="str">
        <f t="shared" si="26"/>
        <v/>
      </c>
      <c r="S9" s="8"/>
      <c r="T9" s="8" t="str">
        <f t="shared" si="27"/>
        <v/>
      </c>
      <c r="U9" s="8"/>
      <c r="V9" s="8" t="str">
        <f t="shared" si="28"/>
        <v/>
      </c>
      <c r="W9" s="8"/>
      <c r="X9" s="31" t="str">
        <f t="shared" ref="X9:Y13" si="37">IF(Q9="","",X5)</f>
        <v/>
      </c>
      <c r="Y9" s="8" t="str">
        <f t="shared" si="37"/>
        <v/>
      </c>
      <c r="Z9" s="8" t="str">
        <f t="shared" si="29"/>
        <v/>
      </c>
      <c r="AA9" s="9" t="str">
        <f t="shared" si="30"/>
        <v/>
      </c>
      <c r="AB9" s="6"/>
      <c r="AD9" s="10"/>
      <c r="AE9" s="8"/>
      <c r="AF9" s="8" t="str">
        <f t="shared" si="31"/>
        <v/>
      </c>
      <c r="AG9" s="8"/>
      <c r="AH9" s="8" t="str">
        <f t="shared" si="32"/>
        <v/>
      </c>
      <c r="AI9" s="8"/>
      <c r="AJ9" s="8" t="str">
        <f t="shared" si="33"/>
        <v/>
      </c>
      <c r="AK9" s="8"/>
      <c r="AL9" s="31" t="str">
        <f t="shared" si="34"/>
        <v/>
      </c>
      <c r="AM9" s="8" t="str">
        <f t="shared" si="34"/>
        <v/>
      </c>
      <c r="AN9" s="8" t="str">
        <f t="shared" si="35"/>
        <v/>
      </c>
      <c r="AO9" s="9" t="str">
        <f t="shared" si="36"/>
        <v/>
      </c>
      <c r="AP9" s="6"/>
      <c r="AR9" s="43">
        <v>46160</v>
      </c>
      <c r="AS9" s="8">
        <v>407</v>
      </c>
      <c r="AT9" s="8">
        <f t="shared" si="19"/>
        <v>53</v>
      </c>
      <c r="AU9" s="8">
        <v>19</v>
      </c>
      <c r="AV9" s="8">
        <f t="shared" si="0"/>
        <v>1</v>
      </c>
      <c r="AW9" s="8">
        <v>10</v>
      </c>
      <c r="AX9" s="8">
        <f t="shared" si="1"/>
        <v>1</v>
      </c>
      <c r="AY9" s="8">
        <v>1</v>
      </c>
      <c r="AZ9" s="31" t="str">
        <f t="shared" si="2"/>
        <v>A景品</v>
      </c>
      <c r="BA9" s="37">
        <f t="shared" si="3"/>
        <v>1100</v>
      </c>
      <c r="BB9" s="8">
        <f t="shared" si="4"/>
        <v>1100</v>
      </c>
      <c r="BC9" s="9">
        <f t="shared" si="20"/>
        <v>0.20754716981132076</v>
      </c>
      <c r="BD9" s="6"/>
      <c r="BF9" s="43">
        <f>IF(A27="","",A27)</f>
        <v>46160</v>
      </c>
      <c r="BG9" s="8">
        <v>615</v>
      </c>
      <c r="BH9" s="8">
        <f t="shared" si="5"/>
        <v>44</v>
      </c>
      <c r="BI9" s="8">
        <v>22</v>
      </c>
      <c r="BJ9" s="8">
        <f t="shared" si="6"/>
        <v>1</v>
      </c>
      <c r="BK9" s="8">
        <v>11</v>
      </c>
      <c r="BL9" s="8">
        <f t="shared" si="7"/>
        <v>1</v>
      </c>
      <c r="BM9" s="8">
        <v>4</v>
      </c>
      <c r="BN9" s="31" t="str">
        <f t="shared" si="8"/>
        <v>A景品</v>
      </c>
      <c r="BO9" s="37">
        <f t="shared" si="9"/>
        <v>1100</v>
      </c>
      <c r="BP9" s="8">
        <f t="shared" si="10"/>
        <v>1100</v>
      </c>
      <c r="BQ9" s="9">
        <f t="shared" si="11"/>
        <v>0.25</v>
      </c>
      <c r="BR9" s="6"/>
      <c r="BT9" s="43">
        <f>IF(A27="","",A27)</f>
        <v>46160</v>
      </c>
      <c r="BU9" s="8"/>
      <c r="BV9" s="8" t="str">
        <f t="shared" si="12"/>
        <v/>
      </c>
      <c r="BW9" s="8"/>
      <c r="BX9" s="8" t="str">
        <f t="shared" si="13"/>
        <v/>
      </c>
      <c r="BY9" s="8"/>
      <c r="BZ9" s="8" t="str">
        <f t="shared" si="14"/>
        <v/>
      </c>
      <c r="CA9" s="8"/>
      <c r="CB9" s="31" t="str">
        <f t="shared" si="15"/>
        <v/>
      </c>
      <c r="CC9" s="37" t="str">
        <f t="shared" si="16"/>
        <v/>
      </c>
      <c r="CD9" s="8" t="str">
        <f t="shared" si="17"/>
        <v/>
      </c>
      <c r="CE9" s="9" t="str">
        <f t="shared" si="18"/>
        <v/>
      </c>
      <c r="CF9" s="6"/>
    </row>
    <row r="10" spans="1:84" ht="15" customHeight="1" thickBot="1" x14ac:dyDescent="0.25">
      <c r="A10" s="72"/>
      <c r="B10" s="13"/>
      <c r="C10" s="14">
        <v>246</v>
      </c>
      <c r="D10" s="14">
        <f t="shared" si="21"/>
        <v>83</v>
      </c>
      <c r="E10" s="14">
        <v>40</v>
      </c>
      <c r="F10" s="14">
        <f t="shared" si="22"/>
        <v>2</v>
      </c>
      <c r="G10" s="14">
        <v>60</v>
      </c>
      <c r="H10" s="14">
        <v>2</v>
      </c>
      <c r="I10" s="14">
        <v>0</v>
      </c>
      <c r="J10" s="32" t="str">
        <f t="shared" si="23"/>
        <v>ベーカリースクイーズ</v>
      </c>
      <c r="K10" s="49">
        <f t="shared" si="23"/>
        <v>286</v>
      </c>
      <c r="L10" s="14">
        <f t="shared" si="24"/>
        <v>572</v>
      </c>
      <c r="M10" s="15">
        <f t="shared" si="25"/>
        <v>6.8915662650602408E-2</v>
      </c>
      <c r="N10" s="105" t="s">
        <v>25</v>
      </c>
      <c r="P10" s="13"/>
      <c r="Q10" s="14"/>
      <c r="R10" s="14" t="str">
        <f t="shared" si="26"/>
        <v/>
      </c>
      <c r="S10" s="14"/>
      <c r="T10" s="14" t="str">
        <f t="shared" si="27"/>
        <v/>
      </c>
      <c r="U10" s="14"/>
      <c r="V10" s="14" t="str">
        <f t="shared" si="28"/>
        <v/>
      </c>
      <c r="W10" s="14"/>
      <c r="X10" s="32" t="str">
        <f t="shared" si="37"/>
        <v/>
      </c>
      <c r="Y10" s="49" t="str">
        <f t="shared" si="37"/>
        <v/>
      </c>
      <c r="Z10" s="14" t="str">
        <f t="shared" si="29"/>
        <v/>
      </c>
      <c r="AA10" s="15" t="str">
        <f t="shared" si="30"/>
        <v/>
      </c>
      <c r="AB10" s="6"/>
      <c r="AD10" s="13"/>
      <c r="AE10" s="14"/>
      <c r="AF10" s="14" t="str">
        <f t="shared" si="31"/>
        <v/>
      </c>
      <c r="AG10" s="14"/>
      <c r="AH10" s="14" t="str">
        <f t="shared" si="32"/>
        <v/>
      </c>
      <c r="AI10" s="14"/>
      <c r="AJ10" s="14" t="str">
        <f t="shared" si="33"/>
        <v/>
      </c>
      <c r="AK10" s="14"/>
      <c r="AL10" s="32" t="str">
        <f t="shared" si="34"/>
        <v/>
      </c>
      <c r="AM10" s="49" t="str">
        <f t="shared" si="34"/>
        <v/>
      </c>
      <c r="AN10" s="14" t="str">
        <f t="shared" si="35"/>
        <v/>
      </c>
      <c r="AO10" s="15" t="str">
        <f t="shared" si="36"/>
        <v/>
      </c>
      <c r="AP10" s="6"/>
      <c r="AR10" s="43">
        <f>IF(A31="","",A31)</f>
        <v>46164</v>
      </c>
      <c r="AS10" s="8">
        <v>460</v>
      </c>
      <c r="AT10" s="8">
        <f t="shared" si="19"/>
        <v>53</v>
      </c>
      <c r="AU10" s="8">
        <v>19</v>
      </c>
      <c r="AV10" s="8">
        <f t="shared" si="0"/>
        <v>0</v>
      </c>
      <c r="AW10" s="8">
        <v>11</v>
      </c>
      <c r="AX10" s="8">
        <f t="shared" si="1"/>
        <v>0</v>
      </c>
      <c r="AY10" s="8">
        <v>0</v>
      </c>
      <c r="AZ10" s="31" t="str">
        <f t="shared" si="2"/>
        <v>A景品</v>
      </c>
      <c r="BA10" s="37">
        <f t="shared" si="3"/>
        <v>1100</v>
      </c>
      <c r="BB10" s="8">
        <f t="shared" si="4"/>
        <v>0</v>
      </c>
      <c r="BC10" s="9">
        <f t="shared" si="20"/>
        <v>0</v>
      </c>
      <c r="BD10" s="6"/>
      <c r="BF10" s="43">
        <f>IF(A31="","",A31)</f>
        <v>46164</v>
      </c>
      <c r="BG10" s="8">
        <v>647</v>
      </c>
      <c r="BH10" s="8">
        <f t="shared" si="5"/>
        <v>32</v>
      </c>
      <c r="BI10" s="8">
        <v>22</v>
      </c>
      <c r="BJ10" s="8">
        <f t="shared" si="6"/>
        <v>0</v>
      </c>
      <c r="BK10" s="8">
        <v>15</v>
      </c>
      <c r="BL10" s="8">
        <f t="shared" si="7"/>
        <v>0</v>
      </c>
      <c r="BM10" s="8">
        <v>0</v>
      </c>
      <c r="BN10" s="31" t="str">
        <f t="shared" si="8"/>
        <v>A景品</v>
      </c>
      <c r="BO10" s="37">
        <f t="shared" si="9"/>
        <v>1100</v>
      </c>
      <c r="BP10" s="8">
        <f t="shared" si="10"/>
        <v>0</v>
      </c>
      <c r="BQ10" s="9">
        <f t="shared" si="11"/>
        <v>0</v>
      </c>
      <c r="BR10" s="6"/>
      <c r="BT10" s="43">
        <f>IF(A31="","",A31)</f>
        <v>46164</v>
      </c>
      <c r="BU10" s="8"/>
      <c r="BV10" s="8" t="str">
        <f t="shared" si="12"/>
        <v/>
      </c>
      <c r="BW10" s="8"/>
      <c r="BX10" s="8" t="str">
        <f t="shared" si="13"/>
        <v/>
      </c>
      <c r="BY10" s="8"/>
      <c r="BZ10" s="8" t="str">
        <f t="shared" si="14"/>
        <v/>
      </c>
      <c r="CA10" s="8"/>
      <c r="CB10" s="31" t="str">
        <f t="shared" si="15"/>
        <v/>
      </c>
      <c r="CC10" s="37" t="str">
        <f t="shared" si="16"/>
        <v/>
      </c>
      <c r="CD10" s="8" t="str">
        <f t="shared" si="17"/>
        <v/>
      </c>
      <c r="CE10" s="9" t="str">
        <f t="shared" si="18"/>
        <v/>
      </c>
      <c r="CF10" s="6"/>
    </row>
    <row r="11" spans="1:84" ht="15" customHeight="1" thickTop="1" x14ac:dyDescent="0.2">
      <c r="A11" s="43">
        <v>46147</v>
      </c>
      <c r="B11" s="100">
        <f>SUM(D11:D14)+SUM(AT5,BH5)</f>
        <v>384</v>
      </c>
      <c r="C11" s="37">
        <v>307</v>
      </c>
      <c r="D11" s="37">
        <f t="shared" si="21"/>
        <v>125</v>
      </c>
      <c r="E11" s="37">
        <v>28</v>
      </c>
      <c r="F11" s="16">
        <f t="shared" si="22"/>
        <v>1</v>
      </c>
      <c r="G11" s="37">
        <v>12</v>
      </c>
      <c r="H11" s="37">
        <f t="shared" ref="H11:H54" si="38">IF(G11="","",G7+I7-G11)</f>
        <v>1</v>
      </c>
      <c r="I11" s="37">
        <v>0</v>
      </c>
      <c r="J11" s="44" t="str">
        <f>IF(C11="","",J7)</f>
        <v>たまごっちミニチュアポシェット</v>
      </c>
      <c r="K11" s="45">
        <f t="shared" si="23"/>
        <v>770</v>
      </c>
      <c r="L11" s="16">
        <f t="shared" si="24"/>
        <v>770</v>
      </c>
      <c r="M11" s="17">
        <f t="shared" si="25"/>
        <v>6.1600000000000002E-2</v>
      </c>
      <c r="N11" s="6" t="s">
        <v>26</v>
      </c>
      <c r="P11" s="43">
        <f>IF($A11="","",$A11)</f>
        <v>46147</v>
      </c>
      <c r="Q11" s="37"/>
      <c r="R11" s="37" t="str">
        <f t="shared" si="26"/>
        <v/>
      </c>
      <c r="S11" s="37"/>
      <c r="T11" s="16" t="str">
        <f t="shared" si="27"/>
        <v/>
      </c>
      <c r="U11" s="37"/>
      <c r="V11" s="37" t="str">
        <f t="shared" si="28"/>
        <v/>
      </c>
      <c r="W11" s="37"/>
      <c r="X11" s="44" t="str">
        <f t="shared" si="37"/>
        <v/>
      </c>
      <c r="Y11" s="45" t="str">
        <f t="shared" si="37"/>
        <v/>
      </c>
      <c r="Z11" s="16" t="str">
        <f t="shared" si="29"/>
        <v/>
      </c>
      <c r="AA11" s="17" t="str">
        <f t="shared" si="30"/>
        <v/>
      </c>
      <c r="AB11" s="6"/>
      <c r="AD11" s="43">
        <f>IF($A11="","",$A11)</f>
        <v>46147</v>
      </c>
      <c r="AE11" s="37"/>
      <c r="AF11" s="37" t="str">
        <f t="shared" si="31"/>
        <v/>
      </c>
      <c r="AG11" s="37"/>
      <c r="AH11" s="16" t="str">
        <f t="shared" si="32"/>
        <v/>
      </c>
      <c r="AI11" s="37"/>
      <c r="AJ11" s="37" t="str">
        <f t="shared" si="33"/>
        <v/>
      </c>
      <c r="AK11" s="37"/>
      <c r="AL11" s="44" t="str">
        <f t="shared" si="34"/>
        <v/>
      </c>
      <c r="AM11" s="45" t="str">
        <f t="shared" si="34"/>
        <v/>
      </c>
      <c r="AN11" s="16" t="str">
        <f t="shared" si="35"/>
        <v/>
      </c>
      <c r="AO11" s="17" t="str">
        <f t="shared" si="36"/>
        <v/>
      </c>
      <c r="AP11" s="6"/>
      <c r="AR11" s="43">
        <f>IF(A35="","",A35)</f>
        <v>46167</v>
      </c>
      <c r="AS11" s="8">
        <v>514</v>
      </c>
      <c r="AT11" s="8">
        <f t="shared" si="19"/>
        <v>54</v>
      </c>
      <c r="AU11" s="8">
        <v>20</v>
      </c>
      <c r="AV11" s="8">
        <f t="shared" si="0"/>
        <v>1</v>
      </c>
      <c r="AW11" s="8">
        <v>10</v>
      </c>
      <c r="AX11" s="8">
        <f t="shared" si="1"/>
        <v>1</v>
      </c>
      <c r="AY11" s="8">
        <v>1</v>
      </c>
      <c r="AZ11" s="31" t="str">
        <f t="shared" si="2"/>
        <v>A景品</v>
      </c>
      <c r="BA11" s="37">
        <f t="shared" si="3"/>
        <v>1100</v>
      </c>
      <c r="BB11" s="8">
        <f t="shared" si="4"/>
        <v>1100</v>
      </c>
      <c r="BC11" s="9">
        <f t="shared" si="20"/>
        <v>0.20370370370370369</v>
      </c>
      <c r="BD11" s="6"/>
      <c r="BF11" s="43">
        <f>IF(A35="","",A35)</f>
        <v>46167</v>
      </c>
      <c r="BG11" s="8">
        <v>678</v>
      </c>
      <c r="BH11" s="8">
        <f t="shared" si="5"/>
        <v>31</v>
      </c>
      <c r="BI11" s="8">
        <v>23</v>
      </c>
      <c r="BJ11" s="8">
        <f t="shared" si="6"/>
        <v>1</v>
      </c>
      <c r="BK11" s="8">
        <v>14</v>
      </c>
      <c r="BL11" s="8">
        <f t="shared" si="7"/>
        <v>1</v>
      </c>
      <c r="BM11" s="8">
        <v>0</v>
      </c>
      <c r="BN11" s="31" t="str">
        <f t="shared" si="8"/>
        <v>A景品</v>
      </c>
      <c r="BO11" s="37">
        <f t="shared" si="9"/>
        <v>1100</v>
      </c>
      <c r="BP11" s="8">
        <f t="shared" si="10"/>
        <v>1100</v>
      </c>
      <c r="BQ11" s="9">
        <f t="shared" si="11"/>
        <v>0.35483870967741937</v>
      </c>
      <c r="BR11" s="6"/>
      <c r="BT11" s="43">
        <f>IF(A35="","",A35)</f>
        <v>46167</v>
      </c>
      <c r="BU11" s="8"/>
      <c r="BV11" s="8" t="str">
        <f t="shared" si="12"/>
        <v/>
      </c>
      <c r="BW11" s="8"/>
      <c r="BX11" s="8" t="str">
        <f t="shared" si="13"/>
        <v/>
      </c>
      <c r="BY11" s="8"/>
      <c r="BZ11" s="8" t="str">
        <f t="shared" si="14"/>
        <v/>
      </c>
      <c r="CA11" s="8"/>
      <c r="CB11" s="31" t="str">
        <f t="shared" si="15"/>
        <v/>
      </c>
      <c r="CC11" s="37" t="str">
        <f t="shared" si="16"/>
        <v/>
      </c>
      <c r="CD11" s="8" t="str">
        <f t="shared" si="17"/>
        <v/>
      </c>
      <c r="CE11" s="9" t="str">
        <f t="shared" si="18"/>
        <v/>
      </c>
      <c r="CF11" s="6"/>
    </row>
    <row r="12" spans="1:84" x14ac:dyDescent="0.2">
      <c r="A12" s="85"/>
      <c r="B12" s="10"/>
      <c r="C12" s="8">
        <v>406</v>
      </c>
      <c r="D12" s="37">
        <f t="shared" si="21"/>
        <v>34</v>
      </c>
      <c r="E12" s="8">
        <v>53</v>
      </c>
      <c r="F12" s="8">
        <f t="shared" si="22"/>
        <v>4</v>
      </c>
      <c r="G12" s="8">
        <v>7</v>
      </c>
      <c r="H12" s="8">
        <f t="shared" si="38"/>
        <v>0</v>
      </c>
      <c r="I12" s="8">
        <v>1</v>
      </c>
      <c r="J12" s="31" t="s">
        <v>27</v>
      </c>
      <c r="K12" s="48">
        <f t="shared" si="23"/>
        <v>572</v>
      </c>
      <c r="L12" s="8">
        <f t="shared" si="24"/>
        <v>0</v>
      </c>
      <c r="M12" s="9">
        <f t="shared" si="25"/>
        <v>0</v>
      </c>
      <c r="N12" s="6" t="s">
        <v>28</v>
      </c>
      <c r="P12" s="10"/>
      <c r="Q12" s="8"/>
      <c r="R12" s="37" t="str">
        <f t="shared" si="26"/>
        <v/>
      </c>
      <c r="S12" s="8"/>
      <c r="T12" s="8" t="str">
        <f t="shared" si="27"/>
        <v/>
      </c>
      <c r="U12" s="8"/>
      <c r="V12" s="8" t="str">
        <f t="shared" si="28"/>
        <v/>
      </c>
      <c r="W12" s="8"/>
      <c r="X12" s="31" t="str">
        <f t="shared" si="37"/>
        <v/>
      </c>
      <c r="Y12" s="48" t="str">
        <f t="shared" si="37"/>
        <v/>
      </c>
      <c r="Z12" s="8" t="str">
        <f t="shared" si="29"/>
        <v/>
      </c>
      <c r="AA12" s="9" t="str">
        <f t="shared" si="30"/>
        <v/>
      </c>
      <c r="AB12" s="6"/>
      <c r="AD12" s="10"/>
      <c r="AE12" s="8"/>
      <c r="AF12" s="37" t="str">
        <f t="shared" si="31"/>
        <v/>
      </c>
      <c r="AG12" s="8"/>
      <c r="AH12" s="8" t="str">
        <f t="shared" si="32"/>
        <v/>
      </c>
      <c r="AI12" s="8"/>
      <c r="AJ12" s="8" t="str">
        <f t="shared" si="33"/>
        <v/>
      </c>
      <c r="AK12" s="8"/>
      <c r="AL12" s="31" t="str">
        <f t="shared" ref="AL12:AM15" si="39">IF(AE12="","",AL8)</f>
        <v/>
      </c>
      <c r="AM12" s="48" t="str">
        <f t="shared" si="39"/>
        <v/>
      </c>
      <c r="AN12" s="8" t="str">
        <f t="shared" si="35"/>
        <v/>
      </c>
      <c r="AO12" s="9" t="str">
        <f t="shared" si="36"/>
        <v/>
      </c>
      <c r="AP12" s="6"/>
      <c r="AR12" s="43" t="str">
        <f>IF(A39="","",A39)</f>
        <v/>
      </c>
      <c r="AS12" s="8"/>
      <c r="AT12" s="8" t="str">
        <f t="shared" si="19"/>
        <v/>
      </c>
      <c r="AU12" s="8"/>
      <c r="AV12" s="8" t="str">
        <f t="shared" si="0"/>
        <v/>
      </c>
      <c r="AW12" s="8"/>
      <c r="AX12" s="8" t="str">
        <f t="shared" si="1"/>
        <v/>
      </c>
      <c r="AY12" s="8"/>
      <c r="AZ12" s="31" t="str">
        <f t="shared" si="2"/>
        <v/>
      </c>
      <c r="BA12" s="37" t="str">
        <f t="shared" si="3"/>
        <v/>
      </c>
      <c r="BB12" s="8" t="str">
        <f t="shared" si="4"/>
        <v/>
      </c>
      <c r="BC12" s="9" t="str">
        <f t="shared" si="20"/>
        <v/>
      </c>
      <c r="BD12" s="6"/>
      <c r="BF12" s="43" t="str">
        <f>IF(A39="","",A39)</f>
        <v/>
      </c>
      <c r="BG12" s="8"/>
      <c r="BH12" s="8" t="str">
        <f t="shared" si="5"/>
        <v/>
      </c>
      <c r="BI12" s="8"/>
      <c r="BJ12" s="8" t="str">
        <f t="shared" si="6"/>
        <v/>
      </c>
      <c r="BK12" s="8"/>
      <c r="BL12" s="8" t="str">
        <f t="shared" si="7"/>
        <v/>
      </c>
      <c r="BM12" s="8"/>
      <c r="BN12" s="31" t="str">
        <f t="shared" si="8"/>
        <v/>
      </c>
      <c r="BO12" s="37" t="str">
        <f t="shared" si="9"/>
        <v/>
      </c>
      <c r="BP12" s="8" t="str">
        <f t="shared" si="10"/>
        <v/>
      </c>
      <c r="BQ12" s="9" t="str">
        <f t="shared" si="11"/>
        <v/>
      </c>
      <c r="BR12" s="6"/>
      <c r="BT12" s="43" t="str">
        <f>IF(A39="","",A39)</f>
        <v/>
      </c>
      <c r="BU12" s="8"/>
      <c r="BV12" s="8" t="str">
        <f t="shared" si="12"/>
        <v/>
      </c>
      <c r="BW12" s="8"/>
      <c r="BX12" s="8" t="str">
        <f t="shared" si="13"/>
        <v/>
      </c>
      <c r="BY12" s="8"/>
      <c r="BZ12" s="8" t="str">
        <f t="shared" si="14"/>
        <v/>
      </c>
      <c r="CA12" s="8"/>
      <c r="CB12" s="31" t="str">
        <f t="shared" si="15"/>
        <v/>
      </c>
      <c r="CC12" s="37" t="str">
        <f t="shared" si="16"/>
        <v/>
      </c>
      <c r="CD12" s="8" t="str">
        <f t="shared" si="17"/>
        <v/>
      </c>
      <c r="CE12" s="9" t="str">
        <f t="shared" si="18"/>
        <v/>
      </c>
      <c r="CF12" s="6"/>
    </row>
    <row r="13" spans="1:84" ht="15" customHeight="1" x14ac:dyDescent="0.2">
      <c r="A13" s="86"/>
      <c r="B13" s="10"/>
      <c r="C13" s="8">
        <v>254</v>
      </c>
      <c r="D13" s="12">
        <f t="shared" si="21"/>
        <v>33</v>
      </c>
      <c r="E13" s="8">
        <v>49</v>
      </c>
      <c r="F13" s="8">
        <f t="shared" si="22"/>
        <v>5</v>
      </c>
      <c r="G13" s="8">
        <v>8</v>
      </c>
      <c r="H13" s="8">
        <f t="shared" si="38"/>
        <v>4</v>
      </c>
      <c r="I13" s="8">
        <v>0</v>
      </c>
      <c r="J13" s="31" t="str">
        <f>IF(C13="","",J9)</f>
        <v>フルーツスクイーズ</v>
      </c>
      <c r="K13" s="8">
        <f>IF(D13="","",K9)</f>
        <v>209</v>
      </c>
      <c r="L13" s="8">
        <f t="shared" si="24"/>
        <v>836</v>
      </c>
      <c r="M13" s="9">
        <f t="shared" si="25"/>
        <v>0.25333333333333335</v>
      </c>
      <c r="N13" s="103" t="s">
        <v>29</v>
      </c>
      <c r="P13" s="10"/>
      <c r="Q13" s="8"/>
      <c r="R13" s="12" t="str">
        <f t="shared" si="26"/>
        <v/>
      </c>
      <c r="S13" s="8"/>
      <c r="T13" s="8" t="str">
        <f t="shared" si="27"/>
        <v/>
      </c>
      <c r="U13" s="8"/>
      <c r="V13" s="8" t="str">
        <f t="shared" si="28"/>
        <v/>
      </c>
      <c r="W13" s="8"/>
      <c r="X13" s="31" t="str">
        <f t="shared" si="37"/>
        <v/>
      </c>
      <c r="Y13" s="8" t="str">
        <f t="shared" si="37"/>
        <v/>
      </c>
      <c r="Z13" s="8" t="str">
        <f t="shared" si="29"/>
        <v/>
      </c>
      <c r="AA13" s="9" t="str">
        <f t="shared" si="30"/>
        <v/>
      </c>
      <c r="AB13" s="6"/>
      <c r="AD13" s="10"/>
      <c r="AE13" s="8"/>
      <c r="AF13" s="12" t="str">
        <f t="shared" si="31"/>
        <v/>
      </c>
      <c r="AG13" s="8"/>
      <c r="AH13" s="8" t="str">
        <f t="shared" si="32"/>
        <v/>
      </c>
      <c r="AI13" s="8"/>
      <c r="AJ13" s="8" t="str">
        <f t="shared" si="33"/>
        <v/>
      </c>
      <c r="AK13" s="8"/>
      <c r="AL13" s="31" t="str">
        <f t="shared" si="39"/>
        <v/>
      </c>
      <c r="AM13" s="8" t="str">
        <f t="shared" si="39"/>
        <v/>
      </c>
      <c r="AN13" s="8" t="str">
        <f t="shared" si="35"/>
        <v/>
      </c>
      <c r="AO13" s="9" t="str">
        <f t="shared" si="36"/>
        <v/>
      </c>
      <c r="AP13" s="6"/>
      <c r="AR13" s="43" t="str">
        <f>IF(A43="","",A43)</f>
        <v/>
      </c>
      <c r="AS13" s="8"/>
      <c r="AT13" s="8" t="str">
        <f t="shared" si="19"/>
        <v/>
      </c>
      <c r="AU13" s="8"/>
      <c r="AV13" s="8" t="str">
        <f t="shared" si="0"/>
        <v/>
      </c>
      <c r="AW13" s="8"/>
      <c r="AX13" s="8" t="str">
        <f t="shared" si="1"/>
        <v/>
      </c>
      <c r="AY13" s="8"/>
      <c r="AZ13" s="31" t="str">
        <f t="shared" si="2"/>
        <v/>
      </c>
      <c r="BA13" s="37" t="str">
        <f t="shared" si="3"/>
        <v/>
      </c>
      <c r="BB13" s="8" t="str">
        <f t="shared" si="4"/>
        <v/>
      </c>
      <c r="BC13" s="9" t="str">
        <f t="shared" si="20"/>
        <v/>
      </c>
      <c r="BD13" s="6"/>
      <c r="BF13" s="43" t="str">
        <f>IF(A43="","",A43)</f>
        <v/>
      </c>
      <c r="BG13" s="8"/>
      <c r="BH13" s="8" t="str">
        <f t="shared" si="5"/>
        <v/>
      </c>
      <c r="BI13" s="8"/>
      <c r="BJ13" s="8" t="str">
        <f t="shared" si="6"/>
        <v/>
      </c>
      <c r="BK13" s="8"/>
      <c r="BL13" s="8" t="str">
        <f t="shared" si="7"/>
        <v/>
      </c>
      <c r="BM13" s="8"/>
      <c r="BN13" s="31" t="str">
        <f t="shared" si="8"/>
        <v/>
      </c>
      <c r="BO13" s="37" t="str">
        <f t="shared" si="9"/>
        <v/>
      </c>
      <c r="BP13" s="8" t="str">
        <f t="shared" si="10"/>
        <v/>
      </c>
      <c r="BQ13" s="9" t="str">
        <f t="shared" si="11"/>
        <v/>
      </c>
      <c r="BR13" s="6"/>
      <c r="BT13" s="43" t="str">
        <f>IF(A43="","",A43)</f>
        <v/>
      </c>
      <c r="BU13" s="8"/>
      <c r="BV13" s="8" t="str">
        <f t="shared" si="12"/>
        <v/>
      </c>
      <c r="BW13" s="8"/>
      <c r="BX13" s="8" t="str">
        <f t="shared" si="13"/>
        <v/>
      </c>
      <c r="BY13" s="8"/>
      <c r="BZ13" s="8" t="str">
        <f t="shared" si="14"/>
        <v/>
      </c>
      <c r="CA13" s="8"/>
      <c r="CB13" s="31" t="str">
        <f t="shared" si="15"/>
        <v/>
      </c>
      <c r="CC13" s="37" t="str">
        <f t="shared" si="16"/>
        <v/>
      </c>
      <c r="CD13" s="8" t="str">
        <f t="shared" si="17"/>
        <v/>
      </c>
      <c r="CE13" s="9" t="str">
        <f t="shared" si="18"/>
        <v/>
      </c>
      <c r="CF13" s="6"/>
    </row>
    <row r="14" spans="1:84" ht="15" customHeight="1" thickBot="1" x14ac:dyDescent="0.25">
      <c r="A14" s="87"/>
      <c r="B14" s="13"/>
      <c r="C14" s="14">
        <v>335</v>
      </c>
      <c r="D14" s="56">
        <f t="shared" si="21"/>
        <v>89</v>
      </c>
      <c r="E14" s="14">
        <v>45</v>
      </c>
      <c r="F14" s="14">
        <f t="shared" si="22"/>
        <v>5</v>
      </c>
      <c r="G14" s="14">
        <v>55</v>
      </c>
      <c r="H14" s="14">
        <f t="shared" si="38"/>
        <v>5</v>
      </c>
      <c r="I14" s="14">
        <v>0</v>
      </c>
      <c r="J14" s="32" t="str">
        <f t="shared" ref="J14:K16" si="40">IF(C14="","",J10)</f>
        <v>ベーカリースクイーズ</v>
      </c>
      <c r="K14" s="49">
        <f t="shared" si="40"/>
        <v>286</v>
      </c>
      <c r="L14" s="14">
        <f t="shared" si="24"/>
        <v>1430</v>
      </c>
      <c r="M14" s="15">
        <f t="shared" si="25"/>
        <v>0.16067415730337078</v>
      </c>
      <c r="N14" s="103" t="s">
        <v>30</v>
      </c>
      <c r="P14" s="13"/>
      <c r="Q14" s="14"/>
      <c r="R14" s="56" t="str">
        <f t="shared" si="26"/>
        <v/>
      </c>
      <c r="S14" s="14"/>
      <c r="T14" s="14" t="str">
        <f t="shared" si="27"/>
        <v/>
      </c>
      <c r="U14" s="14"/>
      <c r="V14" s="14" t="str">
        <f t="shared" si="28"/>
        <v/>
      </c>
      <c r="W14" s="14"/>
      <c r="X14" s="32" t="str">
        <f>IF(Q14="","",X10)</f>
        <v/>
      </c>
      <c r="Y14" s="49" t="str">
        <f>IF(R14="","",Y10)</f>
        <v/>
      </c>
      <c r="Z14" s="14" t="str">
        <f t="shared" si="29"/>
        <v/>
      </c>
      <c r="AA14" s="15" t="str">
        <f t="shared" si="30"/>
        <v/>
      </c>
      <c r="AB14" s="6"/>
      <c r="AD14" s="13"/>
      <c r="AE14" s="14"/>
      <c r="AF14" s="56" t="str">
        <f t="shared" si="31"/>
        <v/>
      </c>
      <c r="AG14" s="14"/>
      <c r="AH14" s="14" t="str">
        <f t="shared" si="32"/>
        <v/>
      </c>
      <c r="AI14" s="14"/>
      <c r="AJ14" s="14" t="str">
        <f t="shared" si="33"/>
        <v/>
      </c>
      <c r="AK14" s="14"/>
      <c r="AL14" s="32" t="str">
        <f t="shared" si="39"/>
        <v/>
      </c>
      <c r="AM14" s="49" t="str">
        <f t="shared" si="39"/>
        <v/>
      </c>
      <c r="AN14" s="14" t="str">
        <f t="shared" si="35"/>
        <v/>
      </c>
      <c r="AO14" s="15" t="str">
        <f t="shared" si="36"/>
        <v/>
      </c>
      <c r="AP14" s="6"/>
      <c r="AR14" s="43" t="str">
        <f>IF(A47="","",A47)</f>
        <v/>
      </c>
      <c r="AS14" s="8"/>
      <c r="AT14" s="8" t="str">
        <f t="shared" si="19"/>
        <v/>
      </c>
      <c r="AU14" s="8"/>
      <c r="AV14" s="8" t="str">
        <f t="shared" si="0"/>
        <v/>
      </c>
      <c r="AW14" s="8"/>
      <c r="AX14" s="8" t="str">
        <f t="shared" si="1"/>
        <v/>
      </c>
      <c r="AY14" s="8"/>
      <c r="AZ14" s="31" t="str">
        <f t="shared" si="2"/>
        <v/>
      </c>
      <c r="BA14" s="37" t="str">
        <f t="shared" si="3"/>
        <v/>
      </c>
      <c r="BB14" s="8" t="str">
        <f t="shared" si="4"/>
        <v/>
      </c>
      <c r="BC14" s="9" t="str">
        <f t="shared" si="20"/>
        <v/>
      </c>
      <c r="BD14" s="6"/>
      <c r="BF14" s="43" t="str">
        <f>IF(A47="","",A47)</f>
        <v/>
      </c>
      <c r="BG14" s="8"/>
      <c r="BH14" s="8" t="str">
        <f t="shared" si="5"/>
        <v/>
      </c>
      <c r="BI14" s="8"/>
      <c r="BJ14" s="8" t="str">
        <f t="shared" si="6"/>
        <v/>
      </c>
      <c r="BK14" s="8"/>
      <c r="BL14" s="8" t="str">
        <f t="shared" si="7"/>
        <v/>
      </c>
      <c r="BM14" s="8"/>
      <c r="BN14" s="31" t="str">
        <f t="shared" si="8"/>
        <v/>
      </c>
      <c r="BO14" s="37" t="str">
        <f t="shared" si="9"/>
        <v/>
      </c>
      <c r="BP14" s="8" t="str">
        <f t="shared" si="10"/>
        <v/>
      </c>
      <c r="BQ14" s="9" t="str">
        <f t="shared" si="11"/>
        <v/>
      </c>
      <c r="BR14" s="6"/>
      <c r="BT14" s="43" t="str">
        <f>IF(A47="","",A47)</f>
        <v/>
      </c>
      <c r="BU14" s="8"/>
      <c r="BV14" s="8" t="str">
        <f t="shared" si="12"/>
        <v/>
      </c>
      <c r="BW14" s="8"/>
      <c r="BX14" s="8" t="str">
        <f t="shared" si="13"/>
        <v/>
      </c>
      <c r="BY14" s="8"/>
      <c r="BZ14" s="8" t="str">
        <f t="shared" si="14"/>
        <v/>
      </c>
      <c r="CA14" s="8"/>
      <c r="CB14" s="31" t="str">
        <f t="shared" si="15"/>
        <v/>
      </c>
      <c r="CC14" s="37" t="str">
        <f t="shared" si="16"/>
        <v/>
      </c>
      <c r="CD14" s="8" t="str">
        <f t="shared" si="17"/>
        <v/>
      </c>
      <c r="CE14" s="9" t="str">
        <f t="shared" si="18"/>
        <v/>
      </c>
      <c r="CF14" s="6"/>
    </row>
    <row r="15" spans="1:84" ht="15" customHeight="1" thickTop="1" x14ac:dyDescent="0.2">
      <c r="A15" s="43">
        <v>46151</v>
      </c>
      <c r="B15" s="100">
        <f>SUM(D15:D18)+SUM(AT6,BH6)</f>
        <v>555</v>
      </c>
      <c r="C15" s="37">
        <v>467</v>
      </c>
      <c r="D15" s="37">
        <f t="shared" si="21"/>
        <v>160</v>
      </c>
      <c r="E15" s="37">
        <v>30</v>
      </c>
      <c r="F15" s="16">
        <f t="shared" si="22"/>
        <v>2</v>
      </c>
      <c r="G15" s="37">
        <v>10</v>
      </c>
      <c r="H15" s="37">
        <f t="shared" si="38"/>
        <v>2</v>
      </c>
      <c r="I15" s="37">
        <v>0</v>
      </c>
      <c r="J15" s="44" t="str">
        <f t="shared" si="40"/>
        <v>たまごっちミニチュアポシェット</v>
      </c>
      <c r="K15" s="45">
        <f t="shared" si="40"/>
        <v>770</v>
      </c>
      <c r="L15" s="16">
        <f t="shared" si="24"/>
        <v>1540</v>
      </c>
      <c r="M15" s="17">
        <f t="shared" si="25"/>
        <v>9.6250000000000002E-2</v>
      </c>
      <c r="N15" s="6"/>
      <c r="P15" s="43">
        <f>IF($A15="","",$A15)</f>
        <v>46151</v>
      </c>
      <c r="Q15" s="37"/>
      <c r="R15" s="37" t="str">
        <f t="shared" si="26"/>
        <v/>
      </c>
      <c r="S15" s="37"/>
      <c r="T15" s="16" t="str">
        <f t="shared" si="27"/>
        <v/>
      </c>
      <c r="U15" s="37"/>
      <c r="V15" s="37" t="str">
        <f t="shared" si="28"/>
        <v/>
      </c>
      <c r="W15" s="37"/>
      <c r="X15" s="44" t="str">
        <f>IF(Q15="","",X11)</f>
        <v/>
      </c>
      <c r="Y15" s="45" t="str">
        <f>IF(R15="","",Y11)</f>
        <v/>
      </c>
      <c r="Z15" s="16" t="str">
        <f t="shared" si="29"/>
        <v/>
      </c>
      <c r="AA15" s="17" t="str">
        <f t="shared" si="30"/>
        <v/>
      </c>
      <c r="AB15" s="6"/>
      <c r="AD15" s="43">
        <f>IF($A15="","",$A15)</f>
        <v>46151</v>
      </c>
      <c r="AE15" s="37"/>
      <c r="AF15" s="37" t="str">
        <f t="shared" si="31"/>
        <v/>
      </c>
      <c r="AG15" s="37"/>
      <c r="AH15" s="16" t="str">
        <f t="shared" si="32"/>
        <v/>
      </c>
      <c r="AI15" s="37"/>
      <c r="AJ15" s="37" t="str">
        <f t="shared" si="33"/>
        <v/>
      </c>
      <c r="AK15" s="37"/>
      <c r="AL15" s="44" t="str">
        <f t="shared" si="39"/>
        <v/>
      </c>
      <c r="AM15" s="45" t="str">
        <f t="shared" si="39"/>
        <v/>
      </c>
      <c r="AN15" s="16" t="str">
        <f t="shared" si="35"/>
        <v/>
      </c>
      <c r="AO15" s="17" t="str">
        <f t="shared" si="36"/>
        <v/>
      </c>
      <c r="AP15" s="6"/>
      <c r="AR15" s="43" t="str">
        <f>IF(A18="","",A18)</f>
        <v/>
      </c>
      <c r="AS15" s="8"/>
      <c r="AT15" s="8" t="str">
        <f t="shared" si="19"/>
        <v/>
      </c>
      <c r="AU15" s="8"/>
      <c r="AV15" s="8" t="str">
        <f t="shared" si="0"/>
        <v/>
      </c>
      <c r="AW15" s="8"/>
      <c r="AX15" s="8" t="str">
        <f t="shared" si="1"/>
        <v/>
      </c>
      <c r="AY15" s="8"/>
      <c r="AZ15" s="31" t="str">
        <f t="shared" si="2"/>
        <v/>
      </c>
      <c r="BA15" s="8"/>
      <c r="BB15" s="8" t="str">
        <f t="shared" si="4"/>
        <v/>
      </c>
      <c r="BC15" s="9" t="str">
        <f t="shared" si="20"/>
        <v/>
      </c>
      <c r="BD15" s="6"/>
      <c r="BF15" s="43"/>
      <c r="BG15" s="8"/>
      <c r="BH15" s="8" t="str">
        <f t="shared" si="5"/>
        <v/>
      </c>
      <c r="BI15" s="8"/>
      <c r="BJ15" s="8" t="str">
        <f t="shared" si="6"/>
        <v/>
      </c>
      <c r="BK15" s="8"/>
      <c r="BL15" s="8" t="str">
        <f t="shared" si="7"/>
        <v/>
      </c>
      <c r="BM15" s="8"/>
      <c r="BN15" s="31" t="str">
        <f t="shared" si="8"/>
        <v/>
      </c>
      <c r="BO15" s="8"/>
      <c r="BP15" s="8" t="str">
        <f t="shared" si="10"/>
        <v/>
      </c>
      <c r="BQ15" s="9" t="str">
        <f t="shared" si="11"/>
        <v/>
      </c>
      <c r="BR15" s="6"/>
      <c r="BT15" s="43"/>
      <c r="BU15" s="8"/>
      <c r="BV15" s="8" t="str">
        <f t="shared" si="12"/>
        <v/>
      </c>
      <c r="BW15" s="8"/>
      <c r="BX15" s="8" t="str">
        <f t="shared" si="13"/>
        <v/>
      </c>
      <c r="BY15" s="8"/>
      <c r="BZ15" s="8" t="str">
        <f t="shared" si="14"/>
        <v/>
      </c>
      <c r="CA15" s="8"/>
      <c r="CB15" s="31" t="str">
        <f t="shared" si="15"/>
        <v/>
      </c>
      <c r="CC15" s="37" t="str">
        <f t="shared" si="16"/>
        <v/>
      </c>
      <c r="CD15" s="8" t="str">
        <f t="shared" si="17"/>
        <v/>
      </c>
      <c r="CE15" s="9" t="str">
        <f t="shared" si="18"/>
        <v/>
      </c>
      <c r="CF15" s="6"/>
    </row>
    <row r="16" spans="1:84" ht="15" customHeight="1" x14ac:dyDescent="0.2">
      <c r="A16" s="85"/>
      <c r="B16" s="10"/>
      <c r="C16" s="8">
        <v>435</v>
      </c>
      <c r="D16" s="102">
        <f t="shared" si="21"/>
        <v>29</v>
      </c>
      <c r="E16" s="8">
        <v>54</v>
      </c>
      <c r="F16" s="8">
        <f t="shared" si="22"/>
        <v>1</v>
      </c>
      <c r="G16" s="8">
        <v>7</v>
      </c>
      <c r="H16" s="8">
        <f t="shared" si="38"/>
        <v>1</v>
      </c>
      <c r="I16" s="8">
        <v>0</v>
      </c>
      <c r="J16" s="31" t="str">
        <f t="shared" si="40"/>
        <v>パンケーキスクイーズ</v>
      </c>
      <c r="K16" s="48">
        <f t="shared" si="40"/>
        <v>572</v>
      </c>
      <c r="L16" s="8">
        <f t="shared" si="24"/>
        <v>572</v>
      </c>
      <c r="M16" s="9">
        <f t="shared" si="25"/>
        <v>0.19724137931034483</v>
      </c>
      <c r="N16" s="6"/>
      <c r="P16" s="10"/>
      <c r="Q16" s="8"/>
      <c r="R16" s="8" t="str">
        <f t="shared" si="26"/>
        <v/>
      </c>
      <c r="S16" s="8"/>
      <c r="T16" s="8" t="str">
        <f t="shared" si="27"/>
        <v/>
      </c>
      <c r="U16" s="8"/>
      <c r="V16" s="8" t="str">
        <f t="shared" si="28"/>
        <v/>
      </c>
      <c r="W16" s="8"/>
      <c r="X16" s="31" t="str">
        <f t="shared" ref="X16:X54" si="41">IF(Q16="","",X12)</f>
        <v/>
      </c>
      <c r="Y16" s="48" t="str">
        <f t="shared" ref="Y16:Y54" si="42">IF(R16="","",Y12)</f>
        <v/>
      </c>
      <c r="Z16" s="8" t="str">
        <f t="shared" si="29"/>
        <v/>
      </c>
      <c r="AA16" s="9" t="str">
        <f t="shared" si="30"/>
        <v/>
      </c>
      <c r="AB16" s="6"/>
      <c r="AD16" s="10"/>
      <c r="AE16" s="8"/>
      <c r="AF16" s="8" t="str">
        <f t="shared" si="31"/>
        <v/>
      </c>
      <c r="AG16" s="8"/>
      <c r="AH16" s="8" t="str">
        <f t="shared" si="32"/>
        <v/>
      </c>
      <c r="AI16" s="8"/>
      <c r="AJ16" s="8" t="str">
        <f t="shared" si="33"/>
        <v/>
      </c>
      <c r="AK16" s="8"/>
      <c r="AL16" s="31" t="str">
        <f t="shared" ref="AL16:AL54" si="43">IF(AE16="","",AL12)</f>
        <v/>
      </c>
      <c r="AM16" s="48" t="str">
        <f>IF(AF16="","",AM12)</f>
        <v/>
      </c>
      <c r="AN16" s="8" t="str">
        <f t="shared" si="35"/>
        <v/>
      </c>
      <c r="AO16" s="9" t="str">
        <f t="shared" si="36"/>
        <v/>
      </c>
      <c r="AP16" s="6"/>
      <c r="AR16" s="43"/>
      <c r="AS16" s="8"/>
      <c r="AT16" s="8" t="str">
        <f t="shared" si="19"/>
        <v/>
      </c>
      <c r="AU16" s="8"/>
      <c r="AV16" s="8" t="str">
        <f t="shared" si="0"/>
        <v/>
      </c>
      <c r="AW16" s="8"/>
      <c r="AX16" s="8" t="str">
        <f t="shared" si="1"/>
        <v/>
      </c>
      <c r="AY16" s="8"/>
      <c r="AZ16" s="31" t="str">
        <f t="shared" si="2"/>
        <v/>
      </c>
      <c r="BA16" s="8"/>
      <c r="BB16" s="8" t="str">
        <f t="shared" si="4"/>
        <v/>
      </c>
      <c r="BC16" s="9" t="str">
        <f t="shared" si="20"/>
        <v/>
      </c>
      <c r="BD16" s="6"/>
      <c r="BF16" s="43"/>
      <c r="BG16" s="8"/>
      <c r="BH16" s="8" t="str">
        <f t="shared" si="5"/>
        <v/>
      </c>
      <c r="BI16" s="8"/>
      <c r="BJ16" s="8" t="str">
        <f t="shared" si="6"/>
        <v/>
      </c>
      <c r="BK16" s="8"/>
      <c r="BL16" s="8" t="str">
        <f t="shared" si="7"/>
        <v/>
      </c>
      <c r="BM16" s="8"/>
      <c r="BN16" s="31" t="str">
        <f t="shared" si="8"/>
        <v/>
      </c>
      <c r="BO16" s="8"/>
      <c r="BP16" s="8" t="str">
        <f t="shared" si="10"/>
        <v/>
      </c>
      <c r="BQ16" s="9" t="str">
        <f t="shared" si="11"/>
        <v/>
      </c>
      <c r="BR16" s="6"/>
      <c r="BT16" s="43"/>
      <c r="BU16" s="8"/>
      <c r="BV16" s="8" t="str">
        <f t="shared" si="12"/>
        <v/>
      </c>
      <c r="BW16" s="8"/>
      <c r="BX16" s="8" t="str">
        <f t="shared" si="13"/>
        <v/>
      </c>
      <c r="BY16" s="8"/>
      <c r="BZ16" s="8" t="str">
        <f t="shared" si="14"/>
        <v/>
      </c>
      <c r="CA16" s="8"/>
      <c r="CB16" s="31" t="str">
        <f t="shared" si="15"/>
        <v/>
      </c>
      <c r="CC16" s="8"/>
      <c r="CD16" s="8" t="str">
        <f t="shared" si="17"/>
        <v/>
      </c>
      <c r="CE16" s="9" t="str">
        <f t="shared" si="18"/>
        <v/>
      </c>
      <c r="CF16" s="6"/>
    </row>
    <row r="17" spans="1:84" x14ac:dyDescent="0.2">
      <c r="A17" s="88"/>
      <c r="B17" s="10"/>
      <c r="C17" s="8">
        <v>323</v>
      </c>
      <c r="D17" s="8">
        <f t="shared" si="21"/>
        <v>69</v>
      </c>
      <c r="E17" s="8">
        <v>51</v>
      </c>
      <c r="F17" s="8">
        <f t="shared" si="22"/>
        <v>2</v>
      </c>
      <c r="G17" s="8">
        <v>8</v>
      </c>
      <c r="H17" s="8">
        <f t="shared" si="38"/>
        <v>0</v>
      </c>
      <c r="I17" s="8">
        <v>1</v>
      </c>
      <c r="J17" s="31" t="str">
        <f t="shared" ref="J17:J54" si="44">IF(C17="","",J13)</f>
        <v>フルーツスクイーズ</v>
      </c>
      <c r="K17" s="8">
        <f>IF(D17="","",K13)</f>
        <v>209</v>
      </c>
      <c r="L17" s="8">
        <f t="shared" si="24"/>
        <v>0</v>
      </c>
      <c r="M17" s="9">
        <f t="shared" si="25"/>
        <v>0</v>
      </c>
      <c r="N17" s="6"/>
      <c r="P17" s="10"/>
      <c r="Q17" s="8"/>
      <c r="R17" s="8" t="str">
        <f t="shared" si="26"/>
        <v/>
      </c>
      <c r="S17" s="8"/>
      <c r="T17" s="8" t="str">
        <f t="shared" si="27"/>
        <v/>
      </c>
      <c r="U17" s="8"/>
      <c r="V17" s="8" t="str">
        <f t="shared" si="28"/>
        <v/>
      </c>
      <c r="W17" s="8"/>
      <c r="X17" s="31" t="str">
        <f t="shared" si="41"/>
        <v/>
      </c>
      <c r="Y17" s="8" t="str">
        <f t="shared" si="42"/>
        <v/>
      </c>
      <c r="Z17" s="8" t="str">
        <f t="shared" si="29"/>
        <v/>
      </c>
      <c r="AA17" s="9" t="str">
        <f t="shared" si="30"/>
        <v/>
      </c>
      <c r="AB17" s="6"/>
      <c r="AD17" s="10"/>
      <c r="AE17" s="8"/>
      <c r="AF17" s="8" t="str">
        <f t="shared" si="31"/>
        <v/>
      </c>
      <c r="AG17" s="8"/>
      <c r="AH17" s="8" t="str">
        <f t="shared" si="32"/>
        <v/>
      </c>
      <c r="AI17" s="8"/>
      <c r="AJ17" s="8" t="str">
        <f t="shared" si="33"/>
        <v/>
      </c>
      <c r="AK17" s="8"/>
      <c r="AL17" s="31" t="str">
        <f t="shared" si="43"/>
        <v/>
      </c>
      <c r="AM17" s="8" t="str">
        <f t="shared" ref="AM17:AM54" si="45">IF(AF17="","",AM13)</f>
        <v/>
      </c>
      <c r="AN17" s="8" t="str">
        <f t="shared" si="35"/>
        <v/>
      </c>
      <c r="AO17" s="9" t="str">
        <f t="shared" si="36"/>
        <v/>
      </c>
      <c r="AP17" s="6"/>
      <c r="AR17" s="43"/>
      <c r="AS17" s="8"/>
      <c r="AT17" s="8" t="str">
        <f t="shared" si="19"/>
        <v/>
      </c>
      <c r="AU17" s="8"/>
      <c r="AV17" s="8" t="str">
        <f t="shared" si="0"/>
        <v/>
      </c>
      <c r="AW17" s="8"/>
      <c r="AX17" s="8" t="str">
        <f t="shared" si="1"/>
        <v/>
      </c>
      <c r="AY17" s="8"/>
      <c r="AZ17" s="31" t="str">
        <f t="shared" si="2"/>
        <v/>
      </c>
      <c r="BA17" s="8"/>
      <c r="BB17" s="8" t="str">
        <f t="shared" si="4"/>
        <v/>
      </c>
      <c r="BC17" s="9" t="str">
        <f t="shared" si="20"/>
        <v/>
      </c>
      <c r="BD17" s="6"/>
      <c r="BF17" s="43"/>
      <c r="BG17" s="8"/>
      <c r="BH17" s="8" t="str">
        <f t="shared" si="5"/>
        <v/>
      </c>
      <c r="BI17" s="8"/>
      <c r="BJ17" s="8" t="str">
        <f t="shared" si="6"/>
        <v/>
      </c>
      <c r="BK17" s="8"/>
      <c r="BL17" s="8" t="str">
        <f t="shared" si="7"/>
        <v/>
      </c>
      <c r="BM17" s="8"/>
      <c r="BN17" s="31" t="str">
        <f t="shared" si="8"/>
        <v/>
      </c>
      <c r="BO17" s="8"/>
      <c r="BP17" s="8" t="str">
        <f t="shared" si="10"/>
        <v/>
      </c>
      <c r="BQ17" s="9" t="str">
        <f t="shared" si="11"/>
        <v/>
      </c>
      <c r="BR17" s="6"/>
      <c r="BT17" s="43"/>
      <c r="BU17" s="8"/>
      <c r="BV17" s="8" t="str">
        <f t="shared" si="12"/>
        <v/>
      </c>
      <c r="BW17" s="8"/>
      <c r="BX17" s="8" t="str">
        <f t="shared" si="13"/>
        <v/>
      </c>
      <c r="BY17" s="8"/>
      <c r="BZ17" s="8" t="str">
        <f t="shared" si="14"/>
        <v/>
      </c>
      <c r="CA17" s="8"/>
      <c r="CB17" s="31" t="str">
        <f t="shared" si="15"/>
        <v/>
      </c>
      <c r="CC17" s="8"/>
      <c r="CD17" s="8" t="str">
        <f t="shared" si="17"/>
        <v/>
      </c>
      <c r="CE17" s="9" t="str">
        <f t="shared" si="18"/>
        <v/>
      </c>
      <c r="CF17" s="6"/>
    </row>
    <row r="18" spans="1:84" ht="15" customHeight="1" thickBot="1" x14ac:dyDescent="0.25">
      <c r="A18" s="87"/>
      <c r="B18" s="13"/>
      <c r="C18" s="14">
        <v>446</v>
      </c>
      <c r="D18" s="14">
        <f t="shared" si="21"/>
        <v>111</v>
      </c>
      <c r="E18" s="14">
        <v>47</v>
      </c>
      <c r="F18" s="14">
        <f t="shared" si="22"/>
        <v>2</v>
      </c>
      <c r="G18" s="14">
        <v>53</v>
      </c>
      <c r="H18" s="14">
        <f t="shared" si="38"/>
        <v>2</v>
      </c>
      <c r="I18" s="14"/>
      <c r="J18" s="32" t="str">
        <f t="shared" si="44"/>
        <v>ベーカリースクイーズ</v>
      </c>
      <c r="K18" s="49">
        <f t="shared" ref="K18:K54" si="46">IF(D18="","",K14)</f>
        <v>286</v>
      </c>
      <c r="L18" s="14">
        <f t="shared" si="24"/>
        <v>572</v>
      </c>
      <c r="M18" s="15">
        <f t="shared" si="25"/>
        <v>5.1531531531531533E-2</v>
      </c>
      <c r="N18" s="6"/>
      <c r="P18" s="13"/>
      <c r="Q18" s="14"/>
      <c r="R18" s="14" t="str">
        <f t="shared" si="26"/>
        <v/>
      </c>
      <c r="S18" s="14"/>
      <c r="T18" s="14" t="str">
        <f t="shared" si="27"/>
        <v/>
      </c>
      <c r="U18" s="14"/>
      <c r="V18" s="14" t="str">
        <f t="shared" si="28"/>
        <v/>
      </c>
      <c r="W18" s="14"/>
      <c r="X18" s="32" t="str">
        <f t="shared" si="41"/>
        <v/>
      </c>
      <c r="Y18" s="49" t="str">
        <f t="shared" si="42"/>
        <v/>
      </c>
      <c r="Z18" s="14" t="str">
        <f t="shared" si="29"/>
        <v/>
      </c>
      <c r="AA18" s="15" t="str">
        <f t="shared" si="30"/>
        <v/>
      </c>
      <c r="AB18" s="6"/>
      <c r="AD18" s="13"/>
      <c r="AE18" s="14"/>
      <c r="AF18" s="14" t="str">
        <f t="shared" si="31"/>
        <v/>
      </c>
      <c r="AG18" s="14"/>
      <c r="AH18" s="14" t="str">
        <f t="shared" si="32"/>
        <v/>
      </c>
      <c r="AI18" s="14"/>
      <c r="AJ18" s="14" t="str">
        <f t="shared" si="33"/>
        <v/>
      </c>
      <c r="AK18" s="14"/>
      <c r="AL18" s="32" t="str">
        <f t="shared" si="43"/>
        <v/>
      </c>
      <c r="AM18" s="49" t="str">
        <f t="shared" si="45"/>
        <v/>
      </c>
      <c r="AN18" s="14" t="str">
        <f t="shared" si="35"/>
        <v/>
      </c>
      <c r="AO18" s="15" t="str">
        <f t="shared" si="36"/>
        <v/>
      </c>
      <c r="AP18" s="6"/>
      <c r="AR18" s="43"/>
      <c r="AS18" s="8"/>
      <c r="AT18" s="8" t="str">
        <f t="shared" si="19"/>
        <v/>
      </c>
      <c r="AU18" s="8"/>
      <c r="AV18" s="8" t="str">
        <f t="shared" si="0"/>
        <v/>
      </c>
      <c r="AW18" s="8"/>
      <c r="AX18" s="8" t="str">
        <f t="shared" si="1"/>
        <v/>
      </c>
      <c r="AY18" s="8"/>
      <c r="AZ18" s="31" t="str">
        <f t="shared" si="2"/>
        <v/>
      </c>
      <c r="BA18" s="8"/>
      <c r="BB18" s="8" t="str">
        <f t="shared" si="4"/>
        <v/>
      </c>
      <c r="BC18" s="9" t="str">
        <f t="shared" si="20"/>
        <v/>
      </c>
      <c r="BD18" s="6"/>
      <c r="BF18" s="43"/>
      <c r="BG18" s="8"/>
      <c r="BH18" s="8" t="str">
        <f t="shared" si="5"/>
        <v/>
      </c>
      <c r="BI18" s="8"/>
      <c r="BJ18" s="8" t="str">
        <f t="shared" si="6"/>
        <v/>
      </c>
      <c r="BK18" s="8"/>
      <c r="BL18" s="8" t="str">
        <f t="shared" si="7"/>
        <v/>
      </c>
      <c r="BM18" s="8"/>
      <c r="BN18" s="31" t="str">
        <f t="shared" si="8"/>
        <v/>
      </c>
      <c r="BO18" s="37" t="str">
        <f>IF(BG18="","",BO17)</f>
        <v/>
      </c>
      <c r="BP18" s="8" t="str">
        <f t="shared" si="10"/>
        <v/>
      </c>
      <c r="BQ18" s="9" t="str">
        <f t="shared" si="11"/>
        <v/>
      </c>
      <c r="BR18" s="6"/>
      <c r="BT18" s="43"/>
      <c r="BU18" s="8"/>
      <c r="BV18" s="8" t="str">
        <f t="shared" si="12"/>
        <v/>
      </c>
      <c r="BW18" s="8"/>
      <c r="BX18" s="8" t="str">
        <f t="shared" si="13"/>
        <v/>
      </c>
      <c r="BY18" s="8"/>
      <c r="BZ18" s="8" t="str">
        <f t="shared" si="14"/>
        <v/>
      </c>
      <c r="CA18" s="8"/>
      <c r="CB18" s="31" t="str">
        <f t="shared" si="15"/>
        <v/>
      </c>
      <c r="CC18" s="37" t="str">
        <f>IF(BU18="","",CC17)</f>
        <v/>
      </c>
      <c r="CD18" s="8" t="str">
        <f t="shared" si="17"/>
        <v/>
      </c>
      <c r="CE18" s="9" t="str">
        <f t="shared" si="18"/>
        <v/>
      </c>
      <c r="CF18" s="6"/>
    </row>
    <row r="19" spans="1:84" ht="15" customHeight="1" thickTop="1" x14ac:dyDescent="0.2">
      <c r="A19" s="50">
        <v>46156</v>
      </c>
      <c r="B19" s="100">
        <f>SUM(D19:D22)+SUM(AT7,BH7)</f>
        <v>447</v>
      </c>
      <c r="C19" s="37">
        <v>591</v>
      </c>
      <c r="D19" s="37">
        <f t="shared" si="21"/>
        <v>124</v>
      </c>
      <c r="E19" s="37">
        <v>33</v>
      </c>
      <c r="F19" s="16">
        <f t="shared" si="22"/>
        <v>3</v>
      </c>
      <c r="G19" s="37">
        <v>7</v>
      </c>
      <c r="H19" s="37">
        <f t="shared" si="38"/>
        <v>3</v>
      </c>
      <c r="I19" s="37">
        <v>0</v>
      </c>
      <c r="J19" s="44" t="str">
        <f t="shared" si="44"/>
        <v>たまごっちミニチュアポシェット</v>
      </c>
      <c r="K19" s="45">
        <f t="shared" si="46"/>
        <v>770</v>
      </c>
      <c r="L19" s="16">
        <f t="shared" si="24"/>
        <v>2310</v>
      </c>
      <c r="M19" s="17">
        <f t="shared" si="25"/>
        <v>0.18629032258064515</v>
      </c>
      <c r="N19" s="6"/>
      <c r="P19" s="43">
        <f>IF($A19="","",$A19)</f>
        <v>46156</v>
      </c>
      <c r="Q19" s="37"/>
      <c r="R19" s="37" t="str">
        <f t="shared" si="26"/>
        <v/>
      </c>
      <c r="S19" s="37"/>
      <c r="T19" s="16" t="str">
        <f t="shared" si="27"/>
        <v/>
      </c>
      <c r="U19" s="37"/>
      <c r="V19" s="37" t="str">
        <f t="shared" si="28"/>
        <v/>
      </c>
      <c r="W19" s="37"/>
      <c r="X19" s="44" t="str">
        <f t="shared" si="41"/>
        <v/>
      </c>
      <c r="Y19" s="45" t="str">
        <f t="shared" si="42"/>
        <v/>
      </c>
      <c r="Z19" s="16" t="str">
        <f t="shared" si="29"/>
        <v/>
      </c>
      <c r="AA19" s="17" t="str">
        <f t="shared" si="30"/>
        <v/>
      </c>
      <c r="AB19" s="6"/>
      <c r="AD19" s="43">
        <f>IF($A19="","",$A19)</f>
        <v>46156</v>
      </c>
      <c r="AE19" s="37"/>
      <c r="AF19" s="37" t="str">
        <f t="shared" si="31"/>
        <v/>
      </c>
      <c r="AG19" s="37"/>
      <c r="AH19" s="16" t="str">
        <f t="shared" si="32"/>
        <v/>
      </c>
      <c r="AI19" s="37"/>
      <c r="AJ19" s="37" t="str">
        <f t="shared" si="33"/>
        <v/>
      </c>
      <c r="AK19" s="37"/>
      <c r="AL19" s="44" t="str">
        <f t="shared" si="43"/>
        <v/>
      </c>
      <c r="AM19" s="45" t="str">
        <f t="shared" si="45"/>
        <v/>
      </c>
      <c r="AN19" s="16" t="str">
        <f t="shared" si="35"/>
        <v/>
      </c>
      <c r="AO19" s="17" t="str">
        <f t="shared" si="36"/>
        <v/>
      </c>
      <c r="AP19" s="6"/>
      <c r="AR19" s="43"/>
      <c r="AS19" s="8"/>
      <c r="AT19" s="8" t="str">
        <f t="shared" si="19"/>
        <v/>
      </c>
      <c r="AU19" s="8"/>
      <c r="AV19" s="8" t="str">
        <f t="shared" si="0"/>
        <v/>
      </c>
      <c r="AW19" s="8"/>
      <c r="AX19" s="8" t="str">
        <f t="shared" si="1"/>
        <v/>
      </c>
      <c r="AY19" s="8"/>
      <c r="AZ19" s="31" t="str">
        <f t="shared" si="2"/>
        <v/>
      </c>
      <c r="BA19" s="37" t="str">
        <f>IF(AS19="","",BA18)</f>
        <v/>
      </c>
      <c r="BB19" s="8" t="str">
        <f t="shared" si="4"/>
        <v/>
      </c>
      <c r="BC19" s="9" t="str">
        <f t="shared" si="20"/>
        <v/>
      </c>
      <c r="BD19" s="6"/>
      <c r="BF19" s="43"/>
      <c r="BG19" s="8"/>
      <c r="BH19" s="8" t="str">
        <f t="shared" si="5"/>
        <v/>
      </c>
      <c r="BI19" s="8"/>
      <c r="BJ19" s="8" t="str">
        <f t="shared" si="6"/>
        <v/>
      </c>
      <c r="BK19" s="8"/>
      <c r="BL19" s="8" t="str">
        <f t="shared" si="7"/>
        <v/>
      </c>
      <c r="BM19" s="8"/>
      <c r="BN19" s="31" t="str">
        <f t="shared" si="8"/>
        <v/>
      </c>
      <c r="BO19" s="37" t="str">
        <f>IF(BG19="","",BO18)</f>
        <v/>
      </c>
      <c r="BP19" s="8" t="str">
        <f t="shared" si="10"/>
        <v/>
      </c>
      <c r="BQ19" s="9" t="str">
        <f t="shared" si="11"/>
        <v/>
      </c>
      <c r="BR19" s="6"/>
      <c r="BT19" s="43"/>
      <c r="BU19" s="8"/>
      <c r="BV19" s="8" t="str">
        <f t="shared" si="12"/>
        <v/>
      </c>
      <c r="BW19" s="8"/>
      <c r="BX19" s="8" t="str">
        <f t="shared" si="13"/>
        <v/>
      </c>
      <c r="BY19" s="8"/>
      <c r="BZ19" s="8" t="str">
        <f t="shared" si="14"/>
        <v/>
      </c>
      <c r="CA19" s="8"/>
      <c r="CB19" s="31" t="str">
        <f t="shared" si="15"/>
        <v/>
      </c>
      <c r="CC19" s="37" t="str">
        <f>IF(BU19="","",CC18)</f>
        <v/>
      </c>
      <c r="CD19" s="8" t="str">
        <f t="shared" si="17"/>
        <v/>
      </c>
      <c r="CE19" s="9" t="str">
        <f t="shared" si="18"/>
        <v/>
      </c>
      <c r="CF19" s="6"/>
    </row>
    <row r="20" spans="1:84" ht="15" customHeight="1" x14ac:dyDescent="0.2">
      <c r="A20" s="85"/>
      <c r="B20" s="10"/>
      <c r="C20" s="8">
        <v>489</v>
      </c>
      <c r="D20" s="8">
        <f t="shared" si="21"/>
        <v>54</v>
      </c>
      <c r="E20" s="8">
        <v>56</v>
      </c>
      <c r="F20" s="8">
        <f t="shared" si="22"/>
        <v>2</v>
      </c>
      <c r="G20" s="8">
        <v>6</v>
      </c>
      <c r="H20" s="8">
        <f t="shared" si="38"/>
        <v>1</v>
      </c>
      <c r="I20" s="8">
        <v>0</v>
      </c>
      <c r="J20" s="31" t="str">
        <f t="shared" si="44"/>
        <v>パンケーキスクイーズ</v>
      </c>
      <c r="K20" s="48">
        <f t="shared" si="46"/>
        <v>572</v>
      </c>
      <c r="L20" s="8">
        <f t="shared" si="24"/>
        <v>572</v>
      </c>
      <c r="M20" s="9">
        <f t="shared" si="25"/>
        <v>0.10592592592592592</v>
      </c>
      <c r="N20" s="6"/>
      <c r="P20" s="10"/>
      <c r="Q20" s="8"/>
      <c r="R20" s="8" t="str">
        <f t="shared" si="26"/>
        <v/>
      </c>
      <c r="S20" s="8"/>
      <c r="T20" s="8" t="str">
        <f t="shared" si="27"/>
        <v/>
      </c>
      <c r="U20" s="8"/>
      <c r="V20" s="8" t="str">
        <f t="shared" si="28"/>
        <v/>
      </c>
      <c r="W20" s="8"/>
      <c r="X20" s="31" t="str">
        <f t="shared" si="41"/>
        <v/>
      </c>
      <c r="Y20" s="48" t="str">
        <f t="shared" si="42"/>
        <v/>
      </c>
      <c r="Z20" s="8" t="str">
        <f t="shared" si="29"/>
        <v/>
      </c>
      <c r="AA20" s="9" t="str">
        <f t="shared" si="30"/>
        <v/>
      </c>
      <c r="AB20" s="6"/>
      <c r="AD20" s="10"/>
      <c r="AE20" s="8"/>
      <c r="AF20" s="8" t="str">
        <f t="shared" si="31"/>
        <v/>
      </c>
      <c r="AG20" s="8"/>
      <c r="AH20" s="8" t="str">
        <f t="shared" si="32"/>
        <v/>
      </c>
      <c r="AI20" s="8"/>
      <c r="AJ20" s="8" t="str">
        <f t="shared" si="33"/>
        <v/>
      </c>
      <c r="AK20" s="8"/>
      <c r="AL20" s="31" t="str">
        <f t="shared" si="43"/>
        <v/>
      </c>
      <c r="AM20" s="48" t="str">
        <f t="shared" si="45"/>
        <v/>
      </c>
      <c r="AN20" s="8" t="str">
        <f t="shared" si="35"/>
        <v/>
      </c>
      <c r="AO20" s="9" t="str">
        <f t="shared" si="36"/>
        <v/>
      </c>
      <c r="AP20" s="6"/>
      <c r="AR20" s="43"/>
      <c r="AS20" s="8"/>
      <c r="AT20" s="8" t="str">
        <f t="shared" si="19"/>
        <v/>
      </c>
      <c r="AU20" s="8"/>
      <c r="AV20" s="8" t="str">
        <f t="shared" si="0"/>
        <v/>
      </c>
      <c r="AW20" s="8"/>
      <c r="AX20" s="8" t="str">
        <f t="shared" si="1"/>
        <v/>
      </c>
      <c r="AY20" s="8"/>
      <c r="AZ20" s="31" t="str">
        <f t="shared" si="2"/>
        <v/>
      </c>
      <c r="BA20" s="8"/>
      <c r="BB20" s="8" t="str">
        <f t="shared" si="4"/>
        <v/>
      </c>
      <c r="BC20" s="9" t="str">
        <f t="shared" si="20"/>
        <v/>
      </c>
      <c r="BD20" s="6"/>
      <c r="BF20" s="43"/>
      <c r="BG20" s="8"/>
      <c r="BH20" s="8" t="str">
        <f t="shared" si="5"/>
        <v/>
      </c>
      <c r="BI20" s="8"/>
      <c r="BJ20" s="8" t="str">
        <f t="shared" si="6"/>
        <v/>
      </c>
      <c r="BK20" s="8"/>
      <c r="BL20" s="8" t="str">
        <f t="shared" si="7"/>
        <v/>
      </c>
      <c r="BM20" s="8"/>
      <c r="BN20" s="31" t="str">
        <f t="shared" si="8"/>
        <v/>
      </c>
      <c r="BO20" s="8"/>
      <c r="BP20" s="8" t="str">
        <f t="shared" si="10"/>
        <v/>
      </c>
      <c r="BQ20" s="9" t="str">
        <f t="shared" si="11"/>
        <v/>
      </c>
      <c r="BR20" s="6"/>
      <c r="BT20" s="43"/>
      <c r="BU20" s="8"/>
      <c r="BV20" s="8" t="str">
        <f t="shared" si="12"/>
        <v/>
      </c>
      <c r="BW20" s="8"/>
      <c r="BX20" s="8" t="str">
        <f t="shared" si="13"/>
        <v/>
      </c>
      <c r="BY20" s="8"/>
      <c r="BZ20" s="8" t="str">
        <f t="shared" si="14"/>
        <v/>
      </c>
      <c r="CA20" s="8"/>
      <c r="CB20" s="31" t="str">
        <f t="shared" si="15"/>
        <v/>
      </c>
      <c r="CC20" s="8"/>
      <c r="CD20" s="8" t="str">
        <f t="shared" si="17"/>
        <v/>
      </c>
      <c r="CE20" s="9" t="str">
        <f t="shared" si="18"/>
        <v/>
      </c>
      <c r="CF20" s="6"/>
    </row>
    <row r="21" spans="1:84" x14ac:dyDescent="0.2">
      <c r="A21" s="97"/>
      <c r="B21" s="10"/>
      <c r="C21" s="8">
        <v>342</v>
      </c>
      <c r="D21" s="102">
        <f t="shared" si="21"/>
        <v>19</v>
      </c>
      <c r="E21" s="8">
        <v>51</v>
      </c>
      <c r="F21" s="8">
        <f t="shared" si="22"/>
        <v>0</v>
      </c>
      <c r="G21" s="8">
        <v>9</v>
      </c>
      <c r="H21" s="8">
        <f t="shared" si="38"/>
        <v>0</v>
      </c>
      <c r="I21" s="8">
        <v>2</v>
      </c>
      <c r="J21" s="31" t="str">
        <f t="shared" si="44"/>
        <v>フルーツスクイーズ</v>
      </c>
      <c r="K21" s="8">
        <f t="shared" si="46"/>
        <v>209</v>
      </c>
      <c r="L21" s="8">
        <f t="shared" si="24"/>
        <v>0</v>
      </c>
      <c r="M21" s="9">
        <f t="shared" si="25"/>
        <v>0</v>
      </c>
      <c r="N21" s="6" t="s">
        <v>47</v>
      </c>
      <c r="P21" s="10"/>
      <c r="Q21" s="8"/>
      <c r="R21" s="8" t="str">
        <f t="shared" si="26"/>
        <v/>
      </c>
      <c r="S21" s="8"/>
      <c r="T21" s="8" t="str">
        <f t="shared" si="27"/>
        <v/>
      </c>
      <c r="U21" s="8"/>
      <c r="V21" s="8" t="str">
        <f t="shared" si="28"/>
        <v/>
      </c>
      <c r="W21" s="8"/>
      <c r="X21" s="31" t="str">
        <f t="shared" si="41"/>
        <v/>
      </c>
      <c r="Y21" s="8" t="str">
        <f t="shared" si="42"/>
        <v/>
      </c>
      <c r="Z21" s="8" t="str">
        <f t="shared" si="29"/>
        <v/>
      </c>
      <c r="AA21" s="9" t="str">
        <f t="shared" si="30"/>
        <v/>
      </c>
      <c r="AB21" s="6"/>
      <c r="AD21" s="10"/>
      <c r="AE21" s="8"/>
      <c r="AF21" s="8" t="str">
        <f t="shared" si="31"/>
        <v/>
      </c>
      <c r="AG21" s="8"/>
      <c r="AH21" s="8" t="str">
        <f t="shared" si="32"/>
        <v/>
      </c>
      <c r="AI21" s="8"/>
      <c r="AJ21" s="8" t="str">
        <f t="shared" si="33"/>
        <v/>
      </c>
      <c r="AK21" s="8"/>
      <c r="AL21" s="31" t="str">
        <f t="shared" si="43"/>
        <v/>
      </c>
      <c r="AM21" s="8" t="str">
        <f t="shared" si="45"/>
        <v/>
      </c>
      <c r="AN21" s="8" t="str">
        <f t="shared" si="35"/>
        <v/>
      </c>
      <c r="AO21" s="9" t="str">
        <f t="shared" si="36"/>
        <v/>
      </c>
      <c r="AP21" s="6"/>
      <c r="AR21" s="43" t="str">
        <f>IF(A24="","",A24)</f>
        <v/>
      </c>
      <c r="AS21" s="8"/>
      <c r="AT21" s="8" t="str">
        <f t="shared" si="19"/>
        <v/>
      </c>
      <c r="AU21" s="8"/>
      <c r="AV21" s="8" t="str">
        <f t="shared" si="0"/>
        <v/>
      </c>
      <c r="AW21" s="8"/>
      <c r="AX21" s="8" t="str">
        <f t="shared" si="1"/>
        <v/>
      </c>
      <c r="AY21" s="8"/>
      <c r="AZ21" s="31" t="str">
        <f t="shared" si="2"/>
        <v/>
      </c>
      <c r="BA21" s="8"/>
      <c r="BB21" s="8" t="str">
        <f t="shared" si="4"/>
        <v/>
      </c>
      <c r="BC21" s="9" t="str">
        <f t="shared" si="20"/>
        <v/>
      </c>
      <c r="BD21" s="6"/>
      <c r="BF21" s="43"/>
      <c r="BG21" s="8"/>
      <c r="BH21" s="8" t="str">
        <f t="shared" si="5"/>
        <v/>
      </c>
      <c r="BI21" s="8"/>
      <c r="BJ21" s="8" t="str">
        <f t="shared" si="6"/>
        <v/>
      </c>
      <c r="BK21" s="8"/>
      <c r="BL21" s="8" t="str">
        <f t="shared" si="7"/>
        <v/>
      </c>
      <c r="BM21" s="8"/>
      <c r="BN21" s="31" t="str">
        <f t="shared" si="8"/>
        <v/>
      </c>
      <c r="BO21" s="8"/>
      <c r="BP21" s="8" t="str">
        <f t="shared" si="10"/>
        <v/>
      </c>
      <c r="BQ21" s="9" t="str">
        <f t="shared" si="11"/>
        <v/>
      </c>
      <c r="BR21" s="6"/>
      <c r="BT21" s="43"/>
      <c r="BU21" s="8"/>
      <c r="BV21" s="8" t="str">
        <f t="shared" si="12"/>
        <v/>
      </c>
      <c r="BW21" s="8"/>
      <c r="BX21" s="8" t="str">
        <f t="shared" si="13"/>
        <v/>
      </c>
      <c r="BY21" s="8"/>
      <c r="BZ21" s="8" t="str">
        <f t="shared" si="14"/>
        <v/>
      </c>
      <c r="CA21" s="8"/>
      <c r="CB21" s="31" t="str">
        <f t="shared" si="15"/>
        <v/>
      </c>
      <c r="CC21" s="8"/>
      <c r="CD21" s="8" t="str">
        <f t="shared" si="17"/>
        <v/>
      </c>
      <c r="CE21" s="9" t="str">
        <f t="shared" si="18"/>
        <v/>
      </c>
      <c r="CF21" s="6"/>
    </row>
    <row r="22" spans="1:84" ht="15" customHeight="1" thickBot="1" x14ac:dyDescent="0.25">
      <c r="A22" s="98"/>
      <c r="B22" s="13"/>
      <c r="C22" s="14">
        <v>533</v>
      </c>
      <c r="D22" s="14">
        <f t="shared" si="21"/>
        <v>87</v>
      </c>
      <c r="E22" s="14">
        <v>49</v>
      </c>
      <c r="F22" s="14">
        <f t="shared" si="22"/>
        <v>2</v>
      </c>
      <c r="G22" s="14">
        <v>51</v>
      </c>
      <c r="H22" s="14">
        <f t="shared" si="38"/>
        <v>2</v>
      </c>
      <c r="I22" s="14">
        <v>0</v>
      </c>
      <c r="J22" s="32" t="str">
        <f t="shared" si="44"/>
        <v>ベーカリースクイーズ</v>
      </c>
      <c r="K22" s="49">
        <f t="shared" si="46"/>
        <v>286</v>
      </c>
      <c r="L22" s="14">
        <f t="shared" si="24"/>
        <v>572</v>
      </c>
      <c r="M22" s="15">
        <f t="shared" si="25"/>
        <v>6.5747126436781614E-2</v>
      </c>
      <c r="N22" s="6"/>
      <c r="P22" s="13"/>
      <c r="Q22" s="14"/>
      <c r="R22" s="14" t="str">
        <f t="shared" si="26"/>
        <v/>
      </c>
      <c r="S22" s="14"/>
      <c r="T22" s="14" t="str">
        <f t="shared" si="27"/>
        <v/>
      </c>
      <c r="U22" s="14"/>
      <c r="V22" s="14" t="str">
        <f t="shared" si="28"/>
        <v/>
      </c>
      <c r="W22" s="14"/>
      <c r="X22" s="32" t="str">
        <f t="shared" si="41"/>
        <v/>
      </c>
      <c r="Y22" s="49" t="str">
        <f t="shared" si="42"/>
        <v/>
      </c>
      <c r="Z22" s="14" t="str">
        <f t="shared" si="29"/>
        <v/>
      </c>
      <c r="AA22" s="15" t="str">
        <f t="shared" si="30"/>
        <v/>
      </c>
      <c r="AB22" s="6"/>
      <c r="AD22" s="13"/>
      <c r="AE22" s="14"/>
      <c r="AF22" s="14" t="str">
        <f t="shared" si="31"/>
        <v/>
      </c>
      <c r="AG22" s="14"/>
      <c r="AH22" s="14" t="str">
        <f t="shared" si="32"/>
        <v/>
      </c>
      <c r="AI22" s="14"/>
      <c r="AJ22" s="14" t="str">
        <f t="shared" si="33"/>
        <v/>
      </c>
      <c r="AK22" s="14"/>
      <c r="AL22" s="32" t="str">
        <f t="shared" si="43"/>
        <v/>
      </c>
      <c r="AM22" s="49" t="str">
        <f t="shared" si="45"/>
        <v/>
      </c>
      <c r="AN22" s="14" t="str">
        <f t="shared" si="35"/>
        <v/>
      </c>
      <c r="AO22" s="15" t="str">
        <f t="shared" si="36"/>
        <v/>
      </c>
      <c r="AP22" s="6"/>
      <c r="AR22" s="43" t="str">
        <f>IF(A25="","",A25)</f>
        <v/>
      </c>
      <c r="AS22" s="8"/>
      <c r="AT22" s="8" t="str">
        <f t="shared" si="19"/>
        <v/>
      </c>
      <c r="AU22" s="8"/>
      <c r="AV22" s="8" t="str">
        <f t="shared" si="0"/>
        <v/>
      </c>
      <c r="AW22" s="8"/>
      <c r="AX22" s="8" t="str">
        <f t="shared" si="1"/>
        <v/>
      </c>
      <c r="AY22" s="8"/>
      <c r="AZ22" s="31" t="str">
        <f t="shared" si="2"/>
        <v/>
      </c>
      <c r="BA22" s="8"/>
      <c r="BB22" s="8" t="str">
        <f t="shared" si="4"/>
        <v/>
      </c>
      <c r="BC22" s="9" t="str">
        <f t="shared" si="20"/>
        <v/>
      </c>
      <c r="BD22" s="6"/>
      <c r="BF22" s="43"/>
      <c r="BG22" s="8"/>
      <c r="BH22" s="8" t="str">
        <f t="shared" si="5"/>
        <v/>
      </c>
      <c r="BI22" s="8"/>
      <c r="BJ22" s="8" t="str">
        <f t="shared" si="6"/>
        <v/>
      </c>
      <c r="BK22" s="8"/>
      <c r="BL22" s="8" t="str">
        <f t="shared" si="7"/>
        <v/>
      </c>
      <c r="BM22" s="8"/>
      <c r="BN22" s="31" t="str">
        <f t="shared" si="8"/>
        <v/>
      </c>
      <c r="BO22" s="8"/>
      <c r="BP22" s="8" t="str">
        <f t="shared" si="10"/>
        <v/>
      </c>
      <c r="BQ22" s="9" t="str">
        <f t="shared" si="11"/>
        <v/>
      </c>
      <c r="BR22" s="6"/>
      <c r="BT22" s="43"/>
      <c r="BU22" s="8"/>
      <c r="BV22" s="8" t="str">
        <f t="shared" si="12"/>
        <v/>
      </c>
      <c r="BW22" s="8"/>
      <c r="BX22" s="8" t="str">
        <f t="shared" si="13"/>
        <v/>
      </c>
      <c r="BY22" s="8"/>
      <c r="BZ22" s="8" t="str">
        <f t="shared" si="14"/>
        <v/>
      </c>
      <c r="CA22" s="8"/>
      <c r="CB22" s="31" t="str">
        <f t="shared" si="15"/>
        <v/>
      </c>
      <c r="CC22" s="8"/>
      <c r="CD22" s="8" t="str">
        <f t="shared" si="17"/>
        <v/>
      </c>
      <c r="CE22" s="9" t="str">
        <f t="shared" si="18"/>
        <v/>
      </c>
      <c r="CF22" s="6"/>
    </row>
    <row r="23" spans="1:84" ht="15" customHeight="1" thickTop="1" x14ac:dyDescent="0.2">
      <c r="A23" s="50">
        <v>46158</v>
      </c>
      <c r="B23" s="100">
        <f>SUM(D23:D26)+SUM(AT8,BH8)</f>
        <v>163</v>
      </c>
      <c r="C23" s="37">
        <v>614</v>
      </c>
      <c r="D23" s="37">
        <f t="shared" si="21"/>
        <v>23</v>
      </c>
      <c r="E23" s="37">
        <v>33</v>
      </c>
      <c r="F23" s="16">
        <f t="shared" si="22"/>
        <v>0</v>
      </c>
      <c r="G23" s="37">
        <v>7</v>
      </c>
      <c r="H23" s="37">
        <f t="shared" si="38"/>
        <v>0</v>
      </c>
      <c r="I23" s="37">
        <v>5</v>
      </c>
      <c r="J23" s="44" t="str">
        <f t="shared" si="44"/>
        <v>たまごっちミニチュアポシェット</v>
      </c>
      <c r="K23" s="45">
        <f t="shared" si="46"/>
        <v>770</v>
      </c>
      <c r="L23" s="16">
        <f t="shared" si="24"/>
        <v>0</v>
      </c>
      <c r="M23" s="17">
        <f t="shared" si="25"/>
        <v>0</v>
      </c>
      <c r="N23" s="6"/>
      <c r="P23" s="43">
        <f>IF($A23="","",$A23)</f>
        <v>46158</v>
      </c>
      <c r="Q23" s="37"/>
      <c r="R23" s="37" t="str">
        <f t="shared" si="26"/>
        <v/>
      </c>
      <c r="S23" s="37"/>
      <c r="T23" s="16" t="str">
        <f t="shared" si="27"/>
        <v/>
      </c>
      <c r="U23" s="37"/>
      <c r="V23" s="37" t="str">
        <f t="shared" si="28"/>
        <v/>
      </c>
      <c r="W23" s="37"/>
      <c r="X23" s="44" t="str">
        <f t="shared" si="41"/>
        <v/>
      </c>
      <c r="Y23" s="45" t="str">
        <f t="shared" si="42"/>
        <v/>
      </c>
      <c r="Z23" s="16" t="str">
        <f t="shared" si="29"/>
        <v/>
      </c>
      <c r="AA23" s="17" t="str">
        <f t="shared" si="30"/>
        <v/>
      </c>
      <c r="AB23" s="6"/>
      <c r="AD23" s="43">
        <f>IF($A23="","",$A23)</f>
        <v>46158</v>
      </c>
      <c r="AE23" s="37"/>
      <c r="AF23" s="37" t="str">
        <f t="shared" si="31"/>
        <v/>
      </c>
      <c r="AG23" s="37"/>
      <c r="AH23" s="16" t="str">
        <f t="shared" si="32"/>
        <v/>
      </c>
      <c r="AI23" s="37"/>
      <c r="AJ23" s="37" t="str">
        <f t="shared" si="33"/>
        <v/>
      </c>
      <c r="AK23" s="37"/>
      <c r="AL23" s="44" t="str">
        <f t="shared" si="43"/>
        <v/>
      </c>
      <c r="AM23" s="45" t="str">
        <f t="shared" si="45"/>
        <v/>
      </c>
      <c r="AN23" s="16" t="str">
        <f t="shared" si="35"/>
        <v/>
      </c>
      <c r="AO23" s="17" t="str">
        <f t="shared" si="36"/>
        <v/>
      </c>
      <c r="AP23" s="6"/>
      <c r="AR23" s="43" t="str">
        <f>IF(A26="","",A26)</f>
        <v/>
      </c>
      <c r="AS23" s="8"/>
      <c r="AT23" s="8" t="str">
        <f t="shared" si="19"/>
        <v/>
      </c>
      <c r="AU23" s="8"/>
      <c r="AV23" s="8" t="str">
        <f t="shared" si="0"/>
        <v/>
      </c>
      <c r="AW23" s="8"/>
      <c r="AX23" s="8" t="str">
        <f t="shared" si="1"/>
        <v/>
      </c>
      <c r="AY23" s="8"/>
      <c r="AZ23" s="31" t="str">
        <f t="shared" si="2"/>
        <v/>
      </c>
      <c r="BA23" s="8"/>
      <c r="BB23" s="8" t="str">
        <f t="shared" si="4"/>
        <v/>
      </c>
      <c r="BC23" s="9" t="str">
        <f t="shared" si="20"/>
        <v/>
      </c>
      <c r="BD23" s="6"/>
      <c r="BF23" s="43"/>
      <c r="BG23" s="8"/>
      <c r="BH23" s="8" t="str">
        <f t="shared" si="5"/>
        <v/>
      </c>
      <c r="BI23" s="8"/>
      <c r="BJ23" s="8" t="str">
        <f t="shared" si="6"/>
        <v/>
      </c>
      <c r="BK23" s="8"/>
      <c r="BL23" s="8" t="str">
        <f t="shared" si="7"/>
        <v/>
      </c>
      <c r="BM23" s="8"/>
      <c r="BN23" s="31" t="str">
        <f t="shared" si="8"/>
        <v/>
      </c>
      <c r="BO23" s="8"/>
      <c r="BP23" s="8" t="str">
        <f t="shared" si="10"/>
        <v/>
      </c>
      <c r="BQ23" s="9" t="str">
        <f t="shared" si="11"/>
        <v/>
      </c>
      <c r="BR23" s="6"/>
      <c r="BT23" s="43"/>
      <c r="BU23" s="8"/>
      <c r="BV23" s="8" t="str">
        <f t="shared" si="12"/>
        <v/>
      </c>
      <c r="BW23" s="8"/>
      <c r="BX23" s="8" t="str">
        <f t="shared" si="13"/>
        <v/>
      </c>
      <c r="BY23" s="8"/>
      <c r="BZ23" s="8" t="str">
        <f t="shared" si="14"/>
        <v/>
      </c>
      <c r="CA23" s="8"/>
      <c r="CB23" s="31" t="str">
        <f t="shared" si="15"/>
        <v/>
      </c>
      <c r="CC23" s="8"/>
      <c r="CD23" s="8" t="str">
        <f t="shared" si="17"/>
        <v/>
      </c>
      <c r="CE23" s="9" t="str">
        <f t="shared" si="18"/>
        <v/>
      </c>
      <c r="CF23" s="6"/>
    </row>
    <row r="24" spans="1:84" ht="15" customHeight="1" x14ac:dyDescent="0.2">
      <c r="A24" s="95"/>
      <c r="B24" s="10"/>
      <c r="C24" s="8">
        <v>508</v>
      </c>
      <c r="D24" s="8">
        <f t="shared" si="21"/>
        <v>19</v>
      </c>
      <c r="E24" s="8">
        <v>56</v>
      </c>
      <c r="F24" s="8">
        <f t="shared" si="22"/>
        <v>0</v>
      </c>
      <c r="G24" s="8">
        <v>6</v>
      </c>
      <c r="H24" s="8">
        <f t="shared" si="38"/>
        <v>0</v>
      </c>
      <c r="I24" s="8">
        <v>4</v>
      </c>
      <c r="J24" s="31" t="str">
        <f t="shared" si="44"/>
        <v>パンケーキスクイーズ</v>
      </c>
      <c r="K24" s="48">
        <f t="shared" si="46"/>
        <v>572</v>
      </c>
      <c r="L24" s="8">
        <f t="shared" si="24"/>
        <v>0</v>
      </c>
      <c r="M24" s="9">
        <f t="shared" si="25"/>
        <v>0</v>
      </c>
      <c r="N24" s="6"/>
      <c r="P24" s="10"/>
      <c r="Q24" s="8"/>
      <c r="R24" s="8" t="str">
        <f t="shared" si="26"/>
        <v/>
      </c>
      <c r="S24" s="8"/>
      <c r="T24" s="8" t="str">
        <f t="shared" si="27"/>
        <v/>
      </c>
      <c r="U24" s="8"/>
      <c r="V24" s="8" t="str">
        <f t="shared" si="28"/>
        <v/>
      </c>
      <c r="W24" s="8"/>
      <c r="X24" s="31" t="str">
        <f t="shared" si="41"/>
        <v/>
      </c>
      <c r="Y24" s="48" t="str">
        <f t="shared" si="42"/>
        <v/>
      </c>
      <c r="Z24" s="8" t="str">
        <f t="shared" si="29"/>
        <v/>
      </c>
      <c r="AA24" s="9" t="str">
        <f t="shared" si="30"/>
        <v/>
      </c>
      <c r="AB24" s="6"/>
      <c r="AD24" s="10"/>
      <c r="AE24" s="8"/>
      <c r="AF24" s="8" t="str">
        <f t="shared" si="31"/>
        <v/>
      </c>
      <c r="AG24" s="8"/>
      <c r="AH24" s="8" t="str">
        <f t="shared" si="32"/>
        <v/>
      </c>
      <c r="AI24" s="8"/>
      <c r="AJ24" s="8" t="str">
        <f t="shared" si="33"/>
        <v/>
      </c>
      <c r="AK24" s="8"/>
      <c r="AL24" s="31" t="str">
        <f t="shared" si="43"/>
        <v/>
      </c>
      <c r="AM24" s="48" t="str">
        <f t="shared" si="45"/>
        <v/>
      </c>
      <c r="AN24" s="8" t="str">
        <f t="shared" si="35"/>
        <v/>
      </c>
      <c r="AO24" s="9" t="str">
        <f t="shared" si="36"/>
        <v/>
      </c>
      <c r="AP24" s="6"/>
      <c r="AR24" s="43"/>
      <c r="AS24" s="8"/>
      <c r="AT24" s="8" t="str">
        <f t="shared" si="19"/>
        <v/>
      </c>
      <c r="AU24" s="8"/>
      <c r="AV24" s="8" t="str">
        <f t="shared" si="0"/>
        <v/>
      </c>
      <c r="AW24" s="8"/>
      <c r="AX24" s="8" t="str">
        <f t="shared" si="1"/>
        <v/>
      </c>
      <c r="AY24" s="8"/>
      <c r="AZ24" s="31" t="str">
        <f t="shared" si="2"/>
        <v/>
      </c>
      <c r="BA24" s="8"/>
      <c r="BB24" s="8" t="str">
        <f t="shared" si="4"/>
        <v/>
      </c>
      <c r="BC24" s="9" t="str">
        <f t="shared" si="20"/>
        <v/>
      </c>
      <c r="BD24" s="6"/>
      <c r="BF24" s="43"/>
      <c r="BG24" s="8"/>
      <c r="BH24" s="8" t="str">
        <f t="shared" si="5"/>
        <v/>
      </c>
      <c r="BI24" s="8"/>
      <c r="BJ24" s="8" t="str">
        <f t="shared" si="6"/>
        <v/>
      </c>
      <c r="BK24" s="8"/>
      <c r="BL24" s="8" t="str">
        <f t="shared" si="7"/>
        <v/>
      </c>
      <c r="BM24" s="8"/>
      <c r="BN24" s="31" t="str">
        <f t="shared" si="8"/>
        <v/>
      </c>
      <c r="BO24" s="8"/>
      <c r="BP24" s="8" t="str">
        <f t="shared" si="10"/>
        <v/>
      </c>
      <c r="BQ24" s="9" t="str">
        <f t="shared" si="11"/>
        <v/>
      </c>
      <c r="BR24" s="6"/>
      <c r="BT24" s="43"/>
      <c r="BU24" s="8"/>
      <c r="BV24" s="8" t="str">
        <f t="shared" si="12"/>
        <v/>
      </c>
      <c r="BW24" s="8"/>
      <c r="BX24" s="8" t="str">
        <f t="shared" si="13"/>
        <v/>
      </c>
      <c r="BY24" s="8"/>
      <c r="BZ24" s="8" t="str">
        <f t="shared" si="14"/>
        <v/>
      </c>
      <c r="CA24" s="8"/>
      <c r="CB24" s="31" t="str">
        <f t="shared" si="15"/>
        <v/>
      </c>
      <c r="CC24" s="8"/>
      <c r="CD24" s="8" t="str">
        <f t="shared" si="17"/>
        <v/>
      </c>
      <c r="CE24" s="9" t="str">
        <f t="shared" si="18"/>
        <v/>
      </c>
      <c r="CF24" s="6"/>
    </row>
    <row r="25" spans="1:84" ht="15" customHeight="1" x14ac:dyDescent="0.2">
      <c r="A25" s="99"/>
      <c r="B25" s="10"/>
      <c r="C25" s="8">
        <v>353</v>
      </c>
      <c r="D25" s="8">
        <f t="shared" si="21"/>
        <v>11</v>
      </c>
      <c r="E25" s="8">
        <v>51</v>
      </c>
      <c r="F25" s="8">
        <f t="shared" si="22"/>
        <v>0</v>
      </c>
      <c r="G25" s="8">
        <v>11</v>
      </c>
      <c r="H25" s="8">
        <f t="shared" si="38"/>
        <v>0</v>
      </c>
      <c r="I25" s="8">
        <v>-4</v>
      </c>
      <c r="J25" s="31" t="str">
        <f t="shared" si="44"/>
        <v>フルーツスクイーズ</v>
      </c>
      <c r="K25" s="8">
        <f t="shared" si="46"/>
        <v>209</v>
      </c>
      <c r="L25" s="8">
        <f t="shared" si="24"/>
        <v>0</v>
      </c>
      <c r="M25" s="9">
        <f t="shared" si="25"/>
        <v>0</v>
      </c>
      <c r="N25" s="6"/>
      <c r="P25" s="10"/>
      <c r="Q25" s="8"/>
      <c r="R25" s="8" t="str">
        <f t="shared" si="26"/>
        <v/>
      </c>
      <c r="S25" s="8"/>
      <c r="T25" s="8" t="str">
        <f t="shared" si="27"/>
        <v/>
      </c>
      <c r="U25" s="8"/>
      <c r="V25" s="8" t="str">
        <f t="shared" si="28"/>
        <v/>
      </c>
      <c r="W25" s="8"/>
      <c r="X25" s="31" t="str">
        <f t="shared" si="41"/>
        <v/>
      </c>
      <c r="Y25" s="8" t="str">
        <f t="shared" si="42"/>
        <v/>
      </c>
      <c r="Z25" s="8" t="str">
        <f t="shared" si="29"/>
        <v/>
      </c>
      <c r="AA25" s="9" t="str">
        <f t="shared" si="30"/>
        <v/>
      </c>
      <c r="AB25" s="6"/>
      <c r="AD25" s="10"/>
      <c r="AE25" s="8"/>
      <c r="AF25" s="8" t="str">
        <f t="shared" si="31"/>
        <v/>
      </c>
      <c r="AG25" s="8"/>
      <c r="AH25" s="8" t="str">
        <f t="shared" si="32"/>
        <v/>
      </c>
      <c r="AI25" s="8"/>
      <c r="AJ25" s="8" t="str">
        <f t="shared" si="33"/>
        <v/>
      </c>
      <c r="AK25" s="8"/>
      <c r="AL25" s="31" t="str">
        <f t="shared" si="43"/>
        <v/>
      </c>
      <c r="AM25" s="8" t="str">
        <f t="shared" si="45"/>
        <v/>
      </c>
      <c r="AN25" s="8" t="str">
        <f t="shared" si="35"/>
        <v/>
      </c>
      <c r="AO25" s="9" t="str">
        <f t="shared" si="36"/>
        <v/>
      </c>
      <c r="AP25" s="6"/>
      <c r="AR25" s="43" t="str">
        <f>IF(A28="","",A28)</f>
        <v/>
      </c>
      <c r="AS25" s="8"/>
      <c r="AT25" s="8" t="str">
        <f t="shared" si="19"/>
        <v/>
      </c>
      <c r="AU25" s="8"/>
      <c r="AV25" s="8" t="str">
        <f t="shared" si="0"/>
        <v/>
      </c>
      <c r="AW25" s="8"/>
      <c r="AX25" s="8" t="str">
        <f t="shared" si="1"/>
        <v/>
      </c>
      <c r="AY25" s="8"/>
      <c r="AZ25" s="31"/>
      <c r="BA25" s="8"/>
      <c r="BB25" s="8" t="str">
        <f t="shared" si="4"/>
        <v/>
      </c>
      <c r="BC25" s="9" t="str">
        <f t="shared" si="20"/>
        <v/>
      </c>
      <c r="BD25" s="6"/>
      <c r="BF25" s="43"/>
      <c r="BG25" s="8"/>
      <c r="BH25" s="8" t="str">
        <f t="shared" si="5"/>
        <v/>
      </c>
      <c r="BI25" s="8"/>
      <c r="BJ25" s="8" t="str">
        <f t="shared" si="6"/>
        <v/>
      </c>
      <c r="BK25" s="8"/>
      <c r="BL25" s="8" t="str">
        <f t="shared" si="7"/>
        <v/>
      </c>
      <c r="BM25" s="8"/>
      <c r="BN25" s="31"/>
      <c r="BO25" s="8"/>
      <c r="BP25" s="8" t="str">
        <f t="shared" si="10"/>
        <v/>
      </c>
      <c r="BQ25" s="9" t="str">
        <f t="shared" si="11"/>
        <v/>
      </c>
      <c r="BR25" s="6"/>
      <c r="BT25" s="43"/>
      <c r="BU25" s="8"/>
      <c r="BV25" s="8" t="str">
        <f t="shared" si="12"/>
        <v/>
      </c>
      <c r="BW25" s="8"/>
      <c r="BX25" s="8" t="str">
        <f t="shared" si="13"/>
        <v/>
      </c>
      <c r="BY25" s="8"/>
      <c r="BZ25" s="8" t="str">
        <f t="shared" si="14"/>
        <v/>
      </c>
      <c r="CA25" s="8"/>
      <c r="CB25" s="31"/>
      <c r="CC25" s="8"/>
      <c r="CD25" s="8" t="str">
        <f t="shared" si="17"/>
        <v/>
      </c>
      <c r="CE25" s="9" t="str">
        <f t="shared" si="18"/>
        <v/>
      </c>
      <c r="CF25" s="6"/>
    </row>
    <row r="26" spans="1:84" ht="15" customHeight="1" thickBot="1" x14ac:dyDescent="0.25">
      <c r="A26" s="96"/>
      <c r="B26" s="13"/>
      <c r="C26" s="14">
        <v>563</v>
      </c>
      <c r="D26" s="14">
        <f t="shared" si="21"/>
        <v>30</v>
      </c>
      <c r="E26" s="14">
        <v>51</v>
      </c>
      <c r="F26" s="14">
        <f t="shared" si="22"/>
        <v>2</v>
      </c>
      <c r="G26" s="14">
        <v>49</v>
      </c>
      <c r="H26" s="14">
        <f t="shared" si="38"/>
        <v>2</v>
      </c>
      <c r="I26" s="14">
        <v>0</v>
      </c>
      <c r="J26" s="32" t="str">
        <f t="shared" si="44"/>
        <v>ベーカリースクイーズ</v>
      </c>
      <c r="K26" s="49">
        <f t="shared" si="46"/>
        <v>286</v>
      </c>
      <c r="L26" s="14">
        <f t="shared" si="24"/>
        <v>572</v>
      </c>
      <c r="M26" s="15">
        <f t="shared" si="25"/>
        <v>0.19066666666666668</v>
      </c>
      <c r="N26" s="6"/>
      <c r="P26" s="13"/>
      <c r="Q26" s="14"/>
      <c r="R26" s="14" t="str">
        <f t="shared" si="26"/>
        <v/>
      </c>
      <c r="S26" s="14"/>
      <c r="T26" s="14" t="str">
        <f t="shared" si="27"/>
        <v/>
      </c>
      <c r="U26" s="14"/>
      <c r="V26" s="14" t="str">
        <f t="shared" si="28"/>
        <v/>
      </c>
      <c r="W26" s="14"/>
      <c r="X26" s="32" t="str">
        <f t="shared" si="41"/>
        <v/>
      </c>
      <c r="Y26" s="49" t="str">
        <f t="shared" si="42"/>
        <v/>
      </c>
      <c r="Z26" s="14" t="str">
        <f t="shared" si="29"/>
        <v/>
      </c>
      <c r="AA26" s="15" t="str">
        <f t="shared" si="30"/>
        <v/>
      </c>
      <c r="AB26" s="6"/>
      <c r="AD26" s="13"/>
      <c r="AE26" s="14"/>
      <c r="AF26" s="14" t="str">
        <f t="shared" si="31"/>
        <v/>
      </c>
      <c r="AG26" s="14"/>
      <c r="AH26" s="14" t="str">
        <f t="shared" si="32"/>
        <v/>
      </c>
      <c r="AI26" s="14"/>
      <c r="AJ26" s="14" t="str">
        <f t="shared" si="33"/>
        <v/>
      </c>
      <c r="AK26" s="14"/>
      <c r="AL26" s="32" t="str">
        <f t="shared" si="43"/>
        <v/>
      </c>
      <c r="AM26" s="49" t="str">
        <f t="shared" si="45"/>
        <v/>
      </c>
      <c r="AN26" s="14" t="str">
        <f t="shared" si="35"/>
        <v/>
      </c>
      <c r="AO26" s="15" t="str">
        <f t="shared" si="36"/>
        <v/>
      </c>
      <c r="AP26" s="6"/>
      <c r="AR26" s="43"/>
      <c r="AS26" s="8"/>
      <c r="AT26" s="8" t="str">
        <f t="shared" si="19"/>
        <v/>
      </c>
      <c r="AU26" s="8"/>
      <c r="AV26" s="8" t="str">
        <f t="shared" si="0"/>
        <v/>
      </c>
      <c r="AW26" s="8"/>
      <c r="AX26" s="8" t="str">
        <f t="shared" si="1"/>
        <v/>
      </c>
      <c r="AY26" s="8"/>
      <c r="AZ26" s="31"/>
      <c r="BA26" s="8"/>
      <c r="BB26" s="8" t="str">
        <f t="shared" si="4"/>
        <v/>
      </c>
      <c r="BC26" s="9" t="str">
        <f t="shared" si="20"/>
        <v/>
      </c>
      <c r="BD26" s="6"/>
      <c r="BF26" s="43"/>
      <c r="BG26" s="8"/>
      <c r="BH26" s="8" t="str">
        <f t="shared" si="5"/>
        <v/>
      </c>
      <c r="BI26" s="8"/>
      <c r="BJ26" s="8" t="str">
        <f t="shared" si="6"/>
        <v/>
      </c>
      <c r="BK26" s="8"/>
      <c r="BL26" s="8" t="str">
        <f t="shared" si="7"/>
        <v/>
      </c>
      <c r="BM26" s="8"/>
      <c r="BN26" s="31"/>
      <c r="BO26" s="8"/>
      <c r="BP26" s="8" t="str">
        <f t="shared" si="10"/>
        <v/>
      </c>
      <c r="BQ26" s="9" t="str">
        <f t="shared" si="11"/>
        <v/>
      </c>
      <c r="BR26" s="6"/>
      <c r="BT26" s="43"/>
      <c r="BU26" s="8"/>
      <c r="BV26" s="8" t="str">
        <f t="shared" si="12"/>
        <v/>
      </c>
      <c r="BW26" s="8"/>
      <c r="BX26" s="8" t="str">
        <f t="shared" si="13"/>
        <v/>
      </c>
      <c r="BY26" s="8"/>
      <c r="BZ26" s="8" t="str">
        <f t="shared" si="14"/>
        <v/>
      </c>
      <c r="CA26" s="8"/>
      <c r="CB26" s="31"/>
      <c r="CC26" s="8"/>
      <c r="CD26" s="8" t="str">
        <f t="shared" si="17"/>
        <v/>
      </c>
      <c r="CE26" s="9" t="str">
        <f t="shared" si="18"/>
        <v/>
      </c>
      <c r="CF26" s="6"/>
    </row>
    <row r="27" spans="1:84" ht="15" customHeight="1" thickTop="1" x14ac:dyDescent="0.2">
      <c r="A27" s="50">
        <v>46160</v>
      </c>
      <c r="B27" s="100">
        <f>SUM(D27:D30)+SUM(AT9,BH9)</f>
        <v>294</v>
      </c>
      <c r="C27" s="37">
        <v>715</v>
      </c>
      <c r="D27" s="37">
        <f t="shared" si="21"/>
        <v>101</v>
      </c>
      <c r="E27" s="37">
        <v>33</v>
      </c>
      <c r="F27" s="16">
        <f t="shared" si="22"/>
        <v>0</v>
      </c>
      <c r="G27" s="37">
        <v>12</v>
      </c>
      <c r="H27" s="37">
        <f t="shared" si="38"/>
        <v>0</v>
      </c>
      <c r="I27" s="37"/>
      <c r="J27" s="44" t="str">
        <f t="shared" si="44"/>
        <v>たまごっちミニチュアポシェット</v>
      </c>
      <c r="K27" s="45">
        <f t="shared" si="46"/>
        <v>770</v>
      </c>
      <c r="L27" s="16">
        <f t="shared" si="24"/>
        <v>0</v>
      </c>
      <c r="M27" s="17">
        <f t="shared" si="25"/>
        <v>0</v>
      </c>
      <c r="N27" s="6"/>
      <c r="P27" s="43">
        <f>IF($A27="","",$A27)</f>
        <v>46160</v>
      </c>
      <c r="Q27" s="37"/>
      <c r="R27" s="37" t="str">
        <f t="shared" si="26"/>
        <v/>
      </c>
      <c r="S27" s="37"/>
      <c r="T27" s="16" t="str">
        <f t="shared" si="27"/>
        <v/>
      </c>
      <c r="U27" s="37"/>
      <c r="V27" s="37" t="str">
        <f t="shared" si="28"/>
        <v/>
      </c>
      <c r="W27" s="37"/>
      <c r="X27" s="44" t="str">
        <f t="shared" si="41"/>
        <v/>
      </c>
      <c r="Y27" s="45" t="str">
        <f t="shared" si="42"/>
        <v/>
      </c>
      <c r="Z27" s="16" t="str">
        <f t="shared" si="29"/>
        <v/>
      </c>
      <c r="AA27" s="17" t="str">
        <f t="shared" si="30"/>
        <v/>
      </c>
      <c r="AB27" s="6"/>
      <c r="AD27" s="43">
        <f>IF($A27="","",$A27)</f>
        <v>46160</v>
      </c>
      <c r="AE27" s="37"/>
      <c r="AF27" s="37" t="str">
        <f t="shared" si="31"/>
        <v/>
      </c>
      <c r="AG27" s="37"/>
      <c r="AH27" s="16" t="str">
        <f t="shared" si="32"/>
        <v/>
      </c>
      <c r="AI27" s="37"/>
      <c r="AJ27" s="37" t="str">
        <f t="shared" si="33"/>
        <v/>
      </c>
      <c r="AK27" s="37"/>
      <c r="AL27" s="44" t="str">
        <f t="shared" si="43"/>
        <v/>
      </c>
      <c r="AM27" s="45" t="str">
        <f t="shared" si="45"/>
        <v/>
      </c>
      <c r="AN27" s="16" t="str">
        <f t="shared" si="35"/>
        <v/>
      </c>
      <c r="AO27" s="17" t="str">
        <f t="shared" si="36"/>
        <v/>
      </c>
      <c r="AP27" s="6"/>
      <c r="AR27" s="43"/>
      <c r="AS27" s="8"/>
      <c r="AT27" s="8" t="str">
        <f t="shared" si="19"/>
        <v/>
      </c>
      <c r="AU27" s="8"/>
      <c r="AV27" s="8" t="str">
        <f t="shared" si="0"/>
        <v/>
      </c>
      <c r="AW27" s="8"/>
      <c r="AX27" s="8" t="str">
        <f t="shared" si="1"/>
        <v/>
      </c>
      <c r="AY27" s="8"/>
      <c r="AZ27" s="31"/>
      <c r="BA27" s="8"/>
      <c r="BB27" s="8" t="str">
        <f t="shared" si="4"/>
        <v/>
      </c>
      <c r="BC27" s="9" t="str">
        <f t="shared" si="20"/>
        <v/>
      </c>
      <c r="BD27" s="6"/>
      <c r="BF27" s="43"/>
      <c r="BG27" s="8"/>
      <c r="BH27" s="8" t="str">
        <f t="shared" si="5"/>
        <v/>
      </c>
      <c r="BI27" s="8"/>
      <c r="BJ27" s="8" t="str">
        <f t="shared" si="6"/>
        <v/>
      </c>
      <c r="BK27" s="8"/>
      <c r="BL27" s="8" t="str">
        <f t="shared" si="7"/>
        <v/>
      </c>
      <c r="BM27" s="8"/>
      <c r="BN27" s="31"/>
      <c r="BO27" s="8"/>
      <c r="BP27" s="8" t="str">
        <f t="shared" si="10"/>
        <v/>
      </c>
      <c r="BQ27" s="9" t="str">
        <f t="shared" si="11"/>
        <v/>
      </c>
      <c r="BR27" s="6"/>
      <c r="BT27" s="43"/>
      <c r="BU27" s="8"/>
      <c r="BV27" s="8" t="str">
        <f t="shared" si="12"/>
        <v/>
      </c>
      <c r="BW27" s="8"/>
      <c r="BX27" s="8" t="str">
        <f t="shared" si="13"/>
        <v/>
      </c>
      <c r="BY27" s="8"/>
      <c r="BZ27" s="8" t="str">
        <f t="shared" si="14"/>
        <v/>
      </c>
      <c r="CA27" s="8"/>
      <c r="CB27" s="31"/>
      <c r="CC27" s="8"/>
      <c r="CD27" s="8" t="str">
        <f t="shared" si="17"/>
        <v/>
      </c>
      <c r="CE27" s="9" t="str">
        <f t="shared" si="18"/>
        <v/>
      </c>
      <c r="CF27" s="6"/>
    </row>
    <row r="28" spans="1:84" ht="15" customHeight="1" x14ac:dyDescent="0.2">
      <c r="A28" s="95"/>
      <c r="B28" s="10"/>
      <c r="C28" s="8">
        <v>529</v>
      </c>
      <c r="D28" s="8">
        <f>IF(C28="","",C28-C24)</f>
        <v>21</v>
      </c>
      <c r="E28" s="8">
        <v>57</v>
      </c>
      <c r="F28" s="8">
        <f t="shared" si="22"/>
        <v>1</v>
      </c>
      <c r="G28" s="8">
        <v>9</v>
      </c>
      <c r="H28" s="8">
        <f t="shared" si="38"/>
        <v>1</v>
      </c>
      <c r="I28" s="8"/>
      <c r="J28" s="31" t="s">
        <v>50</v>
      </c>
      <c r="K28" s="48">
        <f t="shared" si="46"/>
        <v>572</v>
      </c>
      <c r="L28" s="8">
        <f t="shared" si="24"/>
        <v>572</v>
      </c>
      <c r="M28" s="9">
        <f t="shared" si="25"/>
        <v>0.27238095238095239</v>
      </c>
      <c r="N28" s="6" t="s">
        <v>51</v>
      </c>
      <c r="P28" s="10"/>
      <c r="Q28" s="8"/>
      <c r="R28" s="8" t="str">
        <f t="shared" si="26"/>
        <v/>
      </c>
      <c r="S28" s="8"/>
      <c r="T28" s="8" t="str">
        <f t="shared" si="27"/>
        <v/>
      </c>
      <c r="U28" s="8"/>
      <c r="V28" s="8" t="str">
        <f t="shared" si="28"/>
        <v/>
      </c>
      <c r="W28" s="8"/>
      <c r="X28" s="31" t="str">
        <f t="shared" si="41"/>
        <v/>
      </c>
      <c r="Y28" s="48" t="str">
        <f t="shared" si="42"/>
        <v/>
      </c>
      <c r="Z28" s="8" t="str">
        <f t="shared" si="29"/>
        <v/>
      </c>
      <c r="AA28" s="9" t="str">
        <f t="shared" si="30"/>
        <v/>
      </c>
      <c r="AB28" s="6"/>
      <c r="AD28" s="10"/>
      <c r="AE28" s="8"/>
      <c r="AF28" s="8" t="str">
        <f t="shared" si="31"/>
        <v/>
      </c>
      <c r="AG28" s="8"/>
      <c r="AH28" s="8" t="str">
        <f t="shared" si="32"/>
        <v/>
      </c>
      <c r="AI28" s="8"/>
      <c r="AJ28" s="8" t="str">
        <f t="shared" si="33"/>
        <v/>
      </c>
      <c r="AK28" s="8"/>
      <c r="AL28" s="31" t="str">
        <f t="shared" si="43"/>
        <v/>
      </c>
      <c r="AM28" s="48" t="str">
        <f t="shared" si="45"/>
        <v/>
      </c>
      <c r="AN28" s="8" t="str">
        <f t="shared" si="35"/>
        <v/>
      </c>
      <c r="AO28" s="9" t="str">
        <f t="shared" si="36"/>
        <v/>
      </c>
      <c r="AP28" s="6"/>
      <c r="AR28" s="10"/>
      <c r="AS28" s="8"/>
      <c r="AT28" s="8" t="str">
        <f t="shared" si="19"/>
        <v/>
      </c>
      <c r="AU28" s="8"/>
      <c r="AV28" s="8" t="str">
        <f t="shared" si="0"/>
        <v/>
      </c>
      <c r="AW28" s="8"/>
      <c r="AX28" s="8" t="str">
        <f t="shared" si="1"/>
        <v/>
      </c>
      <c r="AY28" s="8"/>
      <c r="AZ28" s="31"/>
      <c r="BA28" s="8"/>
      <c r="BB28" s="8" t="str">
        <f t="shared" si="4"/>
        <v/>
      </c>
      <c r="BC28" s="9" t="str">
        <f t="shared" si="20"/>
        <v/>
      </c>
      <c r="BD28" s="6"/>
      <c r="BF28" s="10"/>
      <c r="BG28" s="8"/>
      <c r="BH28" s="8" t="str">
        <f t="shared" si="5"/>
        <v/>
      </c>
      <c r="BI28" s="8"/>
      <c r="BJ28" s="8" t="str">
        <f t="shared" si="6"/>
        <v/>
      </c>
      <c r="BK28" s="8"/>
      <c r="BL28" s="8" t="str">
        <f t="shared" si="7"/>
        <v/>
      </c>
      <c r="BM28" s="8"/>
      <c r="BN28" s="31"/>
      <c r="BO28" s="8"/>
      <c r="BP28" s="8" t="str">
        <f t="shared" si="10"/>
        <v/>
      </c>
      <c r="BQ28" s="9" t="str">
        <f t="shared" si="11"/>
        <v/>
      </c>
      <c r="BR28" s="6"/>
      <c r="BT28" s="10"/>
      <c r="BU28" s="8"/>
      <c r="BV28" s="8" t="str">
        <f t="shared" si="12"/>
        <v/>
      </c>
      <c r="BW28" s="8"/>
      <c r="BX28" s="8" t="str">
        <f t="shared" si="13"/>
        <v/>
      </c>
      <c r="BY28" s="8"/>
      <c r="BZ28" s="8" t="str">
        <f t="shared" si="14"/>
        <v/>
      </c>
      <c r="CA28" s="8"/>
      <c r="CB28" s="31"/>
      <c r="CC28" s="8"/>
      <c r="CD28" s="8" t="str">
        <f t="shared" si="17"/>
        <v/>
      </c>
      <c r="CE28" s="9" t="str">
        <f t="shared" si="18"/>
        <v/>
      </c>
      <c r="CF28" s="6"/>
    </row>
    <row r="29" spans="1:84" x14ac:dyDescent="0.2">
      <c r="A29" s="3"/>
      <c r="B29" s="10"/>
      <c r="C29" s="8">
        <v>365</v>
      </c>
      <c r="D29" s="8">
        <f t="shared" si="21"/>
        <v>12</v>
      </c>
      <c r="E29" s="8">
        <v>51</v>
      </c>
      <c r="F29" s="8">
        <f t="shared" si="22"/>
        <v>0</v>
      </c>
      <c r="G29" s="8">
        <v>7</v>
      </c>
      <c r="H29" s="8">
        <f t="shared" si="38"/>
        <v>0</v>
      </c>
      <c r="I29" s="8"/>
      <c r="J29" s="31" t="s">
        <v>48</v>
      </c>
      <c r="K29" s="8">
        <f t="shared" si="46"/>
        <v>209</v>
      </c>
      <c r="L29" s="8">
        <f t="shared" si="24"/>
        <v>0</v>
      </c>
      <c r="M29" s="9">
        <f t="shared" si="25"/>
        <v>0</v>
      </c>
      <c r="N29" s="6" t="s">
        <v>49</v>
      </c>
      <c r="P29" s="10"/>
      <c r="Q29" s="8"/>
      <c r="R29" s="8" t="str">
        <f t="shared" si="26"/>
        <v/>
      </c>
      <c r="S29" s="8"/>
      <c r="T29" s="8" t="str">
        <f t="shared" si="27"/>
        <v/>
      </c>
      <c r="U29" s="8"/>
      <c r="V29" s="8" t="str">
        <f t="shared" si="28"/>
        <v/>
      </c>
      <c r="W29" s="8"/>
      <c r="X29" s="31" t="str">
        <f t="shared" si="41"/>
        <v/>
      </c>
      <c r="Y29" s="8" t="str">
        <f t="shared" si="42"/>
        <v/>
      </c>
      <c r="Z29" s="8" t="str">
        <f t="shared" si="29"/>
        <v/>
      </c>
      <c r="AA29" s="9" t="str">
        <f t="shared" si="30"/>
        <v/>
      </c>
      <c r="AB29" s="6"/>
      <c r="AD29" s="10"/>
      <c r="AE29" s="8"/>
      <c r="AF29" s="8" t="str">
        <f t="shared" si="31"/>
        <v/>
      </c>
      <c r="AG29" s="8"/>
      <c r="AH29" s="8" t="str">
        <f t="shared" si="32"/>
        <v/>
      </c>
      <c r="AI29" s="8"/>
      <c r="AJ29" s="8" t="str">
        <f t="shared" si="33"/>
        <v/>
      </c>
      <c r="AK29" s="8"/>
      <c r="AL29" s="31" t="str">
        <f t="shared" si="43"/>
        <v/>
      </c>
      <c r="AM29" s="8" t="str">
        <f t="shared" si="45"/>
        <v/>
      </c>
      <c r="AN29" s="8" t="str">
        <f t="shared" si="35"/>
        <v/>
      </c>
      <c r="AO29" s="9" t="str">
        <f t="shared" si="36"/>
        <v/>
      </c>
      <c r="AP29" s="6"/>
      <c r="AR29" s="10"/>
      <c r="AS29" s="8"/>
      <c r="AT29" s="8" t="str">
        <f t="shared" si="19"/>
        <v/>
      </c>
      <c r="AU29" s="8"/>
      <c r="AV29" s="8" t="str">
        <f t="shared" si="0"/>
        <v/>
      </c>
      <c r="AW29" s="8"/>
      <c r="AX29" s="8" t="str">
        <f t="shared" si="1"/>
        <v/>
      </c>
      <c r="AY29" s="8"/>
      <c r="AZ29" s="31"/>
      <c r="BA29" s="8"/>
      <c r="BB29" s="8" t="str">
        <f t="shared" si="4"/>
        <v/>
      </c>
      <c r="BC29" s="9" t="str">
        <f t="shared" si="20"/>
        <v/>
      </c>
      <c r="BD29" s="6"/>
      <c r="BF29" s="10"/>
      <c r="BG29" s="8"/>
      <c r="BH29" s="8" t="str">
        <f t="shared" si="5"/>
        <v/>
      </c>
      <c r="BI29" s="8"/>
      <c r="BJ29" s="8" t="str">
        <f t="shared" si="6"/>
        <v/>
      </c>
      <c r="BK29" s="8"/>
      <c r="BL29" s="8" t="str">
        <f t="shared" si="7"/>
        <v/>
      </c>
      <c r="BM29" s="8"/>
      <c r="BN29" s="8"/>
      <c r="BO29" s="8"/>
      <c r="BP29" s="8" t="str">
        <f t="shared" si="10"/>
        <v/>
      </c>
      <c r="BQ29" s="9" t="str">
        <f t="shared" si="11"/>
        <v/>
      </c>
      <c r="BR29" s="6"/>
      <c r="BT29" s="10"/>
      <c r="BU29" s="8"/>
      <c r="BV29" s="8" t="str">
        <f t="shared" si="12"/>
        <v/>
      </c>
      <c r="BW29" s="8"/>
      <c r="BX29" s="8" t="str">
        <f t="shared" si="13"/>
        <v/>
      </c>
      <c r="BY29" s="8"/>
      <c r="BZ29" s="8" t="str">
        <f t="shared" si="14"/>
        <v/>
      </c>
      <c r="CA29" s="8"/>
      <c r="CB29" s="8"/>
      <c r="CC29" s="8"/>
      <c r="CD29" s="8" t="str">
        <f t="shared" si="17"/>
        <v/>
      </c>
      <c r="CE29" s="9" t="str">
        <f t="shared" si="18"/>
        <v/>
      </c>
      <c r="CF29" s="6"/>
    </row>
    <row r="30" spans="1:84" ht="15" customHeight="1" thickBot="1" x14ac:dyDescent="0.25">
      <c r="A30" s="90"/>
      <c r="B30" s="73"/>
      <c r="C30" s="64">
        <v>626</v>
      </c>
      <c r="D30" s="14">
        <f t="shared" si="21"/>
        <v>63</v>
      </c>
      <c r="E30" s="14">
        <v>52</v>
      </c>
      <c r="F30" s="14">
        <f t="shared" si="22"/>
        <v>1</v>
      </c>
      <c r="G30" s="14">
        <v>48</v>
      </c>
      <c r="H30" s="14">
        <f t="shared" si="38"/>
        <v>1</v>
      </c>
      <c r="I30" s="14"/>
      <c r="J30" s="32" t="str">
        <f t="shared" si="44"/>
        <v>ベーカリースクイーズ</v>
      </c>
      <c r="K30" s="49">
        <f t="shared" si="46"/>
        <v>286</v>
      </c>
      <c r="L30" s="14">
        <f t="shared" si="24"/>
        <v>286</v>
      </c>
      <c r="M30" s="15">
        <f t="shared" si="25"/>
        <v>4.5396825396825394E-2</v>
      </c>
      <c r="N30" s="6"/>
      <c r="P30" s="13"/>
      <c r="Q30" s="64"/>
      <c r="R30" s="14" t="str">
        <f t="shared" si="26"/>
        <v/>
      </c>
      <c r="S30" s="14"/>
      <c r="T30" s="14" t="str">
        <f t="shared" si="27"/>
        <v/>
      </c>
      <c r="U30" s="14"/>
      <c r="V30" s="14" t="str">
        <f t="shared" si="28"/>
        <v/>
      </c>
      <c r="W30" s="14"/>
      <c r="X30" s="32" t="str">
        <f t="shared" si="41"/>
        <v/>
      </c>
      <c r="Y30" s="49" t="str">
        <f t="shared" si="42"/>
        <v/>
      </c>
      <c r="Z30" s="14" t="str">
        <f t="shared" si="29"/>
        <v/>
      </c>
      <c r="AA30" s="15" t="str">
        <f t="shared" si="30"/>
        <v/>
      </c>
      <c r="AB30" s="6"/>
      <c r="AD30" s="13"/>
      <c r="AE30" s="64"/>
      <c r="AF30" s="14" t="str">
        <f t="shared" si="31"/>
        <v/>
      </c>
      <c r="AG30" s="14"/>
      <c r="AH30" s="14" t="str">
        <f t="shared" si="32"/>
        <v/>
      </c>
      <c r="AI30" s="14"/>
      <c r="AJ30" s="14" t="str">
        <f t="shared" si="33"/>
        <v/>
      </c>
      <c r="AK30" s="14"/>
      <c r="AL30" s="32" t="str">
        <f t="shared" si="43"/>
        <v/>
      </c>
      <c r="AM30" s="49" t="str">
        <f t="shared" si="45"/>
        <v/>
      </c>
      <c r="AN30" s="14" t="str">
        <f t="shared" si="35"/>
        <v/>
      </c>
      <c r="AO30" s="15" t="str">
        <f t="shared" si="36"/>
        <v/>
      </c>
      <c r="AP30" s="6"/>
      <c r="AR30" s="10"/>
      <c r="AS30" s="8"/>
      <c r="AT30" s="8" t="str">
        <f t="shared" si="19"/>
        <v/>
      </c>
      <c r="AU30" s="8"/>
      <c r="AV30" s="8" t="str">
        <f t="shared" si="0"/>
        <v/>
      </c>
      <c r="AW30" s="8"/>
      <c r="AX30" s="8" t="str">
        <f t="shared" si="1"/>
        <v/>
      </c>
      <c r="AY30" s="8"/>
      <c r="AZ30" s="31"/>
      <c r="BA30" s="8"/>
      <c r="BB30" s="8" t="str">
        <f t="shared" si="4"/>
        <v/>
      </c>
      <c r="BC30" s="9" t="str">
        <f t="shared" si="20"/>
        <v/>
      </c>
      <c r="BD30" s="6"/>
      <c r="BF30" s="10"/>
      <c r="BG30" s="8"/>
      <c r="BH30" s="8" t="str">
        <f t="shared" si="5"/>
        <v/>
      </c>
      <c r="BI30" s="8"/>
      <c r="BJ30" s="8" t="str">
        <f t="shared" si="6"/>
        <v/>
      </c>
      <c r="BK30" s="8"/>
      <c r="BL30" s="8" t="str">
        <f t="shared" si="7"/>
        <v/>
      </c>
      <c r="BM30" s="8"/>
      <c r="BN30" s="8"/>
      <c r="BO30" s="8"/>
      <c r="BP30" s="8" t="str">
        <f t="shared" si="10"/>
        <v/>
      </c>
      <c r="BQ30" s="9" t="str">
        <f t="shared" si="11"/>
        <v/>
      </c>
      <c r="BR30" s="6"/>
      <c r="BT30" s="10"/>
      <c r="BU30" s="8"/>
      <c r="BV30" s="8" t="str">
        <f t="shared" si="12"/>
        <v/>
      </c>
      <c r="BW30" s="8"/>
      <c r="BX30" s="8" t="str">
        <f t="shared" si="13"/>
        <v/>
      </c>
      <c r="BY30" s="8"/>
      <c r="BZ30" s="8" t="str">
        <f t="shared" si="14"/>
        <v/>
      </c>
      <c r="CA30" s="8"/>
      <c r="CB30" s="8"/>
      <c r="CC30" s="8"/>
      <c r="CD30" s="8" t="str">
        <f t="shared" si="17"/>
        <v/>
      </c>
      <c r="CE30" s="9" t="str">
        <f t="shared" si="18"/>
        <v/>
      </c>
      <c r="CF30" s="6"/>
    </row>
    <row r="31" spans="1:84" ht="15" customHeight="1" thickTop="1" x14ac:dyDescent="0.2">
      <c r="A31" s="50">
        <v>46164</v>
      </c>
      <c r="B31" s="100">
        <f>SUM(D31:D34)+SUM(AT10,BH10)</f>
        <v>283</v>
      </c>
      <c r="C31" s="60">
        <v>789</v>
      </c>
      <c r="D31" s="37">
        <f t="shared" si="21"/>
        <v>74</v>
      </c>
      <c r="E31" s="37">
        <v>34</v>
      </c>
      <c r="F31" s="16">
        <f t="shared" si="22"/>
        <v>1</v>
      </c>
      <c r="G31" s="37">
        <v>11</v>
      </c>
      <c r="H31" s="37">
        <f t="shared" si="38"/>
        <v>1</v>
      </c>
      <c r="I31" s="37">
        <v>0</v>
      </c>
      <c r="J31" s="44" t="str">
        <f t="shared" si="44"/>
        <v>たまごっちミニチュアポシェット</v>
      </c>
      <c r="K31" s="45">
        <f t="shared" si="46"/>
        <v>770</v>
      </c>
      <c r="L31" s="16">
        <f t="shared" si="24"/>
        <v>770</v>
      </c>
      <c r="M31" s="17">
        <f t="shared" si="25"/>
        <v>0.10405405405405406</v>
      </c>
      <c r="N31" s="6"/>
      <c r="P31" s="43">
        <f>IF($A31="","",$A31)</f>
        <v>46164</v>
      </c>
      <c r="Q31" s="60"/>
      <c r="R31" s="37" t="str">
        <f t="shared" si="26"/>
        <v/>
      </c>
      <c r="S31" s="37"/>
      <c r="T31" s="16" t="str">
        <f t="shared" si="27"/>
        <v/>
      </c>
      <c r="U31" s="37"/>
      <c r="V31" s="37" t="str">
        <f t="shared" si="28"/>
        <v/>
      </c>
      <c r="W31" s="37"/>
      <c r="X31" s="44" t="str">
        <f t="shared" si="41"/>
        <v/>
      </c>
      <c r="Y31" s="45" t="str">
        <f t="shared" si="42"/>
        <v/>
      </c>
      <c r="Z31" s="16" t="str">
        <f t="shared" si="29"/>
        <v/>
      </c>
      <c r="AA31" s="17" t="str">
        <f t="shared" si="30"/>
        <v/>
      </c>
      <c r="AB31" s="6"/>
      <c r="AD31" s="43">
        <f>IF($A31="","",$A31)</f>
        <v>46164</v>
      </c>
      <c r="AE31" s="60"/>
      <c r="AF31" s="37" t="str">
        <f t="shared" si="31"/>
        <v/>
      </c>
      <c r="AG31" s="37"/>
      <c r="AH31" s="16" t="str">
        <f t="shared" si="32"/>
        <v/>
      </c>
      <c r="AI31" s="37"/>
      <c r="AJ31" s="37" t="str">
        <f t="shared" si="33"/>
        <v/>
      </c>
      <c r="AK31" s="37"/>
      <c r="AL31" s="44" t="str">
        <f t="shared" si="43"/>
        <v/>
      </c>
      <c r="AM31" s="45" t="str">
        <f t="shared" si="45"/>
        <v/>
      </c>
      <c r="AN31" s="16" t="str">
        <f t="shared" si="35"/>
        <v/>
      </c>
      <c r="AO31" s="17" t="str">
        <f t="shared" si="36"/>
        <v/>
      </c>
      <c r="AP31" s="6"/>
      <c r="AR31" s="10"/>
      <c r="AS31" s="8"/>
      <c r="AT31" s="8" t="str">
        <f t="shared" si="19"/>
        <v/>
      </c>
      <c r="AU31" s="8"/>
      <c r="AV31" s="8" t="str">
        <f t="shared" si="0"/>
        <v/>
      </c>
      <c r="AW31" s="8"/>
      <c r="AX31" s="8" t="str">
        <f t="shared" si="1"/>
        <v/>
      </c>
      <c r="AY31" s="8"/>
      <c r="AZ31" s="31"/>
      <c r="BA31" s="8"/>
      <c r="BB31" s="8" t="str">
        <f t="shared" si="4"/>
        <v/>
      </c>
      <c r="BC31" s="9" t="str">
        <f t="shared" si="20"/>
        <v/>
      </c>
      <c r="BD31" s="6"/>
      <c r="BF31" s="10"/>
      <c r="BG31" s="8"/>
      <c r="BH31" s="8" t="str">
        <f t="shared" si="5"/>
        <v/>
      </c>
      <c r="BI31" s="8"/>
      <c r="BJ31" s="8" t="str">
        <f t="shared" si="6"/>
        <v/>
      </c>
      <c r="BK31" s="8"/>
      <c r="BL31" s="8" t="str">
        <f t="shared" si="7"/>
        <v/>
      </c>
      <c r="BM31" s="8"/>
      <c r="BN31" s="8"/>
      <c r="BO31" s="8"/>
      <c r="BP31" s="8" t="str">
        <f t="shared" si="10"/>
        <v/>
      </c>
      <c r="BQ31" s="9" t="str">
        <f t="shared" si="11"/>
        <v/>
      </c>
      <c r="BR31" s="6"/>
      <c r="BT31" s="10"/>
      <c r="BU31" s="8"/>
      <c r="BV31" s="8" t="str">
        <f t="shared" si="12"/>
        <v/>
      </c>
      <c r="BW31" s="8"/>
      <c r="BX31" s="8" t="str">
        <f t="shared" si="13"/>
        <v/>
      </c>
      <c r="BY31" s="8"/>
      <c r="BZ31" s="8" t="str">
        <f t="shared" si="14"/>
        <v/>
      </c>
      <c r="CA31" s="8"/>
      <c r="CB31" s="8"/>
      <c r="CC31" s="8"/>
      <c r="CD31" s="8" t="str">
        <f t="shared" si="17"/>
        <v/>
      </c>
      <c r="CE31" s="9" t="str">
        <f t="shared" si="18"/>
        <v/>
      </c>
      <c r="CF31" s="6"/>
    </row>
    <row r="32" spans="1:84" ht="15" customHeight="1" x14ac:dyDescent="0.2">
      <c r="A32" s="89"/>
      <c r="B32" s="75"/>
      <c r="C32" s="61">
        <v>560</v>
      </c>
      <c r="D32" s="8">
        <f t="shared" si="21"/>
        <v>31</v>
      </c>
      <c r="E32" s="8">
        <v>57</v>
      </c>
      <c r="F32" s="8">
        <f t="shared" si="22"/>
        <v>0</v>
      </c>
      <c r="G32" s="8">
        <v>9</v>
      </c>
      <c r="H32" s="8">
        <f t="shared" si="38"/>
        <v>0</v>
      </c>
      <c r="I32" s="8">
        <v>0</v>
      </c>
      <c r="J32" s="31" t="str">
        <f t="shared" si="44"/>
        <v>スンスン金カラーがま口</v>
      </c>
      <c r="K32" s="48">
        <f t="shared" si="46"/>
        <v>572</v>
      </c>
      <c r="L32" s="8">
        <f t="shared" si="24"/>
        <v>0</v>
      </c>
      <c r="M32" s="9">
        <f t="shared" si="25"/>
        <v>0</v>
      </c>
      <c r="N32" s="6"/>
      <c r="P32" s="10"/>
      <c r="Q32" s="61"/>
      <c r="R32" s="8" t="str">
        <f t="shared" si="26"/>
        <v/>
      </c>
      <c r="S32" s="8"/>
      <c r="T32" s="8" t="str">
        <f t="shared" si="27"/>
        <v/>
      </c>
      <c r="U32" s="8"/>
      <c r="V32" s="8" t="str">
        <f t="shared" si="28"/>
        <v/>
      </c>
      <c r="W32" s="8"/>
      <c r="X32" s="31" t="str">
        <f t="shared" si="41"/>
        <v/>
      </c>
      <c r="Y32" s="48" t="str">
        <f t="shared" si="42"/>
        <v/>
      </c>
      <c r="Z32" s="8" t="str">
        <f t="shared" si="29"/>
        <v/>
      </c>
      <c r="AA32" s="9" t="str">
        <f t="shared" si="30"/>
        <v/>
      </c>
      <c r="AB32" s="6"/>
      <c r="AD32" s="10"/>
      <c r="AE32" s="61"/>
      <c r="AF32" s="8" t="str">
        <f t="shared" si="31"/>
        <v/>
      </c>
      <c r="AG32" s="8"/>
      <c r="AH32" s="8" t="str">
        <f t="shared" si="32"/>
        <v/>
      </c>
      <c r="AI32" s="8"/>
      <c r="AJ32" s="8" t="str">
        <f t="shared" si="33"/>
        <v/>
      </c>
      <c r="AK32" s="8"/>
      <c r="AL32" s="31" t="str">
        <f t="shared" si="43"/>
        <v/>
      </c>
      <c r="AM32" s="48" t="str">
        <f t="shared" si="45"/>
        <v/>
      </c>
      <c r="AN32" s="8" t="str">
        <f t="shared" si="35"/>
        <v/>
      </c>
      <c r="AO32" s="9" t="str">
        <f t="shared" si="36"/>
        <v/>
      </c>
      <c r="AP32" s="6"/>
      <c r="AR32" s="10"/>
      <c r="AS32" s="8"/>
      <c r="AT32" s="8" t="str">
        <f t="shared" si="19"/>
        <v/>
      </c>
      <c r="AU32" s="8"/>
      <c r="AV32" s="8" t="str">
        <f t="shared" si="0"/>
        <v/>
      </c>
      <c r="AW32" s="8"/>
      <c r="AX32" s="8" t="str">
        <f t="shared" si="1"/>
        <v/>
      </c>
      <c r="AY32" s="8"/>
      <c r="AZ32" s="31"/>
      <c r="BA32" s="8"/>
      <c r="BB32" s="8" t="str">
        <f t="shared" si="4"/>
        <v/>
      </c>
      <c r="BC32" s="9" t="str">
        <f t="shared" si="20"/>
        <v/>
      </c>
      <c r="BD32" s="6"/>
      <c r="BF32" s="10"/>
      <c r="BG32" s="8"/>
      <c r="BH32" s="8" t="str">
        <f t="shared" si="5"/>
        <v/>
      </c>
      <c r="BI32" s="8"/>
      <c r="BJ32" s="8" t="str">
        <f t="shared" si="6"/>
        <v/>
      </c>
      <c r="BK32" s="8"/>
      <c r="BL32" s="8" t="str">
        <f t="shared" si="7"/>
        <v/>
      </c>
      <c r="BM32" s="8"/>
      <c r="BN32" s="8"/>
      <c r="BO32" s="8"/>
      <c r="BP32" s="8" t="str">
        <f t="shared" si="10"/>
        <v/>
      </c>
      <c r="BQ32" s="9" t="str">
        <f t="shared" si="11"/>
        <v/>
      </c>
      <c r="BR32" s="6"/>
      <c r="BT32" s="10"/>
      <c r="BU32" s="8"/>
      <c r="BV32" s="8" t="str">
        <f t="shared" si="12"/>
        <v/>
      </c>
      <c r="BW32" s="8"/>
      <c r="BX32" s="8" t="str">
        <f t="shared" si="13"/>
        <v/>
      </c>
      <c r="BY32" s="8"/>
      <c r="BZ32" s="8" t="str">
        <f t="shared" si="14"/>
        <v/>
      </c>
      <c r="CA32" s="8"/>
      <c r="CB32" s="8"/>
      <c r="CC32" s="8"/>
      <c r="CD32" s="8" t="str">
        <f t="shared" si="17"/>
        <v/>
      </c>
      <c r="CE32" s="9" t="str">
        <f t="shared" si="18"/>
        <v/>
      </c>
      <c r="CF32" s="6"/>
    </row>
    <row r="33" spans="1:84" ht="15" customHeight="1" x14ac:dyDescent="0.2">
      <c r="A33" s="7"/>
      <c r="B33" s="75"/>
      <c r="C33" s="61">
        <v>424</v>
      </c>
      <c r="D33" s="8">
        <f t="shared" si="21"/>
        <v>59</v>
      </c>
      <c r="E33" s="8">
        <v>51</v>
      </c>
      <c r="F33" s="8">
        <f t="shared" si="22"/>
        <v>0</v>
      </c>
      <c r="G33" s="8">
        <v>7</v>
      </c>
      <c r="H33" s="8">
        <f t="shared" si="38"/>
        <v>0</v>
      </c>
      <c r="I33" s="8">
        <v>0</v>
      </c>
      <c r="J33" s="31" t="str">
        <f t="shared" si="44"/>
        <v>ジャグラーサウンドフラッシュDX</v>
      </c>
      <c r="K33" s="8">
        <v>1100</v>
      </c>
      <c r="L33" s="8">
        <f t="shared" si="24"/>
        <v>0</v>
      </c>
      <c r="M33" s="9">
        <f t="shared" si="25"/>
        <v>0</v>
      </c>
      <c r="N33" s="6"/>
      <c r="P33" s="10"/>
      <c r="Q33" s="61"/>
      <c r="R33" s="8" t="str">
        <f t="shared" si="26"/>
        <v/>
      </c>
      <c r="S33" s="8"/>
      <c r="T33" s="8" t="str">
        <f t="shared" si="27"/>
        <v/>
      </c>
      <c r="U33" s="8"/>
      <c r="V33" s="8" t="str">
        <f t="shared" si="28"/>
        <v/>
      </c>
      <c r="W33" s="8"/>
      <c r="X33" s="31" t="str">
        <f t="shared" si="41"/>
        <v/>
      </c>
      <c r="Y33" s="8" t="str">
        <f t="shared" si="42"/>
        <v/>
      </c>
      <c r="Z33" s="8" t="str">
        <f t="shared" si="29"/>
        <v/>
      </c>
      <c r="AA33" s="9" t="str">
        <f t="shared" si="30"/>
        <v/>
      </c>
      <c r="AB33" s="6"/>
      <c r="AD33" s="10"/>
      <c r="AE33" s="61"/>
      <c r="AF33" s="8" t="str">
        <f t="shared" si="31"/>
        <v/>
      </c>
      <c r="AG33" s="8"/>
      <c r="AH33" s="8" t="str">
        <f t="shared" si="32"/>
        <v/>
      </c>
      <c r="AI33" s="8"/>
      <c r="AJ33" s="8" t="str">
        <f t="shared" si="33"/>
        <v/>
      </c>
      <c r="AK33" s="8"/>
      <c r="AL33" s="31" t="str">
        <f t="shared" si="43"/>
        <v/>
      </c>
      <c r="AM33" s="8" t="str">
        <f t="shared" si="45"/>
        <v/>
      </c>
      <c r="AN33" s="8" t="str">
        <f t="shared" si="35"/>
        <v/>
      </c>
      <c r="AO33" s="9" t="str">
        <f t="shared" si="36"/>
        <v/>
      </c>
      <c r="AP33" s="6"/>
      <c r="AR33" s="10"/>
      <c r="AS33" s="8"/>
      <c r="AT33" s="8" t="str">
        <f t="shared" si="19"/>
        <v/>
      </c>
      <c r="AU33" s="8"/>
      <c r="AV33" s="8" t="str">
        <f t="shared" si="0"/>
        <v/>
      </c>
      <c r="AW33" s="8"/>
      <c r="AX33" s="8" t="str">
        <f t="shared" si="1"/>
        <v/>
      </c>
      <c r="AY33" s="8"/>
      <c r="AZ33" s="31"/>
      <c r="BA33" s="8"/>
      <c r="BB33" s="8" t="str">
        <f t="shared" si="4"/>
        <v/>
      </c>
      <c r="BC33" s="9" t="str">
        <f t="shared" si="20"/>
        <v/>
      </c>
      <c r="BD33" s="6"/>
      <c r="BF33" s="10"/>
      <c r="BG33" s="8"/>
      <c r="BH33" s="8" t="str">
        <f t="shared" si="5"/>
        <v/>
      </c>
      <c r="BI33" s="8"/>
      <c r="BJ33" s="8" t="str">
        <f t="shared" si="6"/>
        <v/>
      </c>
      <c r="BK33" s="8"/>
      <c r="BL33" s="8" t="str">
        <f t="shared" si="7"/>
        <v/>
      </c>
      <c r="BM33" s="8"/>
      <c r="BN33" s="8"/>
      <c r="BO33" s="8"/>
      <c r="BP33" s="8" t="str">
        <f t="shared" si="10"/>
        <v/>
      </c>
      <c r="BQ33" s="9" t="str">
        <f t="shared" si="11"/>
        <v/>
      </c>
      <c r="BR33" s="6"/>
      <c r="BT33" s="10"/>
      <c r="BU33" s="8"/>
      <c r="BV33" s="8" t="str">
        <f t="shared" si="12"/>
        <v/>
      </c>
      <c r="BW33" s="8"/>
      <c r="BX33" s="8" t="str">
        <f t="shared" si="13"/>
        <v/>
      </c>
      <c r="BY33" s="8"/>
      <c r="BZ33" s="8" t="str">
        <f t="shared" si="14"/>
        <v/>
      </c>
      <c r="CA33" s="8"/>
      <c r="CB33" s="8"/>
      <c r="CC33" s="8"/>
      <c r="CD33" s="8" t="str">
        <f t="shared" si="17"/>
        <v/>
      </c>
      <c r="CE33" s="9" t="str">
        <f t="shared" si="18"/>
        <v/>
      </c>
      <c r="CF33" s="6"/>
    </row>
    <row r="34" spans="1:84" ht="15" customHeight="1" thickBot="1" x14ac:dyDescent="0.25">
      <c r="A34" s="91"/>
      <c r="B34" s="73"/>
      <c r="C34" s="64">
        <v>660</v>
      </c>
      <c r="D34" s="14">
        <f t="shared" si="21"/>
        <v>34</v>
      </c>
      <c r="E34" s="14">
        <v>52</v>
      </c>
      <c r="F34" s="14">
        <f t="shared" si="22"/>
        <v>0</v>
      </c>
      <c r="G34" s="14">
        <v>48</v>
      </c>
      <c r="H34" s="14">
        <f t="shared" si="38"/>
        <v>0</v>
      </c>
      <c r="I34" s="14">
        <v>0</v>
      </c>
      <c r="J34" s="32" t="str">
        <f t="shared" si="44"/>
        <v>ベーカリースクイーズ</v>
      </c>
      <c r="K34" s="49">
        <f t="shared" si="46"/>
        <v>286</v>
      </c>
      <c r="L34" s="14">
        <f t="shared" si="24"/>
        <v>0</v>
      </c>
      <c r="M34" s="15">
        <f t="shared" si="25"/>
        <v>0</v>
      </c>
      <c r="N34" s="6"/>
      <c r="P34" s="13"/>
      <c r="Q34" s="64"/>
      <c r="R34" s="14" t="str">
        <f t="shared" si="26"/>
        <v/>
      </c>
      <c r="S34" s="14"/>
      <c r="T34" s="14" t="str">
        <f t="shared" si="27"/>
        <v/>
      </c>
      <c r="U34" s="14"/>
      <c r="V34" s="14" t="str">
        <f t="shared" si="28"/>
        <v/>
      </c>
      <c r="W34" s="14"/>
      <c r="X34" s="32" t="str">
        <f t="shared" si="41"/>
        <v/>
      </c>
      <c r="Y34" s="49" t="str">
        <f t="shared" si="42"/>
        <v/>
      </c>
      <c r="Z34" s="14" t="str">
        <f t="shared" si="29"/>
        <v/>
      </c>
      <c r="AA34" s="15" t="str">
        <f t="shared" si="30"/>
        <v/>
      </c>
      <c r="AB34" s="6"/>
      <c r="AD34" s="13"/>
      <c r="AE34" s="64"/>
      <c r="AF34" s="14" t="str">
        <f t="shared" si="31"/>
        <v/>
      </c>
      <c r="AG34" s="14"/>
      <c r="AH34" s="14" t="str">
        <f t="shared" si="32"/>
        <v/>
      </c>
      <c r="AI34" s="14"/>
      <c r="AJ34" s="14" t="str">
        <f t="shared" si="33"/>
        <v/>
      </c>
      <c r="AK34" s="14"/>
      <c r="AL34" s="32" t="str">
        <f t="shared" si="43"/>
        <v/>
      </c>
      <c r="AM34" s="49" t="str">
        <f t="shared" si="45"/>
        <v/>
      </c>
      <c r="AN34" s="14" t="str">
        <f t="shared" si="35"/>
        <v/>
      </c>
      <c r="AO34" s="15" t="str">
        <f t="shared" si="36"/>
        <v/>
      </c>
      <c r="AP34" s="6"/>
      <c r="AR34" s="10"/>
      <c r="AS34" s="8"/>
      <c r="AT34" s="8" t="str">
        <f>IF(AS34="","",AS34-AS25)</f>
        <v/>
      </c>
      <c r="AU34" s="8"/>
      <c r="AV34" s="8" t="str">
        <f>IF(AU34="","",AU34-AU25)</f>
        <v/>
      </c>
      <c r="AW34" s="8"/>
      <c r="AX34" s="8" t="str">
        <f>IF(AW34="","",AW25+AY25-AW34)</f>
        <v/>
      </c>
      <c r="AY34" s="8"/>
      <c r="AZ34" s="31"/>
      <c r="BA34" s="8"/>
      <c r="BB34" s="8" t="str">
        <f t="shared" si="4"/>
        <v/>
      </c>
      <c r="BC34" s="9" t="str">
        <f t="shared" si="20"/>
        <v/>
      </c>
      <c r="BD34" s="6"/>
      <c r="BF34" s="10"/>
      <c r="BG34" s="8"/>
      <c r="BH34" s="8" t="str">
        <f>IF(BG34="","",BG34-BG25)</f>
        <v/>
      </c>
      <c r="BI34" s="8"/>
      <c r="BJ34" s="8" t="str">
        <f>IF(BI34="","",BI34-BI25)</f>
        <v/>
      </c>
      <c r="BK34" s="8"/>
      <c r="BL34" s="8" t="str">
        <f>IF(BK34="","",BK25+BM25-BK34)</f>
        <v/>
      </c>
      <c r="BM34" s="8"/>
      <c r="BN34" s="8"/>
      <c r="BO34" s="8"/>
      <c r="BP34" s="8" t="str">
        <f t="shared" si="10"/>
        <v/>
      </c>
      <c r="BQ34" s="9" t="str">
        <f t="shared" si="11"/>
        <v/>
      </c>
      <c r="BR34" s="6"/>
      <c r="BT34" s="10"/>
      <c r="BU34" s="8"/>
      <c r="BV34" s="8" t="str">
        <f>IF(BU34="","",BU34-BU25)</f>
        <v/>
      </c>
      <c r="BW34" s="8"/>
      <c r="BX34" s="8" t="str">
        <f>IF(BW34="","",BW34-BW25)</f>
        <v/>
      </c>
      <c r="BY34" s="8"/>
      <c r="BZ34" s="8" t="str">
        <f>IF(BY34="","",BY25+CA25-BY34)</f>
        <v/>
      </c>
      <c r="CA34" s="8"/>
      <c r="CB34" s="8"/>
      <c r="CC34" s="8"/>
      <c r="CD34" s="8" t="str">
        <f t="shared" si="17"/>
        <v/>
      </c>
      <c r="CE34" s="9" t="str">
        <f t="shared" si="18"/>
        <v/>
      </c>
      <c r="CF34" s="6"/>
    </row>
    <row r="35" spans="1:84" ht="15" customHeight="1" thickTop="1" x14ac:dyDescent="0.2">
      <c r="A35" s="74">
        <v>46167</v>
      </c>
      <c r="B35" s="100">
        <f>SUM(D35:D38)+SUM(AT11,BH11)</f>
        <v>248</v>
      </c>
      <c r="C35" s="60">
        <v>817</v>
      </c>
      <c r="D35" s="120">
        <f t="shared" si="21"/>
        <v>28</v>
      </c>
      <c r="E35" s="37">
        <v>35</v>
      </c>
      <c r="F35" s="16">
        <f t="shared" si="22"/>
        <v>1</v>
      </c>
      <c r="G35" s="37">
        <v>10</v>
      </c>
      <c r="H35" s="37">
        <f t="shared" si="38"/>
        <v>1</v>
      </c>
      <c r="I35" s="37"/>
      <c r="J35" s="44" t="str">
        <f t="shared" si="44"/>
        <v>たまごっちミニチュアポシェット</v>
      </c>
      <c r="K35" s="45">
        <f t="shared" si="46"/>
        <v>770</v>
      </c>
      <c r="L35" s="16">
        <f t="shared" si="24"/>
        <v>770</v>
      </c>
      <c r="M35" s="17">
        <f t="shared" si="25"/>
        <v>0.27500000000000002</v>
      </c>
      <c r="N35" s="6"/>
      <c r="P35" s="43">
        <f>IF($A35="","",$A35)</f>
        <v>46167</v>
      </c>
      <c r="Q35" s="60"/>
      <c r="R35" s="37" t="str">
        <f t="shared" si="26"/>
        <v/>
      </c>
      <c r="S35" s="37"/>
      <c r="T35" s="16" t="str">
        <f t="shared" si="27"/>
        <v/>
      </c>
      <c r="U35" s="37"/>
      <c r="V35" s="37" t="str">
        <f t="shared" si="28"/>
        <v/>
      </c>
      <c r="W35" s="37"/>
      <c r="X35" s="44" t="str">
        <f t="shared" si="41"/>
        <v/>
      </c>
      <c r="Y35" s="45" t="str">
        <f t="shared" si="42"/>
        <v/>
      </c>
      <c r="Z35" s="16" t="str">
        <f t="shared" si="29"/>
        <v/>
      </c>
      <c r="AA35" s="17" t="str">
        <f t="shared" si="30"/>
        <v/>
      </c>
      <c r="AB35" s="6"/>
      <c r="AD35" s="43">
        <f>IF($A35="","",$A35)</f>
        <v>46167</v>
      </c>
      <c r="AE35" s="60"/>
      <c r="AF35" s="37" t="str">
        <f t="shared" si="31"/>
        <v/>
      </c>
      <c r="AG35" s="37"/>
      <c r="AH35" s="16" t="str">
        <f t="shared" si="32"/>
        <v/>
      </c>
      <c r="AI35" s="37"/>
      <c r="AJ35" s="37" t="str">
        <f t="shared" si="33"/>
        <v/>
      </c>
      <c r="AK35" s="37"/>
      <c r="AL35" s="44" t="str">
        <f t="shared" si="43"/>
        <v/>
      </c>
      <c r="AM35" s="45" t="str">
        <f t="shared" si="45"/>
        <v/>
      </c>
      <c r="AN35" s="16" t="str">
        <f t="shared" si="35"/>
        <v/>
      </c>
      <c r="AO35" s="17" t="str">
        <f t="shared" si="36"/>
        <v/>
      </c>
      <c r="AP35" s="6"/>
      <c r="AR35" s="10"/>
      <c r="AS35" s="8"/>
      <c r="AT35" s="8" t="str">
        <f>IF(AS35="","",AS35-AS33)</f>
        <v/>
      </c>
      <c r="AU35" s="8"/>
      <c r="AV35" s="8" t="str">
        <f>IF(AU35="","",AU35-AU33)</f>
        <v/>
      </c>
      <c r="AW35" s="8"/>
      <c r="AX35" s="8" t="str">
        <f>IF(AW35="","",AW33+AY33-AW35)</f>
        <v/>
      </c>
      <c r="AY35" s="8"/>
      <c r="AZ35" s="31"/>
      <c r="BA35" s="8"/>
      <c r="BB35" s="8" t="str">
        <f t="shared" si="4"/>
        <v/>
      </c>
      <c r="BC35" s="9" t="str">
        <f t="shared" si="20"/>
        <v/>
      </c>
      <c r="BD35" s="6"/>
      <c r="BF35" s="10"/>
      <c r="BG35" s="8"/>
      <c r="BH35" s="8" t="str">
        <f>IF(BG35="","",BG35-BG33)</f>
        <v/>
      </c>
      <c r="BI35" s="8"/>
      <c r="BJ35" s="8" t="str">
        <f>IF(BI35="","",BI35-BI33)</f>
        <v/>
      </c>
      <c r="BK35" s="8"/>
      <c r="BL35" s="8" t="str">
        <f>IF(BK35="","",BK33+BM33-BK35)</f>
        <v/>
      </c>
      <c r="BM35" s="8"/>
      <c r="BN35" s="8"/>
      <c r="BO35" s="8"/>
      <c r="BP35" s="8" t="str">
        <f t="shared" si="10"/>
        <v/>
      </c>
      <c r="BQ35" s="9" t="str">
        <f t="shared" si="11"/>
        <v/>
      </c>
      <c r="BR35" s="6"/>
      <c r="BT35" s="10"/>
      <c r="BU35" s="8"/>
      <c r="BV35" s="8" t="str">
        <f>IF(BU35="","",BU35-BU33)</f>
        <v/>
      </c>
      <c r="BW35" s="8"/>
      <c r="BX35" s="8" t="str">
        <f>IF(BW35="","",BW35-BW33)</f>
        <v/>
      </c>
      <c r="BY35" s="8"/>
      <c r="BZ35" s="8" t="str">
        <f>IF(BY35="","",BY33+CA33-BY35)</f>
        <v/>
      </c>
      <c r="CA35" s="8"/>
      <c r="CB35" s="8"/>
      <c r="CC35" s="8"/>
      <c r="CD35" s="8" t="str">
        <f t="shared" si="17"/>
        <v/>
      </c>
      <c r="CE35" s="9" t="str">
        <f t="shared" si="18"/>
        <v/>
      </c>
      <c r="CF35" s="6"/>
    </row>
    <row r="36" spans="1:84" ht="15" customHeight="1" x14ac:dyDescent="0.2">
      <c r="A36" s="92"/>
      <c r="B36" s="75"/>
      <c r="C36" s="61">
        <v>574</v>
      </c>
      <c r="D36" s="102">
        <f t="shared" si="21"/>
        <v>14</v>
      </c>
      <c r="E36" s="8">
        <v>57</v>
      </c>
      <c r="F36" s="8">
        <f t="shared" si="22"/>
        <v>0</v>
      </c>
      <c r="G36" s="8">
        <v>9</v>
      </c>
      <c r="H36" s="8">
        <f t="shared" si="38"/>
        <v>0</v>
      </c>
      <c r="I36" s="8"/>
      <c r="J36" s="31" t="str">
        <f t="shared" si="44"/>
        <v>スンスン金カラーがま口</v>
      </c>
      <c r="K36" s="48">
        <f t="shared" si="46"/>
        <v>572</v>
      </c>
      <c r="L36" s="8">
        <f t="shared" si="24"/>
        <v>0</v>
      </c>
      <c r="M36" s="9">
        <f t="shared" si="25"/>
        <v>0</v>
      </c>
      <c r="N36" s="6"/>
      <c r="P36" s="10"/>
      <c r="Q36" s="61"/>
      <c r="R36" s="8" t="str">
        <f t="shared" si="26"/>
        <v/>
      </c>
      <c r="S36" s="8"/>
      <c r="T36" s="8" t="str">
        <f t="shared" si="27"/>
        <v/>
      </c>
      <c r="U36" s="8"/>
      <c r="V36" s="8" t="str">
        <f t="shared" si="28"/>
        <v/>
      </c>
      <c r="W36" s="8"/>
      <c r="X36" s="31" t="str">
        <f t="shared" si="41"/>
        <v/>
      </c>
      <c r="Y36" s="48" t="str">
        <f t="shared" si="42"/>
        <v/>
      </c>
      <c r="Z36" s="8" t="str">
        <f t="shared" si="29"/>
        <v/>
      </c>
      <c r="AA36" s="9" t="str">
        <f t="shared" si="30"/>
        <v/>
      </c>
      <c r="AB36" s="6"/>
      <c r="AD36" s="10"/>
      <c r="AE36" s="61"/>
      <c r="AF36" s="8" t="str">
        <f t="shared" si="31"/>
        <v/>
      </c>
      <c r="AG36" s="8"/>
      <c r="AH36" s="8" t="str">
        <f t="shared" si="32"/>
        <v/>
      </c>
      <c r="AI36" s="8"/>
      <c r="AJ36" s="8" t="str">
        <f t="shared" si="33"/>
        <v/>
      </c>
      <c r="AK36" s="8"/>
      <c r="AL36" s="31" t="str">
        <f t="shared" si="43"/>
        <v/>
      </c>
      <c r="AM36" s="48" t="str">
        <f t="shared" si="45"/>
        <v/>
      </c>
      <c r="AN36" s="8" t="str">
        <f t="shared" si="35"/>
        <v/>
      </c>
      <c r="AO36" s="9" t="str">
        <f t="shared" si="36"/>
        <v/>
      </c>
      <c r="AP36" s="6"/>
      <c r="AR36" s="10"/>
      <c r="AS36" s="8"/>
      <c r="AT36" s="8" t="str">
        <f t="shared" ref="AT36:AT54" si="47">IF(AS36="","",AS36-AS35)</f>
        <v/>
      </c>
      <c r="AU36" s="8"/>
      <c r="AV36" s="8" t="str">
        <f t="shared" ref="AV36:AV55" si="48">IF(AU36="","",AU36-AU35)</f>
        <v/>
      </c>
      <c r="AW36" s="8"/>
      <c r="AX36" s="8" t="str">
        <f t="shared" ref="AX36:AX55" si="49">IF(AW36="","",AW35+AY35-AW36)</f>
        <v/>
      </c>
      <c r="AY36" s="8"/>
      <c r="AZ36" s="31"/>
      <c r="BA36" s="8"/>
      <c r="BB36" s="8" t="str">
        <f t="shared" ref="BB36:BB55" si="50">IF(BA36="","",AX36*BA36)</f>
        <v/>
      </c>
      <c r="BC36" s="9" t="str">
        <f t="shared" ref="BC36:BC55" si="51">IF(BB36="","",BB36/(AT36*100))</f>
        <v/>
      </c>
      <c r="BD36" s="6"/>
      <c r="BF36" s="10"/>
      <c r="BG36" s="8"/>
      <c r="BH36" s="8" t="str">
        <f t="shared" ref="BH36:BH54" si="52">IF(BG36="","",BG36-BG35)</f>
        <v/>
      </c>
      <c r="BI36" s="8"/>
      <c r="BJ36" s="8" t="str">
        <f t="shared" ref="BJ36:BJ55" si="53">IF(BI36="","",BI36-BI35)</f>
        <v/>
      </c>
      <c r="BK36" s="8"/>
      <c r="BL36" s="8" t="str">
        <f t="shared" ref="BL36:BL55" si="54">IF(BK36="","",BK35+BM35-BK36)</f>
        <v/>
      </c>
      <c r="BM36" s="8"/>
      <c r="BN36" s="8"/>
      <c r="BO36" s="8"/>
      <c r="BP36" s="8" t="str">
        <f t="shared" ref="BP36:BP55" si="55">IF(BO36="","",BL36*BO36)</f>
        <v/>
      </c>
      <c r="BQ36" s="9" t="str">
        <f t="shared" ref="BQ36:BQ55" si="56">IF(BP36="","",BP36/(BH36*100))</f>
        <v/>
      </c>
      <c r="BR36" s="6"/>
      <c r="BT36" s="10"/>
      <c r="BU36" s="8"/>
      <c r="BV36" s="8" t="str">
        <f t="shared" ref="BV36:BV54" si="57">IF(BU36="","",BU36-BU35)</f>
        <v/>
      </c>
      <c r="BW36" s="8"/>
      <c r="BX36" s="8" t="str">
        <f t="shared" ref="BX36:BX55" si="58">IF(BW36="","",BW36-BW35)</f>
        <v/>
      </c>
      <c r="BY36" s="8"/>
      <c r="BZ36" s="8" t="str">
        <f t="shared" ref="BZ36:BZ55" si="59">IF(BY36="","",BY35+CA35-BY36)</f>
        <v/>
      </c>
      <c r="CA36" s="8"/>
      <c r="CB36" s="8"/>
      <c r="CC36" s="8"/>
      <c r="CD36" s="8" t="str">
        <f t="shared" ref="CD36:CD55" si="60">IF(CC36="","",BZ36*CC36)</f>
        <v/>
      </c>
      <c r="CE36" s="9" t="str">
        <f t="shared" ref="CE36:CE55" si="61">IF(CD36="","",CD36/(BV36*100))</f>
        <v/>
      </c>
      <c r="CF36" s="6"/>
    </row>
    <row r="37" spans="1:84" ht="15" customHeight="1" x14ac:dyDescent="0.2">
      <c r="A37" s="86"/>
      <c r="B37" s="75"/>
      <c r="C37" s="61">
        <v>506</v>
      </c>
      <c r="D37" s="8">
        <f t="shared" si="21"/>
        <v>82</v>
      </c>
      <c r="E37" s="8">
        <v>53</v>
      </c>
      <c r="F37" s="8">
        <f t="shared" si="22"/>
        <v>2</v>
      </c>
      <c r="G37" s="8">
        <v>5</v>
      </c>
      <c r="H37" s="8">
        <f t="shared" si="38"/>
        <v>2</v>
      </c>
      <c r="I37" s="8"/>
      <c r="J37" s="31" t="str">
        <f t="shared" si="44"/>
        <v>ジャグラーサウンドフラッシュDX</v>
      </c>
      <c r="K37" s="8">
        <f t="shared" si="46"/>
        <v>1100</v>
      </c>
      <c r="L37" s="8">
        <f t="shared" si="24"/>
        <v>2200</v>
      </c>
      <c r="M37" s="9">
        <f t="shared" si="25"/>
        <v>0.26829268292682928</v>
      </c>
      <c r="N37" s="6"/>
      <c r="P37" s="10"/>
      <c r="Q37" s="61"/>
      <c r="R37" s="8" t="str">
        <f t="shared" si="26"/>
        <v/>
      </c>
      <c r="S37" s="8"/>
      <c r="T37" s="8" t="str">
        <f t="shared" si="27"/>
        <v/>
      </c>
      <c r="U37" s="8"/>
      <c r="V37" s="8" t="str">
        <f t="shared" si="28"/>
        <v/>
      </c>
      <c r="W37" s="8"/>
      <c r="X37" s="31" t="str">
        <f t="shared" si="41"/>
        <v/>
      </c>
      <c r="Y37" s="8" t="str">
        <f t="shared" si="42"/>
        <v/>
      </c>
      <c r="Z37" s="8" t="str">
        <f t="shared" si="29"/>
        <v/>
      </c>
      <c r="AA37" s="9" t="str">
        <f t="shared" si="30"/>
        <v/>
      </c>
      <c r="AB37" s="6"/>
      <c r="AD37" s="10"/>
      <c r="AE37" s="61"/>
      <c r="AF37" s="8" t="str">
        <f t="shared" si="31"/>
        <v/>
      </c>
      <c r="AG37" s="8"/>
      <c r="AH37" s="8" t="str">
        <f t="shared" si="32"/>
        <v/>
      </c>
      <c r="AI37" s="8"/>
      <c r="AJ37" s="8" t="str">
        <f t="shared" si="33"/>
        <v/>
      </c>
      <c r="AK37" s="8"/>
      <c r="AL37" s="31" t="str">
        <f t="shared" si="43"/>
        <v/>
      </c>
      <c r="AM37" s="8" t="str">
        <f t="shared" si="45"/>
        <v/>
      </c>
      <c r="AN37" s="8" t="str">
        <f t="shared" si="35"/>
        <v/>
      </c>
      <c r="AO37" s="9" t="str">
        <f t="shared" si="36"/>
        <v/>
      </c>
      <c r="AP37" s="6"/>
      <c r="AR37" s="10"/>
      <c r="AS37" s="8"/>
      <c r="AT37" s="8" t="str">
        <f t="shared" si="47"/>
        <v/>
      </c>
      <c r="AU37" s="8"/>
      <c r="AV37" s="8" t="str">
        <f t="shared" si="48"/>
        <v/>
      </c>
      <c r="AW37" s="8"/>
      <c r="AX37" s="8" t="str">
        <f t="shared" si="49"/>
        <v/>
      </c>
      <c r="AY37" s="8"/>
      <c r="AZ37" s="31"/>
      <c r="BA37" s="8"/>
      <c r="BB37" s="8" t="str">
        <f t="shared" si="50"/>
        <v/>
      </c>
      <c r="BC37" s="9" t="str">
        <f t="shared" si="51"/>
        <v/>
      </c>
      <c r="BD37" s="6"/>
      <c r="BF37" s="10"/>
      <c r="BG37" s="8"/>
      <c r="BH37" s="8" t="str">
        <f t="shared" si="52"/>
        <v/>
      </c>
      <c r="BI37" s="8"/>
      <c r="BJ37" s="8" t="str">
        <f t="shared" si="53"/>
        <v/>
      </c>
      <c r="BK37" s="8"/>
      <c r="BL37" s="8" t="str">
        <f t="shared" si="54"/>
        <v/>
      </c>
      <c r="BM37" s="8"/>
      <c r="BN37" s="8"/>
      <c r="BO37" s="8"/>
      <c r="BP37" s="8" t="str">
        <f t="shared" si="55"/>
        <v/>
      </c>
      <c r="BQ37" s="9" t="str">
        <f t="shared" si="56"/>
        <v/>
      </c>
      <c r="BR37" s="6"/>
      <c r="BT37" s="10"/>
      <c r="BU37" s="8"/>
      <c r="BV37" s="8" t="str">
        <f t="shared" si="57"/>
        <v/>
      </c>
      <c r="BW37" s="8"/>
      <c r="BX37" s="8" t="str">
        <f t="shared" si="58"/>
        <v/>
      </c>
      <c r="BY37" s="8"/>
      <c r="BZ37" s="8" t="str">
        <f t="shared" si="59"/>
        <v/>
      </c>
      <c r="CA37" s="8"/>
      <c r="CB37" s="8"/>
      <c r="CC37" s="8"/>
      <c r="CD37" s="8" t="str">
        <f t="shared" si="60"/>
        <v/>
      </c>
      <c r="CE37" s="9" t="str">
        <f t="shared" si="61"/>
        <v/>
      </c>
      <c r="CF37" s="6"/>
    </row>
    <row r="38" spans="1:84" ht="15" customHeight="1" thickBot="1" x14ac:dyDescent="0.25">
      <c r="A38" s="93"/>
      <c r="B38" s="73"/>
      <c r="C38" s="64">
        <v>699</v>
      </c>
      <c r="D38" s="121">
        <f t="shared" si="21"/>
        <v>39</v>
      </c>
      <c r="E38" s="14">
        <v>53</v>
      </c>
      <c r="F38" s="14">
        <f t="shared" si="22"/>
        <v>1</v>
      </c>
      <c r="G38" s="14">
        <v>47</v>
      </c>
      <c r="H38" s="14">
        <f t="shared" si="38"/>
        <v>1</v>
      </c>
      <c r="I38" s="14"/>
      <c r="J38" s="32" t="str">
        <f t="shared" si="44"/>
        <v>ベーカリースクイーズ</v>
      </c>
      <c r="K38" s="49">
        <f t="shared" si="46"/>
        <v>286</v>
      </c>
      <c r="L38" s="14">
        <f t="shared" si="24"/>
        <v>286</v>
      </c>
      <c r="M38" s="15">
        <f t="shared" si="25"/>
        <v>7.3333333333333334E-2</v>
      </c>
      <c r="N38" s="6"/>
      <c r="P38" s="13"/>
      <c r="Q38" s="64"/>
      <c r="R38" s="14" t="str">
        <f t="shared" si="26"/>
        <v/>
      </c>
      <c r="S38" s="14"/>
      <c r="T38" s="14" t="str">
        <f t="shared" si="27"/>
        <v/>
      </c>
      <c r="U38" s="14"/>
      <c r="V38" s="14" t="str">
        <f t="shared" si="28"/>
        <v/>
      </c>
      <c r="W38" s="14"/>
      <c r="X38" s="32" t="str">
        <f t="shared" si="41"/>
        <v/>
      </c>
      <c r="Y38" s="49" t="str">
        <f t="shared" si="42"/>
        <v/>
      </c>
      <c r="Z38" s="14" t="str">
        <f t="shared" si="29"/>
        <v/>
      </c>
      <c r="AA38" s="15" t="str">
        <f t="shared" si="30"/>
        <v/>
      </c>
      <c r="AB38" s="6"/>
      <c r="AD38" s="13"/>
      <c r="AE38" s="64"/>
      <c r="AF38" s="14" t="str">
        <f t="shared" si="31"/>
        <v/>
      </c>
      <c r="AG38" s="14"/>
      <c r="AH38" s="14" t="str">
        <f t="shared" si="32"/>
        <v/>
      </c>
      <c r="AI38" s="14"/>
      <c r="AJ38" s="14" t="str">
        <f t="shared" si="33"/>
        <v/>
      </c>
      <c r="AK38" s="14"/>
      <c r="AL38" s="32" t="str">
        <f t="shared" si="43"/>
        <v/>
      </c>
      <c r="AM38" s="49" t="str">
        <f t="shared" si="45"/>
        <v/>
      </c>
      <c r="AN38" s="14" t="str">
        <f t="shared" si="35"/>
        <v/>
      </c>
      <c r="AO38" s="15" t="str">
        <f t="shared" si="36"/>
        <v/>
      </c>
      <c r="AP38" s="6"/>
      <c r="AR38" s="10"/>
      <c r="AS38" s="8"/>
      <c r="AT38" s="8" t="str">
        <f t="shared" si="47"/>
        <v/>
      </c>
      <c r="AU38" s="8"/>
      <c r="AV38" s="8" t="str">
        <f t="shared" si="48"/>
        <v/>
      </c>
      <c r="AW38" s="8"/>
      <c r="AX38" s="8" t="str">
        <f t="shared" si="49"/>
        <v/>
      </c>
      <c r="AY38" s="8"/>
      <c r="AZ38" s="31"/>
      <c r="BA38" s="8"/>
      <c r="BB38" s="8" t="str">
        <f t="shared" si="50"/>
        <v/>
      </c>
      <c r="BC38" s="9" t="str">
        <f t="shared" si="51"/>
        <v/>
      </c>
      <c r="BD38" s="6"/>
      <c r="BF38" s="10"/>
      <c r="BG38" s="8"/>
      <c r="BH38" s="8" t="str">
        <f t="shared" si="52"/>
        <v/>
      </c>
      <c r="BI38" s="8"/>
      <c r="BJ38" s="8" t="str">
        <f t="shared" si="53"/>
        <v/>
      </c>
      <c r="BK38" s="8"/>
      <c r="BL38" s="8" t="str">
        <f t="shared" si="54"/>
        <v/>
      </c>
      <c r="BM38" s="8"/>
      <c r="BN38" s="8"/>
      <c r="BO38" s="8"/>
      <c r="BP38" s="8" t="str">
        <f t="shared" si="55"/>
        <v/>
      </c>
      <c r="BQ38" s="9" t="str">
        <f t="shared" si="56"/>
        <v/>
      </c>
      <c r="BR38" s="6"/>
      <c r="BT38" s="10"/>
      <c r="BU38" s="8"/>
      <c r="BV38" s="8" t="str">
        <f t="shared" si="57"/>
        <v/>
      </c>
      <c r="BW38" s="8"/>
      <c r="BX38" s="8" t="str">
        <f t="shared" si="58"/>
        <v/>
      </c>
      <c r="BY38" s="8"/>
      <c r="BZ38" s="8" t="str">
        <f t="shared" si="59"/>
        <v/>
      </c>
      <c r="CA38" s="8"/>
      <c r="CB38" s="8"/>
      <c r="CC38" s="8"/>
      <c r="CD38" s="8" t="str">
        <f t="shared" si="60"/>
        <v/>
      </c>
      <c r="CE38" s="9" t="str">
        <f t="shared" si="61"/>
        <v/>
      </c>
      <c r="CF38" s="6"/>
    </row>
    <row r="39" spans="1:84" ht="15" customHeight="1" thickTop="1" x14ac:dyDescent="0.2">
      <c r="A39" s="74"/>
      <c r="B39" s="100">
        <f>SUM(D39:D42)+SUM(AT12,BH12)</f>
        <v>0</v>
      </c>
      <c r="C39" s="60"/>
      <c r="D39" s="37" t="str">
        <f t="shared" si="21"/>
        <v/>
      </c>
      <c r="E39" s="37"/>
      <c r="F39" s="16" t="str">
        <f t="shared" si="22"/>
        <v/>
      </c>
      <c r="G39" s="37"/>
      <c r="H39" s="37" t="str">
        <f t="shared" si="38"/>
        <v/>
      </c>
      <c r="I39" s="37"/>
      <c r="J39" s="44" t="str">
        <f t="shared" si="44"/>
        <v/>
      </c>
      <c r="K39" s="45" t="str">
        <f t="shared" si="46"/>
        <v/>
      </c>
      <c r="L39" s="16" t="str">
        <f t="shared" si="24"/>
        <v/>
      </c>
      <c r="M39" s="17" t="str">
        <f t="shared" si="25"/>
        <v/>
      </c>
      <c r="N39" s="6"/>
      <c r="P39" s="43" t="str">
        <f>IF($A39="","",$A39)</f>
        <v/>
      </c>
      <c r="Q39" s="60"/>
      <c r="R39" s="37" t="str">
        <f t="shared" si="26"/>
        <v/>
      </c>
      <c r="S39" s="37"/>
      <c r="T39" s="16" t="str">
        <f t="shared" si="27"/>
        <v/>
      </c>
      <c r="U39" s="37"/>
      <c r="V39" s="37" t="str">
        <f t="shared" si="28"/>
        <v/>
      </c>
      <c r="W39" s="37"/>
      <c r="X39" s="44" t="str">
        <f t="shared" si="41"/>
        <v/>
      </c>
      <c r="Y39" s="45" t="str">
        <f t="shared" si="42"/>
        <v/>
      </c>
      <c r="Z39" s="16" t="str">
        <f t="shared" si="29"/>
        <v/>
      </c>
      <c r="AA39" s="17" t="str">
        <f t="shared" si="30"/>
        <v/>
      </c>
      <c r="AB39" s="6"/>
      <c r="AD39" s="43" t="str">
        <f>IF($A39="","",$A39)</f>
        <v/>
      </c>
      <c r="AE39" s="60"/>
      <c r="AF39" s="37" t="str">
        <f t="shared" si="31"/>
        <v/>
      </c>
      <c r="AG39" s="37"/>
      <c r="AH39" s="16" t="str">
        <f t="shared" si="32"/>
        <v/>
      </c>
      <c r="AI39" s="37"/>
      <c r="AJ39" s="37" t="str">
        <f t="shared" si="33"/>
        <v/>
      </c>
      <c r="AK39" s="37"/>
      <c r="AL39" s="44" t="str">
        <f t="shared" si="43"/>
        <v/>
      </c>
      <c r="AM39" s="45" t="str">
        <f t="shared" si="45"/>
        <v/>
      </c>
      <c r="AN39" s="16" t="str">
        <f t="shared" si="35"/>
        <v/>
      </c>
      <c r="AO39" s="17" t="str">
        <f t="shared" si="36"/>
        <v/>
      </c>
      <c r="AP39" s="6"/>
      <c r="AR39" s="10"/>
      <c r="AS39" s="8"/>
      <c r="AT39" s="8" t="str">
        <f t="shared" si="47"/>
        <v/>
      </c>
      <c r="AU39" s="8"/>
      <c r="AV39" s="8" t="str">
        <f t="shared" si="48"/>
        <v/>
      </c>
      <c r="AW39" s="8"/>
      <c r="AX39" s="8" t="str">
        <f t="shared" si="49"/>
        <v/>
      </c>
      <c r="AY39" s="8"/>
      <c r="AZ39" s="31"/>
      <c r="BA39" s="8"/>
      <c r="BB39" s="8" t="str">
        <f t="shared" si="50"/>
        <v/>
      </c>
      <c r="BC39" s="9" t="str">
        <f t="shared" si="51"/>
        <v/>
      </c>
      <c r="BD39" s="6"/>
      <c r="BF39" s="10"/>
      <c r="BG39" s="8"/>
      <c r="BH39" s="8" t="str">
        <f t="shared" si="52"/>
        <v/>
      </c>
      <c r="BI39" s="8"/>
      <c r="BJ39" s="8" t="str">
        <f t="shared" si="53"/>
        <v/>
      </c>
      <c r="BK39" s="8"/>
      <c r="BL39" s="8" t="str">
        <f t="shared" si="54"/>
        <v/>
      </c>
      <c r="BM39" s="8"/>
      <c r="BN39" s="8"/>
      <c r="BO39" s="8"/>
      <c r="BP39" s="8" t="str">
        <f t="shared" si="55"/>
        <v/>
      </c>
      <c r="BQ39" s="9" t="str">
        <f t="shared" si="56"/>
        <v/>
      </c>
      <c r="BR39" s="6"/>
      <c r="BT39" s="10"/>
      <c r="BU39" s="8"/>
      <c r="BV39" s="8" t="str">
        <f t="shared" si="57"/>
        <v/>
      </c>
      <c r="BW39" s="8"/>
      <c r="BX39" s="8" t="str">
        <f t="shared" si="58"/>
        <v/>
      </c>
      <c r="BY39" s="8"/>
      <c r="BZ39" s="8" t="str">
        <f t="shared" si="59"/>
        <v/>
      </c>
      <c r="CA39" s="8"/>
      <c r="CB39" s="8"/>
      <c r="CC39" s="8"/>
      <c r="CD39" s="8" t="str">
        <f t="shared" si="60"/>
        <v/>
      </c>
      <c r="CE39" s="9" t="str">
        <f t="shared" si="61"/>
        <v/>
      </c>
      <c r="CF39" s="6"/>
    </row>
    <row r="40" spans="1:84" ht="15" customHeight="1" x14ac:dyDescent="0.2">
      <c r="A40" s="94"/>
      <c r="B40" s="75"/>
      <c r="C40" s="61"/>
      <c r="D40" s="37" t="str">
        <f t="shared" si="21"/>
        <v/>
      </c>
      <c r="E40" s="8"/>
      <c r="F40" s="8" t="str">
        <f t="shared" si="22"/>
        <v/>
      </c>
      <c r="G40" s="8"/>
      <c r="H40" s="8" t="str">
        <f t="shared" si="38"/>
        <v/>
      </c>
      <c r="I40" s="8"/>
      <c r="J40" s="31" t="str">
        <f t="shared" si="44"/>
        <v/>
      </c>
      <c r="K40" s="48" t="str">
        <f t="shared" si="46"/>
        <v/>
      </c>
      <c r="L40" s="8" t="str">
        <f t="shared" si="24"/>
        <v/>
      </c>
      <c r="M40" s="9" t="str">
        <f t="shared" si="25"/>
        <v/>
      </c>
      <c r="N40" s="6"/>
      <c r="P40" s="10"/>
      <c r="Q40" s="61"/>
      <c r="R40" s="37" t="str">
        <f t="shared" si="26"/>
        <v/>
      </c>
      <c r="S40" s="8"/>
      <c r="T40" s="8" t="str">
        <f t="shared" si="27"/>
        <v/>
      </c>
      <c r="U40" s="8"/>
      <c r="V40" s="8" t="str">
        <f t="shared" si="28"/>
        <v/>
      </c>
      <c r="W40" s="8"/>
      <c r="X40" s="31" t="str">
        <f t="shared" si="41"/>
        <v/>
      </c>
      <c r="Y40" s="48" t="str">
        <f t="shared" si="42"/>
        <v/>
      </c>
      <c r="Z40" s="8" t="str">
        <f t="shared" si="29"/>
        <v/>
      </c>
      <c r="AA40" s="9" t="str">
        <f t="shared" si="30"/>
        <v/>
      </c>
      <c r="AB40" s="6"/>
      <c r="AD40" s="10"/>
      <c r="AE40" s="61"/>
      <c r="AF40" s="37" t="str">
        <f t="shared" si="31"/>
        <v/>
      </c>
      <c r="AG40" s="8"/>
      <c r="AH40" s="8" t="str">
        <f t="shared" si="32"/>
        <v/>
      </c>
      <c r="AI40" s="8"/>
      <c r="AJ40" s="8" t="str">
        <f t="shared" si="33"/>
        <v/>
      </c>
      <c r="AK40" s="8"/>
      <c r="AL40" s="31" t="str">
        <f t="shared" si="43"/>
        <v/>
      </c>
      <c r="AM40" s="48" t="str">
        <f t="shared" si="45"/>
        <v/>
      </c>
      <c r="AN40" s="8" t="str">
        <f t="shared" si="35"/>
        <v/>
      </c>
      <c r="AO40" s="9" t="str">
        <f t="shared" si="36"/>
        <v/>
      </c>
      <c r="AP40" s="6"/>
      <c r="AR40" s="10"/>
      <c r="AS40" s="8"/>
      <c r="AT40" s="8" t="str">
        <f t="shared" si="47"/>
        <v/>
      </c>
      <c r="AU40" s="8"/>
      <c r="AV40" s="8" t="str">
        <f t="shared" si="48"/>
        <v/>
      </c>
      <c r="AW40" s="8"/>
      <c r="AX40" s="8" t="str">
        <f t="shared" si="49"/>
        <v/>
      </c>
      <c r="AY40" s="8"/>
      <c r="AZ40" s="31"/>
      <c r="BA40" s="8"/>
      <c r="BB40" s="8" t="str">
        <f t="shared" si="50"/>
        <v/>
      </c>
      <c r="BC40" s="9" t="str">
        <f t="shared" si="51"/>
        <v/>
      </c>
      <c r="BD40" s="6"/>
      <c r="BF40" s="10"/>
      <c r="BG40" s="8"/>
      <c r="BH40" s="8" t="str">
        <f t="shared" si="52"/>
        <v/>
      </c>
      <c r="BI40" s="8"/>
      <c r="BJ40" s="8" t="str">
        <f t="shared" si="53"/>
        <v/>
      </c>
      <c r="BK40" s="8"/>
      <c r="BL40" s="8" t="str">
        <f t="shared" si="54"/>
        <v/>
      </c>
      <c r="BM40" s="8"/>
      <c r="BN40" s="8"/>
      <c r="BO40" s="8"/>
      <c r="BP40" s="8" t="str">
        <f t="shared" si="55"/>
        <v/>
      </c>
      <c r="BQ40" s="9" t="str">
        <f t="shared" si="56"/>
        <v/>
      </c>
      <c r="BR40" s="6"/>
      <c r="BT40" s="10"/>
      <c r="BU40" s="8"/>
      <c r="BV40" s="8" t="str">
        <f t="shared" si="57"/>
        <v/>
      </c>
      <c r="BW40" s="8"/>
      <c r="BX40" s="8" t="str">
        <f t="shared" si="58"/>
        <v/>
      </c>
      <c r="BY40" s="8"/>
      <c r="BZ40" s="8" t="str">
        <f t="shared" si="59"/>
        <v/>
      </c>
      <c r="CA40" s="8"/>
      <c r="CB40" s="8"/>
      <c r="CC40" s="8"/>
      <c r="CD40" s="8" t="str">
        <f t="shared" si="60"/>
        <v/>
      </c>
      <c r="CE40" s="9" t="str">
        <f t="shared" si="61"/>
        <v/>
      </c>
      <c r="CF40" s="6"/>
    </row>
    <row r="41" spans="1:84" ht="15" customHeight="1" x14ac:dyDescent="0.2">
      <c r="A41" s="94"/>
      <c r="B41" s="75"/>
      <c r="C41" s="61"/>
      <c r="D41" s="12" t="str">
        <f t="shared" si="21"/>
        <v/>
      </c>
      <c r="E41" s="8"/>
      <c r="F41" s="8" t="str">
        <f t="shared" si="22"/>
        <v/>
      </c>
      <c r="G41" s="8"/>
      <c r="H41" s="8" t="str">
        <f t="shared" si="38"/>
        <v/>
      </c>
      <c r="I41" s="8"/>
      <c r="J41" s="31" t="str">
        <f t="shared" si="44"/>
        <v/>
      </c>
      <c r="K41" s="8" t="str">
        <f t="shared" si="46"/>
        <v/>
      </c>
      <c r="L41" s="8" t="str">
        <f t="shared" si="24"/>
        <v/>
      </c>
      <c r="M41" s="9" t="str">
        <f t="shared" si="25"/>
        <v/>
      </c>
      <c r="N41" s="6"/>
      <c r="P41" s="10"/>
      <c r="Q41" s="61"/>
      <c r="R41" s="12" t="str">
        <f t="shared" si="26"/>
        <v/>
      </c>
      <c r="S41" s="8"/>
      <c r="T41" s="8" t="str">
        <f t="shared" si="27"/>
        <v/>
      </c>
      <c r="U41" s="8"/>
      <c r="V41" s="8" t="str">
        <f t="shared" si="28"/>
        <v/>
      </c>
      <c r="W41" s="8"/>
      <c r="X41" s="31" t="str">
        <f t="shared" si="41"/>
        <v/>
      </c>
      <c r="Y41" s="8" t="str">
        <f t="shared" si="42"/>
        <v/>
      </c>
      <c r="Z41" s="8" t="str">
        <f t="shared" si="29"/>
        <v/>
      </c>
      <c r="AA41" s="9" t="str">
        <f t="shared" si="30"/>
        <v/>
      </c>
      <c r="AB41" s="6"/>
      <c r="AD41" s="10"/>
      <c r="AE41" s="61"/>
      <c r="AF41" s="12" t="str">
        <f t="shared" si="31"/>
        <v/>
      </c>
      <c r="AG41" s="8"/>
      <c r="AH41" s="8" t="str">
        <f t="shared" si="32"/>
        <v/>
      </c>
      <c r="AI41" s="8"/>
      <c r="AJ41" s="8" t="str">
        <f t="shared" si="33"/>
        <v/>
      </c>
      <c r="AK41" s="8"/>
      <c r="AL41" s="31" t="str">
        <f t="shared" si="43"/>
        <v/>
      </c>
      <c r="AM41" s="8" t="str">
        <f t="shared" si="45"/>
        <v/>
      </c>
      <c r="AN41" s="8" t="str">
        <f t="shared" si="35"/>
        <v/>
      </c>
      <c r="AO41" s="9" t="str">
        <f t="shared" si="36"/>
        <v/>
      </c>
      <c r="AP41" s="6"/>
      <c r="AR41" s="10"/>
      <c r="AS41" s="8"/>
      <c r="AT41" s="8" t="str">
        <f t="shared" si="47"/>
        <v/>
      </c>
      <c r="AU41" s="8"/>
      <c r="AV41" s="8" t="str">
        <f t="shared" si="48"/>
        <v/>
      </c>
      <c r="AW41" s="8"/>
      <c r="AX41" s="8" t="str">
        <f t="shared" si="49"/>
        <v/>
      </c>
      <c r="AY41" s="8"/>
      <c r="AZ41" s="31"/>
      <c r="BA41" s="8"/>
      <c r="BB41" s="8" t="str">
        <f t="shared" si="50"/>
        <v/>
      </c>
      <c r="BC41" s="9" t="str">
        <f t="shared" si="51"/>
        <v/>
      </c>
      <c r="BD41" s="6"/>
      <c r="BF41" s="10"/>
      <c r="BG41" s="8"/>
      <c r="BH41" s="8" t="str">
        <f t="shared" si="52"/>
        <v/>
      </c>
      <c r="BI41" s="8"/>
      <c r="BJ41" s="8" t="str">
        <f t="shared" si="53"/>
        <v/>
      </c>
      <c r="BK41" s="8"/>
      <c r="BL41" s="8" t="str">
        <f t="shared" si="54"/>
        <v/>
      </c>
      <c r="BM41" s="8"/>
      <c r="BN41" s="8"/>
      <c r="BO41" s="8"/>
      <c r="BP41" s="8" t="str">
        <f t="shared" si="55"/>
        <v/>
      </c>
      <c r="BQ41" s="9" t="str">
        <f t="shared" si="56"/>
        <v/>
      </c>
      <c r="BR41" s="6"/>
      <c r="BT41" s="10"/>
      <c r="BU41" s="8"/>
      <c r="BV41" s="8" t="str">
        <f t="shared" si="57"/>
        <v/>
      </c>
      <c r="BW41" s="8"/>
      <c r="BX41" s="8" t="str">
        <f t="shared" si="58"/>
        <v/>
      </c>
      <c r="BY41" s="8"/>
      <c r="BZ41" s="8" t="str">
        <f t="shared" si="59"/>
        <v/>
      </c>
      <c r="CA41" s="8"/>
      <c r="CB41" s="8"/>
      <c r="CC41" s="8"/>
      <c r="CD41" s="8" t="str">
        <f t="shared" si="60"/>
        <v/>
      </c>
      <c r="CE41" s="9" t="str">
        <f t="shared" si="61"/>
        <v/>
      </c>
      <c r="CF41" s="6"/>
    </row>
    <row r="42" spans="1:84" ht="15" customHeight="1" thickBot="1" x14ac:dyDescent="0.25">
      <c r="A42" s="91"/>
      <c r="B42" s="13"/>
      <c r="C42" s="14"/>
      <c r="D42" s="56" t="str">
        <f t="shared" si="21"/>
        <v/>
      </c>
      <c r="E42" s="14"/>
      <c r="F42" s="14" t="str">
        <f t="shared" si="22"/>
        <v/>
      </c>
      <c r="G42" s="14"/>
      <c r="H42" s="14" t="str">
        <f t="shared" si="38"/>
        <v/>
      </c>
      <c r="I42" s="14"/>
      <c r="J42" s="32" t="str">
        <f t="shared" si="44"/>
        <v/>
      </c>
      <c r="K42" s="49" t="str">
        <f t="shared" si="46"/>
        <v/>
      </c>
      <c r="L42" s="14" t="str">
        <f t="shared" si="24"/>
        <v/>
      </c>
      <c r="M42" s="15" t="str">
        <f t="shared" si="25"/>
        <v/>
      </c>
      <c r="N42" s="6"/>
      <c r="P42" s="13"/>
      <c r="Q42" s="14"/>
      <c r="R42" s="56" t="str">
        <f t="shared" si="26"/>
        <v/>
      </c>
      <c r="S42" s="14"/>
      <c r="T42" s="14" t="str">
        <f t="shared" si="27"/>
        <v/>
      </c>
      <c r="U42" s="14"/>
      <c r="V42" s="14" t="str">
        <f t="shared" si="28"/>
        <v/>
      </c>
      <c r="W42" s="14"/>
      <c r="X42" s="32" t="str">
        <f t="shared" si="41"/>
        <v/>
      </c>
      <c r="Y42" s="49" t="str">
        <f t="shared" si="42"/>
        <v/>
      </c>
      <c r="Z42" s="14" t="str">
        <f t="shared" si="29"/>
        <v/>
      </c>
      <c r="AA42" s="15" t="str">
        <f t="shared" si="30"/>
        <v/>
      </c>
      <c r="AB42" s="6"/>
      <c r="AD42" s="13"/>
      <c r="AE42" s="14"/>
      <c r="AF42" s="56" t="str">
        <f t="shared" si="31"/>
        <v/>
      </c>
      <c r="AG42" s="14"/>
      <c r="AH42" s="14" t="str">
        <f t="shared" si="32"/>
        <v/>
      </c>
      <c r="AI42" s="14"/>
      <c r="AJ42" s="14" t="str">
        <f t="shared" si="33"/>
        <v/>
      </c>
      <c r="AK42" s="14"/>
      <c r="AL42" s="32" t="str">
        <f t="shared" si="43"/>
        <v/>
      </c>
      <c r="AM42" s="49" t="str">
        <f t="shared" si="45"/>
        <v/>
      </c>
      <c r="AN42" s="14" t="str">
        <f t="shared" si="35"/>
        <v/>
      </c>
      <c r="AO42" s="15" t="str">
        <f t="shared" si="36"/>
        <v/>
      </c>
      <c r="AP42" s="6"/>
      <c r="AR42" s="10"/>
      <c r="AS42" s="8"/>
      <c r="AT42" s="8" t="str">
        <f t="shared" si="47"/>
        <v/>
      </c>
      <c r="AU42" s="8"/>
      <c r="AV42" s="8" t="str">
        <f t="shared" si="48"/>
        <v/>
      </c>
      <c r="AW42" s="8"/>
      <c r="AX42" s="8" t="str">
        <f t="shared" si="49"/>
        <v/>
      </c>
      <c r="AY42" s="8"/>
      <c r="AZ42" s="31"/>
      <c r="BA42" s="8"/>
      <c r="BB42" s="8" t="str">
        <f t="shared" si="50"/>
        <v/>
      </c>
      <c r="BC42" s="9" t="str">
        <f t="shared" si="51"/>
        <v/>
      </c>
      <c r="BD42" s="6"/>
      <c r="BF42" s="10"/>
      <c r="BG42" s="8"/>
      <c r="BH42" s="8" t="str">
        <f t="shared" si="52"/>
        <v/>
      </c>
      <c r="BI42" s="8"/>
      <c r="BJ42" s="8" t="str">
        <f t="shared" si="53"/>
        <v/>
      </c>
      <c r="BK42" s="8"/>
      <c r="BL42" s="8" t="str">
        <f t="shared" si="54"/>
        <v/>
      </c>
      <c r="BM42" s="8"/>
      <c r="BN42" s="8"/>
      <c r="BO42" s="8"/>
      <c r="BP42" s="8" t="str">
        <f t="shared" si="55"/>
        <v/>
      </c>
      <c r="BQ42" s="9" t="str">
        <f t="shared" si="56"/>
        <v/>
      </c>
      <c r="BR42" s="6"/>
      <c r="BT42" s="10"/>
      <c r="BU42" s="8"/>
      <c r="BV42" s="8" t="str">
        <f t="shared" si="57"/>
        <v/>
      </c>
      <c r="BW42" s="8"/>
      <c r="BX42" s="8" t="str">
        <f t="shared" si="58"/>
        <v/>
      </c>
      <c r="BY42" s="8"/>
      <c r="BZ42" s="8" t="str">
        <f t="shared" si="59"/>
        <v/>
      </c>
      <c r="CA42" s="8"/>
      <c r="CB42" s="8"/>
      <c r="CC42" s="8"/>
      <c r="CD42" s="8" t="str">
        <f t="shared" si="60"/>
        <v/>
      </c>
      <c r="CE42" s="9" t="str">
        <f t="shared" si="61"/>
        <v/>
      </c>
      <c r="CF42" s="6"/>
    </row>
    <row r="43" spans="1:84" ht="15" customHeight="1" thickTop="1" x14ac:dyDescent="0.2">
      <c r="A43" s="50"/>
      <c r="B43" s="5" t="str">
        <f>IF(A43="","",SUM(D43:D46)+SUM(R43:R46)+BH13+AT13+SUM(AF43:AF46))</f>
        <v/>
      </c>
      <c r="C43" s="37"/>
      <c r="D43" s="37" t="str">
        <f t="shared" si="21"/>
        <v/>
      </c>
      <c r="E43" s="37"/>
      <c r="F43" s="16" t="str">
        <f t="shared" si="22"/>
        <v/>
      </c>
      <c r="G43" s="37"/>
      <c r="H43" s="37" t="str">
        <f t="shared" si="38"/>
        <v/>
      </c>
      <c r="I43" s="37"/>
      <c r="J43" s="44" t="str">
        <f t="shared" si="44"/>
        <v/>
      </c>
      <c r="K43" s="45" t="str">
        <f t="shared" si="46"/>
        <v/>
      </c>
      <c r="L43" s="16" t="str">
        <f t="shared" si="24"/>
        <v/>
      </c>
      <c r="M43" s="17" t="str">
        <f t="shared" si="25"/>
        <v/>
      </c>
      <c r="N43" s="6"/>
      <c r="P43" s="43" t="str">
        <f>IF($A43="","",$A43)</f>
        <v/>
      </c>
      <c r="Q43" s="37"/>
      <c r="R43" s="37" t="str">
        <f t="shared" si="26"/>
        <v/>
      </c>
      <c r="S43" s="37"/>
      <c r="T43" s="16" t="str">
        <f t="shared" si="27"/>
        <v/>
      </c>
      <c r="U43" s="37"/>
      <c r="V43" s="37" t="str">
        <f t="shared" si="28"/>
        <v/>
      </c>
      <c r="W43" s="37"/>
      <c r="X43" s="44" t="str">
        <f t="shared" si="41"/>
        <v/>
      </c>
      <c r="Y43" s="45" t="str">
        <f t="shared" si="42"/>
        <v/>
      </c>
      <c r="Z43" s="16" t="str">
        <f t="shared" si="29"/>
        <v/>
      </c>
      <c r="AA43" s="17" t="str">
        <f t="shared" si="30"/>
        <v/>
      </c>
      <c r="AB43" s="6"/>
      <c r="AD43" s="43" t="str">
        <f>IF($A43="","",$A43)</f>
        <v/>
      </c>
      <c r="AE43" s="37"/>
      <c r="AF43" s="37" t="str">
        <f t="shared" si="31"/>
        <v/>
      </c>
      <c r="AG43" s="37"/>
      <c r="AH43" s="16" t="str">
        <f t="shared" si="32"/>
        <v/>
      </c>
      <c r="AI43" s="37"/>
      <c r="AJ43" s="37" t="str">
        <f t="shared" si="33"/>
        <v/>
      </c>
      <c r="AK43" s="37"/>
      <c r="AL43" s="44" t="str">
        <f t="shared" si="43"/>
        <v/>
      </c>
      <c r="AM43" s="45" t="str">
        <f t="shared" si="45"/>
        <v/>
      </c>
      <c r="AN43" s="16" t="str">
        <f t="shared" si="35"/>
        <v/>
      </c>
      <c r="AO43" s="17" t="str">
        <f t="shared" si="36"/>
        <v/>
      </c>
      <c r="AP43" s="6"/>
      <c r="AR43" s="10"/>
      <c r="AS43" s="8"/>
      <c r="AT43" s="8" t="str">
        <f t="shared" si="47"/>
        <v/>
      </c>
      <c r="AU43" s="8"/>
      <c r="AV43" s="8" t="str">
        <f t="shared" si="48"/>
        <v/>
      </c>
      <c r="AW43" s="8"/>
      <c r="AX43" s="8" t="str">
        <f t="shared" si="49"/>
        <v/>
      </c>
      <c r="AY43" s="8"/>
      <c r="AZ43" s="31"/>
      <c r="BA43" s="8"/>
      <c r="BB43" s="8" t="str">
        <f t="shared" si="50"/>
        <v/>
      </c>
      <c r="BC43" s="9" t="str">
        <f t="shared" si="51"/>
        <v/>
      </c>
      <c r="BD43" s="6"/>
      <c r="BF43" s="10"/>
      <c r="BG43" s="8"/>
      <c r="BH43" s="8" t="str">
        <f t="shared" si="52"/>
        <v/>
      </c>
      <c r="BI43" s="8"/>
      <c r="BJ43" s="8" t="str">
        <f t="shared" si="53"/>
        <v/>
      </c>
      <c r="BK43" s="8"/>
      <c r="BL43" s="8" t="str">
        <f t="shared" si="54"/>
        <v/>
      </c>
      <c r="BM43" s="8"/>
      <c r="BN43" s="8"/>
      <c r="BO43" s="8"/>
      <c r="BP43" s="8" t="str">
        <f t="shared" si="55"/>
        <v/>
      </c>
      <c r="BQ43" s="9" t="str">
        <f t="shared" si="56"/>
        <v/>
      </c>
      <c r="BR43" s="6"/>
      <c r="BT43" s="10"/>
      <c r="BU43" s="8"/>
      <c r="BV43" s="8" t="str">
        <f t="shared" si="57"/>
        <v/>
      </c>
      <c r="BW43" s="8"/>
      <c r="BX43" s="8" t="str">
        <f t="shared" si="58"/>
        <v/>
      </c>
      <c r="BY43" s="8"/>
      <c r="BZ43" s="8" t="str">
        <f t="shared" si="59"/>
        <v/>
      </c>
      <c r="CA43" s="8"/>
      <c r="CB43" s="8"/>
      <c r="CC43" s="8"/>
      <c r="CD43" s="8" t="str">
        <f t="shared" si="60"/>
        <v/>
      </c>
      <c r="CE43" s="9" t="str">
        <f t="shared" si="61"/>
        <v/>
      </c>
      <c r="CF43" s="6"/>
    </row>
    <row r="44" spans="1:84" ht="15" customHeight="1" x14ac:dyDescent="0.2">
      <c r="A44" s="89"/>
      <c r="B44" s="10"/>
      <c r="C44" s="8"/>
      <c r="D44" s="8" t="str">
        <f t="shared" si="21"/>
        <v/>
      </c>
      <c r="E44" s="8"/>
      <c r="F44" s="8" t="str">
        <f t="shared" si="22"/>
        <v/>
      </c>
      <c r="G44" s="8"/>
      <c r="H44" s="8" t="str">
        <f t="shared" si="38"/>
        <v/>
      </c>
      <c r="I44" s="8"/>
      <c r="J44" s="31" t="str">
        <f t="shared" si="44"/>
        <v/>
      </c>
      <c r="K44" s="48" t="str">
        <f t="shared" si="46"/>
        <v/>
      </c>
      <c r="L44" s="8" t="str">
        <f t="shared" si="24"/>
        <v/>
      </c>
      <c r="M44" s="9" t="str">
        <f t="shared" si="25"/>
        <v/>
      </c>
      <c r="N44" s="6"/>
      <c r="P44" s="10"/>
      <c r="Q44" s="8"/>
      <c r="R44" s="8" t="str">
        <f t="shared" si="26"/>
        <v/>
      </c>
      <c r="S44" s="8"/>
      <c r="T44" s="8" t="str">
        <f t="shared" si="27"/>
        <v/>
      </c>
      <c r="U44" s="8"/>
      <c r="V44" s="8" t="str">
        <f t="shared" si="28"/>
        <v/>
      </c>
      <c r="W44" s="8"/>
      <c r="X44" s="31" t="str">
        <f t="shared" si="41"/>
        <v/>
      </c>
      <c r="Y44" s="48" t="str">
        <f t="shared" si="42"/>
        <v/>
      </c>
      <c r="Z44" s="8" t="str">
        <f t="shared" si="29"/>
        <v/>
      </c>
      <c r="AA44" s="9" t="str">
        <f t="shared" si="30"/>
        <v/>
      </c>
      <c r="AB44" s="6"/>
      <c r="AD44" s="10"/>
      <c r="AE44" s="8"/>
      <c r="AF44" s="8" t="str">
        <f t="shared" si="31"/>
        <v/>
      </c>
      <c r="AG44" s="8"/>
      <c r="AH44" s="8" t="str">
        <f t="shared" si="32"/>
        <v/>
      </c>
      <c r="AI44" s="8"/>
      <c r="AJ44" s="8" t="str">
        <f t="shared" si="33"/>
        <v/>
      </c>
      <c r="AK44" s="8"/>
      <c r="AL44" s="31" t="str">
        <f t="shared" si="43"/>
        <v/>
      </c>
      <c r="AM44" s="48" t="str">
        <f t="shared" si="45"/>
        <v/>
      </c>
      <c r="AN44" s="8" t="str">
        <f t="shared" si="35"/>
        <v/>
      </c>
      <c r="AO44" s="9" t="str">
        <f t="shared" si="36"/>
        <v/>
      </c>
      <c r="AP44" s="6"/>
      <c r="AR44" s="10"/>
      <c r="AS44" s="8"/>
      <c r="AT44" s="8" t="str">
        <f t="shared" si="47"/>
        <v/>
      </c>
      <c r="AU44" s="8"/>
      <c r="AV44" s="8" t="str">
        <f t="shared" si="48"/>
        <v/>
      </c>
      <c r="AW44" s="8"/>
      <c r="AX44" s="8" t="str">
        <f t="shared" si="49"/>
        <v/>
      </c>
      <c r="AY44" s="8"/>
      <c r="AZ44" s="31"/>
      <c r="BA44" s="8"/>
      <c r="BB44" s="8" t="str">
        <f t="shared" si="50"/>
        <v/>
      </c>
      <c r="BC44" s="9" t="str">
        <f t="shared" si="51"/>
        <v/>
      </c>
      <c r="BD44" s="6"/>
      <c r="BF44" s="10"/>
      <c r="BG44" s="8"/>
      <c r="BH44" s="8" t="str">
        <f t="shared" si="52"/>
        <v/>
      </c>
      <c r="BI44" s="8"/>
      <c r="BJ44" s="8" t="str">
        <f t="shared" si="53"/>
        <v/>
      </c>
      <c r="BK44" s="8"/>
      <c r="BL44" s="8" t="str">
        <f t="shared" si="54"/>
        <v/>
      </c>
      <c r="BM44" s="8"/>
      <c r="BN44" s="8"/>
      <c r="BO44" s="8"/>
      <c r="BP44" s="8" t="str">
        <f t="shared" si="55"/>
        <v/>
      </c>
      <c r="BQ44" s="9" t="str">
        <f t="shared" si="56"/>
        <v/>
      </c>
      <c r="BR44" s="6"/>
      <c r="BT44" s="10"/>
      <c r="BU44" s="8"/>
      <c r="BV44" s="8" t="str">
        <f t="shared" si="57"/>
        <v/>
      </c>
      <c r="BW44" s="8"/>
      <c r="BX44" s="8" t="str">
        <f t="shared" si="58"/>
        <v/>
      </c>
      <c r="BY44" s="8"/>
      <c r="BZ44" s="8" t="str">
        <f t="shared" si="59"/>
        <v/>
      </c>
      <c r="CA44" s="8"/>
      <c r="CB44" s="8"/>
      <c r="CC44" s="8"/>
      <c r="CD44" s="8" t="str">
        <f t="shared" si="60"/>
        <v/>
      </c>
      <c r="CE44" s="9" t="str">
        <f t="shared" si="61"/>
        <v/>
      </c>
      <c r="CF44" s="6"/>
    </row>
    <row r="45" spans="1:84" ht="15" customHeight="1" x14ac:dyDescent="0.2">
      <c r="A45" s="95"/>
      <c r="B45" s="10"/>
      <c r="C45" s="8"/>
      <c r="D45" s="8" t="str">
        <f t="shared" si="21"/>
        <v/>
      </c>
      <c r="E45" s="8"/>
      <c r="F45" s="8" t="str">
        <f t="shared" si="22"/>
        <v/>
      </c>
      <c r="G45" s="8"/>
      <c r="H45" s="8" t="str">
        <f t="shared" si="38"/>
        <v/>
      </c>
      <c r="I45" s="8"/>
      <c r="J45" s="31" t="str">
        <f t="shared" si="44"/>
        <v/>
      </c>
      <c r="K45" s="8" t="str">
        <f t="shared" si="46"/>
        <v/>
      </c>
      <c r="L45" s="8" t="str">
        <f t="shared" si="24"/>
        <v/>
      </c>
      <c r="M45" s="9" t="str">
        <f t="shared" si="25"/>
        <v/>
      </c>
      <c r="N45" s="6"/>
      <c r="P45" s="10"/>
      <c r="Q45" s="8"/>
      <c r="R45" s="8" t="str">
        <f t="shared" si="26"/>
        <v/>
      </c>
      <c r="S45" s="8"/>
      <c r="T45" s="8" t="str">
        <f t="shared" si="27"/>
        <v/>
      </c>
      <c r="U45" s="8"/>
      <c r="V45" s="8" t="str">
        <f t="shared" si="28"/>
        <v/>
      </c>
      <c r="W45" s="8"/>
      <c r="X45" s="31" t="str">
        <f t="shared" si="41"/>
        <v/>
      </c>
      <c r="Y45" s="8" t="str">
        <f t="shared" si="42"/>
        <v/>
      </c>
      <c r="Z45" s="8" t="str">
        <f t="shared" si="29"/>
        <v/>
      </c>
      <c r="AA45" s="9" t="str">
        <f t="shared" si="30"/>
        <v/>
      </c>
      <c r="AB45" s="6"/>
      <c r="AD45" s="10"/>
      <c r="AE45" s="8"/>
      <c r="AF45" s="8" t="str">
        <f t="shared" si="31"/>
        <v/>
      </c>
      <c r="AG45" s="8"/>
      <c r="AH45" s="8" t="str">
        <f t="shared" si="32"/>
        <v/>
      </c>
      <c r="AI45" s="8"/>
      <c r="AJ45" s="8" t="str">
        <f t="shared" si="33"/>
        <v/>
      </c>
      <c r="AK45" s="8"/>
      <c r="AL45" s="31" t="str">
        <f t="shared" si="43"/>
        <v/>
      </c>
      <c r="AM45" s="8" t="str">
        <f t="shared" si="45"/>
        <v/>
      </c>
      <c r="AN45" s="8" t="str">
        <f t="shared" si="35"/>
        <v/>
      </c>
      <c r="AO45" s="9" t="str">
        <f t="shared" si="36"/>
        <v/>
      </c>
      <c r="AP45" s="6"/>
      <c r="AR45" s="10"/>
      <c r="AS45" s="8"/>
      <c r="AT45" s="8" t="str">
        <f t="shared" si="47"/>
        <v/>
      </c>
      <c r="AU45" s="8"/>
      <c r="AV45" s="8" t="str">
        <f t="shared" si="48"/>
        <v/>
      </c>
      <c r="AW45" s="8"/>
      <c r="AX45" s="8" t="str">
        <f t="shared" si="49"/>
        <v/>
      </c>
      <c r="AY45" s="8"/>
      <c r="AZ45" s="31"/>
      <c r="BA45" s="8"/>
      <c r="BB45" s="8" t="str">
        <f t="shared" si="50"/>
        <v/>
      </c>
      <c r="BC45" s="9" t="str">
        <f t="shared" si="51"/>
        <v/>
      </c>
      <c r="BD45" s="6"/>
      <c r="BF45" s="10"/>
      <c r="BG45" s="8"/>
      <c r="BH45" s="8" t="str">
        <f t="shared" si="52"/>
        <v/>
      </c>
      <c r="BI45" s="8"/>
      <c r="BJ45" s="8" t="str">
        <f t="shared" si="53"/>
        <v/>
      </c>
      <c r="BK45" s="8"/>
      <c r="BL45" s="8" t="str">
        <f t="shared" si="54"/>
        <v/>
      </c>
      <c r="BM45" s="8"/>
      <c r="BN45" s="8"/>
      <c r="BO45" s="8"/>
      <c r="BP45" s="8" t="str">
        <f t="shared" si="55"/>
        <v/>
      </c>
      <c r="BQ45" s="9" t="str">
        <f t="shared" si="56"/>
        <v/>
      </c>
      <c r="BR45" s="6"/>
      <c r="BT45" s="10"/>
      <c r="BU45" s="8"/>
      <c r="BV45" s="8" t="str">
        <f t="shared" si="57"/>
        <v/>
      </c>
      <c r="BW45" s="8"/>
      <c r="BX45" s="8" t="str">
        <f t="shared" si="58"/>
        <v/>
      </c>
      <c r="BY45" s="8"/>
      <c r="BZ45" s="8" t="str">
        <f t="shared" si="59"/>
        <v/>
      </c>
      <c r="CA45" s="8"/>
      <c r="CB45" s="8"/>
      <c r="CC45" s="8"/>
      <c r="CD45" s="8" t="str">
        <f t="shared" si="60"/>
        <v/>
      </c>
      <c r="CE45" s="9" t="str">
        <f t="shared" si="61"/>
        <v/>
      </c>
      <c r="CF45" s="6"/>
    </row>
    <row r="46" spans="1:84" ht="15" customHeight="1" thickBot="1" x14ac:dyDescent="0.25">
      <c r="A46" s="96"/>
      <c r="B46" s="13"/>
      <c r="C46" s="14"/>
      <c r="D46" s="14" t="str">
        <f t="shared" si="21"/>
        <v/>
      </c>
      <c r="E46" s="14"/>
      <c r="F46" s="14" t="str">
        <f t="shared" si="22"/>
        <v/>
      </c>
      <c r="G46" s="14"/>
      <c r="H46" s="14" t="str">
        <f t="shared" si="38"/>
        <v/>
      </c>
      <c r="I46" s="14"/>
      <c r="J46" s="32" t="str">
        <f t="shared" si="44"/>
        <v/>
      </c>
      <c r="K46" s="49" t="str">
        <f t="shared" si="46"/>
        <v/>
      </c>
      <c r="L46" s="14" t="str">
        <f t="shared" si="24"/>
        <v/>
      </c>
      <c r="M46" s="15" t="str">
        <f t="shared" si="25"/>
        <v/>
      </c>
      <c r="N46" s="6"/>
      <c r="P46" s="13"/>
      <c r="Q46" s="14"/>
      <c r="R46" s="14" t="str">
        <f t="shared" si="26"/>
        <v/>
      </c>
      <c r="S46" s="14"/>
      <c r="T46" s="14" t="str">
        <f t="shared" si="27"/>
        <v/>
      </c>
      <c r="U46" s="14"/>
      <c r="V46" s="14" t="str">
        <f t="shared" si="28"/>
        <v/>
      </c>
      <c r="W46" s="14"/>
      <c r="X46" s="32" t="str">
        <f t="shared" si="41"/>
        <v/>
      </c>
      <c r="Y46" s="49" t="str">
        <f t="shared" si="42"/>
        <v/>
      </c>
      <c r="Z46" s="14" t="str">
        <f t="shared" si="29"/>
        <v/>
      </c>
      <c r="AA46" s="15" t="str">
        <f t="shared" si="30"/>
        <v/>
      </c>
      <c r="AB46" s="6"/>
      <c r="AD46" s="13"/>
      <c r="AE46" s="14"/>
      <c r="AF46" s="14" t="str">
        <f t="shared" si="31"/>
        <v/>
      </c>
      <c r="AG46" s="14"/>
      <c r="AH46" s="14" t="str">
        <f t="shared" si="32"/>
        <v/>
      </c>
      <c r="AI46" s="14"/>
      <c r="AJ46" s="14" t="str">
        <f t="shared" si="33"/>
        <v/>
      </c>
      <c r="AK46" s="14"/>
      <c r="AL46" s="32" t="str">
        <f t="shared" si="43"/>
        <v/>
      </c>
      <c r="AM46" s="49" t="str">
        <f t="shared" si="45"/>
        <v/>
      </c>
      <c r="AN46" s="14" t="str">
        <f t="shared" si="35"/>
        <v/>
      </c>
      <c r="AO46" s="15" t="str">
        <f t="shared" si="36"/>
        <v/>
      </c>
      <c r="AP46" s="6"/>
      <c r="AR46" s="10"/>
      <c r="AS46" s="8"/>
      <c r="AT46" s="8" t="str">
        <f t="shared" si="47"/>
        <v/>
      </c>
      <c r="AU46" s="8"/>
      <c r="AV46" s="8" t="str">
        <f t="shared" si="48"/>
        <v/>
      </c>
      <c r="AW46" s="8"/>
      <c r="AX46" s="8" t="str">
        <f t="shared" si="49"/>
        <v/>
      </c>
      <c r="AY46" s="8"/>
      <c r="AZ46" s="31"/>
      <c r="BA46" s="8"/>
      <c r="BB46" s="8" t="str">
        <f t="shared" si="50"/>
        <v/>
      </c>
      <c r="BC46" s="9" t="str">
        <f t="shared" si="51"/>
        <v/>
      </c>
      <c r="BD46" s="6"/>
      <c r="BF46" s="10"/>
      <c r="BG46" s="8"/>
      <c r="BH46" s="8" t="str">
        <f t="shared" si="52"/>
        <v/>
      </c>
      <c r="BI46" s="8"/>
      <c r="BJ46" s="8" t="str">
        <f t="shared" si="53"/>
        <v/>
      </c>
      <c r="BK46" s="8"/>
      <c r="BL46" s="8" t="str">
        <f t="shared" si="54"/>
        <v/>
      </c>
      <c r="BM46" s="8"/>
      <c r="BN46" s="8"/>
      <c r="BO46" s="8"/>
      <c r="BP46" s="8" t="str">
        <f t="shared" si="55"/>
        <v/>
      </c>
      <c r="BQ46" s="9" t="str">
        <f t="shared" si="56"/>
        <v/>
      </c>
      <c r="BR46" s="6"/>
      <c r="BT46" s="10"/>
      <c r="BU46" s="8"/>
      <c r="BV46" s="8" t="str">
        <f t="shared" si="57"/>
        <v/>
      </c>
      <c r="BW46" s="8"/>
      <c r="BX46" s="8" t="str">
        <f t="shared" si="58"/>
        <v/>
      </c>
      <c r="BY46" s="8"/>
      <c r="BZ46" s="8" t="str">
        <f t="shared" si="59"/>
        <v/>
      </c>
      <c r="CA46" s="8"/>
      <c r="CB46" s="8"/>
      <c r="CC46" s="8"/>
      <c r="CD46" s="8" t="str">
        <f t="shared" si="60"/>
        <v/>
      </c>
      <c r="CE46" s="9" t="str">
        <f t="shared" si="61"/>
        <v/>
      </c>
      <c r="CF46" s="6"/>
    </row>
    <row r="47" spans="1:84" ht="15" customHeight="1" thickTop="1" x14ac:dyDescent="0.2">
      <c r="A47" s="50"/>
      <c r="B47" s="5" t="str">
        <f>IF(A47="","",SUM(D47:D50)+SUM(R47:R50)+BH14+AT14+SUM(AF47:AF50))</f>
        <v/>
      </c>
      <c r="C47" s="37"/>
      <c r="D47" s="37" t="str">
        <f t="shared" si="21"/>
        <v/>
      </c>
      <c r="E47" s="37"/>
      <c r="F47" s="16" t="str">
        <f t="shared" si="22"/>
        <v/>
      </c>
      <c r="G47" s="37"/>
      <c r="H47" s="37" t="str">
        <f t="shared" si="38"/>
        <v/>
      </c>
      <c r="I47" s="37"/>
      <c r="J47" s="44" t="str">
        <f t="shared" si="44"/>
        <v/>
      </c>
      <c r="K47" s="45" t="str">
        <f t="shared" si="46"/>
        <v/>
      </c>
      <c r="L47" s="16" t="str">
        <f t="shared" si="24"/>
        <v/>
      </c>
      <c r="M47" s="17" t="str">
        <f t="shared" si="25"/>
        <v/>
      </c>
      <c r="N47" s="6"/>
      <c r="P47" s="43" t="str">
        <f>IF(A47="","",A47)</f>
        <v/>
      </c>
      <c r="Q47" s="37"/>
      <c r="R47" s="37" t="str">
        <f t="shared" si="26"/>
        <v/>
      </c>
      <c r="S47" s="37"/>
      <c r="T47" s="16" t="str">
        <f t="shared" si="27"/>
        <v/>
      </c>
      <c r="U47" s="37"/>
      <c r="V47" s="37" t="str">
        <f t="shared" si="28"/>
        <v/>
      </c>
      <c r="W47" s="37"/>
      <c r="X47" s="44" t="str">
        <f t="shared" si="41"/>
        <v/>
      </c>
      <c r="Y47" s="45" t="str">
        <f t="shared" si="42"/>
        <v/>
      </c>
      <c r="Z47" s="16" t="str">
        <f t="shared" si="29"/>
        <v/>
      </c>
      <c r="AA47" s="17" t="str">
        <f t="shared" si="30"/>
        <v/>
      </c>
      <c r="AB47" s="6"/>
      <c r="AD47" s="43" t="str">
        <f>IF(A47="","",A47)</f>
        <v/>
      </c>
      <c r="AE47" s="37"/>
      <c r="AF47" s="37" t="str">
        <f t="shared" si="31"/>
        <v/>
      </c>
      <c r="AG47" s="37"/>
      <c r="AH47" s="16" t="str">
        <f t="shared" si="32"/>
        <v/>
      </c>
      <c r="AI47" s="37"/>
      <c r="AJ47" s="37" t="str">
        <f t="shared" si="33"/>
        <v/>
      </c>
      <c r="AK47" s="37"/>
      <c r="AL47" s="44" t="str">
        <f t="shared" si="43"/>
        <v/>
      </c>
      <c r="AM47" s="45" t="str">
        <f t="shared" si="45"/>
        <v/>
      </c>
      <c r="AN47" s="16" t="str">
        <f t="shared" si="35"/>
        <v/>
      </c>
      <c r="AO47" s="17" t="str">
        <f t="shared" si="36"/>
        <v/>
      </c>
      <c r="AP47" s="6"/>
      <c r="AR47" s="10"/>
      <c r="AS47" s="8"/>
      <c r="AT47" s="8" t="str">
        <f t="shared" si="47"/>
        <v/>
      </c>
      <c r="AU47" s="8"/>
      <c r="AV47" s="8" t="str">
        <f t="shared" si="48"/>
        <v/>
      </c>
      <c r="AW47" s="8"/>
      <c r="AX47" s="8" t="str">
        <f t="shared" si="49"/>
        <v/>
      </c>
      <c r="AY47" s="8"/>
      <c r="AZ47" s="31"/>
      <c r="BA47" s="8"/>
      <c r="BB47" s="8" t="str">
        <f t="shared" si="50"/>
        <v/>
      </c>
      <c r="BC47" s="9" t="str">
        <f t="shared" si="51"/>
        <v/>
      </c>
      <c r="BD47" s="6"/>
      <c r="BF47" s="10"/>
      <c r="BG47" s="8"/>
      <c r="BH47" s="8" t="str">
        <f t="shared" si="52"/>
        <v/>
      </c>
      <c r="BI47" s="8"/>
      <c r="BJ47" s="8" t="str">
        <f t="shared" si="53"/>
        <v/>
      </c>
      <c r="BK47" s="8"/>
      <c r="BL47" s="8" t="str">
        <f t="shared" si="54"/>
        <v/>
      </c>
      <c r="BM47" s="8"/>
      <c r="BN47" s="8"/>
      <c r="BO47" s="8"/>
      <c r="BP47" s="8" t="str">
        <f t="shared" si="55"/>
        <v/>
      </c>
      <c r="BQ47" s="9" t="str">
        <f t="shared" si="56"/>
        <v/>
      </c>
      <c r="BR47" s="6"/>
      <c r="BT47" s="10"/>
      <c r="BU47" s="8"/>
      <c r="BV47" s="8" t="str">
        <f t="shared" si="57"/>
        <v/>
      </c>
      <c r="BW47" s="8"/>
      <c r="BX47" s="8" t="str">
        <f t="shared" si="58"/>
        <v/>
      </c>
      <c r="BY47" s="8"/>
      <c r="BZ47" s="8" t="str">
        <f t="shared" si="59"/>
        <v/>
      </c>
      <c r="CA47" s="8"/>
      <c r="CB47" s="8"/>
      <c r="CC47" s="8"/>
      <c r="CD47" s="8" t="str">
        <f t="shared" si="60"/>
        <v/>
      </c>
      <c r="CE47" s="9" t="str">
        <f t="shared" si="61"/>
        <v/>
      </c>
      <c r="CF47" s="6"/>
    </row>
    <row r="48" spans="1:84" ht="15" customHeight="1" x14ac:dyDescent="0.2">
      <c r="A48" s="95"/>
      <c r="B48" s="10"/>
      <c r="C48" s="8"/>
      <c r="D48" s="8" t="str">
        <f t="shared" si="21"/>
        <v/>
      </c>
      <c r="E48" s="8"/>
      <c r="F48" s="8" t="str">
        <f t="shared" si="22"/>
        <v/>
      </c>
      <c r="G48" s="8"/>
      <c r="H48" s="8" t="str">
        <f t="shared" si="38"/>
        <v/>
      </c>
      <c r="I48" s="8"/>
      <c r="J48" s="31" t="str">
        <f t="shared" si="44"/>
        <v/>
      </c>
      <c r="K48" s="48" t="str">
        <f t="shared" si="46"/>
        <v/>
      </c>
      <c r="L48" s="8" t="str">
        <f t="shared" si="24"/>
        <v/>
      </c>
      <c r="M48" s="9" t="str">
        <f t="shared" si="25"/>
        <v/>
      </c>
      <c r="N48" s="6"/>
      <c r="P48" s="10"/>
      <c r="Q48" s="8"/>
      <c r="R48" s="8" t="str">
        <f t="shared" si="26"/>
        <v/>
      </c>
      <c r="S48" s="8"/>
      <c r="T48" s="8" t="str">
        <f t="shared" si="27"/>
        <v/>
      </c>
      <c r="U48" s="8"/>
      <c r="V48" s="8" t="str">
        <f t="shared" si="28"/>
        <v/>
      </c>
      <c r="W48" s="8"/>
      <c r="X48" s="31" t="str">
        <f t="shared" si="41"/>
        <v/>
      </c>
      <c r="Y48" s="48" t="str">
        <f t="shared" si="42"/>
        <v/>
      </c>
      <c r="Z48" s="8" t="str">
        <f t="shared" si="29"/>
        <v/>
      </c>
      <c r="AA48" s="9" t="str">
        <f t="shared" si="30"/>
        <v/>
      </c>
      <c r="AB48" s="6"/>
      <c r="AD48" s="10"/>
      <c r="AE48" s="8"/>
      <c r="AF48" s="8" t="str">
        <f t="shared" si="31"/>
        <v/>
      </c>
      <c r="AG48" s="8"/>
      <c r="AH48" s="8" t="str">
        <f t="shared" si="32"/>
        <v/>
      </c>
      <c r="AI48" s="8"/>
      <c r="AJ48" s="8" t="str">
        <f t="shared" si="33"/>
        <v/>
      </c>
      <c r="AK48" s="8"/>
      <c r="AL48" s="31" t="str">
        <f t="shared" si="43"/>
        <v/>
      </c>
      <c r="AM48" s="48" t="str">
        <f t="shared" si="45"/>
        <v/>
      </c>
      <c r="AN48" s="8" t="str">
        <f t="shared" si="35"/>
        <v/>
      </c>
      <c r="AO48" s="9" t="str">
        <f t="shared" si="36"/>
        <v/>
      </c>
      <c r="AP48" s="6"/>
      <c r="AR48" s="10"/>
      <c r="AS48" s="8"/>
      <c r="AT48" s="8" t="str">
        <f t="shared" si="47"/>
        <v/>
      </c>
      <c r="AU48" s="8"/>
      <c r="AV48" s="8" t="str">
        <f t="shared" si="48"/>
        <v/>
      </c>
      <c r="AW48" s="8"/>
      <c r="AX48" s="8" t="str">
        <f t="shared" si="49"/>
        <v/>
      </c>
      <c r="AY48" s="8"/>
      <c r="AZ48" s="31"/>
      <c r="BA48" s="8"/>
      <c r="BB48" s="8" t="str">
        <f t="shared" si="50"/>
        <v/>
      </c>
      <c r="BC48" s="9" t="str">
        <f t="shared" si="51"/>
        <v/>
      </c>
      <c r="BD48" s="6"/>
      <c r="BF48" s="10"/>
      <c r="BG48" s="8"/>
      <c r="BH48" s="8" t="str">
        <f t="shared" si="52"/>
        <v/>
      </c>
      <c r="BI48" s="8"/>
      <c r="BJ48" s="8" t="str">
        <f t="shared" si="53"/>
        <v/>
      </c>
      <c r="BK48" s="8"/>
      <c r="BL48" s="8" t="str">
        <f t="shared" si="54"/>
        <v/>
      </c>
      <c r="BM48" s="8"/>
      <c r="BN48" s="8"/>
      <c r="BO48" s="8"/>
      <c r="BP48" s="8" t="str">
        <f t="shared" si="55"/>
        <v/>
      </c>
      <c r="BQ48" s="9" t="str">
        <f t="shared" si="56"/>
        <v/>
      </c>
      <c r="BR48" s="6"/>
      <c r="BT48" s="10"/>
      <c r="BU48" s="8"/>
      <c r="BV48" s="8" t="str">
        <f t="shared" si="57"/>
        <v/>
      </c>
      <c r="BW48" s="8"/>
      <c r="BX48" s="8" t="str">
        <f t="shared" si="58"/>
        <v/>
      </c>
      <c r="BY48" s="8"/>
      <c r="BZ48" s="8" t="str">
        <f t="shared" si="59"/>
        <v/>
      </c>
      <c r="CA48" s="8"/>
      <c r="CB48" s="8"/>
      <c r="CC48" s="8"/>
      <c r="CD48" s="8" t="str">
        <f t="shared" si="60"/>
        <v/>
      </c>
      <c r="CE48" s="9" t="str">
        <f t="shared" si="61"/>
        <v/>
      </c>
      <c r="CF48" s="6"/>
    </row>
    <row r="49" spans="1:84" ht="15" customHeight="1" x14ac:dyDescent="0.2">
      <c r="A49" s="95"/>
      <c r="B49" s="10"/>
      <c r="C49" s="8"/>
      <c r="D49" s="8" t="str">
        <f t="shared" si="21"/>
        <v/>
      </c>
      <c r="E49" s="8"/>
      <c r="F49" s="8" t="str">
        <f t="shared" si="22"/>
        <v/>
      </c>
      <c r="G49" s="8"/>
      <c r="H49" s="8" t="str">
        <f t="shared" si="38"/>
        <v/>
      </c>
      <c r="I49" s="8"/>
      <c r="J49" s="31" t="str">
        <f t="shared" si="44"/>
        <v/>
      </c>
      <c r="K49" s="8" t="str">
        <f t="shared" si="46"/>
        <v/>
      </c>
      <c r="L49" s="8" t="str">
        <f t="shared" si="24"/>
        <v/>
      </c>
      <c r="M49" s="9" t="str">
        <f t="shared" si="25"/>
        <v/>
      </c>
      <c r="N49" s="6"/>
      <c r="P49" s="10"/>
      <c r="Q49" s="8"/>
      <c r="R49" s="8" t="str">
        <f t="shared" si="26"/>
        <v/>
      </c>
      <c r="S49" s="8"/>
      <c r="T49" s="8" t="str">
        <f t="shared" si="27"/>
        <v/>
      </c>
      <c r="U49" s="8"/>
      <c r="V49" s="8" t="str">
        <f t="shared" si="28"/>
        <v/>
      </c>
      <c r="W49" s="8"/>
      <c r="X49" s="31" t="str">
        <f t="shared" si="41"/>
        <v/>
      </c>
      <c r="Y49" s="8" t="str">
        <f t="shared" si="42"/>
        <v/>
      </c>
      <c r="Z49" s="8" t="str">
        <f t="shared" si="29"/>
        <v/>
      </c>
      <c r="AA49" s="9" t="str">
        <f t="shared" si="30"/>
        <v/>
      </c>
      <c r="AB49" s="6"/>
      <c r="AD49" s="10"/>
      <c r="AE49" s="8"/>
      <c r="AF49" s="8" t="str">
        <f t="shared" si="31"/>
        <v/>
      </c>
      <c r="AG49" s="8"/>
      <c r="AH49" s="8" t="str">
        <f t="shared" si="32"/>
        <v/>
      </c>
      <c r="AI49" s="8"/>
      <c r="AJ49" s="8" t="str">
        <f t="shared" si="33"/>
        <v/>
      </c>
      <c r="AK49" s="8"/>
      <c r="AL49" s="31" t="str">
        <f t="shared" si="43"/>
        <v/>
      </c>
      <c r="AM49" s="8" t="str">
        <f t="shared" si="45"/>
        <v/>
      </c>
      <c r="AN49" s="8" t="str">
        <f t="shared" si="35"/>
        <v/>
      </c>
      <c r="AO49" s="9" t="str">
        <f t="shared" si="36"/>
        <v/>
      </c>
      <c r="AP49" s="6"/>
      <c r="AR49" s="10"/>
      <c r="AS49" s="8"/>
      <c r="AT49" s="8" t="str">
        <f t="shared" si="47"/>
        <v/>
      </c>
      <c r="AU49" s="8"/>
      <c r="AV49" s="8" t="str">
        <f t="shared" si="48"/>
        <v/>
      </c>
      <c r="AW49" s="8"/>
      <c r="AX49" s="8" t="str">
        <f t="shared" si="49"/>
        <v/>
      </c>
      <c r="AY49" s="8"/>
      <c r="AZ49" s="31"/>
      <c r="BA49" s="8"/>
      <c r="BB49" s="8" t="str">
        <f t="shared" si="50"/>
        <v/>
      </c>
      <c r="BC49" s="9" t="str">
        <f t="shared" si="51"/>
        <v/>
      </c>
      <c r="BD49" s="6"/>
      <c r="BF49" s="10"/>
      <c r="BG49" s="8"/>
      <c r="BH49" s="8" t="str">
        <f t="shared" si="52"/>
        <v/>
      </c>
      <c r="BI49" s="8"/>
      <c r="BJ49" s="8" t="str">
        <f t="shared" si="53"/>
        <v/>
      </c>
      <c r="BK49" s="8"/>
      <c r="BL49" s="8" t="str">
        <f t="shared" si="54"/>
        <v/>
      </c>
      <c r="BM49" s="8"/>
      <c r="BN49" s="8"/>
      <c r="BO49" s="8"/>
      <c r="BP49" s="8" t="str">
        <f t="shared" si="55"/>
        <v/>
      </c>
      <c r="BQ49" s="9" t="str">
        <f t="shared" si="56"/>
        <v/>
      </c>
      <c r="BR49" s="6"/>
      <c r="BT49" s="10"/>
      <c r="BU49" s="8"/>
      <c r="BV49" s="8" t="str">
        <f t="shared" si="57"/>
        <v/>
      </c>
      <c r="BW49" s="8"/>
      <c r="BX49" s="8" t="str">
        <f t="shared" si="58"/>
        <v/>
      </c>
      <c r="BY49" s="8"/>
      <c r="BZ49" s="8" t="str">
        <f t="shared" si="59"/>
        <v/>
      </c>
      <c r="CA49" s="8"/>
      <c r="CB49" s="8"/>
      <c r="CC49" s="8"/>
      <c r="CD49" s="8" t="str">
        <f t="shared" si="60"/>
        <v/>
      </c>
      <c r="CE49" s="9" t="str">
        <f t="shared" si="61"/>
        <v/>
      </c>
      <c r="CF49" s="6"/>
    </row>
    <row r="50" spans="1:84" ht="15" customHeight="1" thickBot="1" x14ac:dyDescent="0.25">
      <c r="A50" s="13"/>
      <c r="B50" s="13"/>
      <c r="C50" s="14"/>
      <c r="D50" s="14" t="str">
        <f t="shared" si="21"/>
        <v/>
      </c>
      <c r="E50" s="14"/>
      <c r="F50" s="14" t="str">
        <f t="shared" si="22"/>
        <v/>
      </c>
      <c r="G50" s="14"/>
      <c r="H50" s="14" t="str">
        <f t="shared" si="38"/>
        <v/>
      </c>
      <c r="I50" s="14"/>
      <c r="J50" s="32" t="str">
        <f t="shared" si="44"/>
        <v/>
      </c>
      <c r="K50" s="49" t="str">
        <f t="shared" si="46"/>
        <v/>
      </c>
      <c r="L50" s="14" t="str">
        <f t="shared" si="24"/>
        <v/>
      </c>
      <c r="M50" s="15" t="str">
        <f t="shared" si="25"/>
        <v/>
      </c>
      <c r="N50" s="6"/>
      <c r="P50" s="13"/>
      <c r="Q50" s="14"/>
      <c r="R50" s="14" t="str">
        <f t="shared" si="26"/>
        <v/>
      </c>
      <c r="S50" s="14"/>
      <c r="T50" s="14" t="str">
        <f t="shared" si="27"/>
        <v/>
      </c>
      <c r="U50" s="14"/>
      <c r="V50" s="14" t="str">
        <f t="shared" si="28"/>
        <v/>
      </c>
      <c r="W50" s="14"/>
      <c r="X50" s="32" t="str">
        <f t="shared" si="41"/>
        <v/>
      </c>
      <c r="Y50" s="49" t="str">
        <f t="shared" si="42"/>
        <v/>
      </c>
      <c r="Z50" s="14" t="str">
        <f t="shared" si="29"/>
        <v/>
      </c>
      <c r="AA50" s="15" t="str">
        <f t="shared" si="30"/>
        <v/>
      </c>
      <c r="AB50" s="6"/>
      <c r="AD50" s="13"/>
      <c r="AE50" s="14"/>
      <c r="AF50" s="14" t="str">
        <f t="shared" si="31"/>
        <v/>
      </c>
      <c r="AG50" s="14"/>
      <c r="AH50" s="14" t="str">
        <f t="shared" si="32"/>
        <v/>
      </c>
      <c r="AI50" s="14"/>
      <c r="AJ50" s="14" t="str">
        <f t="shared" si="33"/>
        <v/>
      </c>
      <c r="AK50" s="14"/>
      <c r="AL50" s="32" t="str">
        <f t="shared" si="43"/>
        <v/>
      </c>
      <c r="AM50" s="49" t="str">
        <f t="shared" si="45"/>
        <v/>
      </c>
      <c r="AN50" s="14" t="str">
        <f t="shared" si="35"/>
        <v/>
      </c>
      <c r="AO50" s="15" t="str">
        <f t="shared" si="36"/>
        <v/>
      </c>
      <c r="AP50" s="6"/>
      <c r="AR50" s="10"/>
      <c r="AS50" s="8"/>
      <c r="AT50" s="8" t="str">
        <f t="shared" si="47"/>
        <v/>
      </c>
      <c r="AU50" s="8"/>
      <c r="AV50" s="8" t="str">
        <f t="shared" si="48"/>
        <v/>
      </c>
      <c r="AW50" s="8"/>
      <c r="AX50" s="8" t="str">
        <f t="shared" si="49"/>
        <v/>
      </c>
      <c r="AY50" s="8"/>
      <c r="AZ50" s="31"/>
      <c r="BA50" s="8"/>
      <c r="BB50" s="8" t="str">
        <f t="shared" si="50"/>
        <v/>
      </c>
      <c r="BC50" s="9" t="str">
        <f t="shared" si="51"/>
        <v/>
      </c>
      <c r="BD50" s="6"/>
      <c r="BF50" s="10"/>
      <c r="BG50" s="8"/>
      <c r="BH50" s="8" t="str">
        <f t="shared" si="52"/>
        <v/>
      </c>
      <c r="BI50" s="8"/>
      <c r="BJ50" s="8" t="str">
        <f t="shared" si="53"/>
        <v/>
      </c>
      <c r="BK50" s="8"/>
      <c r="BL50" s="8" t="str">
        <f t="shared" si="54"/>
        <v/>
      </c>
      <c r="BM50" s="8"/>
      <c r="BN50" s="8"/>
      <c r="BO50" s="8"/>
      <c r="BP50" s="8" t="str">
        <f t="shared" si="55"/>
        <v/>
      </c>
      <c r="BQ50" s="9" t="str">
        <f t="shared" si="56"/>
        <v/>
      </c>
      <c r="BR50" s="6"/>
      <c r="BT50" s="10"/>
      <c r="BU50" s="8"/>
      <c r="BV50" s="8" t="str">
        <f t="shared" si="57"/>
        <v/>
      </c>
      <c r="BW50" s="8"/>
      <c r="BX50" s="8" t="str">
        <f t="shared" si="58"/>
        <v/>
      </c>
      <c r="BY50" s="8"/>
      <c r="BZ50" s="8" t="str">
        <f t="shared" si="59"/>
        <v/>
      </c>
      <c r="CA50" s="8"/>
      <c r="CB50" s="8"/>
      <c r="CC50" s="8"/>
      <c r="CD50" s="8" t="str">
        <f t="shared" si="60"/>
        <v/>
      </c>
      <c r="CE50" s="9" t="str">
        <f t="shared" si="61"/>
        <v/>
      </c>
      <c r="CF50" s="6"/>
    </row>
    <row r="51" spans="1:84" ht="15" customHeight="1" thickTop="1" x14ac:dyDescent="0.2">
      <c r="A51" s="43"/>
      <c r="B51" s="5" t="str">
        <f>IF(A51="","",SUM(D51:D54)+SUM(R51:R54)+BH15+AT15+SUM(AF51:AF54))</f>
        <v/>
      </c>
      <c r="C51" s="37"/>
      <c r="D51" s="37" t="str">
        <f t="shared" si="21"/>
        <v/>
      </c>
      <c r="E51" s="37"/>
      <c r="F51" s="16" t="str">
        <f t="shared" si="22"/>
        <v/>
      </c>
      <c r="G51" s="37"/>
      <c r="H51" s="37" t="str">
        <f t="shared" si="38"/>
        <v/>
      </c>
      <c r="I51" s="37"/>
      <c r="J51" s="44" t="str">
        <f t="shared" si="44"/>
        <v/>
      </c>
      <c r="K51" s="45" t="str">
        <f t="shared" si="46"/>
        <v/>
      </c>
      <c r="L51" s="16" t="str">
        <f t="shared" si="24"/>
        <v/>
      </c>
      <c r="M51" s="17" t="str">
        <f t="shared" si="25"/>
        <v/>
      </c>
      <c r="N51" s="6"/>
      <c r="P51" s="43" t="str">
        <f>IF(A51="","",A51)</f>
        <v/>
      </c>
      <c r="Q51" s="37"/>
      <c r="R51" s="37" t="str">
        <f t="shared" si="26"/>
        <v/>
      </c>
      <c r="S51" s="37"/>
      <c r="T51" s="16" t="str">
        <f t="shared" si="27"/>
        <v/>
      </c>
      <c r="U51" s="37"/>
      <c r="V51" s="37" t="str">
        <f t="shared" si="28"/>
        <v/>
      </c>
      <c r="W51" s="37"/>
      <c r="X51" s="44" t="str">
        <f t="shared" si="41"/>
        <v/>
      </c>
      <c r="Y51" s="45" t="str">
        <f t="shared" si="42"/>
        <v/>
      </c>
      <c r="Z51" s="16" t="str">
        <f t="shared" si="29"/>
        <v/>
      </c>
      <c r="AA51" s="17" t="str">
        <f t="shared" si="30"/>
        <v/>
      </c>
      <c r="AB51" s="6"/>
      <c r="AD51" s="43" t="str">
        <f>IF(A51="","",A51)</f>
        <v/>
      </c>
      <c r="AE51" s="37"/>
      <c r="AF51" s="37" t="str">
        <f t="shared" si="31"/>
        <v/>
      </c>
      <c r="AG51" s="37"/>
      <c r="AH51" s="16" t="str">
        <f t="shared" si="32"/>
        <v/>
      </c>
      <c r="AI51" s="37"/>
      <c r="AJ51" s="37" t="str">
        <f t="shared" si="33"/>
        <v/>
      </c>
      <c r="AK51" s="37"/>
      <c r="AL51" s="44" t="str">
        <f t="shared" si="43"/>
        <v/>
      </c>
      <c r="AM51" s="45" t="str">
        <f t="shared" si="45"/>
        <v/>
      </c>
      <c r="AN51" s="16" t="str">
        <f t="shared" si="35"/>
        <v/>
      </c>
      <c r="AO51" s="17" t="str">
        <f t="shared" si="36"/>
        <v/>
      </c>
      <c r="AP51" s="6"/>
      <c r="AR51" s="10"/>
      <c r="AS51" s="8"/>
      <c r="AT51" s="8" t="str">
        <f t="shared" si="47"/>
        <v/>
      </c>
      <c r="AU51" s="8"/>
      <c r="AV51" s="8" t="str">
        <f t="shared" si="48"/>
        <v/>
      </c>
      <c r="AW51" s="8"/>
      <c r="AX51" s="8" t="str">
        <f t="shared" si="49"/>
        <v/>
      </c>
      <c r="AY51" s="8"/>
      <c r="AZ51" s="31"/>
      <c r="BA51" s="8"/>
      <c r="BB51" s="8" t="str">
        <f t="shared" si="50"/>
        <v/>
      </c>
      <c r="BC51" s="9" t="str">
        <f t="shared" si="51"/>
        <v/>
      </c>
      <c r="BD51" s="6"/>
      <c r="BF51" s="10"/>
      <c r="BG51" s="8"/>
      <c r="BH51" s="8" t="str">
        <f t="shared" si="52"/>
        <v/>
      </c>
      <c r="BI51" s="8"/>
      <c r="BJ51" s="8" t="str">
        <f t="shared" si="53"/>
        <v/>
      </c>
      <c r="BK51" s="8"/>
      <c r="BL51" s="8" t="str">
        <f t="shared" si="54"/>
        <v/>
      </c>
      <c r="BM51" s="8"/>
      <c r="BN51" s="8"/>
      <c r="BO51" s="8"/>
      <c r="BP51" s="8" t="str">
        <f t="shared" si="55"/>
        <v/>
      </c>
      <c r="BQ51" s="9" t="str">
        <f t="shared" si="56"/>
        <v/>
      </c>
      <c r="BR51" s="6"/>
      <c r="BT51" s="10"/>
      <c r="BU51" s="8"/>
      <c r="BV51" s="8" t="str">
        <f t="shared" si="57"/>
        <v/>
      </c>
      <c r="BW51" s="8"/>
      <c r="BX51" s="8" t="str">
        <f t="shared" si="58"/>
        <v/>
      </c>
      <c r="BY51" s="8"/>
      <c r="BZ51" s="8" t="str">
        <f t="shared" si="59"/>
        <v/>
      </c>
      <c r="CA51" s="8"/>
      <c r="CB51" s="8"/>
      <c r="CC51" s="8"/>
      <c r="CD51" s="8" t="str">
        <f t="shared" si="60"/>
        <v/>
      </c>
      <c r="CE51" s="9" t="str">
        <f t="shared" si="61"/>
        <v/>
      </c>
      <c r="CF51" s="6"/>
    </row>
    <row r="52" spans="1:84" ht="15" customHeight="1" x14ac:dyDescent="0.2">
      <c r="A52" s="10"/>
      <c r="B52" s="10"/>
      <c r="C52" s="8"/>
      <c r="D52" s="8" t="str">
        <f t="shared" si="21"/>
        <v/>
      </c>
      <c r="E52" s="8"/>
      <c r="F52" s="8" t="str">
        <f t="shared" si="22"/>
        <v/>
      </c>
      <c r="G52" s="8"/>
      <c r="H52" s="8" t="str">
        <f t="shared" si="38"/>
        <v/>
      </c>
      <c r="I52" s="8"/>
      <c r="J52" s="31" t="str">
        <f t="shared" si="44"/>
        <v/>
      </c>
      <c r="K52" s="48" t="str">
        <f t="shared" si="46"/>
        <v/>
      </c>
      <c r="L52" s="8" t="str">
        <f t="shared" si="24"/>
        <v/>
      </c>
      <c r="M52" s="9" t="str">
        <f t="shared" si="25"/>
        <v/>
      </c>
      <c r="N52" s="6"/>
      <c r="P52" s="10"/>
      <c r="Q52" s="8"/>
      <c r="R52" s="8" t="str">
        <f t="shared" si="26"/>
        <v/>
      </c>
      <c r="S52" s="8"/>
      <c r="T52" s="8" t="str">
        <f t="shared" si="27"/>
        <v/>
      </c>
      <c r="U52" s="8"/>
      <c r="V52" s="8" t="str">
        <f t="shared" si="28"/>
        <v/>
      </c>
      <c r="W52" s="8"/>
      <c r="X52" s="31" t="str">
        <f t="shared" si="41"/>
        <v/>
      </c>
      <c r="Y52" s="48" t="str">
        <f t="shared" si="42"/>
        <v/>
      </c>
      <c r="Z52" s="8" t="str">
        <f t="shared" si="29"/>
        <v/>
      </c>
      <c r="AA52" s="9" t="str">
        <f t="shared" si="30"/>
        <v/>
      </c>
      <c r="AB52" s="6"/>
      <c r="AD52" s="10"/>
      <c r="AE52" s="8"/>
      <c r="AF52" s="8" t="str">
        <f t="shared" si="31"/>
        <v/>
      </c>
      <c r="AG52" s="8"/>
      <c r="AH52" s="8" t="str">
        <f t="shared" si="32"/>
        <v/>
      </c>
      <c r="AI52" s="8"/>
      <c r="AJ52" s="8" t="str">
        <f t="shared" si="33"/>
        <v/>
      </c>
      <c r="AK52" s="8"/>
      <c r="AL52" s="31" t="str">
        <f t="shared" si="43"/>
        <v/>
      </c>
      <c r="AM52" s="48" t="str">
        <f t="shared" si="45"/>
        <v/>
      </c>
      <c r="AN52" s="8" t="str">
        <f t="shared" si="35"/>
        <v/>
      </c>
      <c r="AO52" s="9" t="str">
        <f t="shared" si="36"/>
        <v/>
      </c>
      <c r="AP52" s="6"/>
      <c r="AR52" s="10"/>
      <c r="AS52" s="8"/>
      <c r="AT52" s="8" t="str">
        <f t="shared" si="47"/>
        <v/>
      </c>
      <c r="AU52" s="8"/>
      <c r="AV52" s="8" t="str">
        <f t="shared" si="48"/>
        <v/>
      </c>
      <c r="AW52" s="8"/>
      <c r="AX52" s="8" t="str">
        <f t="shared" si="49"/>
        <v/>
      </c>
      <c r="AY52" s="8"/>
      <c r="AZ52" s="31"/>
      <c r="BA52" s="8"/>
      <c r="BB52" s="8" t="str">
        <f t="shared" si="50"/>
        <v/>
      </c>
      <c r="BC52" s="9" t="str">
        <f t="shared" si="51"/>
        <v/>
      </c>
      <c r="BD52" s="6"/>
      <c r="BF52" s="10"/>
      <c r="BG52" s="8"/>
      <c r="BH52" s="8" t="str">
        <f t="shared" si="52"/>
        <v/>
      </c>
      <c r="BI52" s="8"/>
      <c r="BJ52" s="8" t="str">
        <f t="shared" si="53"/>
        <v/>
      </c>
      <c r="BK52" s="8"/>
      <c r="BL52" s="8" t="str">
        <f t="shared" si="54"/>
        <v/>
      </c>
      <c r="BM52" s="8"/>
      <c r="BN52" s="8"/>
      <c r="BO52" s="8"/>
      <c r="BP52" s="8" t="str">
        <f t="shared" si="55"/>
        <v/>
      </c>
      <c r="BQ52" s="9" t="str">
        <f t="shared" si="56"/>
        <v/>
      </c>
      <c r="BR52" s="6"/>
      <c r="BT52" s="10"/>
      <c r="BU52" s="8"/>
      <c r="BV52" s="8" t="str">
        <f t="shared" si="57"/>
        <v/>
      </c>
      <c r="BW52" s="8"/>
      <c r="BX52" s="8" t="str">
        <f t="shared" si="58"/>
        <v/>
      </c>
      <c r="BY52" s="8"/>
      <c r="BZ52" s="8" t="str">
        <f t="shared" si="59"/>
        <v/>
      </c>
      <c r="CA52" s="8"/>
      <c r="CB52" s="8"/>
      <c r="CC52" s="8"/>
      <c r="CD52" s="8" t="str">
        <f t="shared" si="60"/>
        <v/>
      </c>
      <c r="CE52" s="9" t="str">
        <f t="shared" si="61"/>
        <v/>
      </c>
      <c r="CF52" s="6"/>
    </row>
    <row r="53" spans="1:84" ht="15" customHeight="1" x14ac:dyDescent="0.2">
      <c r="A53" s="10"/>
      <c r="B53" s="10"/>
      <c r="C53" s="8"/>
      <c r="D53" s="8" t="str">
        <f t="shared" si="21"/>
        <v/>
      </c>
      <c r="E53" s="8"/>
      <c r="F53" s="8" t="str">
        <f t="shared" si="22"/>
        <v/>
      </c>
      <c r="G53" s="8"/>
      <c r="H53" s="8" t="str">
        <f t="shared" si="38"/>
        <v/>
      </c>
      <c r="I53" s="8"/>
      <c r="J53" s="31" t="str">
        <f t="shared" si="44"/>
        <v/>
      </c>
      <c r="K53" s="8" t="str">
        <f t="shared" si="46"/>
        <v/>
      </c>
      <c r="L53" s="8" t="str">
        <f t="shared" si="24"/>
        <v/>
      </c>
      <c r="M53" s="9" t="str">
        <f t="shared" si="25"/>
        <v/>
      </c>
      <c r="N53" s="6"/>
      <c r="P53" s="10"/>
      <c r="Q53" s="8"/>
      <c r="R53" s="8" t="str">
        <f t="shared" si="26"/>
        <v/>
      </c>
      <c r="S53" s="8"/>
      <c r="T53" s="8" t="str">
        <f t="shared" si="27"/>
        <v/>
      </c>
      <c r="U53" s="8"/>
      <c r="V53" s="8" t="str">
        <f t="shared" si="28"/>
        <v/>
      </c>
      <c r="W53" s="8"/>
      <c r="X53" s="31" t="str">
        <f t="shared" si="41"/>
        <v/>
      </c>
      <c r="Y53" s="8" t="str">
        <f t="shared" si="42"/>
        <v/>
      </c>
      <c r="Z53" s="8" t="str">
        <f t="shared" si="29"/>
        <v/>
      </c>
      <c r="AA53" s="9" t="str">
        <f t="shared" si="30"/>
        <v/>
      </c>
      <c r="AB53" s="6"/>
      <c r="AD53" s="10"/>
      <c r="AE53" s="8"/>
      <c r="AF53" s="8" t="str">
        <f t="shared" si="31"/>
        <v/>
      </c>
      <c r="AG53" s="8"/>
      <c r="AH53" s="8" t="str">
        <f t="shared" si="32"/>
        <v/>
      </c>
      <c r="AI53" s="8"/>
      <c r="AJ53" s="8" t="str">
        <f t="shared" si="33"/>
        <v/>
      </c>
      <c r="AK53" s="8"/>
      <c r="AL53" s="31" t="str">
        <f t="shared" si="43"/>
        <v/>
      </c>
      <c r="AM53" s="8" t="str">
        <f t="shared" si="45"/>
        <v/>
      </c>
      <c r="AN53" s="8" t="str">
        <f t="shared" si="35"/>
        <v/>
      </c>
      <c r="AO53" s="9" t="str">
        <f t="shared" si="36"/>
        <v/>
      </c>
      <c r="AP53" s="6"/>
      <c r="AR53" s="10"/>
      <c r="AS53" s="8"/>
      <c r="AT53" s="8" t="str">
        <f t="shared" si="47"/>
        <v/>
      </c>
      <c r="AU53" s="8"/>
      <c r="AV53" s="8" t="str">
        <f t="shared" si="48"/>
        <v/>
      </c>
      <c r="AW53" s="8"/>
      <c r="AX53" s="8" t="str">
        <f t="shared" si="49"/>
        <v/>
      </c>
      <c r="AY53" s="8"/>
      <c r="AZ53" s="31"/>
      <c r="BA53" s="8"/>
      <c r="BB53" s="8" t="str">
        <f t="shared" si="50"/>
        <v/>
      </c>
      <c r="BC53" s="9" t="str">
        <f t="shared" si="51"/>
        <v/>
      </c>
      <c r="BD53" s="6"/>
      <c r="BF53" s="10"/>
      <c r="BG53" s="8"/>
      <c r="BH53" s="8" t="str">
        <f t="shared" si="52"/>
        <v/>
      </c>
      <c r="BI53" s="8"/>
      <c r="BJ53" s="8" t="str">
        <f t="shared" si="53"/>
        <v/>
      </c>
      <c r="BK53" s="8"/>
      <c r="BL53" s="8" t="str">
        <f t="shared" si="54"/>
        <v/>
      </c>
      <c r="BM53" s="8"/>
      <c r="BN53" s="8"/>
      <c r="BO53" s="8"/>
      <c r="BP53" s="8" t="str">
        <f t="shared" si="55"/>
        <v/>
      </c>
      <c r="BQ53" s="9" t="str">
        <f t="shared" si="56"/>
        <v/>
      </c>
      <c r="BR53" s="6"/>
      <c r="BT53" s="10"/>
      <c r="BU53" s="8"/>
      <c r="BV53" s="8" t="str">
        <f t="shared" si="57"/>
        <v/>
      </c>
      <c r="BW53" s="8"/>
      <c r="BX53" s="8" t="str">
        <f t="shared" si="58"/>
        <v/>
      </c>
      <c r="BY53" s="8"/>
      <c r="BZ53" s="8" t="str">
        <f t="shared" si="59"/>
        <v/>
      </c>
      <c r="CA53" s="8"/>
      <c r="CB53" s="8"/>
      <c r="CC53" s="8"/>
      <c r="CD53" s="8" t="str">
        <f t="shared" si="60"/>
        <v/>
      </c>
      <c r="CE53" s="9" t="str">
        <f t="shared" si="61"/>
        <v/>
      </c>
      <c r="CF53" s="6"/>
    </row>
    <row r="54" spans="1:84" ht="15" customHeight="1" thickBot="1" x14ac:dyDescent="0.25">
      <c r="A54" s="13"/>
      <c r="B54" s="13"/>
      <c r="C54" s="14"/>
      <c r="D54" s="14" t="str">
        <f t="shared" si="21"/>
        <v/>
      </c>
      <c r="E54" s="14"/>
      <c r="F54" s="14" t="str">
        <f t="shared" si="22"/>
        <v/>
      </c>
      <c r="G54" s="14"/>
      <c r="H54" s="14" t="str">
        <f t="shared" si="38"/>
        <v/>
      </c>
      <c r="I54" s="14"/>
      <c r="J54" s="32" t="str">
        <f t="shared" si="44"/>
        <v/>
      </c>
      <c r="K54" s="49" t="str">
        <f t="shared" si="46"/>
        <v/>
      </c>
      <c r="L54" s="14" t="str">
        <f t="shared" si="24"/>
        <v/>
      </c>
      <c r="M54" s="15" t="str">
        <f t="shared" si="25"/>
        <v/>
      </c>
      <c r="N54" s="6"/>
      <c r="P54" s="13"/>
      <c r="Q54" s="14"/>
      <c r="R54" s="14" t="str">
        <f t="shared" si="26"/>
        <v/>
      </c>
      <c r="S54" s="14"/>
      <c r="T54" s="14" t="str">
        <f t="shared" si="27"/>
        <v/>
      </c>
      <c r="U54" s="14"/>
      <c r="V54" s="14" t="str">
        <f t="shared" si="28"/>
        <v/>
      </c>
      <c r="W54" s="14"/>
      <c r="X54" s="32" t="str">
        <f t="shared" si="41"/>
        <v/>
      </c>
      <c r="Y54" s="49" t="str">
        <f t="shared" si="42"/>
        <v/>
      </c>
      <c r="Z54" s="14" t="str">
        <f t="shared" si="29"/>
        <v/>
      </c>
      <c r="AA54" s="15" t="str">
        <f t="shared" si="30"/>
        <v/>
      </c>
      <c r="AB54" s="6"/>
      <c r="AD54" s="13"/>
      <c r="AE54" s="14"/>
      <c r="AF54" s="14" t="str">
        <f t="shared" si="31"/>
        <v/>
      </c>
      <c r="AG54" s="14"/>
      <c r="AH54" s="14" t="str">
        <f t="shared" si="32"/>
        <v/>
      </c>
      <c r="AI54" s="14"/>
      <c r="AJ54" s="14" t="str">
        <f t="shared" si="33"/>
        <v/>
      </c>
      <c r="AK54" s="14"/>
      <c r="AL54" s="32" t="str">
        <f t="shared" si="43"/>
        <v/>
      </c>
      <c r="AM54" s="49" t="str">
        <f t="shared" si="45"/>
        <v/>
      </c>
      <c r="AN54" s="14" t="str">
        <f t="shared" si="35"/>
        <v/>
      </c>
      <c r="AO54" s="15" t="str">
        <f t="shared" si="36"/>
        <v/>
      </c>
      <c r="AP54" s="6"/>
      <c r="AR54" s="10"/>
      <c r="AS54" s="8"/>
      <c r="AT54" s="8" t="str">
        <f t="shared" si="47"/>
        <v/>
      </c>
      <c r="AU54" s="8"/>
      <c r="AV54" s="8" t="str">
        <f t="shared" si="48"/>
        <v/>
      </c>
      <c r="AW54" s="8"/>
      <c r="AX54" s="8" t="str">
        <f t="shared" si="49"/>
        <v/>
      </c>
      <c r="AY54" s="8"/>
      <c r="AZ54" s="31"/>
      <c r="BA54" s="8"/>
      <c r="BB54" s="8" t="str">
        <f t="shared" si="50"/>
        <v/>
      </c>
      <c r="BC54" s="9" t="str">
        <f t="shared" si="51"/>
        <v/>
      </c>
      <c r="BD54" s="6"/>
      <c r="BF54" s="10"/>
      <c r="BG54" s="8"/>
      <c r="BH54" s="8" t="str">
        <f t="shared" si="52"/>
        <v/>
      </c>
      <c r="BI54" s="8"/>
      <c r="BJ54" s="8" t="str">
        <f t="shared" si="53"/>
        <v/>
      </c>
      <c r="BK54" s="8"/>
      <c r="BL54" s="8" t="str">
        <f t="shared" si="54"/>
        <v/>
      </c>
      <c r="BM54" s="8"/>
      <c r="BN54" s="8"/>
      <c r="BO54" s="8"/>
      <c r="BP54" s="8" t="str">
        <f t="shared" si="55"/>
        <v/>
      </c>
      <c r="BQ54" s="9" t="str">
        <f t="shared" si="56"/>
        <v/>
      </c>
      <c r="BR54" s="6"/>
      <c r="BT54" s="10"/>
      <c r="BU54" s="8"/>
      <c r="BV54" s="8" t="str">
        <f t="shared" si="57"/>
        <v/>
      </c>
      <c r="BW54" s="8"/>
      <c r="BX54" s="8" t="str">
        <f t="shared" si="58"/>
        <v/>
      </c>
      <c r="BY54" s="8"/>
      <c r="BZ54" s="8" t="str">
        <f t="shared" si="59"/>
        <v/>
      </c>
      <c r="CA54" s="8"/>
      <c r="CB54" s="8"/>
      <c r="CC54" s="8"/>
      <c r="CD54" s="8" t="str">
        <f t="shared" si="60"/>
        <v/>
      </c>
      <c r="CE54" s="9" t="str">
        <f t="shared" si="61"/>
        <v/>
      </c>
      <c r="CF54" s="6"/>
    </row>
    <row r="55" spans="1:84" ht="15" customHeight="1" thickTop="1" x14ac:dyDescent="0.2">
      <c r="A55" s="43"/>
      <c r="B55" s="43"/>
      <c r="C55" s="37"/>
      <c r="D55" s="37"/>
      <c r="E55" s="37"/>
      <c r="F55" s="37"/>
      <c r="G55" s="37"/>
      <c r="H55" s="37"/>
      <c r="I55" s="37"/>
      <c r="J55" s="44"/>
      <c r="K55" s="37"/>
      <c r="L55" s="37"/>
      <c r="M55" s="37"/>
      <c r="N55" s="6"/>
      <c r="P55" s="43"/>
      <c r="Q55" s="37"/>
      <c r="R55" s="37"/>
      <c r="S55" s="37"/>
      <c r="T55" s="37"/>
      <c r="U55" s="37"/>
      <c r="V55" s="37"/>
      <c r="W55" s="37"/>
      <c r="X55" s="44"/>
      <c r="Y55" s="37"/>
      <c r="Z55" s="37"/>
      <c r="AA55" s="37"/>
      <c r="AB55" s="68"/>
      <c r="AD55" s="43"/>
      <c r="AE55" s="37"/>
      <c r="AF55" s="37"/>
      <c r="AG55" s="37"/>
      <c r="AH55" s="37"/>
      <c r="AI55" s="37"/>
      <c r="AJ55" s="37"/>
      <c r="AK55" s="37"/>
      <c r="AL55" s="44"/>
      <c r="AM55" s="37"/>
      <c r="AN55" s="37"/>
      <c r="AO55" s="37"/>
      <c r="AP55" s="6"/>
      <c r="AR55" s="10"/>
      <c r="AS55" s="8"/>
      <c r="AT55" s="8"/>
      <c r="AU55" s="8"/>
      <c r="AV55" s="8" t="str">
        <f t="shared" si="48"/>
        <v/>
      </c>
      <c r="AW55" s="8"/>
      <c r="AX55" s="8" t="str">
        <f t="shared" si="49"/>
        <v/>
      </c>
      <c r="AY55" s="8"/>
      <c r="AZ55" s="31"/>
      <c r="BA55" s="8"/>
      <c r="BB55" s="8" t="str">
        <f t="shared" si="50"/>
        <v/>
      </c>
      <c r="BC55" s="9" t="str">
        <f t="shared" si="51"/>
        <v/>
      </c>
      <c r="BD55" s="6"/>
      <c r="BF55" s="10"/>
      <c r="BG55" s="8"/>
      <c r="BH55" s="8"/>
      <c r="BI55" s="8"/>
      <c r="BJ55" s="8" t="str">
        <f t="shared" si="53"/>
        <v/>
      </c>
      <c r="BK55" s="8"/>
      <c r="BL55" s="8" t="str">
        <f t="shared" si="54"/>
        <v/>
      </c>
      <c r="BM55" s="8"/>
      <c r="BN55" s="8"/>
      <c r="BO55" s="8"/>
      <c r="BP55" s="8" t="str">
        <f t="shared" si="55"/>
        <v/>
      </c>
      <c r="BQ55" s="9" t="str">
        <f t="shared" si="56"/>
        <v/>
      </c>
      <c r="BR55" s="6"/>
      <c r="BT55" s="10"/>
      <c r="BU55" s="8"/>
      <c r="BV55" s="8"/>
      <c r="BW55" s="8"/>
      <c r="BX55" s="8" t="str">
        <f t="shared" si="58"/>
        <v/>
      </c>
      <c r="BY55" s="8"/>
      <c r="BZ55" s="8" t="str">
        <f t="shared" si="59"/>
        <v/>
      </c>
      <c r="CA55" s="8"/>
      <c r="CB55" s="8"/>
      <c r="CC55" s="8"/>
      <c r="CD55" s="8" t="str">
        <f t="shared" si="60"/>
        <v/>
      </c>
      <c r="CE55" s="9" t="str">
        <f t="shared" si="61"/>
        <v/>
      </c>
      <c r="CF55" s="6"/>
    </row>
    <row r="56" spans="1:84" ht="15" customHeight="1" x14ac:dyDescent="0.2">
      <c r="A56" s="43"/>
      <c r="B56" s="43"/>
      <c r="C56" s="37"/>
      <c r="D56" s="37"/>
      <c r="E56" s="37"/>
      <c r="F56" s="37"/>
      <c r="G56" s="37"/>
      <c r="H56" s="37"/>
      <c r="I56" s="37"/>
      <c r="J56" s="44"/>
      <c r="K56" s="37"/>
      <c r="L56" s="37"/>
      <c r="M56" s="37"/>
      <c r="N56" s="6"/>
      <c r="P56" s="43"/>
      <c r="Q56" s="37"/>
      <c r="R56" s="37"/>
      <c r="S56" s="37"/>
      <c r="T56" s="37"/>
      <c r="U56" s="37"/>
      <c r="V56" s="37"/>
      <c r="W56" s="37"/>
      <c r="X56" s="44"/>
      <c r="Y56" s="37"/>
      <c r="Z56" s="37"/>
      <c r="AA56" s="37"/>
      <c r="AB56" s="68"/>
      <c r="AD56" s="43"/>
      <c r="AE56" s="37"/>
      <c r="AF56" s="37"/>
      <c r="AG56" s="37"/>
      <c r="AH56" s="37"/>
      <c r="AI56" s="37"/>
      <c r="AJ56" s="37"/>
      <c r="AK56" s="37"/>
      <c r="AL56" s="44"/>
      <c r="AM56" s="37"/>
      <c r="AN56" s="37"/>
      <c r="AO56" s="37"/>
      <c r="AP56" s="6"/>
      <c r="AR56" s="10"/>
      <c r="AS56" s="8"/>
      <c r="AT56" s="8"/>
      <c r="AU56" s="8"/>
      <c r="AV56" s="8"/>
      <c r="AW56" s="8"/>
      <c r="AX56" s="8"/>
      <c r="AY56" s="8"/>
      <c r="AZ56" s="31"/>
      <c r="BA56" s="8"/>
      <c r="BB56" s="8"/>
      <c r="BC56" s="9"/>
      <c r="BD56" s="6"/>
      <c r="BF56" s="10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9"/>
      <c r="BR56" s="6"/>
      <c r="BT56" s="10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9"/>
      <c r="CF56" s="6"/>
    </row>
    <row r="57" spans="1:84" ht="15" customHeight="1" x14ac:dyDescent="0.2">
      <c r="A57" s="43"/>
      <c r="B57" s="43"/>
      <c r="C57" s="37"/>
      <c r="D57" s="37"/>
      <c r="E57" s="37"/>
      <c r="F57" s="37"/>
      <c r="G57" s="37"/>
      <c r="H57" s="37"/>
      <c r="I57" s="37"/>
      <c r="J57" s="44"/>
      <c r="K57" s="37"/>
      <c r="L57" s="37"/>
      <c r="M57" s="37"/>
      <c r="N57" s="6"/>
      <c r="P57" s="43"/>
      <c r="Q57" s="37"/>
      <c r="R57" s="37"/>
      <c r="S57" s="37"/>
      <c r="T57" s="37"/>
      <c r="U57" s="37"/>
      <c r="V57" s="37"/>
      <c r="W57" s="37"/>
      <c r="X57" s="44"/>
      <c r="Y57" s="37"/>
      <c r="Z57" s="37"/>
      <c r="AA57" s="37"/>
      <c r="AB57" s="68"/>
      <c r="AD57" s="43"/>
      <c r="AE57" s="37"/>
      <c r="AF57" s="37"/>
      <c r="AG57" s="37"/>
      <c r="AH57" s="37"/>
      <c r="AI57" s="37"/>
      <c r="AJ57" s="37"/>
      <c r="AK57" s="37"/>
      <c r="AL57" s="44"/>
      <c r="AM57" s="37"/>
      <c r="AN57" s="37"/>
      <c r="AO57" s="37"/>
      <c r="AP57" s="6"/>
      <c r="AR57" s="10"/>
      <c r="AS57" s="8"/>
      <c r="AT57" s="8"/>
      <c r="AU57" s="8"/>
      <c r="AV57" s="8"/>
      <c r="AW57" s="8"/>
      <c r="AX57" s="8"/>
      <c r="AY57" s="8"/>
      <c r="AZ57" s="31"/>
      <c r="BA57" s="8"/>
      <c r="BB57" s="8"/>
      <c r="BC57" s="9"/>
      <c r="BD57" s="6"/>
      <c r="BF57" s="10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9"/>
      <c r="BR57" s="6"/>
      <c r="BT57" s="10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9"/>
      <c r="CF57" s="6"/>
    </row>
    <row r="58" spans="1:84" ht="15" customHeight="1" x14ac:dyDescent="0.2">
      <c r="A58" s="62">
        <v>30</v>
      </c>
      <c r="B58" s="43"/>
      <c r="C58" s="37"/>
      <c r="D58" s="37"/>
      <c r="E58" s="37"/>
      <c r="F58" s="37"/>
      <c r="G58" s="37"/>
      <c r="H58" s="37"/>
      <c r="I58" s="37"/>
      <c r="J58" s="111" t="s">
        <v>31</v>
      </c>
      <c r="K58" s="108"/>
      <c r="L58" s="37">
        <f>(G31+I31)*K31+(G32+I32)*K32+(G33+I33)*K33+(G34+I34)*K34</f>
        <v>35046</v>
      </c>
      <c r="M58" s="37"/>
      <c r="N58" s="8"/>
      <c r="P58" s="43"/>
      <c r="Q58" s="37"/>
      <c r="R58" s="37"/>
      <c r="S58" s="37"/>
      <c r="T58" s="37"/>
      <c r="U58" s="37"/>
      <c r="V58" s="37"/>
      <c r="W58" s="37"/>
      <c r="X58" s="111" t="s">
        <v>31</v>
      </c>
      <c r="Y58" s="108"/>
      <c r="Z58" s="37" t="e">
        <f>(U31+W31)*Y31+(U32+W32)*Y32+(U33+W33)*Y33+(U34+W34)*Y34</f>
        <v>#VALUE!</v>
      </c>
      <c r="AA58" s="37"/>
      <c r="AB58" s="66"/>
      <c r="AD58" s="43"/>
      <c r="AE58" s="37"/>
      <c r="AF58" s="37"/>
      <c r="AG58" s="37"/>
      <c r="AH58" s="37"/>
      <c r="AI58" s="37"/>
      <c r="AJ58" s="37"/>
      <c r="AK58" s="37"/>
      <c r="AL58" s="111" t="s">
        <v>31</v>
      </c>
      <c r="AM58" s="108"/>
      <c r="AN58" s="37" t="e">
        <f>(AI31+AK31)*AM31+(AI32+AK32)*AM32+(AI33+AK33)*AM33+(AI34+AK34)*AM34</f>
        <v>#VALUE!</v>
      </c>
      <c r="AO58" s="37"/>
      <c r="AP58" s="8"/>
      <c r="AR58" s="10"/>
      <c r="AS58" s="8"/>
      <c r="AT58" s="8"/>
      <c r="AU58" s="8"/>
      <c r="AV58" s="8"/>
      <c r="AW58" s="8"/>
      <c r="AX58" s="8"/>
      <c r="AY58" s="8"/>
      <c r="AZ58" s="31"/>
      <c r="BA58" s="8"/>
      <c r="BB58" s="8"/>
      <c r="BC58" s="9"/>
      <c r="BD58" s="8"/>
      <c r="BF58" s="10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9"/>
      <c r="BR58" s="8"/>
      <c r="BT58" s="10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9"/>
      <c r="CF58" s="8"/>
    </row>
    <row r="59" spans="1:84" ht="15" customHeight="1" x14ac:dyDescent="0.2">
      <c r="A59" s="22"/>
      <c r="B59" s="84">
        <f>SUMIF(B3:B55,"&gt;=0")</f>
        <v>2762</v>
      </c>
      <c r="C59" s="3" t="s">
        <v>32</v>
      </c>
      <c r="D59" s="8">
        <f>SUM(D3:D55)*100</f>
        <v>185800</v>
      </c>
      <c r="E59" s="8"/>
      <c r="F59" s="8">
        <f>SUM(F3:F55)</f>
        <v>48</v>
      </c>
      <c r="G59" s="3" t="s">
        <v>33</v>
      </c>
      <c r="H59" s="8">
        <f>SUM(H3:H55)</f>
        <v>40</v>
      </c>
      <c r="I59" s="8"/>
      <c r="J59" s="109" t="s">
        <v>34</v>
      </c>
      <c r="K59" s="108"/>
      <c r="L59" s="8">
        <f>SUM(L3:L55)</f>
        <v>17798</v>
      </c>
      <c r="M59" s="8"/>
      <c r="N59" s="6"/>
      <c r="P59" s="10"/>
      <c r="Q59" s="3" t="s">
        <v>32</v>
      </c>
      <c r="R59" s="8">
        <f>SUM(R3:R55)*100</f>
        <v>0</v>
      </c>
      <c r="S59" s="8"/>
      <c r="T59" s="8">
        <f>SUM(T3:T55)</f>
        <v>0</v>
      </c>
      <c r="U59" s="3" t="s">
        <v>33</v>
      </c>
      <c r="V59" s="8">
        <f>SUM(V3:V55)</f>
        <v>0</v>
      </c>
      <c r="W59" s="8"/>
      <c r="X59" s="109" t="s">
        <v>34</v>
      </c>
      <c r="Y59" s="108"/>
      <c r="Z59" s="8">
        <f>SUM(Z3:Z55)</f>
        <v>0</v>
      </c>
      <c r="AA59" s="8"/>
      <c r="AB59" s="68"/>
      <c r="AD59" s="10"/>
      <c r="AE59" s="3" t="s">
        <v>32</v>
      </c>
      <c r="AF59" s="8">
        <f>SUM(AF3:AF55)*100</f>
        <v>0</v>
      </c>
      <c r="AG59" s="8"/>
      <c r="AH59" s="8">
        <f>SUM(AH3:AH55)</f>
        <v>0</v>
      </c>
      <c r="AI59" s="3" t="s">
        <v>33</v>
      </c>
      <c r="AJ59" s="8">
        <f>SUM(AJ3:AJ55)</f>
        <v>0</v>
      </c>
      <c r="AK59" s="8"/>
      <c r="AL59" s="109" t="s">
        <v>34</v>
      </c>
      <c r="AM59" s="108"/>
      <c r="AN59" s="8">
        <f>SUM(AN3:AN55)</f>
        <v>0</v>
      </c>
      <c r="AO59" s="8"/>
      <c r="AP59" s="6"/>
      <c r="AR59" s="10"/>
      <c r="AS59" s="3" t="s">
        <v>32</v>
      </c>
      <c r="AT59" s="8">
        <f>SUM(AT3:AT55)*100</f>
        <v>58400</v>
      </c>
      <c r="AU59" s="8"/>
      <c r="AV59" s="8">
        <f>SUM(AV3:AV34)</f>
        <v>5</v>
      </c>
      <c r="AW59" s="3" t="s">
        <v>33</v>
      </c>
      <c r="AX59" s="8">
        <f>SUM(AX3:AX55)</f>
        <v>6</v>
      </c>
      <c r="AY59" s="8"/>
      <c r="AZ59" s="77"/>
      <c r="BA59" s="111" t="s">
        <v>31</v>
      </c>
      <c r="BB59" s="108"/>
      <c r="BC59" s="8">
        <f>(AW10+AY10)*BA10</f>
        <v>12100</v>
      </c>
      <c r="BD59" s="6"/>
      <c r="BF59" s="10"/>
      <c r="BG59" s="3" t="s">
        <v>32</v>
      </c>
      <c r="BH59" s="8">
        <f>SUM(BH3:BH55)*100</f>
        <v>32000</v>
      </c>
      <c r="BI59" s="8"/>
      <c r="BJ59" s="8">
        <f>SUM(BJ3:BJ34)</f>
        <v>7</v>
      </c>
      <c r="BK59" s="3" t="s">
        <v>33</v>
      </c>
      <c r="BL59" s="8">
        <f>SUM(BL3:BL55)</f>
        <v>7</v>
      </c>
      <c r="BM59" s="8"/>
      <c r="BN59" s="104"/>
      <c r="BO59" s="111" t="s">
        <v>31</v>
      </c>
      <c r="BP59" s="108"/>
      <c r="BQ59" s="8">
        <f>(BK10+BM10)*BO10</f>
        <v>16500</v>
      </c>
      <c r="BR59" s="6"/>
      <c r="BT59" s="10"/>
      <c r="BU59" s="3" t="s">
        <v>32</v>
      </c>
      <c r="BV59" s="8">
        <f>SUM(BV3:BV55)*100</f>
        <v>0</v>
      </c>
      <c r="BW59" s="8"/>
      <c r="BX59" s="8">
        <f>SUM(BX3:BX34)</f>
        <v>0</v>
      </c>
      <c r="BY59" s="3" t="s">
        <v>33</v>
      </c>
      <c r="BZ59" s="8">
        <f>SUM(BZ3:BZ55)</f>
        <v>0</v>
      </c>
      <c r="CA59" s="8"/>
      <c r="CB59" s="104"/>
      <c r="CC59" s="111" t="s">
        <v>31</v>
      </c>
      <c r="CD59" s="108"/>
      <c r="CE59" s="8" t="e">
        <f>(BY10+CA10)*CC10</f>
        <v>#VALUE!</v>
      </c>
      <c r="CF59" s="6"/>
    </row>
    <row r="60" spans="1:84" ht="15" customHeight="1" x14ac:dyDescent="0.2">
      <c r="A60" s="71">
        <f>DATEDIF(A$3,A$35,"d")</f>
        <v>27</v>
      </c>
      <c r="B60" s="21">
        <f>B59/A60</f>
        <v>102.29629629629629</v>
      </c>
      <c r="C60" s="3" t="s">
        <v>35</v>
      </c>
      <c r="D60" s="8">
        <f>D59/$A60</f>
        <v>6881.4814814814818</v>
      </c>
      <c r="E60" s="8">
        <f>D60*30</f>
        <v>206444.44444444444</v>
      </c>
      <c r="F60" s="8"/>
      <c r="G60" s="3"/>
      <c r="H60" s="8"/>
      <c r="I60" s="8"/>
      <c r="J60" s="109" t="s">
        <v>36</v>
      </c>
      <c r="K60" s="108"/>
      <c r="L60" s="8"/>
      <c r="M60" s="23">
        <f>L59/D59</f>
        <v>9.5791173304628635E-2</v>
      </c>
      <c r="N60" s="6"/>
      <c r="P60" s="10"/>
      <c r="Q60" s="3" t="s">
        <v>35</v>
      </c>
      <c r="R60" s="8">
        <f>R59/$A60</f>
        <v>0</v>
      </c>
      <c r="S60" s="8">
        <f>R60*30</f>
        <v>0</v>
      </c>
      <c r="T60" s="8"/>
      <c r="U60" s="3"/>
      <c r="V60" s="8"/>
      <c r="W60" s="8"/>
      <c r="X60" s="109" t="s">
        <v>36</v>
      </c>
      <c r="Y60" s="108"/>
      <c r="Z60" s="8"/>
      <c r="AA60" s="23" t="e">
        <f>Z59/R59</f>
        <v>#DIV/0!</v>
      </c>
      <c r="AB60" s="68"/>
      <c r="AD60" s="10"/>
      <c r="AE60" s="3" t="s">
        <v>35</v>
      </c>
      <c r="AF60" s="8">
        <f>AF59/$A60</f>
        <v>0</v>
      </c>
      <c r="AG60" s="8">
        <f>AF60*30</f>
        <v>0</v>
      </c>
      <c r="AH60" s="8"/>
      <c r="AI60" s="3"/>
      <c r="AJ60" s="8"/>
      <c r="AK60" s="8"/>
      <c r="AL60" s="109" t="s">
        <v>36</v>
      </c>
      <c r="AM60" s="108"/>
      <c r="AN60" s="8"/>
      <c r="AO60" s="23" t="e">
        <f>AN59/AF59</f>
        <v>#DIV/0!</v>
      </c>
      <c r="AP60" s="6"/>
      <c r="AR60" s="10"/>
      <c r="AS60" s="3" t="s">
        <v>35</v>
      </c>
      <c r="AT60" s="8">
        <f>AT59/$A60</f>
        <v>2162.962962962963</v>
      </c>
      <c r="AU60" s="8">
        <f>AT60*30</f>
        <v>64888.888888888891</v>
      </c>
      <c r="AV60" s="8"/>
      <c r="AW60" s="3"/>
      <c r="AX60" s="8"/>
      <c r="AY60" s="8"/>
      <c r="AZ60" s="31"/>
      <c r="BA60" s="3" t="s">
        <v>37</v>
      </c>
      <c r="BB60" s="8">
        <f>SUM(BB3:BB55)</f>
        <v>6600</v>
      </c>
      <c r="BC60" s="9">
        <f>BB60/AT59</f>
        <v>0.11301369863013698</v>
      </c>
      <c r="BD60" s="6"/>
      <c r="BF60" s="10"/>
      <c r="BG60" s="3" t="s">
        <v>35</v>
      </c>
      <c r="BH60" s="8">
        <f>BH59/$A60</f>
        <v>1185.1851851851852</v>
      </c>
      <c r="BI60" s="8">
        <f>BH60*30</f>
        <v>35555.555555555555</v>
      </c>
      <c r="BJ60" s="8"/>
      <c r="BK60" s="24"/>
      <c r="BL60" s="11"/>
      <c r="BM60" s="11"/>
      <c r="BN60" s="11"/>
      <c r="BO60" s="3" t="s">
        <v>37</v>
      </c>
      <c r="BP60" s="8">
        <f>SUM(BP3:BP55)</f>
        <v>7700</v>
      </c>
      <c r="BQ60" s="9">
        <f>BP60/BH59</f>
        <v>0.24062500000000001</v>
      </c>
      <c r="BR60" s="6"/>
      <c r="BT60" s="10"/>
      <c r="BU60" s="3" t="s">
        <v>35</v>
      </c>
      <c r="BV60" s="8">
        <f>BV59/$A60</f>
        <v>0</v>
      </c>
      <c r="BW60" s="8">
        <f>BV60*30</f>
        <v>0</v>
      </c>
      <c r="BX60" s="8"/>
      <c r="BY60" s="24"/>
      <c r="BZ60" s="11"/>
      <c r="CA60" s="11"/>
      <c r="CB60" s="11"/>
      <c r="CC60" s="3" t="s">
        <v>37</v>
      </c>
      <c r="CD60" s="8">
        <f>SUM(CD3:CD55)</f>
        <v>0</v>
      </c>
      <c r="CE60" s="9" t="e">
        <f>CD60/BV59</f>
        <v>#DIV/0!</v>
      </c>
      <c r="CF60" s="6"/>
    </row>
    <row r="61" spans="1:84" ht="15" customHeight="1" x14ac:dyDescent="0.2">
      <c r="A61" s="10"/>
      <c r="B61" s="10"/>
      <c r="C61" s="3" t="s">
        <v>38</v>
      </c>
      <c r="D61" s="8">
        <f>D59*0.7</f>
        <v>130059.99999999999</v>
      </c>
      <c r="E61" s="8"/>
      <c r="F61" s="8"/>
      <c r="G61" s="3"/>
      <c r="H61" s="8"/>
      <c r="I61" s="8"/>
      <c r="J61" s="109" t="s">
        <v>39</v>
      </c>
      <c r="K61" s="108"/>
      <c r="L61" s="8">
        <f>D61-L59</f>
        <v>112261.99999999999</v>
      </c>
      <c r="M61" s="23">
        <f>L61/D59</f>
        <v>0.60420882669537124</v>
      </c>
      <c r="N61" s="6"/>
      <c r="P61" s="10"/>
      <c r="Q61" s="3" t="s">
        <v>38</v>
      </c>
      <c r="R61" s="8">
        <f>R59*0.7</f>
        <v>0</v>
      </c>
      <c r="S61" s="8"/>
      <c r="T61" s="8"/>
      <c r="U61" s="3"/>
      <c r="V61" s="8"/>
      <c r="W61" s="8"/>
      <c r="X61" s="109" t="s">
        <v>39</v>
      </c>
      <c r="Y61" s="108"/>
      <c r="Z61" s="8">
        <f>R61-Z59</f>
        <v>0</v>
      </c>
      <c r="AA61" s="23" t="e">
        <f>Z61/R59</f>
        <v>#DIV/0!</v>
      </c>
      <c r="AB61" s="68"/>
      <c r="AD61" s="10"/>
      <c r="AE61" s="3" t="s">
        <v>38</v>
      </c>
      <c r="AF61" s="8">
        <f>AF59*0.7</f>
        <v>0</v>
      </c>
      <c r="AG61" s="8"/>
      <c r="AH61" s="8"/>
      <c r="AI61" s="3"/>
      <c r="AJ61" s="8"/>
      <c r="AK61" s="8"/>
      <c r="AL61" s="109" t="s">
        <v>39</v>
      </c>
      <c r="AM61" s="108"/>
      <c r="AN61" s="8">
        <f>AF61-AN59</f>
        <v>0</v>
      </c>
      <c r="AO61" s="23" t="e">
        <f>AN61/AF59</f>
        <v>#DIV/0!</v>
      </c>
      <c r="AP61" s="6"/>
      <c r="AR61" s="10"/>
      <c r="AS61" s="3" t="s">
        <v>38</v>
      </c>
      <c r="AT61" s="8">
        <f>AT59*0.7</f>
        <v>40880</v>
      </c>
      <c r="AU61" s="8"/>
      <c r="AV61" s="8"/>
      <c r="AW61" s="24"/>
      <c r="AX61" s="11"/>
      <c r="AY61" s="11"/>
      <c r="AZ61" s="78"/>
      <c r="BA61" s="24" t="s">
        <v>39</v>
      </c>
      <c r="BB61" s="8">
        <f>AT61-BB60</f>
        <v>34280</v>
      </c>
      <c r="BC61" s="9">
        <f>BB61/AT59</f>
        <v>0.58698630136986296</v>
      </c>
      <c r="BD61" s="6"/>
      <c r="BF61" s="10"/>
      <c r="BG61" s="3" t="s">
        <v>38</v>
      </c>
      <c r="BH61" s="8">
        <f>BH59*0.7</f>
        <v>22400</v>
      </c>
      <c r="BI61" s="8"/>
      <c r="BJ61" s="104"/>
      <c r="BK61" s="3"/>
      <c r="BL61" s="8"/>
      <c r="BM61" s="8"/>
      <c r="BN61" s="48"/>
      <c r="BO61" s="82" t="s">
        <v>39</v>
      </c>
      <c r="BP61" s="8">
        <f>BH61-BP60</f>
        <v>14700</v>
      </c>
      <c r="BQ61" s="9">
        <f>BP61/BH59</f>
        <v>0.45937499999999998</v>
      </c>
      <c r="BR61" s="6"/>
      <c r="BT61" s="10"/>
      <c r="BU61" s="3" t="s">
        <v>38</v>
      </c>
      <c r="BV61" s="8">
        <f>BV59*0.7</f>
        <v>0</v>
      </c>
      <c r="BW61" s="8"/>
      <c r="BX61" s="104"/>
      <c r="BY61" s="3"/>
      <c r="BZ61" s="8"/>
      <c r="CA61" s="8"/>
      <c r="CB61" s="48"/>
      <c r="CC61" s="82" t="s">
        <v>39</v>
      </c>
      <c r="CD61" s="8">
        <f>BV61-CD60</f>
        <v>0</v>
      </c>
      <c r="CE61" s="9" t="e">
        <f>CD61/BV59</f>
        <v>#DIV/0!</v>
      </c>
      <c r="CF61" s="6"/>
    </row>
    <row r="62" spans="1:84" ht="15" customHeight="1" x14ac:dyDescent="0.2">
      <c r="A62" s="10"/>
      <c r="B62" s="10"/>
      <c r="C62" s="3" t="s">
        <v>40</v>
      </c>
      <c r="D62" s="8" t="e">
        <f>#REF!</f>
        <v>#REF!</v>
      </c>
      <c r="E62" s="8"/>
      <c r="F62" s="8"/>
      <c r="G62" s="3"/>
      <c r="H62" s="8"/>
      <c r="I62" s="104"/>
      <c r="J62" s="31"/>
      <c r="K62" s="8"/>
      <c r="L62" s="48"/>
      <c r="M62" s="9"/>
      <c r="N62" s="6"/>
      <c r="P62" s="10"/>
      <c r="Q62" s="3" t="s">
        <v>40</v>
      </c>
      <c r="R62" s="8" t="e">
        <f>#REF!</f>
        <v>#REF!</v>
      </c>
      <c r="S62" s="8"/>
      <c r="T62" s="8"/>
      <c r="U62" s="3"/>
      <c r="V62" s="8"/>
      <c r="W62" s="104"/>
      <c r="X62" s="31"/>
      <c r="Y62" s="8"/>
      <c r="Z62" s="48"/>
      <c r="AA62" s="9"/>
      <c r="AB62" s="68"/>
      <c r="AD62" s="10"/>
      <c r="AE62" s="3" t="s">
        <v>40</v>
      </c>
      <c r="AF62" s="8" t="e">
        <f>#REF!</f>
        <v>#REF!</v>
      </c>
      <c r="AG62" s="8"/>
      <c r="AH62" s="8"/>
      <c r="AI62" s="3"/>
      <c r="AJ62" s="8"/>
      <c r="AK62" s="104"/>
      <c r="AL62" s="31"/>
      <c r="AM62" s="8"/>
      <c r="AN62" s="48"/>
      <c r="AO62" s="9"/>
      <c r="AP62" s="6"/>
      <c r="AR62" s="10"/>
      <c r="AS62" s="3" t="s">
        <v>40</v>
      </c>
      <c r="AT62" s="8" t="e">
        <f>#REF!</f>
        <v>#REF!</v>
      </c>
      <c r="AU62" s="8"/>
      <c r="AV62" s="104"/>
      <c r="AW62" s="19"/>
      <c r="AX62" s="19"/>
      <c r="AY62" s="19"/>
      <c r="AZ62" s="79"/>
      <c r="BA62" s="9"/>
      <c r="BB62" s="51"/>
      <c r="BC62" s="9"/>
      <c r="BD62" s="6"/>
      <c r="BF62" s="10"/>
      <c r="BG62" s="3" t="s">
        <v>40</v>
      </c>
      <c r="BH62" s="8" t="e">
        <f>#REF!</f>
        <v>#REF!</v>
      </c>
      <c r="BI62" s="8"/>
      <c r="BJ62" s="104"/>
      <c r="BK62" s="19"/>
      <c r="BL62" s="19"/>
      <c r="BM62" s="19"/>
      <c r="BN62" s="81"/>
      <c r="BO62" s="51"/>
      <c r="BP62" s="9"/>
      <c r="BQ62" s="9"/>
      <c r="BR62" s="6"/>
      <c r="BT62" s="10"/>
      <c r="BU62" s="3" t="s">
        <v>40</v>
      </c>
      <c r="BV62" s="8" t="e">
        <f>#REF!</f>
        <v>#REF!</v>
      </c>
      <c r="BW62" s="8"/>
      <c r="BX62" s="104"/>
      <c r="BY62" s="19"/>
      <c r="BZ62" s="19"/>
      <c r="CA62" s="19"/>
      <c r="CB62" s="81"/>
      <c r="CC62" s="51"/>
      <c r="CD62" s="9"/>
      <c r="CE62" s="9"/>
      <c r="CF62" s="6"/>
    </row>
    <row r="63" spans="1:84" ht="15" customHeight="1" x14ac:dyDescent="0.2">
      <c r="A63" s="10"/>
      <c r="B63" s="10"/>
      <c r="C63" s="8"/>
      <c r="D63" s="8"/>
      <c r="E63" s="8"/>
      <c r="F63" s="8"/>
      <c r="G63" s="3"/>
      <c r="H63" s="8"/>
      <c r="I63" s="104"/>
      <c r="J63" s="31"/>
      <c r="K63" s="45"/>
      <c r="L63" s="48"/>
      <c r="M63" s="9"/>
      <c r="N63" s="6"/>
      <c r="P63" s="10"/>
      <c r="Q63" s="8"/>
      <c r="R63" s="8"/>
      <c r="S63" s="8"/>
      <c r="T63" s="8"/>
      <c r="U63" s="3"/>
      <c r="V63" s="8"/>
      <c r="W63" s="104"/>
      <c r="X63" s="34"/>
      <c r="Y63" s="45"/>
      <c r="Z63" s="48"/>
      <c r="AA63" s="9"/>
      <c r="AB63" s="68"/>
      <c r="AD63" s="10"/>
      <c r="AE63" s="8"/>
      <c r="AF63" s="8"/>
      <c r="AG63" s="8"/>
      <c r="AH63" s="8"/>
      <c r="AI63" s="3"/>
      <c r="AJ63" s="8"/>
      <c r="AK63" s="104"/>
      <c r="AL63" s="34"/>
      <c r="AM63" s="45"/>
      <c r="AN63" s="48"/>
      <c r="AO63" s="9"/>
      <c r="AP63" s="6"/>
      <c r="AR63" s="10"/>
      <c r="AS63" s="8"/>
      <c r="AT63" s="8"/>
      <c r="AU63" s="8"/>
      <c r="AV63" s="104"/>
      <c r="AW63" s="19"/>
      <c r="AX63" s="19"/>
      <c r="AY63" s="19"/>
      <c r="AZ63" s="79"/>
      <c r="BA63" s="9"/>
      <c r="BB63" s="51"/>
      <c r="BC63" s="9"/>
      <c r="BD63" s="6"/>
      <c r="BF63" s="10"/>
      <c r="BG63" s="8"/>
      <c r="BH63" s="8"/>
      <c r="BI63" s="8"/>
      <c r="BJ63" s="104"/>
      <c r="BK63" s="19"/>
      <c r="BL63" s="19"/>
      <c r="BM63" s="19"/>
      <c r="BN63" s="81"/>
      <c r="BO63" s="51"/>
      <c r="BP63" s="9"/>
      <c r="BQ63" s="9"/>
      <c r="BR63" s="6"/>
      <c r="BT63" s="10"/>
      <c r="BU63" s="8"/>
      <c r="BV63" s="8"/>
      <c r="BW63" s="8"/>
      <c r="BX63" s="104"/>
      <c r="BY63" s="19"/>
      <c r="BZ63" s="19"/>
      <c r="CA63" s="19"/>
      <c r="CB63" s="81"/>
      <c r="CC63" s="51"/>
      <c r="CD63" s="9"/>
      <c r="CE63" s="9"/>
      <c r="CF63" s="6"/>
    </row>
    <row r="64" spans="1:84" ht="15" customHeight="1" x14ac:dyDescent="0.2">
      <c r="A64" s="10"/>
      <c r="B64" s="10"/>
      <c r="C64" s="8"/>
      <c r="D64" s="8"/>
      <c r="E64" s="8"/>
      <c r="F64" s="8"/>
      <c r="G64" s="3"/>
      <c r="H64" s="8"/>
      <c r="I64" s="8"/>
      <c r="J64" s="52"/>
      <c r="K64" s="53"/>
      <c r="L64" s="9"/>
      <c r="M64" s="9"/>
      <c r="N64" s="6"/>
      <c r="P64" s="10"/>
      <c r="Q64" s="8"/>
      <c r="R64" s="8"/>
      <c r="S64" s="8"/>
      <c r="T64" s="8"/>
      <c r="U64" s="3"/>
      <c r="V64" s="8"/>
      <c r="W64" s="8"/>
      <c r="X64" s="35"/>
      <c r="Y64" s="53"/>
      <c r="Z64" s="9"/>
      <c r="AA64" s="9"/>
      <c r="AB64" s="68"/>
      <c r="AD64" s="10"/>
      <c r="AE64" s="8"/>
      <c r="AF64" s="8"/>
      <c r="AG64" s="8"/>
      <c r="AH64" s="8"/>
      <c r="AI64" s="3"/>
      <c r="AJ64" s="8"/>
      <c r="AK64" s="8"/>
      <c r="AL64" s="35"/>
      <c r="AM64" s="53"/>
      <c r="AN64" s="9"/>
      <c r="AO64" s="9"/>
      <c r="AP64" s="6"/>
      <c r="AR64" s="10"/>
      <c r="AS64" s="8"/>
      <c r="AT64" s="8"/>
      <c r="AU64" s="8"/>
      <c r="AV64" s="104"/>
      <c r="AW64" s="3"/>
      <c r="AX64" s="8"/>
      <c r="AY64" s="9"/>
      <c r="AZ64" s="80"/>
      <c r="BA64" s="9"/>
      <c r="BB64" s="51"/>
      <c r="BC64" s="9"/>
      <c r="BD64" s="6"/>
      <c r="BF64" s="10"/>
      <c r="BG64" s="8"/>
      <c r="BH64" s="8"/>
      <c r="BI64" s="8"/>
      <c r="BJ64" s="104"/>
      <c r="BK64" s="3"/>
      <c r="BL64" s="8"/>
      <c r="BM64" s="9"/>
      <c r="BN64" s="51"/>
      <c r="BO64" s="51"/>
      <c r="BP64" s="9"/>
      <c r="BQ64" s="9"/>
      <c r="BR64" s="6"/>
      <c r="BT64" s="10"/>
      <c r="BU64" s="8"/>
      <c r="BV64" s="8"/>
      <c r="BW64" s="8"/>
      <c r="BX64" s="104"/>
      <c r="BY64" s="3"/>
      <c r="BZ64" s="8"/>
      <c r="CA64" s="9"/>
      <c r="CB64" s="51"/>
      <c r="CC64" s="51"/>
      <c r="CD64" s="9"/>
      <c r="CE64" s="9"/>
      <c r="CF64" s="6"/>
    </row>
    <row r="65" spans="1:84" ht="15" customHeight="1" x14ac:dyDescent="0.2">
      <c r="A65" s="106" t="s">
        <v>41</v>
      </c>
      <c r="B65" s="107"/>
      <c r="C65" s="108"/>
      <c r="D65" s="25">
        <f>SUM(D3,D7,D11,D15,D19,D23,D27,D31,D35,D39,D43,D47,D51)*100</f>
        <v>73700</v>
      </c>
      <c r="E65" s="48">
        <f>D65/A60</f>
        <v>2729.6296296296296</v>
      </c>
      <c r="F65" s="8"/>
      <c r="G65" s="3">
        <f>D65/H65</f>
        <v>8188.8888888888887</v>
      </c>
      <c r="H65" s="25">
        <f>SUM(H3,H7,H11,H15,H19,H23,H27,H31,H35,H39,H43,H47,H51)</f>
        <v>9</v>
      </c>
      <c r="I65" s="8"/>
      <c r="J65" s="44" t="str">
        <f t="shared" ref="J65:K68" si="62">J3</f>
        <v>たまごっちミニチュアポシェット</v>
      </c>
      <c r="K65" s="57">
        <f t="shared" si="62"/>
        <v>770</v>
      </c>
      <c r="L65" s="58">
        <f>SUM(L3,L7,L11,L15,L19,L23,L27,L31,L35,L39,L43,L47,L51)</f>
        <v>6930</v>
      </c>
      <c r="M65" s="59">
        <f>L65/D65</f>
        <v>9.4029850746268656E-2</v>
      </c>
      <c r="N65" s="6"/>
      <c r="P65" s="106" t="s">
        <v>41</v>
      </c>
      <c r="Q65" s="108"/>
      <c r="R65" s="25">
        <f>SUM(R3,R7,R11,R15,R19,R23,R27,R31,R35,R39,R43,R47,R51)*100</f>
        <v>0</v>
      </c>
      <c r="S65" s="48">
        <f>R65/A60</f>
        <v>0</v>
      </c>
      <c r="T65" s="8"/>
      <c r="U65" s="3" t="e">
        <f>R65/V65</f>
        <v>#DIV/0!</v>
      </c>
      <c r="V65" s="25">
        <f>SUM(V3,V7,V11,V15,V19,V23,V27,V31,V35,V39,V43,V47,V51)</f>
        <v>0</v>
      </c>
      <c r="W65" s="8"/>
      <c r="X65" s="44">
        <f t="shared" ref="X65:Y68" si="63">X3</f>
        <v>0</v>
      </c>
      <c r="Y65" s="57">
        <f t="shared" si="63"/>
        <v>0</v>
      </c>
      <c r="Z65" s="58">
        <f>SUM(Z3,Z7,Z11,Z15,Z19,Z23,Z27,Z31,Z35,Z39,Z43,Z47,Z51)</f>
        <v>0</v>
      </c>
      <c r="AA65" s="59" t="e">
        <f>Z65/R65</f>
        <v>#DIV/0!</v>
      </c>
      <c r="AB65" s="68"/>
      <c r="AD65" s="106" t="s">
        <v>41</v>
      </c>
      <c r="AE65" s="108"/>
      <c r="AF65" s="25">
        <f>SUM(AF3,AF7,AF11,AF15,AF19,AF23,AF27,AF31,AF35,AF39,AF43,AF47,AF51)*100</f>
        <v>0</v>
      </c>
      <c r="AG65" s="48">
        <f>AF65/A60</f>
        <v>0</v>
      </c>
      <c r="AH65" s="8"/>
      <c r="AI65" s="3" t="e">
        <f>AF65/AJ65</f>
        <v>#DIV/0!</v>
      </c>
      <c r="AJ65" s="25">
        <f>SUM(AJ3,AJ7,AJ11,AJ15,AJ19,AJ23,AJ27,AJ31,AJ35,AJ39,AJ43,AJ47,AJ51)</f>
        <v>0</v>
      </c>
      <c r="AK65" s="8"/>
      <c r="AL65" s="44">
        <f t="shared" ref="AL65:AM68" si="64">AL3</f>
        <v>0</v>
      </c>
      <c r="AM65" s="57">
        <f t="shared" si="64"/>
        <v>0</v>
      </c>
      <c r="AN65" s="58">
        <f>SUM(AN3,AN7,AN11,AN15,AN19,AN23,AN27,AN31,AN35,AN39,AN43,AN47,AN51)</f>
        <v>0</v>
      </c>
      <c r="AO65" s="59" t="e">
        <f>AN65/AF65</f>
        <v>#DIV/0!</v>
      </c>
      <c r="AP65" s="6"/>
      <c r="AR65" s="10"/>
      <c r="AS65" s="8"/>
      <c r="AT65" s="8"/>
      <c r="AU65" s="8"/>
      <c r="AV65" s="8"/>
      <c r="AW65" s="54"/>
      <c r="AX65" s="37"/>
      <c r="AY65" s="37"/>
      <c r="AZ65" s="44"/>
      <c r="BA65" s="37"/>
      <c r="BB65" s="8"/>
      <c r="BC65" s="8"/>
      <c r="BD65" s="6"/>
      <c r="BF65" s="10"/>
      <c r="BG65" s="8"/>
      <c r="BH65" s="8"/>
      <c r="BI65" s="8"/>
      <c r="BJ65" s="8"/>
      <c r="BK65" s="54"/>
      <c r="BL65" s="37"/>
      <c r="BM65" s="37"/>
      <c r="BN65" s="37"/>
      <c r="BO65" s="8"/>
      <c r="BP65" s="8"/>
      <c r="BQ65" s="8"/>
      <c r="BR65" s="6"/>
      <c r="BT65" s="10"/>
      <c r="BU65" s="8"/>
      <c r="BV65" s="8"/>
      <c r="BW65" s="8"/>
      <c r="BX65" s="8"/>
      <c r="BY65" s="54"/>
      <c r="BZ65" s="37"/>
      <c r="CA65" s="37"/>
      <c r="CB65" s="37"/>
      <c r="CC65" s="8"/>
      <c r="CD65" s="8"/>
      <c r="CE65" s="8"/>
      <c r="CF65" s="6"/>
    </row>
    <row r="66" spans="1:84" ht="15" customHeight="1" x14ac:dyDescent="0.2">
      <c r="A66" s="106" t="s">
        <v>41</v>
      </c>
      <c r="B66" s="107"/>
      <c r="C66" s="108"/>
      <c r="D66" s="25">
        <f>SUM(D4,D8,D12,D16,D20,D24,D28,D32,D36,D40,D44,D48,D52)*100</f>
        <v>25100</v>
      </c>
      <c r="E66" s="48">
        <f>D66/A60</f>
        <v>929.62962962962968</v>
      </c>
      <c r="F66" s="8"/>
      <c r="G66" s="3">
        <f>D66/H66</f>
        <v>6275</v>
      </c>
      <c r="H66" s="25">
        <f>SUM(H4,H8,H12,H16,H20,H24,H28,H32,H36,H40,H44,H48,H52)</f>
        <v>4</v>
      </c>
      <c r="I66" s="8"/>
      <c r="J66" s="44" t="str">
        <f t="shared" si="62"/>
        <v>モンチッチフルーツMC</v>
      </c>
      <c r="K66" s="57">
        <f t="shared" si="62"/>
        <v>572</v>
      </c>
      <c r="L66" s="58">
        <f>SUM(L4,L8,L12,L16,L20,L24,L28,L32,L36,L40,L44,L48,L52)</f>
        <v>2288</v>
      </c>
      <c r="M66" s="59">
        <f>L66/D66</f>
        <v>9.1155378486055774E-2</v>
      </c>
      <c r="N66" s="6"/>
      <c r="P66" s="106" t="s">
        <v>41</v>
      </c>
      <c r="Q66" s="108"/>
      <c r="R66" s="25">
        <f>SUM(R4,R8,R12,R16,R20,R24,R28,R32,R36,R40,R44,R48,R52)*100</f>
        <v>0</v>
      </c>
      <c r="S66" s="48">
        <f>R66/A60</f>
        <v>0</v>
      </c>
      <c r="T66" s="8"/>
      <c r="U66" s="3" t="e">
        <f>R66/V66</f>
        <v>#DIV/0!</v>
      </c>
      <c r="V66" s="25">
        <f>SUM(V4,V8,V12,V16,V20,V24,V28,V32,V36,V40,V44,V48,V52)</f>
        <v>0</v>
      </c>
      <c r="W66" s="8"/>
      <c r="X66" s="44">
        <f t="shared" si="63"/>
        <v>0</v>
      </c>
      <c r="Y66" s="57">
        <f t="shared" si="63"/>
        <v>0</v>
      </c>
      <c r="Z66" s="58">
        <f>SUM(Z4,Z8,Z12,Z16,Z20,Z24,Z28,Z32,Z36,Z40,Z44,Z48,Z52)</f>
        <v>0</v>
      </c>
      <c r="AA66" s="59" t="e">
        <f>Z66/R66</f>
        <v>#DIV/0!</v>
      </c>
      <c r="AB66" s="68"/>
      <c r="AD66" s="106" t="s">
        <v>41</v>
      </c>
      <c r="AE66" s="108"/>
      <c r="AF66" s="25">
        <f>SUM(AF4,AF8,AF12,AF16,AF20,AF24,AF28,AF32,AF36,AF40,AF44,AF48,AF52)*100</f>
        <v>0</v>
      </c>
      <c r="AG66" s="48">
        <f>AF66/A60</f>
        <v>0</v>
      </c>
      <c r="AH66" s="8"/>
      <c r="AI66" s="3" t="e">
        <f>AF66/AJ66</f>
        <v>#DIV/0!</v>
      </c>
      <c r="AJ66" s="25">
        <f>SUM(AJ4,AJ8,AJ12,AJ16,AJ20,AJ24,AJ28,AJ32,AJ36,AJ40,AJ44,AJ48,AJ52)</f>
        <v>0</v>
      </c>
      <c r="AK66" s="8"/>
      <c r="AL66" s="44">
        <f t="shared" si="64"/>
        <v>0</v>
      </c>
      <c r="AM66" s="57">
        <f t="shared" si="64"/>
        <v>0</v>
      </c>
      <c r="AN66" s="58">
        <f>SUM(AN4,AN8,AN12,AN16,AN20,AN24,AN28,AN32,AN36,AN40,AN44,AN48,AN52)</f>
        <v>0</v>
      </c>
      <c r="AO66" s="59" t="e">
        <f>AN66/AF66</f>
        <v>#DIV/0!</v>
      </c>
      <c r="AP66" s="6"/>
      <c r="AR66" s="10"/>
      <c r="AS66" s="8"/>
      <c r="AT66" s="8"/>
      <c r="AU66" s="8"/>
      <c r="AV66" s="8"/>
      <c r="AW66" s="3"/>
      <c r="AX66" s="8"/>
      <c r="AY66" s="8"/>
      <c r="AZ66" s="31"/>
      <c r="BA66" s="8"/>
      <c r="BB66" s="8"/>
      <c r="BC66" s="8"/>
      <c r="BD66" s="6"/>
      <c r="BF66" s="10"/>
      <c r="BG66" s="8"/>
      <c r="BH66" s="8"/>
      <c r="BI66" s="8"/>
      <c r="BJ66" s="8"/>
      <c r="BK66" s="3"/>
      <c r="BL66" s="8"/>
      <c r="BM66" s="8"/>
      <c r="BN66" s="8"/>
      <c r="BO66" s="8"/>
      <c r="BP66" s="8"/>
      <c r="BQ66" s="8"/>
      <c r="BR66" s="6"/>
      <c r="BT66" s="10"/>
      <c r="BU66" s="8"/>
      <c r="BV66" s="8"/>
      <c r="BW66" s="8"/>
      <c r="BX66" s="8"/>
      <c r="BY66" s="3"/>
      <c r="BZ66" s="8"/>
      <c r="CA66" s="8"/>
      <c r="CB66" s="8"/>
      <c r="CC66" s="8"/>
      <c r="CD66" s="8"/>
      <c r="CE66" s="8"/>
      <c r="CF66" s="6"/>
    </row>
    <row r="67" spans="1:84" ht="15" customHeight="1" x14ac:dyDescent="0.2">
      <c r="A67" s="106" t="s">
        <v>41</v>
      </c>
      <c r="B67" s="107"/>
      <c r="C67" s="108"/>
      <c r="D67" s="25">
        <f>SUM(D5,D9,D13,D17,D21,D25,D29,D33,D37,D41,D45,D49,D53)*100</f>
        <v>33400</v>
      </c>
      <c r="E67" s="48">
        <f>D67/A60</f>
        <v>1237.037037037037</v>
      </c>
      <c r="F67" s="8"/>
      <c r="G67" s="3">
        <f>D67/H67</f>
        <v>2783.3333333333335</v>
      </c>
      <c r="H67" s="25">
        <f>SUM(H5,H9,H13,H17,H21,H25,H29,H33,H37,H41,H45,H49,H53)</f>
        <v>12</v>
      </c>
      <c r="I67" s="8"/>
      <c r="J67" s="44" t="str">
        <f t="shared" si="62"/>
        <v>フルーツスクイーズ</v>
      </c>
      <c r="K67" s="57">
        <f t="shared" si="62"/>
        <v>209</v>
      </c>
      <c r="L67" s="58">
        <f>SUM(L5,L9,L13,L17,L21,L25,L29,L33,L37,L41,L45,L49,L53)</f>
        <v>4290</v>
      </c>
      <c r="M67" s="59">
        <f>L67/D67</f>
        <v>0.1284431137724551</v>
      </c>
      <c r="N67" s="6"/>
      <c r="P67" s="106" t="s">
        <v>41</v>
      </c>
      <c r="Q67" s="108"/>
      <c r="R67" s="25">
        <f>SUM(R5,R9,R13,R17,R21,R25,R29,R33,R37,R41,R45,R49,R53)*100</f>
        <v>0</v>
      </c>
      <c r="S67" s="48">
        <f>R67/A60</f>
        <v>0</v>
      </c>
      <c r="T67" s="8"/>
      <c r="U67" s="3" t="e">
        <f>R67/V67</f>
        <v>#DIV/0!</v>
      </c>
      <c r="V67" s="25">
        <f>SUM(V5,V9,V13,V17,V21,V25,V29,V33,V37,V41,V45,V49,V53)</f>
        <v>0</v>
      </c>
      <c r="W67" s="8"/>
      <c r="X67" s="44">
        <f t="shared" si="63"/>
        <v>0</v>
      </c>
      <c r="Y67" s="57">
        <f t="shared" si="63"/>
        <v>0</v>
      </c>
      <c r="Z67" s="58">
        <f>SUM(Z5,Z9,Z13,Z17,Z21,Z25,Z29,Z33,Z37,Z41,Z45,Z49,Z53)</f>
        <v>0</v>
      </c>
      <c r="AA67" s="59" t="e">
        <f>Z67/R67</f>
        <v>#DIV/0!</v>
      </c>
      <c r="AB67" s="68"/>
      <c r="AD67" s="106" t="s">
        <v>41</v>
      </c>
      <c r="AE67" s="108"/>
      <c r="AF67" s="25">
        <f>SUM(AF5,AF9,AF13,AF17,AF21,AF25,AF29,AF33,AF37,AF41,AF45,AF49,AF53)*100</f>
        <v>0</v>
      </c>
      <c r="AG67" s="48">
        <f>AF67/A60</f>
        <v>0</v>
      </c>
      <c r="AH67" s="8"/>
      <c r="AI67" s="3" t="e">
        <f>AF67/AJ67</f>
        <v>#DIV/0!</v>
      </c>
      <c r="AJ67" s="25">
        <f>SUM(AJ5,AJ9,AJ13,AJ17,AJ21,AJ25,AJ29,AJ33,AJ37,AJ41,AJ45,AJ49,AJ53)</f>
        <v>0</v>
      </c>
      <c r="AK67" s="8"/>
      <c r="AL67" s="44">
        <f t="shared" si="64"/>
        <v>0</v>
      </c>
      <c r="AM67" s="57">
        <f t="shared" si="64"/>
        <v>0</v>
      </c>
      <c r="AN67" s="58">
        <f>SUM(AN5,AN9,AN13,AN17,AN21,AN25,AN29,AN33,AN37,AN41,AN45,AN49,AN53)</f>
        <v>0</v>
      </c>
      <c r="AO67" s="59" t="e">
        <f>AN67/AF67</f>
        <v>#DIV/0!</v>
      </c>
      <c r="AP67" s="6"/>
      <c r="AR67" s="10"/>
      <c r="AS67" s="8"/>
      <c r="AT67" s="8"/>
      <c r="AU67" s="8"/>
      <c r="AV67" s="8"/>
      <c r="AW67" s="3"/>
      <c r="AX67" s="8"/>
      <c r="AY67" s="8"/>
      <c r="AZ67" s="31"/>
      <c r="BA67" s="8"/>
      <c r="BB67" s="8"/>
      <c r="BC67" s="8"/>
      <c r="BD67" s="6"/>
      <c r="BF67" s="10"/>
      <c r="BG67" s="8"/>
      <c r="BH67" s="8"/>
      <c r="BI67" s="8"/>
      <c r="BJ67" s="8"/>
      <c r="BK67" s="3"/>
      <c r="BL67" s="8"/>
      <c r="BM67" s="8"/>
      <c r="BN67" s="8"/>
      <c r="BO67" s="8"/>
      <c r="BP67" s="8"/>
      <c r="BQ67" s="8"/>
      <c r="BR67" s="6"/>
      <c r="BT67" s="10"/>
      <c r="BU67" s="8"/>
      <c r="BV67" s="8"/>
      <c r="BW67" s="8"/>
      <c r="BX67" s="8"/>
      <c r="BY67" s="3"/>
      <c r="BZ67" s="8"/>
      <c r="CA67" s="8"/>
      <c r="CB67" s="8"/>
      <c r="CC67" s="8"/>
      <c r="CD67" s="8"/>
      <c r="CE67" s="8"/>
      <c r="CF67" s="6"/>
    </row>
    <row r="68" spans="1:84" ht="15" customHeight="1" x14ac:dyDescent="0.2">
      <c r="A68" s="106" t="s">
        <v>41</v>
      </c>
      <c r="B68" s="107"/>
      <c r="C68" s="108"/>
      <c r="D68" s="25">
        <f>SUM(D6,D10,D14,D18,D22,D26,D30,D34,D38,D42,D46,D50,D54)*100</f>
        <v>53600</v>
      </c>
      <c r="E68" s="48">
        <f>D68/A60</f>
        <v>1985.1851851851852</v>
      </c>
      <c r="F68" s="8"/>
      <c r="G68" s="3">
        <f>D68/H68</f>
        <v>3573.3333333333335</v>
      </c>
      <c r="H68" s="25">
        <f>SUM(H6,H10,H14,H18,H22,H26,H30,H34,H38,H42,H46,H50,H54)</f>
        <v>15</v>
      </c>
      <c r="I68" s="8"/>
      <c r="J68" s="44" t="str">
        <f t="shared" si="62"/>
        <v>ベーカリースクイーズ</v>
      </c>
      <c r="K68" s="57">
        <f t="shared" si="62"/>
        <v>286</v>
      </c>
      <c r="L68" s="58">
        <f>SUM(L6,L10,L14,L18,L22,L26,L30,L34,L38,L42,L46,L50,L54)</f>
        <v>4290</v>
      </c>
      <c r="M68" s="59">
        <f>L68/D68</f>
        <v>8.0037313432835822E-2</v>
      </c>
      <c r="N68" s="6"/>
      <c r="P68" s="106" t="s">
        <v>41</v>
      </c>
      <c r="Q68" s="108"/>
      <c r="R68" s="25">
        <f>SUM(R6,R10,R14,R18,R22,R26,R30,R34,R38,R42,R46,R50,R54)*100</f>
        <v>0</v>
      </c>
      <c r="S68" s="48">
        <f>R68/A60</f>
        <v>0</v>
      </c>
      <c r="T68" s="8"/>
      <c r="U68" s="3" t="e">
        <f>R68/V68</f>
        <v>#DIV/0!</v>
      </c>
      <c r="V68" s="25">
        <f>SUM(V6,V10,V14,V18,V22,V26,V30,V34,V38,V42,V46,V50,V54)</f>
        <v>0</v>
      </c>
      <c r="W68" s="8"/>
      <c r="X68" s="44">
        <f t="shared" si="63"/>
        <v>0</v>
      </c>
      <c r="Y68" s="57">
        <f t="shared" si="63"/>
        <v>0</v>
      </c>
      <c r="Z68" s="58">
        <f>SUM(Z6,Z10,Z14,Z18,Z22,Z26,Z30,Z34,Z38,Z42,Z46,Z50,Z54)</f>
        <v>0</v>
      </c>
      <c r="AA68" s="59" t="e">
        <f>Z68/R68</f>
        <v>#DIV/0!</v>
      </c>
      <c r="AB68" s="68"/>
      <c r="AD68" s="106" t="s">
        <v>41</v>
      </c>
      <c r="AE68" s="108"/>
      <c r="AF68" s="25">
        <f>SUM(AF6,AF10,AF14,AF18,AF22,AF26,AF30,AF34,AF38,AF42,AF46,AF50,AF54)*100</f>
        <v>0</v>
      </c>
      <c r="AG68" s="48">
        <f>AF68/A60</f>
        <v>0</v>
      </c>
      <c r="AH68" s="8"/>
      <c r="AI68" s="3" t="e">
        <f>AF68/AJ68</f>
        <v>#DIV/0!</v>
      </c>
      <c r="AJ68" s="25">
        <f>SUM(AJ6,AJ10,AJ14,AJ18,AJ22,AJ26,AJ30,AJ34,AJ38,AJ42,AJ46,AJ50,AJ54)</f>
        <v>0</v>
      </c>
      <c r="AK68" s="8"/>
      <c r="AL68" s="44">
        <f t="shared" si="64"/>
        <v>0</v>
      </c>
      <c r="AM68" s="57">
        <f t="shared" si="64"/>
        <v>0</v>
      </c>
      <c r="AN68" s="58">
        <f>SUM(AN6,AN10,AN14,AN18,AN22,AN26,AN30,AN34,AN38,AN42,AN46,AN50,AN54)</f>
        <v>0</v>
      </c>
      <c r="AO68" s="59" t="e">
        <f>AN68/AF68</f>
        <v>#DIV/0!</v>
      </c>
      <c r="AP68" s="6"/>
      <c r="AR68" s="10"/>
      <c r="AS68" s="8"/>
      <c r="AT68" s="8"/>
      <c r="AU68" s="8"/>
      <c r="AV68" s="8"/>
      <c r="AW68" s="3"/>
      <c r="AX68" s="8"/>
      <c r="AY68" s="8"/>
      <c r="AZ68" s="31"/>
      <c r="BA68" s="8"/>
      <c r="BB68" s="8"/>
      <c r="BC68" s="8"/>
      <c r="BD68" s="6"/>
      <c r="BF68" s="10"/>
      <c r="BG68" s="8"/>
      <c r="BH68" s="8"/>
      <c r="BI68" s="8"/>
      <c r="BJ68" s="8"/>
      <c r="BK68" s="3"/>
      <c r="BL68" s="8"/>
      <c r="BM68" s="8"/>
      <c r="BN68" s="8"/>
      <c r="BO68" s="8"/>
      <c r="BP68" s="8"/>
      <c r="BQ68" s="8"/>
      <c r="BR68" s="6"/>
      <c r="BT68" s="10"/>
      <c r="BU68" s="8"/>
      <c r="BV68" s="8"/>
      <c r="BW68" s="8"/>
      <c r="BX68" s="8"/>
      <c r="BY68" s="3"/>
      <c r="BZ68" s="8"/>
      <c r="CA68" s="8"/>
      <c r="CB68" s="8"/>
      <c r="CC68" s="8"/>
      <c r="CD68" s="8"/>
      <c r="CE68" s="8"/>
      <c r="CF68" s="6"/>
    </row>
    <row r="69" spans="1:84" ht="15" customHeight="1" x14ac:dyDescent="0.2">
      <c r="A69" s="10"/>
      <c r="B69" s="10"/>
      <c r="C69" s="3" t="s">
        <v>32</v>
      </c>
      <c r="D69" s="8">
        <f>SUM(D65:D68)</f>
        <v>185800</v>
      </c>
      <c r="E69" s="8"/>
      <c r="F69" s="8"/>
      <c r="G69" s="8"/>
      <c r="H69" s="8">
        <f>SUM(H65:H68)</f>
        <v>40</v>
      </c>
      <c r="I69" s="8"/>
      <c r="J69" s="113" t="s">
        <v>42</v>
      </c>
      <c r="K69" s="108"/>
      <c r="L69" s="37">
        <f>SUM(L65:L68)</f>
        <v>17798</v>
      </c>
      <c r="M69" s="55">
        <f>L69/D69</f>
        <v>9.5791173304628635E-2</v>
      </c>
      <c r="N69" s="47"/>
      <c r="P69" s="10"/>
      <c r="Q69" s="3" t="s">
        <v>32</v>
      </c>
      <c r="R69" s="8">
        <f>SUM(R65:R68)</f>
        <v>0</v>
      </c>
      <c r="S69" s="8"/>
      <c r="T69" s="8"/>
      <c r="U69" s="8"/>
      <c r="V69" s="8">
        <f>SUM(V65:V68)</f>
        <v>0</v>
      </c>
      <c r="W69" s="8"/>
      <c r="X69" s="113" t="s">
        <v>42</v>
      </c>
      <c r="Y69" s="108"/>
      <c r="Z69" s="37">
        <f>SUM(Z65:Z68)</f>
        <v>0</v>
      </c>
      <c r="AA69" s="55" t="e">
        <f>Z69/R69</f>
        <v>#DIV/0!</v>
      </c>
      <c r="AB69" s="67"/>
      <c r="AD69" s="10"/>
      <c r="AE69" s="3" t="s">
        <v>32</v>
      </c>
      <c r="AF69" s="8">
        <f>SUM(AF65:AF68)</f>
        <v>0</v>
      </c>
      <c r="AG69" s="8"/>
      <c r="AH69" s="8"/>
      <c r="AI69" s="8"/>
      <c r="AJ69" s="8">
        <f>SUM(AJ65:AJ68)</f>
        <v>0</v>
      </c>
      <c r="AK69" s="8"/>
      <c r="AL69" s="113" t="s">
        <v>42</v>
      </c>
      <c r="AM69" s="108"/>
      <c r="AN69" s="37">
        <f>SUM(AN65:AN68)</f>
        <v>0</v>
      </c>
      <c r="AO69" s="55" t="e">
        <f>AN69/AF69</f>
        <v>#DIV/0!</v>
      </c>
      <c r="AP69" s="47"/>
      <c r="AR69" s="10"/>
      <c r="AS69" s="8"/>
      <c r="AT69" s="8"/>
      <c r="AU69" s="8"/>
      <c r="AV69" s="8"/>
      <c r="AW69" s="8"/>
      <c r="AX69" s="8"/>
      <c r="AY69" s="8"/>
      <c r="AZ69" s="31"/>
      <c r="BA69" s="8"/>
      <c r="BB69" s="8"/>
      <c r="BC69" s="8"/>
      <c r="BD69" s="6"/>
      <c r="BF69" s="10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6"/>
      <c r="BT69" s="10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6"/>
    </row>
    <row r="70" spans="1:84" ht="15" customHeight="1" x14ac:dyDescent="0.2">
      <c r="A70" s="26"/>
      <c r="B70" s="26"/>
      <c r="C70" s="83"/>
      <c r="D70" s="1"/>
      <c r="E70" s="1"/>
      <c r="F70" s="1"/>
      <c r="G70" s="1"/>
      <c r="H70" s="1"/>
      <c r="I70" s="1"/>
      <c r="J70" s="33"/>
      <c r="L70" s="1"/>
      <c r="M70" s="27"/>
      <c r="N70" s="28"/>
      <c r="P70" s="26"/>
      <c r="Q70" s="83"/>
      <c r="R70" s="1"/>
      <c r="S70" s="1"/>
      <c r="T70" s="1"/>
      <c r="U70" s="1"/>
      <c r="V70" s="1"/>
      <c r="W70" s="1"/>
      <c r="X70" s="33"/>
      <c r="Z70" s="1"/>
      <c r="AA70" s="27"/>
      <c r="AB70" s="69"/>
      <c r="AD70" s="26"/>
      <c r="AE70" s="83"/>
      <c r="AF70" s="1"/>
      <c r="AG70" s="1"/>
      <c r="AH70" s="1"/>
      <c r="AI70" s="1"/>
      <c r="AJ70" s="1"/>
      <c r="AK70" s="1"/>
      <c r="AL70" s="33"/>
      <c r="AN70" s="1"/>
      <c r="AO70" s="27"/>
      <c r="AP70" s="28"/>
      <c r="AR70" s="26"/>
      <c r="AS70" s="1"/>
      <c r="AT70" s="1"/>
      <c r="AU70" s="1"/>
      <c r="AV70" s="1"/>
      <c r="AW70" s="1"/>
      <c r="AX70" s="1"/>
      <c r="AY70" s="1"/>
      <c r="AZ70" s="20"/>
      <c r="BA70" s="1"/>
      <c r="BB70" s="1"/>
      <c r="BC70" s="1"/>
      <c r="BD70" s="28"/>
      <c r="BF70" s="26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28"/>
      <c r="BT70" s="26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28"/>
    </row>
    <row r="71" spans="1:84" ht="15" customHeight="1" x14ac:dyDescent="0.2">
      <c r="A71" s="26"/>
      <c r="B71" s="26"/>
      <c r="C71" s="29" t="s">
        <v>43</v>
      </c>
      <c r="D71" s="8">
        <f>D59+R59+AT59+AF59+BH59+BV59</f>
        <v>276200</v>
      </c>
      <c r="E71" s="8">
        <f>D71/A60</f>
        <v>10229.62962962963</v>
      </c>
      <c r="F71" s="1" t="s">
        <v>35</v>
      </c>
      <c r="G71" s="114" t="s">
        <v>44</v>
      </c>
      <c r="H71" s="110"/>
      <c r="I71" s="1"/>
      <c r="J71" s="33"/>
      <c r="L71" s="1"/>
      <c r="M71" s="27"/>
      <c r="N71" s="28"/>
      <c r="P71" s="26"/>
      <c r="Q71" s="83"/>
      <c r="R71" s="1"/>
      <c r="S71" s="1"/>
      <c r="T71" s="1"/>
      <c r="U71" s="1"/>
      <c r="V71" s="1"/>
      <c r="W71" s="1"/>
      <c r="X71" s="33"/>
      <c r="Z71" s="1"/>
      <c r="AA71" s="27"/>
      <c r="AB71" s="69"/>
      <c r="AD71" s="26"/>
      <c r="AE71" s="83"/>
      <c r="AF71" s="1"/>
      <c r="AG71" s="1"/>
      <c r="AH71" s="1"/>
      <c r="AI71" s="1"/>
      <c r="AJ71" s="1"/>
      <c r="AK71" s="1"/>
      <c r="AL71" s="33"/>
      <c r="AN71" s="1"/>
      <c r="AO71" s="27"/>
      <c r="AP71" s="28"/>
      <c r="AR71" s="26"/>
      <c r="AS71" s="1"/>
      <c r="AT71" s="1"/>
      <c r="AU71" s="1"/>
      <c r="AV71" s="1"/>
      <c r="AW71" s="1"/>
      <c r="AX71" s="1"/>
      <c r="AY71" s="1"/>
      <c r="AZ71" s="20"/>
      <c r="BA71" s="1"/>
      <c r="BB71" s="1"/>
      <c r="BC71" s="1"/>
      <c r="BD71" s="28"/>
      <c r="BF71" s="26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28"/>
      <c r="BT71" s="26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28"/>
    </row>
    <row r="72" spans="1:84" ht="15" customHeight="1" x14ac:dyDescent="0.2">
      <c r="A72" s="26"/>
      <c r="B72" s="26"/>
      <c r="C72" s="29" t="s">
        <v>45</v>
      </c>
      <c r="D72" s="8">
        <f>D71*0.7</f>
        <v>193340</v>
      </c>
      <c r="E72" s="23">
        <f>D72/D71</f>
        <v>0.7</v>
      </c>
      <c r="F72" s="1"/>
      <c r="G72" s="111">
        <f>E71*A58</f>
        <v>306888.88888888888</v>
      </c>
      <c r="H72" s="110"/>
      <c r="I72" s="1"/>
      <c r="J72" s="33"/>
      <c r="L72" s="1"/>
      <c r="M72" s="27"/>
      <c r="N72" s="28"/>
      <c r="P72" s="26"/>
      <c r="Q72" s="83"/>
      <c r="R72" s="1"/>
      <c r="S72" s="1"/>
      <c r="T72" s="1"/>
      <c r="U72" s="1"/>
      <c r="V72" s="1"/>
      <c r="W72" s="1"/>
      <c r="X72" s="33"/>
      <c r="Z72" s="1"/>
      <c r="AA72" s="27"/>
      <c r="AB72" s="69"/>
      <c r="AD72" s="26"/>
      <c r="AE72" s="83"/>
      <c r="AF72" s="1"/>
      <c r="AG72" s="1"/>
      <c r="AH72" s="1"/>
      <c r="AI72" s="1"/>
      <c r="AJ72" s="1"/>
      <c r="AK72" s="1"/>
      <c r="AL72" s="33"/>
      <c r="AN72" s="1"/>
      <c r="AO72" s="27"/>
      <c r="AP72" s="28"/>
      <c r="AR72" s="26"/>
      <c r="AS72" s="1"/>
      <c r="AT72" s="1"/>
      <c r="AU72" s="1"/>
      <c r="AV72" s="1"/>
      <c r="AW72" s="1"/>
      <c r="AX72" s="1"/>
      <c r="AY72" s="1"/>
      <c r="AZ72" s="20"/>
      <c r="BA72" s="1"/>
      <c r="BB72" s="1"/>
      <c r="BC72" s="1"/>
      <c r="BD72" s="28"/>
      <c r="BF72" s="26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28"/>
      <c r="BT72" s="26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28"/>
    </row>
    <row r="73" spans="1:84" ht="15" customHeight="1" x14ac:dyDescent="0.2">
      <c r="A73" s="26"/>
      <c r="B73" s="26"/>
      <c r="C73" s="29" t="s">
        <v>37</v>
      </c>
      <c r="D73" s="8">
        <f>L59+Z59+BB60+AN59+BP60</f>
        <v>32098</v>
      </c>
      <c r="E73" s="23">
        <f>D73/D71</f>
        <v>0.11621288921071687</v>
      </c>
      <c r="F73" s="1"/>
      <c r="G73" s="109" t="s">
        <v>46</v>
      </c>
      <c r="H73" s="110"/>
      <c r="I73" s="1"/>
      <c r="J73" s="33"/>
      <c r="L73" s="1"/>
      <c r="M73" s="27"/>
      <c r="N73" s="28"/>
      <c r="P73" s="26"/>
      <c r="Q73" s="83"/>
      <c r="R73" s="1"/>
      <c r="S73" s="1"/>
      <c r="T73" s="1"/>
      <c r="U73" s="1"/>
      <c r="V73" s="1"/>
      <c r="W73" s="1"/>
      <c r="X73" s="33"/>
      <c r="Z73" s="1"/>
      <c r="AA73" s="27"/>
      <c r="AB73" s="69"/>
      <c r="AD73" s="26"/>
      <c r="AE73" s="83"/>
      <c r="AF73" s="1"/>
      <c r="AG73" s="1"/>
      <c r="AH73" s="1"/>
      <c r="AI73" s="1"/>
      <c r="AJ73" s="1"/>
      <c r="AK73" s="1"/>
      <c r="AL73" s="33"/>
      <c r="AN73" s="1"/>
      <c r="AO73" s="27"/>
      <c r="AP73" s="28"/>
      <c r="AR73" s="26"/>
      <c r="AS73" s="1"/>
      <c r="AT73" s="1"/>
      <c r="AU73" s="1"/>
      <c r="AV73" s="1"/>
      <c r="AW73" s="1"/>
      <c r="AX73" s="1"/>
      <c r="AY73" s="1"/>
      <c r="AZ73" s="20"/>
      <c r="BA73" s="1"/>
      <c r="BB73" s="1"/>
      <c r="BC73" s="1"/>
      <c r="BD73" s="28"/>
      <c r="BF73" s="26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28"/>
      <c r="BT73" s="26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28"/>
    </row>
    <row r="74" spans="1:84" ht="15" customHeight="1" x14ac:dyDescent="0.2">
      <c r="A74" s="26"/>
      <c r="B74" s="26"/>
      <c r="C74" s="29" t="s">
        <v>39</v>
      </c>
      <c r="D74" s="8">
        <f>D72-D73</f>
        <v>161242</v>
      </c>
      <c r="E74" s="23">
        <f>D74/D71</f>
        <v>0.58378711078928314</v>
      </c>
      <c r="F74" s="1"/>
      <c r="G74" s="111" t="e">
        <f>L58+Z58+AN58+BC59+BQ59</f>
        <v>#VALUE!</v>
      </c>
      <c r="H74" s="112"/>
      <c r="I74" s="1"/>
      <c r="J74" s="33"/>
      <c r="L74" s="1"/>
      <c r="M74" s="27"/>
      <c r="N74" s="28"/>
      <c r="P74" s="26"/>
      <c r="Q74" s="83"/>
      <c r="R74" s="1"/>
      <c r="S74" s="1"/>
      <c r="T74" s="1"/>
      <c r="U74" s="1"/>
      <c r="V74" s="1"/>
      <c r="W74" s="1"/>
      <c r="X74" s="33"/>
      <c r="Z74" s="1"/>
      <c r="AA74" s="27"/>
      <c r="AB74" s="69"/>
      <c r="AD74" s="26"/>
      <c r="AE74" s="83"/>
      <c r="AF74" s="1"/>
      <c r="AG74" s="1"/>
      <c r="AH74" s="1"/>
      <c r="AI74" s="1"/>
      <c r="AJ74" s="1"/>
      <c r="AK74" s="1"/>
      <c r="AL74" s="33"/>
      <c r="AN74" s="1"/>
      <c r="AO74" s="27"/>
      <c r="AP74" s="28"/>
      <c r="AR74" s="26"/>
      <c r="AS74" s="1"/>
      <c r="AT74" s="1"/>
      <c r="AU74" s="1"/>
      <c r="AV74" s="1"/>
      <c r="AW74" s="1"/>
      <c r="AX74" s="1"/>
      <c r="AY74" s="1"/>
      <c r="AZ74" s="20"/>
      <c r="BA74" s="1"/>
      <c r="BB74" s="1"/>
      <c r="BC74" s="1"/>
      <c r="BD74" s="28"/>
      <c r="BF74" s="26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28"/>
      <c r="BT74" s="26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28"/>
    </row>
    <row r="75" spans="1:84" ht="15" customHeight="1" x14ac:dyDescent="0.2">
      <c r="A75" s="26"/>
      <c r="B75" s="26"/>
      <c r="C75" s="30"/>
      <c r="D75" s="1"/>
      <c r="E75" s="27"/>
      <c r="F75" s="1"/>
      <c r="G75" s="1"/>
      <c r="H75" s="1"/>
      <c r="I75" s="1"/>
      <c r="J75" s="33"/>
      <c r="L75" s="1"/>
      <c r="M75" s="27"/>
      <c r="N75" s="28"/>
      <c r="P75" s="26"/>
      <c r="Q75" s="83"/>
      <c r="R75" s="1"/>
      <c r="S75" s="1"/>
      <c r="T75" s="1"/>
      <c r="U75" s="1"/>
      <c r="V75" s="1"/>
      <c r="W75" s="1"/>
      <c r="X75" s="33"/>
      <c r="Z75" s="1"/>
      <c r="AA75" s="27"/>
      <c r="AB75" s="69"/>
      <c r="AD75" s="26"/>
      <c r="AE75" s="83"/>
      <c r="AF75" s="1"/>
      <c r="AG75" s="1"/>
      <c r="AH75" s="1"/>
      <c r="AI75" s="1"/>
      <c r="AJ75" s="1"/>
      <c r="AK75" s="1"/>
      <c r="AL75" s="33"/>
      <c r="AN75" s="1"/>
      <c r="AO75" s="27"/>
      <c r="AP75" s="28"/>
      <c r="AR75" s="26"/>
      <c r="AS75" s="1"/>
      <c r="AT75" s="1"/>
      <c r="AU75" s="1"/>
      <c r="AV75" s="1"/>
      <c r="AW75" s="1"/>
      <c r="AX75" s="1"/>
      <c r="AY75" s="1"/>
      <c r="AZ75" s="20"/>
      <c r="BA75" s="1"/>
      <c r="BB75" s="1"/>
      <c r="BC75" s="1"/>
      <c r="BD75" s="28"/>
      <c r="BF75" s="26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28"/>
      <c r="BT75" s="26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28"/>
    </row>
  </sheetData>
  <mergeCells count="44">
    <mergeCell ref="A1:D1"/>
    <mergeCell ref="P1:R1"/>
    <mergeCell ref="AD1:AF1"/>
    <mergeCell ref="AR1:AT1"/>
    <mergeCell ref="AU1:AW1"/>
    <mergeCell ref="E1:G1"/>
    <mergeCell ref="BT1:BV1"/>
    <mergeCell ref="BW1:BY1"/>
    <mergeCell ref="J58:K58"/>
    <mergeCell ref="X58:Y58"/>
    <mergeCell ref="AL58:AM58"/>
    <mergeCell ref="AL59:AM59"/>
    <mergeCell ref="BA59:BB59"/>
    <mergeCell ref="BO59:BP59"/>
    <mergeCell ref="BF1:BH1"/>
    <mergeCell ref="BI1:BK1"/>
    <mergeCell ref="G73:H73"/>
    <mergeCell ref="G74:H74"/>
    <mergeCell ref="CC59:CD59"/>
    <mergeCell ref="J60:K60"/>
    <mergeCell ref="X60:Y60"/>
    <mergeCell ref="AL60:AM60"/>
    <mergeCell ref="J61:K61"/>
    <mergeCell ref="X61:Y61"/>
    <mergeCell ref="AL61:AM61"/>
    <mergeCell ref="J69:K69"/>
    <mergeCell ref="X69:Y69"/>
    <mergeCell ref="AL69:AM69"/>
    <mergeCell ref="G71:H71"/>
    <mergeCell ref="G72:H72"/>
    <mergeCell ref="J59:K59"/>
    <mergeCell ref="X59:Y59"/>
    <mergeCell ref="A65:C65"/>
    <mergeCell ref="P65:Q65"/>
    <mergeCell ref="AD65:AE65"/>
    <mergeCell ref="A66:C66"/>
    <mergeCell ref="P66:Q66"/>
    <mergeCell ref="AD66:AE66"/>
    <mergeCell ref="A67:C67"/>
    <mergeCell ref="P67:Q67"/>
    <mergeCell ref="AD67:AE67"/>
    <mergeCell ref="A68:C68"/>
    <mergeCell ref="P68:Q68"/>
    <mergeCell ref="AD68:AE68"/>
  </mergeCells>
  <phoneticPr fontId="10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浩一 坂本</dc:creator>
  <cp:keywords/>
  <dc:description/>
  <cp:lastModifiedBy>優俊 武田</cp:lastModifiedBy>
  <cp:revision/>
  <dcterms:created xsi:type="dcterms:W3CDTF">2024-11-24T10:26:11Z</dcterms:created>
  <dcterms:modified xsi:type="dcterms:W3CDTF">2026-05-07T15:31:15Z</dcterms:modified>
  <cp:category/>
  <cp:contentStatus/>
</cp:coreProperties>
</file>